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박영관\영화정책연구팀\극장조사\결과물\"/>
    </mc:Choice>
  </mc:AlternateContent>
  <bookViews>
    <workbookView xWindow="990" yWindow="0" windowWidth="28800" windowHeight="11520" tabRatio="963" firstSheet="2" activeTab="9"/>
  </bookViews>
  <sheets>
    <sheet name="2023년 전국극장현황" sheetId="29" r:id="rId1"/>
    <sheet name="2023년 행정구역(시군구)별 극장현황" sheetId="30" r:id="rId2"/>
    <sheet name="2023년 전국멀티플렉스현황" sheetId="31" r:id="rId3"/>
    <sheet name="2023년 전국 4대 멀티플렉스체인현황" sheetId="32" r:id="rId4"/>
    <sheet name="특별관 유형 분류 및 통계" sheetId="33" r:id="rId5"/>
    <sheet name="2023년 전국 극장 리스트" sheetId="25" r:id="rId6"/>
    <sheet name="2023년 전국 스크린별 상세 리스트" sheetId="26" r:id="rId7"/>
    <sheet name="2023년 신규개관 극장 리스트" sheetId="27" r:id="rId8"/>
    <sheet name="2023년 전국 멀티3사 장애인석 현황" sheetId="35" r:id="rId9"/>
    <sheet name="2023년 휴폐관리스트" sheetId="28" r:id="rId10"/>
  </sheets>
  <definedNames>
    <definedName name="_xlnm._FilterDatabase" localSheetId="7" hidden="1">'2023년 신규개관 극장 리스트'!$A$1:$R$23</definedName>
    <definedName name="_xlnm._FilterDatabase" localSheetId="5" hidden="1">'2023년 전국 극장 리스트'!$A$1:$R$575</definedName>
    <definedName name="_xlnm._FilterDatabase" localSheetId="6" hidden="1">'2023년 전국 스크린별 상세 리스트'!$A$1:$O$3373</definedName>
    <definedName name="_xlnm._FilterDatabase" localSheetId="1" hidden="1">'2023년 행정구역(시군구)별 극장현황'!$A$2:$R$248</definedName>
    <definedName name="_xlnm._FilterDatabase" localSheetId="9" hidden="1">'2023년 휴폐관리스트'!$A$1:$S$33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35" l="1"/>
  <c r="H6" i="35"/>
  <c r="H7" i="35"/>
  <c r="B8" i="35"/>
  <c r="C8" i="35"/>
  <c r="D8" i="35"/>
  <c r="E8" i="35"/>
  <c r="F8" i="35"/>
  <c r="G8" i="35"/>
  <c r="I8" i="35"/>
  <c r="J8" i="35"/>
  <c r="K8" i="35"/>
  <c r="N22" i="35"/>
  <c r="O22" i="35"/>
  <c r="P22" i="35"/>
  <c r="Q22" i="35"/>
  <c r="R22" i="35"/>
  <c r="S22" i="35"/>
  <c r="O196" i="30" l="1"/>
  <c r="K196" i="30"/>
  <c r="G196" i="30"/>
  <c r="O66" i="30"/>
  <c r="K66" i="30"/>
  <c r="G66" i="30"/>
  <c r="O221" i="30"/>
  <c r="K221" i="30"/>
  <c r="K220" i="30"/>
  <c r="G221" i="30"/>
  <c r="O159" i="30"/>
  <c r="K159" i="30"/>
  <c r="G159" i="30"/>
  <c r="K136" i="30"/>
  <c r="G136" i="30"/>
  <c r="O134" i="30"/>
  <c r="K134" i="30"/>
  <c r="G134" i="30"/>
  <c r="M246" i="30" l="1"/>
  <c r="M227" i="30"/>
  <c r="M204" i="30"/>
  <c r="M181" i="30"/>
  <c r="M166" i="30"/>
  <c r="M150" i="30"/>
  <c r="M138" i="30"/>
  <c r="M119" i="30"/>
  <c r="M87" i="30"/>
  <c r="M80" i="30"/>
  <c r="M74" i="30"/>
  <c r="M68" i="30"/>
  <c r="M57" i="30"/>
  <c r="M47" i="30"/>
  <c r="M30" i="30"/>
  <c r="M4" i="30"/>
  <c r="M3" i="30" s="1"/>
  <c r="I246" i="30"/>
  <c r="I227" i="30"/>
  <c r="I204" i="30"/>
  <c r="I181" i="30"/>
  <c r="I166" i="30"/>
  <c r="I150" i="30"/>
  <c r="I138" i="30"/>
  <c r="I119" i="30"/>
  <c r="I87" i="30"/>
  <c r="I80" i="30"/>
  <c r="I74" i="30"/>
  <c r="I68" i="30"/>
  <c r="I57" i="30"/>
  <c r="I47" i="30"/>
  <c r="I30" i="30"/>
  <c r="I4" i="30"/>
  <c r="I3" i="30" s="1"/>
  <c r="E246" i="30"/>
  <c r="E227" i="30"/>
  <c r="E204" i="30"/>
  <c r="E181" i="30"/>
  <c r="E166" i="30"/>
  <c r="E150" i="30"/>
  <c r="E138" i="30"/>
  <c r="E119" i="30"/>
  <c r="E87" i="30"/>
  <c r="E80" i="30"/>
  <c r="E74" i="30"/>
  <c r="E68" i="30"/>
  <c r="E57" i="30"/>
  <c r="E47" i="30"/>
  <c r="E30" i="30"/>
  <c r="E4" i="30"/>
  <c r="E3" i="30" l="1"/>
  <c r="H3" i="29"/>
  <c r="G20" i="29"/>
  <c r="C20" i="29"/>
  <c r="V7" i="33"/>
  <c r="M3373" i="26" l="1"/>
  <c r="K3373" i="26"/>
  <c r="J3373" i="26"/>
  <c r="I3373" i="26"/>
  <c r="F30" i="33" l="1"/>
  <c r="E30" i="33"/>
  <c r="D30" i="33"/>
  <c r="C30" i="33"/>
  <c r="U21" i="33"/>
  <c r="U22" i="33" s="1"/>
  <c r="T21" i="33"/>
  <c r="T22" i="33" s="1"/>
  <c r="S21" i="33"/>
  <c r="S22" i="33" s="1"/>
  <c r="R21" i="33"/>
  <c r="R22" i="33" s="1"/>
  <c r="Q21" i="33"/>
  <c r="Q22" i="33" s="1"/>
  <c r="V20" i="33"/>
  <c r="W20" i="33" s="1"/>
  <c r="V19" i="33"/>
  <c r="W19" i="33" s="1"/>
  <c r="V18" i="33"/>
  <c r="V17" i="33"/>
  <c r="W17" i="33" s="1"/>
  <c r="V16" i="33"/>
  <c r="W16" i="33" s="1"/>
  <c r="V15" i="33"/>
  <c r="W15" i="33" s="1"/>
  <c r="V14" i="33"/>
  <c r="V13" i="33"/>
  <c r="W13" i="33" s="1"/>
  <c r="V12" i="33"/>
  <c r="W12" i="33" s="1"/>
  <c r="V11" i="33"/>
  <c r="W11" i="33" s="1"/>
  <c r="V10" i="33"/>
  <c r="V9" i="33"/>
  <c r="W9" i="33" s="1"/>
  <c r="V8" i="33"/>
  <c r="W8" i="33" s="1"/>
  <c r="M8" i="33"/>
  <c r="K8" i="33"/>
  <c r="J8" i="33"/>
  <c r="I8" i="33"/>
  <c r="L8" i="33" s="1"/>
  <c r="W7" i="33"/>
  <c r="N7" i="33"/>
  <c r="L7" i="33"/>
  <c r="V6" i="33"/>
  <c r="N6" i="33"/>
  <c r="L6" i="33"/>
  <c r="W5" i="33"/>
  <c r="V5" i="33"/>
  <c r="N5" i="33"/>
  <c r="L5" i="33"/>
  <c r="V4" i="33"/>
  <c r="W4" i="33" s="1"/>
  <c r="N4" i="33"/>
  <c r="L4" i="33"/>
  <c r="Q9" i="32"/>
  <c r="P9" i="32"/>
  <c r="O9" i="32"/>
  <c r="M9" i="32"/>
  <c r="K9" i="32"/>
  <c r="H9" i="32"/>
  <c r="J9" i="32" s="1"/>
  <c r="E9" i="32"/>
  <c r="B9" i="32"/>
  <c r="N8" i="32"/>
  <c r="L8" i="32"/>
  <c r="J8" i="32"/>
  <c r="I8" i="32"/>
  <c r="G8" i="32"/>
  <c r="F8" i="32"/>
  <c r="D8" i="32"/>
  <c r="C8" i="32"/>
  <c r="N7" i="32"/>
  <c r="L7" i="32"/>
  <c r="J7" i="32"/>
  <c r="I7" i="32"/>
  <c r="G7" i="32"/>
  <c r="F7" i="32"/>
  <c r="D7" i="32"/>
  <c r="C7" i="32"/>
  <c r="N6" i="32"/>
  <c r="L6" i="32"/>
  <c r="J6" i="32"/>
  <c r="I6" i="32"/>
  <c r="G6" i="32"/>
  <c r="F6" i="32"/>
  <c r="D6" i="32"/>
  <c r="C6" i="32"/>
  <c r="N5" i="32"/>
  <c r="L5" i="32"/>
  <c r="J5" i="32"/>
  <c r="G5" i="32"/>
  <c r="F5" i="32"/>
  <c r="D5" i="32"/>
  <c r="C5" i="32"/>
  <c r="K20" i="31"/>
  <c r="K21" i="31" s="1"/>
  <c r="J20" i="31"/>
  <c r="G20" i="31"/>
  <c r="G21" i="31" s="1"/>
  <c r="F20" i="31"/>
  <c r="C20" i="31"/>
  <c r="C21" i="31" s="1"/>
  <c r="B20" i="31"/>
  <c r="M19" i="31"/>
  <c r="L19" i="31"/>
  <c r="I19" i="31"/>
  <c r="H19" i="31"/>
  <c r="E19" i="31"/>
  <c r="D19" i="31"/>
  <c r="M18" i="31"/>
  <c r="L18" i="31"/>
  <c r="I18" i="31"/>
  <c r="H18" i="31"/>
  <c r="E18" i="31"/>
  <c r="D18" i="31"/>
  <c r="M17" i="31"/>
  <c r="L17" i="31"/>
  <c r="I17" i="31"/>
  <c r="H17" i="31"/>
  <c r="E17" i="31"/>
  <c r="D17" i="31"/>
  <c r="M16" i="31"/>
  <c r="L16" i="31"/>
  <c r="I16" i="31"/>
  <c r="H16" i="31"/>
  <c r="E16" i="31"/>
  <c r="D16" i="31"/>
  <c r="M15" i="31"/>
  <c r="L15" i="31"/>
  <c r="I15" i="31"/>
  <c r="H15" i="31"/>
  <c r="E15" i="31"/>
  <c r="D15" i="31"/>
  <c r="M14" i="31"/>
  <c r="L14" i="31"/>
  <c r="I14" i="31"/>
  <c r="H14" i="31"/>
  <c r="E14" i="31"/>
  <c r="D14" i="31"/>
  <c r="M13" i="31"/>
  <c r="L13" i="31"/>
  <c r="I13" i="31"/>
  <c r="H13" i="31"/>
  <c r="E13" i="31"/>
  <c r="D13" i="31"/>
  <c r="M12" i="31"/>
  <c r="L12" i="31"/>
  <c r="I12" i="31"/>
  <c r="H12" i="31"/>
  <c r="E12" i="31"/>
  <c r="D12" i="31"/>
  <c r="M11" i="31"/>
  <c r="L11" i="31"/>
  <c r="I11" i="31"/>
  <c r="H11" i="31"/>
  <c r="E11" i="31"/>
  <c r="D11" i="31"/>
  <c r="M10" i="31"/>
  <c r="L10" i="31"/>
  <c r="I10" i="31"/>
  <c r="H10" i="31"/>
  <c r="E10" i="31"/>
  <c r="D10" i="31"/>
  <c r="M9" i="31"/>
  <c r="L9" i="31"/>
  <c r="I9" i="31"/>
  <c r="H9" i="31"/>
  <c r="E9" i="31"/>
  <c r="D9" i="31"/>
  <c r="M8" i="31"/>
  <c r="L8" i="31"/>
  <c r="I8" i="31"/>
  <c r="H8" i="31"/>
  <c r="E8" i="31"/>
  <c r="D8" i="31"/>
  <c r="M7" i="31"/>
  <c r="L7" i="31"/>
  <c r="I7" i="31"/>
  <c r="H7" i="31"/>
  <c r="E7" i="31"/>
  <c r="D7" i="31"/>
  <c r="M6" i="31"/>
  <c r="L6" i="31"/>
  <c r="I6" i="31"/>
  <c r="H6" i="31"/>
  <c r="E6" i="31"/>
  <c r="D6" i="31"/>
  <c r="M5" i="31"/>
  <c r="L5" i="31"/>
  <c r="I5" i="31"/>
  <c r="H5" i="31"/>
  <c r="E5" i="31"/>
  <c r="D5" i="31"/>
  <c r="M4" i="31"/>
  <c r="L4" i="31"/>
  <c r="I4" i="31"/>
  <c r="H4" i="31"/>
  <c r="E4" i="31"/>
  <c r="D4" i="31"/>
  <c r="M3" i="31"/>
  <c r="L3" i="31"/>
  <c r="I3" i="31"/>
  <c r="H3" i="31"/>
  <c r="E3" i="31"/>
  <c r="D3" i="31"/>
  <c r="P248" i="30"/>
  <c r="R248" i="30" s="1"/>
  <c r="N248" i="30"/>
  <c r="O248" i="30" s="1"/>
  <c r="J248" i="30"/>
  <c r="K248" i="30" s="1"/>
  <c r="F248" i="30"/>
  <c r="G248" i="30" s="1"/>
  <c r="P247" i="30"/>
  <c r="R247" i="30" s="1"/>
  <c r="N247" i="30"/>
  <c r="O247" i="30" s="1"/>
  <c r="J247" i="30"/>
  <c r="K247" i="30" s="1"/>
  <c r="F247" i="30"/>
  <c r="G247" i="30" s="1"/>
  <c r="L246" i="30"/>
  <c r="N246" i="30" s="1"/>
  <c r="O246" i="30" s="1"/>
  <c r="H246" i="30"/>
  <c r="P246" i="30" s="1"/>
  <c r="R246" i="30" s="1"/>
  <c r="F246" i="30"/>
  <c r="G246" i="30" s="1"/>
  <c r="D246" i="30"/>
  <c r="P245" i="30"/>
  <c r="R245" i="30" s="1"/>
  <c r="N245" i="30"/>
  <c r="O245" i="30" s="1"/>
  <c r="J245" i="30"/>
  <c r="K245" i="30" s="1"/>
  <c r="F245" i="30"/>
  <c r="G245" i="30" s="1"/>
  <c r="P244" i="30"/>
  <c r="R244" i="30" s="1"/>
  <c r="N244" i="30"/>
  <c r="O244" i="30" s="1"/>
  <c r="J244" i="30"/>
  <c r="K244" i="30" s="1"/>
  <c r="F244" i="30"/>
  <c r="G244" i="30" s="1"/>
  <c r="P243" i="30"/>
  <c r="R243" i="30" s="1"/>
  <c r="N243" i="30"/>
  <c r="J243" i="30"/>
  <c r="F243" i="30"/>
  <c r="P242" i="30"/>
  <c r="R242" i="30" s="1"/>
  <c r="N242" i="30"/>
  <c r="O242" i="30" s="1"/>
  <c r="J242" i="30"/>
  <c r="K242" i="30" s="1"/>
  <c r="F242" i="30"/>
  <c r="G242" i="30" s="1"/>
  <c r="P241" i="30"/>
  <c r="R241" i="30" s="1"/>
  <c r="N241" i="30"/>
  <c r="O241" i="30" s="1"/>
  <c r="J241" i="30"/>
  <c r="K241" i="30" s="1"/>
  <c r="F241" i="30"/>
  <c r="G241" i="30" s="1"/>
  <c r="P240" i="30"/>
  <c r="R240" i="30" s="1"/>
  <c r="N240" i="30"/>
  <c r="O240" i="30" s="1"/>
  <c r="J240" i="30"/>
  <c r="K240" i="30" s="1"/>
  <c r="F240" i="30"/>
  <c r="G240" i="30" s="1"/>
  <c r="P239" i="30"/>
  <c r="R239" i="30" s="1"/>
  <c r="N239" i="30"/>
  <c r="O239" i="30" s="1"/>
  <c r="J239" i="30"/>
  <c r="K239" i="30" s="1"/>
  <c r="F239" i="30"/>
  <c r="G239" i="30" s="1"/>
  <c r="P238" i="30"/>
  <c r="R238" i="30" s="1"/>
  <c r="N238" i="30"/>
  <c r="J238" i="30"/>
  <c r="F238" i="30"/>
  <c r="P237" i="30"/>
  <c r="R237" i="30" s="1"/>
  <c r="N237" i="30"/>
  <c r="O237" i="30" s="1"/>
  <c r="J237" i="30"/>
  <c r="F237" i="30"/>
  <c r="G237" i="30" s="1"/>
  <c r="P236" i="30"/>
  <c r="R236" i="30" s="1"/>
  <c r="N236" i="30"/>
  <c r="J236" i="30"/>
  <c r="F236" i="30"/>
  <c r="P235" i="30"/>
  <c r="R235" i="30" s="1"/>
  <c r="N235" i="30"/>
  <c r="O235" i="30" s="1"/>
  <c r="J235" i="30"/>
  <c r="K235" i="30" s="1"/>
  <c r="F235" i="30"/>
  <c r="G235" i="30" s="1"/>
  <c r="P234" i="30"/>
  <c r="R234" i="30" s="1"/>
  <c r="N234" i="30"/>
  <c r="O234" i="30" s="1"/>
  <c r="J234" i="30"/>
  <c r="K234" i="30" s="1"/>
  <c r="F234" i="30"/>
  <c r="G234" i="30" s="1"/>
  <c r="P233" i="30"/>
  <c r="R233" i="30" s="1"/>
  <c r="N233" i="30"/>
  <c r="O233" i="30" s="1"/>
  <c r="J233" i="30"/>
  <c r="K233" i="30" s="1"/>
  <c r="G233" i="30"/>
  <c r="F233" i="30"/>
  <c r="P232" i="30"/>
  <c r="R232" i="30" s="1"/>
  <c r="N232" i="30"/>
  <c r="O232" i="30" s="1"/>
  <c r="J232" i="30"/>
  <c r="K232" i="30" s="1"/>
  <c r="F232" i="30"/>
  <c r="G232" i="30" s="1"/>
  <c r="P231" i="30"/>
  <c r="R231" i="30" s="1"/>
  <c r="N231" i="30"/>
  <c r="O231" i="30" s="1"/>
  <c r="J231" i="30"/>
  <c r="K231" i="30" s="1"/>
  <c r="F231" i="30"/>
  <c r="G231" i="30" s="1"/>
  <c r="P230" i="30"/>
  <c r="R230" i="30" s="1"/>
  <c r="O230" i="30"/>
  <c r="N230" i="30"/>
  <c r="J230" i="30"/>
  <c r="K230" i="30" s="1"/>
  <c r="F230" i="30"/>
  <c r="G230" i="30" s="1"/>
  <c r="P229" i="30"/>
  <c r="R229" i="30" s="1"/>
  <c r="O229" i="30"/>
  <c r="N229" i="30"/>
  <c r="J229" i="30"/>
  <c r="K229" i="30" s="1"/>
  <c r="F229" i="30"/>
  <c r="G229" i="30" s="1"/>
  <c r="P228" i="30"/>
  <c r="R228" i="30" s="1"/>
  <c r="N228" i="30"/>
  <c r="O228" i="30" s="1"/>
  <c r="J228" i="30"/>
  <c r="K228" i="30" s="1"/>
  <c r="F228" i="30"/>
  <c r="G228" i="30" s="1"/>
  <c r="L227" i="30"/>
  <c r="N227" i="30" s="1"/>
  <c r="O227" i="30" s="1"/>
  <c r="J227" i="30"/>
  <c r="K227" i="30" s="1"/>
  <c r="H227" i="30"/>
  <c r="P227" i="30" s="1"/>
  <c r="R227" i="30" s="1"/>
  <c r="D227" i="30"/>
  <c r="F227" i="30" s="1"/>
  <c r="G227" i="30" s="1"/>
  <c r="P226" i="30"/>
  <c r="R226" i="30" s="1"/>
  <c r="N226" i="30"/>
  <c r="J226" i="30"/>
  <c r="F226" i="30"/>
  <c r="R225" i="30"/>
  <c r="P225" i="30"/>
  <c r="N225" i="30"/>
  <c r="O225" i="30" s="1"/>
  <c r="J225" i="30"/>
  <c r="K225" i="30" s="1"/>
  <c r="F225" i="30"/>
  <c r="G225" i="30" s="1"/>
  <c r="P224" i="30"/>
  <c r="R224" i="30" s="1"/>
  <c r="N224" i="30"/>
  <c r="J224" i="30"/>
  <c r="F224" i="30"/>
  <c r="P223" i="30"/>
  <c r="R223" i="30" s="1"/>
  <c r="O223" i="30"/>
  <c r="N223" i="30"/>
  <c r="J223" i="30"/>
  <c r="K223" i="30" s="1"/>
  <c r="F223" i="30"/>
  <c r="G223" i="30" s="1"/>
  <c r="P222" i="30"/>
  <c r="R222" i="30" s="1"/>
  <c r="N222" i="30"/>
  <c r="O222" i="30" s="1"/>
  <c r="J222" i="30"/>
  <c r="K222" i="30" s="1"/>
  <c r="F222" i="30"/>
  <c r="G222" i="30" s="1"/>
  <c r="P221" i="30"/>
  <c r="R221" i="30" s="1"/>
  <c r="N221" i="30"/>
  <c r="J221" i="30"/>
  <c r="F221" i="30"/>
  <c r="P220" i="30"/>
  <c r="R220" i="30" s="1"/>
  <c r="N220" i="30"/>
  <c r="O220" i="30" s="1"/>
  <c r="J220" i="30"/>
  <c r="G220" i="30"/>
  <c r="F220" i="30"/>
  <c r="P219" i="30"/>
  <c r="R219" i="30" s="1"/>
  <c r="N219" i="30"/>
  <c r="J219" i="30"/>
  <c r="F219" i="30"/>
  <c r="P218" i="30"/>
  <c r="R218" i="30" s="1"/>
  <c r="N218" i="30"/>
  <c r="J218" i="30"/>
  <c r="F218" i="30"/>
  <c r="P217" i="30"/>
  <c r="R217" i="30" s="1"/>
  <c r="N217" i="30"/>
  <c r="O217" i="30" s="1"/>
  <c r="J217" i="30"/>
  <c r="K217" i="30" s="1"/>
  <c r="F217" i="30"/>
  <c r="G217" i="30" s="1"/>
  <c r="P216" i="30"/>
  <c r="R216" i="30" s="1"/>
  <c r="N216" i="30"/>
  <c r="J216" i="30"/>
  <c r="F216" i="30"/>
  <c r="P215" i="30"/>
  <c r="R215" i="30" s="1"/>
  <c r="O215" i="30"/>
  <c r="N215" i="30"/>
  <c r="J215" i="30"/>
  <c r="K215" i="30" s="1"/>
  <c r="F215" i="30"/>
  <c r="G215" i="30" s="1"/>
  <c r="P56" i="30"/>
  <c r="R56" i="30" s="1"/>
  <c r="N56" i="30"/>
  <c r="J56" i="30"/>
  <c r="F56" i="30"/>
  <c r="P214" i="30"/>
  <c r="R214" i="30" s="1"/>
  <c r="O214" i="30"/>
  <c r="N214" i="30"/>
  <c r="J214" i="30"/>
  <c r="K214" i="30" s="1"/>
  <c r="F214" i="30"/>
  <c r="G214" i="30" s="1"/>
  <c r="P213" i="30"/>
  <c r="R213" i="30" s="1"/>
  <c r="N213" i="30"/>
  <c r="O213" i="30" s="1"/>
  <c r="J213" i="30"/>
  <c r="K213" i="30" s="1"/>
  <c r="G213" i="30"/>
  <c r="F213" i="30"/>
  <c r="P212" i="30"/>
  <c r="R212" i="30" s="1"/>
  <c r="O212" i="30"/>
  <c r="N212" i="30"/>
  <c r="J212" i="30"/>
  <c r="K212" i="30" s="1"/>
  <c r="F212" i="30"/>
  <c r="G212" i="30" s="1"/>
  <c r="P211" i="30"/>
  <c r="R211" i="30" s="1"/>
  <c r="N211" i="30"/>
  <c r="O211" i="30" s="1"/>
  <c r="J211" i="30"/>
  <c r="K211" i="30" s="1"/>
  <c r="F211" i="30"/>
  <c r="G211" i="30" s="1"/>
  <c r="P210" i="30"/>
  <c r="R210" i="30" s="1"/>
  <c r="N210" i="30"/>
  <c r="O210" i="30" s="1"/>
  <c r="J210" i="30"/>
  <c r="K210" i="30" s="1"/>
  <c r="F210" i="30"/>
  <c r="G210" i="30" s="1"/>
  <c r="P209" i="30"/>
  <c r="R209" i="30" s="1"/>
  <c r="O209" i="30"/>
  <c r="N209" i="30"/>
  <c r="J209" i="30"/>
  <c r="K209" i="30" s="1"/>
  <c r="F209" i="30"/>
  <c r="G209" i="30" s="1"/>
  <c r="P208" i="30"/>
  <c r="R208" i="30" s="1"/>
  <c r="N208" i="30"/>
  <c r="O208" i="30" s="1"/>
  <c r="J208" i="30"/>
  <c r="K208" i="30" s="1"/>
  <c r="F208" i="30"/>
  <c r="G208" i="30" s="1"/>
  <c r="P207" i="30"/>
  <c r="R207" i="30" s="1"/>
  <c r="O207" i="30"/>
  <c r="N207" i="30"/>
  <c r="J207" i="30"/>
  <c r="K207" i="30" s="1"/>
  <c r="G207" i="30"/>
  <c r="F207" i="30"/>
  <c r="P206" i="30"/>
  <c r="R206" i="30" s="1"/>
  <c r="N206" i="30"/>
  <c r="O206" i="30" s="1"/>
  <c r="J206" i="30"/>
  <c r="K206" i="30" s="1"/>
  <c r="F206" i="30"/>
  <c r="G206" i="30" s="1"/>
  <c r="P205" i="30"/>
  <c r="R205" i="30" s="1"/>
  <c r="N205" i="30"/>
  <c r="O205" i="30" s="1"/>
  <c r="J205" i="30"/>
  <c r="K205" i="30" s="1"/>
  <c r="G205" i="30"/>
  <c r="F205" i="30"/>
  <c r="L204" i="30"/>
  <c r="N204" i="30" s="1"/>
  <c r="O204" i="30" s="1"/>
  <c r="H204" i="30"/>
  <c r="J204" i="30" s="1"/>
  <c r="K204" i="30" s="1"/>
  <c r="G204" i="30"/>
  <c r="D204" i="30"/>
  <c r="F204" i="30" s="1"/>
  <c r="P203" i="30"/>
  <c r="R203" i="30" s="1"/>
  <c r="N203" i="30"/>
  <c r="J203" i="30"/>
  <c r="F203" i="30"/>
  <c r="P202" i="30"/>
  <c r="R202" i="30" s="1"/>
  <c r="N202" i="30"/>
  <c r="O202" i="30" s="1"/>
  <c r="J202" i="30"/>
  <c r="K202" i="30" s="1"/>
  <c r="F202" i="30"/>
  <c r="G202" i="30" s="1"/>
  <c r="P201" i="30"/>
  <c r="R201" i="30" s="1"/>
  <c r="N201" i="30"/>
  <c r="O201" i="30" s="1"/>
  <c r="J201" i="30"/>
  <c r="K201" i="30" s="1"/>
  <c r="F201" i="30"/>
  <c r="G201" i="30" s="1"/>
  <c r="P200" i="30"/>
  <c r="R200" i="30" s="1"/>
  <c r="N200" i="30"/>
  <c r="J200" i="30"/>
  <c r="F200" i="30"/>
  <c r="P199" i="30"/>
  <c r="R199" i="30" s="1"/>
  <c r="O199" i="30"/>
  <c r="N199" i="30"/>
  <c r="J199" i="30"/>
  <c r="K199" i="30" s="1"/>
  <c r="F199" i="30"/>
  <c r="G199" i="30" s="1"/>
  <c r="P198" i="30"/>
  <c r="R198" i="30" s="1"/>
  <c r="N198" i="30"/>
  <c r="J198" i="30"/>
  <c r="F198" i="30"/>
  <c r="R197" i="30"/>
  <c r="P197" i="30"/>
  <c r="N197" i="30"/>
  <c r="J197" i="30"/>
  <c r="F197" i="30"/>
  <c r="P196" i="30"/>
  <c r="R196" i="30" s="1"/>
  <c r="N196" i="30"/>
  <c r="J196" i="30"/>
  <c r="F196" i="30"/>
  <c r="P195" i="30"/>
  <c r="R195" i="30" s="1"/>
  <c r="O195" i="30"/>
  <c r="N195" i="30"/>
  <c r="K195" i="30"/>
  <c r="J195" i="30"/>
  <c r="F195" i="30"/>
  <c r="G195" i="30" s="1"/>
  <c r="P194" i="30"/>
  <c r="R194" i="30" s="1"/>
  <c r="N194" i="30"/>
  <c r="J194" i="30"/>
  <c r="F194" i="30"/>
  <c r="P193" i="30"/>
  <c r="R193" i="30" s="1"/>
  <c r="N193" i="30"/>
  <c r="O193" i="30" s="1"/>
  <c r="J193" i="30"/>
  <c r="K193" i="30" s="1"/>
  <c r="F193" i="30"/>
  <c r="G193" i="30" s="1"/>
  <c r="P192" i="30"/>
  <c r="R192" i="30" s="1"/>
  <c r="O192" i="30"/>
  <c r="N192" i="30"/>
  <c r="J192" i="30"/>
  <c r="K192" i="30" s="1"/>
  <c r="F192" i="30"/>
  <c r="G192" i="30" s="1"/>
  <c r="P191" i="30"/>
  <c r="R191" i="30" s="1"/>
  <c r="O191" i="30"/>
  <c r="N191" i="30"/>
  <c r="J191" i="30"/>
  <c r="K191" i="30" s="1"/>
  <c r="F191" i="30"/>
  <c r="G191" i="30" s="1"/>
  <c r="P190" i="30"/>
  <c r="R190" i="30" s="1"/>
  <c r="N190" i="30"/>
  <c r="O190" i="30" s="1"/>
  <c r="J190" i="30"/>
  <c r="K190" i="30" s="1"/>
  <c r="F190" i="30"/>
  <c r="G190" i="30" s="1"/>
  <c r="P189" i="30"/>
  <c r="R189" i="30" s="1"/>
  <c r="N189" i="30"/>
  <c r="O189" i="30" s="1"/>
  <c r="J189" i="30"/>
  <c r="K189" i="30" s="1"/>
  <c r="F189" i="30"/>
  <c r="G189" i="30" s="1"/>
  <c r="P188" i="30"/>
  <c r="R188" i="30" s="1"/>
  <c r="N188" i="30"/>
  <c r="O188" i="30" s="1"/>
  <c r="J188" i="30"/>
  <c r="K188" i="30" s="1"/>
  <c r="F188" i="30"/>
  <c r="G188" i="30" s="1"/>
  <c r="P187" i="30"/>
  <c r="R187" i="30" s="1"/>
  <c r="O187" i="30"/>
  <c r="N187" i="30"/>
  <c r="J187" i="30"/>
  <c r="K187" i="30" s="1"/>
  <c r="F187" i="30"/>
  <c r="G187" i="30" s="1"/>
  <c r="P186" i="30"/>
  <c r="R186" i="30" s="1"/>
  <c r="N186" i="30"/>
  <c r="O186" i="30" s="1"/>
  <c r="J186" i="30"/>
  <c r="K186" i="30" s="1"/>
  <c r="F186" i="30"/>
  <c r="G186" i="30" s="1"/>
  <c r="P185" i="30"/>
  <c r="R185" i="30" s="1"/>
  <c r="N185" i="30"/>
  <c r="O185" i="30" s="1"/>
  <c r="J185" i="30"/>
  <c r="K185" i="30" s="1"/>
  <c r="F185" i="30"/>
  <c r="G185" i="30" s="1"/>
  <c r="P184" i="30"/>
  <c r="R184" i="30" s="1"/>
  <c r="O184" i="30"/>
  <c r="N184" i="30"/>
  <c r="J184" i="30"/>
  <c r="K184" i="30" s="1"/>
  <c r="F184" i="30"/>
  <c r="G184" i="30" s="1"/>
  <c r="P183" i="30"/>
  <c r="R183" i="30" s="1"/>
  <c r="N183" i="30"/>
  <c r="O183" i="30" s="1"/>
  <c r="J183" i="30"/>
  <c r="K183" i="30" s="1"/>
  <c r="F183" i="30"/>
  <c r="G183" i="30" s="1"/>
  <c r="P182" i="30"/>
  <c r="R182" i="30" s="1"/>
  <c r="N182" i="30"/>
  <c r="O182" i="30" s="1"/>
  <c r="J182" i="30"/>
  <c r="K182" i="30" s="1"/>
  <c r="F182" i="30"/>
  <c r="G182" i="30" s="1"/>
  <c r="L181" i="30"/>
  <c r="N181" i="30" s="1"/>
  <c r="O181" i="30" s="1"/>
  <c r="K181" i="30"/>
  <c r="H181" i="30"/>
  <c r="J181" i="30" s="1"/>
  <c r="D181" i="30"/>
  <c r="F181" i="30" s="1"/>
  <c r="G181" i="30" s="1"/>
  <c r="P180" i="30"/>
  <c r="R180" i="30" s="1"/>
  <c r="N180" i="30"/>
  <c r="O180" i="30" s="1"/>
  <c r="J180" i="30"/>
  <c r="K180" i="30" s="1"/>
  <c r="F180" i="30"/>
  <c r="G180" i="30" s="1"/>
  <c r="P179" i="30"/>
  <c r="R179" i="30" s="1"/>
  <c r="N179" i="30"/>
  <c r="O179" i="30" s="1"/>
  <c r="K179" i="30"/>
  <c r="J179" i="30"/>
  <c r="F179" i="30"/>
  <c r="G179" i="30" s="1"/>
  <c r="P178" i="30"/>
  <c r="R178" i="30" s="1"/>
  <c r="N178" i="30"/>
  <c r="O178" i="30" s="1"/>
  <c r="J178" i="30"/>
  <c r="K178" i="30" s="1"/>
  <c r="F178" i="30"/>
  <c r="G178" i="30" s="1"/>
  <c r="R177" i="30"/>
  <c r="P177" i="30"/>
  <c r="N177" i="30"/>
  <c r="J177" i="30"/>
  <c r="F177" i="30"/>
  <c r="P176" i="30"/>
  <c r="R176" i="30" s="1"/>
  <c r="N176" i="30"/>
  <c r="J176" i="30"/>
  <c r="F176" i="30"/>
  <c r="P175" i="30"/>
  <c r="R175" i="30" s="1"/>
  <c r="O175" i="30"/>
  <c r="N175" i="30"/>
  <c r="J175" i="30"/>
  <c r="K175" i="30" s="1"/>
  <c r="F175" i="30"/>
  <c r="G175" i="30" s="1"/>
  <c r="P174" i="30"/>
  <c r="R174" i="30" s="1"/>
  <c r="N174" i="30"/>
  <c r="O174" i="30" s="1"/>
  <c r="J174" i="30"/>
  <c r="K174" i="30" s="1"/>
  <c r="F174" i="30"/>
  <c r="G174" i="30" s="1"/>
  <c r="P173" i="30"/>
  <c r="R173" i="30" s="1"/>
  <c r="N173" i="30"/>
  <c r="O173" i="30" s="1"/>
  <c r="J173" i="30"/>
  <c r="K173" i="30" s="1"/>
  <c r="F173" i="30"/>
  <c r="G173" i="30" s="1"/>
  <c r="P172" i="30"/>
  <c r="R172" i="30" s="1"/>
  <c r="O172" i="30"/>
  <c r="N172" i="30"/>
  <c r="J172" i="30"/>
  <c r="K172" i="30" s="1"/>
  <c r="F172" i="30"/>
  <c r="G172" i="30" s="1"/>
  <c r="P171" i="30"/>
  <c r="R171" i="30" s="1"/>
  <c r="N171" i="30"/>
  <c r="O171" i="30" s="1"/>
  <c r="J171" i="30"/>
  <c r="K171" i="30" s="1"/>
  <c r="F171" i="30"/>
  <c r="G171" i="30" s="1"/>
  <c r="P170" i="30"/>
  <c r="R170" i="30" s="1"/>
  <c r="N170" i="30"/>
  <c r="O170" i="30" s="1"/>
  <c r="J170" i="30"/>
  <c r="K170" i="30" s="1"/>
  <c r="F170" i="30"/>
  <c r="G170" i="30" s="1"/>
  <c r="P169" i="30"/>
  <c r="R169" i="30" s="1"/>
  <c r="N169" i="30"/>
  <c r="O169" i="30" s="1"/>
  <c r="J169" i="30"/>
  <c r="K169" i="30" s="1"/>
  <c r="F169" i="30"/>
  <c r="G169" i="30" s="1"/>
  <c r="P168" i="30"/>
  <c r="R168" i="30" s="1"/>
  <c r="N168" i="30"/>
  <c r="O168" i="30" s="1"/>
  <c r="J168" i="30"/>
  <c r="K168" i="30" s="1"/>
  <c r="F168" i="30"/>
  <c r="G168" i="30" s="1"/>
  <c r="P167" i="30"/>
  <c r="R167" i="30" s="1"/>
  <c r="N167" i="30"/>
  <c r="O167" i="30" s="1"/>
  <c r="J167" i="30"/>
  <c r="K167" i="30" s="1"/>
  <c r="F167" i="30"/>
  <c r="G167" i="30" s="1"/>
  <c r="L166" i="30"/>
  <c r="N166" i="30" s="1"/>
  <c r="O166" i="30" s="1"/>
  <c r="H166" i="30"/>
  <c r="P166" i="30" s="1"/>
  <c r="R166" i="30" s="1"/>
  <c r="D166" i="30"/>
  <c r="F166" i="30" s="1"/>
  <c r="G166" i="30" s="1"/>
  <c r="R165" i="30"/>
  <c r="P165" i="30"/>
  <c r="N165" i="30"/>
  <c r="O165" i="30" s="1"/>
  <c r="J165" i="30"/>
  <c r="K165" i="30" s="1"/>
  <c r="F165" i="30"/>
  <c r="G165" i="30" s="1"/>
  <c r="P164" i="30"/>
  <c r="R164" i="30" s="1"/>
  <c r="N164" i="30"/>
  <c r="O164" i="30" s="1"/>
  <c r="J164" i="30"/>
  <c r="K164" i="30" s="1"/>
  <c r="F164" i="30"/>
  <c r="G164" i="30" s="1"/>
  <c r="P163" i="30"/>
  <c r="R163" i="30" s="1"/>
  <c r="N163" i="30"/>
  <c r="O163" i="30" s="1"/>
  <c r="J163" i="30"/>
  <c r="K163" i="30" s="1"/>
  <c r="F163" i="30"/>
  <c r="G163" i="30" s="1"/>
  <c r="P162" i="30"/>
  <c r="R162" i="30" s="1"/>
  <c r="N162" i="30"/>
  <c r="O162" i="30" s="1"/>
  <c r="J162" i="30"/>
  <c r="K162" i="30" s="1"/>
  <c r="F162" i="30"/>
  <c r="G162" i="30" s="1"/>
  <c r="P161" i="30"/>
  <c r="R161" i="30" s="1"/>
  <c r="N161" i="30"/>
  <c r="O161" i="30" s="1"/>
  <c r="J161" i="30"/>
  <c r="K161" i="30" s="1"/>
  <c r="F161" i="30"/>
  <c r="G161" i="30" s="1"/>
  <c r="P160" i="30"/>
  <c r="R160" i="30" s="1"/>
  <c r="N160" i="30"/>
  <c r="O160" i="30" s="1"/>
  <c r="J160" i="30"/>
  <c r="K160" i="30" s="1"/>
  <c r="F160" i="30"/>
  <c r="G160" i="30" s="1"/>
  <c r="P159" i="30"/>
  <c r="R159" i="30" s="1"/>
  <c r="N159" i="30"/>
  <c r="J159" i="30"/>
  <c r="F159" i="30"/>
  <c r="R158" i="30"/>
  <c r="P158" i="30"/>
  <c r="N158" i="30"/>
  <c r="O158" i="30" s="1"/>
  <c r="J158" i="30"/>
  <c r="K158" i="30" s="1"/>
  <c r="F158" i="30"/>
  <c r="G158" i="30" s="1"/>
  <c r="P157" i="30"/>
  <c r="R157" i="30" s="1"/>
  <c r="N157" i="30"/>
  <c r="J157" i="30"/>
  <c r="F157" i="30"/>
  <c r="P156" i="30"/>
  <c r="R156" i="30" s="1"/>
  <c r="O156" i="30"/>
  <c r="N156" i="30"/>
  <c r="J156" i="30"/>
  <c r="K156" i="30" s="1"/>
  <c r="F156" i="30"/>
  <c r="G156" i="30" s="1"/>
  <c r="P155" i="30"/>
  <c r="R155" i="30" s="1"/>
  <c r="O155" i="30"/>
  <c r="N155" i="30"/>
  <c r="J155" i="30"/>
  <c r="K155" i="30" s="1"/>
  <c r="F155" i="30"/>
  <c r="G155" i="30" s="1"/>
  <c r="P154" i="30"/>
  <c r="R154" i="30" s="1"/>
  <c r="N154" i="30"/>
  <c r="O154" i="30" s="1"/>
  <c r="J154" i="30"/>
  <c r="K154" i="30" s="1"/>
  <c r="F154" i="30"/>
  <c r="G154" i="30" s="1"/>
  <c r="P153" i="30"/>
  <c r="R153" i="30" s="1"/>
  <c r="N153" i="30"/>
  <c r="O153" i="30" s="1"/>
  <c r="J153" i="30"/>
  <c r="K153" i="30" s="1"/>
  <c r="F153" i="30"/>
  <c r="G153" i="30" s="1"/>
  <c r="P152" i="30"/>
  <c r="R152" i="30" s="1"/>
  <c r="N152" i="30"/>
  <c r="O152" i="30" s="1"/>
  <c r="J152" i="30"/>
  <c r="K152" i="30" s="1"/>
  <c r="F152" i="30"/>
  <c r="G152" i="30" s="1"/>
  <c r="P151" i="30"/>
  <c r="R151" i="30" s="1"/>
  <c r="N151" i="30"/>
  <c r="O151" i="30" s="1"/>
  <c r="J151" i="30"/>
  <c r="K151" i="30" s="1"/>
  <c r="F151" i="30"/>
  <c r="G151" i="30" s="1"/>
  <c r="L150" i="30"/>
  <c r="N150" i="30" s="1"/>
  <c r="O150" i="30" s="1"/>
  <c r="H150" i="30"/>
  <c r="P150" i="30" s="1"/>
  <c r="R150" i="30" s="1"/>
  <c r="D150" i="30"/>
  <c r="F150" i="30" s="1"/>
  <c r="G150" i="30" s="1"/>
  <c r="P149" i="30"/>
  <c r="R149" i="30" s="1"/>
  <c r="N149" i="30"/>
  <c r="J149" i="30"/>
  <c r="F149" i="30"/>
  <c r="P148" i="30"/>
  <c r="R148" i="30" s="1"/>
  <c r="N148" i="30"/>
  <c r="O148" i="30" s="1"/>
  <c r="J148" i="30"/>
  <c r="K148" i="30" s="1"/>
  <c r="F148" i="30"/>
  <c r="G148" i="30" s="1"/>
  <c r="P147" i="30"/>
  <c r="R147" i="30" s="1"/>
  <c r="O147" i="30"/>
  <c r="N147" i="30"/>
  <c r="J147" i="30"/>
  <c r="K147" i="30" s="1"/>
  <c r="G147" i="30"/>
  <c r="F147" i="30"/>
  <c r="P146" i="30"/>
  <c r="R146" i="30" s="1"/>
  <c r="N146" i="30"/>
  <c r="O146" i="30" s="1"/>
  <c r="J146" i="30"/>
  <c r="K146" i="30" s="1"/>
  <c r="F146" i="30"/>
  <c r="G146" i="30" s="1"/>
  <c r="P145" i="30"/>
  <c r="R145" i="30" s="1"/>
  <c r="N145" i="30"/>
  <c r="J145" i="30"/>
  <c r="F145" i="30"/>
  <c r="P144" i="30"/>
  <c r="R144" i="30" s="1"/>
  <c r="N144" i="30"/>
  <c r="O144" i="30" s="1"/>
  <c r="J144" i="30"/>
  <c r="K144" i="30" s="1"/>
  <c r="F144" i="30"/>
  <c r="G144" i="30" s="1"/>
  <c r="P143" i="30"/>
  <c r="R143" i="30" s="1"/>
  <c r="N143" i="30"/>
  <c r="O143" i="30" s="1"/>
  <c r="K143" i="30"/>
  <c r="J143" i="30"/>
  <c r="F143" i="30"/>
  <c r="G143" i="30" s="1"/>
  <c r="P142" i="30"/>
  <c r="R142" i="30" s="1"/>
  <c r="N142" i="30"/>
  <c r="O142" i="30" s="1"/>
  <c r="J142" i="30"/>
  <c r="K142" i="30" s="1"/>
  <c r="F142" i="30"/>
  <c r="G142" i="30" s="1"/>
  <c r="P141" i="30"/>
  <c r="R141" i="30" s="1"/>
  <c r="N141" i="30"/>
  <c r="O141" i="30" s="1"/>
  <c r="J141" i="30"/>
  <c r="K141" i="30" s="1"/>
  <c r="F141" i="30"/>
  <c r="G141" i="30" s="1"/>
  <c r="R140" i="30"/>
  <c r="P140" i="30"/>
  <c r="N140" i="30"/>
  <c r="O140" i="30" s="1"/>
  <c r="J140" i="30"/>
  <c r="K140" i="30" s="1"/>
  <c r="F140" i="30"/>
  <c r="G140" i="30" s="1"/>
  <c r="P139" i="30"/>
  <c r="R139" i="30" s="1"/>
  <c r="N139" i="30"/>
  <c r="O139" i="30" s="1"/>
  <c r="K139" i="30"/>
  <c r="J139" i="30"/>
  <c r="F139" i="30"/>
  <c r="G139" i="30" s="1"/>
  <c r="L138" i="30"/>
  <c r="N138" i="30" s="1"/>
  <c r="O138" i="30" s="1"/>
  <c r="H138" i="30"/>
  <c r="P138" i="30" s="1"/>
  <c r="R138" i="30" s="1"/>
  <c r="D138" i="30"/>
  <c r="F138" i="30" s="1"/>
  <c r="G138" i="30" s="1"/>
  <c r="P137" i="30"/>
  <c r="R137" i="30" s="1"/>
  <c r="N137" i="30"/>
  <c r="O137" i="30" s="1"/>
  <c r="J137" i="30"/>
  <c r="K137" i="30" s="1"/>
  <c r="F137" i="30"/>
  <c r="G137" i="30" s="1"/>
  <c r="P136" i="30"/>
  <c r="R136" i="30" s="1"/>
  <c r="N136" i="30"/>
  <c r="O136" i="30" s="1"/>
  <c r="J136" i="30"/>
  <c r="F136" i="30"/>
  <c r="P135" i="30"/>
  <c r="R135" i="30" s="1"/>
  <c r="N135" i="30"/>
  <c r="O135" i="30" s="1"/>
  <c r="J135" i="30"/>
  <c r="K135" i="30" s="1"/>
  <c r="F135" i="30"/>
  <c r="G135" i="30" s="1"/>
  <c r="P134" i="30"/>
  <c r="R134" i="30" s="1"/>
  <c r="N134" i="30"/>
  <c r="J134" i="30"/>
  <c r="F134" i="30"/>
  <c r="P133" i="30"/>
  <c r="R133" i="30" s="1"/>
  <c r="N133" i="30"/>
  <c r="O133" i="30" s="1"/>
  <c r="J133" i="30"/>
  <c r="K133" i="30" s="1"/>
  <c r="F133" i="30"/>
  <c r="G133" i="30" s="1"/>
  <c r="P132" i="30"/>
  <c r="R132" i="30" s="1"/>
  <c r="N132" i="30"/>
  <c r="O132" i="30" s="1"/>
  <c r="J132" i="30"/>
  <c r="K132" i="30" s="1"/>
  <c r="F132" i="30"/>
  <c r="G132" i="30" s="1"/>
  <c r="P131" i="30"/>
  <c r="R131" i="30" s="1"/>
  <c r="N131" i="30"/>
  <c r="O131" i="30" s="1"/>
  <c r="J131" i="30"/>
  <c r="K131" i="30" s="1"/>
  <c r="F131" i="30"/>
  <c r="G131" i="30" s="1"/>
  <c r="P130" i="30"/>
  <c r="R130" i="30" s="1"/>
  <c r="N130" i="30"/>
  <c r="O130" i="30" s="1"/>
  <c r="J130" i="30"/>
  <c r="K130" i="30" s="1"/>
  <c r="F130" i="30"/>
  <c r="G130" i="30" s="1"/>
  <c r="P129" i="30"/>
  <c r="R129" i="30" s="1"/>
  <c r="N129" i="30"/>
  <c r="O129" i="30" s="1"/>
  <c r="J129" i="30"/>
  <c r="K129" i="30" s="1"/>
  <c r="F129" i="30"/>
  <c r="G129" i="30" s="1"/>
  <c r="R128" i="30"/>
  <c r="P128" i="30"/>
  <c r="N128" i="30"/>
  <c r="O128" i="30" s="1"/>
  <c r="J128" i="30"/>
  <c r="K128" i="30" s="1"/>
  <c r="F128" i="30"/>
  <c r="G128" i="30" s="1"/>
  <c r="P127" i="30"/>
  <c r="R127" i="30" s="1"/>
  <c r="N127" i="30"/>
  <c r="O127" i="30" s="1"/>
  <c r="J127" i="30"/>
  <c r="K127" i="30" s="1"/>
  <c r="F127" i="30"/>
  <c r="G127" i="30" s="1"/>
  <c r="P126" i="30"/>
  <c r="R126" i="30" s="1"/>
  <c r="N126" i="30"/>
  <c r="O126" i="30" s="1"/>
  <c r="J126" i="30"/>
  <c r="K126" i="30" s="1"/>
  <c r="F126" i="30"/>
  <c r="G126" i="30" s="1"/>
  <c r="P125" i="30"/>
  <c r="R125" i="30" s="1"/>
  <c r="N125" i="30"/>
  <c r="O125" i="30" s="1"/>
  <c r="J125" i="30"/>
  <c r="K125" i="30" s="1"/>
  <c r="F125" i="30"/>
  <c r="G125" i="30" s="1"/>
  <c r="R124" i="30"/>
  <c r="P124" i="30"/>
  <c r="N124" i="30"/>
  <c r="J124" i="30"/>
  <c r="F124" i="30"/>
  <c r="P123" i="30"/>
  <c r="R123" i="30" s="1"/>
  <c r="N123" i="30"/>
  <c r="O123" i="30" s="1"/>
  <c r="J123" i="30"/>
  <c r="K123" i="30" s="1"/>
  <c r="F123" i="30"/>
  <c r="G123" i="30" s="1"/>
  <c r="P122" i="30"/>
  <c r="R122" i="30" s="1"/>
  <c r="N122" i="30"/>
  <c r="O122" i="30" s="1"/>
  <c r="K122" i="30"/>
  <c r="J122" i="30"/>
  <c r="F122" i="30"/>
  <c r="G122" i="30" s="1"/>
  <c r="P121" i="30"/>
  <c r="R121" i="30" s="1"/>
  <c r="N121" i="30"/>
  <c r="O121" i="30" s="1"/>
  <c r="J121" i="30"/>
  <c r="K121" i="30" s="1"/>
  <c r="F121" i="30"/>
  <c r="G121" i="30" s="1"/>
  <c r="P120" i="30"/>
  <c r="R120" i="30" s="1"/>
  <c r="N120" i="30"/>
  <c r="O120" i="30" s="1"/>
  <c r="J120" i="30"/>
  <c r="K120" i="30" s="1"/>
  <c r="F120" i="30"/>
  <c r="G120" i="30" s="1"/>
  <c r="L119" i="30"/>
  <c r="N119" i="30" s="1"/>
  <c r="O119" i="30" s="1"/>
  <c r="H119" i="30"/>
  <c r="P119" i="30" s="1"/>
  <c r="R119" i="30" s="1"/>
  <c r="D119" i="30"/>
  <c r="F119" i="30" s="1"/>
  <c r="G119" i="30" s="1"/>
  <c r="P118" i="30"/>
  <c r="R118" i="30" s="1"/>
  <c r="N118" i="30"/>
  <c r="O118" i="30" s="1"/>
  <c r="J118" i="30"/>
  <c r="K118" i="30" s="1"/>
  <c r="F118" i="30"/>
  <c r="G118" i="30" s="1"/>
  <c r="P117" i="30"/>
  <c r="R117" i="30" s="1"/>
  <c r="N117" i="30"/>
  <c r="O117" i="30" s="1"/>
  <c r="J117" i="30"/>
  <c r="K117" i="30" s="1"/>
  <c r="F117" i="30"/>
  <c r="G117" i="30" s="1"/>
  <c r="P116" i="30"/>
  <c r="R116" i="30" s="1"/>
  <c r="N116" i="30"/>
  <c r="J116" i="30"/>
  <c r="F116" i="30"/>
  <c r="P115" i="30"/>
  <c r="R115" i="30" s="1"/>
  <c r="N115" i="30"/>
  <c r="J115" i="30"/>
  <c r="F115" i="30"/>
  <c r="P114" i="30"/>
  <c r="R114" i="30" s="1"/>
  <c r="N114" i="30"/>
  <c r="O114" i="30" s="1"/>
  <c r="J114" i="30"/>
  <c r="K114" i="30" s="1"/>
  <c r="G114" i="30"/>
  <c r="F114" i="30"/>
  <c r="P113" i="30"/>
  <c r="R113" i="30" s="1"/>
  <c r="N113" i="30"/>
  <c r="O113" i="30" s="1"/>
  <c r="J113" i="30"/>
  <c r="K113" i="30" s="1"/>
  <c r="F113" i="30"/>
  <c r="G113" i="30" s="1"/>
  <c r="P112" i="30"/>
  <c r="R112" i="30" s="1"/>
  <c r="N112" i="30"/>
  <c r="O112" i="30" s="1"/>
  <c r="J112" i="30"/>
  <c r="K112" i="30" s="1"/>
  <c r="F112" i="30"/>
  <c r="G112" i="30" s="1"/>
  <c r="P111" i="30"/>
  <c r="R111" i="30" s="1"/>
  <c r="N111" i="30"/>
  <c r="O111" i="30" s="1"/>
  <c r="J111" i="30"/>
  <c r="K111" i="30" s="1"/>
  <c r="F111" i="30"/>
  <c r="G111" i="30" s="1"/>
  <c r="P110" i="30"/>
  <c r="R110" i="30" s="1"/>
  <c r="N110" i="30"/>
  <c r="O110" i="30" s="1"/>
  <c r="J110" i="30"/>
  <c r="K110" i="30" s="1"/>
  <c r="F110" i="30"/>
  <c r="G110" i="30" s="1"/>
  <c r="P109" i="30"/>
  <c r="R109" i="30" s="1"/>
  <c r="N109" i="30"/>
  <c r="O109" i="30" s="1"/>
  <c r="J109" i="30"/>
  <c r="K109" i="30" s="1"/>
  <c r="F109" i="30"/>
  <c r="G109" i="30" s="1"/>
  <c r="P108" i="30"/>
  <c r="R108" i="30" s="1"/>
  <c r="N108" i="30"/>
  <c r="O108" i="30" s="1"/>
  <c r="J108" i="30"/>
  <c r="K108" i="30" s="1"/>
  <c r="F108" i="30"/>
  <c r="G108" i="30" s="1"/>
  <c r="P107" i="30"/>
  <c r="R107" i="30" s="1"/>
  <c r="N107" i="30"/>
  <c r="O107" i="30" s="1"/>
  <c r="J107" i="30"/>
  <c r="K107" i="30" s="1"/>
  <c r="F107" i="30"/>
  <c r="G107" i="30" s="1"/>
  <c r="P106" i="30"/>
  <c r="R106" i="30" s="1"/>
  <c r="N106" i="30"/>
  <c r="O106" i="30" s="1"/>
  <c r="J106" i="30"/>
  <c r="K106" i="30" s="1"/>
  <c r="F106" i="30"/>
  <c r="G106" i="30" s="1"/>
  <c r="P105" i="30"/>
  <c r="R105" i="30" s="1"/>
  <c r="N105" i="30"/>
  <c r="O105" i="30" s="1"/>
  <c r="J105" i="30"/>
  <c r="K105" i="30" s="1"/>
  <c r="F105" i="30"/>
  <c r="G105" i="30" s="1"/>
  <c r="P104" i="30"/>
  <c r="R104" i="30" s="1"/>
  <c r="N104" i="30"/>
  <c r="J104" i="30"/>
  <c r="F104" i="30"/>
  <c r="P103" i="30"/>
  <c r="R103" i="30" s="1"/>
  <c r="N103" i="30"/>
  <c r="O103" i="30" s="1"/>
  <c r="J103" i="30"/>
  <c r="K103" i="30" s="1"/>
  <c r="F103" i="30"/>
  <c r="G103" i="30" s="1"/>
  <c r="P102" i="30"/>
  <c r="R102" i="30" s="1"/>
  <c r="O102" i="30"/>
  <c r="N102" i="30"/>
  <c r="J102" i="30"/>
  <c r="K102" i="30" s="1"/>
  <c r="F102" i="30"/>
  <c r="G102" i="30" s="1"/>
  <c r="P101" i="30"/>
  <c r="R101" i="30" s="1"/>
  <c r="O101" i="30"/>
  <c r="N101" i="30"/>
  <c r="J101" i="30"/>
  <c r="K101" i="30" s="1"/>
  <c r="F101" i="30"/>
  <c r="G101" i="30" s="1"/>
  <c r="P100" i="30"/>
  <c r="R100" i="30" s="1"/>
  <c r="N100" i="30"/>
  <c r="O100" i="30" s="1"/>
  <c r="J100" i="30"/>
  <c r="K100" i="30" s="1"/>
  <c r="F100" i="30"/>
  <c r="G100" i="30" s="1"/>
  <c r="P99" i="30"/>
  <c r="R99" i="30" s="1"/>
  <c r="N99" i="30"/>
  <c r="O99" i="30" s="1"/>
  <c r="J99" i="30"/>
  <c r="K99" i="30" s="1"/>
  <c r="F99" i="30"/>
  <c r="G99" i="30" s="1"/>
  <c r="P98" i="30"/>
  <c r="R98" i="30" s="1"/>
  <c r="N98" i="30"/>
  <c r="J98" i="30"/>
  <c r="F98" i="30"/>
  <c r="P97" i="30"/>
  <c r="R97" i="30" s="1"/>
  <c r="N97" i="30"/>
  <c r="O97" i="30" s="1"/>
  <c r="J97" i="30"/>
  <c r="K97" i="30" s="1"/>
  <c r="F97" i="30"/>
  <c r="G97" i="30" s="1"/>
  <c r="P96" i="30"/>
  <c r="R96" i="30" s="1"/>
  <c r="N96" i="30"/>
  <c r="O96" i="30" s="1"/>
  <c r="J96" i="30"/>
  <c r="K96" i="30" s="1"/>
  <c r="F96" i="30"/>
  <c r="G96" i="30" s="1"/>
  <c r="P95" i="30"/>
  <c r="R95" i="30" s="1"/>
  <c r="N95" i="30"/>
  <c r="O95" i="30" s="1"/>
  <c r="J95" i="30"/>
  <c r="K95" i="30" s="1"/>
  <c r="F95" i="30"/>
  <c r="G95" i="30" s="1"/>
  <c r="P94" i="30"/>
  <c r="R94" i="30" s="1"/>
  <c r="N94" i="30"/>
  <c r="O94" i="30" s="1"/>
  <c r="J94" i="30"/>
  <c r="K94" i="30" s="1"/>
  <c r="F94" i="30"/>
  <c r="G94" i="30" s="1"/>
  <c r="P93" i="30"/>
  <c r="R93" i="30" s="1"/>
  <c r="N93" i="30"/>
  <c r="O93" i="30" s="1"/>
  <c r="J93" i="30"/>
  <c r="K93" i="30" s="1"/>
  <c r="F93" i="30"/>
  <c r="G93" i="30" s="1"/>
  <c r="P92" i="30"/>
  <c r="R92" i="30" s="1"/>
  <c r="N92" i="30"/>
  <c r="O92" i="30" s="1"/>
  <c r="J92" i="30"/>
  <c r="K92" i="30" s="1"/>
  <c r="F92" i="30"/>
  <c r="G92" i="30" s="1"/>
  <c r="P91" i="30"/>
  <c r="R91" i="30" s="1"/>
  <c r="N91" i="30"/>
  <c r="O91" i="30" s="1"/>
  <c r="J91" i="30"/>
  <c r="K91" i="30" s="1"/>
  <c r="F91" i="30"/>
  <c r="G91" i="30" s="1"/>
  <c r="P90" i="30"/>
  <c r="R90" i="30" s="1"/>
  <c r="N90" i="30"/>
  <c r="O90" i="30" s="1"/>
  <c r="J90" i="30"/>
  <c r="K90" i="30" s="1"/>
  <c r="F90" i="30"/>
  <c r="G90" i="30" s="1"/>
  <c r="P89" i="30"/>
  <c r="R89" i="30" s="1"/>
  <c r="N89" i="30"/>
  <c r="O89" i="30" s="1"/>
  <c r="J89" i="30"/>
  <c r="K89" i="30" s="1"/>
  <c r="F89" i="30"/>
  <c r="G89" i="30" s="1"/>
  <c r="P88" i="30"/>
  <c r="R88" i="30" s="1"/>
  <c r="N88" i="30"/>
  <c r="O88" i="30" s="1"/>
  <c r="J88" i="30"/>
  <c r="K88" i="30" s="1"/>
  <c r="F88" i="30"/>
  <c r="G88" i="30" s="1"/>
  <c r="L87" i="30"/>
  <c r="H87" i="30"/>
  <c r="J87" i="30" s="1"/>
  <c r="K87" i="30" s="1"/>
  <c r="D87" i="30"/>
  <c r="P86" i="30"/>
  <c r="R86" i="30" s="1"/>
  <c r="N86" i="30"/>
  <c r="O86" i="30" s="1"/>
  <c r="J86" i="30"/>
  <c r="K86" i="30" s="1"/>
  <c r="F86" i="30"/>
  <c r="G86" i="30" s="1"/>
  <c r="P85" i="30"/>
  <c r="R85" i="30" s="1"/>
  <c r="N85" i="30"/>
  <c r="O85" i="30" s="1"/>
  <c r="J85" i="30"/>
  <c r="K85" i="30" s="1"/>
  <c r="F85" i="30"/>
  <c r="G85" i="30" s="1"/>
  <c r="P84" i="30"/>
  <c r="R84" i="30" s="1"/>
  <c r="N84" i="30"/>
  <c r="O84" i="30" s="1"/>
  <c r="J84" i="30"/>
  <c r="K84" i="30" s="1"/>
  <c r="F84" i="30"/>
  <c r="G84" i="30" s="1"/>
  <c r="P83" i="30"/>
  <c r="R83" i="30" s="1"/>
  <c r="N83" i="30"/>
  <c r="O83" i="30" s="1"/>
  <c r="J83" i="30"/>
  <c r="K83" i="30" s="1"/>
  <c r="F83" i="30"/>
  <c r="G83" i="30" s="1"/>
  <c r="P82" i="30"/>
  <c r="R82" i="30" s="1"/>
  <c r="N82" i="30"/>
  <c r="O82" i="30" s="1"/>
  <c r="J82" i="30"/>
  <c r="K82" i="30" s="1"/>
  <c r="F82" i="30"/>
  <c r="G82" i="30" s="1"/>
  <c r="P81" i="30"/>
  <c r="R81" i="30" s="1"/>
  <c r="N81" i="30"/>
  <c r="O81" i="30" s="1"/>
  <c r="J81" i="30"/>
  <c r="K81" i="30" s="1"/>
  <c r="F81" i="30"/>
  <c r="G81" i="30" s="1"/>
  <c r="L80" i="30"/>
  <c r="N80" i="30" s="1"/>
  <c r="O80" i="30" s="1"/>
  <c r="J80" i="30"/>
  <c r="K80" i="30" s="1"/>
  <c r="H80" i="30"/>
  <c r="P80" i="30" s="1"/>
  <c r="R80" i="30" s="1"/>
  <c r="D80" i="30"/>
  <c r="F80" i="30" s="1"/>
  <c r="G80" i="30" s="1"/>
  <c r="P79" i="30"/>
  <c r="R79" i="30" s="1"/>
  <c r="N79" i="30"/>
  <c r="J79" i="30"/>
  <c r="F79" i="30"/>
  <c r="R78" i="30"/>
  <c r="P78" i="30"/>
  <c r="N78" i="30"/>
  <c r="O78" i="30" s="1"/>
  <c r="K78" i="30"/>
  <c r="J78" i="30"/>
  <c r="F78" i="30"/>
  <c r="G78" i="30" s="1"/>
  <c r="P77" i="30"/>
  <c r="R77" i="30" s="1"/>
  <c r="N77" i="30"/>
  <c r="O77" i="30" s="1"/>
  <c r="K77" i="30"/>
  <c r="J77" i="30"/>
  <c r="F77" i="30"/>
  <c r="G77" i="30" s="1"/>
  <c r="R76" i="30"/>
  <c r="P76" i="30"/>
  <c r="N76" i="30"/>
  <c r="O76" i="30" s="1"/>
  <c r="J76" i="30"/>
  <c r="K76" i="30" s="1"/>
  <c r="F76" i="30"/>
  <c r="G76" i="30" s="1"/>
  <c r="P75" i="30"/>
  <c r="R75" i="30" s="1"/>
  <c r="N75" i="30"/>
  <c r="O75" i="30" s="1"/>
  <c r="J75" i="30"/>
  <c r="K75" i="30" s="1"/>
  <c r="F75" i="30"/>
  <c r="G75" i="30" s="1"/>
  <c r="L74" i="30"/>
  <c r="N74" i="30" s="1"/>
  <c r="O74" i="30" s="1"/>
  <c r="H74" i="30"/>
  <c r="J74" i="30" s="1"/>
  <c r="K74" i="30" s="1"/>
  <c r="D74" i="30"/>
  <c r="F74" i="30" s="1"/>
  <c r="G74" i="30" s="1"/>
  <c r="P73" i="30"/>
  <c r="R73" i="30" s="1"/>
  <c r="N73" i="30"/>
  <c r="O73" i="30" s="1"/>
  <c r="J73" i="30"/>
  <c r="K73" i="30" s="1"/>
  <c r="F73" i="30"/>
  <c r="G73" i="30" s="1"/>
  <c r="P72" i="30"/>
  <c r="R72" i="30" s="1"/>
  <c r="N72" i="30"/>
  <c r="O72" i="30" s="1"/>
  <c r="J72" i="30"/>
  <c r="K72" i="30" s="1"/>
  <c r="F72" i="30"/>
  <c r="G72" i="30" s="1"/>
  <c r="R71" i="30"/>
  <c r="P71" i="30"/>
  <c r="N71" i="30"/>
  <c r="J71" i="30"/>
  <c r="F71" i="30"/>
  <c r="P70" i="30"/>
  <c r="R70" i="30" s="1"/>
  <c r="N70" i="30"/>
  <c r="O70" i="30" s="1"/>
  <c r="J70" i="30"/>
  <c r="K70" i="30" s="1"/>
  <c r="F70" i="30"/>
  <c r="G70" i="30" s="1"/>
  <c r="P69" i="30"/>
  <c r="R69" i="30" s="1"/>
  <c r="N69" i="30"/>
  <c r="O69" i="30" s="1"/>
  <c r="J69" i="30"/>
  <c r="K69" i="30" s="1"/>
  <c r="F69" i="30"/>
  <c r="G69" i="30" s="1"/>
  <c r="L68" i="30"/>
  <c r="J68" i="30"/>
  <c r="K68" i="30" s="1"/>
  <c r="H68" i="30"/>
  <c r="P68" i="30" s="1"/>
  <c r="R68" i="30" s="1"/>
  <c r="D68" i="30"/>
  <c r="F68" i="30" s="1"/>
  <c r="G68" i="30" s="1"/>
  <c r="P67" i="30"/>
  <c r="R67" i="30" s="1"/>
  <c r="N67" i="30"/>
  <c r="J67" i="30"/>
  <c r="F67" i="30"/>
  <c r="P66" i="30"/>
  <c r="R66" i="30" s="1"/>
  <c r="N66" i="30"/>
  <c r="J66" i="30"/>
  <c r="F66" i="30"/>
  <c r="P65" i="30"/>
  <c r="R65" i="30" s="1"/>
  <c r="N65" i="30"/>
  <c r="O65" i="30" s="1"/>
  <c r="J65" i="30"/>
  <c r="K65" i="30" s="1"/>
  <c r="F65" i="30"/>
  <c r="G65" i="30" s="1"/>
  <c r="P64" i="30"/>
  <c r="R64" i="30" s="1"/>
  <c r="N64" i="30"/>
  <c r="O64" i="30" s="1"/>
  <c r="J64" i="30"/>
  <c r="K64" i="30" s="1"/>
  <c r="F64" i="30"/>
  <c r="G64" i="30" s="1"/>
  <c r="P63" i="30"/>
  <c r="R63" i="30" s="1"/>
  <c r="N63" i="30"/>
  <c r="O63" i="30" s="1"/>
  <c r="J63" i="30"/>
  <c r="K63" i="30" s="1"/>
  <c r="F63" i="30"/>
  <c r="G63" i="30" s="1"/>
  <c r="P62" i="30"/>
  <c r="R62" i="30" s="1"/>
  <c r="N62" i="30"/>
  <c r="O62" i="30" s="1"/>
  <c r="J62" i="30"/>
  <c r="K62" i="30" s="1"/>
  <c r="F62" i="30"/>
  <c r="G62" i="30" s="1"/>
  <c r="P61" i="30"/>
  <c r="R61" i="30" s="1"/>
  <c r="N61" i="30"/>
  <c r="O61" i="30" s="1"/>
  <c r="J61" i="30"/>
  <c r="K61" i="30" s="1"/>
  <c r="F61" i="30"/>
  <c r="G61" i="30" s="1"/>
  <c r="P60" i="30"/>
  <c r="R60" i="30" s="1"/>
  <c r="N60" i="30"/>
  <c r="O60" i="30" s="1"/>
  <c r="J60" i="30"/>
  <c r="K60" i="30" s="1"/>
  <c r="F60" i="30"/>
  <c r="G60" i="30" s="1"/>
  <c r="P59" i="30"/>
  <c r="R59" i="30" s="1"/>
  <c r="N59" i="30"/>
  <c r="O59" i="30" s="1"/>
  <c r="J59" i="30"/>
  <c r="K59" i="30" s="1"/>
  <c r="F59" i="30"/>
  <c r="G59" i="30" s="1"/>
  <c r="P58" i="30"/>
  <c r="R58" i="30" s="1"/>
  <c r="N58" i="30"/>
  <c r="O58" i="30" s="1"/>
  <c r="J58" i="30"/>
  <c r="K58" i="30" s="1"/>
  <c r="F58" i="30"/>
  <c r="G58" i="30" s="1"/>
  <c r="L57" i="30"/>
  <c r="N57" i="30" s="1"/>
  <c r="O57" i="30" s="1"/>
  <c r="H57" i="30"/>
  <c r="P57" i="30" s="1"/>
  <c r="R57" i="30" s="1"/>
  <c r="D57" i="30"/>
  <c r="F57" i="30" s="1"/>
  <c r="G57" i="30" s="1"/>
  <c r="P55" i="30"/>
  <c r="R55" i="30" s="1"/>
  <c r="N55" i="30"/>
  <c r="O55" i="30" s="1"/>
  <c r="J55" i="30"/>
  <c r="K55" i="30" s="1"/>
  <c r="F55" i="30"/>
  <c r="G55" i="30" s="1"/>
  <c r="P54" i="30"/>
  <c r="R54" i="30" s="1"/>
  <c r="N54" i="30"/>
  <c r="O54" i="30" s="1"/>
  <c r="J54" i="30"/>
  <c r="K54" i="30" s="1"/>
  <c r="F54" i="30"/>
  <c r="G54" i="30" s="1"/>
  <c r="P53" i="30"/>
  <c r="R53" i="30" s="1"/>
  <c r="N53" i="30"/>
  <c r="O53" i="30" s="1"/>
  <c r="J53" i="30"/>
  <c r="K53" i="30" s="1"/>
  <c r="F53" i="30"/>
  <c r="G53" i="30" s="1"/>
  <c r="P52" i="30"/>
  <c r="R52" i="30" s="1"/>
  <c r="N52" i="30"/>
  <c r="O52" i="30" s="1"/>
  <c r="J52" i="30"/>
  <c r="K52" i="30" s="1"/>
  <c r="F52" i="30"/>
  <c r="G52" i="30" s="1"/>
  <c r="P51" i="30"/>
  <c r="R51" i="30" s="1"/>
  <c r="N51" i="30"/>
  <c r="J51" i="30"/>
  <c r="F51" i="30"/>
  <c r="P50" i="30"/>
  <c r="R50" i="30" s="1"/>
  <c r="N50" i="30"/>
  <c r="O50" i="30" s="1"/>
  <c r="K50" i="30"/>
  <c r="J50" i="30"/>
  <c r="F50" i="30"/>
  <c r="G50" i="30" s="1"/>
  <c r="R49" i="30"/>
  <c r="P49" i="30"/>
  <c r="N49" i="30"/>
  <c r="O49" i="30" s="1"/>
  <c r="J49" i="30"/>
  <c r="K49" i="30" s="1"/>
  <c r="F49" i="30"/>
  <c r="G49" i="30" s="1"/>
  <c r="P48" i="30"/>
  <c r="R48" i="30" s="1"/>
  <c r="N48" i="30"/>
  <c r="O48" i="30" s="1"/>
  <c r="J48" i="30"/>
  <c r="K48" i="30" s="1"/>
  <c r="F48" i="30"/>
  <c r="G48" i="30" s="1"/>
  <c r="L47" i="30"/>
  <c r="N47" i="30" s="1"/>
  <c r="O47" i="30" s="1"/>
  <c r="H47" i="30"/>
  <c r="P47" i="30" s="1"/>
  <c r="R47" i="30" s="1"/>
  <c r="D47" i="30"/>
  <c r="F47" i="30" s="1"/>
  <c r="G47" i="30" s="1"/>
  <c r="P46" i="30"/>
  <c r="R46" i="30" s="1"/>
  <c r="N46" i="30"/>
  <c r="O46" i="30" s="1"/>
  <c r="J46" i="30"/>
  <c r="K46" i="30" s="1"/>
  <c r="F46" i="30"/>
  <c r="G46" i="30" s="1"/>
  <c r="P45" i="30"/>
  <c r="R45" i="30" s="1"/>
  <c r="N45" i="30"/>
  <c r="O45" i="30" s="1"/>
  <c r="J45" i="30"/>
  <c r="K45" i="30" s="1"/>
  <c r="F45" i="30"/>
  <c r="G45" i="30" s="1"/>
  <c r="P44" i="30"/>
  <c r="R44" i="30" s="1"/>
  <c r="N44" i="30"/>
  <c r="J44" i="30"/>
  <c r="F44" i="30"/>
  <c r="P43" i="30"/>
  <c r="R43" i="30" s="1"/>
  <c r="N43" i="30"/>
  <c r="O43" i="30" s="1"/>
  <c r="J43" i="30"/>
  <c r="K43" i="30" s="1"/>
  <c r="F43" i="30"/>
  <c r="G43" i="30" s="1"/>
  <c r="P42" i="30"/>
  <c r="R42" i="30" s="1"/>
  <c r="N42" i="30"/>
  <c r="O42" i="30" s="1"/>
  <c r="J42" i="30"/>
  <c r="K42" i="30" s="1"/>
  <c r="F42" i="30"/>
  <c r="G42" i="30" s="1"/>
  <c r="P41" i="30"/>
  <c r="R41" i="30" s="1"/>
  <c r="N41" i="30"/>
  <c r="O41" i="30" s="1"/>
  <c r="J41" i="30"/>
  <c r="K41" i="30" s="1"/>
  <c r="F41" i="30"/>
  <c r="G41" i="30" s="1"/>
  <c r="P40" i="30"/>
  <c r="R40" i="30" s="1"/>
  <c r="N40" i="30"/>
  <c r="O40" i="30" s="1"/>
  <c r="J40" i="30"/>
  <c r="K40" i="30" s="1"/>
  <c r="F40" i="30"/>
  <c r="G40" i="30" s="1"/>
  <c r="P39" i="30"/>
  <c r="R39" i="30" s="1"/>
  <c r="N39" i="30"/>
  <c r="O39" i="30" s="1"/>
  <c r="J39" i="30"/>
  <c r="K39" i="30" s="1"/>
  <c r="F39" i="30"/>
  <c r="G39" i="30" s="1"/>
  <c r="P38" i="30"/>
  <c r="R38" i="30" s="1"/>
  <c r="N38" i="30"/>
  <c r="O38" i="30" s="1"/>
  <c r="J38" i="30"/>
  <c r="K38" i="30" s="1"/>
  <c r="F38" i="30"/>
  <c r="G38" i="30" s="1"/>
  <c r="P37" i="30"/>
  <c r="R37" i="30" s="1"/>
  <c r="N37" i="30"/>
  <c r="O37" i="30" s="1"/>
  <c r="J37" i="30"/>
  <c r="K37" i="30" s="1"/>
  <c r="F37" i="30"/>
  <c r="G37" i="30" s="1"/>
  <c r="P36" i="30"/>
  <c r="R36" i="30" s="1"/>
  <c r="N36" i="30"/>
  <c r="O36" i="30" s="1"/>
  <c r="J36" i="30"/>
  <c r="K36" i="30" s="1"/>
  <c r="F36" i="30"/>
  <c r="G36" i="30" s="1"/>
  <c r="P35" i="30"/>
  <c r="R35" i="30" s="1"/>
  <c r="N35" i="30"/>
  <c r="O35" i="30" s="1"/>
  <c r="J35" i="30"/>
  <c r="K35" i="30" s="1"/>
  <c r="F35" i="30"/>
  <c r="G35" i="30" s="1"/>
  <c r="P34" i="30"/>
  <c r="R34" i="30" s="1"/>
  <c r="N34" i="30"/>
  <c r="J34" i="30"/>
  <c r="F34" i="30"/>
  <c r="P33" i="30"/>
  <c r="R33" i="30" s="1"/>
  <c r="N33" i="30"/>
  <c r="J33" i="30"/>
  <c r="F33" i="30"/>
  <c r="P32" i="30"/>
  <c r="R32" i="30" s="1"/>
  <c r="N32" i="30"/>
  <c r="J32" i="30"/>
  <c r="F32" i="30"/>
  <c r="P31" i="30"/>
  <c r="R31" i="30" s="1"/>
  <c r="N31" i="30"/>
  <c r="O31" i="30" s="1"/>
  <c r="J31" i="30"/>
  <c r="K31" i="30" s="1"/>
  <c r="F31" i="30"/>
  <c r="G31" i="30" s="1"/>
  <c r="L30" i="30"/>
  <c r="N30" i="30" s="1"/>
  <c r="O30" i="30" s="1"/>
  <c r="H30" i="30"/>
  <c r="J30" i="30" s="1"/>
  <c r="K30" i="30" s="1"/>
  <c r="D30" i="30"/>
  <c r="F30" i="30" s="1"/>
  <c r="G30" i="30" s="1"/>
  <c r="P29" i="30"/>
  <c r="R29" i="30" s="1"/>
  <c r="N29" i="30"/>
  <c r="O29" i="30" s="1"/>
  <c r="J29" i="30"/>
  <c r="K29" i="30" s="1"/>
  <c r="F29" i="30"/>
  <c r="G29" i="30" s="1"/>
  <c r="P28" i="30"/>
  <c r="R28" i="30" s="1"/>
  <c r="N28" i="30"/>
  <c r="O28" i="30" s="1"/>
  <c r="J28" i="30"/>
  <c r="K28" i="30" s="1"/>
  <c r="F28" i="30"/>
  <c r="G28" i="30" s="1"/>
  <c r="P27" i="30"/>
  <c r="R27" i="30" s="1"/>
  <c r="N27" i="30"/>
  <c r="O27" i="30" s="1"/>
  <c r="J27" i="30"/>
  <c r="K27" i="30" s="1"/>
  <c r="F27" i="30"/>
  <c r="G27" i="30" s="1"/>
  <c r="P26" i="30"/>
  <c r="R26" i="30" s="1"/>
  <c r="N26" i="30"/>
  <c r="O26" i="30" s="1"/>
  <c r="J26" i="30"/>
  <c r="K26" i="30" s="1"/>
  <c r="F26" i="30"/>
  <c r="G26" i="30" s="1"/>
  <c r="P25" i="30"/>
  <c r="R25" i="30" s="1"/>
  <c r="N25" i="30"/>
  <c r="O25" i="30" s="1"/>
  <c r="J25" i="30"/>
  <c r="K25" i="30" s="1"/>
  <c r="F25" i="30"/>
  <c r="G25" i="30" s="1"/>
  <c r="P24" i="30"/>
  <c r="R24" i="30" s="1"/>
  <c r="N24" i="30"/>
  <c r="O24" i="30" s="1"/>
  <c r="J24" i="30"/>
  <c r="K24" i="30" s="1"/>
  <c r="F24" i="30"/>
  <c r="G24" i="30" s="1"/>
  <c r="P23" i="30"/>
  <c r="R23" i="30" s="1"/>
  <c r="N23" i="30"/>
  <c r="O23" i="30" s="1"/>
  <c r="J23" i="30"/>
  <c r="K23" i="30" s="1"/>
  <c r="F23" i="30"/>
  <c r="G23" i="30" s="1"/>
  <c r="R22" i="30"/>
  <c r="P22" i="30"/>
  <c r="N22" i="30"/>
  <c r="O22" i="30" s="1"/>
  <c r="J22" i="30"/>
  <c r="K22" i="30" s="1"/>
  <c r="F22" i="30"/>
  <c r="G22" i="30" s="1"/>
  <c r="P21" i="30"/>
  <c r="R21" i="30" s="1"/>
  <c r="N21" i="30"/>
  <c r="O21" i="30" s="1"/>
  <c r="J21" i="30"/>
  <c r="K21" i="30" s="1"/>
  <c r="F21" i="30"/>
  <c r="G21" i="30" s="1"/>
  <c r="P20" i="30"/>
  <c r="R20" i="30" s="1"/>
  <c r="N20" i="30"/>
  <c r="O20" i="30" s="1"/>
  <c r="K20" i="30"/>
  <c r="J20" i="30"/>
  <c r="F20" i="30"/>
  <c r="G20" i="30" s="1"/>
  <c r="P19" i="30"/>
  <c r="R19" i="30" s="1"/>
  <c r="N19" i="30"/>
  <c r="O19" i="30" s="1"/>
  <c r="J19" i="30"/>
  <c r="K19" i="30" s="1"/>
  <c r="F19" i="30"/>
  <c r="G19" i="30" s="1"/>
  <c r="P18" i="30"/>
  <c r="R18" i="30" s="1"/>
  <c r="N18" i="30"/>
  <c r="O18" i="30" s="1"/>
  <c r="J18" i="30"/>
  <c r="K18" i="30" s="1"/>
  <c r="F18" i="30"/>
  <c r="G18" i="30" s="1"/>
  <c r="P17" i="30"/>
  <c r="R17" i="30" s="1"/>
  <c r="N17" i="30"/>
  <c r="O17" i="30" s="1"/>
  <c r="J17" i="30"/>
  <c r="K17" i="30" s="1"/>
  <c r="F17" i="30"/>
  <c r="G17" i="30" s="1"/>
  <c r="P16" i="30"/>
  <c r="R16" i="30" s="1"/>
  <c r="N16" i="30"/>
  <c r="O16" i="30" s="1"/>
  <c r="J16" i="30"/>
  <c r="K16" i="30" s="1"/>
  <c r="F16" i="30"/>
  <c r="G16" i="30" s="1"/>
  <c r="P15" i="30"/>
  <c r="R15" i="30" s="1"/>
  <c r="N15" i="30"/>
  <c r="O15" i="30" s="1"/>
  <c r="J15" i="30"/>
  <c r="K15" i="30" s="1"/>
  <c r="F15" i="30"/>
  <c r="G15" i="30" s="1"/>
  <c r="P14" i="30"/>
  <c r="R14" i="30" s="1"/>
  <c r="N14" i="30"/>
  <c r="O14" i="30" s="1"/>
  <c r="K14" i="30"/>
  <c r="J14" i="30"/>
  <c r="F14" i="30"/>
  <c r="G14" i="30" s="1"/>
  <c r="P13" i="30"/>
  <c r="R13" i="30" s="1"/>
  <c r="N13" i="30"/>
  <c r="O13" i="30" s="1"/>
  <c r="J13" i="30"/>
  <c r="K13" i="30" s="1"/>
  <c r="F13" i="30"/>
  <c r="G13" i="30" s="1"/>
  <c r="P12" i="30"/>
  <c r="R12" i="30" s="1"/>
  <c r="N12" i="30"/>
  <c r="O12" i="30" s="1"/>
  <c r="J12" i="30"/>
  <c r="K12" i="30" s="1"/>
  <c r="F12" i="30"/>
  <c r="G12" i="30" s="1"/>
  <c r="P11" i="30"/>
  <c r="R11" i="30" s="1"/>
  <c r="N11" i="30"/>
  <c r="O11" i="30" s="1"/>
  <c r="J11" i="30"/>
  <c r="K11" i="30" s="1"/>
  <c r="F11" i="30"/>
  <c r="G11" i="30" s="1"/>
  <c r="P10" i="30"/>
  <c r="R10" i="30" s="1"/>
  <c r="N10" i="30"/>
  <c r="O10" i="30" s="1"/>
  <c r="J10" i="30"/>
  <c r="K10" i="30" s="1"/>
  <c r="F10" i="30"/>
  <c r="G10" i="30" s="1"/>
  <c r="P9" i="30"/>
  <c r="R9" i="30" s="1"/>
  <c r="N9" i="30"/>
  <c r="O9" i="30" s="1"/>
  <c r="J9" i="30"/>
  <c r="K9" i="30" s="1"/>
  <c r="F9" i="30"/>
  <c r="G9" i="30" s="1"/>
  <c r="P8" i="30"/>
  <c r="R8" i="30" s="1"/>
  <c r="N8" i="30"/>
  <c r="O8" i="30" s="1"/>
  <c r="J8" i="30"/>
  <c r="K8" i="30" s="1"/>
  <c r="F8" i="30"/>
  <c r="G8" i="30" s="1"/>
  <c r="P7" i="30"/>
  <c r="R7" i="30" s="1"/>
  <c r="N7" i="30"/>
  <c r="O7" i="30" s="1"/>
  <c r="J7" i="30"/>
  <c r="K7" i="30" s="1"/>
  <c r="F7" i="30"/>
  <c r="G7" i="30" s="1"/>
  <c r="R6" i="30"/>
  <c r="P6" i="30"/>
  <c r="N6" i="30"/>
  <c r="O6" i="30" s="1"/>
  <c r="J6" i="30"/>
  <c r="K6" i="30" s="1"/>
  <c r="F6" i="30"/>
  <c r="G6" i="30" s="1"/>
  <c r="P5" i="30"/>
  <c r="R5" i="30" s="1"/>
  <c r="N5" i="30"/>
  <c r="O5" i="30" s="1"/>
  <c r="J5" i="30"/>
  <c r="K5" i="30" s="1"/>
  <c r="F5" i="30"/>
  <c r="G5" i="30" s="1"/>
  <c r="L4" i="30"/>
  <c r="H4" i="30"/>
  <c r="P4" i="30" s="1"/>
  <c r="R4" i="30" s="1"/>
  <c r="D4" i="30"/>
  <c r="C3" i="30"/>
  <c r="G21" i="29"/>
  <c r="C21" i="29"/>
  <c r="V20" i="29"/>
  <c r="V21" i="29" s="1"/>
  <c r="U20" i="29"/>
  <c r="U21" i="29" s="1"/>
  <c r="T20" i="29"/>
  <c r="T21" i="29" s="1"/>
  <c r="S20" i="29"/>
  <c r="S21" i="29" s="1"/>
  <c r="R20" i="29"/>
  <c r="R21" i="29" s="1"/>
  <c r="Q20" i="29"/>
  <c r="Q21" i="29" s="1"/>
  <c r="P20" i="29"/>
  <c r="P21" i="29" s="1"/>
  <c r="O20" i="29"/>
  <c r="O21" i="29" s="1"/>
  <c r="N20" i="29"/>
  <c r="N21" i="29" s="1"/>
  <c r="K20" i="29"/>
  <c r="K21" i="29" s="1"/>
  <c r="J20" i="29"/>
  <c r="J21" i="29" s="1"/>
  <c r="F20" i="29"/>
  <c r="F21" i="29" s="1"/>
  <c r="B20" i="29"/>
  <c r="B21" i="29" s="1"/>
  <c r="M19" i="29"/>
  <c r="L19" i="29"/>
  <c r="I19" i="29"/>
  <c r="H19" i="29"/>
  <c r="E19" i="29"/>
  <c r="D19" i="29"/>
  <c r="M18" i="29"/>
  <c r="L18" i="29"/>
  <c r="I18" i="29"/>
  <c r="H18" i="29"/>
  <c r="E18" i="29"/>
  <c r="D18" i="29"/>
  <c r="M17" i="29"/>
  <c r="L17" i="29"/>
  <c r="I17" i="29"/>
  <c r="H17" i="29"/>
  <c r="E17" i="29"/>
  <c r="D17" i="29"/>
  <c r="M16" i="29"/>
  <c r="L16" i="29"/>
  <c r="I16" i="29"/>
  <c r="H16" i="29"/>
  <c r="E16" i="29"/>
  <c r="D16" i="29"/>
  <c r="M15" i="29"/>
  <c r="L15" i="29"/>
  <c r="I15" i="29"/>
  <c r="H15" i="29"/>
  <c r="E15" i="29"/>
  <c r="D15" i="29"/>
  <c r="M14" i="29"/>
  <c r="L14" i="29"/>
  <c r="I14" i="29"/>
  <c r="H14" i="29"/>
  <c r="E14" i="29"/>
  <c r="D14" i="29"/>
  <c r="M13" i="29"/>
  <c r="L13" i="29"/>
  <c r="I13" i="29"/>
  <c r="H13" i="29"/>
  <c r="E13" i="29"/>
  <c r="D13" i="29"/>
  <c r="M12" i="29"/>
  <c r="L12" i="29"/>
  <c r="I12" i="29"/>
  <c r="H12" i="29"/>
  <c r="E12" i="29"/>
  <c r="D12" i="29"/>
  <c r="M11" i="29"/>
  <c r="L11" i="29"/>
  <c r="I11" i="29"/>
  <c r="H11" i="29"/>
  <c r="E11" i="29"/>
  <c r="D11" i="29"/>
  <c r="M10" i="29"/>
  <c r="L10" i="29"/>
  <c r="I10" i="29"/>
  <c r="H10" i="29"/>
  <c r="E10" i="29"/>
  <c r="D10" i="29"/>
  <c r="M9" i="29"/>
  <c r="L9" i="29"/>
  <c r="I9" i="29"/>
  <c r="H9" i="29"/>
  <c r="E9" i="29"/>
  <c r="D9" i="29"/>
  <c r="M8" i="29"/>
  <c r="L8" i="29"/>
  <c r="I8" i="29"/>
  <c r="H8" i="29"/>
  <c r="E8" i="29"/>
  <c r="D8" i="29"/>
  <c r="M7" i="29"/>
  <c r="L7" i="29"/>
  <c r="I7" i="29"/>
  <c r="H7" i="29"/>
  <c r="E7" i="29"/>
  <c r="D7" i="29"/>
  <c r="M6" i="29"/>
  <c r="L6" i="29"/>
  <c r="I6" i="29"/>
  <c r="H6" i="29"/>
  <c r="E6" i="29"/>
  <c r="D6" i="29"/>
  <c r="M5" i="29"/>
  <c r="L5" i="29"/>
  <c r="I5" i="29"/>
  <c r="H5" i="29"/>
  <c r="E5" i="29"/>
  <c r="D5" i="29"/>
  <c r="M4" i="29"/>
  <c r="L4" i="29"/>
  <c r="I4" i="29"/>
  <c r="H4" i="29"/>
  <c r="E4" i="29"/>
  <c r="D4" i="29"/>
  <c r="M3" i="29"/>
  <c r="L3" i="29"/>
  <c r="I3" i="29"/>
  <c r="E3" i="29"/>
  <c r="D3" i="29"/>
  <c r="P204" i="30" l="1"/>
  <c r="R204" i="30" s="1"/>
  <c r="J166" i="30"/>
  <c r="K166" i="30" s="1"/>
  <c r="J150" i="30"/>
  <c r="K150" i="30" s="1"/>
  <c r="J138" i="30"/>
  <c r="K138" i="30" s="1"/>
  <c r="J119" i="30"/>
  <c r="K119" i="30" s="1"/>
  <c r="J47" i="30"/>
  <c r="K47" i="30" s="1"/>
  <c r="D3" i="30"/>
  <c r="F3" i="30" s="1"/>
  <c r="G3" i="30" s="1"/>
  <c r="L3" i="30"/>
  <c r="N3" i="30" s="1"/>
  <c r="O3" i="30" s="1"/>
  <c r="J57" i="30"/>
  <c r="K57" i="30" s="1"/>
  <c r="N68" i="30"/>
  <c r="O68" i="30" s="1"/>
  <c r="J4" i="30"/>
  <c r="K4" i="30" s="1"/>
  <c r="P181" i="30"/>
  <c r="R181" i="30" s="1"/>
  <c r="J246" i="30"/>
  <c r="K246" i="30" s="1"/>
  <c r="H3" i="30"/>
  <c r="J3" i="30" s="1"/>
  <c r="K3" i="30" s="1"/>
  <c r="H20" i="29"/>
  <c r="E20" i="29"/>
  <c r="I20" i="29"/>
  <c r="N8" i="33"/>
  <c r="M20" i="31"/>
  <c r="I20" i="31"/>
  <c r="E20" i="31"/>
  <c r="G9" i="32"/>
  <c r="L9" i="32"/>
  <c r="D9" i="32"/>
  <c r="I9" i="32"/>
  <c r="F9" i="32"/>
  <c r="V22" i="33"/>
  <c r="X9" i="33" s="1"/>
  <c r="W6" i="33"/>
  <c r="W10" i="33"/>
  <c r="W14" i="33"/>
  <c r="W18" i="33"/>
  <c r="V21" i="33"/>
  <c r="N9" i="32"/>
  <c r="C9" i="32"/>
  <c r="F21" i="31"/>
  <c r="D20" i="31"/>
  <c r="H20" i="31"/>
  <c r="L20" i="31"/>
  <c r="B21" i="31"/>
  <c r="J21" i="31"/>
  <c r="F4" i="30"/>
  <c r="G4" i="30" s="1"/>
  <c r="N4" i="30"/>
  <c r="O4" i="30" s="1"/>
  <c r="P87" i="30"/>
  <c r="R87" i="30" s="1"/>
  <c r="P30" i="30"/>
  <c r="R30" i="30" s="1"/>
  <c r="P74" i="30"/>
  <c r="R74" i="30" s="1"/>
  <c r="F87" i="30"/>
  <c r="G87" i="30" s="1"/>
  <c r="N87" i="30"/>
  <c r="O87" i="30" s="1"/>
  <c r="D21" i="29"/>
  <c r="E21" i="29"/>
  <c r="L21" i="29"/>
  <c r="M21" i="29"/>
  <c r="I21" i="29"/>
  <c r="H21" i="29"/>
  <c r="L20" i="29"/>
  <c r="D20" i="29"/>
  <c r="M20" i="29"/>
  <c r="P3" i="30" l="1"/>
  <c r="R3" i="30" s="1"/>
  <c r="X15" i="33"/>
  <c r="X13" i="33"/>
  <c r="X22" i="33"/>
  <c r="X20" i="33"/>
  <c r="X16" i="33"/>
  <c r="X12" i="33"/>
  <c r="X8" i="33"/>
  <c r="X4" i="33"/>
  <c r="W22" i="33"/>
  <c r="X7" i="33"/>
  <c r="X21" i="33"/>
  <c r="W21" i="33"/>
  <c r="X6" i="33"/>
  <c r="X17" i="33"/>
  <c r="X19" i="33"/>
  <c r="X10" i="33"/>
  <c r="X18" i="33"/>
  <c r="X5" i="33"/>
  <c r="X14" i="33"/>
  <c r="X11" i="33"/>
  <c r="M21" i="31"/>
  <c r="L21" i="31"/>
  <c r="E21" i="31"/>
  <c r="D21" i="31"/>
  <c r="I21" i="31"/>
  <c r="H21" i="31"/>
  <c r="I575" i="25" l="1"/>
  <c r="L575" i="25"/>
  <c r="J575" i="25"/>
  <c r="H575" i="25"/>
  <c r="N23" i="27" l="1"/>
  <c r="L23" i="27"/>
  <c r="J23" i="27"/>
  <c r="I23" i="27"/>
  <c r="H23" i="27"/>
  <c r="P135" i="25" l="1"/>
  <c r="O135" i="25"/>
  <c r="N135" i="25"/>
  <c r="N575" i="25" s="1"/>
</calcChain>
</file>

<file path=xl/comments1.xml><?xml version="1.0" encoding="utf-8"?>
<comments xmlns="http://schemas.openxmlformats.org/spreadsheetml/2006/main">
  <authors>
    <author>이은경</author>
  </authors>
  <commentList>
    <comment ref="Q3" authorId="0" shapeId="0">
      <text>
        <r>
          <rPr>
            <b/>
            <sz val="9"/>
            <color indexed="81"/>
            <rFont val="돋움"/>
            <family val="3"/>
            <charset val="129"/>
          </rPr>
          <t>모두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부분폐관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스크린임</t>
        </r>
      </text>
    </comment>
  </commentList>
</comments>
</file>

<file path=xl/comments2.xml><?xml version="1.0" encoding="utf-8"?>
<comments xmlns="http://schemas.openxmlformats.org/spreadsheetml/2006/main">
  <authors>
    <author>이은경</author>
  </authors>
  <commentList>
    <comment ref="C7" authorId="0" shapeId="0">
      <text>
        <r>
          <rPr>
            <sz val="9"/>
            <color indexed="81"/>
            <rFont val="Tahoma"/>
            <family val="2"/>
          </rPr>
          <t>ScreenX 44
SphereX 2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 xml:space="preserve">MX 4D 1
Super 4D 10
</t>
        </r>
      </text>
    </comment>
    <comment ref="F23" authorId="0" shapeId="0">
      <text>
        <r>
          <rPr>
            <sz val="9"/>
            <color indexed="81"/>
            <rFont val="Tahoma"/>
            <family val="2"/>
          </rPr>
          <t xml:space="preserve">Recliner 18
</t>
        </r>
        <r>
          <rPr>
            <sz val="9"/>
            <color indexed="81"/>
            <rFont val="돋움"/>
            <family val="3"/>
            <charset val="129"/>
          </rPr>
          <t>밥</t>
        </r>
        <r>
          <rPr>
            <sz val="9"/>
            <color indexed="81"/>
            <rFont val="Tahoma"/>
            <family val="2"/>
          </rPr>
          <t>.CINE 1</t>
        </r>
      </text>
    </comment>
  </commentList>
</comments>
</file>

<file path=xl/comments3.xml><?xml version="1.0" encoding="utf-8"?>
<comments xmlns="http://schemas.openxmlformats.org/spreadsheetml/2006/main">
  <authors>
    <author>이은경</author>
  </authors>
  <commentList>
    <comment ref="M122" authorId="0" shapeId="0">
      <text>
        <r>
          <rPr>
            <b/>
            <sz val="9"/>
            <color indexed="81"/>
            <rFont val="돋움"/>
            <family val="3"/>
            <charset val="129"/>
          </rPr>
          <t>독립영화전용관</t>
        </r>
      </text>
    </comment>
    <comment ref="M255" authorId="0" shapeId="0">
      <text>
        <r>
          <rPr>
            <b/>
            <sz val="9"/>
            <color indexed="81"/>
            <rFont val="돋움"/>
            <family val="3"/>
            <charset val="129"/>
          </rPr>
          <t>독립영화전용관</t>
        </r>
      </text>
    </comment>
    <comment ref="Q294" authorId="0" shapeId="0">
      <text>
        <r>
          <rPr>
            <b/>
            <sz val="9"/>
            <color indexed="81"/>
            <rFont val="돋움"/>
            <family val="3"/>
            <charset val="129"/>
          </rPr>
          <t>씨네</t>
        </r>
        <r>
          <rPr>
            <b/>
            <sz val="9"/>
            <color indexed="81"/>
            <rFont val="Tahoma"/>
            <family val="2"/>
          </rPr>
          <t xml:space="preserve">Q </t>
        </r>
        <r>
          <rPr>
            <b/>
            <sz val="9"/>
            <color indexed="81"/>
            <rFont val="돋움"/>
            <family val="3"/>
            <charset val="129"/>
          </rPr>
          <t>홈페이지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기준
</t>
        </r>
      </text>
    </comment>
    <comment ref="M497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독립영화전용관
</t>
        </r>
      </text>
    </comment>
    <comment ref="Q502" authorId="0" shapeId="0">
      <text>
        <r>
          <rPr>
            <b/>
            <sz val="9"/>
            <color indexed="81"/>
            <rFont val="돋움"/>
            <family val="3"/>
            <charset val="129"/>
          </rPr>
          <t>발권데이터 기준</t>
        </r>
      </text>
    </comment>
  </commentList>
</comments>
</file>

<file path=xl/comments4.xml><?xml version="1.0" encoding="utf-8"?>
<comments xmlns="http://schemas.openxmlformats.org/spreadsheetml/2006/main">
  <authors>
    <author>press@kobaff.org</author>
    <author>이은경</author>
  </authors>
  <commentList>
    <comment ref="I82" authorId="0" shapeId="0">
      <text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154+ </t>
        </r>
        <r>
          <rPr>
            <sz val="9"/>
            <color indexed="81"/>
            <rFont val="돋움"/>
            <family val="3"/>
            <charset val="129"/>
          </rPr>
          <t>프리미엄</t>
        </r>
        <r>
          <rPr>
            <sz val="9"/>
            <color indexed="81"/>
            <rFont val="Tahoma"/>
            <family val="2"/>
          </rPr>
          <t xml:space="preserve"> 12
</t>
        </r>
      </text>
    </comment>
    <comment ref="I1303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1886" authorId="1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장애인석 2석 포함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I2318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319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364" authorId="1" shapeId="0">
      <text>
        <r>
          <rPr>
            <sz val="9"/>
            <color indexed="81"/>
            <rFont val="돋움"/>
            <family val="3"/>
            <charset val="129"/>
          </rPr>
          <t>장애인석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관포함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I2365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436" authorId="1" shapeId="0">
      <text>
        <r>
          <rPr>
            <b/>
            <sz val="9"/>
            <color indexed="81"/>
            <rFont val="돋움"/>
            <family val="3"/>
            <charset val="129"/>
          </rPr>
          <t>휠체어석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460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석포함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461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466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석포함</t>
        </r>
      </text>
    </comment>
    <comment ref="I2467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730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가족실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731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960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961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970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971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3121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3124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3125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5.xml><?xml version="1.0" encoding="utf-8"?>
<comments xmlns="http://schemas.openxmlformats.org/spreadsheetml/2006/main">
  <authors>
    <author>이은경</author>
  </authors>
  <commentList>
    <comment ref="Q12" authorId="0" shapeId="0">
      <text>
        <r>
          <rPr>
            <b/>
            <sz val="9"/>
            <color indexed="81"/>
            <rFont val="돋움"/>
            <family val="3"/>
            <charset val="129"/>
          </rPr>
          <t>씨네</t>
        </r>
        <r>
          <rPr>
            <b/>
            <sz val="9"/>
            <color indexed="81"/>
            <rFont val="Tahoma"/>
            <family val="2"/>
          </rPr>
          <t xml:space="preserve">Q </t>
        </r>
        <r>
          <rPr>
            <b/>
            <sz val="9"/>
            <color indexed="81"/>
            <rFont val="돋움"/>
            <family val="3"/>
            <charset val="129"/>
          </rPr>
          <t>홈페이지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기준
</t>
        </r>
      </text>
    </comment>
  </commentList>
</comments>
</file>

<file path=xl/sharedStrings.xml><?xml version="1.0" encoding="utf-8"?>
<sst xmlns="http://schemas.openxmlformats.org/spreadsheetml/2006/main" count="44569" uniqueCount="3749">
  <si>
    <t>소재지</t>
  </si>
  <si>
    <t>영화관명</t>
  </si>
  <si>
    <t>홈페이지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</si>
  <si>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</si>
  <si>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</si>
  <si>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</si>
  <si>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</si>
  <si>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</si>
  <si>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</si>
  <si>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</si>
  <si>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</si>
  <si>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</si>
  <si>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</si>
  <si>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</si>
  <si>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</si>
  <si>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</si>
  <si>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</si>
  <si>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</si>
  <si>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</si>
  <si>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</si>
  <si>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</si>
  <si>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</si>
  <si>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</si>
  <si>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</si>
  <si>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</si>
  <si>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</si>
  <si>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</si>
  <si>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</si>
  <si>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서구</t>
  </si>
  <si>
    <t>동구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</si>
  <si>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</si>
  <si>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</si>
  <si>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</si>
  <si>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</si>
  <si>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</si>
  <si>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</si>
  <si>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</si>
  <si>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</si>
  <si>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사상구</t>
  </si>
  <si>
    <t>기장군</t>
  </si>
  <si>
    <t>수성구</t>
  </si>
  <si>
    <t>달서구</t>
  </si>
  <si>
    <t>달성군</t>
  </si>
  <si>
    <t>연수구</t>
  </si>
  <si>
    <t>남동구</t>
  </si>
  <si>
    <t>부평구</t>
  </si>
  <si>
    <t>계양구</t>
  </si>
  <si>
    <t>광산구</t>
  </si>
  <si>
    <t>유성구</t>
  </si>
  <si>
    <t>울주군</t>
  </si>
  <si>
    <t>세종시</t>
  </si>
  <si>
    <t>경기도</t>
  </si>
  <si>
    <t>수원시</t>
  </si>
  <si>
    <t>성남시</t>
  </si>
  <si>
    <t>의정부시</t>
  </si>
  <si>
    <t>안양시</t>
  </si>
  <si>
    <t>부천시</t>
  </si>
  <si>
    <t>광명시</t>
  </si>
  <si>
    <t>평택시</t>
  </si>
  <si>
    <t>동두천시</t>
  </si>
  <si>
    <t>안산시</t>
  </si>
  <si>
    <t>고양시</t>
  </si>
  <si>
    <t>구리시</t>
  </si>
  <si>
    <t>남양주시</t>
  </si>
  <si>
    <t>오산시</t>
  </si>
  <si>
    <t>시흥시</t>
  </si>
  <si>
    <t>군포시</t>
  </si>
  <si>
    <t>하남시</t>
  </si>
  <si>
    <t>용인시</t>
  </si>
  <si>
    <t>파주시</t>
  </si>
  <si>
    <t>이천시</t>
  </si>
  <si>
    <t>안성시</t>
  </si>
  <si>
    <t>김포시</t>
  </si>
  <si>
    <t>화성시</t>
  </si>
  <si>
    <t>광주시</t>
  </si>
  <si>
    <t>양주시</t>
  </si>
  <si>
    <t>양평군</t>
  </si>
  <si>
    <t>강원도</t>
  </si>
  <si>
    <t>춘천시</t>
  </si>
  <si>
    <t>원주시</t>
  </si>
  <si>
    <t>강릉시</t>
  </si>
  <si>
    <t>동해시</t>
  </si>
  <si>
    <t>속초시</t>
  </si>
  <si>
    <t>홍천군</t>
  </si>
  <si>
    <t>횡성군</t>
  </si>
  <si>
    <t>평창군</t>
  </si>
  <si>
    <t>양양군</t>
  </si>
  <si>
    <t>충청북도</t>
  </si>
  <si>
    <t>청주시</t>
  </si>
  <si>
    <t>충주시</t>
  </si>
  <si>
    <t>제천시</t>
  </si>
  <si>
    <t>진천군</t>
  </si>
  <si>
    <t>괴산군</t>
  </si>
  <si>
    <t>음성군</t>
  </si>
  <si>
    <t>충청남도</t>
  </si>
  <si>
    <t>천안시</t>
  </si>
  <si>
    <t>공주시</t>
  </si>
  <si>
    <t>보령시</t>
  </si>
  <si>
    <t>아산시</t>
  </si>
  <si>
    <t>서산시</t>
  </si>
  <si>
    <t>당진시</t>
  </si>
  <si>
    <t>부여군</t>
  </si>
  <si>
    <t>홍성군</t>
  </si>
  <si>
    <t>예산군</t>
  </si>
  <si>
    <t>태안군</t>
  </si>
  <si>
    <t>전라북도</t>
  </si>
  <si>
    <t>전주시</t>
  </si>
  <si>
    <t>군산시</t>
  </si>
  <si>
    <t>익산시</t>
  </si>
  <si>
    <t>정읍시</t>
  </si>
  <si>
    <t>진안군</t>
  </si>
  <si>
    <t>무주군</t>
  </si>
  <si>
    <t>장수군</t>
  </si>
  <si>
    <t>순창군</t>
  </si>
  <si>
    <t>고창군</t>
  </si>
  <si>
    <t>전라남도</t>
  </si>
  <si>
    <t>목포시</t>
  </si>
  <si>
    <t>여수시</t>
  </si>
  <si>
    <t>순천시</t>
  </si>
  <si>
    <t>나주시</t>
  </si>
  <si>
    <t>광양시</t>
  </si>
  <si>
    <t>구례군</t>
  </si>
  <si>
    <t>진도군</t>
  </si>
  <si>
    <t>경상북도</t>
  </si>
  <si>
    <t>포항시</t>
  </si>
  <si>
    <t>경주시</t>
  </si>
  <si>
    <t>김천시</t>
  </si>
  <si>
    <t>안동시</t>
  </si>
  <si>
    <t>구미시</t>
  </si>
  <si>
    <t>영주시</t>
  </si>
  <si>
    <t>문경시</t>
  </si>
  <si>
    <t>경산시</t>
  </si>
  <si>
    <t>영양군</t>
  </si>
  <si>
    <t>고령군</t>
  </si>
  <si>
    <t>예천군</t>
  </si>
  <si>
    <t>경상남도</t>
  </si>
  <si>
    <t>창원시</t>
  </si>
  <si>
    <t>진주시</t>
  </si>
  <si>
    <t>통영시</t>
  </si>
  <si>
    <t>사천시</t>
  </si>
  <si>
    <t>김해시</t>
  </si>
  <si>
    <t>밀양시</t>
  </si>
  <si>
    <t>거제시</t>
  </si>
  <si>
    <t>양산시</t>
  </si>
  <si>
    <t>남해군</t>
  </si>
  <si>
    <t>거창군</t>
  </si>
  <si>
    <t>합천군</t>
  </si>
  <si>
    <t>제주시</t>
  </si>
  <si>
    <t>서귀포시</t>
  </si>
  <si>
    <t>서울아트시네마</t>
  </si>
  <si>
    <t>직영</t>
  </si>
  <si>
    <t>1544-1122</t>
  </si>
  <si>
    <t>www.cgv.co.kr</t>
  </si>
  <si>
    <t>롯데시네마 에비뉴엘(명동)</t>
  </si>
  <si>
    <t>메가박스 동대문</t>
  </si>
  <si>
    <t>1544-8855</t>
  </si>
  <si>
    <t>www.lottecinema.co.kr</t>
  </si>
  <si>
    <t>1544-0070</t>
  </si>
  <si>
    <t>www.megabox.co.kr</t>
  </si>
  <si>
    <t>롯데시네마 건대입구</t>
  </si>
  <si>
    <t>위탁</t>
  </si>
  <si>
    <t>롯데시네마 청량리</t>
  </si>
  <si>
    <t>메가박스 상봉</t>
  </si>
  <si>
    <t>롯데시네마 수유</t>
  </si>
  <si>
    <t>롯데시네마 노원</t>
  </si>
  <si>
    <t>메가박스 신촌</t>
  </si>
  <si>
    <t>아트하우스모모</t>
  </si>
  <si>
    <t>필름포럼</t>
  </si>
  <si>
    <t>롯데시네마 합정</t>
  </si>
  <si>
    <t>롯데시네마 홍대입구</t>
  </si>
  <si>
    <t>메가박스 상암월드컵경기장</t>
  </si>
  <si>
    <t>메가박스 목동</t>
  </si>
  <si>
    <t>롯데시네마 가양</t>
  </si>
  <si>
    <t>롯데시네마 김포공항</t>
  </si>
  <si>
    <t>메가박스 마곡</t>
  </si>
  <si>
    <t>롯데시네마 신도림</t>
  </si>
  <si>
    <t>롯데시네마 독산</t>
  </si>
  <si>
    <t>롯데시네마 영등포</t>
  </si>
  <si>
    <t>메가박스 이수</t>
  </si>
  <si>
    <t>롯데시네마 서울대입구</t>
  </si>
  <si>
    <t>롯데시네마 신림</t>
  </si>
  <si>
    <t>메가박스 강남</t>
  </si>
  <si>
    <t>메가박스 센트럴</t>
  </si>
  <si>
    <t>메가박스 코엑스</t>
  </si>
  <si>
    <t>롯데시네마 강동</t>
  </si>
  <si>
    <t>1544-1533</t>
  </si>
  <si>
    <t>www.cineq.co.kr</t>
  </si>
  <si>
    <t>IMAX</t>
  </si>
  <si>
    <t>4DX</t>
  </si>
  <si>
    <t>광역단체</t>
  </si>
  <si>
    <t>기초단체</t>
  </si>
  <si>
    <t>개관일</t>
  </si>
  <si>
    <t>비고</t>
  </si>
  <si>
    <t>서울시</t>
  </si>
  <si>
    <t>인천시</t>
  </si>
  <si>
    <t>ScreenX</t>
  </si>
  <si>
    <t>부산시</t>
  </si>
  <si>
    <t>대구시</t>
  </si>
  <si>
    <t>대전시</t>
  </si>
  <si>
    <t>울산시</t>
  </si>
  <si>
    <t>제주도</t>
  </si>
  <si>
    <t>광주극장</t>
  </si>
  <si>
    <t>금성시네마</t>
  </si>
  <si>
    <t>02-3672-4232</t>
  </si>
  <si>
    <t>053-425-3553</t>
  </si>
  <si>
    <t>롯데시네마 경주</t>
  </si>
  <si>
    <t>롯데시네마 광주광산</t>
  </si>
  <si>
    <t>롯데시네마 광주터미널</t>
  </si>
  <si>
    <t>롯데시네마 구리아울렛</t>
  </si>
  <si>
    <t>롯데시네마 구미공단</t>
  </si>
  <si>
    <t>롯데시네마 군산나운</t>
  </si>
  <si>
    <t>롯데시네마 군산몰</t>
  </si>
  <si>
    <t>롯데시네마 김해부원</t>
  </si>
  <si>
    <t>롯데시네마 남원주</t>
  </si>
  <si>
    <t>롯데시네마 대구광장</t>
  </si>
  <si>
    <t>롯데시네마 대영</t>
  </si>
  <si>
    <t>롯데시네마 대전센트럴</t>
  </si>
  <si>
    <t>롯데시네마 동래</t>
  </si>
  <si>
    <t>롯데시네마 동성로</t>
  </si>
  <si>
    <t>롯데시네마 동해</t>
  </si>
  <si>
    <t>롯데시네마 라페스타(일산)</t>
  </si>
  <si>
    <t>롯데시네마 병점</t>
  </si>
  <si>
    <t>롯데시네마 부천(신중동역)</t>
  </si>
  <si>
    <t>롯데시네마 부평</t>
  </si>
  <si>
    <t>롯데시네마 부평역사</t>
  </si>
  <si>
    <t>롯데시네마 산본피트인</t>
  </si>
  <si>
    <t>롯데시네마 서귀포</t>
  </si>
  <si>
    <t>롯데시네마 서산</t>
  </si>
  <si>
    <t>롯데시네마 성남중앙</t>
  </si>
  <si>
    <t>롯데시네마 성서</t>
  </si>
  <si>
    <t>롯데시네마 센텀시티(백화점)</t>
  </si>
  <si>
    <t>롯데시네마 송탄</t>
  </si>
  <si>
    <t>롯데시네마 수완</t>
  </si>
  <si>
    <t xml:space="preserve">롯데시네마 수원 </t>
  </si>
  <si>
    <t>롯데시네마 시화</t>
  </si>
  <si>
    <t>롯데시네마 안성</t>
  </si>
  <si>
    <t>롯데시네마 안양(안양역)</t>
  </si>
  <si>
    <t>롯데시네마 안양일번가</t>
  </si>
  <si>
    <t>롯데시네마 영주</t>
  </si>
  <si>
    <t>롯데시네마 용인기흥</t>
  </si>
  <si>
    <t>롯데시네마 원주무실</t>
  </si>
  <si>
    <t>롯데시네마 위례</t>
  </si>
  <si>
    <t>롯데시네마 의정부민락</t>
  </si>
  <si>
    <t>롯데시네마 인천아시아드</t>
  </si>
  <si>
    <t>롯데시네마 인천터미널</t>
  </si>
  <si>
    <t>롯데시네마 전주평화</t>
  </si>
  <si>
    <t>롯데시네마 진접</t>
  </si>
  <si>
    <t>롯데시네마 창원</t>
  </si>
  <si>
    <t>롯데시네마 청주용암</t>
  </si>
  <si>
    <t>롯데시네마 파주운정</t>
  </si>
  <si>
    <t>롯데시네마 포항</t>
  </si>
  <si>
    <t>롯데시네마 향남</t>
  </si>
  <si>
    <t>메가박스 고양스타필드</t>
  </si>
  <si>
    <t>메가박스 공주</t>
  </si>
  <si>
    <t>메가박스 구미강동</t>
  </si>
  <si>
    <t>메가박스 김포한강신도시</t>
  </si>
  <si>
    <t>메가박스 남양주</t>
  </si>
  <si>
    <t>메가박스 남포항</t>
  </si>
  <si>
    <t>메가박스 대구신세계</t>
  </si>
  <si>
    <t>메가박스 대구이시아</t>
  </si>
  <si>
    <t>메가박스 대전</t>
  </si>
  <si>
    <t>메가박스 목포하당</t>
  </si>
  <si>
    <t>메가박스 부산극장</t>
  </si>
  <si>
    <t>메가박스 부산대</t>
  </si>
  <si>
    <t>메가박스 북대구(칠곡)</t>
  </si>
  <si>
    <t>메가박스 분당</t>
  </si>
  <si>
    <t>The Boutique Suite</t>
  </si>
  <si>
    <t>메가박스 삼천포</t>
  </si>
  <si>
    <t>메가박스 속초</t>
  </si>
  <si>
    <t>메가박스 수원</t>
  </si>
  <si>
    <t>메가박스 순천</t>
  </si>
  <si>
    <t>메가박스 안산중앙</t>
  </si>
  <si>
    <t>메가박스 양주</t>
  </si>
  <si>
    <t>메가박스 여수웅천</t>
  </si>
  <si>
    <t>메가박스 영종</t>
  </si>
  <si>
    <t>메가박스 영통</t>
  </si>
  <si>
    <t>메가박스 울산</t>
  </si>
  <si>
    <t>메가박스 원주</t>
  </si>
  <si>
    <t>메가박스 일산</t>
  </si>
  <si>
    <t>메가박스 전대(광주)</t>
  </si>
  <si>
    <t>메가박스 정관</t>
  </si>
  <si>
    <t>메가박스 제천</t>
  </si>
  <si>
    <t>메가박스 창원</t>
  </si>
  <si>
    <t>메가박스 천안</t>
  </si>
  <si>
    <t>메가박스 첨단</t>
  </si>
  <si>
    <t>메가박스 청라지젤</t>
  </si>
  <si>
    <t>메가박스 킨텍스</t>
  </si>
  <si>
    <t>메가박스 파주출판도시</t>
  </si>
  <si>
    <t>메가박스 하남스타필드</t>
  </si>
  <si>
    <t>메가박스 해운대(장산)</t>
  </si>
  <si>
    <t>문화극장</t>
  </si>
  <si>
    <t>밀양시네마</t>
  </si>
  <si>
    <t>061-852-7050</t>
  </si>
  <si>
    <t>boseong.scinema.org</t>
  </si>
  <si>
    <t>comulju.oneh.co.kr</t>
  </si>
  <si>
    <t>032-761-7177</t>
  </si>
  <si>
    <t>033-673-7050</t>
  </si>
  <si>
    <t>032-867-9168</t>
  </si>
  <si>
    <t>전주시네마타운</t>
  </si>
  <si>
    <t>www.hcine.kr</t>
  </si>
  <si>
    <t>현대예술관</t>
  </si>
  <si>
    <t>번호</t>
  </si>
  <si>
    <t>총 좌석수</t>
  </si>
  <si>
    <t>전화번호</t>
    <phoneticPr fontId="3" type="noConversion"/>
  </si>
  <si>
    <t xml:space="preserve">강남구 강남대로 438 (역삼동 814-6 스타플렉스) </t>
  </si>
  <si>
    <t>강남구 압구정로 30길 45 (신사동 603-2)</t>
  </si>
  <si>
    <t>강남구 도산대로 323 (신사동 651-21)</t>
  </si>
  <si>
    <t xml:space="preserve">서울시 </t>
  </si>
  <si>
    <t>메가박스 강남대로(씨티)</t>
  </si>
  <si>
    <t>강남구 강남대로 422 (역삼동 816-7)</t>
  </si>
  <si>
    <t>~</t>
  </si>
  <si>
    <t>강남구 봉은사로 524 코엑스몰 B1 (삼성동 159)</t>
  </si>
  <si>
    <t xml:space="preserve">강남구 </t>
  </si>
  <si>
    <t xml:space="preserve">롯데시네마 브로드웨이(신사) </t>
  </si>
  <si>
    <t xml:space="preserve">강남구 도산대로 8길 8 (논현동 3-5) </t>
  </si>
  <si>
    <t>(구)브로드웨이 극장</t>
  </si>
  <si>
    <t xml:space="preserve">서울시 </t>
    <phoneticPr fontId="3" type="noConversion"/>
  </si>
  <si>
    <t>~</t>
    <phoneticPr fontId="3" type="noConversion"/>
  </si>
  <si>
    <t xml:space="preserve">직영 </t>
  </si>
  <si>
    <t xml:space="preserve">강동구 양재대로 1571 홈플러스 4층 </t>
  </si>
  <si>
    <t>IMAX, ScreenX, SphereX</t>
  </si>
  <si>
    <t>강동구 천호옛길 85 (성내동 44-1)</t>
  </si>
  <si>
    <t>메가박스 강동</t>
  </si>
  <si>
    <t>강동구 성내로 48</t>
  </si>
  <si>
    <t>(구)CGV 강동</t>
  </si>
  <si>
    <t>강북구 도봉로 34, 9층 (미아동 35-4 트레지오 쇼핑몰 9층)</t>
  </si>
  <si>
    <t>강북구 도봉로 399 (수유동 168-12)</t>
  </si>
  <si>
    <t>(구)메가박스 수유</t>
  </si>
  <si>
    <t>강북구 도봉로 308, 10~14층</t>
  </si>
  <si>
    <t>강서구 양천로 476 (등촌동)</t>
  </si>
  <si>
    <t>강서구 하늘길 77 롯데몰 (방화동 하늘길 38)</t>
  </si>
  <si>
    <t>강서구 공항대로 247 퀸즈파크나인 B동 4층</t>
  </si>
  <si>
    <t xml:space="preserve">메가박스 화곡 </t>
  </si>
  <si>
    <t>강서구 화곡로 142 메가스퀘어 4층</t>
  </si>
  <si>
    <t>관악구 남부순환로 1820 (봉천동 862-1 에그옐로우 10층)</t>
  </si>
  <si>
    <t>(구)메가박스 서울대</t>
  </si>
  <si>
    <t>광진구 광나루로 56길 85 (구의동 546-4 테크노마트 10층)</t>
  </si>
  <si>
    <t>광진구 아차산로 30길 26</t>
  </si>
  <si>
    <t>광진구 아차산로 272 (자양동 227-7번지 스타시티 2층)</t>
  </si>
  <si>
    <t xml:space="preserve">메가박스 군자 </t>
  </si>
  <si>
    <t>광진구 능동로 289 (군자동)</t>
  </si>
  <si>
    <t>(구)CGV 군자</t>
  </si>
  <si>
    <t>구로구 구로중앙로 152 (구로동 573 애경백화점 5층)</t>
  </si>
  <si>
    <t>씨네Q 신도림</t>
  </si>
  <si>
    <t>구로구 새말로 97 신도림테크노마트 12층</t>
  </si>
  <si>
    <t xml:space="preserve">구로구 </t>
  </si>
  <si>
    <t>구로구 경인로 662 디큐브시티 7층 (신도림동 692)</t>
  </si>
  <si>
    <t xml:space="preserve">금천구 </t>
  </si>
  <si>
    <t xml:space="preserve">롯데시네마 가산디지털 </t>
  </si>
  <si>
    <t>금천구 디지털로 10길 9 현대아울렛쇼핑몰 (가산동)</t>
  </si>
  <si>
    <t>(구)롯데시네마 가산하이힐</t>
  </si>
  <si>
    <t xml:space="preserve">금천구 시흥대로 399 시티렉스 6층 </t>
  </si>
  <si>
    <t>노원구 동일로 204가길 12, 8층 (중계동 509-2)</t>
  </si>
  <si>
    <t>노원구 동일로 1414 롯데백화점 10층 (상계동 713)</t>
  </si>
  <si>
    <t xml:space="preserve">롯데시네마 수락산 </t>
  </si>
  <si>
    <t>노원구 동일로 1660</t>
  </si>
  <si>
    <t>메가박스 창동</t>
  </si>
  <si>
    <t>도봉구 도봉로 558(창동)</t>
  </si>
  <si>
    <t>동대문구 왕산로 214 (전농동)</t>
  </si>
  <si>
    <t>동작구 동작대로 89 골든시네마타워 7층 (사당1동 147-53)</t>
  </si>
  <si>
    <t xml:space="preserve">마포구 양화로 153 (동교동) 3층 </t>
  </si>
  <si>
    <t>마포구 양화로 45 메세나폴리스 2층 (합정동 481-1)</t>
  </si>
  <si>
    <t>마포구 양화로 176 와이즈파크 8층 (동교동166-6번지)</t>
  </si>
  <si>
    <t>2007-09-00</t>
  </si>
  <si>
    <t xml:space="preserve">마포구 </t>
  </si>
  <si>
    <t>마포구 월드컵로 240 월드컵몰 1층</t>
  </si>
  <si>
    <t>(구)CGV 상암</t>
  </si>
  <si>
    <t xml:space="preserve">서대문구 신촌로 129, 2층 (창천동 20-24, 20-25) </t>
  </si>
  <si>
    <t>서대문구 신촌역로 30 밀리오레 5층 (신촌동 74-12)</t>
  </si>
  <si>
    <t>Comfort</t>
  </si>
  <si>
    <t>www.cineart.co.kr</t>
  </si>
  <si>
    <t>cafe.naver.com/filmforum</t>
  </si>
  <si>
    <t>서초구 서초대로 77길 3 아라타워 8층 (서초동 1317-20)</t>
  </si>
  <si>
    <t>서초구 신반포로 176 센트럴시티빌딩 지하1층 (반포동 19-3)</t>
  </si>
  <si>
    <t>성동구 왕십리광장로 17, 5층 (행당동 왕십리 민자역사 4층~6층)</t>
  </si>
  <si>
    <t>cine.arirang.go.kr</t>
  </si>
  <si>
    <t>2004-05-01</t>
  </si>
  <si>
    <t xml:space="preserve">송파구 </t>
  </si>
  <si>
    <t xml:space="preserve">롯데시네마 월드타워 </t>
  </si>
  <si>
    <t>송파구 올림픽로 300 엔터동 5~11층</t>
  </si>
  <si>
    <t>메가박스 송파파크하비오</t>
  </si>
  <si>
    <t>송파구 송파대로 111, 204동 지하1층</t>
  </si>
  <si>
    <t>양천구 목동동로 309 행복한세상백화점 6층 (목동 917-6)</t>
  </si>
  <si>
    <t>영등포구 국제금융로 10, 지하3층 (여의도동 국제금융로 10)</t>
  </si>
  <si>
    <t>영등포구 영산로 15, 4층 (영등포동 4가 441-10번지 경방 타임스퀘어 4~7층)</t>
  </si>
  <si>
    <t>영등포구 경인로 102길 13 (영등포동 618-496)</t>
  </si>
  <si>
    <t>용산구 한강대로 23길 55, 6층 (한강로 3가 40-1 용산민자역사 6층)</t>
  </si>
  <si>
    <t xml:space="preserve">용산구 </t>
  </si>
  <si>
    <t>롯데시네마 용산</t>
  </si>
  <si>
    <t>용산구 청파로 3가 74 용산전자랜드 4~5층 (한강로 3가 16-9)</t>
  </si>
  <si>
    <t>은평구 불광로 20, 11층 (대조동 14-24 팜스퀘어 11층)</t>
  </si>
  <si>
    <t>롯데시네마 은평(롯데몰)</t>
  </si>
  <si>
    <t>은평구 진관동 79-31, 롯데몰 5층</t>
  </si>
  <si>
    <t>종로구 대명길 (명륜동 2가 41-9)</t>
  </si>
  <si>
    <t>CGV 아트하우스</t>
  </si>
  <si>
    <t>종로구 돈화문로 5가길 1 (돈의동 137)</t>
  </si>
  <si>
    <t>www.cinematheque.seoul.kr</t>
  </si>
  <si>
    <t>씨네큐브광화문</t>
  </si>
  <si>
    <t>중구 장충단로 13길 현대시티아울렛 11층</t>
  </si>
  <si>
    <t>중구 명동길 14 (명동2가 83-5번지 눈스퀘어 8층)</t>
  </si>
  <si>
    <t xml:space="preserve">중구 퇴계로 123 (충무로2가65-9 하이해리엇 10, 11층) </t>
  </si>
  <si>
    <t>대한극장</t>
  </si>
  <si>
    <t>중구 퇴계로 212 (충무로 4가 125)</t>
  </si>
  <si>
    <t>www.daehancinema.com</t>
  </si>
  <si>
    <t xml:space="preserve">중구 남대문로 2가 130 (소공동 에비뉴엘 6층, 7층) </t>
  </si>
  <si>
    <t>중구 장충단로 247 굿모닝시티 9층 (을지로 6가 21번지)</t>
  </si>
  <si>
    <t>중랑구 상봉로 131</t>
  </si>
  <si>
    <t>중랑구 망우로 30길 3 (상봉동 130-3번지)</t>
  </si>
  <si>
    <t>금정구 중앙대로 1607 (부곡동)</t>
  </si>
  <si>
    <t>(구)메가박스 오투</t>
  </si>
  <si>
    <t>금정구 장전로 12번길 55 (장전동 292-4)</t>
  </si>
  <si>
    <t>(구)CGV 부산대</t>
  </si>
  <si>
    <t>기장군 정관읍 정관중앙로 45, 9~11층</t>
  </si>
  <si>
    <t xml:space="preserve">위탁 </t>
  </si>
  <si>
    <t>기장군 정관읍 정관6로 39, 큐엠시네마타워 5층</t>
  </si>
  <si>
    <t xml:space="preserve">부산시 </t>
  </si>
  <si>
    <t xml:space="preserve">기장군 </t>
  </si>
  <si>
    <t>롯데시네마 동부산아울렛</t>
  </si>
  <si>
    <t>기장군 기장해안로 147 동부산롯데몰 3층</t>
  </si>
  <si>
    <t>남구 수영로 305, 5층 (대연동 73-15번지 스파크 5층)</t>
  </si>
  <si>
    <t>동래구 중앙대로 1523, 6층 (온천동 153-8 SK허브스카이 6층)</t>
  </si>
  <si>
    <t xml:space="preserve">동래구 중앙대로 1393 </t>
  </si>
  <si>
    <t>부산진구 동천로 4, 6층 (전포동 892-20 지오플레이스 6층)</t>
  </si>
  <si>
    <t>롯데시네마 부산본점</t>
  </si>
  <si>
    <t>부산진구 가야대로 772 롯데백화점 10층 (부전동 503-15)</t>
  </si>
  <si>
    <t>롯데시네마 서면(전포동)</t>
  </si>
  <si>
    <t>부산진구 동천로 92, 6층 (전포동 668-1번지)</t>
  </si>
  <si>
    <t xml:space="preserve">북구 </t>
  </si>
  <si>
    <t xml:space="preserve">북구 화명대로 16 (화명동 2275-1 센추리빌딩) </t>
  </si>
  <si>
    <t xml:space="preserve">(구)프리머스 화명 </t>
  </si>
  <si>
    <t xml:space="preserve">메가박스 덕천 </t>
  </si>
  <si>
    <t>북구 만덕대로 23 뉴코아아울렛 7~10층</t>
  </si>
  <si>
    <t xml:space="preserve">(구)프리머스 덕천 </t>
  </si>
  <si>
    <t>연제구 종합운동장로 7 (거제2동 1208번지 홈플러스)</t>
  </si>
  <si>
    <t>중구 비프광장로 37 (남포동 5가 12-1)</t>
  </si>
  <si>
    <t>(구)대영시네마</t>
  </si>
  <si>
    <t>중구 비프광장로 36 (남포동 5가 18)</t>
  </si>
  <si>
    <t>(구)부산극장</t>
  </si>
  <si>
    <t xml:space="preserve">중구 </t>
  </si>
  <si>
    <t xml:space="preserve">롯데시네마 광복 </t>
  </si>
  <si>
    <t xml:space="preserve">중구 중앙대로 2 마트/시네마동 9층 </t>
  </si>
  <si>
    <t>해운대구 센텀남대로 35, 7층 (우동 1495번지 신세계센텀시티 7층)</t>
  </si>
  <si>
    <t>해운대구 해운대로 620 (우동)</t>
  </si>
  <si>
    <t>해운대구 센텀남대로 50 롯데백화점 8층 (우동 센텀시티 1496)</t>
  </si>
  <si>
    <t xml:space="preserve">해운대구 해운대로 802, 7층 </t>
  </si>
  <si>
    <t xml:space="preserve">(구)프리머스 해운대 </t>
  </si>
  <si>
    <t>www.dureraum.org</t>
  </si>
  <si>
    <t>달서구 조암로 29, 4~7층</t>
  </si>
  <si>
    <t xml:space="preserve">롯데시네마 상인 </t>
  </si>
  <si>
    <t>달서구 월곡로 247 (상인동)</t>
  </si>
  <si>
    <t>달서구 성서로 414 (이곡동 1244-1)</t>
  </si>
  <si>
    <t>동구 팔공로 49길 16, 3층 (봉무동 1545 롯데몰13층)</t>
  </si>
  <si>
    <t>동구 안심로 80 (율하동 1117)</t>
  </si>
  <si>
    <t>(구)롯데시네마 율하</t>
  </si>
  <si>
    <t xml:space="preserve">동구 </t>
  </si>
  <si>
    <t>동구 동부로 149 신세계백화점</t>
  </si>
  <si>
    <t>(구)메가박스 동대구</t>
  </si>
  <si>
    <t xml:space="preserve">대구시 </t>
  </si>
  <si>
    <t>동구 팔공로 49길 51 메가백스타워 2층</t>
  </si>
  <si>
    <t>북구 동암로 90 (동천동 894-1번지 세븐밸리 5층)</t>
  </si>
  <si>
    <t xml:space="preserve">북구 학정로 422 태을빌딩 5층 (구암동 769-1) </t>
  </si>
  <si>
    <t>(구)롯데시네마 칠곡</t>
  </si>
  <si>
    <t>북구 동암로 100 (동천동 895-2)</t>
  </si>
  <si>
    <t xml:space="preserve">서구 달구벌대로 1691 엠프라자 4층 (내당동) </t>
  </si>
  <si>
    <t xml:space="preserve">수성구 </t>
  </si>
  <si>
    <t>수성구 지범로 191, 8층 (범물동 1273)</t>
  </si>
  <si>
    <t xml:space="preserve">(구)프리머스 수성 </t>
  </si>
  <si>
    <t>수성구 유니버시아드로 140 (대흥동 504번지)</t>
  </si>
  <si>
    <t>중구 중앙대로 412 (남일동)</t>
  </si>
  <si>
    <t xml:space="preserve">중구 동성로 39, 7층 (동성로 2가 88-2 씨네시티한일 7층) </t>
  </si>
  <si>
    <t>중구 달구벌대로 2077, 지하2층 (계산동 2가 200번지 지하2층)</t>
  </si>
  <si>
    <t>중구 동성로 2길 95</t>
  </si>
  <si>
    <t>중구 국채보상로 547 (종로1가)</t>
  </si>
  <si>
    <t>55cine.com</t>
  </si>
  <si>
    <t>계양구 장제로 738, 8층 (작전동 899-1 8~11층)</t>
  </si>
  <si>
    <t>(구)CGV인천터미널</t>
  </si>
  <si>
    <t>영화공간 주안</t>
  </si>
  <si>
    <t>www.cinespacejuan.com</t>
  </si>
  <si>
    <t>남동구 예술로 198, 4층 (구월동 1130 씨엔씨빌딩 4층)</t>
  </si>
  <si>
    <t>남동구 논현로 26번길34, 4층 (논현동 646-2 시네마타워4층)</t>
  </si>
  <si>
    <t xml:space="preserve">남동구 </t>
  </si>
  <si>
    <t xml:space="preserve">메가박스 인천논현 </t>
  </si>
  <si>
    <t>남동구 논고개로 61, 6층 (논현동 라피에스타)</t>
  </si>
  <si>
    <t>부평구 마장로 489 (청천동 386)</t>
  </si>
  <si>
    <t xml:space="preserve">인천시 </t>
  </si>
  <si>
    <t>부평구 대정로 66 (부평동 152-1)</t>
  </si>
  <si>
    <t>부평구 광장로 16 (부평동 738-21)</t>
  </si>
  <si>
    <t>서구 청라루비로 76 (경서동 스퀘어세븐 3~4층)</t>
  </si>
  <si>
    <t>서구 청라에메랄드로 99, 지젤M청라 4층</t>
  </si>
  <si>
    <t xml:space="preserve">서구 </t>
  </si>
  <si>
    <t>서구 봉수대로 806</t>
  </si>
  <si>
    <t xml:space="preserve">메가박스 검단 </t>
  </si>
  <si>
    <t xml:space="preserve">서구 서곶로 788 (당하동) 홀리랜드 4층 </t>
  </si>
  <si>
    <t>연수구 벚꽃로 106, 8층 (청학동, 연수광장프라자)</t>
  </si>
  <si>
    <t>연수구 청능대로 210, 4층 (동춘동 926 스퀘어원쇼핑몰 4층)</t>
  </si>
  <si>
    <t>메가박스 송도</t>
  </si>
  <si>
    <t>연수구 송도 과학로 16번길 33-4 트리플 스트리트 D동 2층</t>
  </si>
  <si>
    <t>중구 영종대로 184(운서동, 7층)</t>
  </si>
  <si>
    <t>애관극장</t>
  </si>
  <si>
    <t>www.aekwan.co.kr</t>
  </si>
  <si>
    <t>광산구 임방울대로 826번길, 2층 (쌍암동 667-9)</t>
  </si>
  <si>
    <t>광산구 용아로 400번길 30 테라스56 피크닉몰 2층</t>
  </si>
  <si>
    <t>광산구 무진대로 272-8</t>
  </si>
  <si>
    <t>광산구 장신로 98 롯데아울렛 (장신동)</t>
  </si>
  <si>
    <t>메가박스 광주하남</t>
  </si>
  <si>
    <t>광산구 풍영철길로 15 (우산동1587-1)</t>
  </si>
  <si>
    <t>(구)메가박스 콜럼버스 하남</t>
  </si>
  <si>
    <t>광산구 앰코로 35 (쌍암동 688-4)</t>
  </si>
  <si>
    <t xml:space="preserve">광주시 </t>
  </si>
  <si>
    <t>동구 중앙로 163 NC웨이브 11층</t>
  </si>
  <si>
    <t>cafe.naver.com/cinemagwangju/</t>
  </si>
  <si>
    <t>롯데시네마 광주(백화점)</t>
  </si>
  <si>
    <t>동구 독립로 268 롯데백화점 9층 (대인동 7-1)</t>
  </si>
  <si>
    <t xml:space="preserve">롯데시네마 충장로 </t>
  </si>
  <si>
    <t xml:space="preserve">동구 충장로안길 12 (황금동 12-2) </t>
  </si>
  <si>
    <t>북구 우치로 60 (중흥동 362-3)</t>
  </si>
  <si>
    <t xml:space="preserve">북구 문화소통로 170 (용봉동 17-1 굿모닝타운 4층) </t>
  </si>
  <si>
    <t>(구)롯데시네마 상무</t>
  </si>
  <si>
    <t>서구 무진대로 904, 2층~6층 (광천동 49-1 유스퀘어 2~6층)</t>
  </si>
  <si>
    <t>메가박스 광주상무</t>
  </si>
  <si>
    <t>서구 시청로 60번길 21-6 (치평동 1223-3)</t>
  </si>
  <si>
    <t>(구)메가박스 상무</t>
  </si>
  <si>
    <t>동구 동서대로 1689, 3층 (용전동 63-3, 68-2)</t>
  </si>
  <si>
    <t>www.cinei.org</t>
  </si>
  <si>
    <t xml:space="preserve">대전시 </t>
  </si>
  <si>
    <t xml:space="preserve">동구 은어송로 72, 4층 (가오동 72 홈플러스 4층) </t>
  </si>
  <si>
    <t>(구)롯데시네마 대전가오</t>
  </si>
  <si>
    <t>서구 문정로 85</t>
  </si>
  <si>
    <t>롯데시네마 대전(백화점)</t>
  </si>
  <si>
    <t>서구 계룡로 598 롯데백화점 10층 (괴정동 423-1)</t>
  </si>
  <si>
    <t>서구 대덕대로 216</t>
  </si>
  <si>
    <t>서구 문정로 77 로데오타운 5층 (탄방동 746)</t>
  </si>
  <si>
    <t>롯데시네마 대전둔산(월평동)</t>
  </si>
  <si>
    <t>서구 대덕대로 325 스타게이트 12층 (월평동)</t>
  </si>
  <si>
    <t>(구)CGV 대전둔산</t>
  </si>
  <si>
    <t xml:space="preserve">유성구 </t>
  </si>
  <si>
    <t xml:space="preserve">유성구 노은로 144 노은타운 7층 </t>
  </si>
  <si>
    <t xml:space="preserve">(구)씨네위 </t>
  </si>
  <si>
    <t xml:space="preserve">유성구 계룡로 132번길 10, 5층 </t>
  </si>
  <si>
    <t>중구 계백로 1700, 6층 (문화동 1-16 세이백화점 6층)</t>
  </si>
  <si>
    <t>남구 화합로 185, 5층 (삼산동 1569-1 업스퀘어 5층)</t>
  </si>
  <si>
    <t>롯데시네마 울산(백화점)</t>
  </si>
  <si>
    <t>남구 삼산로 288 (삼산동 1480-1)</t>
  </si>
  <si>
    <t>2008-06-13</t>
  </si>
  <si>
    <t>북구 진장유통로 51-10 (진장동)</t>
  </si>
  <si>
    <t>중구 젊음의 거리 73 (성남동 251-8)</t>
  </si>
  <si>
    <t xml:space="preserve">울산시 </t>
  </si>
  <si>
    <t xml:space="preserve">롯데시네마 울산성남 </t>
  </si>
  <si>
    <t>중구 젊음의 2거리 33 리버플레이스 10층 (성남동)</t>
  </si>
  <si>
    <t>(구)CGV 울산</t>
  </si>
  <si>
    <t xml:space="preserve">세종시 </t>
  </si>
  <si>
    <t xml:space="preserve">세종시 도움1로 108 몰리브 7층 </t>
  </si>
  <si>
    <t>세종시 조치원읍 새내로 122 (교리 24-1)</t>
  </si>
  <si>
    <t>(구)메가박스 조치원</t>
  </si>
  <si>
    <t xml:space="preserve">고양시 일산동구 정발산로 24 (장항동 867번지 웨스턴돔 3층) </t>
  </si>
  <si>
    <t>고양시 덕양구 화중로 104번길 28, 3층 (화정동 966-1 시네마플러스 401호)</t>
  </si>
  <si>
    <t>고양시 일산동구 무궁화로 32-34, 3층 (장항동 764, 765 라페스타 C,D동 3층)</t>
  </si>
  <si>
    <t>롯데시네마 주엽</t>
  </si>
  <si>
    <t>고양시 일산서구 중앙로 1436 그랜드백화점 9층 (주엽2동)</t>
  </si>
  <si>
    <t>고양시 덕양구 고양대로 1955 스타필드고양 4층</t>
  </si>
  <si>
    <t>고양시 일산서구 덕이로 20 (덕이동 219-8)</t>
  </si>
  <si>
    <t>고양시 일단동구 강송로 33, 벨라씨타 2층</t>
  </si>
  <si>
    <t>고양시 일산서구 호수로 817 레이킨스몰 3층 (대화동)</t>
  </si>
  <si>
    <t>광명시 철산로 30번길 14 (철산동 436 덕수빌딩 4층)</t>
  </si>
  <si>
    <t xml:space="preserve">광명시 </t>
  </si>
  <si>
    <t>롯데시네마 광명(광명사거리)</t>
  </si>
  <si>
    <t>광명시 오리로 970 (광명동)</t>
  </si>
  <si>
    <t xml:space="preserve">롯데시네마 광명아울렛 </t>
  </si>
  <si>
    <t>광명시 일직로 17 롯데프리미엄아울렛 광명점 5층</t>
  </si>
  <si>
    <t xml:space="preserve">광주시 중앙로 89-6, 2층 </t>
  </si>
  <si>
    <t>광주시 광주대로 30 2층 (경안동 25-3 광주버스터미널 2층)</t>
  </si>
  <si>
    <t>구리시 경춘로 243</t>
  </si>
  <si>
    <t>(구)롯데시네마 구리</t>
  </si>
  <si>
    <t xml:space="preserve">경기도 </t>
  </si>
  <si>
    <t xml:space="preserve">구리시 동구릉로 136번길 47 </t>
  </si>
  <si>
    <t>군포시 번영로 505</t>
  </si>
  <si>
    <t>(구)롯데시네마 산본</t>
  </si>
  <si>
    <t>군포시 산본동 번영로 485</t>
  </si>
  <si>
    <t xml:space="preserve">김포시 </t>
  </si>
  <si>
    <t xml:space="preserve">김포시 김포한강 11로 288-31 에이스프라자 7층 </t>
  </si>
  <si>
    <t>김포시 김포한강9로 75번길 180, 8층 (구래동 두원타워)</t>
  </si>
  <si>
    <t>남양주시 늘을2로 26 메인씨네마타워 8,9층 (호평동 640)</t>
  </si>
  <si>
    <t xml:space="preserve">메가박스 별내 </t>
  </si>
  <si>
    <t>남양주시 두물로 19 (별내동 황산빌딩)</t>
  </si>
  <si>
    <t xml:space="preserve">남양주시 </t>
  </si>
  <si>
    <t xml:space="preserve">롯데시네마 마석 </t>
  </si>
  <si>
    <t xml:space="preserve">남양주시 화도읍 경춘로 1992 (마석우리 255-24) </t>
  </si>
  <si>
    <t xml:space="preserve">롯데시네마 부천역 </t>
  </si>
  <si>
    <t xml:space="preserve">(구)더잼 </t>
  </si>
  <si>
    <t xml:space="preserve">부천시 </t>
  </si>
  <si>
    <t>성남시 분당구 성남대로 925번길 16, 지하2층 (야탑동 341 테마폴리스빌딩 지하2층)</t>
  </si>
  <si>
    <t>성남시 분당구 판교역로 146번길 20</t>
  </si>
  <si>
    <t>성남시 중원구 성남대로 1136 (성남동 3499)</t>
  </si>
  <si>
    <t>성남시 수정구 산성대로 267 (신흥동 4124)</t>
  </si>
  <si>
    <t>성남시 수정구 위례광장로 104 위례 한화오벨리</t>
  </si>
  <si>
    <t>성남시 분당구 황새울로 32 (서현동 262-2)</t>
  </si>
  <si>
    <t xml:space="preserve">성남시 </t>
  </si>
  <si>
    <t xml:space="preserve">성남시 분당구 서현로 180번길 19 비전월드빌딩 1층 </t>
  </si>
  <si>
    <t>수원시 팔달구 권광로 181, 7층 (인계동 113-11 12번지 7~10)</t>
  </si>
  <si>
    <t>수원시 장안구 경수대로 950, 4층 (조원동 893 아일렛타운 4층)</t>
  </si>
  <si>
    <t>수원시 권선구 경수대로 270 (권선동 1189)</t>
  </si>
  <si>
    <t xml:space="preserve">메가박스 수원남문 </t>
  </si>
  <si>
    <t xml:space="preserve">수원시 팔달구 행궁로 71 </t>
  </si>
  <si>
    <t>수원시 영통구 봉영로 1579 롯데쇼핑플라자 5층 (영통동 960-1)</t>
  </si>
  <si>
    <t xml:space="preserve">수원시 </t>
  </si>
  <si>
    <t xml:space="preserve">롯데시네마 광교아울렛 </t>
  </si>
  <si>
    <t>수원시 영통구 도청로 10 (이의동)</t>
  </si>
  <si>
    <t>수원시 권선구 세화로 134 롯데몰수원 5층</t>
  </si>
  <si>
    <t>시흥시 서울대학로 278번길 61 베니스스퀘어 7층</t>
  </si>
  <si>
    <t>시흥시 복지로 90 (대야동 568-1 시네마타워 6층)</t>
  </si>
  <si>
    <t>시흥시 마유로 418번길 10 (정왕동 876-408)</t>
  </si>
  <si>
    <t>메가박스 시흥배곧</t>
  </si>
  <si>
    <t>시흥시 배곧3로 96, M플러스 7층</t>
  </si>
  <si>
    <t xml:space="preserve">안산시 단원구 광덕대로 194 (고잔동 725-1 스타맥스타워 5층) </t>
  </si>
  <si>
    <t>롯데시네마 센트럴락</t>
  </si>
  <si>
    <t xml:space="preserve">안산시 단원구 고잔로 108, 7층 (고잔2동) </t>
  </si>
  <si>
    <t>안산시 상록구 충장로 427 롯데마트 안산점 4층 (성포동 590)</t>
  </si>
  <si>
    <t xml:space="preserve">롯데시네마 안산고잔 </t>
  </si>
  <si>
    <t>안산시 단원구 광덕대로 141 밀레니엄빌딩 7층 (고잔동 717-2)</t>
  </si>
  <si>
    <t xml:space="preserve">(구)메가박스 안산 </t>
  </si>
  <si>
    <t>안산시 단원구 고잔2길 41 (고잔2동 535-1)</t>
  </si>
  <si>
    <t>(구)프리머스 안산메가넥스</t>
  </si>
  <si>
    <t>안성시 아양2로 109 (석정동)</t>
  </si>
  <si>
    <t xml:space="preserve">안성시 </t>
  </si>
  <si>
    <t>안성시 공도읍 서동대로 4478 롯데마트 1층 (양기리 306-1)</t>
  </si>
  <si>
    <t>안양시 동안구 관평로 170번길 33, 8층 (관양동 1606)</t>
  </si>
  <si>
    <t>안양시 만안구 만안로 244 롯데백화점 8층 (안양1동 88-1)</t>
  </si>
  <si>
    <t>안양시 만안구 안양로 311, 프로젝트타워 9~13층</t>
  </si>
  <si>
    <t>(구)CGV 안양</t>
  </si>
  <si>
    <t>롯데시네마 평촌(범계역)</t>
  </si>
  <si>
    <t>안양시 동안구 시민대로 180, 8층 (호계동 1039)</t>
  </si>
  <si>
    <t xml:space="preserve">안양시 </t>
  </si>
  <si>
    <t>안양시 동안구 동안로 119, 11층 (호계동 1139-3 뉴코아아울렛 11층)</t>
  </si>
  <si>
    <t xml:space="preserve">롯데시네마 인덕원 </t>
  </si>
  <si>
    <t>안양시 동안구 흥안대로 519번길 아이퍼스트타워 7층 (관양동 1502-6)</t>
  </si>
  <si>
    <t xml:space="preserve">양주시 </t>
  </si>
  <si>
    <t>양주시 고읍남로 6-6 해동센트럴타워 9층 (광사동 651)</t>
  </si>
  <si>
    <t>www.ypcinema.com</t>
  </si>
  <si>
    <t>용인시 수지구 광교중앙로 295번길 W스퀘어 2층</t>
  </si>
  <si>
    <t xml:space="preserve">용인시 기흥구 동백죽전대로 444 (중동 833 쥬네브썬월드) </t>
  </si>
  <si>
    <t>용인시 처인구 금령로 86, 5층</t>
  </si>
  <si>
    <t>(구)롯데시네마 용인</t>
  </si>
  <si>
    <t>용인시 기흥구 기흥역로 63</t>
  </si>
  <si>
    <t>의정부시 평화로 525, 10층 (의정부동 168)</t>
  </si>
  <si>
    <t xml:space="preserve">의정부시 시민로 80 (센트럴타워) 15층 </t>
  </si>
  <si>
    <t>의정부시 민락동 민락2지구 206-2,3 해동타워 8~9층</t>
  </si>
  <si>
    <t>메가박스 의정부민락</t>
  </si>
  <si>
    <t>의정부시 오목로 205번길 55</t>
  </si>
  <si>
    <t xml:space="preserve">이천시 </t>
  </si>
  <si>
    <t>이천시 중리천로 58 랜드마크ICC 4층</t>
  </si>
  <si>
    <t xml:space="preserve">메가박스 파주금촌 </t>
  </si>
  <si>
    <t>파주시 중앙로 328 MH타워 4층 (금촌동)</t>
  </si>
  <si>
    <t>메가박스 파주운정</t>
  </si>
  <si>
    <t>파주시 경의로 989,3~4층</t>
  </si>
  <si>
    <t>파주시 문발로 220 이채쇼핑몰 C동 (교하읍 문발리 510-)</t>
  </si>
  <si>
    <t xml:space="preserve">파주시 </t>
  </si>
  <si>
    <t xml:space="preserve">파주시 문산읍 방촌로 1719-10, 3층 </t>
  </si>
  <si>
    <t>평택시 평택로 51, 8층 (평택동 186-3 평택민자역사 8층)</t>
  </si>
  <si>
    <t>평택시 경기대로 279, 10층 (비전2동 830번지)</t>
  </si>
  <si>
    <t>평택시 평남로 862 5~7층(비전동)</t>
  </si>
  <si>
    <t>평택시 관광특구로 17 (서정동 818-35)</t>
  </si>
  <si>
    <t>하남시 위례대로 200</t>
  </si>
  <si>
    <t xml:space="preserve">메가박스 미사강변 </t>
  </si>
  <si>
    <t>하남시 미사강변중앙로 218</t>
  </si>
  <si>
    <t>하남시 미사대로 750, 3층</t>
  </si>
  <si>
    <t>화성시 동탄중앙로 220, 3층 (반송동 96,98번지 메타폴리스복합단지)</t>
  </si>
  <si>
    <t>화성시 동탄대로 537(오산동 라스플로레스 A동 5~8층)</t>
  </si>
  <si>
    <t>화성시 효행로 1052 (병점동 844-1번지)</t>
  </si>
  <si>
    <t>화성시 향남읍 상신하길로 298번길 7-21</t>
  </si>
  <si>
    <t xml:space="preserve">메가박스 동탄 </t>
  </si>
  <si>
    <t xml:space="preserve">화성시 동탄지성로 11(반송동) 7층 </t>
  </si>
  <si>
    <t>강릉시 경강로 2120, 6층~8층 (옥천동 189)</t>
  </si>
  <si>
    <t xml:space="preserve">동해시 한섬로 111-7 현진빌딩 5층 (천곡동) </t>
  </si>
  <si>
    <t>속초시 조양로142번길 20 (조양동 1506-1)</t>
  </si>
  <si>
    <t>yw.scinema.org</t>
  </si>
  <si>
    <t>원주시 서원대로 396 (단구동 1511-2,3)</t>
  </si>
  <si>
    <t>원주시 능라동길 51 씨네시티타워 9층</t>
  </si>
  <si>
    <t>원주시 서원대로 165-3 아트스페이스빌딩 6층 (단계동 873)</t>
  </si>
  <si>
    <t>원주시 황금로 2, 센트럴파크 7층</t>
  </si>
  <si>
    <t xml:space="preserve">원주시 </t>
  </si>
  <si>
    <t>원주시 서원대로 171, 7층 (단계동)</t>
  </si>
  <si>
    <t>jeongseon.scinema.org</t>
  </si>
  <si>
    <t>춘천시 지석로 80, 3층~8층 (퇴계동 1017투탑시티 3층~8층)</t>
  </si>
  <si>
    <t xml:space="preserve">메가박스 남춘천 </t>
  </si>
  <si>
    <t xml:space="preserve">춘천시 춘천로 17번길 17 </t>
  </si>
  <si>
    <t>hongcheon.ccine.co.kr</t>
  </si>
  <si>
    <t>www.sancheoneocinema.co.kr</t>
  </si>
  <si>
    <t>제천시 의병대로 18길 1 (남천동 1145)</t>
  </si>
  <si>
    <t xml:space="preserve">진천군 </t>
  </si>
  <si>
    <t xml:space="preserve">메가박스 진천 </t>
  </si>
  <si>
    <t>진천군 진천읍 중앙북1길 3 진천터미널</t>
  </si>
  <si>
    <t>청주시 상당구 상당로 81번길 33 (북문로1가 170-1)</t>
  </si>
  <si>
    <t>청주시 상당구 상당로 81번길 63 (서문동 29-2)</t>
  </si>
  <si>
    <t>청주시 상당구 충청대로 114 (율량동 500-3)</t>
  </si>
  <si>
    <t>(구)SFX시네마</t>
  </si>
  <si>
    <t xml:space="preserve">충청북도 </t>
  </si>
  <si>
    <t xml:space="preserve">청주시 흥덕구 대농로 47-1 </t>
  </si>
  <si>
    <t>롯데시네마 서청주(아울렛)</t>
  </si>
  <si>
    <t>청주시 흥덕구 2순환로 1004 (비하동 332-1)</t>
  </si>
  <si>
    <t>청주시 상당구 1순환로 1233</t>
  </si>
  <si>
    <t xml:space="preserve">메가박스 오창 </t>
  </si>
  <si>
    <t>청주시 청원구 오창읍 중심상업1로 8-9 메가시티 4층</t>
  </si>
  <si>
    <t>청주시 서원구 1순환로 682</t>
  </si>
  <si>
    <t xml:space="preserve">메가박스 충주 </t>
  </si>
  <si>
    <t>충주시 성서3길 19 (성서동 273)</t>
  </si>
  <si>
    <t>공주시 흑수골길 12 (신관동 248-3)</t>
  </si>
  <si>
    <t>당진시 우두1로 88 (읍내동)</t>
  </si>
  <si>
    <t xml:space="preserve">보령시 </t>
  </si>
  <si>
    <t>보령시 대천동 대흥로 51</t>
  </si>
  <si>
    <t>서산시 안견로 243 (동문동)</t>
  </si>
  <si>
    <t>서산시 율지18로 38 (동문동 193-1)</t>
  </si>
  <si>
    <t xml:space="preserve">롯데시네마 아산터미널 </t>
  </si>
  <si>
    <t>아산시 번영로 225</t>
  </si>
  <si>
    <t>천안시 동남구 명동길 47, 5층 (대흥동102-10번지 5층)</t>
  </si>
  <si>
    <t xml:space="preserve">충청남도 </t>
  </si>
  <si>
    <t>천안시 서북구 공원로 196, 5층 (불당동 1289 펜타포트 주상복합상가 5층)</t>
  </si>
  <si>
    <t>천안시 서북구 1공단1길 52 센트하임 3층 (두정동 68-1)</t>
  </si>
  <si>
    <t>홍성군 홍성읍 고암리 1042</t>
  </si>
  <si>
    <t xml:space="preserve">메가박스 홍성내포 </t>
  </si>
  <si>
    <t>홍성군 홍북읍 청사로 174번길 2, 6층</t>
  </si>
  <si>
    <t>군산시 백토로 166, 3층 (나운동)</t>
  </si>
  <si>
    <t>군산시 백토로 198 (나운동 114-34)</t>
  </si>
  <si>
    <t>(구)CGV군산</t>
  </si>
  <si>
    <t>wanjumovie.kr</t>
  </si>
  <si>
    <t>익산시 무왕로 1052, 3층~5층 (영등동 149-1)</t>
  </si>
  <si>
    <t>전주시 완산구 홍산로 260 엠스퀘어 6층</t>
  </si>
  <si>
    <t>전주시 완산구 전주객사 3길 72</t>
  </si>
  <si>
    <t>전주시 완산구 용머리로 45 (Mall of Hyoja 2층)</t>
  </si>
  <si>
    <t>IMAX, ScreenX</t>
  </si>
  <si>
    <t>롯데시네마 전주(백화점)</t>
  </si>
  <si>
    <t>전주시 완산구 온고을로 2 (서신동 971)</t>
  </si>
  <si>
    <t>전주시 완산구 백제대로 10 (평화동 1가 604-1)</t>
  </si>
  <si>
    <t>전주시 전주객사4길 74-10 (고사동 181)</t>
  </si>
  <si>
    <t>www.jcinema.co.kr</t>
  </si>
  <si>
    <t xml:space="preserve">전라북도 </t>
  </si>
  <si>
    <t xml:space="preserve">정읍시 </t>
  </si>
  <si>
    <t>정읍시 중앙1길 1</t>
  </si>
  <si>
    <t>jinan.scinema.org</t>
  </si>
  <si>
    <t>광양시 금호로 26 몰오브광양 2~3층</t>
  </si>
  <si>
    <t>광양시 광양읍 순광로 466 LF스퀘어 3층 가든동</t>
  </si>
  <si>
    <t>나주시 상야4길 16-16(빛가람동)</t>
  </si>
  <si>
    <t>목포시 교육로 63 (상동 892)</t>
  </si>
  <si>
    <t>목포시 원형동로 53, 5층</t>
  </si>
  <si>
    <t>목포시 옥암로 95 포르모쇼핑몰 (상동 860-1)</t>
  </si>
  <si>
    <t>(구)프리머스 목포</t>
  </si>
  <si>
    <t>순천시 장명로 22, 2층~6층 (장천동 54-1)</t>
  </si>
  <si>
    <t>순천시 해룡면 해광로 199</t>
  </si>
  <si>
    <t>(구)메가박스 신대(순천)</t>
  </si>
  <si>
    <t>순천시 충효로 15 제701호 (덕암동 151)</t>
  </si>
  <si>
    <t>(구)롯데시네마 순천</t>
  </si>
  <si>
    <t>여수시 웅천로 19-35, 2~8층 (웅천동)</t>
  </si>
  <si>
    <t xml:space="preserve">여수시 신월로 96, 3층 </t>
  </si>
  <si>
    <t>jangheung.scinema.org</t>
  </si>
  <si>
    <t>메가박스 경산하양</t>
  </si>
  <si>
    <t>경산시 하양읍 대경로 765</t>
  </si>
  <si>
    <t>경주시 계림로 83 (노동동)</t>
  </si>
  <si>
    <t>씨네Q 경주보문</t>
  </si>
  <si>
    <t>경주시 보문로 465-67</t>
  </si>
  <si>
    <t>gr.scinema.org</t>
  </si>
  <si>
    <t>구미시 구미중앙로 44, 4층 (원평동 68-1번지)</t>
  </si>
  <si>
    <t>구미시 산호대로 233, 4층 (공단동 253-2)</t>
  </si>
  <si>
    <t>구미시 구미중앙로 17길 16 (원평동 147-9)</t>
  </si>
  <si>
    <t>(구)메가박스 구미</t>
  </si>
  <si>
    <t>구미시 인동가산로 14 시네마월드 7층 (진평동 1023-1)</t>
  </si>
  <si>
    <t>씨네Q 구미봉곡</t>
  </si>
  <si>
    <t>구미시 야은로 296</t>
  </si>
  <si>
    <t>김천시 혁신2로 15</t>
  </si>
  <si>
    <t xml:space="preserve">메가박스 김천 </t>
  </si>
  <si>
    <t>김천시 김천로 74 (평화동 245-82)</t>
  </si>
  <si>
    <t xml:space="preserve">(구)프리머스 김천 </t>
  </si>
  <si>
    <t xml:space="preserve">메가박스 문경 </t>
  </si>
  <si>
    <t>문경시 모전로 65 홈플러스 1층</t>
  </si>
  <si>
    <t>중앙시네마</t>
  </si>
  <si>
    <t xml:space="preserve">안동시 </t>
  </si>
  <si>
    <t xml:space="preserve">안동시 경동로 841 </t>
  </si>
  <si>
    <t>(구)롯데시네마 안동</t>
  </si>
  <si>
    <t>영주시 구성로 417</t>
  </si>
  <si>
    <t>포항시 북구 서동로 93 (덕산동 235-4)</t>
  </si>
  <si>
    <t>포항시 북구 중앙상가길 16 (대흥동 563-3)</t>
  </si>
  <si>
    <t>포항시 남구 오천읍 하원로 47번길 9</t>
  </si>
  <si>
    <t>거제시 장평로 6층 (고현동 958-15 디큐브백화점 6층)</t>
  </si>
  <si>
    <t xml:space="preserve">거창군 </t>
  </si>
  <si>
    <t>거창군 거창읍 중앙로 1길1(고센시티 9층)</t>
  </si>
  <si>
    <t>김해시 내외중앙로 137, 4층 (내동 1131-4 휴앤락 4층)</t>
  </si>
  <si>
    <t xml:space="preserve">김해시 삼문로 12 </t>
  </si>
  <si>
    <t xml:space="preserve">김해시 </t>
  </si>
  <si>
    <t xml:space="preserve">김해시 김해대로 2352번길 아이스퀘어 3층 </t>
  </si>
  <si>
    <t xml:space="preserve">경상남도 </t>
  </si>
  <si>
    <t>롯데시네마 김해아울렛(장유)</t>
  </si>
  <si>
    <t xml:space="preserve">김해시 장유로 469 롯데아울렛 신관 (장유면 신문리 75-5) </t>
  </si>
  <si>
    <t xml:space="preserve">사천시 </t>
  </si>
  <si>
    <t>사천시 사천읍 항공로 6</t>
  </si>
  <si>
    <t>사천시 해안관광로 109-10, 아르떼리조트 본관 4층</t>
  </si>
  <si>
    <t>양산시 물금읍 백호로 68</t>
  </si>
  <si>
    <t>메가박스 양산</t>
  </si>
  <si>
    <t>양산시 강변로 440</t>
  </si>
  <si>
    <t>(구)롯데시네마 양산</t>
  </si>
  <si>
    <t>롯데시네마 엠비씨네(진주)</t>
  </si>
  <si>
    <t xml:space="preserve">진주시 가호로 13 MBC경남 </t>
  </si>
  <si>
    <t>롯데시네마 진주혁신(롯데몰)</t>
  </si>
  <si>
    <t>진주시 동진로 440</t>
  </si>
  <si>
    <t>창원시 마산회원구 3.15대로 736, 8층 (합성동 126-4 보보스존빌딩)</t>
  </si>
  <si>
    <t>창원시 의창구 창원대로 397번길 6, 8층~11층 (의창구 팔용동 30-1 파비뉴21)</t>
  </si>
  <si>
    <t>창원시 마산회원구 3.15대로 750 (합성동 267)</t>
  </si>
  <si>
    <t xml:space="preserve">롯데시네마 진해 </t>
  </si>
  <si>
    <t>창원시 진해구 진해대로 752 (석동 543-3)</t>
  </si>
  <si>
    <t>창원시 성산구 중앙대로 124 (상남동 79)</t>
  </si>
  <si>
    <t xml:space="preserve">메가박스 마산 </t>
  </si>
  <si>
    <t>창원시 마산합포구 해안대로 51 유로스퀘어 6층</t>
  </si>
  <si>
    <t>창원시 성산구 용지로 58 메가플렉스 8층 (중앙동 99-1)</t>
  </si>
  <si>
    <t>롯데시네마 통영</t>
  </si>
  <si>
    <t>통영시 안개로 37 (무전동)</t>
  </si>
  <si>
    <t>서귀포시 월드컵로 31 (법환동 914)</t>
  </si>
  <si>
    <t>제주시 서광로 288, 2층~7층 (이도2동 1776-3)</t>
  </si>
  <si>
    <t>제주시 노형로 407 노형타워 5층</t>
  </si>
  <si>
    <t>(구)롯데시네마 제주</t>
  </si>
  <si>
    <t>제주시 삼봉로 11 (삼양2동 1477-8)</t>
  </si>
  <si>
    <t xml:space="preserve">제주시 </t>
  </si>
  <si>
    <t>제주시 구산로 4 (아라1동 2574)</t>
  </si>
  <si>
    <t>군산시 조촌로 130(조촌동)</t>
  </si>
  <si>
    <t>~</t>
    <phoneticPr fontId="2" type="noConversion"/>
  </si>
  <si>
    <t>yangyang.scinema.org</t>
  </si>
  <si>
    <t>gohan.scinema.org</t>
  </si>
  <si>
    <t>happy700.scinema.org</t>
  </si>
  <si>
    <t>경기도 가평군 가평읍 석봉로 100</t>
  </si>
  <si>
    <t>031-582-3909</t>
  </si>
  <si>
    <t>www.1939cinema.com</t>
  </si>
  <si>
    <t>pocheon.scinema.org</t>
  </si>
  <si>
    <t>cafe.naver.com/joongangcinema</t>
  </si>
  <si>
    <t>blog.naver.com/pohangcf</t>
  </si>
  <si>
    <t>cafe.naver.com/eivomtheater</t>
  </si>
  <si>
    <t>www.forest6.co.kr</t>
  </si>
  <si>
    <t>02-730-5604</t>
    <phoneticPr fontId="3" type="noConversion"/>
  </si>
  <si>
    <t>www.hhiarts.co.kr</t>
  </si>
  <si>
    <t>www.milimcine.com</t>
  </si>
  <si>
    <t>naturaldreampark.co.kr</t>
  </si>
  <si>
    <t>cinema.gimje.go.kr</t>
  </si>
  <si>
    <t>광역단체</t>
    <phoneticPr fontId="2" type="noConversion"/>
  </si>
  <si>
    <r>
      <rPr>
        <sz val="10"/>
        <color theme="1"/>
        <rFont val="맑은 고딕"/>
        <family val="3"/>
        <charset val="129"/>
        <scheme val="minor"/>
      </rPr>
      <t>전주시</t>
    </r>
    <r>
      <rPr>
        <sz val="10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덕진구</t>
    </r>
    <r>
      <rPr>
        <sz val="10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동부대로</t>
    </r>
    <r>
      <rPr>
        <sz val="10"/>
        <rFont val="맑은 고딕"/>
        <family val="3"/>
        <charset val="129"/>
        <scheme val="minor"/>
      </rPr>
      <t xml:space="preserve"> 1215 (</t>
    </r>
    <r>
      <rPr>
        <sz val="10"/>
        <color theme="1"/>
        <rFont val="맑은 고딕"/>
        <family val="3"/>
        <charset val="129"/>
        <scheme val="minor"/>
      </rPr>
      <t>송천동</t>
    </r>
    <r>
      <rPr>
        <sz val="10"/>
        <rFont val="맑은 고딕"/>
        <family val="3"/>
        <charset val="129"/>
        <scheme val="minor"/>
      </rPr>
      <t xml:space="preserve"> 2</t>
    </r>
    <r>
      <rPr>
        <sz val="10"/>
        <color theme="1"/>
        <rFont val="맑은 고딕"/>
        <family val="3"/>
        <charset val="129"/>
        <scheme val="minor"/>
      </rPr>
      <t>가</t>
    </r>
    <r>
      <rPr>
        <sz val="10"/>
        <rFont val="맑은 고딕"/>
        <family val="3"/>
        <charset val="129"/>
        <scheme val="minor"/>
      </rPr>
      <t xml:space="preserve"> 661-15)</t>
    </r>
  </si>
  <si>
    <t>독립예술영화전용관명</t>
    <phoneticPr fontId="2" type="noConversion"/>
  </si>
  <si>
    <t>아르떼 클래식</t>
  </si>
  <si>
    <t>1관/2관</t>
    <phoneticPr fontId="2" type="noConversion"/>
  </si>
  <si>
    <t>번호</t>
    <phoneticPr fontId="2" type="noConversion"/>
  </si>
  <si>
    <t>독립예술영화
전용관 여부</t>
    <phoneticPr fontId="2" type="noConversion"/>
  </si>
  <si>
    <t>비고</t>
    <phoneticPr fontId="2" type="noConversion"/>
  </si>
  <si>
    <t>01관</t>
  </si>
  <si>
    <t>Y</t>
  </si>
  <si>
    <t>N</t>
  </si>
  <si>
    <t>02관</t>
  </si>
  <si>
    <t>03관</t>
  </si>
  <si>
    <t>04관</t>
  </si>
  <si>
    <t>05관</t>
  </si>
  <si>
    <t>06관</t>
  </si>
  <si>
    <t>07관</t>
  </si>
  <si>
    <t>08관</t>
  </si>
  <si>
    <t>09관</t>
  </si>
  <si>
    <t>메가박스 남춘천</t>
  </si>
  <si>
    <t>메가박스 별내</t>
  </si>
  <si>
    <t>메가박스 부천스타필드시티</t>
  </si>
  <si>
    <t>메가박스 수원남문</t>
  </si>
  <si>
    <t>Y</t>
    <phoneticPr fontId="2" type="noConversion"/>
  </si>
  <si>
    <t>메가박스 용인테크노밸리</t>
  </si>
  <si>
    <t>메가박스 파주금촌</t>
  </si>
  <si>
    <t>메가박스 미사강변</t>
  </si>
  <si>
    <t>메가박스 동탄</t>
  </si>
  <si>
    <t>메가박스 마산</t>
  </si>
  <si>
    <t>메가박스 김천</t>
  </si>
  <si>
    <t>메가박스 문경</t>
  </si>
  <si>
    <t>메가박스 경북도청</t>
  </si>
  <si>
    <t>10관</t>
  </si>
  <si>
    <t>메가박스 대전중앙로</t>
  </si>
  <si>
    <t>메가박스 덕천</t>
  </si>
  <si>
    <t>1관</t>
  </si>
  <si>
    <t>TABLE관</t>
  </si>
  <si>
    <t>소상영관 A</t>
  </si>
  <si>
    <t>소상영관 B</t>
  </si>
  <si>
    <t>메가박스 화곡</t>
  </si>
  <si>
    <t>메가박스 홍대</t>
  </si>
  <si>
    <t>연기군</t>
  </si>
  <si>
    <t>메가박스 인천논현</t>
  </si>
  <si>
    <t>메가박스 홍성내포</t>
  </si>
  <si>
    <t>메가박스 오창</t>
  </si>
  <si>
    <t>메가박스 충주</t>
  </si>
  <si>
    <t>11관</t>
  </si>
  <si>
    <t>N</t>
    <phoneticPr fontId="2" type="noConversion"/>
  </si>
  <si>
    <t>Cine Comfort</t>
  </si>
  <si>
    <t>롯데시네마 광명</t>
  </si>
  <si>
    <t>롯데시네마 광명아울렛</t>
  </si>
  <si>
    <t>롯데시네마 마석</t>
  </si>
  <si>
    <t>롯데시네마 부천역</t>
  </si>
  <si>
    <t>롯데시네마 광교아울렛</t>
  </si>
  <si>
    <t>롯데시네마 센트럴락(안산)</t>
  </si>
  <si>
    <t>Charlotte</t>
  </si>
  <si>
    <t>롯데시네마 안산고잔</t>
  </si>
  <si>
    <t>롯데시네마 인덕원</t>
  </si>
  <si>
    <t>롯데시네마 수지</t>
  </si>
  <si>
    <t>롯데시네마 용인역북</t>
  </si>
  <si>
    <t>롯데시네마 김해아울렛</t>
  </si>
  <si>
    <t>롯데시네마 진주혁신</t>
  </si>
  <si>
    <t>롯데시네마 진해</t>
  </si>
  <si>
    <t>롯데시네마 충장로</t>
  </si>
  <si>
    <t>롯데시네마 상인</t>
  </si>
  <si>
    <t>롯데시네마 대구현풍</t>
  </si>
  <si>
    <t>롯데시네마 대구율하</t>
  </si>
  <si>
    <t>롯데시네마 대전관저</t>
  </si>
  <si>
    <t>롯데시네마 오투(부산대)</t>
  </si>
  <si>
    <t>롯데시네마 동부산(아울렛)</t>
  </si>
  <si>
    <t>롯데시네마 광복</t>
  </si>
  <si>
    <t>롯데시네마 가산디지털</t>
  </si>
  <si>
    <t>롯데시네마 수락산</t>
  </si>
  <si>
    <t>롯데시네마 월드타워</t>
  </si>
  <si>
    <t>14관</t>
  </si>
  <si>
    <t>16관</t>
  </si>
  <si>
    <t>17관</t>
  </si>
  <si>
    <t>18관</t>
  </si>
  <si>
    <t>롯데시네마 울산성남</t>
  </si>
  <si>
    <t>롯데시네마 영종하늘도시</t>
  </si>
  <si>
    <t>롯데시네마 익산모현</t>
  </si>
  <si>
    <t>롯데시네마 제주아라</t>
  </si>
  <si>
    <t>롯데시네마 아산터미널</t>
  </si>
  <si>
    <t>롯데시네마 충주</t>
  </si>
  <si>
    <t>IMAX관</t>
  </si>
  <si>
    <t>12관</t>
  </si>
  <si>
    <t>4DX관</t>
  </si>
  <si>
    <t>ART1관</t>
  </si>
  <si>
    <t>ART2관</t>
  </si>
  <si>
    <t>13관</t>
  </si>
  <si>
    <t>6층 2관</t>
  </si>
  <si>
    <t>6층 3관</t>
  </si>
  <si>
    <t>6층 4관</t>
  </si>
  <si>
    <t>6층 5관</t>
  </si>
  <si>
    <t>8층 6관</t>
  </si>
  <si>
    <t>8층 7관</t>
  </si>
  <si>
    <t>8층 8관</t>
  </si>
  <si>
    <t xml:space="preserve">10관 </t>
  </si>
  <si>
    <t>아트하우스 ART1관</t>
  </si>
  <si>
    <t>아트하우스 ART2관</t>
  </si>
  <si>
    <t>강릉독립예술극장 신영</t>
  </si>
  <si>
    <t>양양 작은영화관</t>
  </si>
  <si>
    <t>HAPPY700 평창시네마</t>
  </si>
  <si>
    <t>홍천시네마</t>
  </si>
  <si>
    <t>횡성시네마</t>
  </si>
  <si>
    <t>동광극장(구 문화극장3관)</t>
  </si>
  <si>
    <t>명화극장</t>
  </si>
  <si>
    <t>고전</t>
  </si>
  <si>
    <t>양평시네마</t>
  </si>
  <si>
    <t>헤이리시네마</t>
  </si>
  <si>
    <t>보물섬시네마</t>
  </si>
  <si>
    <t>씨네아트 리좀</t>
  </si>
  <si>
    <t>합천시네마</t>
  </si>
  <si>
    <t>대가야시네마</t>
  </si>
  <si>
    <t>영양 작은영화관</t>
  </si>
  <si>
    <t>광주독립영화관</t>
  </si>
  <si>
    <t>대구독립영화전용관 오오극장</t>
  </si>
  <si>
    <t>오오</t>
  </si>
  <si>
    <t>영화의전당</t>
  </si>
  <si>
    <t>시네마테크관</t>
  </si>
  <si>
    <t>소극장</t>
  </si>
  <si>
    <t>중극장</t>
  </si>
  <si>
    <t>인디플러스 영화의 전당</t>
  </si>
  <si>
    <t>KU시네마테크</t>
  </si>
  <si>
    <t>더숲 아트시네마</t>
  </si>
  <si>
    <t>아트나인</t>
  </si>
  <si>
    <t>0관</t>
  </si>
  <si>
    <t>9관</t>
  </si>
  <si>
    <t>인디스페이스</t>
  </si>
  <si>
    <t>알프스시네마</t>
  </si>
  <si>
    <t>구례자연드림시네마</t>
  </si>
  <si>
    <t>진도아리랑 시네마</t>
  </si>
  <si>
    <t>고창문화원 동리시네마</t>
  </si>
  <si>
    <t>천재의 공간 영화산책</t>
  </si>
  <si>
    <t>조이아트시네마</t>
  </si>
  <si>
    <t>조이앤시네마 전주점</t>
  </si>
  <si>
    <t>마이골작은영화관</t>
  </si>
  <si>
    <t>명보시네마</t>
  </si>
  <si>
    <t>스타박스</t>
  </si>
  <si>
    <t>예산시네마</t>
  </si>
  <si>
    <t>태안시네마</t>
  </si>
  <si>
    <t>괴산자연드림파크 괴산극장</t>
  </si>
  <si>
    <t>01관</t>
    <phoneticPr fontId="2" type="noConversion"/>
  </si>
  <si>
    <t>Cine de Chef</t>
  </si>
  <si>
    <t>작은영화관 여부</t>
    <phoneticPr fontId="2" type="noConversion"/>
  </si>
  <si>
    <t>1관</t>
    <phoneticPr fontId="2" type="noConversion"/>
  </si>
  <si>
    <t>2관</t>
    <phoneticPr fontId="2" type="noConversion"/>
  </si>
  <si>
    <t>Charlotte</t>
    <phoneticPr fontId="2" type="noConversion"/>
  </si>
  <si>
    <t xml:space="preserve">ScreenX </t>
  </si>
  <si>
    <t>Cine &amp; Foret</t>
  </si>
  <si>
    <t>Cine &amp; Living Room</t>
  </si>
  <si>
    <t>SphereX관</t>
  </si>
  <si>
    <t>SphereX</t>
  </si>
  <si>
    <t>춘천시 춘천로 17번길 17</t>
  </si>
  <si>
    <t>고양시 일산동구 정발산로 24 (장항동 867번지 웨스턴돔 3층)</t>
  </si>
  <si>
    <t>광주시 중앙로 89-6, 2층</t>
  </si>
  <si>
    <t>구리시 동구릉로 136번길 47</t>
  </si>
  <si>
    <t>김포시 걸포로 6 케이탑리츠빌딩 7~8층 (걸포동 1574-3)</t>
  </si>
  <si>
    <t>김포시 김포한강 11로 288-31 에이스프라자 7층</t>
  </si>
  <si>
    <t>부천시 길주로 180, 5층 (중동 1164 로담코 플라자 5~7층)</t>
  </si>
  <si>
    <t>부천시 부천로 11 (심곡동)</t>
  </si>
  <si>
    <t>부천시 송내대로 239, 6층 (상동 539-1 소풍 6,7층)</t>
  </si>
  <si>
    <t>부천시 경인로 505, 6층 (괴안동 역곡하이뷰 6층)</t>
  </si>
  <si>
    <t>부천시 길주로 289 (중동 1141-2)</t>
  </si>
  <si>
    <t>부천시 옥길로1 (옥길동 768)</t>
  </si>
  <si>
    <t>성남시 분당구 서현로 180번길 19 비전월드빌딩 1층</t>
  </si>
  <si>
    <t>수원시 권선구 금곡로 219 (금곡동 1114-1번지)</t>
  </si>
  <si>
    <t>수원시 팔달구 행궁로 71</t>
  </si>
  <si>
    <t>안산시 단원구 광덕대로 194 (고잔동 725-1 스타맥스타워 5층)</t>
  </si>
  <si>
    <t>안산시 단원구 고잔로 108, 7층 (고잔2동)</t>
  </si>
  <si>
    <t>오산시 원동로 37번길 46 (원동 763-21 오산시네마타운)</t>
  </si>
  <si>
    <t>오산시 원동로 22 르마레시티 3층 (원동 335-10)</t>
  </si>
  <si>
    <t>용인시 기흥구 동백죽전대로 444 (중동 833 쥬네브썬월드)</t>
  </si>
  <si>
    <t>용인시 수지구 성복2로 38 롯데몰 수지점 5층</t>
  </si>
  <si>
    <t>용인시 처인구 중부대로 1294 더와이스퀘어 5층(역북동)</t>
  </si>
  <si>
    <t>용인시 기흥구 구성로 357 용인테크노밸리A동 지하1층 (청덕동)</t>
  </si>
  <si>
    <t>의정부시 시민로 80 (센트럴타워) 15층</t>
  </si>
  <si>
    <t>파주시 문산읍 방촌로 1719-10, 3층</t>
  </si>
  <si>
    <t>화성시 봉담읍 동화길 51, 2층 (동화리)</t>
  </si>
  <si>
    <t>화성시 동탄지성로 11(반송동) 7층</t>
  </si>
  <si>
    <t>김해시 삼문로 12</t>
  </si>
  <si>
    <t>김해시 김해대로 2352번길 아이스퀘어 3층</t>
  </si>
  <si>
    <t>김해시 장유로 469 롯데아울렛 신관 (장유면 신문리 75-5)</t>
  </si>
  <si>
    <t>양산시 물금읍 증산역로 177(가촌리)</t>
  </si>
  <si>
    <t>진주시 가호로 13 MBC경남</t>
  </si>
  <si>
    <t>창원시 마산합포구 해안대로 7 남부시네마타운 (월남동 5가 4-1)</t>
  </si>
  <si>
    <t>창원시 의창구 원이대로 332 (두대동 1B1L 더시티세븐)</t>
  </si>
  <si>
    <t>안동시 경동로 841</t>
  </si>
  <si>
    <t>안동시 경북대로 418 A동 401/501호 (옥동 테마프라자)</t>
  </si>
  <si>
    <t>예천군 호명면 새움3로 70 (산합리)</t>
  </si>
  <si>
    <t>동구 충장로안길 12 (황금동 12-2)</t>
  </si>
  <si>
    <t>북구 문화소통로 170 (용봉동 17-1 굿모닝타운 4층)</t>
  </si>
  <si>
    <t>달성군 현풍읍 테크노상업로 62 센터빌타워 4층 (현풍읍 중리)</t>
  </si>
  <si>
    <t>북구 학정로 422 태을빌딩 5층 (구암동 769-1)</t>
  </si>
  <si>
    <t>서구 달구벌대로 1691 엠프라자 4층 (내당동)</t>
  </si>
  <si>
    <t>중구 동성로 39, 7층 (동성로 2가 88-2 씨네시티한일 7층)</t>
  </si>
  <si>
    <t>동구 은어송로 72, 4층 (가오동 72 홈플러스 4층)</t>
  </si>
  <si>
    <t>서구 도안동로11번길 45, U플라자 5~6층(가수원동)</t>
  </si>
  <si>
    <t>서구 봉우로8번길 23, 5층 (관저동 1735)</t>
  </si>
  <si>
    <t>유성구 노은로 144 노은타운 7층</t>
  </si>
  <si>
    <t>유성구 계룡로 132번길 10, 5층</t>
  </si>
  <si>
    <t>중구 중앙로 126(대흥동)</t>
  </si>
  <si>
    <t>동래구 중앙대로 1393</t>
  </si>
  <si>
    <t>북구 화명대로 16 (화명동 2275-1 센추리빌딩)</t>
  </si>
  <si>
    <t>사상구 사상로 201 애플아울렛 본관 3~4층(괘법동 533-1)</t>
  </si>
  <si>
    <t>사하구 낙동남로 1413 아트몰링문화관 7층 (하단동)</t>
  </si>
  <si>
    <t>중구 중앙대로 2 마트/시네마동 9층</t>
  </si>
  <si>
    <t>해운대구 해운대로 802, 7층</t>
  </si>
  <si>
    <t>해운대구 수영강변대로 120 (우1동 1467)</t>
  </si>
  <si>
    <t>강남구 강남대로 438 (역삼동 814-6 스타플렉스)</t>
  </si>
  <si>
    <t>강남구 도산대로 8길 8 (논현동 3-5)</t>
  </si>
  <si>
    <t>강동구 양재대로 1571 홈플러스 4층</t>
  </si>
  <si>
    <t>관악구 신림로 330, 10층 (신림동 1641-2 포도몰 10층)</t>
  </si>
  <si>
    <t>금천구 시흥대로 399 시티렉스 6층</t>
  </si>
  <si>
    <t>노원구 섬밭로 258 지하 1층 (중계동 506-1 건영백화점)</t>
  </si>
  <si>
    <t>마포구 양화로 153 (동교동) 3층</t>
  </si>
  <si>
    <t>마포구 양화로 147 아일렉스 7층 (동교동 160-4)</t>
  </si>
  <si>
    <t>서대문구 신촌로 129, 2층 (창천동 20-24, 20-25)</t>
  </si>
  <si>
    <t>성동구 왕십리로 50, 3층 (성수동1가)</t>
  </si>
  <si>
    <t>송파구 충민로 66, 10층 (장지동 201-27 가든파이브 라이프 영관 10층)</t>
  </si>
  <si>
    <t>종로구 경희궁1가길 7</t>
    <phoneticPr fontId="3" type="noConversion"/>
  </si>
  <si>
    <t>에무 시네마</t>
    <phoneticPr fontId="2" type="noConversion"/>
  </si>
  <si>
    <t>중구 남대문로 2가 130 (소공동 에비뉴엘 6층, 7층)</t>
  </si>
  <si>
    <t>세종시 도움1로 108 몰리브 7층</t>
  </si>
  <si>
    <t>북구 매산1로 17 (신천동)</t>
  </si>
  <si>
    <t>미추홀구 염창로 58, 6층 (주안동 30-1 카라아울렛 6~10층)</t>
  </si>
  <si>
    <t>미추홀구 연남로 35, 지하1층 (관교동 15 신세계백화점 지하1층)</t>
  </si>
  <si>
    <t>미추홀구 미추홀대로 716 메인프라자7층 (주안1동 166-1)</t>
  </si>
  <si>
    <t>서구 서곶로 788 (당하동) 홀리랜드 4층</t>
  </si>
  <si>
    <t>중구 개항로 63-2 (경동 238번지)</t>
  </si>
  <si>
    <t>광명시 일직로 17 롯데Premium아울렛 광명점 5층</t>
  </si>
  <si>
    <t xml:space="preserve">서구 시청로 67 (Premium아울렛) 6층 </t>
  </si>
  <si>
    <t>행정구역별 
정렬</t>
    <phoneticPr fontId="2" type="noConversion"/>
  </si>
  <si>
    <t>4DX, Cine &amp; Foret</t>
  </si>
  <si>
    <t>Super 4D</t>
  </si>
  <si>
    <t>Cine Couple</t>
  </si>
  <si>
    <t>Superplex</t>
  </si>
  <si>
    <t xml:space="preserve">Superplex </t>
  </si>
  <si>
    <t>서구 시청로 67 (프리미엄아울렛) 6층</t>
  </si>
  <si>
    <t>07관</t>
    <phoneticPr fontId="2" type="noConversion"/>
  </si>
  <si>
    <t>Dolby ATMOS</t>
  </si>
  <si>
    <t>중구 남대문로 2가 130(소공동 에비뉴엘 6층, 7층)</t>
  </si>
  <si>
    <t>용산구 한강대로 23길 55, 6층(한강로 3가 40-1 용산민자역사 6층)</t>
  </si>
  <si>
    <t>성동구 왕십리광장로 17, 5층(행당동 왕십리 민자역사 4층~6층)</t>
  </si>
  <si>
    <t>성동구 왕십리로 50, 3층(성수동1가)</t>
  </si>
  <si>
    <t>광진구 광나루로 56길 85(구의동 546-4 테크노마트 10층)</t>
  </si>
  <si>
    <t>광진구 아차산로 272(자양동 227-7번지 스타시티 2층)</t>
  </si>
  <si>
    <t>동대문구 왕산로 214(전농동)</t>
  </si>
  <si>
    <t>노원구 동일로 1414 롯데백화점 10층(상계동 713)</t>
  </si>
  <si>
    <t>노원구 동일로 204가길 12, 8층(중계동 509-2)</t>
  </si>
  <si>
    <t>양천구 목동동로 309 행복한세상백화점 6층(목동 917-6)</t>
  </si>
  <si>
    <t>강서구 하늘길 77 롯데몰(방화동 하늘길 38)</t>
  </si>
  <si>
    <t>금천구 디지털로 10길 9 현대아울렛쇼핑몰(가산동)</t>
  </si>
  <si>
    <t>영등포구 국제금융로 10, 지하3층(여의도동 국제금융로 10)</t>
  </si>
  <si>
    <t>영등포구 영산로 15, 4층(영등포동 4가 441-10번지 경방 타임스퀘어 4~7층)</t>
  </si>
  <si>
    <t>서초구 신반포로 176 센트럴시티빌딩 지하1층(반포동 19-3)</t>
  </si>
  <si>
    <t>강남구 도산대로 323(신사동 651-21)</t>
  </si>
  <si>
    <t>강남구 봉은사로 524 코엑스몰 B1(삼성동 159)</t>
  </si>
  <si>
    <t>강남구 압구정로 30길 45(신사동 603-2)</t>
  </si>
  <si>
    <t>송파구 충민로 66, 10층(장지동 201-27 가든파이브 라이프 영관 10층)</t>
  </si>
  <si>
    <t>부산진구 가야대로 772 롯데백화점 10층(부전동 503-15)</t>
  </si>
  <si>
    <t>부산진구 동천로 4, 6층(전포동 892-20 지오플레이스 6층)</t>
  </si>
  <si>
    <t>해운대구 센텀남대로 35, 7층(우동 1495번지 신세계센텀시티 7층)</t>
  </si>
  <si>
    <t>해운대구 센텀남대로 50 롯데백화점 8층(우동 센텀시티 1496)</t>
  </si>
  <si>
    <t>해운대구 해운대로 813 NC백화점 8층(좌동 1467-4)</t>
  </si>
  <si>
    <t>동구 안심로 80(율하동 1117)</t>
  </si>
  <si>
    <t>달서구 월곡로 247(상인동)</t>
  </si>
  <si>
    <t>남동구 예술로 198, 4층(구월동 1130 씨엔씨빌딩 4층)</t>
  </si>
  <si>
    <t>계양구 장제로 738, 8층(작전동 899-1 8~11층)</t>
  </si>
  <si>
    <t xml:space="preserve">서구 서곶로 788(당하동) 홀리랜드 4층 </t>
  </si>
  <si>
    <t>동구 독립로 268 롯데백화점 9층(대인동 7-1)</t>
  </si>
  <si>
    <t>동구 충장로안길 12(황금동 12-2)</t>
  </si>
  <si>
    <t>서구 무진대로 904, 2층~6층(광천동 49-1 유스퀘어 2~6층)</t>
  </si>
  <si>
    <t>서구 시청로 60번길 21-6(치평동 1223-3)</t>
  </si>
  <si>
    <t>광산구 임방울대로 826번길, 2층(쌍암동 667-9)</t>
  </si>
  <si>
    <t>광산구 장신로 98 롯데아울렛(장신동)</t>
  </si>
  <si>
    <t>광산구 풍영철길로 15(우산동1587-1)</t>
  </si>
  <si>
    <t>동구 동서대로 1689, 3층(용전동 63-3, 68-2)</t>
  </si>
  <si>
    <t>중구 계백로 1700, 6층(문화동 1-16 세이백화점 6층)</t>
  </si>
  <si>
    <t>남구 삼산로 288(삼산동 1480-1)</t>
  </si>
  <si>
    <t>남구 화합로 185, 5층(삼산동 1569-1 업스퀘어 5층)</t>
  </si>
  <si>
    <t>수원시 영통구 봉영로 1579 롯데쇼핑플라자 5층(영통동 960-1)</t>
  </si>
  <si>
    <t>수원시 팔달구 권광로 181, 7층(인계동 113-11 12번지 7~10)</t>
  </si>
  <si>
    <t>수원시 팔달구 덕영대로 924, 6층(매산로 1가)</t>
  </si>
  <si>
    <t>성남시 분당구 탄천상로 151번길 20(구미동 159 월드쇼핑 4층)</t>
  </si>
  <si>
    <t>의정부시 평화로 525, 10층(의정부동 168)</t>
  </si>
  <si>
    <t>안양시 동안구 시민대로 180, 8층(호계동 1039)</t>
  </si>
  <si>
    <t>안양시 만안구 만안로 244 롯데백화점 8층(안양1동 88-1)</t>
  </si>
  <si>
    <t>부천시 길주로 180, 5층(중동 1164 로담코 플라자 5~7층)</t>
  </si>
  <si>
    <t>평택시 평택로 51, 8층(평택동 186-3 평택민자역사 8층)</t>
  </si>
  <si>
    <t>안산시 상록구 충장로 427 롯데마트 안산점 4층(성포동 590)</t>
  </si>
  <si>
    <t xml:space="preserve">고양시 일산동구 정발산로 24(장항동 867번지 웨스턴돔 3층) </t>
  </si>
  <si>
    <t>고양시 일산서구 호수로 817 레이킨스몰 3층(대화동)</t>
  </si>
  <si>
    <t>용인시 수지구 포은대로 536, 8층(죽전동 1285번지 신세계백화점)</t>
  </si>
  <si>
    <t>파주시 중앙로 328 MH타워 4층(금촌동)</t>
  </si>
  <si>
    <t>춘천시 지석로 80, 3층~8층(퇴계동 1017투탑시티 3층~8층)</t>
  </si>
  <si>
    <t>청주시 흥덕구 2순환로 1004(비하동 332-1)</t>
  </si>
  <si>
    <t>천안시 서북구 1공단1길 52 센트하임 3층(두정동 68-1)</t>
  </si>
  <si>
    <t>천안시 서북구 공원로 196, 5층(불당동 1289 펜타포트 주상복합상가 5층)</t>
  </si>
  <si>
    <t>전주시 완산구 용머리로 45(Mall of Hyoja 2층)</t>
  </si>
  <si>
    <t>전주시 전주객사4길 74-10(고사동 181)</t>
  </si>
  <si>
    <t>김해시 내외중앙로 137, 4층(내동 1131-4 휴앤락 4층)</t>
  </si>
  <si>
    <t xml:space="preserve">서대문구 신촌로 129, 2층(창천동 20-24, 20-25) </t>
  </si>
  <si>
    <t xml:space="preserve">안산시 단원구 광덕대로 194(고잔동 725-1 스타맥스타워 5층) </t>
  </si>
  <si>
    <t xml:space="preserve">중구 남대문로 2가 130(소공동 에비뉴엘 6층, 7층) </t>
  </si>
  <si>
    <t xml:space="preserve">창원시 의창구 원이대로 332(두대동 1B1L 더시티세븐) </t>
  </si>
  <si>
    <t>Starium</t>
  </si>
  <si>
    <t>SOUNDX</t>
  </si>
  <si>
    <t>6P Laser</t>
  </si>
  <si>
    <t>102호</t>
  </si>
  <si>
    <t>101호</t>
  </si>
  <si>
    <t>103호</t>
  </si>
  <si>
    <t>104호</t>
  </si>
  <si>
    <t>105호</t>
  </si>
  <si>
    <t>19관</t>
  </si>
  <si>
    <t>6층 1관</t>
  </si>
  <si>
    <t>8층 10관</t>
  </si>
  <si>
    <t>Gold Class관</t>
  </si>
  <si>
    <t>Cine &amp; Foret관</t>
  </si>
  <si>
    <t>Charlotte관</t>
  </si>
  <si>
    <t>롯데시네마 에비뉴엘(명동)_Charlotte관</t>
  </si>
  <si>
    <t>롯데시네마 건대입구_Charlotte관</t>
  </si>
  <si>
    <t>롯데시네마 김포공항_Charlotte관</t>
  </si>
  <si>
    <t>롯데시네마 월드타워_Charlotte관</t>
  </si>
  <si>
    <t>롯데시네마 광복_Charlotte관</t>
  </si>
  <si>
    <t>롯데시네마 센텀시티(백화점)_Charlotte관</t>
  </si>
  <si>
    <t>롯데시네마 동성로_Charlotte관</t>
  </si>
  <si>
    <t>롯데시네마 광주(백화점)_Charlotte관</t>
  </si>
  <si>
    <t>롯데시네마 평촌(범계역)_Charlotte관</t>
  </si>
  <si>
    <t xml:space="preserve">02관 </t>
  </si>
  <si>
    <t xml:space="preserve">06관 </t>
  </si>
  <si>
    <t>15관</t>
  </si>
  <si>
    <t>20관</t>
  </si>
  <si>
    <t>21관</t>
  </si>
  <si>
    <t>IMAX, ScreenX, 4DX</t>
  </si>
  <si>
    <t>ScreenX, 4DX</t>
  </si>
  <si>
    <t>ScreenX, 4DX, Cine &amp; Foret</t>
  </si>
  <si>
    <t>ScreenX, 4DX, SphereX</t>
  </si>
  <si>
    <t>춘천시 중앙로 67번길 18</t>
  </si>
  <si>
    <t>파주시 청암로17번길 17 홈플러스 3층</t>
  </si>
  <si>
    <t>sancheong.littletheaters.com</t>
  </si>
  <si>
    <t>namhae.littletheaters.com</t>
  </si>
  <si>
    <t>www.hccinema.co.kr</t>
  </si>
  <si>
    <t>중구 계백로 1712 기독교연합봉사회관 1층</t>
  </si>
  <si>
    <t>afe.naver.com/cineindieu</t>
  </si>
  <si>
    <t>www.suncinema.co.kr</t>
  </si>
  <si>
    <t xml:space="preserve">창원시 성산구 중앙대로 100번길 13, 6층 </t>
  </si>
  <si>
    <t>http://pf.kakao.com/_IGxbEK</t>
  </si>
  <si>
    <t>비상설로 운영 중인 루프탑 1개관 제외</t>
    <phoneticPr fontId="2" type="noConversion"/>
  </si>
  <si>
    <t>Comfort 03관</t>
  </si>
  <si>
    <t>Comfort 04관</t>
  </si>
  <si>
    <t>Comfort 05관</t>
  </si>
  <si>
    <t>Comfort 06관</t>
  </si>
  <si>
    <t>Comfort 07관</t>
  </si>
  <si>
    <t>Comfort 08관</t>
  </si>
  <si>
    <t>Comfort 09관</t>
  </si>
  <si>
    <t>Comfort 10관</t>
  </si>
  <si>
    <t>www.laikacinema.com</t>
  </si>
  <si>
    <t>jeonjucinecomplex.kr</t>
  </si>
  <si>
    <t>063-231-3377</t>
  </si>
  <si>
    <t>02-363-2537</t>
  </si>
  <si>
    <t>070-7017-4526</t>
  </si>
  <si>
    <t>시흥시 장현능곡로 155 (능곡동)</t>
  </si>
  <si>
    <t>101호(The Boutique Suite)</t>
  </si>
  <si>
    <t>종로구 대명길 28</t>
  </si>
  <si>
    <t>부산진구 서면로 39 KT&amp;G</t>
  </si>
  <si>
    <t>중구 중앙대로 412</t>
  </si>
  <si>
    <t>(구)허리우드 극장 / 20.12.07.상영내역 없음. 휴관 처리 / 21.2.1. 발권재개</t>
    <phoneticPr fontId="3" type="noConversion"/>
  </si>
  <si>
    <t>19.12.31. 5관 아트하우스 전용관 해제 / 20.10.26. 휴관 / 21.5.19. 영업재개</t>
    <phoneticPr fontId="2" type="noConversion"/>
  </si>
  <si>
    <t>www.emuartspace.com</t>
  </si>
  <si>
    <t>* 부분휴관 및 부분폐관의 경우 휴관 극장 수, 폐관 극장 수에는 포함하지 않고 휴관 스크린 수, 폐관 스크린 수에는 포함함</t>
    <phoneticPr fontId="2" type="noConversion"/>
  </si>
  <si>
    <t>영화관명</t>
    <phoneticPr fontId="2" type="noConversion"/>
  </si>
  <si>
    <t>대기업 
운영 여부</t>
    <phoneticPr fontId="2" type="noConversion"/>
  </si>
  <si>
    <t>독립예술영화
전용관 수</t>
    <phoneticPr fontId="2" type="noConversion"/>
  </si>
  <si>
    <t>작은영화관 여부</t>
    <phoneticPr fontId="2" type="noConversion"/>
  </si>
  <si>
    <t>서울시</t>
    <phoneticPr fontId="3" type="noConversion"/>
  </si>
  <si>
    <t>종로구</t>
    <phoneticPr fontId="3" type="noConversion"/>
  </si>
  <si>
    <t>에무시네마</t>
    <phoneticPr fontId="3" type="noConversion"/>
  </si>
  <si>
    <t>~</t>
    <phoneticPr fontId="3" type="noConversion"/>
  </si>
  <si>
    <t>N</t>
    <phoneticPr fontId="2" type="noConversion"/>
  </si>
  <si>
    <t>CGV대학로</t>
  </si>
  <si>
    <t>~</t>
    <phoneticPr fontId="2" type="noConversion"/>
  </si>
  <si>
    <t>CGV피카디리1958</t>
  </si>
  <si>
    <t>~</t>
    <phoneticPr fontId="2" type="noConversion"/>
  </si>
  <si>
    <t>N</t>
    <phoneticPr fontId="2" type="noConversion"/>
  </si>
  <si>
    <t xml:space="preserve">(구)롯데시네마 피카디리 / 21.11.19. 7, 8관 폐업신고 </t>
    <phoneticPr fontId="2" type="noConversion"/>
  </si>
  <si>
    <t xml:space="preserve">서울시 </t>
    <phoneticPr fontId="3" type="noConversion"/>
  </si>
  <si>
    <t xml:space="preserve">종로구 </t>
    <phoneticPr fontId="3" type="noConversion"/>
  </si>
  <si>
    <t xml:space="preserve">낭만극장 </t>
    <phoneticPr fontId="3" type="noConversion"/>
  </si>
  <si>
    <t xml:space="preserve">낭만극장 </t>
    <phoneticPr fontId="3" type="noConversion"/>
  </si>
  <si>
    <t>종로구 삼일대로 428, 4층 (낙원동 284-6 낙원상가 4층)</t>
    <phoneticPr fontId="3" type="noConversion"/>
  </si>
  <si>
    <t>~</t>
    <phoneticPr fontId="3" type="noConversion"/>
  </si>
  <si>
    <t>N</t>
    <phoneticPr fontId="2" type="noConversion"/>
  </si>
  <si>
    <t>www.bravosilver.org</t>
    <phoneticPr fontId="2" type="noConversion"/>
  </si>
  <si>
    <t>20.12.10.~ 상영내역 없음. 휴관 처리 / 21.2.1. 발권재개</t>
    <phoneticPr fontId="2" type="noConversion"/>
  </si>
  <si>
    <t>허리우드 클래식</t>
    <phoneticPr fontId="3" type="noConversion"/>
  </si>
  <si>
    <t>종로구 삼일대로 428, 4층 (낙원동 284-6 낙원상가 4층)</t>
    <phoneticPr fontId="3" type="noConversion"/>
  </si>
  <si>
    <t>1관</t>
    <phoneticPr fontId="2" type="noConversion"/>
  </si>
  <si>
    <t>02-3672-4233</t>
    <phoneticPr fontId="2" type="noConversion"/>
  </si>
  <si>
    <t>종로구 새문안로 68 지하2층 (신문로1가 흥국생명빌딩)</t>
    <phoneticPr fontId="3" type="noConversion"/>
  </si>
  <si>
    <t>02-2002-7776</t>
    <phoneticPr fontId="2" type="noConversion"/>
  </si>
  <si>
    <t>www.cinecube.co.kr</t>
    <phoneticPr fontId="2" type="noConversion"/>
  </si>
  <si>
    <t>~</t>
    <phoneticPr fontId="2" type="noConversion"/>
  </si>
  <si>
    <t>CGV명동</t>
  </si>
  <si>
    <t>중구</t>
    <phoneticPr fontId="3" type="noConversion"/>
  </si>
  <si>
    <t>청춘극장</t>
    <phoneticPr fontId="3" type="noConversion"/>
  </si>
  <si>
    <t>중구 새문안로 22(충정로 1가 문화일보홀)</t>
    <phoneticPr fontId="3" type="noConversion"/>
  </si>
  <si>
    <t>02-739-5422</t>
    <phoneticPr fontId="3" type="noConversion"/>
  </si>
  <si>
    <t>café.naver.com/seoulsilvercinema</t>
    <phoneticPr fontId="3" type="noConversion"/>
  </si>
  <si>
    <t xml:space="preserve">은평구에서 이전 / 20.12.04.~ 상영내역 없음. 휴관 처리 </t>
    <phoneticPr fontId="3" type="noConversion"/>
  </si>
  <si>
    <t>CGV동대문</t>
  </si>
  <si>
    <t>중구</t>
    <phoneticPr fontId="2" type="noConversion"/>
  </si>
  <si>
    <t>중구 정동길 3 경향아트힐 2층</t>
    <phoneticPr fontId="3" type="noConversion"/>
  </si>
  <si>
    <t>02-741-9782</t>
    <phoneticPr fontId="2" type="noConversion"/>
  </si>
  <si>
    <t>22.4.4. 주소 및 좌석수 변경</t>
    <phoneticPr fontId="2" type="noConversion"/>
  </si>
  <si>
    <t>CGV명동역씨네라이브러리</t>
  </si>
  <si>
    <t>씨너스명동-&gt;CGV명동역 / 20.10.26. 휴관 후 21년 재개관. 21.3.29. 발권내역 확인됨</t>
    <phoneticPr fontId="2" type="noConversion"/>
  </si>
  <si>
    <t>02-3393-3500</t>
    <phoneticPr fontId="2" type="noConversion"/>
  </si>
  <si>
    <t>CGV용산아이파크몰</t>
  </si>
  <si>
    <t>CGV 아트하우스</t>
    <phoneticPr fontId="2" type="noConversion"/>
  </si>
  <si>
    <t>22.10.25. 4, 7관 좌석수 변경</t>
    <phoneticPr fontId="2" type="noConversion"/>
  </si>
  <si>
    <t>CGV왕십리</t>
  </si>
  <si>
    <t>서울시</t>
    <phoneticPr fontId="2" type="noConversion"/>
  </si>
  <si>
    <t>서울시</t>
    <phoneticPr fontId="2" type="noConversion"/>
  </si>
  <si>
    <t>성동구</t>
    <phoneticPr fontId="2" type="noConversion"/>
  </si>
  <si>
    <t>메가박스 성수</t>
    <phoneticPr fontId="2" type="noConversion"/>
  </si>
  <si>
    <t>직영</t>
    <phoneticPr fontId="2" type="noConversion"/>
  </si>
  <si>
    <t>직영</t>
    <phoneticPr fontId="2" type="noConversion"/>
  </si>
  <si>
    <t>CGV강변</t>
  </si>
  <si>
    <t>22.5.2. Cine &amp; Foret 좌석수 변경</t>
    <phoneticPr fontId="2" type="noConversion"/>
  </si>
  <si>
    <t>KU시네마테크</t>
    <phoneticPr fontId="2" type="noConversion"/>
  </si>
  <si>
    <t>광진구 능동로 120 건국대학교 예술문화대학 B108 (화양동 1번지)</t>
    <phoneticPr fontId="3" type="noConversion"/>
  </si>
  <si>
    <t>02-446-6579</t>
    <phoneticPr fontId="2" type="noConversion"/>
  </si>
  <si>
    <t>www.kucine.kr</t>
    <phoneticPr fontId="3" type="noConversion"/>
  </si>
  <si>
    <t>Super S, Charlotte</t>
    <phoneticPr fontId="2" type="noConversion"/>
  </si>
  <si>
    <t>22.8.25 11관 아르떼 클래식 운영종료, 폐관</t>
    <phoneticPr fontId="2" type="noConversion"/>
  </si>
  <si>
    <t>CGV건대입구</t>
  </si>
  <si>
    <t>중랑구</t>
    <phoneticPr fontId="2" type="noConversion"/>
  </si>
  <si>
    <t>롯데시네마 중랑</t>
    <phoneticPr fontId="2" type="noConversion"/>
  </si>
  <si>
    <t>중랑구 동일로 951</t>
    <phoneticPr fontId="2" type="noConversion"/>
  </si>
  <si>
    <t>위탁</t>
    <phoneticPr fontId="2" type="noConversion"/>
  </si>
  <si>
    <t>위탁</t>
    <phoneticPr fontId="2" type="noConversion"/>
  </si>
  <si>
    <t>Cine Comfort(2)</t>
    <phoneticPr fontId="2" type="noConversion"/>
  </si>
  <si>
    <t>CGV상봉</t>
  </si>
  <si>
    <t>CGV성신여대입구</t>
  </si>
  <si>
    <t>성북구 동소문로 106, 10층/12층 (동선동 1가)</t>
    <phoneticPr fontId="2" type="noConversion"/>
  </si>
  <si>
    <t>21.7.28. 씨네Q 성신여대입구 통합 3관 -&gt;5관으로 변경</t>
    <phoneticPr fontId="2" type="noConversion"/>
  </si>
  <si>
    <t>아리랑시네센터</t>
    <phoneticPr fontId="3" type="noConversion"/>
  </si>
  <si>
    <t>성북구 아리랑로 82 (돈암동 538-98)</t>
    <phoneticPr fontId="3" type="noConversion"/>
  </si>
  <si>
    <t>아리랑인디웨이브</t>
    <phoneticPr fontId="3" type="noConversion"/>
  </si>
  <si>
    <t xml:space="preserve">02-3291-5540 </t>
    <phoneticPr fontId="2" type="noConversion"/>
  </si>
  <si>
    <t>14.03.29. 재개관 / 20.12.05. 휴관 / 21.1.27. 영업재개</t>
    <phoneticPr fontId="3" type="noConversion"/>
  </si>
  <si>
    <t>21.12.15. 직영&gt; 위탁 전환</t>
    <phoneticPr fontId="2" type="noConversion"/>
  </si>
  <si>
    <t>CGV미아</t>
  </si>
  <si>
    <t>CGV수유</t>
  </si>
  <si>
    <t>도봉구</t>
    <phoneticPr fontId="2" type="noConversion"/>
  </si>
  <si>
    <t>CGV방학</t>
  </si>
  <si>
    <t>도봉구 도봉로 684, 4~8층</t>
    <phoneticPr fontId="2" type="noConversion"/>
  </si>
  <si>
    <t>서울시</t>
    <phoneticPr fontId="3" type="noConversion"/>
  </si>
  <si>
    <t>노원구</t>
    <phoneticPr fontId="3" type="noConversion"/>
  </si>
  <si>
    <t>더숲 아트시네마</t>
    <phoneticPr fontId="3" type="noConversion"/>
  </si>
  <si>
    <t>노원구 노해로 480 조광빌딩 지하1층</t>
    <phoneticPr fontId="3" type="noConversion"/>
  </si>
  <si>
    <t>1관, 2관</t>
    <phoneticPr fontId="2" type="noConversion"/>
  </si>
  <si>
    <t>02-951-0206</t>
    <phoneticPr fontId="3" type="noConversion"/>
  </si>
  <si>
    <t>17.08.09. 상설상영관으로 전환</t>
    <phoneticPr fontId="3" type="noConversion"/>
  </si>
  <si>
    <t>Super 4D</t>
    <phoneticPr fontId="2" type="noConversion"/>
  </si>
  <si>
    <t>아르떼 클래식</t>
    <phoneticPr fontId="2" type="noConversion"/>
  </si>
  <si>
    <t xml:space="preserve">21년 9월 직영 &gt; 위탁 전환 </t>
    <phoneticPr fontId="2" type="noConversion"/>
  </si>
  <si>
    <t>CGV중계</t>
  </si>
  <si>
    <t>CGV하계</t>
  </si>
  <si>
    <t xml:space="preserve">노원구 섬밭로 258 지하 1층 (중계동 506-1 건영백화점) </t>
    <phoneticPr fontId="2" type="noConversion"/>
  </si>
  <si>
    <t>(구)프리머스 노원 / Cine Kids19년 특별관 → 20년 일반관</t>
    <phoneticPr fontId="2" type="noConversion"/>
  </si>
  <si>
    <t>CGV불광</t>
  </si>
  <si>
    <t>서대문구 성산로 527 지하1층 (대신동 85-1 하늬솔빌딩)</t>
    <phoneticPr fontId="3" type="noConversion"/>
  </si>
  <si>
    <t>서대문구 성산로 527 지하1층 (대신동 85-1 하늬솔빌딩)</t>
    <phoneticPr fontId="3" type="noConversion"/>
  </si>
  <si>
    <t>1관, 2관</t>
    <phoneticPr fontId="2" type="noConversion"/>
  </si>
  <si>
    <t>07.04. 이전 개관</t>
    <phoneticPr fontId="3" type="noConversion"/>
  </si>
  <si>
    <t>CGV신촌아트레온</t>
  </si>
  <si>
    <t>Comfort(2)</t>
    <phoneticPr fontId="2" type="noConversion"/>
  </si>
  <si>
    <t xml:space="preserve">서울시 </t>
    <phoneticPr fontId="2" type="noConversion"/>
  </si>
  <si>
    <t>서대문구</t>
    <phoneticPr fontId="2" type="noConversion"/>
  </si>
  <si>
    <t>라이카시네마</t>
    <phoneticPr fontId="2" type="noConversion"/>
  </si>
  <si>
    <t>서대문구 연희로 8길 18, 스페이스독 지하1층</t>
    <phoneticPr fontId="2" type="noConversion"/>
  </si>
  <si>
    <t>~</t>
    <phoneticPr fontId="3" type="noConversion"/>
  </si>
  <si>
    <t>S관</t>
    <phoneticPr fontId="2" type="noConversion"/>
  </si>
  <si>
    <t>070-7780-0962</t>
    <phoneticPr fontId="2" type="noConversion"/>
  </si>
  <si>
    <t>22.2.21. 독립예술영화전용관 선정</t>
    <phoneticPr fontId="2" type="noConversion"/>
  </si>
  <si>
    <t>서대문구 이화여대길 52 이화여자대학교 ECC 402-4 (대현동)</t>
    <phoneticPr fontId="3" type="noConversion"/>
  </si>
  <si>
    <t>1관/2관</t>
    <phoneticPr fontId="2" type="noConversion"/>
  </si>
  <si>
    <t>02-747-7782</t>
    <phoneticPr fontId="2" type="noConversion"/>
  </si>
  <si>
    <t>20.12.01. 휴관 / 21.7.1. 영업재개</t>
    <phoneticPr fontId="3" type="noConversion"/>
  </si>
  <si>
    <t>마포구</t>
    <phoneticPr fontId="2" type="noConversion"/>
  </si>
  <si>
    <t>메가박스 홍대</t>
    <phoneticPr fontId="2" type="noConversion"/>
  </si>
  <si>
    <t>마포구 양화로 147 아일렉스 7층 (동교동 160-4)</t>
    <phoneticPr fontId="2" type="noConversion"/>
  </si>
  <si>
    <t>직영</t>
    <phoneticPr fontId="2" type="noConversion"/>
  </si>
  <si>
    <t>CGV홍대</t>
  </si>
  <si>
    <t>마포구</t>
    <phoneticPr fontId="2" type="noConversion"/>
  </si>
  <si>
    <t>인디스페이스</t>
    <phoneticPr fontId="3" type="noConversion"/>
  </si>
  <si>
    <t>마포구 양화로 176, (동교동) 동교동 스타피카소 8층</t>
  </si>
  <si>
    <t>02-738-0366</t>
    <phoneticPr fontId="3" type="noConversion"/>
  </si>
  <si>
    <t>café.naver.com/indiespace</t>
    <phoneticPr fontId="3" type="noConversion"/>
  </si>
  <si>
    <t>CGV연남</t>
  </si>
  <si>
    <t xml:space="preserve">마포구 양화로 186 (동교동) </t>
    <phoneticPr fontId="2" type="noConversion"/>
  </si>
  <si>
    <t>Suite Cinema, 4DX</t>
  </si>
  <si>
    <t>KT&amp;G 상상마당 시네마</t>
    <phoneticPr fontId="2" type="noConversion"/>
  </si>
  <si>
    <t>마포구 어울마당로 65 지하4층 (서교동 367-5)</t>
    <phoneticPr fontId="3" type="noConversion"/>
  </si>
  <si>
    <t>마포구 어울마당로 65 지하4층 (서교동 367-5)</t>
    <phoneticPr fontId="3" type="noConversion"/>
  </si>
  <si>
    <t>02-330-6200</t>
    <phoneticPr fontId="2" type="noConversion"/>
  </si>
  <si>
    <t>www.sangsangmadang.com</t>
    <phoneticPr fontId="2" type="noConversion"/>
  </si>
  <si>
    <t>20.08.29.~ 휴관 / 22.1.18. 재개관예정으로 21년은 휴관 처리 / 22.1.25. 영업재개</t>
    <phoneticPr fontId="2" type="noConversion"/>
  </si>
  <si>
    <t>메가박스 더 부티크 목동현대백화점</t>
    <phoneticPr fontId="2" type="noConversion"/>
  </si>
  <si>
    <t>양천구 목동 목동동로 257</t>
    <phoneticPr fontId="2" type="noConversion"/>
  </si>
  <si>
    <t>(구)CGV 목동(22.9.12. 영업종료)</t>
    <phoneticPr fontId="2" type="noConversion"/>
  </si>
  <si>
    <t>서울시</t>
    <phoneticPr fontId="2" type="noConversion"/>
  </si>
  <si>
    <t>강서구</t>
    <phoneticPr fontId="2" type="noConversion"/>
  </si>
  <si>
    <t>CGV등촌</t>
  </si>
  <si>
    <t>강서구 공항대로45길 63, 3~9층 (등촌동)</t>
    <phoneticPr fontId="2" type="noConversion"/>
  </si>
  <si>
    <t>ScreenX</t>
    <phoneticPr fontId="2" type="noConversion"/>
  </si>
  <si>
    <t>20.10.26.휴관 후 21년 재개관/ 22.11.28. 7,8관 폐관</t>
    <phoneticPr fontId="2" type="noConversion"/>
  </si>
  <si>
    <t>위탁</t>
    <phoneticPr fontId="2" type="noConversion"/>
  </si>
  <si>
    <t>Cine Comfort(6)</t>
    <phoneticPr fontId="2" type="noConversion"/>
  </si>
  <si>
    <t>Cine Comfort(6)</t>
    <phoneticPr fontId="2" type="noConversion"/>
  </si>
  <si>
    <t>21.6.23. 직영-&gt; 위탁 전환/ 22.1.3. 1~6관 좌석수 변경</t>
    <phoneticPr fontId="2" type="noConversion"/>
  </si>
  <si>
    <t>Super 4D, Charlotte</t>
    <phoneticPr fontId="2" type="noConversion"/>
  </si>
  <si>
    <t>Super 4D, Charlotte</t>
    <phoneticPr fontId="2" type="noConversion"/>
  </si>
  <si>
    <t>CGV구로</t>
  </si>
  <si>
    <t>ScreenX</t>
    <phoneticPr fontId="2" type="noConversion"/>
  </si>
  <si>
    <t>Reserve(2), Suite</t>
    <phoneticPr fontId="2" type="noConversion"/>
  </si>
  <si>
    <t>CGV여의도</t>
  </si>
  <si>
    <t xml:space="preserve">21.12.22. 7관-&gt;TEMPUR CINEMA 변경 </t>
    <phoneticPr fontId="2" type="noConversion"/>
  </si>
  <si>
    <t>CGV영등포</t>
  </si>
  <si>
    <t>동작구</t>
    <phoneticPr fontId="3" type="noConversion"/>
  </si>
  <si>
    <t xml:space="preserve">아트나인 </t>
    <phoneticPr fontId="3" type="noConversion"/>
  </si>
  <si>
    <t xml:space="preserve">동작구 동작대로 89 골든시네마 12층 </t>
    <phoneticPr fontId="3" type="noConversion"/>
  </si>
  <si>
    <t>0관/ 9관</t>
    <phoneticPr fontId="2" type="noConversion"/>
  </si>
  <si>
    <t>www.artnine.co.kr</t>
    <phoneticPr fontId="3" type="noConversion"/>
  </si>
  <si>
    <t>관악구 신림로 330, 10층 (신림동 1641-2 포도몰 10층)</t>
    <phoneticPr fontId="3" type="noConversion"/>
  </si>
  <si>
    <t>The Boutique(5)</t>
    <phoneticPr fontId="2" type="noConversion"/>
  </si>
  <si>
    <t>14.12.09. 2개관(7,8관) 폐관</t>
    <phoneticPr fontId="2" type="noConversion"/>
  </si>
  <si>
    <t>서초구</t>
    <phoneticPr fontId="2" type="noConversion"/>
  </si>
  <si>
    <t>CGV살롱서초</t>
  </si>
  <si>
    <t xml:space="preserve">서초구 효령로 391, B2층 (서초동) </t>
    <phoneticPr fontId="2" type="noConversion"/>
  </si>
  <si>
    <t>CGV강남</t>
  </si>
  <si>
    <t>강남구</t>
    <phoneticPr fontId="2" type="noConversion"/>
  </si>
  <si>
    <t>롯데시네마 도곡</t>
    <phoneticPr fontId="2" type="noConversion"/>
  </si>
  <si>
    <t>강남구 남부순환로 2753</t>
    <phoneticPr fontId="2" type="noConversion"/>
  </si>
  <si>
    <t>Cine Salon(2)</t>
    <phoneticPr fontId="2" type="noConversion"/>
  </si>
  <si>
    <t>CGV청담씨네시티</t>
  </si>
  <si>
    <t>4DX, Premium</t>
  </si>
  <si>
    <t>소상영관 A/B</t>
    <phoneticPr fontId="2" type="noConversion"/>
  </si>
  <si>
    <t>21.9.15. 돌비시네마 청소년전용관으로 등록/ 22. 12. 더부티크 프라이빗2관 오픈(KOBIS 등록 22.12.29.)</t>
    <phoneticPr fontId="2" type="noConversion"/>
  </si>
  <si>
    <t xml:space="preserve">강남구 </t>
    <phoneticPr fontId="3" type="noConversion"/>
  </si>
  <si>
    <t>이봄씨어터</t>
    <phoneticPr fontId="3" type="noConversion"/>
  </si>
  <si>
    <t>강남구 압구정로 10길 9 대원빌딩 지하2층</t>
    <phoneticPr fontId="3" type="noConversion"/>
  </si>
  <si>
    <t>070-8233-4321</t>
    <phoneticPr fontId="3" type="noConversion"/>
  </si>
  <si>
    <t>CGV압구정</t>
  </si>
  <si>
    <t>IMAX, Cine de Chef(2)</t>
  </si>
  <si>
    <t xml:space="preserve">22.8.10. 1관-&gt; IMAX관 변경 </t>
    <phoneticPr fontId="2" type="noConversion"/>
  </si>
  <si>
    <t>CGV송파</t>
  </si>
  <si>
    <t>CGV천호</t>
  </si>
  <si>
    <t xml:space="preserve">Superplex, Super 4D, Charlotte </t>
    <phoneticPr fontId="2" type="noConversion"/>
  </si>
  <si>
    <t>CGV서면</t>
  </si>
  <si>
    <t xml:space="preserve">1관 없음 </t>
    <phoneticPr fontId="2" type="noConversion"/>
  </si>
  <si>
    <t>부산시</t>
    <phoneticPr fontId="2" type="noConversion"/>
  </si>
  <si>
    <t>부산진구</t>
    <phoneticPr fontId="2" type="noConversion"/>
  </si>
  <si>
    <t>CGV서면상상마당</t>
  </si>
  <si>
    <t>부산진구 서면로 39 KT&amp;G</t>
    <phoneticPr fontId="2" type="noConversion"/>
  </si>
  <si>
    <t>Private Box</t>
    <phoneticPr fontId="2" type="noConversion"/>
  </si>
  <si>
    <t>CGV서면삼정타워</t>
  </si>
  <si>
    <t>부산진구 중앙대로 672 삼정타워 11층(부전동 227-2)</t>
    <phoneticPr fontId="2" type="noConversion"/>
  </si>
  <si>
    <t>CGV동래</t>
  </si>
  <si>
    <t>CGV대연</t>
  </si>
  <si>
    <t>CGV화명</t>
  </si>
  <si>
    <t>CGV센텀시티</t>
  </si>
  <si>
    <t>Starium, 4DX, Cine de Chef(2), ScreenX</t>
  </si>
  <si>
    <t>영화의 전당</t>
    <phoneticPr fontId="3" type="noConversion"/>
  </si>
  <si>
    <t>해운대구 수영강변대로 120 (우1동 1467)</t>
    <phoneticPr fontId="3" type="noConversion"/>
  </si>
  <si>
    <t>해운대구 수영강변대로 120 (우1동 1467)</t>
    <phoneticPr fontId="3" type="noConversion"/>
  </si>
  <si>
    <t>시네마테크관/ 소극장/ 인디플러스 영화의 전당</t>
    <phoneticPr fontId="2" type="noConversion"/>
  </si>
  <si>
    <t>051-780-6087</t>
    <phoneticPr fontId="3" type="noConversion"/>
  </si>
  <si>
    <t>비상설로 운영 중인 2개관(야외극장, 하늘연극장) 제외</t>
    <phoneticPr fontId="3" type="noConversion"/>
  </si>
  <si>
    <t>CGV해운대</t>
  </si>
  <si>
    <t>롯데시네마 프리미엄해운대(장산역)</t>
    <phoneticPr fontId="2" type="noConversion"/>
  </si>
  <si>
    <t>CGV하단아트몰링</t>
  </si>
  <si>
    <t>사하구 낙동남로 1413 아트몰링문화관 7층 (하단동)</t>
    <phoneticPr fontId="2" type="noConversion"/>
  </si>
  <si>
    <t>Comfort</t>
    <phoneticPr fontId="2" type="noConversion"/>
  </si>
  <si>
    <t>롯데시네마 오투(부산대)</t>
    <phoneticPr fontId="2" type="noConversion"/>
  </si>
  <si>
    <t>아르떼 클래식</t>
    <phoneticPr fontId="2" type="noConversion"/>
  </si>
  <si>
    <t>강서구</t>
    <phoneticPr fontId="2" type="noConversion"/>
  </si>
  <si>
    <t>롯데시네마 부산명지</t>
    <phoneticPr fontId="2" type="noConversion"/>
  </si>
  <si>
    <t>강서구 명지국제6로 107, 2층 (명지동 대방디엠시티 2차)</t>
    <phoneticPr fontId="2" type="noConversion"/>
  </si>
  <si>
    <t>CGV부산명지</t>
  </si>
  <si>
    <t>강서구 명지국제8로 10번길 38, 명지플러스시네마 9층</t>
  </si>
  <si>
    <t>CGV아시아드</t>
  </si>
  <si>
    <t>4DX, ScreenX</t>
  </si>
  <si>
    <t>09.03. CGV 아시아드로 상호변경</t>
    <phoneticPr fontId="2" type="noConversion"/>
  </si>
  <si>
    <t>메가박스 사상</t>
    <phoneticPr fontId="2" type="noConversion"/>
  </si>
  <si>
    <t>사상구 사상로 201 애플아울렛 본관 3~4층(괘법동 533-1)</t>
    <phoneticPr fontId="2" type="noConversion"/>
  </si>
  <si>
    <t>Comfort(7)</t>
    <phoneticPr fontId="2" type="noConversion"/>
  </si>
  <si>
    <t>22.1.12. 롯데시네마 사상 -&gt;22.5.2. 메가박스 사상으로 전환</t>
    <phoneticPr fontId="2" type="noConversion"/>
  </si>
  <si>
    <t>CGV정관</t>
  </si>
  <si>
    <t xml:space="preserve">대구시 </t>
    <phoneticPr fontId="3" type="noConversion"/>
  </si>
  <si>
    <t xml:space="preserve">중구 </t>
    <phoneticPr fontId="3" type="noConversion"/>
  </si>
  <si>
    <t xml:space="preserve">대구독립영화전용관 오오극장 </t>
    <phoneticPr fontId="3" type="noConversion"/>
  </si>
  <si>
    <t>중구 국채보상로 537</t>
    <phoneticPr fontId="3" type="noConversion"/>
  </si>
  <si>
    <t>오오</t>
    <phoneticPr fontId="2" type="noConversion"/>
  </si>
  <si>
    <t>롯데시네마 프리미엄만경</t>
    <phoneticPr fontId="2" type="noConversion"/>
  </si>
  <si>
    <t>CGV대구현대</t>
  </si>
  <si>
    <t>CGV대구한일</t>
  </si>
  <si>
    <t xml:space="preserve">(구)대구한일극장 → (구)메가박스 대구한일 </t>
    <phoneticPr fontId="2" type="noConversion"/>
  </si>
  <si>
    <t>CGV대구아카데미</t>
  </si>
  <si>
    <t>(구)롯데시네마 대구아카데미 / 20.10.26.~ 휴관</t>
    <phoneticPr fontId="2" type="noConversion"/>
  </si>
  <si>
    <t>동구 동부로 149 신세계백화점 8층</t>
    <phoneticPr fontId="2" type="noConversion"/>
  </si>
  <si>
    <t xml:space="preserve">Dolby Cinema </t>
    <phoneticPr fontId="2" type="noConversion"/>
  </si>
  <si>
    <t>롯데시네마 대구율하</t>
    <phoneticPr fontId="2" type="noConversion"/>
  </si>
  <si>
    <t>씨네Q 대구이시아</t>
    <phoneticPr fontId="2" type="noConversion"/>
  </si>
  <si>
    <t>Recliner(7)</t>
    <phoneticPr fontId="2" type="noConversion"/>
  </si>
  <si>
    <t>(구)CGV 대구이시아폴리스/ 22.1.19. CGV대구이시아에서 전환됨</t>
    <phoneticPr fontId="2" type="noConversion"/>
  </si>
  <si>
    <t>Comfort(7)</t>
    <phoneticPr fontId="2" type="noConversion"/>
  </si>
  <si>
    <t>20년 위탁-&gt;직영 전환</t>
    <phoneticPr fontId="2" type="noConversion"/>
  </si>
  <si>
    <t>CGV대구칠곡</t>
  </si>
  <si>
    <t>대구시</t>
    <phoneticPr fontId="2" type="noConversion"/>
  </si>
  <si>
    <t>북구</t>
    <phoneticPr fontId="2" type="noConversion"/>
  </si>
  <si>
    <t>CGV대구연경</t>
  </si>
  <si>
    <t>북구 동화천로 290</t>
    <phoneticPr fontId="2" type="noConversion"/>
  </si>
  <si>
    <t>북구</t>
    <phoneticPr fontId="2" type="noConversion"/>
  </si>
  <si>
    <t>CGV대구</t>
    <phoneticPr fontId="2" type="noConversion"/>
  </si>
  <si>
    <t>북구 침산로 93 스펙트럼시티 4층 (칠성동2가)</t>
    <phoneticPr fontId="2" type="noConversion"/>
  </si>
  <si>
    <t>롯데시네마 프리미엄칠곡</t>
    <phoneticPr fontId="2" type="noConversion"/>
  </si>
  <si>
    <t>CGV대구스타디움</t>
  </si>
  <si>
    <t>CGV대구수성</t>
  </si>
  <si>
    <t>CGV대구월성</t>
  </si>
  <si>
    <t>달성군</t>
    <phoneticPr fontId="2" type="noConversion"/>
  </si>
  <si>
    <t>롯데시네마 대구현풍</t>
    <phoneticPr fontId="2" type="noConversion"/>
  </si>
  <si>
    <t>달성군 현풍읍 테크노상업로 62 센터빌타워 4층 (현풍읍 중리)</t>
    <phoneticPr fontId="2" type="noConversion"/>
  </si>
  <si>
    <t>달성군 현풍읍 테크노상업로 62 센터빌타워 4층 (현풍읍 중리)</t>
    <phoneticPr fontId="2" type="noConversion"/>
  </si>
  <si>
    <t>중구 개항로 63-2 (경동 238번지)</t>
    <phoneticPr fontId="3" type="noConversion"/>
  </si>
  <si>
    <t>인천시</t>
    <phoneticPr fontId="2" type="noConversion"/>
  </si>
  <si>
    <t>중구</t>
    <phoneticPr fontId="2" type="noConversion"/>
  </si>
  <si>
    <t>중구</t>
    <phoneticPr fontId="2" type="noConversion"/>
  </si>
  <si>
    <t>롯데시네마 영종하늘도시</t>
    <phoneticPr fontId="2" type="noConversion"/>
  </si>
  <si>
    <t>중구 하늘중앙로195번길 15 세영프라자 3층 (중산동)</t>
    <phoneticPr fontId="2" type="noConversion"/>
  </si>
  <si>
    <t>인천시</t>
    <phoneticPr fontId="3" type="noConversion"/>
  </si>
  <si>
    <t>동구</t>
    <phoneticPr fontId="3" type="noConversion"/>
  </si>
  <si>
    <t xml:space="preserve">인천미림극장 </t>
    <phoneticPr fontId="3" type="noConversion"/>
  </si>
  <si>
    <t>동구 화도진로 31 (송현동 92-7)</t>
    <phoneticPr fontId="3" type="noConversion"/>
  </si>
  <si>
    <t>032-764-6920</t>
    <phoneticPr fontId="3" type="noConversion"/>
  </si>
  <si>
    <t>22.4.27. 좌석수 변경</t>
    <phoneticPr fontId="2" type="noConversion"/>
  </si>
  <si>
    <t>미추홀구</t>
    <phoneticPr fontId="2" type="noConversion"/>
  </si>
  <si>
    <t>CGV인천학익</t>
  </si>
  <si>
    <t xml:space="preserve">미추홀구 매소홀로 255, 5~8층 </t>
    <phoneticPr fontId="2" type="noConversion"/>
  </si>
  <si>
    <t>미추홀구 미추홀대로 716 메인프라자7층 (주안1동 166-1)</t>
    <phoneticPr fontId="3" type="noConversion"/>
  </si>
  <si>
    <t>1관/2관/3관/4관</t>
    <phoneticPr fontId="2" type="noConversion"/>
  </si>
  <si>
    <t>(구)프리머스 주안</t>
    <phoneticPr fontId="3" type="noConversion"/>
  </si>
  <si>
    <t>미추홀구</t>
    <phoneticPr fontId="2" type="noConversion"/>
  </si>
  <si>
    <t>CGV인천도화</t>
  </si>
  <si>
    <t>미추홀구 숙골로 88번길 12, 지하1층</t>
    <phoneticPr fontId="2" type="noConversion"/>
  </si>
  <si>
    <t>미추홀구 연남로 35, 지하1층 (관교동 15 신세계백화점 지하1층)</t>
    <phoneticPr fontId="2" type="noConversion"/>
  </si>
  <si>
    <t>CGV주안역</t>
  </si>
  <si>
    <t>미추홀구 염창로 58, 6층 (주안동 30-1 카라아울렛 6~10층)</t>
    <phoneticPr fontId="2" type="noConversion"/>
  </si>
  <si>
    <t>(구)CGV 주안/ 20.03.07. 직영 → 위탁 전환</t>
    <phoneticPr fontId="2" type="noConversion"/>
  </si>
  <si>
    <t>연수구</t>
    <phoneticPr fontId="2" type="noConversion"/>
  </si>
  <si>
    <t>CGV연수역</t>
  </si>
  <si>
    <t>(구)메가박스 연수 / 20.10.26.~ 휴관/ 22.4.13. 발권재개</t>
    <phoneticPr fontId="2" type="noConversion"/>
  </si>
  <si>
    <t>CGV인천연수</t>
  </si>
  <si>
    <t>CGV송도타임스페이스</t>
  </si>
  <si>
    <t>연수구 하모니로 158 지하1층</t>
    <phoneticPr fontId="2" type="noConversion"/>
  </si>
  <si>
    <t>22.11.18. 6,7관 좌석수 변경</t>
    <phoneticPr fontId="2" type="noConversion"/>
  </si>
  <si>
    <t>CGV인천논현</t>
  </si>
  <si>
    <t>CGV인천</t>
  </si>
  <si>
    <t xml:space="preserve">22.7.13. 10관 좌석수 변경 </t>
    <phoneticPr fontId="2" type="noConversion"/>
  </si>
  <si>
    <t>부평구 경원대로 1382 (부평1동 201-9)</t>
    <phoneticPr fontId="3" type="noConversion"/>
  </si>
  <si>
    <t>032-503-3330</t>
    <phoneticPr fontId="2" type="noConversion"/>
  </si>
  <si>
    <t>https://daihan.moonhwain.net:451/</t>
  </si>
  <si>
    <t>CGV부평</t>
  </si>
  <si>
    <t>부평구</t>
    <phoneticPr fontId="2" type="noConversion"/>
  </si>
  <si>
    <t>롯데시네마 부평갈산</t>
    <phoneticPr fontId="2" type="noConversion"/>
  </si>
  <si>
    <t>부평구 주부토로 236, 3층 (갈산동)</t>
    <phoneticPr fontId="2" type="noConversion"/>
  </si>
  <si>
    <t>CGV계양</t>
  </si>
  <si>
    <t>4DX</t>
    <phoneticPr fontId="2" type="noConversion"/>
  </si>
  <si>
    <t>CGV청라</t>
  </si>
  <si>
    <t xml:space="preserve">강화군 </t>
    <phoneticPr fontId="3" type="noConversion"/>
  </si>
  <si>
    <t xml:space="preserve">강화작은영화관 </t>
    <phoneticPr fontId="3" type="noConversion"/>
  </si>
  <si>
    <t xml:space="preserve">강화군 고비고개로 19번길 12 </t>
    <phoneticPr fontId="3" type="noConversion"/>
  </si>
  <si>
    <t>Y</t>
    <phoneticPr fontId="2" type="noConversion"/>
  </si>
  <si>
    <t>032-934-7717</t>
    <phoneticPr fontId="2" type="noConversion"/>
  </si>
  <si>
    <t>ganghwa.scinema.org</t>
    <phoneticPr fontId="2" type="noConversion"/>
  </si>
  <si>
    <t xml:space="preserve">20.02.21. 상영내역 없음. 휴관 처리 / 21.4월경 재개관예정, 21년은 상영내역 없음/ 22.5.23. 영업재개 </t>
    <phoneticPr fontId="2" type="noConversion"/>
  </si>
  <si>
    <t>광주독립영화관</t>
    <phoneticPr fontId="3" type="noConversion"/>
  </si>
  <si>
    <t>동구 제봉로 96 (서석동 47번지 1호)</t>
    <phoneticPr fontId="3" type="noConversion"/>
  </si>
  <si>
    <t>062-222-1895</t>
    <phoneticPr fontId="2" type="noConversion"/>
  </si>
  <si>
    <t>www.gift4u.or.kr</t>
    <phoneticPr fontId="3" type="noConversion"/>
  </si>
  <si>
    <t>CGV광주금남로</t>
  </si>
  <si>
    <t>동구 중앙로 160번길 16-7 부로타워 2층(불로동 1-21)</t>
    <phoneticPr fontId="2" type="noConversion"/>
  </si>
  <si>
    <t>(구)씨네씨티/ (구)메가박스 광주(충장로) / 20.10.26.휴관 후 21년 재개관</t>
    <phoneticPr fontId="2" type="noConversion"/>
  </si>
  <si>
    <t>CGV광주충장로</t>
  </si>
  <si>
    <t>동구 충장로 46번길 10 (충장로 5가 62)</t>
    <phoneticPr fontId="3" type="noConversion"/>
  </si>
  <si>
    <t>062-224-5858</t>
    <phoneticPr fontId="2" type="noConversion"/>
  </si>
  <si>
    <t>CGV광주터미널</t>
  </si>
  <si>
    <t>IMAX, ScreenX, 4DX</t>
    <phoneticPr fontId="2" type="noConversion"/>
  </si>
  <si>
    <t>Comfort(10)</t>
    <phoneticPr fontId="2" type="noConversion"/>
  </si>
  <si>
    <t>CGV광주상무</t>
  </si>
  <si>
    <t>CGV광주용봉</t>
  </si>
  <si>
    <t>Cine Comfort(7)</t>
    <phoneticPr fontId="2" type="noConversion"/>
  </si>
  <si>
    <t>20.03.16.휴관 / 21년 1월 중순 사업자 변경 후 재개관</t>
    <phoneticPr fontId="2" type="noConversion"/>
  </si>
  <si>
    <t>CGV광주하남</t>
  </si>
  <si>
    <t>CGV광주첨단</t>
  </si>
  <si>
    <t>CGV대전터미널</t>
  </si>
  <si>
    <t>CGV대전가오</t>
  </si>
  <si>
    <t>CGV대전</t>
  </si>
  <si>
    <t>대전시</t>
    <phoneticPr fontId="2" type="noConversion"/>
  </si>
  <si>
    <t>대전독립영화전용관 씨네인디U</t>
    <phoneticPr fontId="2" type="noConversion"/>
  </si>
  <si>
    <t>중구 계백로 1712 기독교연합봉사회관 1층</t>
    <phoneticPr fontId="2" type="noConversion"/>
  </si>
  <si>
    <t>042-331-1895</t>
    <phoneticPr fontId="2" type="noConversion"/>
  </si>
  <si>
    <t xml:space="preserve">20.04.23. 상영시작일을 개관일로 봄 </t>
    <phoneticPr fontId="2" type="noConversion"/>
  </si>
  <si>
    <t>메가박스 대전중앙로</t>
    <phoneticPr fontId="2" type="noConversion"/>
  </si>
  <si>
    <t>중구 중앙로 126(대흥동)</t>
    <phoneticPr fontId="2" type="noConversion"/>
  </si>
  <si>
    <t>서구</t>
    <phoneticPr fontId="2" type="noConversion"/>
  </si>
  <si>
    <t>CGV대전가수원</t>
  </si>
  <si>
    <t>서구 도안동로11번길 45, U플라자 5~6층(가수원동)</t>
    <phoneticPr fontId="2" type="noConversion"/>
  </si>
  <si>
    <t>Comfort(4)</t>
    <phoneticPr fontId="2" type="noConversion"/>
  </si>
  <si>
    <t>CGV대전탄방</t>
  </si>
  <si>
    <t>롯데시네마 대전관저</t>
    <phoneticPr fontId="2" type="noConversion"/>
  </si>
  <si>
    <t>서구 봉우로8번길 23, 5층 (관저동 1735)</t>
    <phoneticPr fontId="2" type="noConversion"/>
  </si>
  <si>
    <t>메가박스 대전유성</t>
    <phoneticPr fontId="2" type="noConversion"/>
  </si>
  <si>
    <t>(구)CGV 유성온천 20.02.29. 영업종료 후 전환</t>
    <phoneticPr fontId="2" type="noConversion"/>
  </si>
  <si>
    <t>CGV유성노은</t>
  </si>
  <si>
    <t>유성구</t>
    <phoneticPr fontId="2" type="noConversion"/>
  </si>
  <si>
    <t>메가박스 대전신세계 아트앤사이언스</t>
    <phoneticPr fontId="2" type="noConversion"/>
  </si>
  <si>
    <t>유성구 엑스포로1, 대전신세계아트앤사이언스지점 6~7층</t>
    <phoneticPr fontId="2" type="noConversion"/>
  </si>
  <si>
    <t>Comfort(5), Dolby Cinema, The Boutique suite</t>
    <phoneticPr fontId="2" type="noConversion"/>
  </si>
  <si>
    <t xml:space="preserve">유성구 </t>
    <phoneticPr fontId="2" type="noConversion"/>
  </si>
  <si>
    <t>메가박스 대전현대아울렛</t>
    <phoneticPr fontId="2" type="noConversion"/>
  </si>
  <si>
    <t>유성구 테크노중앙로 123, 3층</t>
    <phoneticPr fontId="2" type="noConversion"/>
  </si>
  <si>
    <t>CGV울산삼산</t>
  </si>
  <si>
    <t>IMAX, ScreenX, 4DX, Gold Class</t>
  </si>
  <si>
    <t>울산시</t>
    <phoneticPr fontId="2" type="noConversion"/>
  </si>
  <si>
    <t>동구</t>
    <phoneticPr fontId="2" type="noConversion"/>
  </si>
  <si>
    <t>CGV울산동구</t>
  </si>
  <si>
    <t>동구 등대로50</t>
  </si>
  <si>
    <t>현대예술관</t>
    <phoneticPr fontId="2" type="noConversion"/>
  </si>
  <si>
    <t>동구 명덕로 10 (서부동 110-1)</t>
    <phoneticPr fontId="3" type="noConversion"/>
  </si>
  <si>
    <t>052-209-7816</t>
    <phoneticPr fontId="2" type="noConversion"/>
  </si>
  <si>
    <t>영화관 2개관 / 20.12.14. 휴관 / 21.01.14. 영업재개</t>
    <phoneticPr fontId="3" type="noConversion"/>
  </si>
  <si>
    <t>CGV울산신천</t>
  </si>
  <si>
    <t>북구 매산1로 17 (신천동)</t>
    <phoneticPr fontId="2" type="noConversion"/>
  </si>
  <si>
    <t>CGV울산진장</t>
  </si>
  <si>
    <t>울산시</t>
    <phoneticPr fontId="3" type="noConversion"/>
  </si>
  <si>
    <t xml:space="preserve">울주군 </t>
    <phoneticPr fontId="3" type="noConversion"/>
  </si>
  <si>
    <t xml:space="preserve">알프스시네마 </t>
    <phoneticPr fontId="3" type="noConversion"/>
  </si>
  <si>
    <t>울주군 상북면 알프스온천5길 103-8</t>
    <phoneticPr fontId="3" type="noConversion"/>
  </si>
  <si>
    <t>052-204-2931</t>
    <phoneticPr fontId="3" type="noConversion"/>
  </si>
  <si>
    <t>22.5.2. 좌석수 변경</t>
    <phoneticPr fontId="2" type="noConversion"/>
  </si>
  <si>
    <t>세종시</t>
    <phoneticPr fontId="2" type="noConversion"/>
  </si>
  <si>
    <t xml:space="preserve">메가박스 세종나성 </t>
    <phoneticPr fontId="2" type="noConversion"/>
  </si>
  <si>
    <t xml:space="preserve">세종시 나성로 38, 4~6층 (나성동 세종가로수길 건물) </t>
    <phoneticPr fontId="2" type="noConversion"/>
  </si>
  <si>
    <t>CGV세종</t>
  </si>
  <si>
    <t xml:space="preserve">메가박스 세종청사 </t>
    <phoneticPr fontId="2" type="noConversion"/>
  </si>
  <si>
    <t>세종시 도움3로 19, 엠브릿지 B1층</t>
    <phoneticPr fontId="2" type="noConversion"/>
  </si>
  <si>
    <t>Comfort(6)</t>
    <phoneticPr fontId="2" type="noConversion"/>
  </si>
  <si>
    <t>조치원읍</t>
    <phoneticPr fontId="2" type="noConversion"/>
  </si>
  <si>
    <t>메가박스 세종(조치원)</t>
    <phoneticPr fontId="2" type="noConversion"/>
  </si>
  <si>
    <t>21.11.15. 직영&gt; 위탁전환</t>
    <phoneticPr fontId="2" type="noConversion"/>
  </si>
  <si>
    <t>경기도</t>
    <phoneticPr fontId="2" type="noConversion"/>
  </si>
  <si>
    <t>수원시</t>
    <phoneticPr fontId="2" type="noConversion"/>
  </si>
  <si>
    <t>롯데시네마 서수원</t>
    <phoneticPr fontId="2" type="noConversion"/>
  </si>
  <si>
    <t>수원시 권선구 금곡로 219 (금곡동 1114-1번지)</t>
    <phoneticPr fontId="2" type="noConversion"/>
  </si>
  <si>
    <t>1544-8855</t>
    <phoneticPr fontId="2" type="noConversion"/>
  </si>
  <si>
    <t>Superplex, Super 4D, Colorium</t>
    <phoneticPr fontId="2" type="noConversion"/>
  </si>
  <si>
    <t>메가박스 수원호매실</t>
    <phoneticPr fontId="2" type="noConversion"/>
  </si>
  <si>
    <t>수원시 권선구 호매실로90번길 76 아진스퀘어 7,8층</t>
  </si>
  <si>
    <t>Comfort(5)</t>
    <phoneticPr fontId="2" type="noConversion"/>
  </si>
  <si>
    <t>CGV광교</t>
  </si>
  <si>
    <t xml:space="preserve">수원시 영통구 광교호수공원로 320 갤러리아백화점 광교점 10층 </t>
    <phoneticPr fontId="2" type="noConversion"/>
  </si>
  <si>
    <t>4DX, IMAX</t>
  </si>
  <si>
    <t>22.5.11. 키즈A, B관 -&gt; Puppy Cinema관으로 변경</t>
    <phoneticPr fontId="2" type="noConversion"/>
  </si>
  <si>
    <t>CGV북수원</t>
  </si>
  <si>
    <t>롯데시네마 북수원</t>
    <phoneticPr fontId="2" type="noConversion"/>
  </si>
  <si>
    <t>수원시 장안구 천천로 100</t>
    <phoneticPr fontId="2" type="noConversion"/>
  </si>
  <si>
    <t>CGV동수원</t>
  </si>
  <si>
    <t>CGV수원</t>
  </si>
  <si>
    <t>CGV서현</t>
  </si>
  <si>
    <t>CGV야탑</t>
  </si>
  <si>
    <t>CGV판교</t>
  </si>
  <si>
    <t>IMAX, ScreenX, 4DX, TEMPUR CINEMA</t>
  </si>
  <si>
    <t xml:space="preserve">21.12.10. 7관-&gt; TEMPUR CINEMA 변경 </t>
    <phoneticPr fontId="2" type="noConversion"/>
  </si>
  <si>
    <t>(구)시네플라자</t>
    <phoneticPr fontId="2" type="noConversion"/>
  </si>
  <si>
    <t>CGV성남모란</t>
  </si>
  <si>
    <t>(구)롯데시네마 성남(모란역) 20.02.01. CGV로 전환</t>
    <phoneticPr fontId="2" type="noConversion"/>
  </si>
  <si>
    <t>성남시</t>
    <phoneticPr fontId="2" type="noConversion"/>
  </si>
  <si>
    <t>롯데시네마 판교</t>
    <phoneticPr fontId="2" type="noConversion"/>
  </si>
  <si>
    <t>성남시 수정구 창업로 18 파미어스몰 B1~B3 (시흥동)</t>
    <phoneticPr fontId="2" type="noConversion"/>
  </si>
  <si>
    <t>CGV의정부태흥</t>
  </si>
  <si>
    <t>1544-0070</t>
    <phoneticPr fontId="3" type="noConversion"/>
  </si>
  <si>
    <t>CGV의정부</t>
  </si>
  <si>
    <t>CGV평촌</t>
  </si>
  <si>
    <t>CGV범계</t>
  </si>
  <si>
    <t>(구)메가박스 인덕원 / 21년 10월 직영&gt;위탁 전환</t>
    <phoneticPr fontId="2" type="noConversion"/>
  </si>
  <si>
    <t>CGV역곡</t>
  </si>
  <si>
    <t>부천시 경인로 505, 6층 (괴안동 역곡하이뷰 6층)</t>
    <phoneticPr fontId="2" type="noConversion"/>
  </si>
  <si>
    <t>경기도</t>
    <phoneticPr fontId="3" type="noConversion"/>
  </si>
  <si>
    <t>부천시</t>
    <phoneticPr fontId="3" type="noConversion"/>
  </si>
  <si>
    <t>CGV부천</t>
  </si>
  <si>
    <t>판타스틱 큐브</t>
    <phoneticPr fontId="3" type="noConversion"/>
  </si>
  <si>
    <t>부천시 길주로 210</t>
    <phoneticPr fontId="3" type="noConversion"/>
  </si>
  <si>
    <t>032-329-8150</t>
    <phoneticPr fontId="3" type="noConversion"/>
  </si>
  <si>
    <t>www.bcmc.kr</t>
    <phoneticPr fontId="3" type="noConversion"/>
  </si>
  <si>
    <t>부천시 길주로 289 (중동 1141-2)</t>
    <phoneticPr fontId="3" type="noConversion"/>
  </si>
  <si>
    <t>CGV부천역</t>
  </si>
  <si>
    <t>부천시 부일로 460</t>
    <phoneticPr fontId="2" type="noConversion"/>
  </si>
  <si>
    <t>(구)MMC부천 -&gt;(구)메가박스 부천MMC/ 22.7.21. 1~8관 좌석수 변경</t>
    <phoneticPr fontId="2" type="noConversion"/>
  </si>
  <si>
    <t>부천시 부천로 11 (심곡동)</t>
    <phoneticPr fontId="3" type="noConversion"/>
  </si>
  <si>
    <t>CGV소풍</t>
  </si>
  <si>
    <t>부천시 송내대로 239, 6층 (상동 539-1 소풍 6,7층)</t>
    <phoneticPr fontId="2" type="noConversion"/>
  </si>
  <si>
    <t>부천시</t>
    <phoneticPr fontId="2" type="noConversion"/>
  </si>
  <si>
    <t>CGV부천옥길</t>
  </si>
  <si>
    <t>부천시 옥길로 124 문영퀸즈파크옥길 C동 8층</t>
    <phoneticPr fontId="2" type="noConversion"/>
  </si>
  <si>
    <t>메가박스 부천스타필드시티</t>
    <phoneticPr fontId="2" type="noConversion"/>
  </si>
  <si>
    <t>부천시 옥길로1 (옥길동 768)</t>
    <phoneticPr fontId="2" type="noConversion"/>
  </si>
  <si>
    <t>광명시</t>
    <phoneticPr fontId="2" type="noConversion"/>
  </si>
  <si>
    <t>메가박스 광명소하</t>
    <phoneticPr fontId="2" type="noConversion"/>
  </si>
  <si>
    <t>광명시 소하로 190 G타워 지하1층</t>
  </si>
  <si>
    <t>메가박스 광명AK플라자</t>
    <phoneticPr fontId="2" type="noConversion"/>
  </si>
  <si>
    <t xml:space="preserve">광명시 양지로 17, B1층 (일직동) </t>
    <phoneticPr fontId="2" type="noConversion"/>
  </si>
  <si>
    <t xml:space="preserve">21.12.17. 1관 좌석수 변경 </t>
    <phoneticPr fontId="2" type="noConversion"/>
  </si>
  <si>
    <t>CGV광명역</t>
  </si>
  <si>
    <t>광명시 일직로 43 GIDC B동 지하2층</t>
    <phoneticPr fontId="2" type="noConversion"/>
  </si>
  <si>
    <t>OLC광명철산극장</t>
    <phoneticPr fontId="2" type="noConversion"/>
  </si>
  <si>
    <t>02-2685-0704</t>
    <phoneticPr fontId="2" type="noConversion"/>
  </si>
  <si>
    <t>www.olcinema.co.kr</t>
    <phoneticPr fontId="2" type="noConversion"/>
  </si>
  <si>
    <t>롯데시네마 평택비전(뉴코아)</t>
    <phoneticPr fontId="2" type="noConversion"/>
  </si>
  <si>
    <t>(구)프리머스 평택 &gt; (구)CGV평택비전 / 20.10.13.휴관, 21.8.1. 발권재개</t>
    <phoneticPr fontId="2" type="noConversion"/>
  </si>
  <si>
    <t>평택시</t>
    <phoneticPr fontId="2" type="noConversion"/>
  </si>
  <si>
    <t>CGV평택고덕</t>
  </si>
  <si>
    <t>평택시 경기대로 945,평택고덕아이파크 101동 3층</t>
  </si>
  <si>
    <t>CGV평택소사</t>
  </si>
  <si>
    <t>CGV평택</t>
  </si>
  <si>
    <t>동광극장</t>
    <phoneticPr fontId="3" type="noConversion"/>
  </si>
  <si>
    <t>동두천시 동광로 33 (중앙동 828)</t>
    <phoneticPr fontId="3" type="noConversion"/>
  </si>
  <si>
    <t>031-867-3030</t>
    <phoneticPr fontId="2" type="noConversion"/>
  </si>
  <si>
    <t>dgt.movieplus.or.kr/</t>
    <phoneticPr fontId="3" type="noConversion"/>
  </si>
  <si>
    <t>(구)동광극장</t>
    <phoneticPr fontId="3" type="noConversion"/>
  </si>
  <si>
    <t>동두천시 동광로 66 (생연3동 616)</t>
    <phoneticPr fontId="3" type="noConversion"/>
  </si>
  <si>
    <t>031-863-3000</t>
    <phoneticPr fontId="2" type="noConversion"/>
  </si>
  <si>
    <t>mht.movieplus.or.kr/</t>
    <phoneticPr fontId="3" type="noConversion"/>
  </si>
  <si>
    <t>CGV안산</t>
  </si>
  <si>
    <t xml:space="preserve">경기도 </t>
    <phoneticPr fontId="3" type="noConversion"/>
  </si>
  <si>
    <t>안산시</t>
    <phoneticPr fontId="3" type="noConversion"/>
  </si>
  <si>
    <t xml:space="preserve">명화극장 </t>
    <phoneticPr fontId="3" type="noConversion"/>
  </si>
  <si>
    <t>안산시 단원구 중앙대로 921 (고잔동)</t>
    <phoneticPr fontId="3" type="noConversion"/>
  </si>
  <si>
    <t>고전</t>
    <phoneticPr fontId="2" type="noConversion"/>
  </si>
  <si>
    <t>031-480-3827</t>
    <phoneticPr fontId="3" type="noConversion"/>
  </si>
  <si>
    <t>www.myounghwacinema.org</t>
    <phoneticPr fontId="2" type="noConversion"/>
  </si>
  <si>
    <t>22.4.20. 좌석수 변경</t>
    <phoneticPr fontId="2" type="noConversion"/>
  </si>
  <si>
    <t>롯데시네마 안산</t>
    <phoneticPr fontId="2" type="noConversion"/>
  </si>
  <si>
    <t>고양시</t>
    <phoneticPr fontId="2" type="noConversion"/>
  </si>
  <si>
    <t>CGV고양행신</t>
  </si>
  <si>
    <t>고양시 덕양구 충장로 8 로터스플레이스 5층</t>
    <phoneticPr fontId="2" type="noConversion"/>
  </si>
  <si>
    <t>CGV화정</t>
  </si>
  <si>
    <t>Cine Comfort(8)</t>
    <phoneticPr fontId="2" type="noConversion"/>
  </si>
  <si>
    <t>21년 6월 직영&gt; 위탁 전환 /  22년 Cine Comfort 4개 추가</t>
    <phoneticPr fontId="2" type="noConversion"/>
  </si>
  <si>
    <t>CGV일산</t>
  </si>
  <si>
    <t>IMAX, ScreenX, 4DX Cine &amp; Foret</t>
  </si>
  <si>
    <t>Cine Comfort(5)</t>
    <phoneticPr fontId="2" type="noConversion"/>
  </si>
  <si>
    <t xml:space="preserve">케이트리호텔 X 모노플렉스 </t>
    <phoneticPr fontId="2" type="noConversion"/>
  </si>
  <si>
    <t>고양시 일산서구 킨텍스로 255-3, (대화동) 케이트리 201호</t>
  </si>
  <si>
    <t>031-540-2400</t>
    <phoneticPr fontId="2" type="noConversion"/>
  </si>
  <si>
    <t>www.monoplex.com</t>
    <phoneticPr fontId="2" type="noConversion"/>
  </si>
  <si>
    <t>Comfort(2), The Boutique Suite</t>
    <phoneticPr fontId="2" type="noConversion"/>
  </si>
  <si>
    <t>CGV구리</t>
  </si>
  <si>
    <t>남양주시</t>
    <phoneticPr fontId="2" type="noConversion"/>
  </si>
  <si>
    <t>CGV다산</t>
  </si>
  <si>
    <t>남양주시 다산순환로 20 현대프리미어캠퍼스 지하2층</t>
    <phoneticPr fontId="2" type="noConversion"/>
  </si>
  <si>
    <t>메가박스 남양주현대아울렛 스페이스원</t>
    <phoneticPr fontId="2" type="noConversion"/>
  </si>
  <si>
    <t xml:space="preserve">남양주시 다산순환로 50 </t>
    <phoneticPr fontId="2" type="noConversion"/>
  </si>
  <si>
    <t>Comfort, Dolby Cinema</t>
    <phoneticPr fontId="2" type="noConversion"/>
  </si>
  <si>
    <t>롯데시네마 별내</t>
    <phoneticPr fontId="2" type="noConversion"/>
  </si>
  <si>
    <t>남양주시 별내중앙로 10 (별내동)</t>
    <phoneticPr fontId="2" type="noConversion"/>
  </si>
  <si>
    <t>남양주시 진접읍 해밀예당1로 36 래일스타 9층 (금곡리 1081-2)</t>
    <phoneticPr fontId="3" type="noConversion"/>
  </si>
  <si>
    <t>롯데시네마 오산(원동)</t>
    <phoneticPr fontId="2" type="noConversion"/>
  </si>
  <si>
    <t>오산시 경기대로 198, 5층 (원동)</t>
    <phoneticPr fontId="2" type="noConversion"/>
  </si>
  <si>
    <t xml:space="preserve">(구)프리머스 오산 / (구)메가박스 오산 / 21년 12월 현재 1관 휴관 중 </t>
    <phoneticPr fontId="2" type="noConversion"/>
  </si>
  <si>
    <t>오산시</t>
    <phoneticPr fontId="2" type="noConversion"/>
  </si>
  <si>
    <t>CGV오산중앙</t>
  </si>
  <si>
    <t>오산시 원동로 22 르마레시티 3층 (원동 335-10)</t>
    <phoneticPr fontId="2" type="noConversion"/>
  </si>
  <si>
    <t>CGV오산</t>
  </si>
  <si>
    <t>오산시 원동로 37번길 46 (원동 763-21 오산시네마타운)</t>
    <phoneticPr fontId="2" type="noConversion"/>
  </si>
  <si>
    <t>(구)오산시네마 / (구)롯데시네마 오산</t>
    <phoneticPr fontId="2" type="noConversion"/>
  </si>
  <si>
    <t>21년 2월 직영&gt;위탁 전환 / 22.7.29. 좌석수 변경</t>
    <phoneticPr fontId="2" type="noConversion"/>
  </si>
  <si>
    <t>CGV시흥</t>
  </si>
  <si>
    <t>CGV배곧</t>
  </si>
  <si>
    <t>시흥시</t>
    <phoneticPr fontId="2" type="noConversion"/>
  </si>
  <si>
    <t>롯데시네마 시흥장현</t>
    <phoneticPr fontId="2" type="noConversion"/>
  </si>
  <si>
    <t>CGV정왕</t>
  </si>
  <si>
    <t xml:space="preserve">시흥시 정왕대로210 이마트 시화점 10층 </t>
    <phoneticPr fontId="2" type="noConversion"/>
  </si>
  <si>
    <t>22.11.17. 4,5관 비상설-&gt; 상설상영관으로 전환</t>
    <phoneticPr fontId="2" type="noConversion"/>
  </si>
  <si>
    <t>CGV산본</t>
  </si>
  <si>
    <t>군포시</t>
    <phoneticPr fontId="2" type="noConversion"/>
  </si>
  <si>
    <t xml:space="preserve">메가박스 금정AK플라자 </t>
    <phoneticPr fontId="2" type="noConversion"/>
  </si>
  <si>
    <t>군포시 엘에스로 143 1층</t>
  </si>
  <si>
    <t>하남시</t>
    <phoneticPr fontId="2" type="noConversion"/>
  </si>
  <si>
    <t>CGV하남미사</t>
  </si>
  <si>
    <t>하남시 미사강변동로95 그랑파사쥬 3층</t>
    <phoneticPr fontId="2" type="noConversion"/>
  </si>
  <si>
    <t>22.5.31. 2,3,5관 좌석수 변경</t>
    <phoneticPr fontId="2" type="noConversion"/>
  </si>
  <si>
    <t>롯데시네마 하남미사</t>
    <phoneticPr fontId="2" type="noConversion"/>
  </si>
  <si>
    <t>하남시 미사대로 520 지하 1~2층 (덕풍동)</t>
    <phoneticPr fontId="2" type="noConversion"/>
  </si>
  <si>
    <t>CGV스타필드시티위례</t>
  </si>
  <si>
    <t>용인시</t>
    <phoneticPr fontId="2" type="noConversion"/>
  </si>
  <si>
    <t>메가박스 용인테크노밸리</t>
    <phoneticPr fontId="2" type="noConversion"/>
  </si>
  <si>
    <t xml:space="preserve">용인시 기흥구 구성로 357 용인테크노밸리A동 지하1층 (청덕동) </t>
    <phoneticPr fontId="2" type="noConversion"/>
  </si>
  <si>
    <t xml:space="preserve">20.02.14. 6관 상설전환하여 1개관 추가 </t>
    <phoneticPr fontId="2" type="noConversion"/>
  </si>
  <si>
    <t>CGV동백</t>
  </si>
  <si>
    <t xml:space="preserve">경기도 </t>
    <phoneticPr fontId="2" type="noConversion"/>
  </si>
  <si>
    <t>메가박스 용인기흥</t>
    <phoneticPr fontId="2" type="noConversion"/>
  </si>
  <si>
    <t>용인시 기흥구 신고매로 59</t>
    <phoneticPr fontId="2" type="noConversion"/>
  </si>
  <si>
    <t>CGV광교상현</t>
  </si>
  <si>
    <t>롯데시네마 수지</t>
    <phoneticPr fontId="2" type="noConversion"/>
  </si>
  <si>
    <t>용인시 수지구 성복2로 38 롯데몰 수지점 5층</t>
    <phoneticPr fontId="2" type="noConversion"/>
  </si>
  <si>
    <t>Superplex, Cine comfort(3)</t>
    <phoneticPr fontId="2" type="noConversion"/>
  </si>
  <si>
    <t>CGV용인</t>
  </si>
  <si>
    <t>롯데시네마 용인역북</t>
    <phoneticPr fontId="2" type="noConversion"/>
  </si>
  <si>
    <t xml:space="preserve">용인시 처인구 중부대로 1294 더와이스퀘어 5층(역북동) </t>
    <phoneticPr fontId="2" type="noConversion"/>
  </si>
  <si>
    <t>Cine Comfort(3)</t>
    <phoneticPr fontId="2" type="noConversion"/>
  </si>
  <si>
    <t>CGV기흥</t>
  </si>
  <si>
    <t xml:space="preserve">기흥구 기흥로 58-1 기흥ICT밸리 SK V1 B동 지하 </t>
    <phoneticPr fontId="2" type="noConversion"/>
  </si>
  <si>
    <t>파주시</t>
    <phoneticPr fontId="2" type="noConversion"/>
  </si>
  <si>
    <t>CGV파주야당</t>
  </si>
  <si>
    <t xml:space="preserve">파주시 경의로 1074, 6층 </t>
    <phoneticPr fontId="2" type="noConversion"/>
  </si>
  <si>
    <t>12.05.08. 메가박스 이채 → 메가박스 파주출판도시로 명칭변경</t>
    <phoneticPr fontId="2" type="noConversion"/>
  </si>
  <si>
    <t>CGV파주문산</t>
  </si>
  <si>
    <t xml:space="preserve">17.12.22. 오픈M 상설상영관 전환 / 20.06.26. 7관 추가 </t>
    <phoneticPr fontId="2" type="noConversion"/>
  </si>
  <si>
    <t>파주시 청암로17번길 17 홈플러스 3층</t>
    <phoneticPr fontId="2" type="noConversion"/>
  </si>
  <si>
    <t>파주시</t>
    <phoneticPr fontId="3" type="noConversion"/>
  </si>
  <si>
    <t>헤이리시네마</t>
    <phoneticPr fontId="3" type="noConversion"/>
  </si>
  <si>
    <t>파주시 탄현면 헤이리마을길 93-119 커피공장103, 3층</t>
    <phoneticPr fontId="3" type="noConversion"/>
  </si>
  <si>
    <t>031-942-1031</t>
    <phoneticPr fontId="3" type="noConversion"/>
  </si>
  <si>
    <t>CGV이천</t>
  </si>
  <si>
    <t>안성시</t>
    <phoneticPr fontId="2" type="noConversion"/>
  </si>
  <si>
    <t>메가박스 안성스타필드</t>
    <phoneticPr fontId="2" type="noConversion"/>
  </si>
  <si>
    <t xml:space="preserve">안성시 공도읍 서동대로 3930-39, 3층 (스타필드 안성) </t>
    <phoneticPr fontId="2" type="noConversion"/>
  </si>
  <si>
    <t>Dolby Cinema</t>
    <phoneticPr fontId="2" type="noConversion"/>
  </si>
  <si>
    <t>22.1.1. 직영-&gt; 위탁 전환</t>
    <phoneticPr fontId="2" type="noConversion"/>
  </si>
  <si>
    <t>CGV안성</t>
  </si>
  <si>
    <t>CGV김포한강</t>
  </si>
  <si>
    <t>김포시 걸포로 6 케이탑리츠빌딩 7~8층 (걸포동 1574-3)</t>
    <phoneticPr fontId="2" type="noConversion"/>
  </si>
  <si>
    <t>(구)메가박스 김포 19.05.27. 영업종료 후 전환</t>
    <phoneticPr fontId="2" type="noConversion"/>
  </si>
  <si>
    <t>김포시</t>
    <phoneticPr fontId="2" type="noConversion"/>
  </si>
  <si>
    <t>CGV김포운양</t>
  </si>
  <si>
    <t>CGV김포</t>
  </si>
  <si>
    <t>풍무로 128 김포풍무웰라움퍼펙트시티 6층</t>
    <phoneticPr fontId="2" type="noConversion"/>
  </si>
  <si>
    <t>화성시</t>
    <phoneticPr fontId="2" type="noConversion"/>
  </si>
  <si>
    <t>CGV동탄호수공원</t>
  </si>
  <si>
    <t xml:space="preserve">화성시 동탄대로 181 레이크꼬모 B2층 </t>
    <phoneticPr fontId="2" type="noConversion"/>
  </si>
  <si>
    <t>CGV동탄역</t>
  </si>
  <si>
    <t xml:space="preserve">안영채 X 모노플렉스 </t>
    <phoneticPr fontId="2" type="noConversion"/>
  </si>
  <si>
    <t>화성시 동탄대로5길 21 (라크몽) B1</t>
    <phoneticPr fontId="2" type="noConversion"/>
  </si>
  <si>
    <t>031-8058-8992</t>
  </si>
  <si>
    <t>www.monoplex.kr</t>
  </si>
  <si>
    <t>롯데시네마 동탄</t>
    <phoneticPr fontId="2" type="noConversion"/>
  </si>
  <si>
    <t>화성시 동탄역로 160, 롯데백화점 7층 (오산동)</t>
    <phoneticPr fontId="2" type="noConversion"/>
  </si>
  <si>
    <t>Charlotte, Superplex, Cine Comfort</t>
    <phoneticPr fontId="2" type="noConversion"/>
  </si>
  <si>
    <t>22년 Cine Comfort 추가</t>
    <phoneticPr fontId="2" type="noConversion"/>
  </si>
  <si>
    <t>CGV동탄</t>
  </si>
  <si>
    <t>22.7.23. 7관 IMAX관으로 변경(좌석수 변경, 특수상영관)</t>
    <phoneticPr fontId="2" type="noConversion"/>
  </si>
  <si>
    <t>Comfort(8)</t>
    <phoneticPr fontId="2" type="noConversion"/>
  </si>
  <si>
    <t>화성시 작은영화관</t>
    <phoneticPr fontId="2" type="noConversion"/>
  </si>
  <si>
    <t>화성시 마도면 마도북로 387 마도문화센터 3층</t>
  </si>
  <si>
    <t>031-355-2731</t>
  </si>
  <si>
    <t>https://hscinema.moonhwain.net:451/</t>
  </si>
  <si>
    <t>CGV화성봉담</t>
  </si>
  <si>
    <t>화성시 봉담읍 동화길 51, 2층 (동화리)</t>
    <phoneticPr fontId="2" type="noConversion"/>
  </si>
  <si>
    <t>CGV경기광주</t>
  </si>
  <si>
    <t>Comfort(3)</t>
    <phoneticPr fontId="2" type="noConversion"/>
  </si>
  <si>
    <t>양주시</t>
    <phoneticPr fontId="2" type="noConversion"/>
  </si>
  <si>
    <t>CGV양주옥정</t>
  </si>
  <si>
    <t>양주시 옥정로 200 씨네마엠디프라자 7층</t>
    <phoneticPr fontId="2" type="noConversion"/>
  </si>
  <si>
    <t>포천시</t>
    <phoneticPr fontId="2" type="noConversion"/>
  </si>
  <si>
    <t>CGV포천</t>
  </si>
  <si>
    <t>포천시 소흘읍 호국로 689</t>
    <phoneticPr fontId="2" type="noConversion"/>
  </si>
  <si>
    <t>포천 클라우드시네마</t>
    <phoneticPr fontId="2" type="noConversion"/>
  </si>
  <si>
    <t>포천시 영북면 산정리 514-6</t>
    <phoneticPr fontId="2" type="noConversion"/>
  </si>
  <si>
    <t>031-531-7718</t>
    <phoneticPr fontId="2" type="noConversion"/>
  </si>
  <si>
    <t>20.02.22. 휴관 / 21.7.2. 영업재개</t>
    <phoneticPr fontId="2" type="noConversion"/>
  </si>
  <si>
    <t>가평군</t>
    <phoneticPr fontId="2" type="noConversion"/>
  </si>
  <si>
    <t>OLC조종시네마</t>
    <phoneticPr fontId="2" type="noConversion"/>
  </si>
  <si>
    <t>가평군 조종면 청군로 1270 1층,3층</t>
  </si>
  <si>
    <t>031-585-0705</t>
    <phoneticPr fontId="2" type="noConversion"/>
  </si>
  <si>
    <t>www.olcinema.co.kr</t>
  </si>
  <si>
    <t>1939시네마</t>
    <phoneticPr fontId="2" type="noConversion"/>
  </si>
  <si>
    <t>20.11.11. 휴관 / 21.2.3. 영업재개</t>
    <phoneticPr fontId="2" type="noConversion"/>
  </si>
  <si>
    <t>양평시네마</t>
    <phoneticPr fontId="3" type="noConversion"/>
  </si>
  <si>
    <t>양평군 양평읍 양근로 167 (양근리 422-2)</t>
    <phoneticPr fontId="3" type="noConversion"/>
  </si>
  <si>
    <t>031-771-2154</t>
    <phoneticPr fontId="2" type="noConversion"/>
  </si>
  <si>
    <t xml:space="preserve">롯데시네마 춘천 </t>
    <phoneticPr fontId="2" type="noConversion"/>
  </si>
  <si>
    <t>춘천시 중앙로 67번길 18</t>
    <phoneticPr fontId="2" type="noConversion"/>
  </si>
  <si>
    <t>Cine Comfort(4)</t>
    <phoneticPr fontId="2" type="noConversion"/>
  </si>
  <si>
    <t>(구)프리머스 춘천/ (구)CGV 춘천명동 20.04.30. 영업종료 후 전환/ 22.4.7 2~6관 좌석수 변경</t>
    <phoneticPr fontId="2" type="noConversion"/>
  </si>
  <si>
    <t>CGV춘천</t>
  </si>
  <si>
    <t>메가박스 춘천석사</t>
    <phoneticPr fontId="2" type="noConversion"/>
  </si>
  <si>
    <t>춘천시 후석로 120 NH타운 ENTA 2층</t>
  </si>
  <si>
    <t>Cine Comfort, Superplex</t>
    <phoneticPr fontId="2" type="noConversion"/>
  </si>
  <si>
    <t>CGV원주</t>
  </si>
  <si>
    <t>22.6.27. 직영-&gt; 위탁 전환</t>
    <phoneticPr fontId="2" type="noConversion"/>
  </si>
  <si>
    <t>강원도</t>
    <phoneticPr fontId="3" type="noConversion"/>
  </si>
  <si>
    <t>강릉시</t>
    <phoneticPr fontId="3" type="noConversion"/>
  </si>
  <si>
    <t>강릉독립예술극장 신영</t>
    <phoneticPr fontId="3" type="noConversion"/>
  </si>
  <si>
    <t>강릉시 경강로 2100 (임당동, 신영빌딩)</t>
    <phoneticPr fontId="3" type="noConversion"/>
  </si>
  <si>
    <t>033-645-7415</t>
    <phoneticPr fontId="3" type="noConversion"/>
  </si>
  <si>
    <t>theque.tistory.com</t>
    <phoneticPr fontId="3" type="noConversion"/>
  </si>
  <si>
    <t xml:space="preserve">16.03.01. 휴업 / 18.07. 재개관 </t>
    <phoneticPr fontId="3" type="noConversion"/>
  </si>
  <si>
    <t>CGV강릉</t>
  </si>
  <si>
    <t>강원도</t>
    <phoneticPr fontId="2" type="noConversion"/>
  </si>
  <si>
    <t>속초시</t>
    <phoneticPr fontId="2" type="noConversion"/>
  </si>
  <si>
    <t>롯데시네마 속초</t>
    <phoneticPr fontId="2" type="noConversion"/>
  </si>
  <si>
    <t>속초시 중앙로121번길 28, 센텀마크 3층</t>
    <phoneticPr fontId="2" type="noConversion"/>
  </si>
  <si>
    <t>삼척시</t>
    <phoneticPr fontId="3" type="noConversion"/>
  </si>
  <si>
    <t>삼척 가람영화관</t>
    <phoneticPr fontId="3" type="noConversion"/>
  </si>
  <si>
    <t>삼척시 엑스포로 50 태양에너지전시관</t>
    <phoneticPr fontId="3" type="noConversion"/>
  </si>
  <si>
    <t>033-575-7053</t>
    <phoneticPr fontId="3" type="noConversion"/>
  </si>
  <si>
    <t>samcheok.scinema.org</t>
    <phoneticPr fontId="3" type="noConversion"/>
  </si>
  <si>
    <t>20.07.03. 휴관 / 21.4.22. 사업주 변경 후 재개관 / 21.5.27 가람3관(도계관) 추가</t>
    <phoneticPr fontId="2" type="noConversion"/>
  </si>
  <si>
    <t xml:space="preserve">홍천군 </t>
    <phoneticPr fontId="3" type="noConversion"/>
  </si>
  <si>
    <t xml:space="preserve">홍천시네마 </t>
    <phoneticPr fontId="3" type="noConversion"/>
  </si>
  <si>
    <t>홍천군 홍천읍 연봉중앙로 11-8</t>
    <phoneticPr fontId="3" type="noConversion"/>
  </si>
  <si>
    <t>033-433-7053</t>
    <phoneticPr fontId="3" type="noConversion"/>
  </si>
  <si>
    <t xml:space="preserve">20.09.30. 재개관 </t>
    <phoneticPr fontId="2" type="noConversion"/>
  </si>
  <si>
    <t>횡성군</t>
    <phoneticPr fontId="3" type="noConversion"/>
  </si>
  <si>
    <t>횡성시네마</t>
    <phoneticPr fontId="3" type="noConversion"/>
  </si>
  <si>
    <t>횡성군 횡성읍 앞들서3로 6</t>
    <phoneticPr fontId="3" type="noConversion"/>
  </si>
  <si>
    <t>033-343-1088</t>
    <phoneticPr fontId="3" type="noConversion"/>
  </si>
  <si>
    <t>cinema.hscf.or.kr</t>
    <phoneticPr fontId="3" type="noConversion"/>
  </si>
  <si>
    <t>20.05.06. 재개관</t>
    <phoneticPr fontId="2" type="noConversion"/>
  </si>
  <si>
    <t xml:space="preserve">영월군 </t>
    <phoneticPr fontId="3" type="noConversion"/>
  </si>
  <si>
    <t xml:space="preserve">영월시네마 </t>
    <phoneticPr fontId="3" type="noConversion"/>
  </si>
  <si>
    <t xml:space="preserve">영월군 영월읍 관풍헌길 66 </t>
    <phoneticPr fontId="3" type="noConversion"/>
  </si>
  <si>
    <t>033-375-7053</t>
    <phoneticPr fontId="3" type="noConversion"/>
  </si>
  <si>
    <t>20.11.27. 휴관 / 21.4.22. 발권데이터 확인. 영업전환</t>
    <phoneticPr fontId="2" type="noConversion"/>
  </si>
  <si>
    <t xml:space="preserve">평창군 </t>
    <phoneticPr fontId="3" type="noConversion"/>
  </si>
  <si>
    <t xml:space="preserve">해피700 평창시네마 </t>
    <phoneticPr fontId="3" type="noConversion"/>
  </si>
  <si>
    <t xml:space="preserve">평창군 용평면 경강로 1689 용평복지회관 2층 </t>
    <phoneticPr fontId="3" type="noConversion"/>
  </si>
  <si>
    <t>033-334-7053</t>
    <phoneticPr fontId="3" type="noConversion"/>
  </si>
  <si>
    <t>20.08.13. 재개관</t>
    <phoneticPr fontId="2" type="noConversion"/>
  </si>
  <si>
    <t>정선군</t>
    <phoneticPr fontId="2" type="noConversion"/>
  </si>
  <si>
    <t>고한시네마</t>
    <phoneticPr fontId="2" type="noConversion"/>
  </si>
  <si>
    <t>정선군 고한읍 고한10길 28-12</t>
    <phoneticPr fontId="2" type="noConversion"/>
  </si>
  <si>
    <t>033-592-7053</t>
    <phoneticPr fontId="2" type="noConversion"/>
  </si>
  <si>
    <t>20.12.04. 휴관 / 21.3.10. 영업재개</t>
    <phoneticPr fontId="2" type="noConversion"/>
  </si>
  <si>
    <t>정선군</t>
    <phoneticPr fontId="3" type="noConversion"/>
  </si>
  <si>
    <t>아리아리 정선시네마</t>
    <phoneticPr fontId="3" type="noConversion"/>
  </si>
  <si>
    <t>정선군 정선읍 봉양6길 10(봉양리)</t>
    <phoneticPr fontId="3" type="noConversion"/>
  </si>
  <si>
    <t>033-563-5703</t>
    <phoneticPr fontId="3" type="noConversion"/>
  </si>
  <si>
    <t>철원군</t>
    <phoneticPr fontId="3" type="noConversion"/>
  </si>
  <si>
    <t>철원작은영화관 뚜루</t>
    <phoneticPr fontId="3" type="noConversion"/>
  </si>
  <si>
    <t>철원군 철원읍 금학로 252번길 23</t>
    <phoneticPr fontId="3" type="noConversion"/>
  </si>
  <si>
    <t>033-458-7053</t>
    <phoneticPr fontId="3" type="noConversion"/>
  </si>
  <si>
    <t>cwg.scinema.org</t>
    <phoneticPr fontId="3" type="noConversion"/>
  </si>
  <si>
    <t>20.11.14. 휴관 / 21.2.11. 영업재개</t>
    <phoneticPr fontId="2" type="noConversion"/>
  </si>
  <si>
    <t>화천군</t>
    <phoneticPr fontId="3" type="noConversion"/>
  </si>
  <si>
    <t xml:space="preserve">화천작은영화관 </t>
    <phoneticPr fontId="3" type="noConversion"/>
  </si>
  <si>
    <t xml:space="preserve">화천군 화천읍 상승로2길 25-10, 2층 </t>
    <phoneticPr fontId="3" type="noConversion"/>
  </si>
  <si>
    <t>033-441-7053</t>
    <phoneticPr fontId="3" type="noConversion"/>
  </si>
  <si>
    <t xml:space="preserve">(구)산천어시네마 / 20.11.29. 상영내역 없음. 휴관 처리 / 21.2.16. 영업재개 </t>
    <phoneticPr fontId="3" type="noConversion"/>
  </si>
  <si>
    <t>양구군</t>
    <phoneticPr fontId="3" type="noConversion"/>
  </si>
  <si>
    <t>양구 정중앙시네마</t>
    <phoneticPr fontId="3" type="noConversion"/>
  </si>
  <si>
    <t xml:space="preserve">양구군 양구읍 비봉로73번길 52 </t>
    <phoneticPr fontId="3" type="noConversion"/>
  </si>
  <si>
    <t>033-482-7053</t>
    <phoneticPr fontId="3" type="noConversion"/>
  </si>
  <si>
    <t>yanggu.scinema.org</t>
    <phoneticPr fontId="3" type="noConversion"/>
  </si>
  <si>
    <t xml:space="preserve">20.11.20.휴관 / 21.4.5. ~휴관 (코로나19 접종센터) / 22. 6. 영업재개 </t>
    <phoneticPr fontId="2" type="noConversion"/>
  </si>
  <si>
    <t>양양군</t>
    <phoneticPr fontId="2" type="noConversion"/>
  </si>
  <si>
    <t>양양 작은영화관</t>
    <phoneticPr fontId="2" type="noConversion"/>
  </si>
  <si>
    <t>양양군 양양읍 일출로 570 양양웰컴센터 3~4층</t>
    <phoneticPr fontId="2" type="noConversion"/>
  </si>
  <si>
    <t>인제군</t>
    <phoneticPr fontId="2" type="noConversion"/>
  </si>
  <si>
    <t>CGV원통</t>
  </si>
  <si>
    <t>인제군 북면 금강로 11번길 19, 2층</t>
    <phoneticPr fontId="2" type="noConversion"/>
  </si>
  <si>
    <t>CGV인제</t>
  </si>
  <si>
    <t>인제군 인제읍 남북리 388 하늘내린센터</t>
    <phoneticPr fontId="2" type="noConversion"/>
  </si>
  <si>
    <t>20.11.11.휴관 후 21년 재개관</t>
    <phoneticPr fontId="2" type="noConversion"/>
  </si>
  <si>
    <t>고성군</t>
    <phoneticPr fontId="2" type="noConversion"/>
  </si>
  <si>
    <t>달홀영화관</t>
    <phoneticPr fontId="2" type="noConversion"/>
  </si>
  <si>
    <t>고성군 간성읍 수성로 3, 달홀문화센터</t>
  </si>
  <si>
    <t>033-680-4068</t>
    <phoneticPr fontId="2" type="noConversion"/>
  </si>
  <si>
    <t>https://gs.scinema.kr/cinema/main.do?cgid=FE8EF4D2-F22D-4802-A39A-D58F23A29C1E&amp;BrandCd=scinema&amp;CinemaCd=000091</t>
    <phoneticPr fontId="2" type="noConversion"/>
  </si>
  <si>
    <t>CGV청주성안길</t>
  </si>
  <si>
    <t>CGV청주(서문)</t>
  </si>
  <si>
    <t>16.02.05. 직영전환/ 22.7.5. 7관-&gt;IMAX관(좌석수 변경, 특수상영관)</t>
    <phoneticPr fontId="2" type="noConversion"/>
  </si>
  <si>
    <t>CGV청주율량</t>
  </si>
  <si>
    <t>메가박스 청주사창</t>
    <phoneticPr fontId="2" type="noConversion"/>
  </si>
  <si>
    <t xml:space="preserve">(구)롯데시네마 청주충대/ (구)메가박스 청주충북대/ 20.01.04. 상호명 변경 </t>
    <phoneticPr fontId="3" type="noConversion"/>
  </si>
  <si>
    <t>충청북도</t>
    <phoneticPr fontId="2" type="noConversion"/>
  </si>
  <si>
    <t>청주시</t>
    <phoneticPr fontId="2" type="noConversion"/>
  </si>
  <si>
    <t>CGV청주터미널</t>
  </si>
  <si>
    <t>청주시 흥덕구 2순환로 1233 8층 (가경동 1416-3)</t>
    <phoneticPr fontId="2" type="noConversion"/>
  </si>
  <si>
    <t>CGV청주지웰시티</t>
  </si>
  <si>
    <t>충주시</t>
    <phoneticPr fontId="2" type="noConversion"/>
  </si>
  <si>
    <t>CGV충주교현</t>
  </si>
  <si>
    <t>충주시 국원대로 107 한스타워 5~8층</t>
    <phoneticPr fontId="2" type="noConversion"/>
  </si>
  <si>
    <t>(구)충주TTC/12년 메가박스 충주로 전환 / 21년 1,2,3,5,6,7관 6개관 폐관</t>
    <phoneticPr fontId="2" type="noConversion"/>
  </si>
  <si>
    <t>롯데시네마 충주</t>
    <phoneticPr fontId="2" type="noConversion"/>
  </si>
  <si>
    <t>충주시 중원대로 3683, 3~4층(달천동)</t>
    <phoneticPr fontId="2" type="noConversion"/>
  </si>
  <si>
    <t>제천시</t>
    <phoneticPr fontId="2" type="noConversion"/>
  </si>
  <si>
    <t>CGV제천</t>
  </si>
  <si>
    <t>제천시 장평천로 27-13 더캐슬CGV제천 2,3,4층</t>
    <phoneticPr fontId="2" type="noConversion"/>
  </si>
  <si>
    <t>보은군</t>
    <phoneticPr fontId="2" type="noConversion"/>
  </si>
  <si>
    <t>씨네Q 보은</t>
    <phoneticPr fontId="2" type="noConversion"/>
  </si>
  <si>
    <t>보은군 보은읍 뱃들로 68-22</t>
    <phoneticPr fontId="2" type="noConversion"/>
  </si>
  <si>
    <t>Y</t>
    <phoneticPr fontId="2" type="noConversion"/>
  </si>
  <si>
    <t>충청북도</t>
    <phoneticPr fontId="3" type="noConversion"/>
  </si>
  <si>
    <t>옥천군</t>
    <phoneticPr fontId="3" type="noConversion"/>
  </si>
  <si>
    <t>옥천 향수시네마</t>
    <phoneticPr fontId="3" type="noConversion"/>
  </si>
  <si>
    <t xml:space="preserve">옥천군 옥천읍 문정1길 47 </t>
    <phoneticPr fontId="3" type="noConversion"/>
  </si>
  <si>
    <t>043-731-7050</t>
    <phoneticPr fontId="3" type="noConversion"/>
  </si>
  <si>
    <t>oc.scinema.org</t>
    <phoneticPr fontId="3" type="noConversion"/>
  </si>
  <si>
    <t>20.02.28. 휴관 / 21.2.23. 영업재개</t>
    <phoneticPr fontId="2" type="noConversion"/>
  </si>
  <si>
    <t>영동군</t>
    <phoneticPr fontId="3" type="noConversion"/>
  </si>
  <si>
    <t>영동 레인보우영화관</t>
    <phoneticPr fontId="3" type="noConversion"/>
  </si>
  <si>
    <t>영동군 영동읍 계산로 2길 24</t>
    <phoneticPr fontId="3" type="noConversion"/>
  </si>
  <si>
    <t>043-743-7718</t>
    <phoneticPr fontId="3" type="noConversion"/>
  </si>
  <si>
    <t>ticket.yd21.go.kr</t>
    <phoneticPr fontId="3" type="noConversion"/>
  </si>
  <si>
    <t>20.12.07. 휴관 / 21.1.21. 영업재개</t>
    <phoneticPr fontId="2" type="noConversion"/>
  </si>
  <si>
    <t>괴산군</t>
    <phoneticPr fontId="3" type="noConversion"/>
  </si>
  <si>
    <t>괴산자연드림파크 괴산극장</t>
    <phoneticPr fontId="3" type="noConversion"/>
  </si>
  <si>
    <t>괴산군 칠성면 자연드림길 240 B동</t>
    <phoneticPr fontId="3" type="noConversion"/>
  </si>
  <si>
    <t>043-760-4303</t>
    <phoneticPr fontId="3" type="noConversion"/>
  </si>
  <si>
    <t>naturaldreampark.co.kr</t>
    <phoneticPr fontId="3" type="noConversion"/>
  </si>
  <si>
    <t>음성군</t>
    <phoneticPr fontId="2" type="noConversion"/>
  </si>
  <si>
    <t>CGV충북혁신</t>
  </si>
  <si>
    <t>음성군 맹동면 대하1길 10 (동성리 500)</t>
    <phoneticPr fontId="2" type="noConversion"/>
  </si>
  <si>
    <t xml:space="preserve">설성시네마 </t>
    <phoneticPr fontId="2" type="noConversion"/>
  </si>
  <si>
    <t>음성군 수정로 37, (음성읍) 설성문화회관 3층</t>
  </si>
  <si>
    <t>070-7704-7788</t>
  </si>
  <si>
    <t>https://seolseong.scinema.kr/cinema/main.do?cgid=FE8EF4D2-F22D-4802-A39A-D58F23A29C1E&amp;?cgid=FE8EF4D2-F22D-4802-A39A-D58F23A29C1E&amp;BrandCd=scinema&amp;CinemaCd=000105</t>
  </si>
  <si>
    <t>CGV천안</t>
  </si>
  <si>
    <t>충청남도</t>
    <phoneticPr fontId="3" type="noConversion"/>
  </si>
  <si>
    <t>천안시</t>
    <phoneticPr fontId="3" type="noConversion"/>
  </si>
  <si>
    <t>인디플러스 천안</t>
    <phoneticPr fontId="3" type="noConversion"/>
  </si>
  <si>
    <t>천안시 동남구 문화동 010-2 천안시영상미디어센터</t>
    <phoneticPr fontId="3" type="noConversion"/>
  </si>
  <si>
    <t>041-415-0098</t>
    <phoneticPr fontId="3" type="noConversion"/>
  </si>
  <si>
    <t>http://www.xn--2z1bz7ch1njvc5tdy9k60p.kr/</t>
    <phoneticPr fontId="2" type="noConversion"/>
  </si>
  <si>
    <t>21.7월 부터 휴관 중 / 22.8.24. 영업재개</t>
    <phoneticPr fontId="2" type="noConversion"/>
  </si>
  <si>
    <t>천안인생극장</t>
    <phoneticPr fontId="3" type="noConversion"/>
  </si>
  <si>
    <t xml:space="preserve">천안시 동남구 버들로 41 명성빌딩 </t>
    <phoneticPr fontId="3" type="noConversion"/>
  </si>
  <si>
    <t>041-551-0817</t>
    <phoneticPr fontId="3" type="noConversion"/>
  </si>
  <si>
    <t>http://xn--3i0b617a6gd9tcrg75y.org/</t>
  </si>
  <si>
    <t>20.11.24 상영내역 없음. 휴관 처리 / (구)천안낭만극장 / 21.10.12. 영업재개</t>
    <phoneticPr fontId="2" type="noConversion"/>
  </si>
  <si>
    <t>CGV천안터미널</t>
  </si>
  <si>
    <t>천안시 만남로 43 신세계백화점 B관 4층(신부동 373-1)</t>
    <phoneticPr fontId="2" type="noConversion"/>
  </si>
  <si>
    <t>야우리 19.02.17. 영업종료/ CGV 천안터미널로 전환</t>
    <phoneticPr fontId="2" type="noConversion"/>
  </si>
  <si>
    <t>CGV천안펜타포트</t>
  </si>
  <si>
    <t>충청남도</t>
    <phoneticPr fontId="2" type="noConversion"/>
  </si>
  <si>
    <t>천안시</t>
    <phoneticPr fontId="2" type="noConversion"/>
  </si>
  <si>
    <t>씨네Q 천안불당</t>
    <phoneticPr fontId="2" type="noConversion"/>
  </si>
  <si>
    <t>천안시 서북구 불당33길 28, 4층</t>
    <phoneticPr fontId="2" type="noConversion"/>
  </si>
  <si>
    <t>밥.Cine, Recliner</t>
    <phoneticPr fontId="2" type="noConversion"/>
  </si>
  <si>
    <t xml:space="preserve">롯데시네마 천안청당 </t>
    <phoneticPr fontId="2" type="noConversion"/>
  </si>
  <si>
    <t>천안시 동남구 청수11로 35 CA타워 7층 (청당동)</t>
  </si>
  <si>
    <t>CGV천안시청</t>
  </si>
  <si>
    <t>천안시 서북구 번영로 201 센트에비뉴 2~4층</t>
    <phoneticPr fontId="2" type="noConversion"/>
  </si>
  <si>
    <t>롯데시네마 천안불당</t>
    <phoneticPr fontId="2" type="noConversion"/>
  </si>
  <si>
    <t>천안시 서북구 불당21로 67-8, 7층 (불당동 정석프라자 4차)</t>
    <phoneticPr fontId="2" type="noConversion"/>
  </si>
  <si>
    <t>Super S, Cine Comfort(2)</t>
    <phoneticPr fontId="2" type="noConversion"/>
  </si>
  <si>
    <t>금산군</t>
    <phoneticPr fontId="3" type="noConversion"/>
  </si>
  <si>
    <t>금산시네마</t>
    <phoneticPr fontId="3" type="noConversion"/>
  </si>
  <si>
    <t>금산군 금산읍 비단로 91</t>
    <phoneticPr fontId="3" type="noConversion"/>
  </si>
  <si>
    <t>041-751-7668</t>
    <phoneticPr fontId="3" type="noConversion"/>
  </si>
  <si>
    <t>geumsancinema.com</t>
    <phoneticPr fontId="3" type="noConversion"/>
  </si>
  <si>
    <t>20.12.04.~ 상영내역 없음. 휴관 처리/ 22.5.14. 영업재개</t>
    <phoneticPr fontId="2" type="noConversion"/>
  </si>
  <si>
    <t>CGV보령</t>
  </si>
  <si>
    <t xml:space="preserve">보령시 </t>
    <phoneticPr fontId="3" type="noConversion"/>
  </si>
  <si>
    <t>명보시네마</t>
    <phoneticPr fontId="3" type="noConversion"/>
  </si>
  <si>
    <t>보령시 중앙로 125 (대천동)</t>
    <phoneticPr fontId="3" type="noConversion"/>
  </si>
  <si>
    <t>041-936-4503</t>
    <phoneticPr fontId="3" type="noConversion"/>
  </si>
  <si>
    <t>16년 폐업후 신규오픈</t>
    <phoneticPr fontId="3" type="noConversion"/>
  </si>
  <si>
    <t>CGV서산</t>
  </si>
  <si>
    <t>논산시</t>
    <phoneticPr fontId="2" type="noConversion"/>
  </si>
  <si>
    <t>CGV논산</t>
  </si>
  <si>
    <t>논산시 시민로 181 시네마타워 3층</t>
    <phoneticPr fontId="2" type="noConversion"/>
  </si>
  <si>
    <t>메가박스 논산</t>
    <phoneticPr fontId="2" type="noConversion"/>
  </si>
  <si>
    <t>논산시 중앙로 255 우리메가박스타운 3,4층</t>
    <phoneticPr fontId="2" type="noConversion"/>
  </si>
  <si>
    <t>22.8.31. 1~5관 좌석수 변경</t>
    <phoneticPr fontId="2" type="noConversion"/>
  </si>
  <si>
    <t>당진시</t>
    <phoneticPr fontId="2" type="noConversion"/>
  </si>
  <si>
    <t>롯데시네마 당진</t>
    <phoneticPr fontId="2" type="noConversion"/>
  </si>
  <si>
    <t xml:space="preserve">당진시 시청2로 49-19, 7~9층 </t>
    <phoneticPr fontId="2" type="noConversion"/>
  </si>
  <si>
    <t>Cine Comfort(4)</t>
    <phoneticPr fontId="3" type="noConversion"/>
  </si>
  <si>
    <t>CGV당진</t>
  </si>
  <si>
    <t>부여군</t>
    <phoneticPr fontId="3" type="noConversion"/>
  </si>
  <si>
    <t>스타박스</t>
    <phoneticPr fontId="3" type="noConversion"/>
  </si>
  <si>
    <t>부여군 계백로 305</t>
    <phoneticPr fontId="3" type="noConversion"/>
  </si>
  <si>
    <t>041-837-4501</t>
    <phoneticPr fontId="3" type="noConversion"/>
  </si>
  <si>
    <t>부여군 부여읍 사비로 100번길 12 (구아리 209-1)</t>
    <phoneticPr fontId="3" type="noConversion"/>
  </si>
  <si>
    <t>041-833-9999</t>
    <phoneticPr fontId="2" type="noConversion"/>
  </si>
  <si>
    <t>서천군</t>
    <phoneticPr fontId="3" type="noConversion"/>
  </si>
  <si>
    <t>서천군 기벌포영화관</t>
    <phoneticPr fontId="3" type="noConversion"/>
  </si>
  <si>
    <t>서천군 장항읍 장항로 145번길 30</t>
    <phoneticPr fontId="3" type="noConversion"/>
  </si>
  <si>
    <t>041-956-7939</t>
    <phoneticPr fontId="3" type="noConversion"/>
  </si>
  <si>
    <t>서천군기벌포영화관.net</t>
    <phoneticPr fontId="2" type="noConversion"/>
  </si>
  <si>
    <t>20.12.24.~ 상영내역 없음. 휴관 처리 / 21.1.20. 발권재개</t>
    <phoneticPr fontId="2" type="noConversion"/>
  </si>
  <si>
    <t>청양군</t>
    <phoneticPr fontId="3" type="noConversion"/>
  </si>
  <si>
    <t>청양시네마</t>
    <phoneticPr fontId="3" type="noConversion"/>
  </si>
  <si>
    <t>청양군 청양읍 칠갑산로 221 문화체육센터 3층</t>
    <phoneticPr fontId="3" type="noConversion"/>
  </si>
  <si>
    <t>041-942-7053</t>
    <phoneticPr fontId="3" type="noConversion"/>
  </si>
  <si>
    <t>cheongyang.scinema.org</t>
    <phoneticPr fontId="3" type="noConversion"/>
  </si>
  <si>
    <t>20.12.02.휴관 / 21.1.20. 발권재개</t>
    <phoneticPr fontId="2" type="noConversion"/>
  </si>
  <si>
    <t>CGV홍성</t>
  </si>
  <si>
    <t>16.03.28. 직영전환/ 20.10.26. 휴관 후 21년 재개관</t>
    <phoneticPr fontId="2" type="noConversion"/>
  </si>
  <si>
    <t>예산군</t>
    <phoneticPr fontId="3" type="noConversion"/>
  </si>
  <si>
    <t>예산시네마</t>
    <phoneticPr fontId="3" type="noConversion"/>
  </si>
  <si>
    <t>예산군 예산읍 천변로 160</t>
    <phoneticPr fontId="3" type="noConversion"/>
  </si>
  <si>
    <t>041-335-2331</t>
    <phoneticPr fontId="3" type="noConversion"/>
  </si>
  <si>
    <t>yesan.scinema.org</t>
    <phoneticPr fontId="3" type="noConversion"/>
  </si>
  <si>
    <t>태안군</t>
    <phoneticPr fontId="3" type="noConversion"/>
  </si>
  <si>
    <t xml:space="preserve">태안시네마 </t>
    <phoneticPr fontId="3" type="noConversion"/>
  </si>
  <si>
    <t>태안군 태안읍 백화로 192</t>
    <phoneticPr fontId="3" type="noConversion"/>
  </si>
  <si>
    <t>041-673-2192</t>
    <phoneticPr fontId="3" type="noConversion"/>
  </si>
  <si>
    <t>taeancinema.com</t>
    <phoneticPr fontId="3" type="noConversion"/>
  </si>
  <si>
    <t xml:space="preserve">20.10.13. 재개관 </t>
    <phoneticPr fontId="2" type="noConversion"/>
  </si>
  <si>
    <t>전라북도</t>
    <phoneticPr fontId="2" type="noConversion"/>
  </si>
  <si>
    <t>전주시</t>
    <phoneticPr fontId="2" type="noConversion"/>
  </si>
  <si>
    <t>메가박스 전주혁신</t>
    <phoneticPr fontId="2" type="noConversion"/>
  </si>
  <si>
    <t xml:space="preserve">전주시 덕진구 기지로 77, 2층 </t>
    <phoneticPr fontId="2" type="noConversion"/>
  </si>
  <si>
    <t>메가박스 전주송천</t>
    <phoneticPr fontId="2" type="noConversion"/>
  </si>
  <si>
    <t>롯데시네마 전주송천</t>
    <phoneticPr fontId="2" type="noConversion"/>
  </si>
  <si>
    <t>전주시 덕진구 송천중앙로225 (파인트리몰 6층)</t>
    <phoneticPr fontId="2" type="noConversion"/>
  </si>
  <si>
    <t>전주시</t>
    <phoneticPr fontId="3" type="noConversion"/>
  </si>
  <si>
    <t>전주디지털독립영화관</t>
    <phoneticPr fontId="3" type="noConversion"/>
  </si>
  <si>
    <t>전주시 완산구 고사동 객사 3길 22 전주영화제작소 4층</t>
    <phoneticPr fontId="3" type="noConversion"/>
  </si>
  <si>
    <t>20.11.30. 휴관 / 21.1.27. 영업재개 / 21.12.15.~휴관 / 22.1.4. 영업재개</t>
    <phoneticPr fontId="2" type="noConversion"/>
  </si>
  <si>
    <t>CGV전주효자</t>
  </si>
  <si>
    <t>CGV전주고사</t>
  </si>
  <si>
    <t>전주시 완산구 전주객사3길 67 (고사동 340-3)</t>
    <phoneticPr fontId="3" type="noConversion"/>
  </si>
  <si>
    <t>063-283-7722</t>
    <phoneticPr fontId="2" type="noConversion"/>
  </si>
  <si>
    <t>1관 폐관/ 20년부터 2관 휴관 중</t>
    <phoneticPr fontId="3" type="noConversion"/>
  </si>
  <si>
    <t>전라북도</t>
    <phoneticPr fontId="3" type="noConversion"/>
  </si>
  <si>
    <t xml:space="preserve">조이아트시네마 </t>
    <phoneticPr fontId="3" type="noConversion"/>
  </si>
  <si>
    <t>전주시 완산구 전주객사3길 72</t>
    <phoneticPr fontId="3" type="noConversion"/>
  </si>
  <si>
    <t>063-252-4323</t>
    <phoneticPr fontId="3" type="noConversion"/>
  </si>
  <si>
    <t>https://joyart.moonhwain.net:451/</t>
  </si>
  <si>
    <t>조이앤시네마 전주</t>
    <phoneticPr fontId="3" type="noConversion"/>
  </si>
  <si>
    <t>https://joyn.moonhwain.net:451/</t>
  </si>
  <si>
    <t>CGV서전주</t>
  </si>
  <si>
    <t>CGV전주에코시티</t>
  </si>
  <si>
    <t xml:space="preserve">전주시 덕진구 세병2길 10, 로마네시티 4층 </t>
    <phoneticPr fontId="2" type="noConversion"/>
  </si>
  <si>
    <t>CGV군산</t>
  </si>
  <si>
    <t>CGV익산</t>
  </si>
  <si>
    <t>20.02.29. 2개관(8,9관) 부분폐관</t>
    <phoneticPr fontId="2" type="noConversion"/>
  </si>
  <si>
    <t>익산시</t>
    <phoneticPr fontId="2" type="noConversion"/>
  </si>
  <si>
    <t>롯데시네마 익산모현</t>
    <phoneticPr fontId="2" type="noConversion"/>
  </si>
  <si>
    <t>익산시 선화로 77(모현동1가 876)</t>
    <phoneticPr fontId="2" type="noConversion"/>
  </si>
  <si>
    <t>CGV정읍</t>
  </si>
  <si>
    <t>남원시</t>
    <phoneticPr fontId="2" type="noConversion"/>
  </si>
  <si>
    <t>NH시네마</t>
    <phoneticPr fontId="2" type="noConversion"/>
  </si>
  <si>
    <t>남원시 요천로 1838, 4층 (고죽동)</t>
    <phoneticPr fontId="2" type="noConversion"/>
  </si>
  <si>
    <t>063-635-3927</t>
    <phoneticPr fontId="2" type="noConversion"/>
  </si>
  <si>
    <t>nhcinema.net</t>
    <phoneticPr fontId="2" type="noConversion"/>
  </si>
  <si>
    <t xml:space="preserve">농협영화관 </t>
    <phoneticPr fontId="2" type="noConversion"/>
  </si>
  <si>
    <t>김제시</t>
    <phoneticPr fontId="3" type="noConversion"/>
  </si>
  <si>
    <t xml:space="preserve">올망졸망 지평선시네마 </t>
    <phoneticPr fontId="3" type="noConversion"/>
  </si>
  <si>
    <t xml:space="preserve">김제시 도작로 224-32 (검산동 산 62-1) </t>
    <phoneticPr fontId="3" type="noConversion"/>
  </si>
  <si>
    <t>063-547-1501</t>
    <phoneticPr fontId="3" type="noConversion"/>
  </si>
  <si>
    <t>20.12.15. 휴관 / 21.1.21. 발권재개/ 22.1. 재개관</t>
    <phoneticPr fontId="2" type="noConversion"/>
  </si>
  <si>
    <t xml:space="preserve">완주군 </t>
    <phoneticPr fontId="3" type="noConversion"/>
  </si>
  <si>
    <t xml:space="preserve">완주 휴 시네마 </t>
    <phoneticPr fontId="3" type="noConversion"/>
  </si>
  <si>
    <t xml:space="preserve">완주군 봉동읍 둔산3로 94 </t>
    <phoneticPr fontId="3" type="noConversion"/>
  </si>
  <si>
    <t>063-263-9012</t>
    <phoneticPr fontId="3" type="noConversion"/>
  </si>
  <si>
    <t xml:space="preserve">진안군 </t>
    <phoneticPr fontId="3" type="noConversion"/>
  </si>
  <si>
    <t xml:space="preserve">마이골작은영화관 </t>
    <phoneticPr fontId="3" type="noConversion"/>
  </si>
  <si>
    <t>진안군 진안읍 대성길 3</t>
    <phoneticPr fontId="3" type="noConversion"/>
  </si>
  <si>
    <t>063-433-7050</t>
    <phoneticPr fontId="3" type="noConversion"/>
  </si>
  <si>
    <t>15.07.27. 개관 / 20.07.13. 폐관 / 20.11.13. 재개관</t>
    <phoneticPr fontId="2" type="noConversion"/>
  </si>
  <si>
    <t xml:space="preserve">무주군 </t>
    <phoneticPr fontId="3" type="noConversion"/>
  </si>
  <si>
    <t xml:space="preserve">무주산골영화관 </t>
    <phoneticPr fontId="3" type="noConversion"/>
  </si>
  <si>
    <t xml:space="preserve">무주군 무주읍 한풍루로 326-17 무주예체문화관 2층 </t>
    <phoneticPr fontId="3" type="noConversion"/>
  </si>
  <si>
    <t>063-322-7053</t>
    <phoneticPr fontId="3" type="noConversion"/>
  </si>
  <si>
    <t>임실군</t>
    <phoneticPr fontId="2" type="noConversion"/>
  </si>
  <si>
    <t>임실한마당 작은별영화관</t>
    <phoneticPr fontId="2" type="noConversion"/>
  </si>
  <si>
    <t>임실군 임실읍 호국로 1703 (이도리, 임실군민회관 지하1층)</t>
  </si>
  <si>
    <t>063-642-7050</t>
  </si>
  <si>
    <t>imsil.moonhwain.net:451</t>
    <phoneticPr fontId="2" type="noConversion"/>
  </si>
  <si>
    <t>22.12.6. 재개관</t>
    <phoneticPr fontId="2" type="noConversion"/>
  </si>
  <si>
    <t xml:space="preserve">순창군 </t>
    <phoneticPr fontId="3" type="noConversion"/>
  </si>
  <si>
    <t>천재의 공간 영화산책</t>
    <phoneticPr fontId="3" type="noConversion"/>
  </si>
  <si>
    <t>순창군 순창읍 남계로 83</t>
    <phoneticPr fontId="3" type="noConversion"/>
  </si>
  <si>
    <t>063-653-7057</t>
    <phoneticPr fontId="3" type="noConversion"/>
  </si>
  <si>
    <t xml:space="preserve">전라북도 </t>
    <phoneticPr fontId="3" type="noConversion"/>
  </si>
  <si>
    <t xml:space="preserve">고창군 </t>
    <phoneticPr fontId="3" type="noConversion"/>
  </si>
  <si>
    <t xml:space="preserve">동리시네마 </t>
    <phoneticPr fontId="3" type="noConversion"/>
  </si>
  <si>
    <t>고창군 고창읍 판소리길 20</t>
    <phoneticPr fontId="3" type="noConversion"/>
  </si>
  <si>
    <t>063-564-1340</t>
    <phoneticPr fontId="3" type="noConversion"/>
  </si>
  <si>
    <t>https://gccinema.moonhwain.net:451/</t>
  </si>
  <si>
    <t>15년 상설상영관 신고/ 20.09.30. 재개관</t>
    <phoneticPr fontId="3" type="noConversion"/>
  </si>
  <si>
    <t xml:space="preserve">부안군 </t>
    <phoneticPr fontId="3" type="noConversion"/>
  </si>
  <si>
    <t xml:space="preserve">OLC 부안마실영화관 </t>
    <phoneticPr fontId="3" type="noConversion"/>
  </si>
  <si>
    <t xml:space="preserve">부안군 부안읍 예술회관길 11 </t>
    <phoneticPr fontId="3" type="noConversion"/>
  </si>
  <si>
    <t>063-582-1228</t>
    <phoneticPr fontId="3" type="noConversion"/>
  </si>
  <si>
    <t>(구)마실영화관 20.06.30. 폐관</t>
    <phoneticPr fontId="2" type="noConversion"/>
  </si>
  <si>
    <t>CGV목포</t>
  </si>
  <si>
    <t>CGV목포평화광장</t>
  </si>
  <si>
    <t>(구)롯데시네마 목포</t>
    <phoneticPr fontId="3" type="noConversion"/>
  </si>
  <si>
    <t>CGV여수웅천</t>
  </si>
  <si>
    <t>CGV순천</t>
  </si>
  <si>
    <t>CGV순천신대</t>
  </si>
  <si>
    <t>CGV나주</t>
  </si>
  <si>
    <t>CGV광양엘에프스퀘어</t>
  </si>
  <si>
    <t>CGV광양</t>
  </si>
  <si>
    <t>전라남도</t>
    <phoneticPr fontId="2" type="noConversion"/>
  </si>
  <si>
    <t>담양군</t>
    <phoneticPr fontId="2" type="noConversion"/>
  </si>
  <si>
    <t>OLC담양담빛시네마</t>
    <phoneticPr fontId="2" type="noConversion"/>
  </si>
  <si>
    <t>담양군 담양읍 지침6길 29</t>
    <phoneticPr fontId="2" type="noConversion"/>
  </si>
  <si>
    <t>061-382-0305</t>
    <phoneticPr fontId="2" type="noConversion"/>
  </si>
  <si>
    <t>전라남도</t>
    <phoneticPr fontId="3" type="noConversion"/>
  </si>
  <si>
    <t>곡성군</t>
    <phoneticPr fontId="3" type="noConversion"/>
  </si>
  <si>
    <t>OLC곡성극장</t>
    <phoneticPr fontId="3" type="noConversion"/>
  </si>
  <si>
    <t>곡성군 곡성읍 중앙로 59, 1층</t>
    <phoneticPr fontId="3" type="noConversion"/>
  </si>
  <si>
    <t>061-362-7890</t>
    <phoneticPr fontId="3" type="noConversion"/>
  </si>
  <si>
    <t>(구)곡성작은영화관 20.07.02. 폐관</t>
    <phoneticPr fontId="2" type="noConversion"/>
  </si>
  <si>
    <t xml:space="preserve">구례군 </t>
    <phoneticPr fontId="3" type="noConversion"/>
  </si>
  <si>
    <t xml:space="preserve">구례자연드림시네마 </t>
    <phoneticPr fontId="3" type="noConversion"/>
  </si>
  <si>
    <t xml:space="preserve">구례군 용방면 용산로 107-73 </t>
    <phoneticPr fontId="3" type="noConversion"/>
  </si>
  <si>
    <t>061-783-2200</t>
    <phoneticPr fontId="3" type="noConversion"/>
  </si>
  <si>
    <t>고흥군</t>
    <phoneticPr fontId="3" type="noConversion"/>
  </si>
  <si>
    <t>고흥 작은영화관</t>
    <phoneticPr fontId="3" type="noConversion"/>
  </si>
  <si>
    <t>고흥군 고흥읍 고흥로 1892-67</t>
    <phoneticPr fontId="3" type="noConversion"/>
  </si>
  <si>
    <t>061-830-5800</t>
    <phoneticPr fontId="3" type="noConversion"/>
  </si>
  <si>
    <t>cinema.goheung.go.kr</t>
    <phoneticPr fontId="3" type="noConversion"/>
  </si>
  <si>
    <t>20.12.23. 휴관 / 21.2.16. 영업재개</t>
    <phoneticPr fontId="2" type="noConversion"/>
  </si>
  <si>
    <t>보성군</t>
    <phoneticPr fontId="2" type="noConversion"/>
  </si>
  <si>
    <t>보성 작은영화관</t>
    <phoneticPr fontId="2" type="noConversion"/>
  </si>
  <si>
    <t>보성군 보성읍 원봉리 2-1</t>
    <phoneticPr fontId="2" type="noConversion"/>
  </si>
  <si>
    <t>20.03.01. 휴관 / 21.2.4. 영업재개</t>
    <phoneticPr fontId="2" type="noConversion"/>
  </si>
  <si>
    <t>화순군</t>
    <phoneticPr fontId="3" type="noConversion"/>
  </si>
  <si>
    <t>OLC화순시네마</t>
    <phoneticPr fontId="3" type="noConversion"/>
  </si>
  <si>
    <t>화순군 화순읍 진각로 85 화순군민회관 2층</t>
    <phoneticPr fontId="3" type="noConversion"/>
  </si>
  <si>
    <t>061-373-7053</t>
    <phoneticPr fontId="3" type="noConversion"/>
  </si>
  <si>
    <t>20.02.20. 휴관 / 21.11.30. 영업재개</t>
    <phoneticPr fontId="2" type="noConversion"/>
  </si>
  <si>
    <t>장흥군</t>
    <phoneticPr fontId="3" type="noConversion"/>
  </si>
  <si>
    <t xml:space="preserve">정남진시네마 </t>
    <phoneticPr fontId="3" type="noConversion"/>
  </si>
  <si>
    <t>장흥군 장흥읍 흥성로 43</t>
    <phoneticPr fontId="3" type="noConversion"/>
  </si>
  <si>
    <t>061-862-7053</t>
    <phoneticPr fontId="3" type="noConversion"/>
  </si>
  <si>
    <t>20.02.27. 상영내역 없음. 휴관 처리 / 2021.5.1. 영업재개</t>
    <phoneticPr fontId="2" type="noConversion"/>
  </si>
  <si>
    <t>해남군</t>
    <phoneticPr fontId="2" type="noConversion"/>
  </si>
  <si>
    <t>해남시네마</t>
    <phoneticPr fontId="2" type="noConversion"/>
  </si>
  <si>
    <t>해남군 해남읍 남부순환로 22, 1층</t>
    <phoneticPr fontId="2" type="noConversion"/>
  </si>
  <si>
    <t>061-533-7717</t>
    <phoneticPr fontId="2" type="noConversion"/>
  </si>
  <si>
    <t>haenam.scinema.org</t>
    <phoneticPr fontId="2" type="noConversion"/>
  </si>
  <si>
    <t>영암군</t>
    <phoneticPr fontId="2" type="noConversion"/>
  </si>
  <si>
    <t>영암 기찬시네마</t>
    <phoneticPr fontId="2" type="noConversion"/>
  </si>
  <si>
    <t>영암군 영암읍 낭주로 135-1</t>
  </si>
  <si>
    <t>061-472-1117</t>
  </si>
  <si>
    <t>https://petitecine.com/PETC/small_cinema?cinema=90</t>
  </si>
  <si>
    <t>영광군</t>
    <phoneticPr fontId="2" type="noConversion"/>
  </si>
  <si>
    <t>영광작은영화관</t>
    <phoneticPr fontId="2" type="noConversion"/>
  </si>
  <si>
    <t>영광군 영광읍 천년로13길 2-26</t>
    <phoneticPr fontId="2" type="noConversion"/>
  </si>
  <si>
    <t>061-351-5501</t>
    <phoneticPr fontId="2" type="noConversion"/>
  </si>
  <si>
    <t>yeonggwang.scinema.org</t>
    <phoneticPr fontId="2" type="noConversion"/>
  </si>
  <si>
    <t>완도군</t>
    <phoneticPr fontId="3" type="noConversion"/>
  </si>
  <si>
    <t xml:space="preserve">완도 빙그레시네마 </t>
    <phoneticPr fontId="3" type="noConversion"/>
  </si>
  <si>
    <t>완도군 완도읍 개포로 159번길 55, 2층</t>
    <phoneticPr fontId="3" type="noConversion"/>
  </si>
  <si>
    <t>061-555-7053</t>
    <phoneticPr fontId="3" type="noConversion"/>
  </si>
  <si>
    <t>wando.scinema.org</t>
    <phoneticPr fontId="3" type="noConversion"/>
  </si>
  <si>
    <t>20.12.25. 휴관 / 21.1.4. 영업재개</t>
    <phoneticPr fontId="2" type="noConversion"/>
  </si>
  <si>
    <t>진도군</t>
    <phoneticPr fontId="3" type="noConversion"/>
  </si>
  <si>
    <t xml:space="preserve">진도아리랑 시네마 </t>
    <phoneticPr fontId="3" type="noConversion"/>
  </si>
  <si>
    <t>진도군 진도읍 동외1길 6-13</t>
    <phoneticPr fontId="3" type="noConversion"/>
  </si>
  <si>
    <t>061-544-7790</t>
    <phoneticPr fontId="3" type="noConversion"/>
  </si>
  <si>
    <t>jindo.scinema.org</t>
    <phoneticPr fontId="3" type="noConversion"/>
  </si>
  <si>
    <t>20.06. 재개관</t>
    <phoneticPr fontId="2" type="noConversion"/>
  </si>
  <si>
    <t>메가박스 포항</t>
    <phoneticPr fontId="2" type="noConversion"/>
  </si>
  <si>
    <t>포항시 남구 중흥로 77, 7~8층</t>
    <phoneticPr fontId="2" type="noConversion"/>
  </si>
  <si>
    <t>경상북도</t>
    <phoneticPr fontId="3" type="noConversion"/>
  </si>
  <si>
    <t>포항시</t>
    <phoneticPr fontId="3" type="noConversion"/>
  </si>
  <si>
    <t>인디플러스 포항</t>
    <phoneticPr fontId="3" type="noConversion"/>
  </si>
  <si>
    <t>포항시 북구 서동로 83 포항시립중앙아트홀 2층</t>
    <phoneticPr fontId="3" type="noConversion"/>
  </si>
  <si>
    <t>054-289-7943</t>
    <phoneticPr fontId="3" type="noConversion"/>
  </si>
  <si>
    <t>20.12.15.휴관 / 21.1.19. 영업재개</t>
    <phoneticPr fontId="2" type="noConversion"/>
  </si>
  <si>
    <t>CGV북포항</t>
  </si>
  <si>
    <t>21.7.28. 직영-&gt; 위탁전환</t>
    <phoneticPr fontId="2" type="noConversion"/>
  </si>
  <si>
    <t>경상북도</t>
    <phoneticPr fontId="2" type="noConversion"/>
  </si>
  <si>
    <t>경주시</t>
    <phoneticPr fontId="2" type="noConversion"/>
  </si>
  <si>
    <t>메가박스 경주</t>
    <phoneticPr fontId="2" type="noConversion"/>
  </si>
  <si>
    <t>경주시 원효로 112, 2층 (노동동)</t>
    <phoneticPr fontId="2" type="noConversion"/>
  </si>
  <si>
    <t>Comfort(1)</t>
    <phoneticPr fontId="2" type="noConversion"/>
  </si>
  <si>
    <t xml:space="preserve">21.10.1. 폐관/ 22.12. 재오픈 </t>
    <phoneticPr fontId="2" type="noConversion"/>
  </si>
  <si>
    <t>롯데시네마 경주황성</t>
    <phoneticPr fontId="2" type="noConversion"/>
  </si>
  <si>
    <t>경주시 유림로 5번길 85-46</t>
    <phoneticPr fontId="2" type="noConversion"/>
  </si>
  <si>
    <t>CGV김천율곡</t>
  </si>
  <si>
    <t>CGV안동</t>
  </si>
  <si>
    <t>롯데시네마 프리미엄안동</t>
    <phoneticPr fontId="2" type="noConversion"/>
  </si>
  <si>
    <t>안동시 경북대로 418 A동 401/501호 (옥동 테마프라자)</t>
    <phoneticPr fontId="2" type="noConversion"/>
  </si>
  <si>
    <t>(구)프리머스 안동 → (구)메가박스 안동</t>
    <phoneticPr fontId="2" type="noConversion"/>
  </si>
  <si>
    <t>안동시 문화광장길 45 (삼산동 140-5)</t>
    <phoneticPr fontId="3" type="noConversion"/>
  </si>
  <si>
    <t>054-854-5500</t>
    <phoneticPr fontId="2" type="noConversion"/>
  </si>
  <si>
    <t>롯데시네마 프리미엄구미센트럴</t>
    <phoneticPr fontId="2" type="noConversion"/>
  </si>
  <si>
    <t>CGV구미</t>
  </si>
  <si>
    <t>Cine Comfort</t>
    <phoneticPr fontId="2" type="noConversion"/>
  </si>
  <si>
    <t>영천시</t>
    <phoneticPr fontId="3" type="noConversion"/>
  </si>
  <si>
    <t>영천 별빛영화관 with 씨네Q</t>
    <phoneticPr fontId="3" type="noConversion"/>
  </si>
  <si>
    <t xml:space="preserve">영천시 시장2길 10, 2층 </t>
    <phoneticPr fontId="3" type="noConversion"/>
  </si>
  <si>
    <t>직영</t>
    <phoneticPr fontId="3" type="noConversion"/>
  </si>
  <si>
    <t>영천시</t>
    <phoneticPr fontId="2" type="noConversion"/>
  </si>
  <si>
    <t>롯데시네마 영천</t>
    <phoneticPr fontId="2" type="noConversion"/>
  </si>
  <si>
    <t>영천시 시장로 96, 2층 202호 (완산동)</t>
    <phoneticPr fontId="2" type="noConversion"/>
  </si>
  <si>
    <t>상주시</t>
    <phoneticPr fontId="3" type="noConversion"/>
  </si>
  <si>
    <t xml:space="preserve">롯데시네마 상주 </t>
    <phoneticPr fontId="2" type="noConversion"/>
  </si>
  <si>
    <t xml:space="preserve">상주시 중앙로 147, 2층 </t>
    <phoneticPr fontId="2" type="noConversion"/>
  </si>
  <si>
    <t>경산시</t>
    <phoneticPr fontId="2" type="noConversion"/>
  </si>
  <si>
    <t>CGV경산</t>
  </si>
  <si>
    <t>경산시 대학로 28길 6-5 아이작레비뉴 2~4층</t>
    <phoneticPr fontId="2" type="noConversion"/>
  </si>
  <si>
    <t>의성군</t>
    <phoneticPr fontId="2" type="noConversion"/>
  </si>
  <si>
    <t>의성작은영화관</t>
    <phoneticPr fontId="2" type="noConversion"/>
  </si>
  <si>
    <t>의성군 의성읍 후죽4길 6, 1층</t>
    <phoneticPr fontId="2" type="noConversion"/>
  </si>
  <si>
    <t>054-833-7718</t>
    <phoneticPr fontId="2" type="noConversion"/>
  </si>
  <si>
    <t>uiseong.scinema.org</t>
    <phoneticPr fontId="2" type="noConversion"/>
  </si>
  <si>
    <t>영양군</t>
    <phoneticPr fontId="3" type="noConversion"/>
  </si>
  <si>
    <t>영양 작은영화관</t>
    <phoneticPr fontId="3" type="noConversion"/>
  </si>
  <si>
    <t>영양군 영양읍 서부리 2-15, 2층</t>
    <phoneticPr fontId="3" type="noConversion"/>
  </si>
  <si>
    <t>054-683-7053</t>
    <phoneticPr fontId="3" type="noConversion"/>
  </si>
  <si>
    <t>yyg.scinema.org</t>
    <phoneticPr fontId="3" type="noConversion"/>
  </si>
  <si>
    <t>20.11.18. 재개관</t>
    <phoneticPr fontId="2" type="noConversion"/>
  </si>
  <si>
    <t xml:space="preserve">고령군 </t>
    <phoneticPr fontId="3" type="noConversion"/>
  </si>
  <si>
    <t xml:space="preserve">대가야시네마 </t>
    <phoneticPr fontId="3" type="noConversion"/>
  </si>
  <si>
    <t>고령군 대가야읍 대가야로 1216</t>
    <phoneticPr fontId="3" type="noConversion"/>
  </si>
  <si>
    <t>054-954-7053</t>
    <phoneticPr fontId="3" type="noConversion"/>
  </si>
  <si>
    <t>20.06.18. 재개관/ 22.4.29. 좌석수 변경</t>
    <phoneticPr fontId="2" type="noConversion"/>
  </si>
  <si>
    <t>성주군</t>
    <phoneticPr fontId="2" type="noConversion"/>
  </si>
  <si>
    <t>별고을시네마</t>
    <phoneticPr fontId="2" type="noConversion"/>
  </si>
  <si>
    <t>성주군 성주읍 경산길 17</t>
  </si>
  <si>
    <t>054-932-7717</t>
  </si>
  <si>
    <t>seongju.scinema.kr</t>
  </si>
  <si>
    <t>칠곡군</t>
    <phoneticPr fontId="3" type="noConversion"/>
  </si>
  <si>
    <t>씨네Q 칠곡호이</t>
    <phoneticPr fontId="3" type="noConversion"/>
  </si>
  <si>
    <t>칠곡군 석적읍 석적로 646</t>
    <phoneticPr fontId="3" type="noConversion"/>
  </si>
  <si>
    <t>20.05.31.상영내역 없음. 휴관 처리 / 21.3.5. 칠곡호이영화관(씨네Q)로 재개관</t>
    <phoneticPr fontId="2" type="noConversion"/>
  </si>
  <si>
    <t>예천군</t>
    <phoneticPr fontId="2" type="noConversion"/>
  </si>
  <si>
    <t xml:space="preserve">메가박스 경북도청 </t>
    <phoneticPr fontId="2" type="noConversion"/>
  </si>
  <si>
    <t>예천군 호명면 새움3로 70 (산합리)</t>
    <phoneticPr fontId="2" type="noConversion"/>
  </si>
  <si>
    <t>울진군</t>
    <phoneticPr fontId="3" type="noConversion"/>
  </si>
  <si>
    <t>울진 작은영화관</t>
    <phoneticPr fontId="3" type="noConversion"/>
  </si>
  <si>
    <t>울진군 울진읍 울진중앙로 115-21</t>
    <phoneticPr fontId="3" type="noConversion"/>
  </si>
  <si>
    <t>054-782-7717</t>
    <phoneticPr fontId="3" type="noConversion"/>
  </si>
  <si>
    <t>uljin.scunema.org</t>
    <phoneticPr fontId="3" type="noConversion"/>
  </si>
  <si>
    <t>20.06.29. 휴관 / 21.5.1 영업재개</t>
    <phoneticPr fontId="2" type="noConversion"/>
  </si>
  <si>
    <t>경상남도</t>
    <phoneticPr fontId="3" type="noConversion"/>
  </si>
  <si>
    <t>창원시</t>
    <phoneticPr fontId="3" type="noConversion"/>
  </si>
  <si>
    <t>씨네아트 리좀</t>
    <phoneticPr fontId="3" type="noConversion"/>
  </si>
  <si>
    <t xml:space="preserve">창원시 마산합포구 동서북 14길 24 </t>
    <phoneticPr fontId="3" type="noConversion"/>
  </si>
  <si>
    <t>070-8802-6438</t>
    <phoneticPr fontId="3" type="noConversion"/>
  </si>
  <si>
    <t>espacerhizome.com</t>
    <phoneticPr fontId="2" type="noConversion"/>
  </si>
  <si>
    <t>Megabox Kids, Comfort</t>
    <phoneticPr fontId="2" type="noConversion"/>
  </si>
  <si>
    <t>(구)롯데시네마 마산(경남대)</t>
    <phoneticPr fontId="3" type="noConversion"/>
  </si>
  <si>
    <t>롯데시네마 프리미엄경남대</t>
    <phoneticPr fontId="2" type="noConversion"/>
  </si>
  <si>
    <t>창원시 마산합포구 해안대로 7 남부시네마타운 (월남동 5가 4-1)</t>
    <phoneticPr fontId="3" type="noConversion"/>
  </si>
  <si>
    <t xml:space="preserve">(구)남부씨네마/ (구)메가박스 경남대 18년 폐점 </t>
    <phoneticPr fontId="3" type="noConversion"/>
  </si>
  <si>
    <t>CGV마산</t>
  </si>
  <si>
    <t>롯데시네마 마산(합성동)</t>
    <phoneticPr fontId="2" type="noConversion"/>
  </si>
  <si>
    <t>(구)마산시네마/20.05.01. 마산터미널 → 마산(합성동)으로 상호명 변경</t>
    <phoneticPr fontId="2" type="noConversion"/>
  </si>
  <si>
    <t>경상남도</t>
    <phoneticPr fontId="2" type="noConversion"/>
  </si>
  <si>
    <t>창원시</t>
    <phoneticPr fontId="2" type="noConversion"/>
  </si>
  <si>
    <t>메가박스 창원내서</t>
    <phoneticPr fontId="2" type="noConversion"/>
  </si>
  <si>
    <t>창원시 마산회원구 내서읍 광려천서로 81, 10층</t>
    <phoneticPr fontId="2" type="noConversion"/>
  </si>
  <si>
    <t>CGV창원상남</t>
  </si>
  <si>
    <t xml:space="preserve">창원시 성산구 중앙대로 100번길 13, 6층 </t>
    <phoneticPr fontId="2" type="noConversion"/>
  </si>
  <si>
    <t>CGV창원더시티</t>
  </si>
  <si>
    <t>CGV창원</t>
  </si>
  <si>
    <t>(구)CGV 진주</t>
    <phoneticPr fontId="3" type="noConversion"/>
  </si>
  <si>
    <t>진주시</t>
    <phoneticPr fontId="2" type="noConversion"/>
  </si>
  <si>
    <t>CGV진주혁신</t>
  </si>
  <si>
    <t>진주시 애나로 127번길 30 드림어반스퀘어 4~5층</t>
    <phoneticPr fontId="2" type="noConversion"/>
  </si>
  <si>
    <t>메가박스 진주중안</t>
    <phoneticPr fontId="2" type="noConversion"/>
  </si>
  <si>
    <t>진주시 진양호로 521 (중안동 2-13)</t>
    <phoneticPr fontId="2" type="noConversion"/>
  </si>
  <si>
    <t>Comfort(9)</t>
    <phoneticPr fontId="2" type="noConversion"/>
  </si>
  <si>
    <t>(구)롯데시네마 진주프리미엄 22.12.2. 영업종료</t>
    <phoneticPr fontId="2" type="noConversion"/>
  </si>
  <si>
    <t>22.4.15. 2~5관 좌석수 변경</t>
    <phoneticPr fontId="2" type="noConversion"/>
  </si>
  <si>
    <t xml:space="preserve">롯데시네마 사천 </t>
    <phoneticPr fontId="2" type="noConversion"/>
  </si>
  <si>
    <t>(구)메가박스 사천 20.09.14. 영업종료 후 전환</t>
    <phoneticPr fontId="2" type="noConversion"/>
  </si>
  <si>
    <t>CGV김해</t>
  </si>
  <si>
    <t>CGV김해장유</t>
  </si>
  <si>
    <t>김해시</t>
    <phoneticPr fontId="2" type="noConversion"/>
  </si>
  <si>
    <t>CGV김해율하</t>
  </si>
  <si>
    <t>김해시 율하2로 111, 시네마플레이스 3층</t>
    <phoneticPr fontId="2" type="noConversion"/>
  </si>
  <si>
    <t>밀양시 백민로 75-1 (내이동 1565-16)</t>
    <phoneticPr fontId="3" type="noConversion"/>
  </si>
  <si>
    <t>055-356-3606</t>
    <phoneticPr fontId="2" type="noConversion"/>
  </si>
  <si>
    <t>CGV거제</t>
  </si>
  <si>
    <t>양산시</t>
    <phoneticPr fontId="2" type="noConversion"/>
  </si>
  <si>
    <t>영화공장</t>
    <phoneticPr fontId="2" type="noConversion"/>
  </si>
  <si>
    <t>양산시 덕계북길 35</t>
  </si>
  <si>
    <t>055-364-9977</t>
  </si>
  <si>
    <t>https://www.instagram.com/cinema_factory_yangsan/</t>
  </si>
  <si>
    <t>롯데시네마 양산물금</t>
    <phoneticPr fontId="2" type="noConversion"/>
  </si>
  <si>
    <t xml:space="preserve">(구)CGV 양산물금 21.12.21. 롯데시네마 양산물금으로 브랜드 전환 </t>
    <phoneticPr fontId="2" type="noConversion"/>
  </si>
  <si>
    <t xml:space="preserve">양산시 물금읍 증산역로 177(가촌리) </t>
    <phoneticPr fontId="2" type="noConversion"/>
  </si>
  <si>
    <t>CGV양산삼호</t>
  </si>
  <si>
    <t>양산시 삼호1길 42 더퍼스트 6층(삼호동)</t>
    <phoneticPr fontId="2" type="noConversion"/>
  </si>
  <si>
    <t>함안군</t>
    <phoneticPr fontId="3" type="noConversion"/>
  </si>
  <si>
    <t>OLC함안군 작은영화관</t>
    <phoneticPr fontId="3" type="noConversion"/>
  </si>
  <si>
    <t xml:space="preserve">함안군 가야읍 가야12길 12 </t>
    <phoneticPr fontId="3" type="noConversion"/>
  </si>
  <si>
    <t>055-584-8323</t>
    <phoneticPr fontId="3" type="noConversion"/>
  </si>
  <si>
    <t>20.11.27. 휴관 / 21.5.5. 영업재개</t>
    <phoneticPr fontId="2" type="noConversion"/>
  </si>
  <si>
    <t>CGV고성</t>
  </si>
  <si>
    <t>고성군 고성읍 송학로 58</t>
    <phoneticPr fontId="2" type="noConversion"/>
  </si>
  <si>
    <t>1544-1122</t>
    <phoneticPr fontId="2" type="noConversion"/>
  </si>
  <si>
    <t xml:space="preserve">고성군 위탁 작은영화관 </t>
    <phoneticPr fontId="2" type="noConversion"/>
  </si>
  <si>
    <t>남해군</t>
    <phoneticPr fontId="3" type="noConversion"/>
  </si>
  <si>
    <t>보물섬시네마</t>
    <phoneticPr fontId="3" type="noConversion"/>
  </si>
  <si>
    <t>남해군 남해읍 선소로 12 문화체육센터 내</t>
    <phoneticPr fontId="3" type="noConversion"/>
  </si>
  <si>
    <t>055-862-7718</t>
    <phoneticPr fontId="3" type="noConversion"/>
  </si>
  <si>
    <t xml:space="preserve">20.11. 재개관 </t>
    <phoneticPr fontId="2" type="noConversion"/>
  </si>
  <si>
    <t>하동군</t>
    <phoneticPr fontId="2" type="noConversion"/>
  </si>
  <si>
    <t xml:space="preserve">하동군 하동읍 시장1길 17, 4층 </t>
    <phoneticPr fontId="2" type="noConversion"/>
  </si>
  <si>
    <t>산청군</t>
    <phoneticPr fontId="2" type="noConversion"/>
  </si>
  <si>
    <t>산청군 작은영화관</t>
    <phoneticPr fontId="2" type="noConversion"/>
  </si>
  <si>
    <t xml:space="preserve">산청군 신안면 원지강변로 67-10 남부문화체육센터 2층 </t>
    <phoneticPr fontId="2" type="noConversion"/>
  </si>
  <si>
    <t>055-973-7717</t>
    <phoneticPr fontId="2" type="noConversion"/>
  </si>
  <si>
    <t xml:space="preserve">롯데시네마 거창 </t>
    <phoneticPr fontId="2" type="noConversion"/>
  </si>
  <si>
    <t>(구)고센시네마/ (구)메가박스 거창 20.07.23. 영업종료 후 전환</t>
    <phoneticPr fontId="2" type="noConversion"/>
  </si>
  <si>
    <t>합천군</t>
    <phoneticPr fontId="3" type="noConversion"/>
  </si>
  <si>
    <t xml:space="preserve">합천시네마 </t>
    <phoneticPr fontId="3" type="noConversion"/>
  </si>
  <si>
    <t>합천군 합천읍 남정길(합천리 521)</t>
    <phoneticPr fontId="3" type="noConversion"/>
  </si>
  <si>
    <t>055-932-7053</t>
    <phoneticPr fontId="3" type="noConversion"/>
  </si>
  <si>
    <t>제주시</t>
    <phoneticPr fontId="2" type="noConversion"/>
  </si>
  <si>
    <t>롯데시네마 제주연동</t>
    <phoneticPr fontId="2" type="noConversion"/>
  </si>
  <si>
    <t>제주시 과원로 128 B1F (연동)</t>
    <phoneticPr fontId="2" type="noConversion"/>
  </si>
  <si>
    <t>롯데시네마 제주아라</t>
    <phoneticPr fontId="2" type="noConversion"/>
  </si>
  <si>
    <t>(구)메가박스 제주아라</t>
    <phoneticPr fontId="2" type="noConversion"/>
  </si>
  <si>
    <t>CGV제주노형</t>
  </si>
  <si>
    <t>CGV제주</t>
  </si>
  <si>
    <t xml:space="preserve">20.02.27. 8관 추가 </t>
    <phoneticPr fontId="2" type="noConversion"/>
  </si>
  <si>
    <t>제주도</t>
    <phoneticPr fontId="2" type="noConversion"/>
  </si>
  <si>
    <t>한림작은영화관</t>
    <phoneticPr fontId="2" type="noConversion"/>
  </si>
  <si>
    <t xml:space="preserve">제주시 한림읍 한림중앙로 71-9, 1층 </t>
    <phoneticPr fontId="2" type="noConversion"/>
  </si>
  <si>
    <t>064-796-0813</t>
    <phoneticPr fontId="2" type="noConversion"/>
  </si>
  <si>
    <t>www.hallimcinema.or.kr</t>
    <phoneticPr fontId="2" type="noConversion"/>
  </si>
  <si>
    <t>총계</t>
    <phoneticPr fontId="2" type="noConversion"/>
  </si>
  <si>
    <t>행적구역별
정렬</t>
    <phoneticPr fontId="2" type="noConversion"/>
  </si>
  <si>
    <t>3D상영 가능관 여부</t>
    <phoneticPr fontId="2" type="noConversion"/>
  </si>
  <si>
    <t>독립예술영화전용관명</t>
    <phoneticPr fontId="2" type="noConversion"/>
  </si>
  <si>
    <t>종로구 경희궁1가길 7</t>
    <phoneticPr fontId="3" type="noConversion"/>
  </si>
  <si>
    <t>N</t>
    <phoneticPr fontId="2" type="noConversion"/>
  </si>
  <si>
    <t>~</t>
    <phoneticPr fontId="2" type="noConversion"/>
  </si>
  <si>
    <t>Y</t>
    <phoneticPr fontId="2" type="noConversion"/>
  </si>
  <si>
    <t>1관</t>
    <phoneticPr fontId="2" type="noConversion"/>
  </si>
  <si>
    <t>1관</t>
    <phoneticPr fontId="2" type="noConversion"/>
  </si>
  <si>
    <t>에무 시네마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</si>
  <si>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</si>
  <si>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</si>
  <si>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</si>
  <si>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</si>
  <si>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06관</t>
    <phoneticPr fontId="2" type="noConversion"/>
  </si>
  <si>
    <t>08관</t>
    <phoneticPr fontId="2" type="noConversion"/>
  </si>
  <si>
    <t xml:space="preserve">종로구 </t>
    <phoneticPr fontId="3" type="noConversion"/>
  </si>
  <si>
    <t>01관</t>
    <phoneticPr fontId="2" type="noConversion"/>
  </si>
  <si>
    <t>허리우드 클래식</t>
    <phoneticPr fontId="3" type="noConversion"/>
  </si>
  <si>
    <t>씨네큐브광화문</t>
    <phoneticPr fontId="2" type="noConversion"/>
  </si>
  <si>
    <t>종로구 새문안로 68 지하2층 (신문로1가 흥국생명빌딩)</t>
    <phoneticPr fontId="3" type="noConversion"/>
  </si>
  <si>
    <t>2관</t>
    <phoneticPr fontId="2" type="noConversion"/>
  </si>
  <si>
    <t>05관</t>
    <phoneticPr fontId="2" type="noConversion"/>
  </si>
  <si>
    <t>Charlotte관</t>
    <phoneticPr fontId="2" type="noConversion"/>
  </si>
  <si>
    <t>Charlotte</t>
    <phoneticPr fontId="2" type="noConversion"/>
  </si>
  <si>
    <t>중구 장충단로 247 굿모닝시티 9층 (을지로 6가 21번지)</t>
    <phoneticPr fontId="2" type="noConversion"/>
  </si>
  <si>
    <t>중구</t>
    <phoneticPr fontId="2" type="noConversion"/>
  </si>
  <si>
    <t>1관</t>
    <phoneticPr fontId="2" type="noConversion"/>
  </si>
  <si>
    <t>서울시</t>
    <phoneticPr fontId="2" type="noConversion"/>
  </si>
  <si>
    <t xml:space="preserve">중구 퇴계로 123, 10~11층 (명동) </t>
    <phoneticPr fontId="2" type="noConversion"/>
  </si>
  <si>
    <t>ART 1관</t>
    <phoneticPr fontId="2" type="noConversion"/>
  </si>
  <si>
    <t>CGV 아트하우스</t>
    <phoneticPr fontId="2" type="noConversion"/>
  </si>
  <si>
    <t xml:space="preserve">중구 퇴계로 123, 10~11층 (명동) </t>
    <phoneticPr fontId="2" type="noConversion"/>
  </si>
  <si>
    <t>ART 2관</t>
    <phoneticPr fontId="2" type="noConversion"/>
  </si>
  <si>
    <t xml:space="preserve">중구 퇴계로 123, 10~11층 (명동) </t>
    <phoneticPr fontId="2" type="noConversion"/>
  </si>
  <si>
    <t>직영</t>
    <phoneticPr fontId="2" type="noConversion"/>
  </si>
  <si>
    <t>대한극장</t>
    <phoneticPr fontId="2" type="noConversion"/>
  </si>
  <si>
    <t>롯데시네마 용산</t>
    <phoneticPr fontId="2" type="noConversion"/>
  </si>
  <si>
    <t>롯데시네마 용산</t>
    <phoneticPr fontId="2" type="noConversion"/>
  </si>
  <si>
    <t>15관</t>
    <phoneticPr fontId="2" type="noConversion"/>
  </si>
  <si>
    <t>17관</t>
    <phoneticPr fontId="2" type="noConversion"/>
  </si>
  <si>
    <t>용산구 한강대로 23길 55, 6층 (한강로 3가 40-1 용산민자역사 6층)</t>
    <phoneticPr fontId="2" type="noConversion"/>
  </si>
  <si>
    <t>4DX관</t>
    <phoneticPr fontId="2" type="noConversion"/>
  </si>
  <si>
    <t>Gold Class관</t>
    <phoneticPr fontId="2" type="noConversion"/>
  </si>
  <si>
    <t>Gold Class</t>
    <phoneticPr fontId="2" type="noConversion"/>
  </si>
  <si>
    <t>IMAX관</t>
    <phoneticPr fontId="2" type="noConversion"/>
  </si>
  <si>
    <t>IMAX</t>
    <phoneticPr fontId="2" type="noConversion"/>
  </si>
  <si>
    <t>Cine de Chef (TEMPUR Cinema)</t>
    <phoneticPr fontId="2" type="noConversion"/>
  </si>
  <si>
    <t>Cine de Chef_TEMPUR Cinema</t>
    <phoneticPr fontId="2" type="noConversion"/>
  </si>
  <si>
    <t>Cine de Chef</t>
    <phoneticPr fontId="2" type="noConversion"/>
  </si>
  <si>
    <t>성동구 왕십리광장로 17, 5층 (행당동 왕십리 민자역사 4층~6층)</t>
    <phoneticPr fontId="2" type="noConversion"/>
  </si>
  <si>
    <t xml:space="preserve">Cine &amp; Living Room </t>
    <phoneticPr fontId="2" type="noConversion"/>
  </si>
  <si>
    <t>메가박스 성수</t>
    <phoneticPr fontId="2" type="noConversion"/>
  </si>
  <si>
    <t>성동구 왕십리로 50, 3층 (성수동1가)</t>
    <phoneticPr fontId="2" type="noConversion"/>
  </si>
  <si>
    <t>The Boutique Suite</t>
    <phoneticPr fontId="2" type="noConversion"/>
  </si>
  <si>
    <t>101호(The Boutique Suite)</t>
    <phoneticPr fontId="2" type="noConversion"/>
  </si>
  <si>
    <t>광진구 광나루로 56길 85 (구의동 546-4 테크노마트 10층)</t>
    <phoneticPr fontId="2" type="noConversion"/>
  </si>
  <si>
    <t>Cine &amp; Foret관</t>
    <phoneticPr fontId="2" type="noConversion"/>
  </si>
  <si>
    <t>Cine &amp; Foret</t>
    <phoneticPr fontId="2" type="noConversion"/>
  </si>
  <si>
    <t>메가박스 군자</t>
    <phoneticPr fontId="2" type="noConversion"/>
  </si>
  <si>
    <t>Super S</t>
    <phoneticPr fontId="2" type="noConversion"/>
  </si>
  <si>
    <t xml:space="preserve">롯데시네마 중랑 </t>
    <phoneticPr fontId="2" type="noConversion"/>
  </si>
  <si>
    <t>Cine Comfort</t>
    <phoneticPr fontId="2" type="noConversion"/>
  </si>
  <si>
    <t>07관</t>
    <phoneticPr fontId="2" type="noConversion"/>
  </si>
  <si>
    <t>중랑구 망우로 30길 3 (상봉동 130-3번지)</t>
    <phoneticPr fontId="2" type="noConversion"/>
  </si>
  <si>
    <t>성북구</t>
    <phoneticPr fontId="2" type="noConversion"/>
  </si>
  <si>
    <t>아리랑인디웨이브관</t>
    <phoneticPr fontId="2" type="noConversion"/>
  </si>
  <si>
    <t>아리랑인디웨이브</t>
    <phoneticPr fontId="2" type="noConversion"/>
  </si>
  <si>
    <t>메가박스 창동</t>
    <phoneticPr fontId="2" type="noConversion"/>
  </si>
  <si>
    <t>도봉구</t>
    <phoneticPr fontId="2" type="noConversion"/>
  </si>
  <si>
    <t>도봉구 도봉로 684, 4~8층</t>
  </si>
  <si>
    <t>2관</t>
    <phoneticPr fontId="2" type="noConversion"/>
  </si>
  <si>
    <t>아르떼클래식</t>
    <phoneticPr fontId="2" type="noConversion"/>
  </si>
  <si>
    <t xml:space="preserve">위탁 </t>
    <phoneticPr fontId="2" type="noConversion"/>
  </si>
  <si>
    <t>노원구 동일로 204가길 12, 8층 (중계동 509-2)</t>
    <phoneticPr fontId="2" type="noConversion"/>
  </si>
  <si>
    <t>노원구 섬밭로 258 지하 1층 (중계동 506-1 건영백화점)</t>
    <phoneticPr fontId="2" type="noConversion"/>
  </si>
  <si>
    <t>Cine Kids관</t>
    <phoneticPr fontId="2" type="noConversion"/>
  </si>
  <si>
    <t>롯데시네마 은평(롯데몰)</t>
    <phoneticPr fontId="2" type="noConversion"/>
  </si>
  <si>
    <t>Superplex</t>
    <phoneticPr fontId="2" type="noConversion"/>
  </si>
  <si>
    <t>Dolby ATMOS / 6P Laser</t>
    <phoneticPr fontId="2" type="noConversion"/>
  </si>
  <si>
    <t>서대문구 신촌로 129, 2층 (창천동 20-24, 20-25)</t>
    <phoneticPr fontId="2" type="noConversion"/>
  </si>
  <si>
    <t>서대문구 신촌역로 30 밀리오레 5층 (신촌동 74-12)</t>
    <phoneticPr fontId="2" type="noConversion"/>
  </si>
  <si>
    <t xml:space="preserve">라이카시네마 </t>
    <phoneticPr fontId="2" type="noConversion"/>
  </si>
  <si>
    <t>서대문구 연희로 8길 18, 스페이스독 지하1층</t>
    <phoneticPr fontId="2" type="noConversion"/>
  </si>
  <si>
    <t>S관</t>
    <phoneticPr fontId="2" type="noConversion"/>
  </si>
  <si>
    <t>아트하우스 모모</t>
    <phoneticPr fontId="2" type="noConversion"/>
  </si>
  <si>
    <t>마포구 양화로 147 아일렉스 7층 (동교동 160-4)</t>
    <phoneticPr fontId="2" type="noConversion"/>
  </si>
  <si>
    <t>마포구 양화로 153 (동교동) 3층</t>
    <phoneticPr fontId="2" type="noConversion"/>
  </si>
  <si>
    <t xml:space="preserve">마포구 양화로 153 (동교동) 3층 </t>
    <phoneticPr fontId="2" type="noConversion"/>
  </si>
  <si>
    <t>마포구 양화로 186 (동교동)</t>
    <phoneticPr fontId="2" type="noConversion"/>
  </si>
  <si>
    <t>03관(SUITE CINEMA)</t>
    <phoneticPr fontId="2" type="noConversion"/>
  </si>
  <si>
    <t xml:space="preserve">Suite Cinema </t>
    <phoneticPr fontId="2" type="noConversion"/>
  </si>
  <si>
    <t>KT&amp;G 상상마당 시네마</t>
    <phoneticPr fontId="2" type="noConversion"/>
  </si>
  <si>
    <t>Comfort관</t>
    <phoneticPr fontId="2" type="noConversion"/>
  </si>
  <si>
    <t>메가박스 더 부티크 목동현대백화점</t>
    <phoneticPr fontId="2" type="noConversion"/>
  </si>
  <si>
    <t>양천구 목동 목동동로 257</t>
  </si>
  <si>
    <t>Comfort 06관</t>
    <phoneticPr fontId="2" type="noConversion"/>
  </si>
  <si>
    <t>Comfort 02관</t>
    <phoneticPr fontId="2" type="noConversion"/>
  </si>
  <si>
    <t>양천구 목동동로 309 행복한세상백화점 6층 (목동 917-6)</t>
    <phoneticPr fontId="2" type="noConversion"/>
  </si>
  <si>
    <t>Comfort 05관</t>
    <phoneticPr fontId="2" type="noConversion"/>
  </si>
  <si>
    <t>강서구 공항대로45길 63, 3~9층 (등촌동)</t>
    <phoneticPr fontId="2" type="noConversion"/>
  </si>
  <si>
    <t>06관(SCREENX)</t>
    <phoneticPr fontId="2" type="noConversion"/>
  </si>
  <si>
    <t xml:space="preserve">ScreenX </t>
    <phoneticPr fontId="2" type="noConversion"/>
  </si>
  <si>
    <t>10관</t>
    <phoneticPr fontId="2" type="noConversion"/>
  </si>
  <si>
    <t>구로구 구로중앙로 152 (구로동 573 애경백화점 5층)</t>
    <phoneticPr fontId="2" type="noConversion"/>
  </si>
  <si>
    <t>씨네Q 신도림</t>
    <phoneticPr fontId="2" type="noConversion"/>
  </si>
  <si>
    <t>03관(Reserve)</t>
    <phoneticPr fontId="2" type="noConversion"/>
  </si>
  <si>
    <t>Reserve</t>
    <phoneticPr fontId="2" type="noConversion"/>
  </si>
  <si>
    <t>05관(Reserve)</t>
    <phoneticPr fontId="2" type="noConversion"/>
  </si>
  <si>
    <t>07관(Suite)</t>
    <phoneticPr fontId="2" type="noConversion"/>
  </si>
  <si>
    <t>Suite</t>
    <phoneticPr fontId="2" type="noConversion"/>
  </si>
  <si>
    <t>영등포구 국제금융로 10, 지하3층 (여의도동 국제금융로 10)</t>
    <phoneticPr fontId="2" type="noConversion"/>
  </si>
  <si>
    <t>TEMPUR CINEMA</t>
    <phoneticPr fontId="2" type="noConversion"/>
  </si>
  <si>
    <t>영등포구 영산로 15, 4층 (영등포동 4가 441-10번지 경방 타임스퀘어 4~7층)</t>
    <phoneticPr fontId="2" type="noConversion"/>
  </si>
  <si>
    <t>0관</t>
    <phoneticPr fontId="2" type="noConversion"/>
  </si>
  <si>
    <t>9관</t>
    <phoneticPr fontId="2" type="noConversion"/>
  </si>
  <si>
    <t>The Boutique</t>
    <phoneticPr fontId="2" type="noConversion"/>
  </si>
  <si>
    <t>메가박스 강남대로(씨티)</t>
    <phoneticPr fontId="2" type="noConversion"/>
  </si>
  <si>
    <t>강남구 강남대로 438 (역삼동 814-6 스타플렉스)</t>
    <phoneticPr fontId="2" type="noConversion"/>
  </si>
  <si>
    <t>Cine Salon</t>
    <phoneticPr fontId="2" type="noConversion"/>
  </si>
  <si>
    <t xml:space="preserve">07관 </t>
    <phoneticPr fontId="2" type="noConversion"/>
  </si>
  <si>
    <t>01관(HEADPHONE)</t>
    <phoneticPr fontId="2" type="noConversion"/>
  </si>
  <si>
    <t>02관(HEADPHONE)</t>
    <phoneticPr fontId="2" type="noConversion"/>
  </si>
  <si>
    <t>강남구 도산대로 323 (신사동 651-21)</t>
    <phoneticPr fontId="2" type="noConversion"/>
  </si>
  <si>
    <t>SoundX</t>
    <phoneticPr fontId="2" type="noConversion"/>
  </si>
  <si>
    <t>BMW CINEMA PREMIUM</t>
    <phoneticPr fontId="2" type="noConversion"/>
  </si>
  <si>
    <t>Premium</t>
    <phoneticPr fontId="2" type="noConversion"/>
  </si>
  <si>
    <t>롯데시네마 브로드웨이(신사)</t>
    <phoneticPr fontId="2" type="noConversion"/>
  </si>
  <si>
    <t>소상영관A</t>
    <phoneticPr fontId="2" type="noConversion"/>
  </si>
  <si>
    <t>소상영관B</t>
    <phoneticPr fontId="2" type="noConversion"/>
  </si>
  <si>
    <t>강남구 봉은사로 524 코엑스몰 B1 (삼성동 159)</t>
    <phoneticPr fontId="2" type="noConversion"/>
  </si>
  <si>
    <t>102호(The Boutique Suite)</t>
    <phoneticPr fontId="2" type="noConversion"/>
  </si>
  <si>
    <t>103호(The Boutique Suite)</t>
    <phoneticPr fontId="2" type="noConversion"/>
  </si>
  <si>
    <t>104호(The Boutique)</t>
    <phoneticPr fontId="2" type="noConversion"/>
  </si>
  <si>
    <t>105호(The Boutique)</t>
    <phoneticPr fontId="2" type="noConversion"/>
  </si>
  <si>
    <t>Comfort 10관</t>
    <phoneticPr fontId="2" type="noConversion"/>
  </si>
  <si>
    <t>Comfort 11관</t>
    <phoneticPr fontId="2" type="noConversion"/>
  </si>
  <si>
    <t>Comfort 03관</t>
    <phoneticPr fontId="2" type="noConversion"/>
  </si>
  <si>
    <t>Comfort 07관</t>
    <phoneticPr fontId="2" type="noConversion"/>
  </si>
  <si>
    <t>Comfort 08관</t>
    <phoneticPr fontId="2" type="noConversion"/>
  </si>
  <si>
    <t>Comfort 09관</t>
    <phoneticPr fontId="2" type="noConversion"/>
  </si>
  <si>
    <t>청소년영화전용상영관</t>
    <phoneticPr fontId="2" type="noConversion"/>
  </si>
  <si>
    <t>The Boutique Private1</t>
    <phoneticPr fontId="2" type="noConversion"/>
  </si>
  <si>
    <t>The Boutique Private2</t>
    <phoneticPr fontId="2" type="noConversion"/>
  </si>
  <si>
    <t>강남구 압구정로 30길 45 (신사동 603-2)</t>
    <phoneticPr fontId="2" type="noConversion"/>
  </si>
  <si>
    <t xml:space="preserve">Cine de Chef </t>
    <phoneticPr fontId="2" type="noConversion"/>
  </si>
  <si>
    <t>메가박스 송파파크하비오</t>
    <phoneticPr fontId="2" type="noConversion"/>
  </si>
  <si>
    <t>09관</t>
    <phoneticPr fontId="2" type="noConversion"/>
  </si>
  <si>
    <t>11관</t>
    <phoneticPr fontId="2" type="noConversion"/>
  </si>
  <si>
    <t>송파구 충민로 66, 10층 (장지동 201-27 가든파이브 라이프 영관 10층)</t>
    <phoneticPr fontId="3" type="noConversion"/>
  </si>
  <si>
    <t>송파구 충민로 66, 10층 (장지동 201-27 가든파이브 라이프 영관 10층)</t>
    <phoneticPr fontId="2" type="noConversion"/>
  </si>
  <si>
    <t>메가박스 강동</t>
    <phoneticPr fontId="2" type="noConversion"/>
  </si>
  <si>
    <t>롯데시네마 부산본점</t>
    <phoneticPr fontId="2" type="noConversion"/>
  </si>
  <si>
    <t>Cine Couple</t>
    <phoneticPr fontId="2" type="noConversion"/>
  </si>
  <si>
    <t>부산진구 동천로 4, 6층 (전포동 892-20 지오플레이스 6층)</t>
    <phoneticPr fontId="2" type="noConversion"/>
  </si>
  <si>
    <t>롯데시네마 서면(전포동)</t>
    <phoneticPr fontId="2" type="noConversion"/>
  </si>
  <si>
    <t>부산진구 중앙대로 672 삼정타워 11층 (부전동 227-2)</t>
    <phoneticPr fontId="2" type="noConversion"/>
  </si>
  <si>
    <t>동래구 중앙대로 1523, 6층 (온천동 153-8 SK허브스카이 6층)</t>
    <phoneticPr fontId="2" type="noConversion"/>
  </si>
  <si>
    <t>해운대구 센텀남대로 35, 7층 (우동 1495번지 신세계센텀시티 7층)</t>
    <phoneticPr fontId="2" type="noConversion"/>
  </si>
  <si>
    <t>Starium관</t>
    <phoneticPr fontId="2" type="noConversion"/>
  </si>
  <si>
    <t>소극장</t>
    <phoneticPr fontId="2" type="noConversion"/>
  </si>
  <si>
    <t>시네마테크</t>
    <phoneticPr fontId="2" type="noConversion"/>
  </si>
  <si>
    <t>인디플러스 영화의 전당</t>
    <phoneticPr fontId="2" type="noConversion"/>
  </si>
  <si>
    <t>롯데시네마 프리미엄 해운대(장산역)</t>
    <phoneticPr fontId="2" type="noConversion"/>
  </si>
  <si>
    <t xml:space="preserve"> Megabox Kids</t>
    <phoneticPr fontId="2" type="noConversion"/>
  </si>
  <si>
    <t>사하구 낙동남로 1413 아트몰링문화관 7층 (하단동)</t>
    <phoneticPr fontId="2" type="noConversion"/>
  </si>
  <si>
    <t>금정구 장전로 12번길 55 (장전동 292-4)</t>
    <phoneticPr fontId="2" type="noConversion"/>
  </si>
  <si>
    <t>오오관</t>
    <phoneticPr fontId="2" type="noConversion"/>
  </si>
  <si>
    <t>롯데시네마 프리미엄 만경</t>
    <phoneticPr fontId="2" type="noConversion"/>
  </si>
  <si>
    <t>중구 동성로 39, 7층 (동성로 2가 88-2 씨네시티한일 7층)</t>
    <phoneticPr fontId="2" type="noConversion"/>
  </si>
  <si>
    <t>Recliner</t>
    <phoneticPr fontId="2" type="noConversion"/>
  </si>
  <si>
    <t>Comfort 01관</t>
    <phoneticPr fontId="2" type="noConversion"/>
  </si>
  <si>
    <t>롯데시네마 프리미엄 칠곡</t>
    <phoneticPr fontId="2" type="noConversion"/>
  </si>
  <si>
    <t>수성구 유니버시아드로 140 (대흥동 504번지)</t>
    <phoneticPr fontId="2" type="noConversion"/>
  </si>
  <si>
    <t>애관극장</t>
    <phoneticPr fontId="2" type="noConversion"/>
  </si>
  <si>
    <t>인천미림극장</t>
    <phoneticPr fontId="2" type="noConversion"/>
  </si>
  <si>
    <t>영화공간 주안</t>
    <phoneticPr fontId="2" type="noConversion"/>
  </si>
  <si>
    <t>3관</t>
    <phoneticPr fontId="2" type="noConversion"/>
  </si>
  <si>
    <t>4관</t>
    <phoneticPr fontId="2" type="noConversion"/>
  </si>
  <si>
    <t>메가박스 송도</t>
    <phoneticPr fontId="2" type="noConversion"/>
  </si>
  <si>
    <t>Comfort 2관</t>
    <phoneticPr fontId="2" type="noConversion"/>
  </si>
  <si>
    <t>남동구 예술로 198, 4층 (구월동 1130 씨엔씨빌딩 4층)</t>
    <phoneticPr fontId="2" type="noConversion"/>
  </si>
  <si>
    <t>대한극장(인천)</t>
    <phoneticPr fontId="2" type="noConversion"/>
  </si>
  <si>
    <t>계양구 장제로 738, 8층 (작전동 899-1 8~11층)</t>
    <phoneticPr fontId="2" type="noConversion"/>
  </si>
  <si>
    <t>메가박스 검단</t>
    <phoneticPr fontId="2" type="noConversion"/>
  </si>
  <si>
    <t>~</t>
    <phoneticPr fontId="3" type="noConversion"/>
  </si>
  <si>
    <t>광주시</t>
    <phoneticPr fontId="2" type="noConversion"/>
  </si>
  <si>
    <t>동구 중앙로 160번길 16-7 부로타워 2층</t>
    <phoneticPr fontId="2" type="noConversion"/>
  </si>
  <si>
    <t xml:space="preserve">씨네앤포레 </t>
    <phoneticPr fontId="2" type="noConversion"/>
  </si>
  <si>
    <t>서구 무진대로 904, 2층~6층 (광천동 49-1 유스퀘어 2~6층)</t>
    <phoneticPr fontId="2" type="noConversion"/>
  </si>
  <si>
    <t>메가박스 광주상무</t>
    <phoneticPr fontId="2" type="noConversion"/>
  </si>
  <si>
    <t>서구 시청로 67 (프리미엄아울렛) 6층</t>
    <phoneticPr fontId="2" type="noConversion"/>
  </si>
  <si>
    <t>광산구</t>
    <phoneticPr fontId="2" type="noConversion"/>
  </si>
  <si>
    <t>롯데시네마 광주광산</t>
    <phoneticPr fontId="2" type="noConversion"/>
  </si>
  <si>
    <t>Dolby ATMOS</t>
    <phoneticPr fontId="2" type="noConversion"/>
  </si>
  <si>
    <t>메가박스 광주하남</t>
    <phoneticPr fontId="2" type="noConversion"/>
  </si>
  <si>
    <t>중구 계백로 1700, 6층 (문화동 1-16 세이백화점 6층)</t>
    <phoneticPr fontId="2" type="noConversion"/>
  </si>
  <si>
    <t>롯데시네마 대전둔산(월평동)</t>
    <phoneticPr fontId="2" type="noConversion"/>
  </si>
  <si>
    <t>서구 문정로 77 로데오타운 5층 (탄방동 746)</t>
    <phoneticPr fontId="2" type="noConversion"/>
  </si>
  <si>
    <t>유성구 계룡로 132번길 10, 5층</t>
    <phoneticPr fontId="2" type="noConversion"/>
  </si>
  <si>
    <t xml:space="preserve">Comfort </t>
    <phoneticPr fontId="2" type="noConversion"/>
  </si>
  <si>
    <t>The Boutique 101 Suite</t>
    <phoneticPr fontId="2" type="noConversion"/>
  </si>
  <si>
    <t>중구 젊음의 거리 73 (성남동 251-8)</t>
    <phoneticPr fontId="2" type="noConversion"/>
  </si>
  <si>
    <t>롯데시네마 울산(백화점)</t>
    <phoneticPr fontId="2" type="noConversion"/>
  </si>
  <si>
    <t>남구 화합로 185, 5층 (삼산동 1569-1 업스퀘어 5층)</t>
    <phoneticPr fontId="2" type="noConversion"/>
  </si>
  <si>
    <t>8층 9관</t>
    <phoneticPr fontId="2" type="noConversion"/>
  </si>
  <si>
    <t>북구 진장유통로 51-10 (진장동)</t>
    <phoneticPr fontId="2" type="noConversion"/>
  </si>
  <si>
    <t>Colorium</t>
    <phoneticPr fontId="2" type="noConversion"/>
  </si>
  <si>
    <t>수원시 영통구 봉영로 1579 롯데쇼핑플라자 5층 (영통동 960-1)</t>
    <phoneticPr fontId="2" type="noConversion"/>
  </si>
  <si>
    <t>어나더관</t>
    <phoneticPr fontId="2" type="noConversion"/>
  </si>
  <si>
    <t>Puppy Cinema</t>
    <phoneticPr fontId="2" type="noConversion"/>
  </si>
  <si>
    <t>베이비관</t>
    <phoneticPr fontId="2" type="noConversion"/>
  </si>
  <si>
    <t>수원시 팔달구 권광로 181, 7층 (인계동 113-11 12번지 7~10)</t>
    <phoneticPr fontId="2" type="noConversion"/>
  </si>
  <si>
    <t>Comfort 04관</t>
    <phoneticPr fontId="2" type="noConversion"/>
  </si>
  <si>
    <t xml:space="preserve"> Comfort 01관</t>
    <phoneticPr fontId="2" type="noConversion"/>
  </si>
  <si>
    <t>성남시 분당구 황새울로 32 (서현동 262-2)</t>
    <phoneticPr fontId="2" type="noConversion"/>
  </si>
  <si>
    <t>02관(Cine Comfort)</t>
    <phoneticPr fontId="2" type="noConversion"/>
  </si>
  <si>
    <t>03관(Cine Comfort)</t>
    <phoneticPr fontId="2" type="noConversion"/>
  </si>
  <si>
    <t>성남시 중원구 성남대로 1136 (성남동 3499)</t>
    <phoneticPr fontId="2" type="noConversion"/>
  </si>
  <si>
    <t>메가박스 의정부민락</t>
    <phoneticPr fontId="2" type="noConversion"/>
  </si>
  <si>
    <t>의정부시 평화로 525, 10층 (의정부동 168)</t>
    <phoneticPr fontId="2" type="noConversion"/>
  </si>
  <si>
    <t>안양시 동안구 관평로 170번길 33, 8층 (관양동 1606)</t>
    <phoneticPr fontId="2" type="noConversion"/>
  </si>
  <si>
    <t>안양시 동안구 동안로 119, 11층 (호계동 1139-3 뉴코아아울렛 11층)</t>
    <phoneticPr fontId="2" type="noConversion"/>
  </si>
  <si>
    <t>롯데시네마 평촌(범계역)</t>
    <phoneticPr fontId="2" type="noConversion"/>
  </si>
  <si>
    <t>부천시 길주로 180, 5층 (중동 1164 로담코 플라자 5~7층)</t>
    <phoneticPr fontId="2" type="noConversion"/>
  </si>
  <si>
    <t>판타스틱 큐브</t>
    <phoneticPr fontId="2" type="noConversion"/>
  </si>
  <si>
    <t>부천시 부천로 11 (심곡동)</t>
    <phoneticPr fontId="2" type="noConversion"/>
  </si>
  <si>
    <t xml:space="preserve">부천시 옥길로 124 문영퀸즈파크옥길 C동 8층 </t>
    <phoneticPr fontId="2" type="noConversion"/>
  </si>
  <si>
    <t>광명시 일직로 17 롯데프리미엄아울렛 광명점 5층</t>
    <phoneticPr fontId="2" type="noConversion"/>
  </si>
  <si>
    <t>광명시 일직로 43 GIDC B동 지하2층</t>
  </si>
  <si>
    <t>22.5.2.좌석수 변경</t>
    <phoneticPr fontId="2" type="noConversion"/>
  </si>
  <si>
    <t>평택시 평택로 51, 8층 (평택동 186-3 평택민자역사 8층)</t>
    <phoneticPr fontId="2" type="noConversion"/>
  </si>
  <si>
    <t>안산시 단원구 광덕대로 194 (고잔동 725-1 스타맥스타워 5층)</t>
    <phoneticPr fontId="2" type="noConversion"/>
  </si>
  <si>
    <t>롯데시네마 안산_Charlotte관</t>
    <phoneticPr fontId="2" type="noConversion"/>
  </si>
  <si>
    <t xml:space="preserve">고양시 덕양구 충장로 8 로터스플레이스 5층 </t>
    <phoneticPr fontId="2" type="noConversion"/>
  </si>
  <si>
    <t xml:space="preserve">05관(Cine Comfort) </t>
    <phoneticPr fontId="2" type="noConversion"/>
  </si>
  <si>
    <t>06관(Cine Comfort)</t>
    <phoneticPr fontId="2" type="noConversion"/>
  </si>
  <si>
    <t>07관(Cine Comfort)</t>
    <phoneticPr fontId="2" type="noConversion"/>
  </si>
  <si>
    <t>고양시 일산동구 정발산로 24 (장항동 867번지 웨스턴돔 3층)</t>
    <phoneticPr fontId="2" type="noConversion"/>
  </si>
  <si>
    <t xml:space="preserve">고양시 일산동구 정발산로 24 (장항동 867번지 웨스턴돔 3층) </t>
    <phoneticPr fontId="2" type="noConversion"/>
  </si>
  <si>
    <t>롯데시네마 주엽</t>
    <phoneticPr fontId="2" type="noConversion"/>
  </si>
  <si>
    <t>고양시 일산서구 호수로 817 레이킨스몰 3층 (대화동)</t>
    <phoneticPr fontId="2" type="noConversion"/>
  </si>
  <si>
    <t>남양주시 다산순환로 20 현대프리미어캠퍼스 지하2층</t>
  </si>
  <si>
    <t>남양주시 다산순환로 50</t>
    <phoneticPr fontId="2" type="noConversion"/>
  </si>
  <si>
    <t>Comfort 8관</t>
    <phoneticPr fontId="2" type="noConversion"/>
  </si>
  <si>
    <t>메가박스 시흥배곧</t>
    <phoneticPr fontId="2" type="noConversion"/>
  </si>
  <si>
    <t>시흥시 정왕대로210 이마트 시화점 10층</t>
    <phoneticPr fontId="2" type="noConversion"/>
  </si>
  <si>
    <t>22.11.17. 비상설-&gt; 상설 전환</t>
    <phoneticPr fontId="2" type="noConversion"/>
  </si>
  <si>
    <t>메가박스 금정AK플라자</t>
    <phoneticPr fontId="2" type="noConversion"/>
  </si>
  <si>
    <t>Comfort 1관</t>
    <phoneticPr fontId="2" type="noConversion"/>
  </si>
  <si>
    <t>Comfort 3관</t>
  </si>
  <si>
    <t>Comfort 4관</t>
  </si>
  <si>
    <t>Comfort 5관</t>
  </si>
  <si>
    <t>Comfort 6관</t>
  </si>
  <si>
    <t>Comfort 7관</t>
  </si>
  <si>
    <t>Kids A관</t>
    <phoneticPr fontId="2" type="noConversion"/>
  </si>
  <si>
    <t>Kids B관</t>
    <phoneticPr fontId="2" type="noConversion"/>
  </si>
  <si>
    <t>메가박스 파주운정</t>
    <phoneticPr fontId="2" type="noConversion"/>
  </si>
  <si>
    <t>9관(DELUXE)</t>
    <phoneticPr fontId="2" type="noConversion"/>
  </si>
  <si>
    <t>화성시 동탄대로 181 레이크꼬모 B2층</t>
    <phoneticPr fontId="2" type="noConversion"/>
  </si>
  <si>
    <t>화성시 동탄대로 537 (오산동 라스플로레스 A동 5~8층)</t>
    <phoneticPr fontId="2" type="noConversion"/>
  </si>
  <si>
    <t>Dolby ATMOS / 4K 레이저 영사기</t>
    <phoneticPr fontId="2" type="noConversion"/>
  </si>
  <si>
    <t>22.7.23. 7관 IMAX관으로 변경</t>
    <phoneticPr fontId="2" type="noConversion"/>
  </si>
  <si>
    <t>화성시 동탄중앙로 220, 3층 (반송동 96,98번지 메타폴리스복합단지)</t>
    <phoneticPr fontId="2" type="noConversion"/>
  </si>
  <si>
    <t xml:space="preserve">Comfort 01관 </t>
    <phoneticPr fontId="2" type="noConversion"/>
  </si>
  <si>
    <t>OLC 조종시네마</t>
    <phoneticPr fontId="2" type="noConversion"/>
  </si>
  <si>
    <t>1939 시네마</t>
    <phoneticPr fontId="2" type="noConversion"/>
  </si>
  <si>
    <t>롯데시네마 춘천</t>
    <phoneticPr fontId="2" type="noConversion"/>
  </si>
  <si>
    <t>춘천시 지석로 80, 3층~8층 (퇴계동 1017투탑시티 3층~8층)</t>
    <phoneticPr fontId="2" type="noConversion"/>
  </si>
  <si>
    <t>원주시 서원대로 171, 7층 (단계동)</t>
    <phoneticPr fontId="2" type="noConversion"/>
  </si>
  <si>
    <t>Comfort 1관_리클라이너</t>
    <phoneticPr fontId="2" type="noConversion"/>
  </si>
  <si>
    <t>Comfort 2관_리클라이너</t>
    <phoneticPr fontId="2" type="noConversion"/>
  </si>
  <si>
    <t>Comfort 3관_리클라이너</t>
    <phoneticPr fontId="2" type="noConversion"/>
  </si>
  <si>
    <t>Comfort 4관_리클라이너</t>
    <phoneticPr fontId="2" type="noConversion"/>
  </si>
  <si>
    <t>Comfort 5관_리클라이너</t>
    <phoneticPr fontId="2" type="noConversion"/>
  </si>
  <si>
    <t>Comfort 6관_리클라이너</t>
    <phoneticPr fontId="2" type="noConversion"/>
  </si>
  <si>
    <t>Comfort 7관_리클라이너</t>
    <phoneticPr fontId="2" type="noConversion"/>
  </si>
  <si>
    <t>8관</t>
  </si>
  <si>
    <t>강릉시 경강로 2120, 6층~8층 (옥천동 189)</t>
    <phoneticPr fontId="2" type="noConversion"/>
  </si>
  <si>
    <t>삼척시</t>
    <phoneticPr fontId="2" type="noConversion"/>
  </si>
  <si>
    <t>삼척가람영화관</t>
    <phoneticPr fontId="2" type="noConversion"/>
  </si>
  <si>
    <t>삼척시 도계읍 도계로 223</t>
    <phoneticPr fontId="2" type="noConversion"/>
  </si>
  <si>
    <t>가람 3관(도계관)</t>
    <phoneticPr fontId="2" type="noConversion"/>
  </si>
  <si>
    <t>삼척시 도계읍</t>
    <phoneticPr fontId="2" type="noConversion"/>
  </si>
  <si>
    <t>삼척시 엑스포로 50 태양에너지전시관</t>
    <phoneticPr fontId="2" type="noConversion"/>
  </si>
  <si>
    <t>가람 1관</t>
    <phoneticPr fontId="2" type="noConversion"/>
  </si>
  <si>
    <t>삼척시 성남동</t>
    <phoneticPr fontId="2" type="noConversion"/>
  </si>
  <si>
    <t>가람 2관</t>
    <phoneticPr fontId="2" type="noConversion"/>
  </si>
  <si>
    <t>영월군</t>
    <phoneticPr fontId="2" type="noConversion"/>
  </si>
  <si>
    <t>영월시네마</t>
    <phoneticPr fontId="2" type="noConversion"/>
  </si>
  <si>
    <t>영월군 영월읍 관풍헌길 66</t>
    <phoneticPr fontId="2" type="noConversion"/>
  </si>
  <si>
    <t>아리아리 정선시네마</t>
    <phoneticPr fontId="2" type="noConversion"/>
  </si>
  <si>
    <t>철원군</t>
    <phoneticPr fontId="2" type="noConversion"/>
  </si>
  <si>
    <t xml:space="preserve">철원작은영화관 뚜루 </t>
    <phoneticPr fontId="2" type="noConversion"/>
  </si>
  <si>
    <t>03관(삼부연)</t>
    <phoneticPr fontId="2" type="noConversion"/>
  </si>
  <si>
    <t>화천군</t>
    <phoneticPr fontId="2" type="noConversion"/>
  </si>
  <si>
    <t>화천 작은영화관</t>
    <phoneticPr fontId="2" type="noConversion"/>
  </si>
  <si>
    <t>토마토관</t>
    <phoneticPr fontId="2" type="noConversion"/>
  </si>
  <si>
    <t>산천어관</t>
    <phoneticPr fontId="2" type="noConversion"/>
  </si>
  <si>
    <t>DMZ관</t>
    <phoneticPr fontId="2" type="noConversion"/>
  </si>
  <si>
    <t>01관(하늘관)</t>
    <phoneticPr fontId="2" type="noConversion"/>
  </si>
  <si>
    <t>02관(내린관)</t>
    <phoneticPr fontId="2" type="noConversion"/>
  </si>
  <si>
    <t>22.7.5. IMAX관으로 변경</t>
    <phoneticPr fontId="2" type="noConversion"/>
  </si>
  <si>
    <t>롯데시네마 서청주(아울렛)</t>
    <phoneticPr fontId="2" type="noConversion"/>
  </si>
  <si>
    <t>제천시 장평천로 27-13 더캐슬CGV제천 2,3,4층</t>
  </si>
  <si>
    <t>메가박스 진천</t>
    <phoneticPr fontId="2" type="noConversion"/>
  </si>
  <si>
    <t>천안시 서북구 공원로 196, 5층 (불당동 1289 펜타포트 주상복합상가 5층)</t>
    <phoneticPr fontId="2" type="noConversion"/>
  </si>
  <si>
    <t>밥.Cine</t>
    <phoneticPr fontId="2" type="noConversion"/>
  </si>
  <si>
    <t xml:space="preserve">논산시 시민로 181 시네마타워 3층 </t>
    <phoneticPr fontId="2" type="noConversion"/>
  </si>
  <si>
    <t xml:space="preserve">05관 </t>
    <phoneticPr fontId="2" type="noConversion"/>
  </si>
  <si>
    <t>홍성군</t>
    <phoneticPr fontId="2" type="noConversion"/>
  </si>
  <si>
    <t xml:space="preserve">전주시 </t>
    <phoneticPr fontId="2" type="noConversion"/>
  </si>
  <si>
    <t>2관</t>
  </si>
  <si>
    <t>3관</t>
  </si>
  <si>
    <t>4관</t>
  </si>
  <si>
    <t>5관</t>
  </si>
  <si>
    <t>6관</t>
  </si>
  <si>
    <t>7관</t>
  </si>
  <si>
    <t>롯데시네마 전주(백화점)</t>
    <phoneticPr fontId="2" type="noConversion"/>
  </si>
  <si>
    <t>전주시 완산구 용머리로 45 (Mall of Hyoja 2층)</t>
    <phoneticPr fontId="2" type="noConversion"/>
  </si>
  <si>
    <t>무주산골영화관</t>
    <phoneticPr fontId="2" type="noConversion"/>
  </si>
  <si>
    <t>Comfort 4관</t>
    <phoneticPr fontId="2" type="noConversion"/>
  </si>
  <si>
    <t>인디플러스 포항</t>
    <phoneticPr fontId="2" type="noConversion"/>
  </si>
  <si>
    <t>씨네Q 경주보문</t>
    <phoneticPr fontId="2" type="noConversion"/>
  </si>
  <si>
    <t>롯데시네마 프리미엄 안동</t>
    <phoneticPr fontId="2" type="noConversion"/>
  </si>
  <si>
    <t>중앙시네마</t>
    <phoneticPr fontId="2" type="noConversion"/>
  </si>
  <si>
    <t>롯데시네마 프리미엄 구미센트럴</t>
    <phoneticPr fontId="2" type="noConversion"/>
  </si>
  <si>
    <t>씨네Q 구미봉곡</t>
    <phoneticPr fontId="2" type="noConversion"/>
  </si>
  <si>
    <t>상주시</t>
    <phoneticPr fontId="2" type="noConversion"/>
  </si>
  <si>
    <t>롯데시네마 상주</t>
    <phoneticPr fontId="2" type="noConversion"/>
  </si>
  <si>
    <t>메가박스 경산하양</t>
    <phoneticPr fontId="2" type="noConversion"/>
  </si>
  <si>
    <t>칠곡군</t>
    <phoneticPr fontId="2" type="noConversion"/>
  </si>
  <si>
    <t>씨네Q 칠곡호이</t>
    <phoneticPr fontId="2" type="noConversion"/>
  </si>
  <si>
    <t>칠곡군 석적읍 석적로 646</t>
    <phoneticPr fontId="2" type="noConversion"/>
  </si>
  <si>
    <t xml:space="preserve">직영 </t>
    <phoneticPr fontId="2" type="noConversion"/>
  </si>
  <si>
    <t>울진군</t>
    <phoneticPr fontId="2" type="noConversion"/>
  </si>
  <si>
    <t>Megabox Kids</t>
    <phoneticPr fontId="2" type="noConversion"/>
  </si>
  <si>
    <t>롯데시네마 프리미엄 경남대</t>
    <phoneticPr fontId="2" type="noConversion"/>
  </si>
  <si>
    <t>창원시 의창구 원이대로 332 (두대동 1B1L 더시티세븐)</t>
    <phoneticPr fontId="2" type="noConversion"/>
  </si>
  <si>
    <t xml:space="preserve">창원시 의창구 원이대로 332 (두대동 1B1L 더시티세븐) </t>
    <phoneticPr fontId="2" type="noConversion"/>
  </si>
  <si>
    <t>창원시 의창구 창원대로 397번길 6, 8층~11층 (의창구 팔용동 30-1 파비뉴21)</t>
    <phoneticPr fontId="2" type="noConversion"/>
  </si>
  <si>
    <t>롯데시네마 엠비씨네(진주)</t>
    <phoneticPr fontId="2" type="noConversion"/>
  </si>
  <si>
    <t>진주시 애나로127번길 30 드림어반스퀘어 4~5층</t>
    <phoneticPr fontId="2" type="noConversion"/>
  </si>
  <si>
    <t>롯데시네마 통영</t>
    <phoneticPr fontId="2" type="noConversion"/>
  </si>
  <si>
    <t>롯데시네마 사천</t>
    <phoneticPr fontId="2" type="noConversion"/>
  </si>
  <si>
    <t>김해시 내외중앙로 137, 4층 (내동 1131-4 휴앤락 4층)</t>
    <phoneticPr fontId="2" type="noConversion"/>
  </si>
  <si>
    <t>메가박스 양산</t>
    <phoneticPr fontId="2" type="noConversion"/>
  </si>
  <si>
    <t>함안군</t>
    <phoneticPr fontId="2" type="noConversion"/>
  </si>
  <si>
    <t>롯데시네마 거창</t>
    <phoneticPr fontId="2" type="noConversion"/>
  </si>
  <si>
    <t>총계</t>
    <phoneticPr fontId="3" type="noConversion"/>
  </si>
  <si>
    <t>씨네큐 보은</t>
    <phoneticPr fontId="19" type="noConversion"/>
  </si>
  <si>
    <t>행정구역별 정렬</t>
    <phoneticPr fontId="2" type="noConversion"/>
  </si>
  <si>
    <t>대기업 
운영 여부</t>
    <phoneticPr fontId="2" type="noConversion"/>
  </si>
  <si>
    <t>독립예술영화
전용관 수</t>
    <phoneticPr fontId="2" type="noConversion"/>
  </si>
  <si>
    <t>독립예술영화전용관명</t>
    <phoneticPr fontId="2" type="noConversion"/>
  </si>
  <si>
    <t>전화번호</t>
    <phoneticPr fontId="3" type="noConversion"/>
  </si>
  <si>
    <t>구분</t>
    <phoneticPr fontId="2" type="noConversion"/>
  </si>
  <si>
    <t>행정구역별 정렬</t>
    <phoneticPr fontId="2" type="noConversion"/>
  </si>
  <si>
    <t>특별관명</t>
    <phoneticPr fontId="2" type="noConversion"/>
  </si>
  <si>
    <t>전화번호</t>
    <phoneticPr fontId="3" type="noConversion"/>
  </si>
  <si>
    <t>대전아트시네마</t>
    <phoneticPr fontId="2" type="noConversion"/>
  </si>
  <si>
    <t>동구 중앙로 192-1, (중동) 3층</t>
    <phoneticPr fontId="2" type="noConversion"/>
  </si>
  <si>
    <t>042-472-1138</t>
    <phoneticPr fontId="2" type="noConversion"/>
  </si>
  <si>
    <t xml:space="preserve">22.5.3. 좌석수 변경/ 22.12.22.~ 휴관, 재개관일 미정 </t>
    <phoneticPr fontId="2" type="noConversion"/>
  </si>
  <si>
    <t>동작구</t>
    <phoneticPr fontId="2" type="noConversion"/>
  </si>
  <si>
    <t>롯데시네마 신대방</t>
    <phoneticPr fontId="2" type="noConversion"/>
  </si>
  <si>
    <t>동작구 시흥대로 606, B2F (신대방동)</t>
    <phoneticPr fontId="2" type="noConversion"/>
  </si>
  <si>
    <t>ScreenX, Gold Class</t>
    <phoneticPr fontId="2" type="noConversion"/>
  </si>
  <si>
    <t>OLC장수한누리극장</t>
    <phoneticPr fontId="3" type="noConversion"/>
  </si>
  <si>
    <t>장수군 장수읍 한누리로 393 (두산리 472)</t>
    <phoneticPr fontId="3" type="noConversion"/>
  </si>
  <si>
    <t>063-352-7050</t>
    <phoneticPr fontId="2" type="noConversion"/>
  </si>
  <si>
    <t>폐관</t>
    <phoneticPr fontId="2" type="noConversion"/>
  </si>
  <si>
    <t>부분폐관</t>
    <phoneticPr fontId="2" type="noConversion"/>
  </si>
  <si>
    <t xml:space="preserve">* 기준일 휴관이 확인되지 않은 경우는 조사 시점의 휴관여부로 대체함 </t>
    <phoneticPr fontId="2" type="noConversion"/>
  </si>
  <si>
    <t>~</t>
    <phoneticPr fontId="2" type="noConversion"/>
  </si>
  <si>
    <t>22.1.10. 7관 아트하우스-&gt; 일반관 전환/ 22.7.17. 3,4관 영업종료, 폐관</t>
    <phoneticPr fontId="2" type="noConversion"/>
  </si>
  <si>
    <t>~</t>
    <phoneticPr fontId="2" type="noConversion"/>
  </si>
  <si>
    <t>(구)프리머스 소풍 / 22.1.10. 7관 아트하우스-&gt;일반관 전환</t>
    <phoneticPr fontId="2" type="noConversion"/>
  </si>
  <si>
    <t>22.1.10. 8관 아트하우스-&gt;일반관 전환</t>
    <phoneticPr fontId="2" type="noConversion"/>
  </si>
  <si>
    <t xml:space="preserve"> CGV 아트하우스</t>
    <phoneticPr fontId="2" type="noConversion"/>
  </si>
  <si>
    <t>CGV 아트하우스</t>
    <phoneticPr fontId="2" type="noConversion"/>
  </si>
  <si>
    <t>4DX(ScreenX)</t>
    <phoneticPr fontId="2" type="noConversion"/>
  </si>
  <si>
    <t>IMAX, 4DX(SCREENX)</t>
    <phoneticPr fontId="2" type="noConversion"/>
  </si>
  <si>
    <t xml:space="preserve">(2022년도 브랜드 전환 극장: CGV대구이시아 -&gt; 씨네Q 대구이시아 / 롯데시네마 프리미엄진주 -&gt; 메가박스 진주(중안) / CGV목동 -&gt; 메가박스 더부티크 목동현대백화점 / 롯데시네마 사상 -&gt; 메가박스 사상 / 메가박스 대구(칠성로) -&gt; CGV대구) 
</t>
    <phoneticPr fontId="2" type="noConversion"/>
  </si>
  <si>
    <t>* 4대 멀티플렉스 내 상호변경은 폐관극장 또는 신규 개관극장에 포함하지 않음</t>
    <phoneticPr fontId="3" type="noConversion"/>
  </si>
  <si>
    <t>IMAX, ScreenX, 4DX, Gold Class, Cine &amp; Living Room</t>
    <phoneticPr fontId="2" type="noConversion"/>
  </si>
  <si>
    <t>Comfort 1관</t>
    <phoneticPr fontId="2" type="noConversion"/>
  </si>
  <si>
    <t>Comfort 2관</t>
  </si>
  <si>
    <t>Comfort 8관</t>
  </si>
  <si>
    <t>Comfort 9관</t>
  </si>
  <si>
    <t>Comfort 3관</t>
    <phoneticPr fontId="2" type="noConversion"/>
  </si>
  <si>
    <t>Comfort 4관</t>
    <phoneticPr fontId="2" type="noConversion"/>
  </si>
  <si>
    <t>Comfort 7관(아지트)</t>
    <phoneticPr fontId="2" type="noConversion"/>
  </si>
  <si>
    <t>Comfort 1관</t>
    <phoneticPr fontId="2" type="noConversion"/>
  </si>
  <si>
    <t>Comfort 2관</t>
    <phoneticPr fontId="2" type="noConversion"/>
  </si>
  <si>
    <t>Dolby Cinema</t>
    <phoneticPr fontId="2" type="noConversion"/>
  </si>
  <si>
    <t>Comfort 2관</t>
    <phoneticPr fontId="2" type="noConversion"/>
  </si>
  <si>
    <t>Comfort 3관</t>
    <phoneticPr fontId="2" type="noConversion"/>
  </si>
  <si>
    <t>Comfort 4관</t>
    <phoneticPr fontId="2" type="noConversion"/>
  </si>
  <si>
    <t>Comfort 5관</t>
    <phoneticPr fontId="2" type="noConversion"/>
  </si>
  <si>
    <t>Comfort 6관</t>
    <phoneticPr fontId="2" type="noConversion"/>
  </si>
  <si>
    <t>Comfort 7관</t>
    <phoneticPr fontId="2" type="noConversion"/>
  </si>
  <si>
    <t>Comfort 03관</t>
    <phoneticPr fontId="2" type="noConversion"/>
  </si>
  <si>
    <t>04관(Cine Comfort)</t>
    <phoneticPr fontId="2" type="noConversion"/>
  </si>
  <si>
    <t>01관(4DX관)</t>
    <phoneticPr fontId="2" type="noConversion"/>
  </si>
  <si>
    <t>ScreenX관</t>
    <phoneticPr fontId="2" type="noConversion"/>
  </si>
  <si>
    <t>ScreenX</t>
    <phoneticPr fontId="2" type="noConversion"/>
  </si>
  <si>
    <t>(구)메가박스 대구(칠성로) 22.4.20. 영업종료 / 22.12.30. 4개관, 23.1.4. 4개관 실제영업/ 23년 2개관 추가오픈 예정</t>
    <phoneticPr fontId="2" type="noConversion"/>
  </si>
  <si>
    <t>21.1.20. 직영-&gt; 위탁 전환/ 7,8,9관 폐관/ 아르떼클래식 예술영화전용관 해제 / 리뉴얼로 Cine Comfort 5개</t>
    <phoneticPr fontId="2" type="noConversion"/>
  </si>
  <si>
    <t>CGV오리</t>
    <phoneticPr fontId="2" type="noConversion"/>
  </si>
  <si>
    <t>CGV방학</t>
    <phoneticPr fontId="2" type="noConversion"/>
  </si>
  <si>
    <t>CGV원통</t>
    <phoneticPr fontId="2" type="noConversion"/>
  </si>
  <si>
    <t>CGV제천</t>
    <phoneticPr fontId="2" type="noConversion"/>
  </si>
  <si>
    <t>CGV대학로</t>
    <phoneticPr fontId="2" type="noConversion"/>
  </si>
  <si>
    <t>CGV피카디리1958</t>
    <phoneticPr fontId="2" type="noConversion"/>
  </si>
  <si>
    <t>CGV피카디리1958</t>
    <phoneticPr fontId="2" type="noConversion"/>
  </si>
  <si>
    <t>CGV명동</t>
    <phoneticPr fontId="2" type="noConversion"/>
  </si>
  <si>
    <t>CGV동대문</t>
    <phoneticPr fontId="2" type="noConversion"/>
  </si>
  <si>
    <t>CGV명동역 씨네라이브러리</t>
    <phoneticPr fontId="2" type="noConversion"/>
  </si>
  <si>
    <t>CGV용산아이파크몰</t>
    <phoneticPr fontId="2" type="noConversion"/>
  </si>
  <si>
    <t>CGV용산아이파크몰_Cine de Chef 용산</t>
    <phoneticPr fontId="2" type="noConversion"/>
  </si>
  <si>
    <t>CGV왕십리</t>
    <phoneticPr fontId="2" type="noConversion"/>
  </si>
  <si>
    <t>CGV강변</t>
    <phoneticPr fontId="2" type="noConversion"/>
  </si>
  <si>
    <t>CGV건대입구</t>
    <phoneticPr fontId="2" type="noConversion"/>
  </si>
  <si>
    <t>CGV상봉</t>
    <phoneticPr fontId="2" type="noConversion"/>
  </si>
  <si>
    <t>CGV성신여대입구</t>
    <phoneticPr fontId="2" type="noConversion"/>
  </si>
  <si>
    <t>CGV미아</t>
    <phoneticPr fontId="2" type="noConversion"/>
  </si>
  <si>
    <t>CGV수유</t>
    <phoneticPr fontId="2" type="noConversion"/>
  </si>
  <si>
    <t>CGV중계</t>
    <phoneticPr fontId="2" type="noConversion"/>
  </si>
  <si>
    <t>CGV하계</t>
    <phoneticPr fontId="2" type="noConversion"/>
  </si>
  <si>
    <t>CGV불광</t>
    <phoneticPr fontId="2" type="noConversion"/>
  </si>
  <si>
    <t>CGV신촌아트레온</t>
    <phoneticPr fontId="2" type="noConversion"/>
  </si>
  <si>
    <t>CGV홍대</t>
    <phoneticPr fontId="2" type="noConversion"/>
  </si>
  <si>
    <t>CGV연남</t>
    <phoneticPr fontId="2" type="noConversion"/>
  </si>
  <si>
    <t>CGV등촌</t>
    <phoneticPr fontId="2" type="noConversion"/>
  </si>
  <si>
    <t>CGV구로</t>
    <phoneticPr fontId="2" type="noConversion"/>
  </si>
  <si>
    <t>CGV여의도</t>
    <phoneticPr fontId="2" type="noConversion"/>
  </si>
  <si>
    <t>CGV영등포</t>
    <phoneticPr fontId="2" type="noConversion"/>
  </si>
  <si>
    <t>CGV살롱 서초</t>
    <phoneticPr fontId="2" type="noConversion"/>
  </si>
  <si>
    <t>CGV강남</t>
    <phoneticPr fontId="2" type="noConversion"/>
  </si>
  <si>
    <t>CGV청담씨네시티</t>
    <phoneticPr fontId="2" type="noConversion"/>
  </si>
  <si>
    <t>CGV압구정</t>
    <phoneticPr fontId="2" type="noConversion"/>
  </si>
  <si>
    <t>CGV압구정_Cine de Chef 압구정</t>
    <phoneticPr fontId="2" type="noConversion"/>
  </si>
  <si>
    <t>CGV송파</t>
    <phoneticPr fontId="2" type="noConversion"/>
  </si>
  <si>
    <t>CGV천호</t>
    <phoneticPr fontId="2" type="noConversion"/>
  </si>
  <si>
    <t>CGV서면</t>
    <phoneticPr fontId="2" type="noConversion"/>
  </si>
  <si>
    <t>CGV서면상상마당</t>
    <phoneticPr fontId="2" type="noConversion"/>
  </si>
  <si>
    <t>CGV서면삼정타워</t>
    <phoneticPr fontId="2" type="noConversion"/>
  </si>
  <si>
    <t>CGV동래</t>
    <phoneticPr fontId="2" type="noConversion"/>
  </si>
  <si>
    <t>CGV대연</t>
    <phoneticPr fontId="2" type="noConversion"/>
  </si>
  <si>
    <t>CGV화명</t>
    <phoneticPr fontId="2" type="noConversion"/>
  </si>
  <si>
    <t>CGV센텀시티</t>
    <phoneticPr fontId="2" type="noConversion"/>
  </si>
  <si>
    <t>CGV센텀시티_Cine de Chef 센텀</t>
    <phoneticPr fontId="2" type="noConversion"/>
  </si>
  <si>
    <t>CGV센텀시티_Cine de Chef 센텀</t>
    <phoneticPr fontId="2" type="noConversion"/>
  </si>
  <si>
    <t>CGV해운대</t>
    <phoneticPr fontId="2" type="noConversion"/>
  </si>
  <si>
    <t>CGV하단아트몰링</t>
    <phoneticPr fontId="2" type="noConversion"/>
  </si>
  <si>
    <t>CGV부산명지</t>
    <phoneticPr fontId="2" type="noConversion"/>
  </si>
  <si>
    <t>CGV아시아드</t>
    <phoneticPr fontId="2" type="noConversion"/>
  </si>
  <si>
    <t>CGV정관</t>
    <phoneticPr fontId="2" type="noConversion"/>
  </si>
  <si>
    <t>CGV대구현대</t>
    <phoneticPr fontId="2" type="noConversion"/>
  </si>
  <si>
    <t>CGV대구한일</t>
    <phoneticPr fontId="2" type="noConversion"/>
  </si>
  <si>
    <t>CGV대구아카데미</t>
    <phoneticPr fontId="2" type="noConversion"/>
  </si>
  <si>
    <t>CGV대구연경</t>
    <phoneticPr fontId="2" type="noConversion"/>
  </si>
  <si>
    <t>CGV대구스타디움</t>
    <phoneticPr fontId="2" type="noConversion"/>
  </si>
  <si>
    <t>CGV대구수성</t>
    <phoneticPr fontId="2" type="noConversion"/>
  </si>
  <si>
    <t>CGV대구월성</t>
    <phoneticPr fontId="2" type="noConversion"/>
  </si>
  <si>
    <t>CGV인천학익</t>
    <phoneticPr fontId="2" type="noConversion"/>
  </si>
  <si>
    <t>CGV인천도화</t>
    <phoneticPr fontId="2" type="noConversion"/>
  </si>
  <si>
    <t>CGV주안역</t>
    <phoneticPr fontId="2" type="noConversion"/>
  </si>
  <si>
    <t>CGV연수역</t>
    <phoneticPr fontId="2" type="noConversion"/>
  </si>
  <si>
    <t>CGV인천연수</t>
    <phoneticPr fontId="2" type="noConversion"/>
  </si>
  <si>
    <t>CGV송도타임스페이스</t>
    <phoneticPr fontId="2" type="noConversion"/>
  </si>
  <si>
    <t>CGV인천논현</t>
    <phoneticPr fontId="2" type="noConversion"/>
  </si>
  <si>
    <t>CGV인천</t>
    <phoneticPr fontId="2" type="noConversion"/>
  </si>
  <si>
    <t>CGV부평</t>
    <phoneticPr fontId="2" type="noConversion"/>
  </si>
  <si>
    <t>CGV계양</t>
    <phoneticPr fontId="2" type="noConversion"/>
  </si>
  <si>
    <t>CGV청라</t>
    <phoneticPr fontId="2" type="noConversion"/>
  </si>
  <si>
    <t>CGV광주금남로</t>
    <phoneticPr fontId="2" type="noConversion"/>
  </si>
  <si>
    <t>CGV광주충장로</t>
    <phoneticPr fontId="2" type="noConversion"/>
  </si>
  <si>
    <t>CGV광주터미널</t>
    <phoneticPr fontId="2" type="noConversion"/>
  </si>
  <si>
    <t>CGV광주상무</t>
    <phoneticPr fontId="2" type="noConversion"/>
  </si>
  <si>
    <t>CGV광주용봉</t>
    <phoneticPr fontId="2" type="noConversion"/>
  </si>
  <si>
    <t>CGV광주하남</t>
    <phoneticPr fontId="2" type="noConversion"/>
  </si>
  <si>
    <t>CGV광주첨단</t>
    <phoneticPr fontId="2" type="noConversion"/>
  </si>
  <si>
    <t>CGV대전터미널</t>
    <phoneticPr fontId="2" type="noConversion"/>
  </si>
  <si>
    <t>CGV대전</t>
    <phoneticPr fontId="2" type="noConversion"/>
  </si>
  <si>
    <t>CGV대전가수원</t>
    <phoneticPr fontId="2" type="noConversion"/>
  </si>
  <si>
    <t>CGV대전탄방</t>
    <phoneticPr fontId="2" type="noConversion"/>
  </si>
  <si>
    <t>CGV유성노은</t>
    <phoneticPr fontId="2" type="noConversion"/>
  </si>
  <si>
    <t>CGV울산삼산</t>
    <phoneticPr fontId="2" type="noConversion"/>
  </si>
  <si>
    <t>CGV울산동구</t>
    <phoneticPr fontId="2" type="noConversion"/>
  </si>
  <si>
    <t>CGV대전가오</t>
    <phoneticPr fontId="2" type="noConversion"/>
  </si>
  <si>
    <t>CGV울산신천</t>
    <phoneticPr fontId="2" type="noConversion"/>
  </si>
  <si>
    <t>CGV울산진장</t>
    <phoneticPr fontId="2" type="noConversion"/>
  </si>
  <si>
    <t>CGV세종</t>
    <phoneticPr fontId="2" type="noConversion"/>
  </si>
  <si>
    <t>CGV광교</t>
    <phoneticPr fontId="2" type="noConversion"/>
  </si>
  <si>
    <t>CGV북수원</t>
    <phoneticPr fontId="2" type="noConversion"/>
  </si>
  <si>
    <t>CGV동수원</t>
    <phoneticPr fontId="2" type="noConversion"/>
  </si>
  <si>
    <t>CGV서현</t>
    <phoneticPr fontId="2" type="noConversion"/>
  </si>
  <si>
    <t>CGV야탑</t>
    <phoneticPr fontId="2" type="noConversion"/>
  </si>
  <si>
    <t>CGV판교</t>
    <phoneticPr fontId="2" type="noConversion"/>
  </si>
  <si>
    <t>CGV성남모란</t>
    <phoneticPr fontId="2" type="noConversion"/>
  </si>
  <si>
    <t>CGV의정부태흥</t>
    <phoneticPr fontId="2" type="noConversion"/>
  </si>
  <si>
    <t>CGV의정부</t>
    <phoneticPr fontId="2" type="noConversion"/>
  </si>
  <si>
    <t>CGV평촌</t>
    <phoneticPr fontId="2" type="noConversion"/>
  </si>
  <si>
    <t>CGV범계</t>
    <phoneticPr fontId="2" type="noConversion"/>
  </si>
  <si>
    <t>CGV역곡</t>
    <phoneticPr fontId="2" type="noConversion"/>
  </si>
  <si>
    <t>CGV부천</t>
    <phoneticPr fontId="2" type="noConversion"/>
  </si>
  <si>
    <t>CGV부천역</t>
    <phoneticPr fontId="2" type="noConversion"/>
  </si>
  <si>
    <t>CGV소풍</t>
    <phoneticPr fontId="2" type="noConversion"/>
  </si>
  <si>
    <t>CGV부천옥길</t>
    <phoneticPr fontId="2" type="noConversion"/>
  </si>
  <si>
    <t>CGV광명역</t>
    <phoneticPr fontId="2" type="noConversion"/>
  </si>
  <si>
    <t>CGV평택고덕</t>
    <phoneticPr fontId="2" type="noConversion"/>
  </si>
  <si>
    <t>CGV평택소사</t>
    <phoneticPr fontId="2" type="noConversion"/>
  </si>
  <si>
    <t>CGV평택</t>
    <phoneticPr fontId="2" type="noConversion"/>
  </si>
  <si>
    <t>CGV안산</t>
    <phoneticPr fontId="2" type="noConversion"/>
  </si>
  <si>
    <t>CGV고양행신</t>
    <phoneticPr fontId="2" type="noConversion"/>
  </si>
  <si>
    <t>CGV화정</t>
    <phoneticPr fontId="2" type="noConversion"/>
  </si>
  <si>
    <t>CGV일산</t>
    <phoneticPr fontId="2" type="noConversion"/>
  </si>
  <si>
    <t>CGV구리</t>
    <phoneticPr fontId="2" type="noConversion"/>
  </si>
  <si>
    <t>CGV다산</t>
    <phoneticPr fontId="2" type="noConversion"/>
  </si>
  <si>
    <t>CGV오산중앙</t>
    <phoneticPr fontId="2" type="noConversion"/>
  </si>
  <si>
    <t>CGV오산</t>
    <phoneticPr fontId="2" type="noConversion"/>
  </si>
  <si>
    <t>CGV시흥</t>
    <phoneticPr fontId="2" type="noConversion"/>
  </si>
  <si>
    <t>CGV배곧</t>
    <phoneticPr fontId="2" type="noConversion"/>
  </si>
  <si>
    <t>CGV정왕</t>
    <phoneticPr fontId="2" type="noConversion"/>
  </si>
  <si>
    <t>CGV산본</t>
    <phoneticPr fontId="2" type="noConversion"/>
  </si>
  <si>
    <t>CGV하남미사</t>
    <phoneticPr fontId="2" type="noConversion"/>
  </si>
  <si>
    <t>CGV스타필드시티위례</t>
    <phoneticPr fontId="2" type="noConversion"/>
  </si>
  <si>
    <t>CGV동백</t>
    <phoneticPr fontId="2" type="noConversion"/>
  </si>
  <si>
    <t>CGV광교상현</t>
    <phoneticPr fontId="2" type="noConversion"/>
  </si>
  <si>
    <t>CGV용인</t>
    <phoneticPr fontId="2" type="noConversion"/>
  </si>
  <si>
    <t>CGV기흥</t>
    <phoneticPr fontId="2" type="noConversion"/>
  </si>
  <si>
    <t>CGV파주야당</t>
    <phoneticPr fontId="2" type="noConversion"/>
  </si>
  <si>
    <t>메가박스 파주운정</t>
    <phoneticPr fontId="2" type="noConversion"/>
  </si>
  <si>
    <t>CGV파주문산</t>
    <phoneticPr fontId="2" type="noConversion"/>
  </si>
  <si>
    <t>CGV이천</t>
    <phoneticPr fontId="2" type="noConversion"/>
  </si>
  <si>
    <t>CGV안성</t>
    <phoneticPr fontId="2" type="noConversion"/>
  </si>
  <si>
    <t>CGV김포한강</t>
    <phoneticPr fontId="2" type="noConversion"/>
  </si>
  <si>
    <t>CGV김포운양</t>
    <phoneticPr fontId="2" type="noConversion"/>
  </si>
  <si>
    <t>CGV김포</t>
    <phoneticPr fontId="2" type="noConversion"/>
  </si>
  <si>
    <t>CGV동탄호수공원</t>
    <phoneticPr fontId="2" type="noConversion"/>
  </si>
  <si>
    <t>CGV동탄역</t>
    <phoneticPr fontId="2" type="noConversion"/>
  </si>
  <si>
    <t>CGV동탄</t>
    <phoneticPr fontId="2" type="noConversion"/>
  </si>
  <si>
    <t>CGV화성봉담</t>
    <phoneticPr fontId="2" type="noConversion"/>
  </si>
  <si>
    <t>CGV경기광주</t>
    <phoneticPr fontId="2" type="noConversion"/>
  </si>
  <si>
    <t>CGV양주옥정</t>
    <phoneticPr fontId="2" type="noConversion"/>
  </si>
  <si>
    <t>CGV포천</t>
    <phoneticPr fontId="2" type="noConversion"/>
  </si>
  <si>
    <t>CGV춘천</t>
    <phoneticPr fontId="2" type="noConversion"/>
  </si>
  <si>
    <t>CGV원주</t>
    <phoneticPr fontId="2" type="noConversion"/>
  </si>
  <si>
    <t>CGV강릉</t>
    <phoneticPr fontId="2" type="noConversion"/>
  </si>
  <si>
    <t>CGV인제</t>
    <phoneticPr fontId="2" type="noConversion"/>
  </si>
  <si>
    <t>CGV청주성안길</t>
    <phoneticPr fontId="2" type="noConversion"/>
  </si>
  <si>
    <t>CGV청주(서문)</t>
    <phoneticPr fontId="2" type="noConversion"/>
  </si>
  <si>
    <t>CGV청주율량</t>
    <phoneticPr fontId="2" type="noConversion"/>
  </si>
  <si>
    <t>CGV청주터미널</t>
    <phoneticPr fontId="2" type="noConversion"/>
  </si>
  <si>
    <t>CGV청주지웰시티</t>
    <phoneticPr fontId="2" type="noConversion"/>
  </si>
  <si>
    <t>CGV충주교현</t>
    <phoneticPr fontId="2" type="noConversion"/>
  </si>
  <si>
    <t>CGV충북혁신</t>
    <phoneticPr fontId="2" type="noConversion"/>
  </si>
  <si>
    <t>CGV천안</t>
    <phoneticPr fontId="2" type="noConversion"/>
  </si>
  <si>
    <t>CGV천안터미널</t>
    <phoneticPr fontId="2" type="noConversion"/>
  </si>
  <si>
    <t>CGV천안펜타포트</t>
    <phoneticPr fontId="2" type="noConversion"/>
  </si>
  <si>
    <t>CGV천안시청</t>
    <phoneticPr fontId="2" type="noConversion"/>
  </si>
  <si>
    <t>CGV서산</t>
    <phoneticPr fontId="2" type="noConversion"/>
  </si>
  <si>
    <t>CGV논산</t>
    <phoneticPr fontId="2" type="noConversion"/>
  </si>
  <si>
    <t>CGV당진</t>
    <phoneticPr fontId="2" type="noConversion"/>
  </si>
  <si>
    <t>CGV홍성</t>
    <phoneticPr fontId="2" type="noConversion"/>
  </si>
  <si>
    <t>CGV전주효자</t>
    <phoneticPr fontId="2" type="noConversion"/>
  </si>
  <si>
    <t>CGV전주고사</t>
    <phoneticPr fontId="2" type="noConversion"/>
  </si>
  <si>
    <t>CGV서전주</t>
    <phoneticPr fontId="2" type="noConversion"/>
  </si>
  <si>
    <t>CGV전주에코시티</t>
    <phoneticPr fontId="2" type="noConversion"/>
  </si>
  <si>
    <t>CGV익산</t>
    <phoneticPr fontId="2" type="noConversion"/>
  </si>
  <si>
    <t>CGV정읍</t>
    <phoneticPr fontId="2" type="noConversion"/>
  </si>
  <si>
    <t>CGV목포</t>
    <phoneticPr fontId="2" type="noConversion"/>
  </si>
  <si>
    <t>CGV목포평화광장</t>
    <phoneticPr fontId="2" type="noConversion"/>
  </si>
  <si>
    <t>CGV여수웅천</t>
    <phoneticPr fontId="2" type="noConversion"/>
  </si>
  <si>
    <t>CGV순천</t>
    <phoneticPr fontId="2" type="noConversion"/>
  </si>
  <si>
    <t>CGV순천신대</t>
    <phoneticPr fontId="2" type="noConversion"/>
  </si>
  <si>
    <t>CGV나주</t>
    <phoneticPr fontId="2" type="noConversion"/>
  </si>
  <si>
    <t>CGV광양 엘에프스퀘어</t>
    <phoneticPr fontId="2" type="noConversion"/>
  </si>
  <si>
    <t>CGV광양</t>
    <phoneticPr fontId="2" type="noConversion"/>
  </si>
  <si>
    <t>CGV북포항</t>
    <phoneticPr fontId="2" type="noConversion"/>
  </si>
  <si>
    <t>CGV김천율곡</t>
    <phoneticPr fontId="2" type="noConversion"/>
  </si>
  <si>
    <t>CGV안동</t>
    <phoneticPr fontId="2" type="noConversion"/>
  </si>
  <si>
    <t>CGV구미</t>
    <phoneticPr fontId="2" type="noConversion"/>
  </si>
  <si>
    <t>CGV경산</t>
    <phoneticPr fontId="2" type="noConversion"/>
  </si>
  <si>
    <t>CGV마산</t>
    <phoneticPr fontId="2" type="noConversion"/>
  </si>
  <si>
    <t>CGV창원상남</t>
    <phoneticPr fontId="2" type="noConversion"/>
  </si>
  <si>
    <t>CGV창원더시티</t>
    <phoneticPr fontId="2" type="noConversion"/>
  </si>
  <si>
    <t>CGV창원</t>
    <phoneticPr fontId="2" type="noConversion"/>
  </si>
  <si>
    <t>CGV진주혁신</t>
    <phoneticPr fontId="2" type="noConversion"/>
  </si>
  <si>
    <t>CGV김해</t>
    <phoneticPr fontId="2" type="noConversion"/>
  </si>
  <si>
    <t>CGV김해장유</t>
    <phoneticPr fontId="2" type="noConversion"/>
  </si>
  <si>
    <t>CGV김해율하</t>
    <phoneticPr fontId="2" type="noConversion"/>
  </si>
  <si>
    <t>CGV거제</t>
    <phoneticPr fontId="2" type="noConversion"/>
  </si>
  <si>
    <t>CGV양산삼호</t>
    <phoneticPr fontId="2" type="noConversion"/>
  </si>
  <si>
    <t xml:space="preserve">CGV고성 </t>
    <phoneticPr fontId="2" type="noConversion"/>
  </si>
  <si>
    <t>CGV제주노형</t>
    <phoneticPr fontId="2" type="noConversion"/>
  </si>
  <si>
    <t>CGV제주</t>
    <phoneticPr fontId="2" type="noConversion"/>
  </si>
  <si>
    <t>노원구 동일로 1414 롯데백화점 10층 (상계동 713)</t>
    <phoneticPr fontId="2" type="noConversion"/>
  </si>
  <si>
    <t>IMAX</t>
    <phoneticPr fontId="2" type="noConversion"/>
  </si>
  <si>
    <t>ScreenX(3)</t>
    <phoneticPr fontId="2" type="noConversion"/>
  </si>
  <si>
    <t>TEMPUR CINEMA, ScreenX(2), 4DX</t>
    <phoneticPr fontId="2" type="noConversion"/>
  </si>
  <si>
    <t>IMAX, ScreenX(2), 4DX, Gold Class, Cine de chef(2)</t>
    <phoneticPr fontId="2" type="noConversion"/>
  </si>
  <si>
    <t>~</t>
    <phoneticPr fontId="2" type="noConversion"/>
  </si>
  <si>
    <t>~</t>
    <phoneticPr fontId="2" type="noConversion"/>
  </si>
  <si>
    <t>Comfort(2)</t>
    <phoneticPr fontId="2" type="noConversion"/>
  </si>
  <si>
    <t xml:space="preserve">20년 4관 생성 </t>
    <phoneticPr fontId="2" type="noConversion"/>
  </si>
  <si>
    <t xml:space="preserve"> Dolby ATMOS </t>
    <phoneticPr fontId="2" type="noConversion"/>
  </si>
  <si>
    <t>Dolby ATMOS</t>
    <phoneticPr fontId="2" type="noConversion"/>
  </si>
  <si>
    <t>Dolby ATMOS</t>
    <phoneticPr fontId="2" type="noConversion"/>
  </si>
  <si>
    <t>총 스크린 수</t>
    <phoneticPr fontId="2" type="noConversion"/>
  </si>
  <si>
    <t>스크린명</t>
    <phoneticPr fontId="2" type="noConversion"/>
  </si>
  <si>
    <t>스크린별     좌석수</t>
    <phoneticPr fontId="2" type="noConversion"/>
  </si>
  <si>
    <t>특별관 스크린수</t>
    <phoneticPr fontId="2" type="noConversion"/>
  </si>
  <si>
    <t>특별관 여부</t>
    <phoneticPr fontId="2" type="noConversion"/>
  </si>
  <si>
    <t>특별관
스크린수</t>
    <phoneticPr fontId="2" type="noConversion"/>
  </si>
  <si>
    <t xml:space="preserve">특별관 스크린 수 </t>
    <phoneticPr fontId="2" type="noConversion"/>
  </si>
  <si>
    <t>* '특별관명' 셀의 괄호 안 숫자는 해당 특별관의 갯수를 말함 (예: Cine Comfort(2) -&gt; Cine Comfort관이 2개 존재)</t>
    <phoneticPr fontId="2" type="noConversion"/>
  </si>
  <si>
    <t>강원도</t>
    <phoneticPr fontId="2" type="noConversion"/>
  </si>
  <si>
    <t>인제군</t>
    <phoneticPr fontId="2" type="noConversion"/>
  </si>
  <si>
    <t>CGV기린</t>
    <phoneticPr fontId="2" type="noConversion"/>
  </si>
  <si>
    <t>인제군 기린면 대내로 34-14 기린체육문화센터 2층</t>
    <phoneticPr fontId="2" type="noConversion"/>
  </si>
  <si>
    <t>위탁</t>
    <phoneticPr fontId="2" type="noConversion"/>
  </si>
  <si>
    <t>~</t>
    <phoneticPr fontId="2" type="noConversion"/>
  </si>
  <si>
    <t>~</t>
    <phoneticPr fontId="2" type="noConversion"/>
  </si>
  <si>
    <t>N</t>
    <phoneticPr fontId="2" type="noConversion"/>
  </si>
  <si>
    <t>01관</t>
    <phoneticPr fontId="2" type="noConversion"/>
  </si>
  <si>
    <t>02관</t>
    <phoneticPr fontId="2" type="noConversion"/>
  </si>
  <si>
    <t>N</t>
    <phoneticPr fontId="2" type="noConversion"/>
  </si>
  <si>
    <t>Y</t>
    <phoneticPr fontId="2" type="noConversion"/>
  </si>
  <si>
    <t>CGV고양백석</t>
    <phoneticPr fontId="2" type="noConversion"/>
  </si>
  <si>
    <t>고양시 일산동구 중앙로 1036 고양종합터미널 5~7층</t>
    <phoneticPr fontId="2" type="noConversion"/>
  </si>
  <si>
    <t>경기도</t>
    <phoneticPr fontId="2" type="noConversion"/>
  </si>
  <si>
    <t>고양시</t>
    <phoneticPr fontId="2" type="noConversion"/>
  </si>
  <si>
    <t>직영</t>
    <phoneticPr fontId="2" type="noConversion"/>
  </si>
  <si>
    <t>~</t>
    <phoneticPr fontId="2" type="noConversion"/>
  </si>
  <si>
    <t>N</t>
    <phoneticPr fontId="2" type="noConversion"/>
  </si>
  <si>
    <t>03관</t>
    <phoneticPr fontId="2" type="noConversion"/>
  </si>
  <si>
    <t>04관</t>
    <phoneticPr fontId="2" type="noConversion"/>
  </si>
  <si>
    <t>06관</t>
    <phoneticPr fontId="2" type="noConversion"/>
  </si>
  <si>
    <t>05관</t>
    <phoneticPr fontId="2" type="noConversion"/>
  </si>
  <si>
    <t>07관</t>
    <phoneticPr fontId="2" type="noConversion"/>
  </si>
  <si>
    <t>경기도</t>
    <phoneticPr fontId="2" type="noConversion"/>
  </si>
  <si>
    <t>구리시</t>
    <phoneticPr fontId="2" type="noConversion"/>
  </si>
  <si>
    <t>CGV구리갈매</t>
    <phoneticPr fontId="2" type="noConversion"/>
  </si>
  <si>
    <t>위탁</t>
    <phoneticPr fontId="2" type="noConversion"/>
  </si>
  <si>
    <t>구리시 갈매순환로 180, 힐스테이트 갈매역 스칸센 B동 B1~B2</t>
    <phoneticPr fontId="2" type="noConversion"/>
  </si>
  <si>
    <t>01관</t>
    <phoneticPr fontId="2" type="noConversion"/>
  </si>
  <si>
    <t>03관</t>
    <phoneticPr fontId="2" type="noConversion"/>
  </si>
  <si>
    <t>04관</t>
    <phoneticPr fontId="2" type="noConversion"/>
  </si>
  <si>
    <t>CGV남양주 화도</t>
    <phoneticPr fontId="2" type="noConversion"/>
  </si>
  <si>
    <t>경기도</t>
    <phoneticPr fontId="2" type="noConversion"/>
  </si>
  <si>
    <t>남양주시</t>
    <phoneticPr fontId="2" type="noConversion"/>
  </si>
  <si>
    <t>남양주시 경춘로 1876번길 40 해동 CGV 본타워 2,3층</t>
    <phoneticPr fontId="2" type="noConversion"/>
  </si>
  <si>
    <t>01관</t>
    <phoneticPr fontId="2" type="noConversion"/>
  </si>
  <si>
    <t>03관</t>
    <phoneticPr fontId="2" type="noConversion"/>
  </si>
  <si>
    <t>05관</t>
    <phoneticPr fontId="2" type="noConversion"/>
  </si>
  <si>
    <t>06관</t>
    <phoneticPr fontId="2" type="noConversion"/>
  </si>
  <si>
    <t>07관</t>
    <phoneticPr fontId="2" type="noConversion"/>
  </si>
  <si>
    <t>CGV동두천</t>
    <phoneticPr fontId="2" type="noConversion"/>
  </si>
  <si>
    <t xml:space="preserve">동두천시 평화로 2346, 5~6층 </t>
    <phoneticPr fontId="2" type="noConversion"/>
  </si>
  <si>
    <t>동두천시</t>
    <phoneticPr fontId="2" type="noConversion"/>
  </si>
  <si>
    <t>위탁</t>
    <phoneticPr fontId="2" type="noConversion"/>
  </si>
  <si>
    <t>03관</t>
    <phoneticPr fontId="2" type="noConversion"/>
  </si>
  <si>
    <t>Y</t>
    <phoneticPr fontId="2" type="noConversion"/>
  </si>
  <si>
    <t>08관</t>
    <phoneticPr fontId="2" type="noConversion"/>
  </si>
  <si>
    <t>09관</t>
    <phoneticPr fontId="2" type="noConversion"/>
  </si>
  <si>
    <t>Gold Class</t>
    <phoneticPr fontId="2" type="noConversion"/>
  </si>
  <si>
    <t>CGV 아트하우스</t>
    <phoneticPr fontId="2" type="noConversion"/>
  </si>
  <si>
    <t>ScreenX</t>
    <phoneticPr fontId="2" type="noConversion"/>
  </si>
  <si>
    <t>Gold Class</t>
    <phoneticPr fontId="2" type="noConversion"/>
  </si>
  <si>
    <t>23.7.25. 영업 재개. (구)CGV죽전 (극장명 및 좌석수 변경)</t>
    <phoneticPr fontId="2" type="noConversion"/>
  </si>
  <si>
    <t>Tempur Cinema</t>
    <phoneticPr fontId="2" type="noConversion"/>
  </si>
  <si>
    <t>Gold Class</t>
    <phoneticPr fontId="2" type="noConversion"/>
  </si>
  <si>
    <t>Dolby Atmos</t>
    <phoneticPr fontId="2" type="noConversion"/>
  </si>
  <si>
    <t>Premium(4관)</t>
    <phoneticPr fontId="2" type="noConversion"/>
  </si>
  <si>
    <t>Premium(5관)</t>
    <phoneticPr fontId="2" type="noConversion"/>
  </si>
  <si>
    <t>4DX관</t>
    <phoneticPr fontId="2" type="noConversion"/>
  </si>
  <si>
    <t>Premium</t>
    <phoneticPr fontId="2" type="noConversion"/>
  </si>
  <si>
    <t>4DX</t>
    <phoneticPr fontId="2" type="noConversion"/>
  </si>
  <si>
    <t>Tempur Cinema, Gold Class, Premium(2), 4DX</t>
    <phoneticPr fontId="2" type="noConversion"/>
  </si>
  <si>
    <t>23.2.27. 영업재개</t>
    <phoneticPr fontId="2" type="noConversion"/>
  </si>
  <si>
    <t>CGV동탄그랑파사쥬</t>
    <phoneticPr fontId="2" type="noConversion"/>
  </si>
  <si>
    <t xml:space="preserve">위탁 </t>
    <phoneticPr fontId="2" type="noConversion"/>
  </si>
  <si>
    <t>화성시 동탄대로 5길9, 5층 (송동)</t>
    <phoneticPr fontId="2" type="noConversion"/>
  </si>
  <si>
    <t>경기도</t>
    <phoneticPr fontId="2" type="noConversion"/>
  </si>
  <si>
    <t>화성시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</si>
  <si>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</si>
  <si>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</si>
  <si>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</si>
  <si>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</si>
  <si>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</si>
  <si>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06관</t>
    <phoneticPr fontId="2" type="noConversion"/>
  </si>
  <si>
    <t>07관</t>
    <phoneticPr fontId="2" type="noConversion"/>
  </si>
  <si>
    <t>CGV대구죽전</t>
    <phoneticPr fontId="2" type="noConversion"/>
  </si>
  <si>
    <t>달서구 달구벌대로 1551 죽전역골든타워 8층</t>
    <phoneticPr fontId="2" type="noConversion"/>
  </si>
  <si>
    <t>대구시</t>
    <phoneticPr fontId="2" type="noConversion"/>
  </si>
  <si>
    <t>달서구</t>
    <phoneticPr fontId="2" type="noConversion"/>
  </si>
  <si>
    <t>직영</t>
    <phoneticPr fontId="2" type="noConversion"/>
  </si>
  <si>
    <t>4DX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</si>
  <si>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</si>
  <si>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</si>
  <si>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</si>
  <si>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4DX관</t>
    <phoneticPr fontId="2" type="noConversion"/>
  </si>
  <si>
    <t>05관</t>
    <phoneticPr fontId="2" type="noConversion"/>
  </si>
  <si>
    <t>06관</t>
    <phoneticPr fontId="2" type="noConversion"/>
  </si>
  <si>
    <t>07관</t>
    <phoneticPr fontId="2" type="noConversion"/>
  </si>
  <si>
    <t>Y</t>
    <phoneticPr fontId="2" type="noConversion"/>
  </si>
  <si>
    <t>Y</t>
    <phoneticPr fontId="2" type="noConversion"/>
  </si>
  <si>
    <t>부분폐관</t>
    <phoneticPr fontId="2" type="noConversion"/>
  </si>
  <si>
    <t>부분폐관</t>
    <phoneticPr fontId="2" type="noConversion"/>
  </si>
  <si>
    <t>(구)아트레온/ 23년 8,9관 폐관</t>
    <phoneticPr fontId="2" type="noConversion"/>
  </si>
  <si>
    <t>23.1.2. 8관 폐업</t>
    <phoneticPr fontId="2" type="noConversion"/>
  </si>
  <si>
    <t>CGV인천시민공원</t>
    <phoneticPr fontId="2" type="noConversion"/>
  </si>
  <si>
    <t>인천시</t>
    <phoneticPr fontId="2" type="noConversion"/>
  </si>
  <si>
    <t xml:space="preserve">미추홀구 경인로 372, 지하2층 </t>
    <phoneticPr fontId="2" type="noConversion"/>
  </si>
  <si>
    <t>위탁</t>
    <phoneticPr fontId="2" type="noConversion"/>
  </si>
  <si>
    <t>미추홀구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</si>
  <si>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</si>
  <si>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</si>
  <si>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</si>
  <si>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</si>
  <si>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</si>
  <si>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Y</t>
    <phoneticPr fontId="2" type="noConversion"/>
  </si>
  <si>
    <t>CGV인천가정</t>
    <phoneticPr fontId="2" type="noConversion"/>
  </si>
  <si>
    <t>서구</t>
    <phoneticPr fontId="2" type="noConversion"/>
  </si>
  <si>
    <t>서구 가정로 406 상가동 B1~B2(루원지웰시티푸르지오)</t>
    <phoneticPr fontId="2" type="noConversion"/>
  </si>
  <si>
    <t>직영</t>
    <phoneticPr fontId="2" type="noConversion"/>
  </si>
  <si>
    <t>03관</t>
    <phoneticPr fontId="2" type="noConversion"/>
  </si>
  <si>
    <t>04관</t>
    <phoneticPr fontId="2" type="noConversion"/>
  </si>
  <si>
    <t>CGV아산</t>
    <phoneticPr fontId="2" type="noConversion"/>
  </si>
  <si>
    <t>충청남도</t>
    <phoneticPr fontId="2" type="noConversion"/>
  </si>
  <si>
    <t>아산시</t>
    <phoneticPr fontId="2" type="noConversion"/>
  </si>
  <si>
    <t>아산시 온천대로 1538, 아산시네파크 5~6층</t>
    <phoneticPr fontId="2" type="noConversion"/>
  </si>
  <si>
    <t>01관</t>
    <phoneticPr fontId="2" type="noConversion"/>
  </si>
  <si>
    <t>02관</t>
    <phoneticPr fontId="2" type="noConversion"/>
  </si>
  <si>
    <t>04관</t>
    <phoneticPr fontId="2" type="noConversion"/>
  </si>
  <si>
    <t>05관</t>
    <phoneticPr fontId="2" type="noConversion"/>
  </si>
  <si>
    <t>06관</t>
    <phoneticPr fontId="2" type="noConversion"/>
  </si>
  <si>
    <t>23.5.7. 영업종료</t>
    <phoneticPr fontId="2" type="noConversion"/>
  </si>
  <si>
    <t>메가박스 백석벨라씨타</t>
    <phoneticPr fontId="2" type="noConversion"/>
  </si>
  <si>
    <t>메가박스 백석벨라시타</t>
    <phoneticPr fontId="2" type="noConversion"/>
  </si>
  <si>
    <t>23.3.6. 부티크-&gt;컴포트로 변경</t>
    <phoneticPr fontId="2" type="noConversion"/>
  </si>
  <si>
    <t>Comfort(5)</t>
    <phoneticPr fontId="2" type="noConversion"/>
  </si>
  <si>
    <t>Comfort</t>
    <phoneticPr fontId="2" type="noConversion"/>
  </si>
  <si>
    <t>23.3.3. 일산벨라시타-&gt; 백석벨라시타로 상영관명 변경 / 부티크관-&gt;컴포트관으로 변경</t>
    <phoneticPr fontId="2" type="noConversion"/>
  </si>
  <si>
    <t>메가박스 수원AK플라자</t>
    <phoneticPr fontId="2" type="noConversion"/>
  </si>
  <si>
    <t>메가박스 수원인계</t>
    <phoneticPr fontId="2" type="noConversion"/>
  </si>
  <si>
    <t>직영</t>
    <phoneticPr fontId="2" type="noConversion"/>
  </si>
  <si>
    <t>(구)CGV수원</t>
    <phoneticPr fontId="2" type="noConversion"/>
  </si>
  <si>
    <t>경기도</t>
    <phoneticPr fontId="2" type="noConversion"/>
  </si>
  <si>
    <t>수원시</t>
    <phoneticPr fontId="2" type="noConversion"/>
  </si>
  <si>
    <t>경기도</t>
    <phoneticPr fontId="2" type="noConversion"/>
  </si>
  <si>
    <t>수원시</t>
    <phoneticPr fontId="2" type="noConversion"/>
  </si>
  <si>
    <t>Dolby Cinema, Comfort(7)</t>
    <phoneticPr fontId="2" type="noConversion"/>
  </si>
  <si>
    <t>수원시 팔달구 효원로278, 파비오더씨타 4층(인계동)</t>
    <phoneticPr fontId="2" type="noConversion"/>
  </si>
  <si>
    <t>Dolby Cinema</t>
    <phoneticPr fontId="2" type="noConversion"/>
  </si>
  <si>
    <t>Comfort 2관</t>
    <phoneticPr fontId="2" type="noConversion"/>
  </si>
  <si>
    <t>Comfort</t>
    <phoneticPr fontId="2" type="noConversion"/>
  </si>
  <si>
    <t>23.3.6.양산라피에스타--&gt;양산증산으로 상영관명 변경</t>
    <phoneticPr fontId="2" type="noConversion"/>
  </si>
  <si>
    <t>메가박스 양산증산</t>
    <phoneticPr fontId="2" type="noConversion"/>
  </si>
  <si>
    <t>메가박스 양산증산</t>
    <phoneticPr fontId="2" type="noConversion"/>
  </si>
  <si>
    <t>23.4.6. 직영-&gt;위탁 전환</t>
    <phoneticPr fontId="2" type="noConversion"/>
  </si>
  <si>
    <t>Comfort 1관</t>
    <phoneticPr fontId="2" type="noConversion"/>
  </si>
  <si>
    <t>Comfort(7)</t>
    <phoneticPr fontId="2" type="noConversion"/>
  </si>
  <si>
    <t>위탁</t>
    <phoneticPr fontId="2" type="noConversion"/>
  </si>
  <si>
    <t>(구)롯데시네마 씨티(강남)/ 23.6.1. 3,4관 폐관처리</t>
    <phoneticPr fontId="2" type="noConversion"/>
  </si>
  <si>
    <t>(구)메가박스 전주(객사) 20.01.28. 영업종료. 20.4.24. 씨네Q 전주영화의거리/ (구)씨네Q 전주영화의 거리에서 23.3.17 전환</t>
    <phoneticPr fontId="2" type="noConversion"/>
  </si>
  <si>
    <t xml:space="preserve">메가박스 전주객사 </t>
    <phoneticPr fontId="2" type="noConversion"/>
  </si>
  <si>
    <t>메가박스 전주객사</t>
    <phoneticPr fontId="2" type="noConversion"/>
  </si>
  <si>
    <t>Comfort 4관</t>
    <phoneticPr fontId="2" type="noConversion"/>
  </si>
  <si>
    <t>메가박스 제주서귀포</t>
    <phoneticPr fontId="2" type="noConversion"/>
  </si>
  <si>
    <t>서귀포시 중앙로182번길 38</t>
    <phoneticPr fontId="2" type="noConversion"/>
  </si>
  <si>
    <t>위탁</t>
    <phoneticPr fontId="2" type="noConversion"/>
  </si>
  <si>
    <t>제주도</t>
    <phoneticPr fontId="2" type="noConversion"/>
  </si>
  <si>
    <t>서귀포시</t>
    <phoneticPr fontId="2" type="noConversion"/>
  </si>
  <si>
    <t>메가박스 제주삼화</t>
    <phoneticPr fontId="2" type="noConversion"/>
  </si>
  <si>
    <t>Comfort(3)</t>
    <phoneticPr fontId="2" type="noConversion"/>
  </si>
  <si>
    <t>메가박스 제주삼화</t>
    <phoneticPr fontId="2" type="noConversion"/>
  </si>
  <si>
    <t>Comfort</t>
    <phoneticPr fontId="2" type="noConversion"/>
  </si>
  <si>
    <t>위탁</t>
    <phoneticPr fontId="2" type="noConversion"/>
  </si>
  <si>
    <t>23.10.1.직영-&gt;위탁 전환</t>
    <phoneticPr fontId="2" type="noConversion"/>
  </si>
  <si>
    <t>(구)제천TTC7/ 23.1.31. 영업종료</t>
    <phoneticPr fontId="2" type="noConversion"/>
  </si>
  <si>
    <t>(구)메가박스 백석</t>
    <phoneticPr fontId="2" type="noConversion"/>
  </si>
  <si>
    <t>휴관</t>
    <phoneticPr fontId="2" type="noConversion"/>
  </si>
  <si>
    <t>롯데시네마 파주롯데아울렛</t>
    <phoneticPr fontId="2" type="noConversion"/>
  </si>
  <si>
    <t>경기도</t>
    <phoneticPr fontId="2" type="noConversion"/>
  </si>
  <si>
    <t>파주시</t>
    <phoneticPr fontId="2" type="noConversion"/>
  </si>
  <si>
    <t>위탁</t>
    <phoneticPr fontId="2" type="noConversion"/>
  </si>
  <si>
    <t>파주시 문발로 284 롯데프리미엄아울렛 B동 4층(문발동)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</si>
  <si>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</si>
  <si>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</si>
  <si>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</si>
  <si>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</si>
  <si>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</si>
  <si>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06관</t>
    <phoneticPr fontId="2" type="noConversion"/>
  </si>
  <si>
    <t>07관</t>
    <phoneticPr fontId="2" type="noConversion"/>
  </si>
  <si>
    <t>Cine Comfort</t>
    <phoneticPr fontId="2" type="noConversion"/>
  </si>
  <si>
    <t>Y</t>
    <phoneticPr fontId="2" type="noConversion"/>
  </si>
  <si>
    <t>Y</t>
    <phoneticPr fontId="2" type="noConversion"/>
  </si>
  <si>
    <t>Cine Comfort(4)</t>
    <phoneticPr fontId="2" type="noConversion"/>
  </si>
  <si>
    <t>22.8.21. 휴업/ 23.8.9. 영업재개</t>
    <phoneticPr fontId="2" type="noConversion"/>
  </si>
  <si>
    <t>01관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</si>
  <si>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</si>
  <si>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</si>
  <si>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</si>
  <si>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Y</t>
    <phoneticPr fontId="2" type="noConversion"/>
  </si>
  <si>
    <t>씨네Q 동탄</t>
    <phoneticPr fontId="2" type="noConversion"/>
  </si>
  <si>
    <t>경기도</t>
    <phoneticPr fontId="2" type="noConversion"/>
  </si>
  <si>
    <t>화성시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</si>
  <si>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</si>
  <si>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</si>
  <si>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</si>
  <si>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N</t>
    <phoneticPr fontId="2" type="noConversion"/>
  </si>
  <si>
    <t>Recliner(4)</t>
    <phoneticPr fontId="2" type="noConversion"/>
  </si>
  <si>
    <t>씨네Q 청라</t>
    <phoneticPr fontId="2" type="noConversion"/>
  </si>
  <si>
    <t>인천시</t>
    <phoneticPr fontId="2" type="noConversion"/>
  </si>
  <si>
    <t xml:space="preserve">서구 </t>
    <phoneticPr fontId="2" type="noConversion"/>
  </si>
  <si>
    <t>서구 중봉대로 610, 마루힐프라자 8층</t>
    <phoneticPr fontId="2" type="noConversion"/>
  </si>
  <si>
    <t>01관</t>
    <phoneticPr fontId="2" type="noConversion"/>
  </si>
  <si>
    <t>02관</t>
    <phoneticPr fontId="2" type="noConversion"/>
  </si>
  <si>
    <t>06관</t>
    <phoneticPr fontId="2" type="noConversion"/>
  </si>
  <si>
    <t>Reserve</t>
    <phoneticPr fontId="2" type="noConversion"/>
  </si>
  <si>
    <t>Reserve(7)</t>
    <phoneticPr fontId="2" type="noConversion"/>
  </si>
  <si>
    <t>CGV신세계경기</t>
    <phoneticPr fontId="2" type="noConversion"/>
  </si>
  <si>
    <t>Comfort(4)</t>
    <phoneticPr fontId="2" type="noConversion"/>
  </si>
  <si>
    <t>Comfort</t>
    <phoneticPr fontId="2" type="noConversion"/>
  </si>
  <si>
    <t>Dolby Atmos</t>
  </si>
  <si>
    <t>Dolby Atmos</t>
    <phoneticPr fontId="2" type="noConversion"/>
  </si>
  <si>
    <t>Dolby Atmos</t>
    <phoneticPr fontId="2" type="noConversion"/>
  </si>
  <si>
    <t>Dolby Atmos, Comfort(3)</t>
    <phoneticPr fontId="2" type="noConversion"/>
  </si>
  <si>
    <t>Dolby Atmos, Comfort</t>
    <phoneticPr fontId="2" type="noConversion"/>
  </si>
  <si>
    <t>Dolby Atmos, The Boutique Suite(2)</t>
    <phoneticPr fontId="2" type="noConversion"/>
  </si>
  <si>
    <t>Dolby Atmos, Comfort</t>
    <phoneticPr fontId="2" type="noConversion"/>
  </si>
  <si>
    <t>Dolby Atmos, Puppy Cinema(2)</t>
    <phoneticPr fontId="2" type="noConversion"/>
  </si>
  <si>
    <t>Dolby Atmos, Comfort(6)</t>
    <phoneticPr fontId="2" type="noConversion"/>
  </si>
  <si>
    <t>Dolby Atmos, Kids(2), The Boutique, The Boutique Suite</t>
    <phoneticPr fontId="2" type="noConversion"/>
  </si>
  <si>
    <t>Dolby Atmos</t>
    <phoneticPr fontId="2" type="noConversion"/>
  </si>
  <si>
    <t>지역</t>
  </si>
  <si>
    <t>전년 대비 
극장 수
증감수</t>
  </si>
  <si>
    <t>전년 대비 
극장 수 
증감율</t>
  </si>
  <si>
    <t>전년 대비 
스크린 수 
증감수</t>
    <phoneticPr fontId="2" type="noConversion"/>
  </si>
  <si>
    <t>전년 대비 
스크린 수 
증감율</t>
    <phoneticPr fontId="2" type="noConversion"/>
  </si>
  <si>
    <t>전년 대비 
좌석 수 
증감수</t>
    <phoneticPr fontId="2" type="noConversion"/>
  </si>
  <si>
    <t>전년 대비 
좌석 수 
증감율</t>
    <phoneticPr fontId="2" type="noConversion"/>
  </si>
  <si>
    <t>휴관 극장 수</t>
    <phoneticPr fontId="2" type="noConversion"/>
  </si>
  <si>
    <t>휴관 스크린 수</t>
    <phoneticPr fontId="2" type="noConversion"/>
  </si>
  <si>
    <t>폐관 극장 수</t>
    <phoneticPr fontId="2" type="noConversion"/>
  </si>
  <si>
    <t>폐관 스크린 수</t>
    <phoneticPr fontId="2" type="noConversion"/>
  </si>
  <si>
    <t xml:space="preserve">신규개관 
극장 수 </t>
    <phoneticPr fontId="2" type="noConversion"/>
  </si>
  <si>
    <t>신규개관 
스크린 수</t>
    <phoneticPr fontId="2" type="noConversion"/>
  </si>
  <si>
    <t>특별관 스크린 수</t>
    <phoneticPr fontId="2" type="noConversion"/>
  </si>
  <si>
    <t>독립예술영화전용관 수</t>
    <phoneticPr fontId="2" type="noConversion"/>
  </si>
  <si>
    <t>작은영화관 수</t>
    <phoneticPr fontId="2" type="noConversion"/>
  </si>
  <si>
    <t>서울</t>
  </si>
  <si>
    <t>부산</t>
  </si>
  <si>
    <t>대구</t>
  </si>
  <si>
    <t>인천</t>
  </si>
  <si>
    <t>광주</t>
  </si>
  <si>
    <t>대전</t>
  </si>
  <si>
    <t>울산</t>
  </si>
  <si>
    <t>세종</t>
    <phoneticPr fontId="2" type="noConversion"/>
  </si>
  <si>
    <t>경기</t>
  </si>
  <si>
    <t>강원</t>
  </si>
  <si>
    <t>충북</t>
  </si>
  <si>
    <t>충남</t>
  </si>
  <si>
    <t>전북</t>
  </si>
  <si>
    <t>전남</t>
  </si>
  <si>
    <t>경북</t>
  </si>
  <si>
    <t xml:space="preserve"> 경남 </t>
  </si>
  <si>
    <t>제주</t>
  </si>
  <si>
    <t>지역 합계</t>
    <phoneticPr fontId="2" type="noConversion"/>
  </si>
  <si>
    <t>총계</t>
  </si>
  <si>
    <t>* 스크린 수, 좌석 수의 경우 기준일 수치가 확인되지 않은 경우는 조사 시점의 수치로 대체함</t>
  </si>
  <si>
    <t>* 부분휴관 및 부분폐관의 경우 휴관 극장 수, 폐관 극장 수에는 포함하지 않고 휴관 스크린 수, 폐관 스크린 수에는 포함함</t>
    <phoneticPr fontId="2" type="noConversion"/>
  </si>
  <si>
    <t xml:space="preserve">* 특별관은 일반관과 달리 특수한 설비(스크린/영사기/스피커)나 관람환경(좌석/서비스 등)을 제공하는 상영관을 말함(세부사항은 '특별관 유형 분류 및 통계' 시트 참조) </t>
    <phoneticPr fontId="2" type="noConversion"/>
  </si>
  <si>
    <t>* 독립예술영화전용관은 문화체육관광부가 지정하거나 영화진흥위원회가 지원하는 독립예술영화 전용상영관을 말함</t>
    <phoneticPr fontId="2" type="noConversion"/>
  </si>
  <si>
    <t xml:space="preserve">* 작은영화관은 극장이 없는 기초자치단체에서의 영화 향유 제고를 위해 국고나 지자체의 예산이 투입되어 건립/운영되는 상영관을 말함 </t>
    <phoneticPr fontId="2" type="noConversion"/>
  </si>
  <si>
    <t>광역단체</t>
    <phoneticPr fontId="2" type="noConversion"/>
  </si>
  <si>
    <t>기초단체</t>
    <phoneticPr fontId="2" type="noConversion"/>
  </si>
  <si>
    <t>전년대비 
증감수</t>
    <phoneticPr fontId="2" type="noConversion"/>
  </si>
  <si>
    <t>전년대비 
증감률</t>
    <phoneticPr fontId="2" type="noConversion"/>
  </si>
  <si>
    <t>전년대비
증감률</t>
    <phoneticPr fontId="2" type="noConversion"/>
  </si>
  <si>
    <t xml:space="preserve">2022년
좌석 수 </t>
    <phoneticPr fontId="2" type="noConversion"/>
  </si>
  <si>
    <t>전년대비　
증감률</t>
    <phoneticPr fontId="2" type="noConversion"/>
  </si>
  <si>
    <t>전년 대비 
증감수</t>
    <phoneticPr fontId="2" type="noConversion"/>
  </si>
  <si>
    <t>전국</t>
  </si>
  <si>
    <t>소계</t>
  </si>
  <si>
    <t>서울특별시</t>
  </si>
  <si>
    <t/>
  </si>
  <si>
    <t>부산광역시</t>
  </si>
  <si>
    <t>-</t>
    <phoneticPr fontId="2" type="noConversion"/>
  </si>
  <si>
    <t>-</t>
    <phoneticPr fontId="2" type="noConversion"/>
  </si>
  <si>
    <t>영도구</t>
  </si>
  <si>
    <t>수영구</t>
  </si>
  <si>
    <t>-</t>
    <phoneticPr fontId="2" type="noConversion"/>
  </si>
  <si>
    <t>대구광역시</t>
  </si>
  <si>
    <t>인천광역시</t>
  </si>
  <si>
    <t>미추홀구</t>
  </si>
  <si>
    <t>강화군</t>
  </si>
  <si>
    <t>-</t>
    <phoneticPr fontId="2" type="noConversion"/>
  </si>
  <si>
    <t>옹진군</t>
  </si>
  <si>
    <t>광주광역시</t>
  </si>
  <si>
    <t>대전광역시</t>
  </si>
  <si>
    <t>대덕구</t>
  </si>
  <si>
    <t>울산광역시</t>
  </si>
  <si>
    <t>세종특별자치시</t>
  </si>
  <si>
    <t>과천시</t>
  </si>
  <si>
    <t>의왕시</t>
  </si>
  <si>
    <t>포천시</t>
  </si>
  <si>
    <t>여주시</t>
  </si>
  <si>
    <t>연천군</t>
  </si>
  <si>
    <t>가평군</t>
  </si>
  <si>
    <t>태백시</t>
  </si>
  <si>
    <t>삼척시</t>
  </si>
  <si>
    <t>영월군</t>
  </si>
  <si>
    <t>정선군</t>
  </si>
  <si>
    <t>철원군</t>
  </si>
  <si>
    <t>화천군</t>
  </si>
  <si>
    <t>양구군</t>
  </si>
  <si>
    <t>인제군</t>
  </si>
  <si>
    <t>고성군</t>
  </si>
  <si>
    <t>보은군</t>
  </si>
  <si>
    <t>옥천군</t>
  </si>
  <si>
    <t>영동군</t>
  </si>
  <si>
    <t>증평군</t>
  </si>
  <si>
    <t>단양군</t>
  </si>
  <si>
    <t>논산시</t>
  </si>
  <si>
    <t>계룡시</t>
  </si>
  <si>
    <t>금산군</t>
  </si>
  <si>
    <t>서천군</t>
  </si>
  <si>
    <t>청양군</t>
  </si>
  <si>
    <t>남원시</t>
  </si>
  <si>
    <t>김제시</t>
  </si>
  <si>
    <t>완주군</t>
  </si>
  <si>
    <t>임실군</t>
  </si>
  <si>
    <t>부안군</t>
  </si>
  <si>
    <t>담양군</t>
  </si>
  <si>
    <t>곡성군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</si>
  <si>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</si>
  <si>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</si>
  <si>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</si>
  <si>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</si>
  <si>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</si>
  <si>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</si>
  <si>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</si>
  <si>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</si>
  <si>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</si>
  <si>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</si>
  <si>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</si>
  <si>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</si>
  <si>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신안군</t>
  </si>
  <si>
    <t>영천시</t>
  </si>
  <si>
    <t>상주시</t>
  </si>
  <si>
    <t>군위군</t>
  </si>
  <si>
    <t>의성군</t>
  </si>
  <si>
    <t>청송군</t>
  </si>
  <si>
    <t>영덕군</t>
  </si>
  <si>
    <t>청도군</t>
  </si>
  <si>
    <t>성주군</t>
  </si>
  <si>
    <t>칠곡군</t>
  </si>
  <si>
    <t>봉화군</t>
  </si>
  <si>
    <t>울진군</t>
  </si>
  <si>
    <t>울릉군</t>
  </si>
  <si>
    <t>의령군</t>
  </si>
  <si>
    <t>함안군</t>
  </si>
  <si>
    <t>창녕군</t>
  </si>
  <si>
    <t>하동군</t>
  </si>
  <si>
    <t>산청군</t>
  </si>
  <si>
    <t>함양군</t>
  </si>
  <si>
    <t>제주특별자치도</t>
  </si>
  <si>
    <t>지역</t>
    <phoneticPr fontId="3" type="noConversion"/>
  </si>
  <si>
    <t>전년 대비
멀티플렉스
극장 수 증감수</t>
    <phoneticPr fontId="3" type="noConversion"/>
  </si>
  <si>
    <t>전년 대비
멀티플렉스
극장수 증감율</t>
    <phoneticPr fontId="3" type="noConversion"/>
  </si>
  <si>
    <t>전년 대비 
멀티플렉스
스크린 수 증감수</t>
    <phoneticPr fontId="3" type="noConversion"/>
  </si>
  <si>
    <t>전년 대비 
멀티플렉스
스크린 수 증감율</t>
    <phoneticPr fontId="3" type="noConversion"/>
  </si>
  <si>
    <t>2022년 
멀티플렉스
좌석 수</t>
    <phoneticPr fontId="3" type="noConversion"/>
  </si>
  <si>
    <t>전년 대비 
멀티플렉스
좌석 수 증감수</t>
    <phoneticPr fontId="3" type="noConversion"/>
  </si>
  <si>
    <t>전년 대비 
멀티플렉스
좌석 수 증감율</t>
    <phoneticPr fontId="3" type="noConversion"/>
  </si>
  <si>
    <t>서울</t>
    <phoneticPr fontId="3" type="noConversion"/>
  </si>
  <si>
    <t>부산</t>
    <phoneticPr fontId="3" type="noConversion"/>
  </si>
  <si>
    <t>대구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</si>
  <si>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</si>
  <si>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</si>
  <si>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</si>
  <si>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울산</t>
    <phoneticPr fontId="3" type="noConversion"/>
  </si>
  <si>
    <t>세종</t>
    <phoneticPr fontId="3" type="noConversion"/>
  </si>
  <si>
    <t>경기</t>
    <phoneticPr fontId="3" type="noConversion"/>
  </si>
  <si>
    <t>강원</t>
    <phoneticPr fontId="3" type="noConversion"/>
  </si>
  <si>
    <t>충북</t>
    <phoneticPr fontId="3" type="noConversion"/>
  </si>
  <si>
    <t>충남</t>
    <phoneticPr fontId="3" type="noConversion"/>
  </si>
  <si>
    <t>전북</t>
    <phoneticPr fontId="3" type="noConversion"/>
  </si>
  <si>
    <t>전남</t>
    <phoneticPr fontId="3" type="noConversion"/>
  </si>
  <si>
    <t>경북</t>
    <phoneticPr fontId="3" type="noConversion"/>
  </si>
  <si>
    <t xml:space="preserve"> 경남 </t>
    <phoneticPr fontId="3" type="noConversion"/>
  </si>
  <si>
    <t>제주</t>
    <phoneticPr fontId="3" type="noConversion"/>
  </si>
  <si>
    <t>지역 합계</t>
    <phoneticPr fontId="3" type="noConversion"/>
  </si>
  <si>
    <t>총계</t>
    <phoneticPr fontId="3" type="noConversion"/>
  </si>
  <si>
    <t>* 집계 대상 멀티플렉스는 전국 멀티플렉스 체인(CJ CGV, 롯데시네마, 메가박스, 씨네Q 총 4개) 소속 극장 및 7개관 이상 극장(대한극장)임</t>
    <phoneticPr fontId="3" type="noConversion"/>
  </si>
  <si>
    <t>구분</t>
    <phoneticPr fontId="2" type="noConversion"/>
  </si>
  <si>
    <t xml:space="preserve">극장 수 </t>
  </si>
  <si>
    <t>전년대비 
증감 수</t>
    <phoneticPr fontId="2" type="noConversion"/>
  </si>
  <si>
    <t>전년대비 
증감률</t>
    <phoneticPr fontId="2" type="noConversion"/>
  </si>
  <si>
    <t>스크린 수</t>
  </si>
  <si>
    <t>전년대비 
증감 수</t>
    <phoneticPr fontId="2" type="noConversion"/>
  </si>
  <si>
    <t>전년대비 
증감률</t>
    <phoneticPr fontId="2" type="noConversion"/>
  </si>
  <si>
    <t>좌석 수</t>
    <phoneticPr fontId="3" type="noConversion"/>
  </si>
  <si>
    <t>전년대비 
증감 수</t>
    <phoneticPr fontId="3" type="noConversion"/>
  </si>
  <si>
    <t>전년대비
증감률</t>
    <phoneticPr fontId="3" type="noConversion"/>
  </si>
  <si>
    <t> 운영 형태</t>
    <phoneticPr fontId="3" type="noConversion"/>
  </si>
  <si>
    <t>극장 수</t>
  </si>
  <si>
    <t>좌석 수</t>
    <phoneticPr fontId="3" type="noConversion"/>
  </si>
  <si>
    <t>직영 극장 수</t>
    <phoneticPr fontId="3" type="noConversion"/>
  </si>
  <si>
    <t>직영 비중</t>
    <phoneticPr fontId="3" type="noConversion"/>
  </si>
  <si>
    <t>위탁 극장 수</t>
    <phoneticPr fontId="3" type="noConversion"/>
  </si>
  <si>
    <t>위탁 비중</t>
    <phoneticPr fontId="3" type="noConversion"/>
  </si>
  <si>
    <t>CJ CGV</t>
    <phoneticPr fontId="3" type="noConversion"/>
  </si>
  <si>
    <t>롯데시네마</t>
  </si>
  <si>
    <t>메가박스</t>
  </si>
  <si>
    <t xml:space="preserve">씨네Q </t>
    <phoneticPr fontId="3" type="noConversion"/>
  </si>
  <si>
    <t>* 집계 대상 멀티플렉스 체인은 CJ CGV, 롯데시네마, 메가박스, 씨네Q 총 4개 체인임</t>
    <phoneticPr fontId="3" type="noConversion"/>
  </si>
  <si>
    <r>
      <t>특별관</t>
    </r>
    <r>
      <rPr>
        <b/>
        <sz val="16"/>
        <color rgb="FFFF0000"/>
        <rFont val="맑은 고딕"/>
        <family val="3"/>
        <charset val="129"/>
        <scheme val="minor"/>
      </rPr>
      <t xml:space="preserve"> </t>
    </r>
    <r>
      <rPr>
        <b/>
        <sz val="16"/>
        <color theme="1"/>
        <rFont val="맑은 고딕"/>
        <family val="3"/>
        <charset val="129"/>
        <scheme val="minor"/>
      </rPr>
      <t>유형 분류 및 현황</t>
    </r>
    <phoneticPr fontId="2" type="noConversion"/>
  </si>
  <si>
    <t>분류</t>
    <phoneticPr fontId="2" type="noConversion"/>
  </si>
  <si>
    <t>특별관명</t>
    <phoneticPr fontId="2" type="noConversion"/>
  </si>
  <si>
    <t>CJ CGV</t>
    <phoneticPr fontId="2" type="noConversion"/>
  </si>
  <si>
    <t>씨네Q</t>
    <phoneticPr fontId="2" type="noConversion"/>
  </si>
  <si>
    <t>구분</t>
    <phoneticPr fontId="2" type="noConversion"/>
  </si>
  <si>
    <t>특별관
극장 수</t>
    <phoneticPr fontId="2" type="noConversion"/>
  </si>
  <si>
    <t>특별관
스크린 수</t>
    <phoneticPr fontId="2" type="noConversion"/>
  </si>
  <si>
    <t> 운영 형태</t>
  </si>
  <si>
    <t>지역</t>
    <phoneticPr fontId="2" type="noConversion"/>
  </si>
  <si>
    <t>스크린수</t>
    <phoneticPr fontId="2" type="noConversion"/>
  </si>
  <si>
    <t>특별관 스크린 수</t>
    <phoneticPr fontId="2" type="noConversion"/>
  </si>
  <si>
    <t>특별관 
비율(평균)</t>
    <phoneticPr fontId="2" type="noConversion"/>
  </si>
  <si>
    <t>지역분포</t>
    <phoneticPr fontId="2" type="noConversion"/>
  </si>
  <si>
    <t>화면 &amp; 사운드</t>
    <phoneticPr fontId="2" type="noConversion"/>
  </si>
  <si>
    <t>-</t>
    <phoneticPr fontId="2" type="noConversion"/>
  </si>
  <si>
    <t>직영극장 수</t>
    <phoneticPr fontId="2" type="noConversion"/>
  </si>
  <si>
    <t>직영 비중</t>
    <phoneticPr fontId="2" type="noConversion"/>
  </si>
  <si>
    <t>위탁극장 수</t>
    <phoneticPr fontId="2" type="noConversion"/>
  </si>
  <si>
    <t>위탁 비중</t>
    <phoneticPr fontId="2" type="noConversion"/>
  </si>
  <si>
    <t>Starium</t>
    <phoneticPr fontId="2" type="noConversion"/>
  </si>
  <si>
    <t>Colorium</t>
    <phoneticPr fontId="2" type="noConversion"/>
  </si>
  <si>
    <t>Superplex/ Superplex G</t>
    <phoneticPr fontId="2" type="noConversion"/>
  </si>
  <si>
    <t>ScreenX / SphereX</t>
    <phoneticPr fontId="2" type="noConversion"/>
  </si>
  <si>
    <t>Dolby Cinema</t>
    <phoneticPr fontId="2" type="noConversion"/>
  </si>
  <si>
    <t>총계</t>
    <phoneticPr fontId="2" type="noConversion"/>
  </si>
  <si>
    <t>Super S</t>
    <phoneticPr fontId="2" type="noConversion"/>
  </si>
  <si>
    <t>4D</t>
    <phoneticPr fontId="2" type="noConversion"/>
  </si>
  <si>
    <t>세종</t>
  </si>
  <si>
    <t>좌석</t>
    <phoneticPr fontId="2" type="noConversion"/>
  </si>
  <si>
    <t>Megabox Kids</t>
    <phoneticPr fontId="2" type="noConversion"/>
  </si>
  <si>
    <t>Cine &amp; Living Room</t>
    <phoneticPr fontId="2" type="noConversion"/>
  </si>
  <si>
    <t>Cine &amp; Foret</t>
    <phoneticPr fontId="2" type="noConversion"/>
  </si>
  <si>
    <t>Cine Couple</t>
    <phoneticPr fontId="2" type="noConversion"/>
  </si>
  <si>
    <t>Puppy Cinema</t>
    <phoneticPr fontId="2" type="noConversion"/>
  </si>
  <si>
    <t>전남</t>
    <phoneticPr fontId="2" type="noConversion"/>
  </si>
  <si>
    <t>Premium</t>
    <phoneticPr fontId="2" type="noConversion"/>
  </si>
  <si>
    <t>Cine Salon</t>
    <phoneticPr fontId="2" type="noConversion"/>
  </si>
  <si>
    <t>경남</t>
  </si>
  <si>
    <t>Cine Comfort</t>
    <phoneticPr fontId="2" type="noConversion"/>
  </si>
  <si>
    <t>Comfort</t>
    <phoneticPr fontId="2" type="noConversion"/>
  </si>
  <si>
    <t>지역 합계</t>
    <phoneticPr fontId="2" type="noConversion"/>
  </si>
  <si>
    <t>Reserve &amp; Suite</t>
    <phoneticPr fontId="2" type="noConversion"/>
  </si>
  <si>
    <t>총계</t>
    <phoneticPr fontId="2" type="noConversion"/>
  </si>
  <si>
    <t>Recliner / 밥.CINE</t>
    <phoneticPr fontId="2" type="noConversion"/>
  </si>
  <si>
    <t>고급</t>
    <phoneticPr fontId="2" type="noConversion"/>
  </si>
  <si>
    <t>Gold Class</t>
    <phoneticPr fontId="2" type="noConversion"/>
  </si>
  <si>
    <t xml:space="preserve">Private Box, Suite Cinema </t>
    <phoneticPr fontId="2" type="noConversion"/>
  </si>
  <si>
    <t>Tempur Cinema</t>
    <phoneticPr fontId="2" type="noConversion"/>
  </si>
  <si>
    <t xml:space="preserve"> The Boutique</t>
    <phoneticPr fontId="2" type="noConversion"/>
  </si>
  <si>
    <t>Charlotte</t>
    <phoneticPr fontId="2" type="noConversion"/>
  </si>
  <si>
    <t>Cine de Chef</t>
    <phoneticPr fontId="2" type="noConversion"/>
  </si>
  <si>
    <t>* 특별관은 일반관과 달리 특수한 설비(스크린/영사기/스피커)나 관람환경(좌석/서비스 등)을 제공하는 상영관을 말함</t>
    <phoneticPr fontId="2" type="noConversion"/>
  </si>
  <si>
    <t>* 단, 해당 극장에서 특별관으로 특별히 지정하여 운영하는 경우에 한함(가령 6p레이저/SoundX의 경우 특수 설비에 해당하나, 특별관으로 지정되어 운영되지 않아 제외함)</t>
    <phoneticPr fontId="2" type="noConversion"/>
  </si>
  <si>
    <t>* 특별관 집계는 상영관 내 전좌석이 특수좌석인 경우에만 특별관으로 집계함(예: 일반관 내의 일부 커플석(Sweetbox석, Cine Couple석) 및 일부 Premium석은 특별관으로 집계하지 않음)</t>
    <phoneticPr fontId="2" type="noConversion"/>
  </si>
  <si>
    <t>* 특별관 극장 수는 특별관 스크린 1개 이상을 포함한 극장을 말함</t>
    <phoneticPr fontId="2" type="noConversion"/>
  </si>
  <si>
    <t>Dolby Atmos</t>
    <phoneticPr fontId="2" type="noConversion"/>
  </si>
  <si>
    <t>위탁</t>
    <phoneticPr fontId="2" type="noConversion"/>
  </si>
  <si>
    <t>위탁</t>
    <phoneticPr fontId="2" type="noConversion"/>
  </si>
  <si>
    <t>Comfort</t>
    <phoneticPr fontId="2" type="noConversion"/>
  </si>
  <si>
    <t>Y</t>
    <phoneticPr fontId="2" type="noConversion"/>
  </si>
  <si>
    <t>Y</t>
    <phoneticPr fontId="2" type="noConversion"/>
  </si>
  <si>
    <t>Comfort</t>
    <phoneticPr fontId="2" type="noConversion"/>
  </si>
  <si>
    <t>Comfort</t>
    <phoneticPr fontId="2" type="noConversion"/>
  </si>
  <si>
    <r>
      <t>Comfort(6)</t>
    </r>
    <r>
      <rPr>
        <b/>
        <sz val="10"/>
        <color theme="1"/>
        <rFont val="맑은 고딕"/>
        <family val="3"/>
        <charset val="129"/>
        <scheme val="minor"/>
      </rPr>
      <t xml:space="preserve">, </t>
    </r>
    <r>
      <rPr>
        <sz val="10"/>
        <color theme="1"/>
        <rFont val="맑은 고딕"/>
        <family val="3"/>
        <charset val="129"/>
        <scheme val="minor"/>
      </rPr>
      <t>The Boutique(2)</t>
    </r>
    <phoneticPr fontId="2" type="noConversion"/>
  </si>
  <si>
    <t>The Boutique</t>
    <phoneticPr fontId="2" type="noConversion"/>
  </si>
  <si>
    <t>Comfort 101호</t>
    <phoneticPr fontId="2" type="noConversion"/>
  </si>
  <si>
    <t>Comfort 102호</t>
    <phoneticPr fontId="2" type="noConversion"/>
  </si>
  <si>
    <t>Comfort 103호</t>
    <phoneticPr fontId="2" type="noConversion"/>
  </si>
  <si>
    <t>Comfort 104호</t>
    <phoneticPr fontId="2" type="noConversion"/>
  </si>
  <si>
    <t>Comfort 105호</t>
    <phoneticPr fontId="2" type="noConversion"/>
  </si>
  <si>
    <t>Comfort 106호</t>
    <phoneticPr fontId="2" type="noConversion"/>
  </si>
  <si>
    <t>The Boutique 107호</t>
    <phoneticPr fontId="2" type="noConversion"/>
  </si>
  <si>
    <t>The Boutique 108호</t>
    <phoneticPr fontId="2" type="noConversion"/>
  </si>
  <si>
    <t>Comfort(9)</t>
    <phoneticPr fontId="2" type="noConversion"/>
  </si>
  <si>
    <t>09관</t>
    <phoneticPr fontId="2" type="noConversion"/>
  </si>
  <si>
    <t>Comfort(7)</t>
    <phoneticPr fontId="2" type="noConversion"/>
  </si>
  <si>
    <t>Comfort(4)</t>
    <phoneticPr fontId="2" type="noConversion"/>
  </si>
  <si>
    <t>Comfort(3)</t>
    <phoneticPr fontId="2" type="noConversion"/>
  </si>
  <si>
    <t>23.11. 5관 폐관</t>
    <phoneticPr fontId="2" type="noConversion"/>
  </si>
  <si>
    <t>~</t>
    <phoneticPr fontId="2" type="noConversion"/>
  </si>
  <si>
    <t>Dolby Atmos관-&gt;청소년영화 전용상영관 등록</t>
    <phoneticPr fontId="2" type="noConversion"/>
  </si>
  <si>
    <t>청소년영화전용상영관</t>
    <phoneticPr fontId="2" type="noConversion"/>
  </si>
  <si>
    <t>Dolby Atmos관</t>
    <phoneticPr fontId="2" type="noConversion"/>
  </si>
  <si>
    <t>Dolby Atmos관</t>
    <phoneticPr fontId="2" type="noConversion"/>
  </si>
  <si>
    <t>Comfort(7)</t>
    <phoneticPr fontId="2" type="noConversion"/>
  </si>
  <si>
    <t>Comfort(6)</t>
    <phoneticPr fontId="2" type="noConversion"/>
  </si>
  <si>
    <t>위탁</t>
    <phoneticPr fontId="2" type="noConversion"/>
  </si>
  <si>
    <t>Comfort(6)</t>
    <phoneticPr fontId="2" type="noConversion"/>
  </si>
  <si>
    <t>위탁</t>
    <phoneticPr fontId="2" type="noConversion"/>
  </si>
  <si>
    <t>22.11.18. 1~7관 좌석수 변경/ 23.11. 11. 원주센트럴-&gt;원주혁신</t>
    <phoneticPr fontId="2" type="noConversion"/>
  </si>
  <si>
    <t>메가박스 원주혁신</t>
    <phoneticPr fontId="2" type="noConversion"/>
  </si>
  <si>
    <t>Comfort(9)</t>
    <phoneticPr fontId="2" type="noConversion"/>
  </si>
  <si>
    <t>메가박스 원주혁신</t>
    <phoneticPr fontId="2" type="noConversion"/>
  </si>
  <si>
    <t>Comfort 8관_리클라이너</t>
    <phoneticPr fontId="2" type="noConversion"/>
  </si>
  <si>
    <t>Comfort 9관_리클라이너</t>
    <phoneticPr fontId="2" type="noConversion"/>
  </si>
  <si>
    <t>Comfort(2)</t>
    <phoneticPr fontId="2" type="noConversion"/>
  </si>
  <si>
    <t>Y</t>
    <phoneticPr fontId="2" type="noConversion"/>
  </si>
  <si>
    <t>위탁</t>
    <phoneticPr fontId="2" type="noConversion"/>
  </si>
  <si>
    <t>Comfort 1관</t>
    <phoneticPr fontId="2" type="noConversion"/>
  </si>
  <si>
    <t>Comfort 2관</t>
    <phoneticPr fontId="2" type="noConversion"/>
  </si>
  <si>
    <t>Comfort 3관</t>
    <phoneticPr fontId="2" type="noConversion"/>
  </si>
  <si>
    <t>Comfort</t>
    <phoneticPr fontId="2" type="noConversion"/>
  </si>
  <si>
    <t>휴관</t>
    <phoneticPr fontId="2" type="noConversion"/>
  </si>
  <si>
    <t>23.9.7. 휴관~</t>
    <phoneticPr fontId="2" type="noConversion"/>
  </si>
  <si>
    <t>휴관</t>
    <phoneticPr fontId="2" type="noConversion"/>
  </si>
  <si>
    <t>21.7.30. 휴관~</t>
    <phoneticPr fontId="2" type="noConversion"/>
  </si>
  <si>
    <t>(구)롯데시네마 제주삼화-&gt; 23.10.25. 메가박스로 전환</t>
    <phoneticPr fontId="2" type="noConversion"/>
  </si>
  <si>
    <t>23.7.10. 폐관</t>
    <phoneticPr fontId="2" type="noConversion"/>
  </si>
  <si>
    <t>Cine Comfort</t>
    <phoneticPr fontId="2" type="noConversion"/>
  </si>
  <si>
    <t>Cine Comfort(2)</t>
    <phoneticPr fontId="2" type="noConversion"/>
  </si>
  <si>
    <t>Cine Comfort(6)</t>
    <phoneticPr fontId="2" type="noConversion"/>
  </si>
  <si>
    <t>MX 4D</t>
    <phoneticPr fontId="2" type="noConversion"/>
  </si>
  <si>
    <t>부분폐관</t>
    <phoneticPr fontId="2" type="noConversion"/>
  </si>
  <si>
    <t>12관 아르떼-&gt;렌덤스퀘어로 전환(22년 21개관-&gt; 23년 20개관)</t>
    <phoneticPr fontId="2" type="noConversion"/>
  </si>
  <si>
    <t>Cine Comfort(9)</t>
    <phoneticPr fontId="2" type="noConversion"/>
  </si>
  <si>
    <t>22.3.7.1관-&gt; 인디스페이스(1관은 폐관처리) /23.인디스페이스관 변경 1관-&gt; 2관</t>
    <phoneticPr fontId="2" type="noConversion"/>
  </si>
  <si>
    <t>아르떼 클래식</t>
    <phoneticPr fontId="2" type="noConversion"/>
  </si>
  <si>
    <t>Cine Comfort(10)</t>
    <phoneticPr fontId="2" type="noConversion"/>
  </si>
  <si>
    <t>Cine Comfort(9)</t>
    <phoneticPr fontId="2" type="noConversion"/>
  </si>
  <si>
    <t>Cine Comfort(6)</t>
    <phoneticPr fontId="2" type="noConversion"/>
  </si>
  <si>
    <t>Cine Comfort(4)</t>
    <phoneticPr fontId="2" type="noConversion"/>
  </si>
  <si>
    <t>Cine Comfort</t>
    <phoneticPr fontId="2" type="noConversion"/>
  </si>
  <si>
    <t>* 기준일(2023.12.31) 당시 휴관 또는 폐관극장임</t>
    <phoneticPr fontId="2" type="noConversion"/>
  </si>
  <si>
    <t>23년 직영-&gt; 위탁 전환</t>
    <phoneticPr fontId="2" type="noConversion"/>
  </si>
  <si>
    <t>(구)CGV 칠곡/ 22.4.27. 영업종료</t>
    <phoneticPr fontId="2" type="noConversion"/>
  </si>
  <si>
    <t>(구)롯데시네마 군산/ 23.1.17. 영업종료</t>
    <phoneticPr fontId="3" type="noConversion"/>
  </si>
  <si>
    <t>(구)메가박스 보령/ 23.4.4. 영업종료</t>
    <phoneticPr fontId="2" type="noConversion"/>
  </si>
  <si>
    <t>직영</t>
    <phoneticPr fontId="2" type="noConversion"/>
  </si>
  <si>
    <t>23.3.8. 직영 전환</t>
    <phoneticPr fontId="2" type="noConversion"/>
  </si>
  <si>
    <t>직영</t>
    <phoneticPr fontId="2" type="noConversion"/>
  </si>
  <si>
    <t>23.5.3. 리클라이너 전환</t>
    <phoneticPr fontId="2" type="noConversion"/>
  </si>
  <si>
    <t>23.12.15. IMAX관으로 변경</t>
    <phoneticPr fontId="2" type="noConversion"/>
  </si>
  <si>
    <t>IMAX</t>
    <phoneticPr fontId="2" type="noConversion"/>
  </si>
  <si>
    <t>IMAX관</t>
    <phoneticPr fontId="2" type="noConversion"/>
  </si>
  <si>
    <t>4DX, Gold Class, ScreenX(2), IMAX</t>
    <phoneticPr fontId="2" type="noConversion"/>
  </si>
  <si>
    <t>22.6.10. STARIUM-&gt; ScreenX 변경 /23.12.15. SphereX-&gt;IMAX 변경</t>
    <phoneticPr fontId="2" type="noConversion"/>
  </si>
  <si>
    <t>Y</t>
    <phoneticPr fontId="2" type="noConversion"/>
  </si>
  <si>
    <t>ScreenX, 4DX, IMAX</t>
    <phoneticPr fontId="2" type="noConversion"/>
  </si>
  <si>
    <t xml:space="preserve">14.12.17. 8관 116석 추가/ 22.5.2. 2관 좌석수 변경/ 23.12.29. 6관-&gt; IMAX관 </t>
    <phoneticPr fontId="2" type="noConversion"/>
  </si>
  <si>
    <t xml:space="preserve">ScreenX </t>
    <phoneticPr fontId="2" type="noConversion"/>
  </si>
  <si>
    <t>ScreenX, 4DX, IMAX</t>
    <phoneticPr fontId="2" type="noConversion"/>
  </si>
  <si>
    <t>23.12.22. 4관 -&gt; ScreenX 변경, 23.12.29. 2관 -&gt;IMAX 변경</t>
    <phoneticPr fontId="2" type="noConversion"/>
  </si>
  <si>
    <t>IMAX</t>
    <phoneticPr fontId="2" type="noConversion"/>
  </si>
  <si>
    <t>23.12.29. 4관-&gt;IMAX관 변경</t>
    <phoneticPr fontId="2" type="noConversion"/>
  </si>
  <si>
    <t>23.12.14. 4DX관 좌석수 변경</t>
    <phoneticPr fontId="2" type="noConversion"/>
  </si>
  <si>
    <t>부산시</t>
    <phoneticPr fontId="2" type="noConversion"/>
  </si>
  <si>
    <t>사하구</t>
    <phoneticPr fontId="2" type="noConversion"/>
  </si>
  <si>
    <t>롯데시네마 부산장림</t>
    <phoneticPr fontId="2" type="noConversion"/>
  </si>
  <si>
    <t>사하구 장림번영로 97 더세븐 6~7층</t>
    <phoneticPr fontId="2" type="noConversion"/>
  </si>
  <si>
    <t>위탁</t>
    <phoneticPr fontId="2" type="noConversion"/>
  </si>
  <si>
    <t>Cine Comfort(6)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</si>
  <si>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</si>
  <si>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</si>
  <si>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</si>
  <si>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</si>
  <si>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</si>
  <si>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06관</t>
    <phoneticPr fontId="2" type="noConversion"/>
  </si>
  <si>
    <t>하동영화관</t>
    <phoneticPr fontId="2" type="noConversion"/>
  </si>
  <si>
    <t>21.3.4. 공식적인 첫 상영일 / 23.12.15. 씨네Q 알프스하동 영업종료 / 23.12.23. 수탁자 변경 재개관</t>
    <phoneticPr fontId="2" type="noConversion"/>
  </si>
  <si>
    <t>Y</t>
    <phoneticPr fontId="2" type="noConversion"/>
  </si>
  <si>
    <t>Y</t>
    <phoneticPr fontId="2" type="noConversion"/>
  </si>
  <si>
    <t>Reserve</t>
    <phoneticPr fontId="2" type="noConversion"/>
  </si>
  <si>
    <t>Reserve(2)</t>
    <phoneticPr fontId="2" type="noConversion"/>
  </si>
  <si>
    <t>20.06.28. 휴관 / 21.1.22. 영업재개/ 22.12.4.휴관/23.7.21. 영업재개</t>
    <phoneticPr fontId="2" type="noConversion"/>
  </si>
  <si>
    <t>22.3.2. 주소 및 좌석수 변경/ 23년 1관-&gt;2관 이전</t>
    <phoneticPr fontId="2" type="noConversion"/>
  </si>
  <si>
    <t>2관</t>
    <phoneticPr fontId="2" type="noConversion"/>
  </si>
  <si>
    <t>경기도</t>
    <phoneticPr fontId="2" type="noConversion"/>
  </si>
  <si>
    <t xml:space="preserve">김포시 </t>
    <phoneticPr fontId="2" type="noConversion"/>
  </si>
  <si>
    <t xml:space="preserve">포포시네마 </t>
    <phoneticPr fontId="2" type="noConversion"/>
  </si>
  <si>
    <t xml:space="preserve">김포시 풍무로 167 김포풍무 홈플러스 지하 1층 </t>
    <phoneticPr fontId="2" type="noConversion"/>
  </si>
  <si>
    <t>~</t>
    <phoneticPr fontId="2" type="noConversion"/>
  </si>
  <si>
    <t>N</t>
    <phoneticPr fontId="2" type="noConversion"/>
  </si>
  <si>
    <t>070-4800-6068</t>
    <phoneticPr fontId="2" type="noConversion"/>
  </si>
  <si>
    <t>monoplex.com/space/17</t>
    <phoneticPr fontId="2" type="noConversion"/>
  </si>
  <si>
    <t>경상남도</t>
    <phoneticPr fontId="2" type="noConversion"/>
  </si>
  <si>
    <t>의령군</t>
    <phoneticPr fontId="2" type="noConversion"/>
  </si>
  <si>
    <t>의령도깨비영화관</t>
    <phoneticPr fontId="2" type="noConversion"/>
  </si>
  <si>
    <t>의령도깨비영화관</t>
    <phoneticPr fontId="2" type="noConversion"/>
  </si>
  <si>
    <t>의령군 의령읍 의변로8길 12-30</t>
    <phoneticPr fontId="2" type="noConversion"/>
  </si>
  <si>
    <t>의령군 의령읍 의변로8길 12-30</t>
    <phoneticPr fontId="2" type="noConversion"/>
  </si>
  <si>
    <t>~</t>
    <phoneticPr fontId="2" type="noConversion"/>
  </si>
  <si>
    <t>Y</t>
    <phoneticPr fontId="2" type="noConversion"/>
  </si>
  <si>
    <t>055-573-7718</t>
    <phoneticPr fontId="2" type="noConversion"/>
  </si>
  <si>
    <t>uiryeong.scinema.kr</t>
  </si>
  <si>
    <t>대전시</t>
    <phoneticPr fontId="2" type="noConversion"/>
  </si>
  <si>
    <t>대덕구</t>
    <phoneticPr fontId="2" type="noConversion"/>
  </si>
  <si>
    <t>소소아트시네마</t>
    <phoneticPr fontId="2" type="noConversion"/>
  </si>
  <si>
    <t>대덕구 한남로 61, 3층</t>
    <phoneticPr fontId="2" type="noConversion"/>
  </si>
  <si>
    <t>042-623-1623</t>
    <phoneticPr fontId="2" type="noConversion"/>
  </si>
  <si>
    <t>sosoartcinema.tistory.com</t>
  </si>
  <si>
    <t>24년도 예술영화전용관 신고예정</t>
    <phoneticPr fontId="2" type="noConversion"/>
  </si>
  <si>
    <t>서울시</t>
    <phoneticPr fontId="2" type="noConversion"/>
  </si>
  <si>
    <t>시티극장</t>
    <phoneticPr fontId="2" type="noConversion"/>
  </si>
  <si>
    <t>시티극장</t>
    <phoneticPr fontId="2" type="noConversion"/>
  </si>
  <si>
    <t>강남구 강남대로 422, 시티빌딩 지하2층</t>
    <phoneticPr fontId="2" type="noConversion"/>
  </si>
  <si>
    <t>N</t>
    <phoneticPr fontId="2" type="noConversion"/>
  </si>
  <si>
    <t>02-6207-0422</t>
    <phoneticPr fontId="2" type="noConversion"/>
  </si>
  <si>
    <t>instagram.com/citycinema.kr</t>
    <phoneticPr fontId="2" type="noConversion"/>
  </si>
  <si>
    <t>(구)메가박스 강남대로(씨티) 3,4관</t>
    <phoneticPr fontId="2" type="noConversion"/>
  </si>
  <si>
    <t>제주도</t>
    <phoneticPr fontId="2" type="noConversion"/>
  </si>
  <si>
    <t>서귀포시</t>
    <phoneticPr fontId="2" type="noConversion"/>
  </si>
  <si>
    <t>씨네라운지</t>
    <phoneticPr fontId="2" type="noConversion"/>
  </si>
  <si>
    <t>씨네라운지</t>
    <phoneticPr fontId="2" type="noConversion"/>
  </si>
  <si>
    <t>서귀포시 안덕면 신화역사로304번길 38 제주신화월드 호텔앤리조트 메리어트관 G층</t>
    <phoneticPr fontId="2" type="noConversion"/>
  </si>
  <si>
    <t>064-908-1247</t>
    <phoneticPr fontId="2" type="noConversion"/>
  </si>
  <si>
    <t>www.monoplex.com</t>
  </si>
  <si>
    <t>N</t>
    <phoneticPr fontId="2" type="noConversion"/>
  </si>
  <si>
    <t>01관</t>
    <phoneticPr fontId="2" type="noConversion"/>
  </si>
  <si>
    <t>Y</t>
    <phoneticPr fontId="2" type="noConversion"/>
  </si>
  <si>
    <t>대덕구</t>
    <phoneticPr fontId="2" type="noConversion"/>
  </si>
  <si>
    <t>소소아트시네마</t>
    <phoneticPr fontId="2" type="noConversion"/>
  </si>
  <si>
    <t>프레시관</t>
    <phoneticPr fontId="2" type="noConversion"/>
  </si>
  <si>
    <t>~</t>
    <phoneticPr fontId="2" type="noConversion"/>
  </si>
  <si>
    <t>경상남도</t>
    <phoneticPr fontId="2" type="noConversion"/>
  </si>
  <si>
    <t>의령군</t>
    <phoneticPr fontId="2" type="noConversion"/>
  </si>
  <si>
    <t>의령도깨비영화관</t>
    <phoneticPr fontId="2" type="noConversion"/>
  </si>
  <si>
    <t>02관</t>
    <phoneticPr fontId="2" type="noConversion"/>
  </si>
  <si>
    <t xml:space="preserve">포포시네마 </t>
    <phoneticPr fontId="2" type="noConversion"/>
  </si>
  <si>
    <t>OLC장수한누리극장</t>
    <phoneticPr fontId="3" type="noConversion"/>
  </si>
  <si>
    <t>서귀포시</t>
    <phoneticPr fontId="2" type="noConversion"/>
  </si>
  <si>
    <t>제주도</t>
    <phoneticPr fontId="2" type="noConversion"/>
  </si>
  <si>
    <t>씨네라운지</t>
    <phoneticPr fontId="2" type="noConversion"/>
  </si>
  <si>
    <t>01관</t>
    <phoneticPr fontId="2" type="noConversion"/>
  </si>
  <si>
    <t>대전아트시네마</t>
    <phoneticPr fontId="2" type="noConversion"/>
  </si>
  <si>
    <t>서울시</t>
    <phoneticPr fontId="2" type="noConversion"/>
  </si>
  <si>
    <t>강남구</t>
    <phoneticPr fontId="2" type="noConversion"/>
  </si>
  <si>
    <t>시티극장</t>
    <phoneticPr fontId="2" type="noConversion"/>
  </si>
  <si>
    <t>강남구 강남대로 422, 시티빌딩 지하2층</t>
    <phoneticPr fontId="2" type="noConversion"/>
  </si>
  <si>
    <t>동구 중앙로 192-1, (중동) 3층</t>
    <phoneticPr fontId="2" type="noConversion"/>
  </si>
  <si>
    <t>대전시</t>
    <phoneticPr fontId="2" type="noConversion"/>
  </si>
  <si>
    <t>대덕구 한남로 61, 3층</t>
    <phoneticPr fontId="2" type="noConversion"/>
  </si>
  <si>
    <t>~</t>
    <phoneticPr fontId="2" type="noConversion"/>
  </si>
  <si>
    <t>스위트관</t>
    <phoneticPr fontId="2" type="noConversion"/>
  </si>
  <si>
    <t>경기도</t>
    <phoneticPr fontId="2" type="noConversion"/>
  </si>
  <si>
    <t xml:space="preserve">김포시 </t>
    <phoneticPr fontId="2" type="noConversion"/>
  </si>
  <si>
    <t xml:space="preserve">김포시 풍무로 167 김포풍무 홈플러스 지하 1층 </t>
    <phoneticPr fontId="2" type="noConversion"/>
  </si>
  <si>
    <t>장수군 장수읍 한누리로 393 (두산리 472)</t>
    <phoneticPr fontId="3" type="noConversion"/>
  </si>
  <si>
    <t>장수군 장수읍 한누리로 393 (두산리 472)</t>
    <phoneticPr fontId="3" type="noConversion"/>
  </si>
  <si>
    <t>의령군 의령읍 의변로8길 12-30</t>
    <phoneticPr fontId="2" type="noConversion"/>
  </si>
  <si>
    <t>서귀포시 안덕면 신화역사로304번길 38 제주신화월드 호텔앤리조트 메리어트관 G층</t>
    <phoneticPr fontId="2" type="noConversion"/>
  </si>
  <si>
    <t>휴관</t>
    <phoneticPr fontId="2" type="noConversion"/>
  </si>
  <si>
    <t>01관</t>
    <phoneticPr fontId="2" type="noConversion"/>
  </si>
  <si>
    <t>N</t>
    <phoneticPr fontId="2" type="noConversion"/>
  </si>
  <si>
    <t>~</t>
    <phoneticPr fontId="2" type="noConversion"/>
  </si>
  <si>
    <t>N</t>
    <phoneticPr fontId="2" type="noConversion"/>
  </si>
  <si>
    <t>~</t>
    <phoneticPr fontId="2" type="noConversion"/>
  </si>
  <si>
    <t>055-882-3927</t>
    <phoneticPr fontId="2" type="noConversion"/>
  </si>
  <si>
    <t>Y</t>
    <phoneticPr fontId="2" type="noConversion"/>
  </si>
  <si>
    <t>부분폐관</t>
    <phoneticPr fontId="2" type="noConversion"/>
  </si>
  <si>
    <t>23.11.5관 폐관</t>
    <phoneticPr fontId="2" type="noConversion"/>
  </si>
  <si>
    <t>번호</t>
    <phoneticPr fontId="2" type="noConversion"/>
  </si>
  <si>
    <t>구분</t>
    <phoneticPr fontId="2" type="noConversion"/>
  </si>
  <si>
    <t xml:space="preserve">(2023년도 브랜드 전환 극장: 롯데시네마 제주삼화 -&gt; 메가박스 제주삼화 / 메가박스 백석  -&gt; CGV 고양백석 / 씨네Q 전주영화의거리-&gt; 메가박스 전주객사)
</t>
    <phoneticPr fontId="2" type="noConversion"/>
  </si>
  <si>
    <t xml:space="preserve">*롯데시네마 홍대입구 2관은 인디스페이스로 전환하여 제외 </t>
    <phoneticPr fontId="2" type="noConversion"/>
  </si>
  <si>
    <t>*메가박스 강남대로(씨티) 3,4관은 시티극장으로 전환하여 제외</t>
    <phoneticPr fontId="2" type="noConversion"/>
  </si>
  <si>
    <t>2023년 전국 4대 멀티플렉스 체인 현황</t>
    <phoneticPr fontId="2" type="noConversion"/>
  </si>
  <si>
    <t xml:space="preserve">* 기준일(2023.12.31) 당시 휴관 및 폐관극장은 제외함 </t>
    <phoneticPr fontId="3" type="noConversion"/>
  </si>
  <si>
    <t xml:space="preserve">* 기준일(2023.12.31) 당시 휴관 및 폐관극장은 제외함 </t>
    <phoneticPr fontId="3" type="noConversion"/>
  </si>
  <si>
    <t>2023년 전국 멀티플렉스 현황</t>
    <phoneticPr fontId="3" type="noConversion"/>
  </si>
  <si>
    <t>2023년 
멀티플렉스
극장 수</t>
    <phoneticPr fontId="3" type="noConversion"/>
  </si>
  <si>
    <t>2022년 
멀티플렉스
극장 수</t>
    <phoneticPr fontId="3" type="noConversion"/>
  </si>
  <si>
    <t>2023년 
멀티플렉스
스크린 수</t>
    <phoneticPr fontId="3" type="noConversion"/>
  </si>
  <si>
    <t>2022년 
멀티플렉스
스크린 수</t>
    <phoneticPr fontId="3" type="noConversion"/>
  </si>
  <si>
    <t>2023년 
멀티플렉스
좌석 수</t>
    <phoneticPr fontId="3" type="noConversion"/>
  </si>
  <si>
    <t>Y</t>
    <phoneticPr fontId="2" type="noConversion"/>
  </si>
  <si>
    <t>20.02.23. 상영내역 없음. 휴관 처리 / 21.8.24. 영업재개 / 21.12.13~18. 임시휴관. 12.19. 영업재개/ 22.12.26.휴관중~</t>
    <phoneticPr fontId="2" type="noConversion"/>
  </si>
  <si>
    <t>2023년 4대 멀티플렉스 체인별 특별관 현황(직영/위탁)</t>
    <phoneticPr fontId="2" type="noConversion"/>
  </si>
  <si>
    <t>2023년 지역(광역)별 특별관 분포</t>
    <phoneticPr fontId="2" type="noConversion"/>
  </si>
  <si>
    <t>Dolby Cinema, Comfort(8), The Boutique Private1, The Boutique Private2, The Boutique Suite(3), The Boutique(2)</t>
    <phoneticPr fontId="2" type="noConversion"/>
  </si>
  <si>
    <t xml:space="preserve">2023년 전국 극장 현황 </t>
    <phoneticPr fontId="2" type="noConversion"/>
  </si>
  <si>
    <t>2023년 
극장 수</t>
    <phoneticPr fontId="2" type="noConversion"/>
  </si>
  <si>
    <t>2022년
극장 수</t>
    <phoneticPr fontId="2" type="noConversion"/>
  </si>
  <si>
    <t>2023년 
스크린 수</t>
    <phoneticPr fontId="2" type="noConversion"/>
  </si>
  <si>
    <t>2022년 
스크린 수</t>
    <phoneticPr fontId="2" type="noConversion"/>
  </si>
  <si>
    <t xml:space="preserve">2023년
좌석 수 </t>
    <phoneticPr fontId="2" type="noConversion"/>
  </si>
  <si>
    <t>2022년
좌석 수</t>
    <phoneticPr fontId="2" type="noConversion"/>
  </si>
  <si>
    <t>* 개별극장이 4대 멀티플렉스 체인극장으로 전환시에는 폐관극장으로 간주함 (2023년은 해당사항 없음/ 2023년도 신규 개관한 시티극장은 메가박스 강남대로(씨티) 3,4관이 개별극장으로 전환한 극장임)</t>
    <phoneticPr fontId="3" type="noConversion"/>
  </si>
  <si>
    <t>2023년 부분폐관 스크린</t>
    <phoneticPr fontId="2" type="noConversion"/>
  </si>
  <si>
    <t>* 집계 대상 극장은 전국 상설 영화관으로, 특수 목적의 비상설 상영 시설 및 자동차극장은 제외함 (한국만화영상진흥원은 23년도 상설에서 비상설로 전환되어 통계 제외함)</t>
    <phoneticPr fontId="2" type="noConversion"/>
  </si>
  <si>
    <t>휴관</t>
    <phoneticPr fontId="2" type="noConversion"/>
  </si>
  <si>
    <t>Super 4D/ MX 4D</t>
    <phoneticPr fontId="2" type="noConversion"/>
  </si>
  <si>
    <t>Superplex, Super S, MX 4D, Charlotte(3)</t>
    <phoneticPr fontId="2" type="noConversion"/>
  </si>
  <si>
    <t>Y</t>
    <phoneticPr fontId="2" type="noConversion"/>
  </si>
  <si>
    <t>Comfort 01관</t>
    <phoneticPr fontId="2" type="noConversion"/>
  </si>
  <si>
    <t>Comfort 02관</t>
    <phoneticPr fontId="2" type="noConversion"/>
  </si>
  <si>
    <t>Comfort 03관</t>
    <phoneticPr fontId="2" type="noConversion"/>
  </si>
  <si>
    <t>Comfort 04관</t>
    <phoneticPr fontId="2" type="noConversion"/>
  </si>
  <si>
    <t>Comfort 05관</t>
    <phoneticPr fontId="2" type="noConversion"/>
  </si>
  <si>
    <t>Comfort 06관</t>
    <phoneticPr fontId="2" type="noConversion"/>
  </si>
  <si>
    <t>Comfort 07관</t>
    <phoneticPr fontId="2" type="noConversion"/>
  </si>
  <si>
    <t>(구)프리머스 평촌/ 23.5.3. 3~6관 리클라이너로 전환</t>
    <phoneticPr fontId="2" type="noConversion"/>
  </si>
  <si>
    <t>CGV신세계경기</t>
    <phoneticPr fontId="2" type="noConversion"/>
  </si>
  <si>
    <t>화성시 동탄영천로 150, M동 B201호 (영천동)</t>
    <phoneticPr fontId="2" type="noConversion"/>
  </si>
  <si>
    <t>화성시 동탄영천로 150, M동 B201호 (영천동)</t>
    <phoneticPr fontId="2" type="noConversion"/>
  </si>
  <si>
    <t>23.9.7. 휴관~</t>
    <phoneticPr fontId="2" type="noConversion"/>
  </si>
  <si>
    <t>(구)조이앤시네마 / 23.9.1 리뉴얼 휴관~</t>
    <phoneticPr fontId="3" type="noConversion"/>
  </si>
  <si>
    <t>23.1.1. 직영-&gt; 위탁 전환/ 23.12.1. 휴관~</t>
    <phoneticPr fontId="2" type="noConversion"/>
  </si>
  <si>
    <t>~</t>
    <phoneticPr fontId="2" type="noConversion"/>
  </si>
  <si>
    <t>3관</t>
    <phoneticPr fontId="2" type="noConversion"/>
  </si>
  <si>
    <t>4관</t>
    <phoneticPr fontId="2" type="noConversion"/>
  </si>
  <si>
    <t>5관</t>
    <phoneticPr fontId="2" type="noConversion"/>
  </si>
  <si>
    <t>02관</t>
    <phoneticPr fontId="2" type="noConversion"/>
  </si>
  <si>
    <t>경기</t>
    <phoneticPr fontId="2" type="noConversion"/>
  </si>
  <si>
    <t xml:space="preserve">2023년 전국 행정구역(시군구)별 극장 현황 </t>
    <phoneticPr fontId="2" type="noConversion"/>
  </si>
  <si>
    <t>2023년
인구 수</t>
    <phoneticPr fontId="2" type="noConversion"/>
  </si>
  <si>
    <t>2023년 
극장 수</t>
    <phoneticPr fontId="2" type="noConversion"/>
  </si>
  <si>
    <t>2022년
극장 수</t>
    <phoneticPr fontId="2" type="noConversion"/>
  </si>
  <si>
    <t>2023년 
스크린 수</t>
    <phoneticPr fontId="2" type="noConversion"/>
  </si>
  <si>
    <t xml:space="preserve">2022년
스크린 수 </t>
    <phoneticPr fontId="2" type="noConversion"/>
  </si>
  <si>
    <t xml:space="preserve">2023년
좌석 수 </t>
    <phoneticPr fontId="2" type="noConversion"/>
  </si>
  <si>
    <t>2023년
인구10만명당 스크린수</t>
    <phoneticPr fontId="2" type="noConversion"/>
  </si>
  <si>
    <t>2022년 
인구10만명당 스크린수</t>
    <phoneticPr fontId="2" type="noConversion"/>
  </si>
  <si>
    <t>* 인구 수는 2023년 12월 31일 기준 행정안전부 주민등록 인구통계(주민등록 인구 및 세대현황) 기준</t>
    <phoneticPr fontId="2" type="noConversion"/>
  </si>
  <si>
    <t>* 2023년 7월 1일. 경상북도 군위군-&gt; 대구광역시로 편입</t>
    <phoneticPr fontId="2" type="noConversion"/>
  </si>
  <si>
    <t>메가박스 성수 5관</t>
    <phoneticPr fontId="2" type="noConversion"/>
  </si>
  <si>
    <t>CGV신촌아트레온 8관</t>
    <phoneticPr fontId="2" type="noConversion"/>
  </si>
  <si>
    <t>CGV신촌아트레온 9관</t>
    <phoneticPr fontId="2" type="noConversion"/>
  </si>
  <si>
    <t>롯데시네마 홍대입구 1관</t>
    <phoneticPr fontId="2" type="noConversion"/>
  </si>
  <si>
    <t>CGV송파 8관</t>
    <phoneticPr fontId="2" type="noConversion"/>
  </si>
  <si>
    <t>롯데시네마 월드타워 12관</t>
    <phoneticPr fontId="2" type="noConversion"/>
  </si>
  <si>
    <t>(구)프리머스 광명 / (구)CGV 광명철산 20.01.27. 영업종료 / 20.07.27. 광명철산극장으로 변경 후 휴업 / 21.5.5. 발권데이터 확인 영업 시작/ 3관 폐관, GS관, 5관, 6관 22년 상반기부터 부분휴관중 / 23.4.23. 최종발권 휴관처리</t>
    <phoneticPr fontId="2" type="noConversion"/>
  </si>
  <si>
    <t>경기도</t>
    <phoneticPr fontId="2" type="noConversion"/>
  </si>
  <si>
    <t>남양주시</t>
    <phoneticPr fontId="2" type="noConversion"/>
  </si>
  <si>
    <t>씨네Q 남양주다산</t>
    <phoneticPr fontId="2" type="noConversion"/>
  </si>
  <si>
    <t>남양주시 경춘로 490, 힐스테이트지금디포레 3층 (다산동)</t>
    <phoneticPr fontId="2" type="noConversion"/>
  </si>
  <si>
    <t>위탁</t>
    <phoneticPr fontId="2" type="noConversion"/>
  </si>
  <si>
    <t>Recliner(6)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</si>
  <si>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</si>
  <si>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</si>
  <si>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</si>
  <si>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</si>
  <si>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</si>
  <si>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06관</t>
    <phoneticPr fontId="2" type="noConversion"/>
  </si>
  <si>
    <t>Y</t>
    <phoneticPr fontId="2" type="noConversion"/>
  </si>
  <si>
    <t>* 롯데시네마 신대방은 신규개관극장이나 침수로 인해 휴관중으로 신규개관극장에 포함하지 않음 (2022 휴관극장에 포함)</t>
    <phoneticPr fontId="2" type="noConversion"/>
  </si>
  <si>
    <t>롯데시네마</t>
    <phoneticPr fontId="2" type="noConversion"/>
  </si>
  <si>
    <t>메가박스</t>
    <phoneticPr fontId="2" type="noConversion"/>
  </si>
  <si>
    <t>계</t>
    <phoneticPr fontId="2" type="noConversion"/>
  </si>
  <si>
    <t>전체</t>
    <phoneticPr fontId="2" type="noConversion"/>
  </si>
  <si>
    <t>장애인 관람석이 설치된</t>
    <phoneticPr fontId="2" type="noConversion"/>
  </si>
  <si>
    <t>장애인 관람석이 설치된 위치</t>
    <phoneticPr fontId="2" type="noConversion"/>
  </si>
  <si>
    <t>* 집계 대상 멀티플렉스 체인은 CJ CGV, 롯데시네마, 메가박스 총 3개 체인임</t>
    <phoneticPr fontId="3" type="noConversion"/>
  </si>
  <si>
    <t>* '전체 대비 장애인석 비율'은 전체 관람석 수 대비 장애인 관람석 설치 비율을 나타냄</t>
    <phoneticPr fontId="2" type="noConversion"/>
  </si>
  <si>
    <t xml:space="preserve"> - </t>
    <phoneticPr fontId="2" type="noConversion"/>
  </si>
  <si>
    <t>서울</t>
    <phoneticPr fontId="2" type="noConversion"/>
  </si>
  <si>
    <t>장애인석 
설치 극장 수</t>
    <phoneticPr fontId="2" type="noConversion"/>
  </si>
  <si>
    <t>전체 극장 수</t>
    <phoneticPr fontId="2" type="noConversion"/>
  </si>
  <si>
    <t>제일 뒷 줄</t>
    <phoneticPr fontId="3" type="noConversion"/>
  </si>
  <si>
    <t>중간 줄</t>
    <phoneticPr fontId="3" type="noConversion"/>
  </si>
  <si>
    <t>제일 앞 줄</t>
    <phoneticPr fontId="3" type="noConversion"/>
  </si>
  <si>
    <t>전체 대비
장애인석 비율</t>
    <phoneticPr fontId="2" type="noConversion"/>
  </si>
  <si>
    <t>관람석 수</t>
    <phoneticPr fontId="2" type="noConversion"/>
  </si>
  <si>
    <t>스크린 수</t>
    <phoneticPr fontId="2" type="noConversion"/>
  </si>
  <si>
    <t>극장 수</t>
    <phoneticPr fontId="2" type="noConversion"/>
  </si>
  <si>
    <t>② 지역별 개요</t>
    <phoneticPr fontId="2" type="noConversion"/>
  </si>
  <si>
    <t>① 전국 개요</t>
    <phoneticPr fontId="2" type="noConversion"/>
  </si>
  <si>
    <t>2023년 전국 멀티플렉스 3사 장애인 관람석 설치 현황</t>
    <phoneticPr fontId="2" type="noConversion"/>
  </si>
  <si>
    <t>20.12.04.휴관 / 21.6.25. 씨네Q로 사업자 변경하여 재개관 / 23.3.19. 씨네Q 영업종료, 폐관(8월 영천시 확인)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</si>
</sst>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176" formatCode="#,##0_ "/>
    <numFmt numFmtId="177" formatCode="#,##0_);[Red]\(#,##0\)"/>
    <numFmt numFmtId="178" formatCode="0_ "/>
    <numFmt numFmtId="179" formatCode="0_);[Red]\(0\)"/>
    <numFmt numFmtId="180" formatCode="0.0%"/>
    <numFmt numFmtId="181" formatCode="0.0"/>
    <numFmt numFmtId="182" formatCode="0.0_ "/>
  </numFmts>
  <fonts count="3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10"/>
      <color indexed="63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DDDDD"/>
        <bgColor indexed="64"/>
      </patternFill>
    </fill>
  </fills>
  <borders count="1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/>
      <bottom style="double">
        <color indexed="64"/>
      </bottom>
      <diagonal/>
    </border>
    <border>
      <left style="medium">
        <color indexed="8"/>
      </left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double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64"/>
      </top>
      <bottom style="medium">
        <color indexed="64"/>
      </bottom>
      <diagonal/>
    </border>
    <border>
      <left style="thin">
        <color indexed="8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double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0" borderId="0"/>
    <xf numFmtId="41" fontId="13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7">
    <xf numFmtId="0" fontId="0" fillId="0" borderId="0" xfId="0">
      <alignment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49" fontId="6" fillId="0" borderId="1" xfId="0" applyNumberFormat="1" applyFont="1" applyFill="1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Alignment="1">
      <alignment vertical="center"/>
    </xf>
    <xf numFmtId="0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177" fontId="4" fillId="0" borderId="1" xfId="0" applyNumberFormat="1" applyFont="1" applyFill="1" applyBorder="1" applyAlignment="1">
      <alignment vertical="center"/>
    </xf>
    <xf numFmtId="177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9" fillId="0" borderId="0" xfId="0" applyNumberFormat="1" applyFont="1" applyFill="1" applyAlignment="1">
      <alignment vertical="center"/>
    </xf>
    <xf numFmtId="0" fontId="4" fillId="0" borderId="1" xfId="0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14" fontId="4" fillId="0" borderId="1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>
      <alignment vertical="center"/>
    </xf>
    <xf numFmtId="0" fontId="4" fillId="0" borderId="0" xfId="0" applyFont="1" applyFill="1" applyAlignment="1"/>
    <xf numFmtId="0" fontId="4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10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 wrapText="1"/>
    </xf>
    <xf numFmtId="14" fontId="4" fillId="0" borderId="1" xfId="0" applyNumberFormat="1" applyFont="1" applyFill="1" applyBorder="1" applyAlignment="1">
      <alignment vertical="center"/>
    </xf>
    <xf numFmtId="0" fontId="10" fillId="0" borderId="1" xfId="0" applyNumberFormat="1" applyFont="1" applyFill="1" applyBorder="1" applyAlignment="1">
      <alignment horizontal="left" vertical="center"/>
    </xf>
    <xf numFmtId="177" fontId="10" fillId="0" borderId="1" xfId="0" applyNumberFormat="1" applyFont="1" applyFill="1" applyBorder="1" applyAlignment="1">
      <alignment horizontal="center" vertical="center"/>
    </xf>
    <xf numFmtId="14" fontId="10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vertical="center"/>
    </xf>
    <xf numFmtId="0" fontId="4" fillId="0" borderId="1" xfId="0" applyNumberFormat="1" applyFont="1" applyFill="1" applyBorder="1" applyAlignment="1">
      <alignment vertical="center" wrapText="1"/>
    </xf>
    <xf numFmtId="0" fontId="10" fillId="0" borderId="1" xfId="0" applyNumberFormat="1" applyFont="1" applyFill="1" applyBorder="1" applyAlignment="1">
      <alignment vertical="center"/>
    </xf>
    <xf numFmtId="176" fontId="4" fillId="0" borderId="0" xfId="0" applyNumberFormat="1" applyFont="1" applyFill="1" applyBorder="1" applyAlignment="1">
      <alignment vertical="center"/>
    </xf>
    <xf numFmtId="49" fontId="10" fillId="0" borderId="1" xfId="0" applyNumberFormat="1" applyFont="1" applyFill="1" applyBorder="1" applyAlignment="1">
      <alignment horizontal="left" vertical="center"/>
    </xf>
    <xf numFmtId="49" fontId="10" fillId="0" borderId="1" xfId="0" applyNumberFormat="1" applyFont="1" applyFill="1" applyBorder="1" applyAlignment="1">
      <alignment vertical="center"/>
    </xf>
    <xf numFmtId="31" fontId="4" fillId="0" borderId="1" xfId="0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31" fontId="4" fillId="0" borderId="1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/>
    <xf numFmtId="0" fontId="4" fillId="0" borderId="0" xfId="0" applyNumberFormat="1" applyFont="1" applyFill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8" fillId="3" borderId="2" xfId="0" applyNumberFormat="1" applyFont="1" applyFill="1" applyBorder="1" applyAlignment="1">
      <alignment horizontal="center" vertical="center"/>
    </xf>
    <xf numFmtId="0" fontId="8" fillId="3" borderId="2" xfId="0" applyNumberFormat="1" applyFont="1" applyFill="1" applyBorder="1" applyAlignment="1">
      <alignment horizontal="center" vertical="center" wrapText="1"/>
    </xf>
    <xf numFmtId="177" fontId="8" fillId="3" borderId="2" xfId="0" applyNumberFormat="1" applyFont="1" applyFill="1" applyBorder="1" applyAlignment="1">
      <alignment horizontal="center" vertical="center" wrapText="1"/>
    </xf>
    <xf numFmtId="177" fontId="8" fillId="3" borderId="2" xfId="0" applyNumberFormat="1" applyFont="1" applyFill="1" applyBorder="1" applyAlignment="1">
      <alignment horizontal="center" vertical="center"/>
    </xf>
    <xf numFmtId="0" fontId="8" fillId="3" borderId="4" xfId="0" applyNumberFormat="1" applyFont="1" applyFill="1" applyBorder="1" applyAlignment="1">
      <alignment horizontal="center" vertical="center" wrapText="1"/>
    </xf>
    <xf numFmtId="49" fontId="4" fillId="0" borderId="1" xfId="2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left" vertical="center"/>
    </xf>
    <xf numFmtId="0" fontId="14" fillId="3" borderId="4" xfId="0" applyNumberFormat="1" applyFont="1" applyFill="1" applyBorder="1" applyAlignment="1">
      <alignment horizontal="center" vertical="center"/>
    </xf>
    <xf numFmtId="179" fontId="14" fillId="3" borderId="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>
      <alignment vertical="center"/>
    </xf>
    <xf numFmtId="0" fontId="5" fillId="0" borderId="0" xfId="0" applyFont="1" applyFill="1">
      <alignment vertical="center"/>
    </xf>
    <xf numFmtId="49" fontId="4" fillId="0" borderId="1" xfId="0" applyNumberFormat="1" applyFont="1" applyFill="1" applyBorder="1">
      <alignment vertical="center"/>
    </xf>
    <xf numFmtId="179" fontId="4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>
      <alignment vertical="center"/>
    </xf>
    <xf numFmtId="49" fontId="4" fillId="0" borderId="1" xfId="2" applyNumberFormat="1" applyFont="1" applyFill="1" applyBorder="1">
      <alignment vertical="center"/>
    </xf>
    <xf numFmtId="179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1" xfId="0" applyFont="1" applyFill="1" applyBorder="1">
      <alignment vertical="center"/>
    </xf>
    <xf numFmtId="179" fontId="5" fillId="0" borderId="1" xfId="0" applyNumberFormat="1" applyFont="1" applyFill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/>
    </xf>
    <xf numFmtId="179" fontId="4" fillId="0" borderId="1" xfId="2" applyNumberFormat="1" applyFont="1" applyFill="1" applyBorder="1" applyAlignment="1">
      <alignment horizontal="center" vertical="center"/>
    </xf>
    <xf numFmtId="179" fontId="10" fillId="0" borderId="1" xfId="0" applyNumberFormat="1" applyFont="1" applyFill="1" applyBorder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0" fontId="4" fillId="0" borderId="0" xfId="0" applyNumberFormat="1" applyFont="1" applyFill="1" applyBorder="1" applyAlignment="1">
      <alignment horizontal="left" vertical="center"/>
    </xf>
    <xf numFmtId="179" fontId="4" fillId="0" borderId="0" xfId="0" applyNumberFormat="1" applyFont="1" applyFill="1" applyBorder="1" applyAlignment="1">
      <alignment horizontal="center" vertical="center"/>
    </xf>
    <xf numFmtId="177" fontId="4" fillId="0" borderId="0" xfId="0" applyNumberFormat="1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vertical="center"/>
    </xf>
    <xf numFmtId="49" fontId="4" fillId="0" borderId="3" xfId="0" applyNumberFormat="1" applyFont="1" applyFill="1" applyBorder="1" applyAlignment="1">
      <alignment vertical="center"/>
    </xf>
    <xf numFmtId="49" fontId="4" fillId="0" borderId="3" xfId="0" applyNumberFormat="1" applyFont="1" applyFill="1" applyBorder="1" applyAlignment="1">
      <alignment horizontal="center" vertical="center"/>
    </xf>
    <xf numFmtId="179" fontId="4" fillId="0" borderId="3" xfId="0" applyNumberFormat="1" applyFont="1" applyFill="1" applyBorder="1" applyAlignment="1">
      <alignment horizontal="center" vertical="center"/>
    </xf>
    <xf numFmtId="177" fontId="4" fillId="0" borderId="3" xfId="0" applyNumberFormat="1" applyFont="1" applyFill="1" applyBorder="1" applyAlignment="1">
      <alignment horizontal="center" vertical="center"/>
    </xf>
    <xf numFmtId="14" fontId="4" fillId="0" borderId="3" xfId="0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vertical="center"/>
    </xf>
    <xf numFmtId="0" fontId="6" fillId="0" borderId="0" xfId="0" applyNumberFormat="1" applyFont="1" applyAlignment="1">
      <alignment vertical="center"/>
    </xf>
    <xf numFmtId="0" fontId="6" fillId="0" borderId="0" xfId="0" applyNumberFormat="1" applyFont="1" applyFill="1" applyAlignment="1">
      <alignment vertical="center"/>
    </xf>
    <xf numFmtId="177" fontId="6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vertical="center" wrapText="1"/>
    </xf>
    <xf numFmtId="31" fontId="6" fillId="0" borderId="1" xfId="0" applyNumberFormat="1" applyFont="1" applyFill="1" applyBorder="1" applyAlignment="1">
      <alignment vertical="center" wrapText="1"/>
    </xf>
    <xf numFmtId="49" fontId="6" fillId="0" borderId="1" xfId="0" applyNumberFormat="1" applyFont="1" applyFill="1" applyBorder="1" applyAlignment="1">
      <alignment vertical="center" wrapText="1"/>
    </xf>
    <xf numFmtId="14" fontId="6" fillId="0" borderId="1" xfId="0" applyNumberFormat="1" applyFont="1" applyFill="1" applyBorder="1" applyAlignment="1">
      <alignment vertical="center"/>
    </xf>
    <xf numFmtId="31" fontId="6" fillId="0" borderId="1" xfId="0" applyNumberFormat="1" applyFont="1" applyFill="1" applyBorder="1" applyAlignment="1">
      <alignment vertical="center"/>
    </xf>
    <xf numFmtId="14" fontId="6" fillId="0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177" fontId="4" fillId="0" borderId="1" xfId="1" applyNumberFormat="1" applyFont="1" applyFill="1" applyBorder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21" fillId="0" borderId="0" xfId="0" applyFont="1" applyFill="1">
      <alignment vertical="center"/>
    </xf>
    <xf numFmtId="0" fontId="6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177" fontId="6" fillId="0" borderId="1" xfId="1" applyNumberFormat="1" applyFont="1" applyFill="1" applyBorder="1" applyAlignment="1">
      <alignment horizontal="center" vertical="center"/>
    </xf>
    <xf numFmtId="177" fontId="8" fillId="3" borderId="2" xfId="1" applyNumberFormat="1" applyFont="1" applyFill="1" applyBorder="1" applyAlignment="1">
      <alignment horizontal="center" vertical="center"/>
    </xf>
    <xf numFmtId="177" fontId="4" fillId="0" borderId="0" xfId="1" applyNumberFormat="1" applyFont="1" applyAlignment="1">
      <alignment horizontal="center" vertical="center"/>
    </xf>
    <xf numFmtId="177" fontId="4" fillId="0" borderId="0" xfId="1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177" fontId="10" fillId="0" borderId="1" xfId="1" applyNumberFormat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77" fontId="4" fillId="0" borderId="3" xfId="1" applyNumberFormat="1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4" fillId="2" borderId="1" xfId="0" applyNumberFormat="1" applyFont="1" applyFill="1" applyBorder="1" applyAlignment="1">
      <alignment vertical="center"/>
    </xf>
    <xf numFmtId="177" fontId="23" fillId="2" borderId="1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176" fontId="23" fillId="2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horizontal="center" vertical="center"/>
    </xf>
    <xf numFmtId="0" fontId="23" fillId="0" borderId="1" xfId="0" applyNumberFormat="1" applyFont="1" applyBorder="1" applyAlignment="1">
      <alignment horizontal="center" vertical="center"/>
    </xf>
    <xf numFmtId="0" fontId="19" fillId="0" borderId="1" xfId="0" applyNumberFormat="1" applyFont="1" applyBorder="1" applyAlignment="1">
      <alignment vertical="center"/>
    </xf>
    <xf numFmtId="0" fontId="19" fillId="0" borderId="1" xfId="0" applyNumberFormat="1" applyFont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/>
    </xf>
    <xf numFmtId="0" fontId="0" fillId="0" borderId="3" xfId="0" applyFill="1" applyBorder="1">
      <alignment vertical="center"/>
    </xf>
    <xf numFmtId="0" fontId="22" fillId="0" borderId="1" xfId="0" applyFont="1" applyFill="1" applyBorder="1">
      <alignment vertical="center"/>
    </xf>
    <xf numFmtId="0" fontId="4" fillId="0" borderId="1" xfId="0" applyFont="1" applyFill="1" applyBorder="1">
      <alignment vertical="center"/>
    </xf>
    <xf numFmtId="179" fontId="7" fillId="3" borderId="2" xfId="0" applyNumberFormat="1" applyFont="1" applyFill="1" applyBorder="1" applyAlignment="1">
      <alignment horizontal="center" vertical="center" wrapText="1"/>
    </xf>
    <xf numFmtId="177" fontId="7" fillId="3" borderId="2" xfId="0" applyNumberFormat="1" applyFont="1" applyFill="1" applyBorder="1" applyAlignment="1">
      <alignment horizontal="center" vertical="center" wrapText="1"/>
    </xf>
    <xf numFmtId="49" fontId="7" fillId="3" borderId="4" xfId="0" applyNumberFormat="1" applyFont="1" applyFill="1" applyBorder="1" applyAlignment="1">
      <alignment horizontal="center" vertical="center"/>
    </xf>
    <xf numFmtId="179" fontId="7" fillId="3" borderId="4" xfId="0" applyNumberFormat="1" applyFont="1" applyFill="1" applyBorder="1" applyAlignment="1">
      <alignment horizontal="center" vertical="center" wrapText="1"/>
    </xf>
    <xf numFmtId="0" fontId="7" fillId="3" borderId="4" xfId="0" applyNumberFormat="1" applyFont="1" applyFill="1" applyBorder="1" applyAlignment="1">
      <alignment horizontal="center" vertical="center" wrapText="1"/>
    </xf>
    <xf numFmtId="177" fontId="7" fillId="3" borderId="4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center"/>
    </xf>
    <xf numFmtId="0" fontId="20" fillId="0" borderId="0" xfId="0" applyFont="1" applyFill="1">
      <alignment vertical="center"/>
    </xf>
    <xf numFmtId="0" fontId="20" fillId="0" borderId="1" xfId="0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0" fillId="0" borderId="0" xfId="0" applyFont="1" applyFill="1" applyBorder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NumberFormat="1" applyFont="1" applyFill="1" applyBorder="1" applyAlignment="1">
      <alignment vertical="center"/>
    </xf>
    <xf numFmtId="179" fontId="6" fillId="0" borderId="0" xfId="0" applyNumberFormat="1" applyFont="1" applyFill="1" applyBorder="1" applyAlignment="1">
      <alignment horizontal="center" vertical="center"/>
    </xf>
    <xf numFmtId="177" fontId="6" fillId="0" borderId="0" xfId="1" applyNumberFormat="1" applyFont="1" applyFill="1" applyBorder="1" applyAlignment="1">
      <alignment horizontal="center" vertical="center"/>
    </xf>
    <xf numFmtId="177" fontId="6" fillId="0" borderId="0" xfId="0" applyNumberFormat="1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14" fontId="6" fillId="0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left" vertical="center"/>
    </xf>
    <xf numFmtId="0" fontId="20" fillId="0" borderId="0" xfId="0" applyFont="1" applyBorder="1" applyAlignment="1">
      <alignment horizontal="center" vertical="center"/>
    </xf>
    <xf numFmtId="177" fontId="20" fillId="0" borderId="0" xfId="0" applyNumberFormat="1" applyFont="1" applyAlignment="1">
      <alignment horizontal="center" vertical="center"/>
    </xf>
    <xf numFmtId="0" fontId="7" fillId="3" borderId="4" xfId="0" applyNumberFormat="1" applyFont="1" applyFill="1" applyBorder="1" applyAlignment="1">
      <alignment horizontal="center" vertical="center"/>
    </xf>
    <xf numFmtId="177" fontId="7" fillId="3" borderId="4" xfId="1" applyNumberFormat="1" applyFont="1" applyFill="1" applyBorder="1" applyAlignment="1">
      <alignment horizontal="center" vertical="center"/>
    </xf>
    <xf numFmtId="177" fontId="7" fillId="3" borderId="4" xfId="0" applyNumberFormat="1" applyFont="1" applyFill="1" applyBorder="1" applyAlignment="1">
      <alignment horizontal="center" vertical="center"/>
    </xf>
    <xf numFmtId="14" fontId="7" fillId="3" borderId="4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/>
    </xf>
    <xf numFmtId="177" fontId="6" fillId="0" borderId="5" xfId="0" applyNumberFormat="1" applyFont="1" applyFill="1" applyBorder="1" applyAlignment="1">
      <alignment horizontal="center" vertical="center"/>
    </xf>
    <xf numFmtId="177" fontId="6" fillId="0" borderId="5" xfId="1" applyNumberFormat="1" applyFont="1" applyFill="1" applyBorder="1" applyAlignment="1">
      <alignment horizontal="center" vertical="center"/>
    </xf>
    <xf numFmtId="179" fontId="6" fillId="0" borderId="5" xfId="0" applyNumberFormat="1" applyFont="1" applyFill="1" applyBorder="1" applyAlignment="1">
      <alignment horizontal="center" vertical="center"/>
    </xf>
    <xf numFmtId="14" fontId="6" fillId="0" borderId="5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79" fontId="19" fillId="0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177" fontId="19" fillId="0" borderId="1" xfId="0" applyNumberFormat="1" applyFont="1" applyFill="1" applyBorder="1" applyAlignment="1">
      <alignment horizontal="center" vertical="center"/>
    </xf>
    <xf numFmtId="49" fontId="19" fillId="0" borderId="1" xfId="0" applyNumberFormat="1" applyFont="1" applyFill="1" applyBorder="1" applyAlignment="1">
      <alignment horizontal="center" vertical="center"/>
    </xf>
    <xf numFmtId="179" fontId="4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9" fontId="6" fillId="2" borderId="1" xfId="0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7" fillId="3" borderId="1" xfId="0" applyNumberFormat="1" applyFont="1" applyFill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 wrapText="1"/>
    </xf>
    <xf numFmtId="179" fontId="7" fillId="3" borderId="1" xfId="0" applyNumberFormat="1" applyFont="1" applyFill="1" applyBorder="1" applyAlignment="1">
      <alignment horizontal="center" vertical="center" wrapText="1"/>
    </xf>
    <xf numFmtId="177" fontId="7" fillId="3" borderId="1" xfId="1" applyNumberFormat="1" applyFont="1" applyFill="1" applyBorder="1" applyAlignment="1">
      <alignment horizontal="center" vertical="center"/>
    </xf>
    <xf numFmtId="177" fontId="7" fillId="3" borderId="1" xfId="0" applyNumberFormat="1" applyFont="1" applyFill="1" applyBorder="1" applyAlignment="1">
      <alignment horizontal="center" vertical="center"/>
    </xf>
    <xf numFmtId="177" fontId="7" fillId="3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177" fontId="4" fillId="2" borderId="1" xfId="1" applyNumberFormat="1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41" fontId="4" fillId="3" borderId="11" xfId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4" fillId="3" borderId="15" xfId="0" applyNumberFormat="1" applyFont="1" applyFill="1" applyBorder="1" applyAlignment="1">
      <alignment horizontal="center" vertical="center" wrapText="1"/>
    </xf>
    <xf numFmtId="0" fontId="22" fillId="6" borderId="17" xfId="0" applyFont="1" applyFill="1" applyBorder="1" applyAlignment="1">
      <alignment horizontal="center" vertical="center"/>
    </xf>
    <xf numFmtId="177" fontId="4" fillId="0" borderId="18" xfId="0" applyNumberFormat="1" applyFont="1" applyBorder="1" applyAlignment="1">
      <alignment horizontal="right" vertical="center"/>
    </xf>
    <xf numFmtId="0" fontId="4" fillId="0" borderId="4" xfId="0" applyNumberFormat="1" applyFont="1" applyBorder="1" applyAlignment="1">
      <alignment horizontal="right" vertical="center"/>
    </xf>
    <xf numFmtId="180" fontId="4" fillId="0" borderId="19" xfId="0" applyNumberFormat="1" applyFont="1" applyBorder="1" applyAlignment="1">
      <alignment horizontal="right" vertical="center"/>
    </xf>
    <xf numFmtId="177" fontId="4" fillId="0" borderId="4" xfId="0" applyNumberFormat="1" applyFont="1" applyBorder="1" applyAlignment="1">
      <alignment horizontal="right" vertical="center"/>
    </xf>
    <xf numFmtId="176" fontId="4" fillId="0" borderId="4" xfId="0" applyNumberFormat="1" applyFont="1" applyBorder="1" applyAlignment="1">
      <alignment horizontal="right" vertical="center"/>
    </xf>
    <xf numFmtId="0" fontId="4" fillId="0" borderId="22" xfId="0" applyFont="1" applyFill="1" applyBorder="1" applyAlignment="1">
      <alignment horizontal="right" vertical="center"/>
    </xf>
    <xf numFmtId="0" fontId="22" fillId="6" borderId="24" xfId="0" applyFont="1" applyFill="1" applyBorder="1" applyAlignment="1">
      <alignment horizontal="center" vertical="center"/>
    </xf>
    <xf numFmtId="177" fontId="4" fillId="0" borderId="7" xfId="0" applyNumberFormat="1" applyFont="1" applyBorder="1" applyAlignment="1">
      <alignment horizontal="right" vertical="center"/>
    </xf>
    <xf numFmtId="0" fontId="4" fillId="0" borderId="3" xfId="0" applyNumberFormat="1" applyFont="1" applyBorder="1" applyAlignment="1">
      <alignment horizontal="right" vertical="center"/>
    </xf>
    <xf numFmtId="180" fontId="4" fillId="0" borderId="25" xfId="0" applyNumberFormat="1" applyFont="1" applyBorder="1" applyAlignment="1">
      <alignment horizontal="right" vertical="center"/>
    </xf>
    <xf numFmtId="176" fontId="4" fillId="0" borderId="3" xfId="0" applyNumberFormat="1" applyFont="1" applyBorder="1" applyAlignment="1">
      <alignment horizontal="right" vertical="center"/>
    </xf>
    <xf numFmtId="0" fontId="22" fillId="6" borderId="30" xfId="0" applyFont="1" applyFill="1" applyBorder="1" applyAlignment="1">
      <alignment horizontal="center" vertical="center"/>
    </xf>
    <xf numFmtId="177" fontId="4" fillId="0" borderId="8" xfId="0" applyNumberFormat="1" applyFont="1" applyBorder="1" applyAlignment="1">
      <alignment horizontal="right" vertical="center"/>
    </xf>
    <xf numFmtId="0" fontId="4" fillId="0" borderId="1" xfId="0" applyNumberFormat="1" applyFont="1" applyBorder="1" applyAlignment="1">
      <alignment horizontal="right" vertical="center"/>
    </xf>
    <xf numFmtId="180" fontId="4" fillId="0" borderId="31" xfId="0" applyNumberFormat="1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right" vertical="center"/>
    </xf>
    <xf numFmtId="0" fontId="4" fillId="0" borderId="31" xfId="0" applyFont="1" applyFill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180" fontId="6" fillId="0" borderId="31" xfId="0" applyNumberFormat="1" applyFont="1" applyBorder="1" applyAlignment="1">
      <alignment horizontal="right" vertical="center"/>
    </xf>
    <xf numFmtId="0" fontId="4" fillId="6" borderId="17" xfId="0" applyFont="1" applyFill="1" applyBorder="1" applyAlignment="1">
      <alignment horizontal="center" vertical="center"/>
    </xf>
    <xf numFmtId="180" fontId="4" fillId="0" borderId="22" xfId="0" applyNumberFormat="1" applyFont="1" applyBorder="1" applyAlignment="1">
      <alignment horizontal="right" vertical="center"/>
    </xf>
    <xf numFmtId="176" fontId="6" fillId="0" borderId="4" xfId="0" applyNumberFormat="1" applyFont="1" applyBorder="1" applyAlignment="1">
      <alignment horizontal="right" vertical="center"/>
    </xf>
    <xf numFmtId="0" fontId="4" fillId="6" borderId="36" xfId="0" applyFont="1" applyFill="1" applyBorder="1" applyAlignment="1">
      <alignment horizontal="center" vertical="center"/>
    </xf>
    <xf numFmtId="177" fontId="4" fillId="0" borderId="37" xfId="0" applyNumberFormat="1" applyFont="1" applyBorder="1" applyAlignment="1">
      <alignment horizontal="right" vertical="center"/>
    </xf>
    <xf numFmtId="177" fontId="4" fillId="0" borderId="39" xfId="0" applyNumberFormat="1" applyFont="1" applyFill="1" applyBorder="1" applyAlignment="1">
      <alignment horizontal="right" vertical="center"/>
    </xf>
    <xf numFmtId="177" fontId="6" fillId="0" borderId="40" xfId="0" applyNumberFormat="1" applyFont="1" applyBorder="1" applyAlignment="1">
      <alignment horizontal="right" vertical="center"/>
    </xf>
    <xf numFmtId="180" fontId="6" fillId="0" borderId="19" xfId="0" applyNumberFormat="1" applyFont="1" applyBorder="1" applyAlignment="1">
      <alignment horizontal="right" vertical="center"/>
    </xf>
    <xf numFmtId="0" fontId="4" fillId="0" borderId="38" xfId="0" applyFont="1" applyFill="1" applyBorder="1" applyAlignment="1">
      <alignment horizontal="right" vertical="center"/>
    </xf>
    <xf numFmtId="0" fontId="4" fillId="0" borderId="41" xfId="0" applyFont="1" applyFill="1" applyBorder="1" applyAlignment="1">
      <alignment horizontal="right" vertical="center"/>
    </xf>
    <xf numFmtId="176" fontId="4" fillId="0" borderId="42" xfId="0" applyNumberFormat="1" applyFont="1" applyBorder="1" applyAlignment="1">
      <alignment horizontal="right" vertical="center"/>
    </xf>
    <xf numFmtId="0" fontId="4" fillId="0" borderId="41" xfId="0" applyFont="1" applyBorder="1" applyAlignment="1">
      <alignment horizontal="right" vertical="center"/>
    </xf>
    <xf numFmtId="0" fontId="4" fillId="6" borderId="43" xfId="0" applyFont="1" applyFill="1" applyBorder="1" applyAlignment="1">
      <alignment horizontal="center" vertical="center"/>
    </xf>
    <xf numFmtId="177" fontId="11" fillId="2" borderId="44" xfId="0" applyNumberFormat="1" applyFont="1" applyFill="1" applyBorder="1" applyAlignment="1">
      <alignment horizontal="right" vertical="center"/>
    </xf>
    <xf numFmtId="177" fontId="11" fillId="0" borderId="44" xfId="0" applyNumberFormat="1" applyFont="1" applyFill="1" applyBorder="1" applyAlignment="1">
      <alignment horizontal="right" vertical="center"/>
    </xf>
    <xf numFmtId="0" fontId="4" fillId="0" borderId="45" xfId="0" applyNumberFormat="1" applyFont="1" applyBorder="1" applyAlignment="1">
      <alignment horizontal="right" vertical="center"/>
    </xf>
    <xf numFmtId="180" fontId="4" fillId="0" borderId="46" xfId="0" applyNumberFormat="1" applyFont="1" applyBorder="1" applyAlignment="1">
      <alignment horizontal="right" vertical="center"/>
    </xf>
    <xf numFmtId="177" fontId="11" fillId="2" borderId="47" xfId="0" applyNumberFormat="1" applyFont="1" applyFill="1" applyBorder="1" applyAlignment="1">
      <alignment horizontal="right" vertical="center"/>
    </xf>
    <xf numFmtId="177" fontId="7" fillId="0" borderId="44" xfId="0" applyNumberFormat="1" applyFont="1" applyFill="1" applyBorder="1" applyAlignment="1">
      <alignment horizontal="right" vertical="center"/>
    </xf>
    <xf numFmtId="176" fontId="6" fillId="0" borderId="45" xfId="0" applyNumberFormat="1" applyFont="1" applyBorder="1" applyAlignment="1">
      <alignment horizontal="right" vertical="center"/>
    </xf>
    <xf numFmtId="180" fontId="6" fillId="0" borderId="48" xfId="0" applyNumberFormat="1" applyFont="1" applyBorder="1" applyAlignment="1">
      <alignment horizontal="right" vertical="center"/>
    </xf>
    <xf numFmtId="0" fontId="4" fillId="2" borderId="49" xfId="0" applyFont="1" applyFill="1" applyBorder="1" applyAlignment="1">
      <alignment horizontal="right" vertical="center"/>
    </xf>
    <xf numFmtId="0" fontId="4" fillId="2" borderId="50" xfId="0" applyFont="1" applyFill="1" applyBorder="1" applyAlignment="1">
      <alignment horizontal="right" vertical="center"/>
    </xf>
    <xf numFmtId="0" fontId="4" fillId="2" borderId="51" xfId="0" applyFont="1" applyFill="1" applyBorder="1" applyAlignment="1">
      <alignment horizontal="right" vertical="center"/>
    </xf>
    <xf numFmtId="0" fontId="4" fillId="2" borderId="52" xfId="0" applyFont="1" applyFill="1" applyBorder="1" applyAlignment="1">
      <alignment horizontal="right" vertical="center"/>
    </xf>
    <xf numFmtId="0" fontId="4" fillId="2" borderId="47" xfId="0" applyFont="1" applyFill="1" applyBorder="1" applyAlignment="1">
      <alignment horizontal="right" vertical="center"/>
    </xf>
    <xf numFmtId="0" fontId="4" fillId="2" borderId="53" xfId="0" applyFont="1" applyFill="1" applyBorder="1" applyAlignment="1">
      <alignment horizontal="right" vertical="center"/>
    </xf>
    <xf numFmtId="176" fontId="4" fillId="2" borderId="55" xfId="0" applyNumberFormat="1" applyFont="1" applyFill="1" applyBorder="1" applyAlignment="1">
      <alignment horizontal="right" vertical="center"/>
    </xf>
    <xf numFmtId="177" fontId="11" fillId="0" borderId="0" xfId="0" applyNumberFormat="1" applyFont="1" applyFill="1" applyBorder="1" applyAlignment="1">
      <alignment horizontal="right" vertical="center"/>
    </xf>
    <xf numFmtId="0" fontId="4" fillId="0" borderId="0" xfId="0" applyNumberFormat="1" applyFont="1" applyFill="1" applyBorder="1" applyAlignment="1">
      <alignment horizontal="right" vertical="center"/>
    </xf>
    <xf numFmtId="180" fontId="4" fillId="0" borderId="0" xfId="0" applyNumberFormat="1" applyFont="1" applyFill="1" applyBorder="1" applyAlignment="1">
      <alignment horizontal="right" vertical="center"/>
    </xf>
    <xf numFmtId="177" fontId="7" fillId="0" borderId="0" xfId="0" applyNumberFormat="1" applyFont="1" applyFill="1" applyBorder="1" applyAlignment="1">
      <alignment horizontal="right" vertical="center"/>
    </xf>
    <xf numFmtId="176" fontId="6" fillId="0" borderId="0" xfId="0" applyNumberFormat="1" applyFont="1" applyFill="1" applyBorder="1" applyAlignment="1">
      <alignment horizontal="right" vertical="center"/>
    </xf>
    <xf numFmtId="180" fontId="6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176" fontId="4" fillId="0" borderId="0" xfId="0" applyNumberFormat="1" applyFont="1" applyFill="1" applyBorder="1" applyAlignment="1">
      <alignment horizontal="right" vertical="center"/>
    </xf>
    <xf numFmtId="0" fontId="25" fillId="0" borderId="0" xfId="0" applyNumberFormat="1" applyFont="1" applyAlignment="1">
      <alignment vertical="center"/>
    </xf>
    <xf numFmtId="41" fontId="0" fillId="0" borderId="0" xfId="1" applyFont="1">
      <alignment vertical="center"/>
    </xf>
    <xf numFmtId="0" fontId="6" fillId="0" borderId="0" xfId="0" applyFont="1" applyFill="1" applyAlignment="1">
      <alignment horizontal="left" vertical="center"/>
    </xf>
    <xf numFmtId="0" fontId="24" fillId="0" borderId="0" xfId="0" applyFont="1" applyAlignment="1">
      <alignment vertical="center"/>
    </xf>
    <xf numFmtId="0" fontId="4" fillId="3" borderId="56" xfId="0" applyFont="1" applyFill="1" applyBorder="1" applyAlignment="1">
      <alignment horizontal="center" vertical="center" wrapText="1"/>
    </xf>
    <xf numFmtId="0" fontId="4" fillId="3" borderId="57" xfId="0" applyFont="1" applyFill="1" applyBorder="1" applyAlignment="1">
      <alignment horizontal="center" vertical="center" wrapText="1"/>
    </xf>
    <xf numFmtId="176" fontId="4" fillId="3" borderId="58" xfId="0" applyNumberFormat="1" applyFont="1" applyFill="1" applyBorder="1" applyAlignment="1">
      <alignment horizontal="center" vertical="center" wrapText="1"/>
    </xf>
    <xf numFmtId="176" fontId="11" fillId="3" borderId="56" xfId="0" applyNumberFormat="1" applyFont="1" applyFill="1" applyBorder="1" applyAlignment="1">
      <alignment horizontal="center" vertical="center" wrapText="1"/>
    </xf>
    <xf numFmtId="176" fontId="4" fillId="3" borderId="57" xfId="0" applyNumberFormat="1" applyFont="1" applyFill="1" applyBorder="1" applyAlignment="1">
      <alignment horizontal="center" vertical="center" wrapText="1"/>
    </xf>
    <xf numFmtId="180" fontId="4" fillId="3" borderId="59" xfId="0" applyNumberFormat="1" applyFont="1" applyFill="1" applyBorder="1" applyAlignment="1">
      <alignment horizontal="center" vertical="center" wrapText="1"/>
    </xf>
    <xf numFmtId="177" fontId="4" fillId="3" borderId="57" xfId="0" applyNumberFormat="1" applyFont="1" applyFill="1" applyBorder="1" applyAlignment="1">
      <alignment horizontal="center" vertical="center" wrapText="1"/>
    </xf>
    <xf numFmtId="177" fontId="4" fillId="3" borderId="58" xfId="0" applyNumberFormat="1" applyFont="1" applyFill="1" applyBorder="1" applyAlignment="1">
      <alignment horizontal="center" vertical="center" wrapText="1"/>
    </xf>
    <xf numFmtId="180" fontId="4" fillId="3" borderId="58" xfId="0" applyNumberFormat="1" applyFont="1" applyFill="1" applyBorder="1" applyAlignment="1">
      <alignment horizontal="center" vertical="center" wrapText="1"/>
    </xf>
    <xf numFmtId="0" fontId="4" fillId="3" borderId="60" xfId="0" applyFont="1" applyFill="1" applyBorder="1" applyAlignment="1">
      <alignment horizontal="center" vertical="center" wrapText="1"/>
    </xf>
    <xf numFmtId="0" fontId="11" fillId="3" borderId="61" xfId="0" applyFont="1" applyFill="1" applyBorder="1" applyAlignment="1">
      <alignment horizontal="center" vertical="center" wrapText="1"/>
    </xf>
    <xf numFmtId="0" fontId="4" fillId="3" borderId="62" xfId="0" applyFont="1" applyFill="1" applyBorder="1" applyAlignment="1">
      <alignment horizontal="center" vertical="center" wrapText="1"/>
    </xf>
    <xf numFmtId="0" fontId="26" fillId="3" borderId="63" xfId="0" applyFont="1" applyFill="1" applyBorder="1" applyAlignment="1">
      <alignment horizontal="center" vertical="center" wrapText="1"/>
    </xf>
    <xf numFmtId="0" fontId="6" fillId="6" borderId="64" xfId="0" applyFont="1" applyFill="1" applyBorder="1" applyAlignment="1"/>
    <xf numFmtId="0" fontId="7" fillId="6" borderId="3" xfId="0" applyFont="1" applyFill="1" applyBorder="1" applyAlignment="1"/>
    <xf numFmtId="177" fontId="11" fillId="6" borderId="65" xfId="0" applyNumberFormat="1" applyFont="1" applyFill="1" applyBorder="1" applyAlignment="1">
      <alignment horizontal="right" vertical="center"/>
    </xf>
    <xf numFmtId="176" fontId="11" fillId="2" borderId="64" xfId="0" applyNumberFormat="1" applyFont="1" applyFill="1" applyBorder="1" applyAlignment="1">
      <alignment horizontal="right" vertical="center"/>
    </xf>
    <xf numFmtId="176" fontId="4" fillId="0" borderId="65" xfId="0" applyNumberFormat="1" applyFont="1" applyBorder="1" applyAlignment="1">
      <alignment horizontal="right" vertical="center"/>
    </xf>
    <xf numFmtId="180" fontId="4" fillId="0" borderId="65" xfId="0" applyNumberFormat="1" applyFont="1" applyBorder="1" applyAlignment="1">
      <alignment horizontal="right" vertical="center"/>
    </xf>
    <xf numFmtId="180" fontId="4" fillId="0" borderId="67" xfId="0" applyNumberFormat="1" applyFont="1" applyBorder="1" applyAlignment="1">
      <alignment horizontal="right" vertical="center"/>
    </xf>
    <xf numFmtId="181" fontId="11" fillId="2" borderId="64" xfId="0" applyNumberFormat="1" applyFont="1" applyFill="1" applyBorder="1" applyAlignment="1">
      <alignment horizontal="right" vertical="center" wrapText="1"/>
    </xf>
    <xf numFmtId="181" fontId="4" fillId="0" borderId="3" xfId="0" applyNumberFormat="1" applyFont="1" applyFill="1" applyBorder="1" applyAlignment="1">
      <alignment horizontal="right" vertical="center" wrapText="1"/>
    </xf>
    <xf numFmtId="182" fontId="6" fillId="0" borderId="25" xfId="0" applyNumberFormat="1" applyFont="1" applyBorder="1" applyAlignment="1">
      <alignment horizontal="right" vertical="center" wrapText="1"/>
    </xf>
    <xf numFmtId="0" fontId="6" fillId="6" borderId="35" xfId="0" applyFont="1" applyFill="1" applyBorder="1" applyAlignment="1"/>
    <xf numFmtId="0" fontId="7" fillId="6" borderId="2" xfId="0" applyFont="1" applyFill="1" applyBorder="1" applyAlignment="1"/>
    <xf numFmtId="177" fontId="11" fillId="0" borderId="1" xfId="0" applyNumberFormat="1" applyFont="1" applyFill="1" applyBorder="1" applyAlignment="1">
      <alignment horizontal="right" vertical="center"/>
    </xf>
    <xf numFmtId="176" fontId="4" fillId="2" borderId="32" xfId="0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/>
    </xf>
    <xf numFmtId="176" fontId="4" fillId="0" borderId="34" xfId="0" applyNumberFormat="1" applyFont="1" applyBorder="1" applyAlignment="1">
      <alignment horizontal="right" vertical="center"/>
    </xf>
    <xf numFmtId="180" fontId="4" fillId="0" borderId="34" xfId="0" applyNumberFormat="1" applyFont="1" applyBorder="1" applyAlignment="1">
      <alignment horizontal="right" vertical="center"/>
    </xf>
    <xf numFmtId="180" fontId="4" fillId="0" borderId="69" xfId="0" applyNumberFormat="1" applyFont="1" applyBorder="1" applyAlignment="1">
      <alignment horizontal="right" vertical="center"/>
    </xf>
    <xf numFmtId="181" fontId="4" fillId="2" borderId="32" xfId="0" applyNumberFormat="1" applyFont="1" applyFill="1" applyBorder="1" applyAlignment="1">
      <alignment horizontal="right" vertical="center" wrapText="1"/>
    </xf>
    <xf numFmtId="181" fontId="4" fillId="0" borderId="1" xfId="0" applyNumberFormat="1" applyFont="1" applyFill="1" applyBorder="1" applyAlignment="1">
      <alignment horizontal="right" vertical="center" wrapText="1"/>
    </xf>
    <xf numFmtId="182" fontId="6" fillId="0" borderId="31" xfId="0" applyNumberFormat="1" applyFont="1" applyBorder="1" applyAlignment="1">
      <alignment horizontal="right" vertical="center" wrapText="1"/>
    </xf>
    <xf numFmtId="0" fontId="6" fillId="6" borderId="70" xfId="0" applyFont="1" applyFill="1" applyBorder="1" applyAlignment="1"/>
    <xf numFmtId="0" fontId="6" fillId="6" borderId="2" xfId="0" applyFont="1" applyFill="1" applyBorder="1" applyAlignment="1"/>
    <xf numFmtId="177" fontId="4" fillId="0" borderId="1" xfId="0" applyNumberFormat="1" applyFont="1" applyFill="1" applyBorder="1" applyAlignment="1">
      <alignment horizontal="right" vertical="center"/>
    </xf>
    <xf numFmtId="176" fontId="4" fillId="0" borderId="32" xfId="0" applyNumberFormat="1" applyFont="1" applyBorder="1" applyAlignment="1">
      <alignment horizontal="right" vertical="center"/>
    </xf>
    <xf numFmtId="0" fontId="4" fillId="0" borderId="34" xfId="0" applyNumberFormat="1" applyFont="1" applyBorder="1" applyAlignment="1">
      <alignment horizontal="right" vertical="center"/>
    </xf>
    <xf numFmtId="181" fontId="4" fillId="0" borderId="32" xfId="0" applyNumberFormat="1" applyFont="1" applyFill="1" applyBorder="1" applyAlignment="1">
      <alignment horizontal="right" vertical="center" wrapText="1"/>
    </xf>
    <xf numFmtId="181" fontId="4" fillId="0" borderId="1" xfId="0" applyNumberFormat="1" applyFont="1" applyBorder="1" applyAlignment="1">
      <alignment horizontal="right" vertical="center" wrapText="1"/>
    </xf>
    <xf numFmtId="177" fontId="4" fillId="0" borderId="31" xfId="0" applyNumberFormat="1" applyFont="1" applyFill="1" applyBorder="1" applyAlignment="1">
      <alignment horizontal="right" vertical="center"/>
    </xf>
    <xf numFmtId="176" fontId="4" fillId="0" borderId="8" xfId="0" applyNumberFormat="1" applyFont="1" applyBorder="1" applyAlignment="1">
      <alignment horizontal="right" vertical="center"/>
    </xf>
    <xf numFmtId="177" fontId="11" fillId="0" borderId="31" xfId="0" applyNumberFormat="1" applyFont="1" applyFill="1" applyBorder="1" applyAlignment="1">
      <alignment horizontal="right" vertical="center"/>
    </xf>
    <xf numFmtId="176" fontId="4" fillId="0" borderId="8" xfId="0" applyNumberFormat="1" applyFont="1" applyFill="1" applyBorder="1" applyAlignment="1">
      <alignment horizontal="right" vertical="center"/>
    </xf>
    <xf numFmtId="176" fontId="4" fillId="0" borderId="33" xfId="0" applyNumberFormat="1" applyFont="1" applyFill="1" applyBorder="1" applyAlignment="1">
      <alignment horizontal="right" vertical="center"/>
    </xf>
    <xf numFmtId="180" fontId="4" fillId="0" borderId="31" xfId="0" applyNumberFormat="1" applyFont="1" applyFill="1" applyBorder="1" applyAlignment="1">
      <alignment horizontal="right" vertical="center"/>
    </xf>
    <xf numFmtId="180" fontId="4" fillId="0" borderId="34" xfId="0" applyNumberFormat="1" applyFont="1" applyFill="1" applyBorder="1" applyAlignment="1">
      <alignment horizontal="right" vertical="center"/>
    </xf>
    <xf numFmtId="176" fontId="4" fillId="0" borderId="32" xfId="0" applyNumberFormat="1" applyFont="1" applyFill="1" applyBorder="1" applyAlignment="1">
      <alignment horizontal="right" vertical="center"/>
    </xf>
    <xf numFmtId="0" fontId="4" fillId="0" borderId="34" xfId="0" applyNumberFormat="1" applyFont="1" applyFill="1" applyBorder="1" applyAlignment="1">
      <alignment horizontal="right" vertical="center"/>
    </xf>
    <xf numFmtId="177" fontId="11" fillId="0" borderId="31" xfId="0" applyNumberFormat="1" applyFont="1" applyBorder="1" applyAlignment="1">
      <alignment horizontal="right" vertical="center"/>
    </xf>
    <xf numFmtId="177" fontId="4" fillId="0" borderId="31" xfId="0" applyNumberFormat="1" applyFont="1" applyBorder="1" applyAlignment="1">
      <alignment horizontal="right" vertical="center"/>
    </xf>
    <xf numFmtId="177" fontId="8" fillId="0" borderId="31" xfId="0" applyNumberFormat="1" applyFont="1" applyBorder="1" applyAlignment="1">
      <alignment horizontal="right" vertical="center"/>
    </xf>
    <xf numFmtId="0" fontId="4" fillId="0" borderId="1" xfId="0" applyNumberFormat="1" applyFont="1" applyFill="1" applyBorder="1" applyAlignment="1">
      <alignment horizontal="right" vertical="center"/>
    </xf>
    <xf numFmtId="177" fontId="4" fillId="0" borderId="23" xfId="0" applyNumberFormat="1" applyFont="1" applyFill="1" applyBorder="1" applyAlignment="1">
      <alignment horizontal="right" vertical="center"/>
    </xf>
    <xf numFmtId="49" fontId="4" fillId="0" borderId="31" xfId="0" applyNumberFormat="1" applyFont="1" applyFill="1" applyBorder="1" applyAlignment="1">
      <alignment horizontal="right" vertical="center"/>
    </xf>
    <xf numFmtId="49" fontId="4" fillId="0" borderId="34" xfId="0" applyNumberFormat="1" applyFont="1" applyFill="1" applyBorder="1" applyAlignment="1">
      <alignment horizontal="right" vertical="center"/>
    </xf>
    <xf numFmtId="49" fontId="4" fillId="0" borderId="69" xfId="0" applyNumberFormat="1" applyFont="1" applyFill="1" applyBorder="1" applyAlignment="1">
      <alignment horizontal="right" vertical="center"/>
    </xf>
    <xf numFmtId="0" fontId="6" fillId="6" borderId="49" xfId="0" applyFont="1" applyFill="1" applyBorder="1" applyAlignment="1"/>
    <xf numFmtId="0" fontId="6" fillId="6" borderId="45" xfId="0" applyFont="1" applyFill="1" applyBorder="1" applyAlignment="1"/>
    <xf numFmtId="177" fontId="4" fillId="0" borderId="48" xfId="0" applyNumberFormat="1" applyFont="1" applyBorder="1" applyAlignment="1">
      <alignment horizontal="right" vertical="center"/>
    </xf>
    <xf numFmtId="176" fontId="4" fillId="0" borderId="71" xfId="0" applyNumberFormat="1" applyFont="1" applyBorder="1" applyAlignment="1">
      <alignment horizontal="right" vertical="center"/>
    </xf>
    <xf numFmtId="176" fontId="4" fillId="0" borderId="72" xfId="0" applyNumberFormat="1" applyFont="1" applyBorder="1" applyAlignment="1">
      <alignment horizontal="right" vertical="center"/>
    </xf>
    <xf numFmtId="176" fontId="4" fillId="0" borderId="46" xfId="0" applyNumberFormat="1" applyFont="1" applyBorder="1" applyAlignment="1">
      <alignment horizontal="right" vertical="center"/>
    </xf>
    <xf numFmtId="180" fontId="4" fillId="0" borderId="48" xfId="0" applyNumberFormat="1" applyFont="1" applyBorder="1" applyAlignment="1">
      <alignment horizontal="right" vertical="center"/>
    </xf>
    <xf numFmtId="0" fontId="4" fillId="0" borderId="46" xfId="0" applyNumberFormat="1" applyFont="1" applyBorder="1" applyAlignment="1">
      <alignment horizontal="right" vertical="center"/>
    </xf>
    <xf numFmtId="176" fontId="4" fillId="0" borderId="45" xfId="0" applyNumberFormat="1" applyFont="1" applyBorder="1" applyAlignment="1">
      <alignment horizontal="right" vertical="center"/>
    </xf>
    <xf numFmtId="180" fontId="4" fillId="0" borderId="73" xfId="0" applyNumberFormat="1" applyFont="1" applyBorder="1" applyAlignment="1">
      <alignment horizontal="right" vertical="center"/>
    </xf>
    <xf numFmtId="181" fontId="4" fillId="0" borderId="71" xfId="0" applyNumberFormat="1" applyFont="1" applyFill="1" applyBorder="1" applyAlignment="1">
      <alignment horizontal="right" vertical="center" wrapText="1"/>
    </xf>
    <xf numFmtId="181" fontId="4" fillId="0" borderId="45" xfId="0" applyNumberFormat="1" applyFont="1" applyBorder="1" applyAlignment="1">
      <alignment horizontal="right" vertical="center" wrapText="1"/>
    </xf>
    <xf numFmtId="182" fontId="6" fillId="0" borderId="48" xfId="0" applyNumberFormat="1" applyFont="1" applyBorder="1" applyAlignment="1">
      <alignment horizontal="right" vertical="center" wrapText="1"/>
    </xf>
    <xf numFmtId="0" fontId="4" fillId="0" borderId="0" xfId="0" applyFont="1">
      <alignment vertical="center"/>
    </xf>
    <xf numFmtId="176" fontId="4" fillId="0" borderId="0" xfId="0" applyNumberFormat="1" applyFont="1" applyAlignment="1">
      <alignment horizontal="right" vertical="center"/>
    </xf>
    <xf numFmtId="176" fontId="21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80" fontId="5" fillId="0" borderId="0" xfId="0" applyNumberFormat="1" applyFont="1">
      <alignment vertical="center"/>
    </xf>
    <xf numFmtId="177" fontId="5" fillId="0" borderId="0" xfId="0" applyNumberFormat="1" applyFont="1">
      <alignment vertical="center"/>
    </xf>
    <xf numFmtId="180" fontId="0" fillId="0" borderId="0" xfId="0" applyNumberForma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21" fillId="0" borderId="0" xfId="0" applyFont="1">
      <alignment vertical="center"/>
    </xf>
    <xf numFmtId="0" fontId="6" fillId="3" borderId="74" xfId="0" applyFont="1" applyFill="1" applyBorder="1" applyAlignment="1">
      <alignment horizontal="center" vertical="center" wrapText="1"/>
    </xf>
    <xf numFmtId="0" fontId="7" fillId="3" borderId="56" xfId="0" applyFont="1" applyFill="1" applyBorder="1" applyAlignment="1">
      <alignment horizontal="center" vertical="center" wrapText="1"/>
    </xf>
    <xf numFmtId="0" fontId="6" fillId="3" borderId="57" xfId="0" applyFont="1" applyFill="1" applyBorder="1" applyAlignment="1">
      <alignment horizontal="center" vertical="center" wrapText="1"/>
    </xf>
    <xf numFmtId="0" fontId="6" fillId="3" borderId="58" xfId="0" applyFont="1" applyFill="1" applyBorder="1" applyAlignment="1">
      <alignment horizontal="center" vertical="center" wrapText="1"/>
    </xf>
    <xf numFmtId="0" fontId="6" fillId="3" borderId="59" xfId="0" applyFont="1" applyFill="1" applyBorder="1" applyAlignment="1">
      <alignment horizontal="center" vertical="center" wrapText="1"/>
    </xf>
    <xf numFmtId="0" fontId="6" fillId="6" borderId="75" xfId="0" applyFont="1" applyFill="1" applyBorder="1" applyAlignment="1">
      <alignment horizontal="center" vertical="center"/>
    </xf>
    <xf numFmtId="176" fontId="4" fillId="0" borderId="76" xfId="0" applyNumberFormat="1" applyFont="1" applyFill="1" applyBorder="1" applyAlignment="1">
      <alignment horizontal="right" vertical="center"/>
    </xf>
    <xf numFmtId="176" fontId="4" fillId="0" borderId="77" xfId="0" applyNumberFormat="1" applyFont="1" applyBorder="1" applyAlignment="1">
      <alignment horizontal="right" vertical="center"/>
    </xf>
    <xf numFmtId="180" fontId="4" fillId="0" borderId="78" xfId="0" applyNumberFormat="1" applyFont="1" applyBorder="1" applyAlignment="1">
      <alignment horizontal="right" vertical="center"/>
    </xf>
    <xf numFmtId="176" fontId="6" fillId="0" borderId="77" xfId="0" applyNumberFormat="1" applyFont="1" applyBorder="1" applyAlignment="1">
      <alignment horizontal="right" vertical="center"/>
    </xf>
    <xf numFmtId="180" fontId="6" fillId="0" borderId="79" xfId="0" applyNumberFormat="1" applyFont="1" applyBorder="1" applyAlignment="1">
      <alignment horizontal="right" vertical="center"/>
    </xf>
    <xf numFmtId="0" fontId="6" fillId="6" borderId="66" xfId="0" applyFont="1" applyFill="1" applyBorder="1" applyAlignment="1">
      <alignment horizontal="center" vertical="center"/>
    </xf>
    <xf numFmtId="176" fontId="4" fillId="0" borderId="64" xfId="0" applyNumberFormat="1" applyFont="1" applyFill="1" applyBorder="1" applyAlignment="1">
      <alignment horizontal="right" vertical="center"/>
    </xf>
    <xf numFmtId="176" fontId="6" fillId="0" borderId="3" xfId="0" applyNumberFormat="1" applyFont="1" applyBorder="1" applyAlignment="1">
      <alignment horizontal="right" vertical="center"/>
    </xf>
    <xf numFmtId="180" fontId="6" fillId="0" borderId="25" xfId="0" applyNumberFormat="1" applyFont="1" applyBorder="1" applyAlignment="1">
      <alignment horizontal="right" vertical="center"/>
    </xf>
    <xf numFmtId="0" fontId="6" fillId="6" borderId="68" xfId="0" applyFont="1" applyFill="1" applyBorder="1" applyAlignment="1">
      <alignment horizontal="center" vertical="center"/>
    </xf>
    <xf numFmtId="176" fontId="4" fillId="7" borderId="32" xfId="0" applyNumberFormat="1" applyFont="1" applyFill="1" applyBorder="1" applyAlignment="1">
      <alignment horizontal="right" vertical="center"/>
    </xf>
    <xf numFmtId="176" fontId="4" fillId="0" borderId="35" xfId="0" applyNumberFormat="1" applyFont="1" applyBorder="1" applyAlignment="1">
      <alignment horizontal="right" vertical="center"/>
    </xf>
    <xf numFmtId="0" fontId="6" fillId="6" borderId="81" xfId="0" applyFont="1" applyFill="1" applyBorder="1" applyAlignment="1">
      <alignment horizontal="center" vertical="center"/>
    </xf>
    <xf numFmtId="176" fontId="4" fillId="0" borderId="39" xfId="0" applyNumberFormat="1" applyFont="1" applyBorder="1" applyAlignment="1">
      <alignment horizontal="right" vertical="center"/>
    </xf>
    <xf numFmtId="176" fontId="4" fillId="0" borderId="82" xfId="0" applyNumberFormat="1" applyFont="1" applyBorder="1" applyAlignment="1">
      <alignment horizontal="right" vertical="center"/>
    </xf>
    <xf numFmtId="176" fontId="6" fillId="0" borderId="82" xfId="0" applyNumberFormat="1" applyFont="1" applyBorder="1" applyAlignment="1">
      <alignment horizontal="right" vertical="center"/>
    </xf>
    <xf numFmtId="0" fontId="6" fillId="6" borderId="51" xfId="0" applyFont="1" applyFill="1" applyBorder="1" applyAlignment="1">
      <alignment horizontal="center" vertical="center"/>
    </xf>
    <xf numFmtId="176" fontId="11" fillId="2" borderId="47" xfId="0" applyNumberFormat="1" applyFont="1" applyFill="1" applyBorder="1" applyAlignment="1">
      <alignment horizontal="right" vertical="center"/>
    </xf>
    <xf numFmtId="176" fontId="4" fillId="0" borderId="83" xfId="0" applyNumberFormat="1" applyFont="1" applyBorder="1" applyAlignment="1">
      <alignment horizontal="right" vertical="center"/>
    </xf>
    <xf numFmtId="180" fontId="4" fillId="0" borderId="52" xfId="0" applyNumberFormat="1" applyFont="1" applyBorder="1" applyAlignment="1">
      <alignment horizontal="right" vertical="center"/>
    </xf>
    <xf numFmtId="176" fontId="6" fillId="0" borderId="83" xfId="0" applyNumberFormat="1" applyFont="1" applyBorder="1" applyAlignment="1">
      <alignment horizontal="right" vertical="center"/>
    </xf>
    <xf numFmtId="180" fontId="6" fillId="0" borderId="52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20" fillId="0" borderId="0" xfId="0" applyFont="1" applyAlignment="1">
      <alignment horizontal="left"/>
    </xf>
    <xf numFmtId="0" fontId="7" fillId="3" borderId="97" xfId="0" applyFont="1" applyFill="1" applyBorder="1" applyAlignment="1">
      <alignment horizontal="center" vertical="center" wrapText="1"/>
    </xf>
    <xf numFmtId="0" fontId="7" fillId="3" borderId="98" xfId="0" applyFont="1" applyFill="1" applyBorder="1" applyAlignment="1">
      <alignment horizontal="center" vertical="center" wrapText="1"/>
    </xf>
    <xf numFmtId="0" fontId="7" fillId="3" borderId="99" xfId="0" applyFont="1" applyFill="1" applyBorder="1" applyAlignment="1">
      <alignment horizontal="center" vertical="center" wrapText="1"/>
    </xf>
    <xf numFmtId="0" fontId="7" fillId="6" borderId="66" xfId="0" applyFont="1" applyFill="1" applyBorder="1" applyAlignment="1">
      <alignment horizontal="center" vertical="center" wrapText="1"/>
    </xf>
    <xf numFmtId="0" fontId="4" fillId="0" borderId="103" xfId="0" applyFont="1" applyFill="1" applyBorder="1" applyAlignment="1">
      <alignment horizontal="right" vertical="center" wrapText="1"/>
    </xf>
    <xf numFmtId="176" fontId="4" fillId="0" borderId="104" xfId="0" applyNumberFormat="1" applyFont="1" applyFill="1" applyBorder="1" applyAlignment="1">
      <alignment horizontal="right" vertical="center" wrapText="1"/>
    </xf>
    <xf numFmtId="180" fontId="4" fillId="0" borderId="105" xfId="0" applyNumberFormat="1" applyFont="1" applyFill="1" applyBorder="1" applyAlignment="1">
      <alignment horizontal="right" vertical="center" wrapText="1"/>
    </xf>
    <xf numFmtId="176" fontId="4" fillId="0" borderId="103" xfId="0" applyNumberFormat="1" applyFont="1" applyFill="1" applyBorder="1" applyAlignment="1">
      <alignment horizontal="right" vertical="center" wrapText="1"/>
    </xf>
    <xf numFmtId="41" fontId="4" fillId="0" borderId="106" xfId="1" applyFont="1" applyFill="1" applyBorder="1" applyAlignment="1">
      <alignment horizontal="right" vertical="center" wrapText="1"/>
    </xf>
    <xf numFmtId="176" fontId="4" fillId="0" borderId="107" xfId="1" applyNumberFormat="1" applyFont="1" applyFill="1" applyBorder="1" applyAlignment="1">
      <alignment horizontal="right" vertical="center" wrapText="1"/>
    </xf>
    <xf numFmtId="180" fontId="4" fillId="0" borderId="108" xfId="0" applyNumberFormat="1" applyFont="1" applyFill="1" applyBorder="1" applyAlignment="1">
      <alignment horizontal="right" vertical="center" wrapText="1"/>
    </xf>
    <xf numFmtId="180" fontId="4" fillId="0" borderId="104" xfId="0" applyNumberFormat="1" applyFont="1" applyFill="1" applyBorder="1" applyAlignment="1">
      <alignment horizontal="right" vertical="center" wrapText="1"/>
    </xf>
    <xf numFmtId="0" fontId="4" fillId="0" borderId="104" xfId="0" applyFont="1" applyFill="1" applyBorder="1" applyAlignment="1">
      <alignment horizontal="right" vertical="center" wrapText="1"/>
    </xf>
    <xf numFmtId="41" fontId="6" fillId="0" borderId="109" xfId="1" applyFont="1" applyFill="1" applyBorder="1" applyAlignment="1">
      <alignment horizontal="right" vertical="center" wrapText="1"/>
    </xf>
    <xf numFmtId="41" fontId="6" fillId="0" borderId="110" xfId="1" applyFont="1" applyFill="1" applyBorder="1" applyAlignment="1">
      <alignment horizontal="right" vertical="center" wrapText="1"/>
    </xf>
    <xf numFmtId="41" fontId="6" fillId="0" borderId="111" xfId="1" applyFont="1" applyFill="1" applyBorder="1" applyAlignment="1">
      <alignment horizontal="right" vertical="center" wrapText="1"/>
    </xf>
    <xf numFmtId="0" fontId="7" fillId="6" borderId="68" xfId="0" applyFont="1" applyFill="1" applyBorder="1" applyAlignment="1">
      <alignment horizontal="center" vertical="center" wrapText="1"/>
    </xf>
    <xf numFmtId="0" fontId="7" fillId="6" borderId="112" xfId="0" applyFont="1" applyFill="1" applyBorder="1" applyAlignment="1">
      <alignment horizontal="center" vertical="center" wrapText="1"/>
    </xf>
    <xf numFmtId="0" fontId="4" fillId="0" borderId="90" xfId="0" applyFont="1" applyFill="1" applyBorder="1" applyAlignment="1">
      <alignment horizontal="right" vertical="center" wrapText="1"/>
    </xf>
    <xf numFmtId="0" fontId="4" fillId="0" borderId="91" xfId="0" applyFont="1" applyFill="1" applyBorder="1" applyAlignment="1">
      <alignment horizontal="right" vertical="center" wrapText="1"/>
    </xf>
    <xf numFmtId="180" fontId="4" fillId="0" borderId="92" xfId="0" applyNumberFormat="1" applyFont="1" applyFill="1" applyBorder="1" applyAlignment="1">
      <alignment horizontal="right" vertical="center" wrapText="1"/>
    </xf>
    <xf numFmtId="176" fontId="4" fillId="0" borderId="114" xfId="1" applyNumberFormat="1" applyFont="1" applyFill="1" applyBorder="1" applyAlignment="1">
      <alignment horizontal="right" vertical="center" wrapText="1"/>
    </xf>
    <xf numFmtId="180" fontId="4" fillId="0" borderId="115" xfId="0" applyNumberFormat="1" applyFont="1" applyFill="1" applyBorder="1" applyAlignment="1">
      <alignment horizontal="right" vertical="center" wrapText="1"/>
    </xf>
    <xf numFmtId="180" fontId="4" fillId="0" borderId="91" xfId="0" applyNumberFormat="1" applyFont="1" applyFill="1" applyBorder="1" applyAlignment="1">
      <alignment horizontal="right" vertical="center" wrapText="1"/>
    </xf>
    <xf numFmtId="41" fontId="6" fillId="0" borderId="93" xfId="1" applyFont="1" applyFill="1" applyBorder="1" applyAlignment="1">
      <alignment horizontal="right" vertical="center" wrapText="1"/>
    </xf>
    <xf numFmtId="41" fontId="6" fillId="0" borderId="94" xfId="1" applyFont="1" applyFill="1" applyBorder="1" applyAlignment="1">
      <alignment horizontal="right" vertical="center" wrapText="1"/>
    </xf>
    <xf numFmtId="41" fontId="6" fillId="0" borderId="116" xfId="1" applyFont="1" applyFill="1" applyBorder="1" applyAlignment="1">
      <alignment horizontal="right" vertical="center" wrapText="1"/>
    </xf>
    <xf numFmtId="0" fontId="7" fillId="6" borderId="117" xfId="0" applyFont="1" applyFill="1" applyBorder="1" applyAlignment="1">
      <alignment horizontal="center" vertical="center" wrapText="1"/>
    </xf>
    <xf numFmtId="0" fontId="11" fillId="2" borderId="118" xfId="0" applyFont="1" applyFill="1" applyBorder="1" applyAlignment="1">
      <alignment horizontal="right" vertical="center" wrapText="1"/>
    </xf>
    <xf numFmtId="0" fontId="4" fillId="0" borderId="119" xfId="0" applyFont="1" applyFill="1" applyBorder="1" applyAlignment="1">
      <alignment horizontal="right" vertical="center" wrapText="1"/>
    </xf>
    <xf numFmtId="180" fontId="4" fillId="0" borderId="120" xfId="0" applyNumberFormat="1" applyFont="1" applyFill="1" applyBorder="1" applyAlignment="1">
      <alignment horizontal="right" vertical="center" wrapText="1"/>
    </xf>
    <xf numFmtId="3" fontId="11" fillId="2" borderId="118" xfId="0" applyNumberFormat="1" applyFont="1" applyFill="1" applyBorder="1" applyAlignment="1">
      <alignment horizontal="right" vertical="center" wrapText="1"/>
    </xf>
    <xf numFmtId="41" fontId="11" fillId="2" borderId="118" xfId="1" applyFont="1" applyFill="1" applyBorder="1" applyAlignment="1">
      <alignment horizontal="right" vertical="center" wrapText="1"/>
    </xf>
    <xf numFmtId="176" fontId="4" fillId="0" borderId="119" xfId="1" applyNumberFormat="1" applyFont="1" applyFill="1" applyBorder="1" applyAlignment="1">
      <alignment horizontal="right" vertical="center" wrapText="1"/>
    </xf>
    <xf numFmtId="0" fontId="11" fillId="0" borderId="118" xfId="0" applyFont="1" applyFill="1" applyBorder="1" applyAlignment="1">
      <alignment horizontal="right" vertical="center" wrapText="1"/>
    </xf>
    <xf numFmtId="180" fontId="11" fillId="0" borderId="119" xfId="0" applyNumberFormat="1" applyFont="1" applyFill="1" applyBorder="1" applyAlignment="1">
      <alignment horizontal="right" vertical="center" wrapText="1"/>
    </xf>
    <xf numFmtId="0" fontId="11" fillId="0" borderId="119" xfId="0" applyFont="1" applyFill="1" applyBorder="1" applyAlignment="1">
      <alignment horizontal="right" vertical="center" wrapText="1"/>
    </xf>
    <xf numFmtId="180" fontId="11" fillId="0" borderId="120" xfId="0" applyNumberFormat="1" applyFont="1" applyFill="1" applyBorder="1" applyAlignment="1">
      <alignment horizontal="right" vertical="center" wrapText="1"/>
    </xf>
    <xf numFmtId="41" fontId="6" fillId="0" borderId="121" xfId="1" applyFont="1" applyFill="1" applyBorder="1" applyAlignment="1">
      <alignment horizontal="right" vertical="center" wrapText="1"/>
    </xf>
    <xf numFmtId="41" fontId="6" fillId="0" borderId="122" xfId="1" applyFont="1" applyFill="1" applyBorder="1" applyAlignment="1">
      <alignment horizontal="right" vertical="center" wrapText="1"/>
    </xf>
    <xf numFmtId="41" fontId="6" fillId="0" borderId="123" xfId="1" applyFont="1" applyFill="1" applyBorder="1" applyAlignment="1">
      <alignment horizontal="right" vertical="center" wrapText="1"/>
    </xf>
    <xf numFmtId="0" fontId="7" fillId="3" borderId="56" xfId="0" applyFont="1" applyFill="1" applyBorder="1" applyAlignment="1">
      <alignment horizontal="center" vertical="center"/>
    </xf>
    <xf numFmtId="0" fontId="7" fillId="3" borderId="57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right" vertical="center"/>
    </xf>
    <xf numFmtId="0" fontId="7" fillId="3" borderId="1" xfId="3" applyFont="1" applyFill="1" applyBorder="1" applyAlignment="1">
      <alignment horizontal="center" vertical="center" wrapText="1"/>
    </xf>
    <xf numFmtId="0" fontId="7" fillId="3" borderId="31" xfId="3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shrinkToFit="1"/>
    </xf>
    <xf numFmtId="0" fontId="4" fillId="0" borderId="1" xfId="4" applyNumberFormat="1" applyFont="1" applyFill="1" applyBorder="1" applyAlignment="1">
      <alignment horizontal="right" vertical="center" wrapText="1"/>
    </xf>
    <xf numFmtId="180" fontId="4" fillId="0" borderId="1" xfId="5" applyNumberFormat="1" applyFont="1" applyFill="1" applyBorder="1" applyAlignment="1">
      <alignment horizontal="right" vertical="center" wrapText="1"/>
    </xf>
    <xf numFmtId="180" fontId="4" fillId="0" borderId="31" xfId="5" applyNumberFormat="1" applyFont="1" applyFill="1" applyBorder="1" applyAlignment="1">
      <alignment horizontal="right" vertical="center" wrapText="1"/>
    </xf>
    <xf numFmtId="0" fontId="6" fillId="6" borderId="20" xfId="0" applyFont="1" applyFill="1" applyBorder="1" applyAlignment="1">
      <alignment horizontal="center" vertical="center" wrapText="1"/>
    </xf>
    <xf numFmtId="177" fontId="4" fillId="0" borderId="4" xfId="1" applyNumberFormat="1" applyFont="1" applyBorder="1" applyAlignment="1">
      <alignment horizontal="right" vertical="center" wrapText="1"/>
    </xf>
    <xf numFmtId="177" fontId="4" fillId="0" borderId="4" xfId="1" applyNumberFormat="1" applyFont="1" applyFill="1" applyBorder="1" applyAlignment="1">
      <alignment horizontal="right" vertical="center" wrapText="1"/>
    </xf>
    <xf numFmtId="177" fontId="4" fillId="0" borderId="2" xfId="1" applyNumberFormat="1" applyFont="1" applyBorder="1" applyAlignment="1">
      <alignment horizontal="right" vertical="center" wrapText="1"/>
    </xf>
    <xf numFmtId="180" fontId="4" fillId="0" borderId="4" xfId="6" applyNumberFormat="1" applyFont="1" applyBorder="1" applyAlignment="1">
      <alignment horizontal="right" vertical="center" wrapText="1"/>
    </xf>
    <xf numFmtId="180" fontId="4" fillId="0" borderId="22" xfId="6" applyNumberFormat="1" applyFont="1" applyBorder="1" applyAlignment="1">
      <alignment horizontal="right" vertical="center" wrapText="1"/>
    </xf>
    <xf numFmtId="177" fontId="4" fillId="0" borderId="5" xfId="1" applyNumberFormat="1" applyFont="1" applyFill="1" applyBorder="1" applyAlignment="1">
      <alignment horizontal="right" vertical="center" wrapText="1"/>
    </xf>
    <xf numFmtId="177" fontId="4" fillId="0" borderId="3" xfId="1" applyNumberFormat="1" applyFont="1" applyBorder="1" applyAlignment="1">
      <alignment horizontal="right" vertical="center" wrapText="1"/>
    </xf>
    <xf numFmtId="180" fontId="4" fillId="0" borderId="3" xfId="6" applyNumberFormat="1" applyFont="1" applyBorder="1" applyAlignment="1">
      <alignment horizontal="right" vertical="center" wrapText="1"/>
    </xf>
    <xf numFmtId="180" fontId="4" fillId="0" borderId="28" xfId="6" applyNumberFormat="1" applyFont="1" applyBorder="1" applyAlignment="1">
      <alignment horizontal="right" vertical="center" wrapText="1"/>
    </xf>
    <xf numFmtId="0" fontId="6" fillId="6" borderId="32" xfId="0" applyFont="1" applyFill="1" applyBorder="1" applyAlignment="1">
      <alignment horizontal="center" vertical="center" wrapText="1"/>
    </xf>
    <xf numFmtId="177" fontId="4" fillId="0" borderId="1" xfId="1" applyNumberFormat="1" applyFont="1" applyBorder="1" applyAlignment="1">
      <alignment horizontal="right" vertical="center" wrapText="1"/>
    </xf>
    <xf numFmtId="177" fontId="4" fillId="0" borderId="1" xfId="1" applyNumberFormat="1" applyFont="1" applyFill="1" applyBorder="1" applyAlignment="1">
      <alignment horizontal="right" vertical="center" wrapText="1"/>
    </xf>
    <xf numFmtId="180" fontId="4" fillId="0" borderId="1" xfId="6" applyNumberFormat="1" applyFont="1" applyBorder="1" applyAlignment="1">
      <alignment horizontal="right" vertical="center" wrapText="1"/>
    </xf>
    <xf numFmtId="180" fontId="4" fillId="0" borderId="31" xfId="6" applyNumberFormat="1" applyFont="1" applyBorder="1" applyAlignment="1">
      <alignment horizontal="right" vertical="center" wrapText="1"/>
    </xf>
    <xf numFmtId="0" fontId="4" fillId="0" borderId="4" xfId="4" applyNumberFormat="1" applyFont="1" applyFill="1" applyBorder="1" applyAlignment="1">
      <alignment horizontal="right" vertical="center" wrapText="1"/>
    </xf>
    <xf numFmtId="180" fontId="4" fillId="0" borderId="2" xfId="5" applyNumberFormat="1" applyFont="1" applyFill="1" applyBorder="1" applyAlignment="1">
      <alignment horizontal="right" vertical="center" wrapText="1"/>
    </xf>
    <xf numFmtId="180" fontId="4" fillId="0" borderId="23" xfId="5" applyNumberFormat="1" applyFont="1" applyFill="1" applyBorder="1" applyAlignment="1">
      <alignment horizontal="right" vertical="center" wrapText="1"/>
    </xf>
    <xf numFmtId="0" fontId="6" fillId="6" borderId="49" xfId="3" applyFont="1" applyFill="1" applyBorder="1" applyAlignment="1">
      <alignment horizontal="center" vertical="center" wrapText="1"/>
    </xf>
    <xf numFmtId="0" fontId="11" fillId="2" borderId="125" xfId="4" applyNumberFormat="1" applyFont="1" applyFill="1" applyBorder="1" applyAlignment="1">
      <alignment horizontal="right" vertical="center" wrapText="1"/>
    </xf>
    <xf numFmtId="0" fontId="4" fillId="0" borderId="125" xfId="4" applyNumberFormat="1" applyFont="1" applyFill="1" applyBorder="1" applyAlignment="1">
      <alignment horizontal="right" vertical="center" wrapText="1"/>
    </xf>
    <xf numFmtId="180" fontId="4" fillId="0" borderId="83" xfId="5" applyNumberFormat="1" applyFont="1" applyFill="1" applyBorder="1" applyAlignment="1">
      <alignment horizontal="right" vertical="center" wrapText="1"/>
    </xf>
    <xf numFmtId="0" fontId="4" fillId="0" borderId="83" xfId="4" applyNumberFormat="1" applyFont="1" applyFill="1" applyBorder="1" applyAlignment="1">
      <alignment horizontal="right" vertical="center" wrapText="1"/>
    </xf>
    <xf numFmtId="180" fontId="4" fillId="0" borderId="52" xfId="6" applyNumberFormat="1" applyFont="1" applyFill="1" applyBorder="1" applyAlignment="1">
      <alignment horizontal="right" vertical="center" wrapText="1"/>
    </xf>
    <xf numFmtId="0" fontId="29" fillId="0" borderId="0" xfId="3" applyFont="1" applyFill="1" applyBorder="1" applyAlignment="1">
      <alignment horizontal="center" vertical="center" wrapText="1"/>
    </xf>
    <xf numFmtId="0" fontId="29" fillId="0" borderId="0" xfId="4" applyNumberFormat="1" applyFont="1" applyFill="1" applyBorder="1" applyAlignment="1">
      <alignment horizontal="center" vertical="center" wrapText="1"/>
    </xf>
    <xf numFmtId="0" fontId="6" fillId="0" borderId="0" xfId="4" applyNumberFormat="1" applyFont="1" applyFill="1" applyBorder="1" applyAlignment="1">
      <alignment horizontal="center" vertical="center" wrapText="1"/>
    </xf>
    <xf numFmtId="9" fontId="6" fillId="0" borderId="0" xfId="5" applyFont="1" applyFill="1" applyBorder="1" applyAlignment="1">
      <alignment horizontal="center" vertical="center" wrapText="1"/>
    </xf>
    <xf numFmtId="9" fontId="6" fillId="0" borderId="0" xfId="6" applyFont="1" applyFill="1" applyBorder="1" applyAlignment="1">
      <alignment horizontal="center" vertical="center" wrapText="1"/>
    </xf>
    <xf numFmtId="0" fontId="6" fillId="6" borderId="70" xfId="0" applyFont="1" applyFill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right" vertical="center"/>
    </xf>
    <xf numFmtId="180" fontId="5" fillId="0" borderId="31" xfId="0" applyNumberFormat="1" applyFont="1" applyBorder="1" applyAlignment="1">
      <alignment horizontal="right" vertical="center"/>
    </xf>
    <xf numFmtId="0" fontId="4" fillId="0" borderId="1" xfId="0" quotePrefix="1" applyNumberFormat="1" applyFont="1" applyFill="1" applyBorder="1" applyAlignment="1">
      <alignment horizontal="right" vertical="center"/>
    </xf>
    <xf numFmtId="0" fontId="6" fillId="6" borderId="38" xfId="0" applyFont="1" applyFill="1" applyBorder="1" applyAlignment="1">
      <alignment horizontal="center" vertical="center" wrapText="1"/>
    </xf>
    <xf numFmtId="177" fontId="4" fillId="0" borderId="82" xfId="1" applyNumberFormat="1" applyFont="1" applyBorder="1" applyAlignment="1">
      <alignment horizontal="right" vertical="center" wrapText="1"/>
    </xf>
    <xf numFmtId="177" fontId="4" fillId="0" borderId="82" xfId="1" applyNumberFormat="1" applyFont="1" applyFill="1" applyBorder="1" applyAlignment="1">
      <alignment horizontal="right" vertical="center" wrapText="1"/>
    </xf>
    <xf numFmtId="180" fontId="4" fillId="0" borderId="41" xfId="6" applyNumberFormat="1" applyFont="1" applyBorder="1" applyAlignment="1">
      <alignment horizontal="right" vertical="center" wrapText="1"/>
    </xf>
    <xf numFmtId="0" fontId="6" fillId="6" borderId="49" xfId="0" applyFont="1" applyFill="1" applyBorder="1" applyAlignment="1">
      <alignment horizontal="center" vertical="center" wrapText="1"/>
    </xf>
    <xf numFmtId="177" fontId="11" fillId="0" borderId="125" xfId="1" applyNumberFormat="1" applyFont="1" applyFill="1" applyBorder="1" applyAlignment="1">
      <alignment horizontal="right" vertical="center" wrapText="1"/>
    </xf>
    <xf numFmtId="177" fontId="11" fillId="0" borderId="83" xfId="1" applyNumberFormat="1" applyFont="1" applyBorder="1" applyAlignment="1">
      <alignment horizontal="right" vertical="center" wrapText="1"/>
    </xf>
    <xf numFmtId="180" fontId="11" fillId="0" borderId="83" xfId="6" applyNumberFormat="1" applyFont="1" applyBorder="1" applyAlignment="1">
      <alignment horizontal="right" vertical="center" wrapText="1"/>
    </xf>
    <xf numFmtId="180" fontId="11" fillId="0" borderId="53" xfId="0" applyNumberFormat="1" applyFont="1" applyFill="1" applyBorder="1" applyAlignment="1">
      <alignment horizontal="right" vertical="center" wrapText="1"/>
    </xf>
    <xf numFmtId="0" fontId="4" fillId="0" borderId="0" xfId="0" applyFont="1" applyFill="1" applyBorder="1" applyAlignment="1">
      <alignment horizontal="center" vertical="center" wrapText="1"/>
    </xf>
    <xf numFmtId="177" fontId="11" fillId="0" borderId="0" xfId="1" applyNumberFormat="1" applyFont="1" applyFill="1" applyBorder="1" applyAlignment="1">
      <alignment horizontal="center" vertical="center" wrapText="1"/>
    </xf>
    <xf numFmtId="177" fontId="11" fillId="0" borderId="0" xfId="1" applyNumberFormat="1" applyFont="1" applyBorder="1" applyAlignment="1">
      <alignment horizontal="center" vertical="center" wrapText="1"/>
    </xf>
    <xf numFmtId="9" fontId="7" fillId="0" borderId="0" xfId="6" applyFont="1" applyBorder="1" applyAlignment="1">
      <alignment horizontal="center" vertical="center" wrapText="1"/>
    </xf>
    <xf numFmtId="9" fontId="11" fillId="0" borderId="0" xfId="0" applyNumberFormat="1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right" vertical="center"/>
    </xf>
    <xf numFmtId="0" fontId="11" fillId="2" borderId="125" xfId="0" applyFont="1" applyFill="1" applyBorder="1" applyAlignment="1">
      <alignment horizontal="right" vertical="center"/>
    </xf>
    <xf numFmtId="0" fontId="11" fillId="2" borderId="53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77" fontId="19" fillId="2" borderId="1" xfId="0" applyNumberFormat="1" applyFont="1" applyFill="1" applyBorder="1" applyAlignment="1">
      <alignment horizontal="center" vertical="center"/>
    </xf>
    <xf numFmtId="177" fontId="6" fillId="2" borderId="1" xfId="1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>
      <alignment vertical="center"/>
    </xf>
    <xf numFmtId="0" fontId="19" fillId="0" borderId="1" xfId="0" applyNumberFormat="1" applyFont="1" applyFill="1" applyBorder="1" applyAlignment="1">
      <alignment horizontal="center" vertical="center"/>
    </xf>
    <xf numFmtId="177" fontId="19" fillId="0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6" fillId="2" borderId="1" xfId="0" applyNumberFormat="1" applyFont="1" applyFill="1" applyBorder="1" applyAlignment="1">
      <alignment vertical="center"/>
    </xf>
    <xf numFmtId="177" fontId="4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Border="1">
      <alignment vertical="center"/>
    </xf>
    <xf numFmtId="177" fontId="19" fillId="2" borderId="1" xfId="1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vertical="center"/>
    </xf>
    <xf numFmtId="31" fontId="6" fillId="2" borderId="1" xfId="0" applyNumberFormat="1" applyFont="1" applyFill="1" applyBorder="1" applyAlignment="1">
      <alignment vertical="center"/>
    </xf>
    <xf numFmtId="0" fontId="6" fillId="2" borderId="1" xfId="0" applyNumberFormat="1" applyFont="1" applyFill="1" applyBorder="1" applyAlignment="1">
      <alignment horizontal="left" vertical="center"/>
    </xf>
    <xf numFmtId="49" fontId="4" fillId="0" borderId="5" xfId="0" applyNumberFormat="1" applyFont="1" applyFill="1" applyBorder="1" applyAlignment="1">
      <alignment horizontal="center" vertical="center"/>
    </xf>
    <xf numFmtId="179" fontId="4" fillId="0" borderId="5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>
      <alignment vertical="center"/>
    </xf>
    <xf numFmtId="49" fontId="4" fillId="0" borderId="5" xfId="0" applyNumberFormat="1" applyFont="1" applyFill="1" applyBorder="1" applyAlignment="1">
      <alignment vertical="center"/>
    </xf>
    <xf numFmtId="0" fontId="4" fillId="0" borderId="5" xfId="0" applyNumberFormat="1" applyFont="1" applyFill="1" applyBorder="1" applyAlignment="1">
      <alignment horizontal="center" vertical="center"/>
    </xf>
    <xf numFmtId="177" fontId="4" fillId="0" borderId="5" xfId="0" applyNumberFormat="1" applyFont="1" applyFill="1" applyBorder="1" applyAlignment="1">
      <alignment horizontal="center" vertical="center"/>
    </xf>
    <xf numFmtId="14" fontId="4" fillId="0" borderId="5" xfId="0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vertical="center"/>
    </xf>
    <xf numFmtId="0" fontId="6" fillId="2" borderId="2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center"/>
    </xf>
    <xf numFmtId="0" fontId="14" fillId="3" borderId="1" xfId="0" applyNumberFormat="1" applyFont="1" applyFill="1" applyBorder="1" applyAlignment="1">
      <alignment horizontal="center" vertical="center"/>
    </xf>
    <xf numFmtId="179" fontId="14" fillId="3" borderId="1" xfId="0" applyNumberFormat="1" applyFont="1" applyFill="1" applyBorder="1" applyAlignment="1">
      <alignment horizontal="center" vertical="center" wrapText="1"/>
    </xf>
    <xf numFmtId="0" fontId="8" fillId="3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/>
    </xf>
    <xf numFmtId="177" fontId="10" fillId="0" borderId="0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49" fontId="4" fillId="5" borderId="2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4" fillId="6" borderId="68" xfId="0" applyFont="1" applyFill="1" applyBorder="1" applyAlignment="1">
      <alignment horizontal="center" vertical="center"/>
    </xf>
    <xf numFmtId="0" fontId="4" fillId="6" borderId="80" xfId="0" applyFont="1" applyFill="1" applyBorder="1" applyAlignment="1">
      <alignment horizontal="center" vertical="center"/>
    </xf>
    <xf numFmtId="177" fontId="4" fillId="0" borderId="80" xfId="0" applyNumberFormat="1" applyFont="1" applyBorder="1" applyAlignment="1">
      <alignment horizontal="right" vertical="center"/>
    </xf>
    <xf numFmtId="177" fontId="4" fillId="0" borderId="128" xfId="0" applyNumberFormat="1" applyFont="1" applyBorder="1" applyAlignment="1">
      <alignment horizontal="right" vertical="center"/>
    </xf>
    <xf numFmtId="177" fontId="4" fillId="0" borderId="68" xfId="0" applyNumberFormat="1" applyFont="1" applyBorder="1" applyAlignment="1">
      <alignment horizontal="right" vertical="center"/>
    </xf>
    <xf numFmtId="177" fontId="4" fillId="0" borderId="81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right" vertical="center"/>
    </xf>
    <xf numFmtId="177" fontId="4" fillId="0" borderId="82" xfId="0" applyNumberFormat="1" applyFont="1" applyBorder="1" applyAlignment="1">
      <alignment horizontal="right" vertical="center"/>
    </xf>
    <xf numFmtId="0" fontId="6" fillId="0" borderId="21" xfId="0" applyFont="1" applyFill="1" applyBorder="1" applyAlignment="1">
      <alignment horizontal="right" vertical="center"/>
    </xf>
    <xf numFmtId="0" fontId="6" fillId="0" borderId="27" xfId="0" applyFont="1" applyBorder="1" applyAlignment="1">
      <alignment horizontal="right" vertical="center"/>
    </xf>
    <xf numFmtId="0" fontId="6" fillId="0" borderId="33" xfId="0" applyFont="1" applyBorder="1" applyAlignment="1">
      <alignment horizontal="right" vertical="center"/>
    </xf>
    <xf numFmtId="0" fontId="6" fillId="0" borderId="21" xfId="0" applyFont="1" applyBorder="1" applyAlignment="1">
      <alignment horizontal="right" vertical="center"/>
    </xf>
    <xf numFmtId="176" fontId="6" fillId="0" borderId="37" xfId="0" applyNumberFormat="1" applyFont="1" applyBorder="1" applyAlignment="1">
      <alignment horizontal="right" vertical="center"/>
    </xf>
    <xf numFmtId="176" fontId="6" fillId="2" borderId="54" xfId="0" applyNumberFormat="1" applyFont="1" applyFill="1" applyBorder="1" applyAlignment="1">
      <alignment horizontal="right" vertical="center"/>
    </xf>
    <xf numFmtId="0" fontId="6" fillId="0" borderId="20" xfId="0" applyFont="1" applyFill="1" applyBorder="1" applyAlignment="1">
      <alignment horizontal="right" vertical="center"/>
    </xf>
    <xf numFmtId="0" fontId="6" fillId="0" borderId="23" xfId="0" applyFont="1" applyFill="1" applyBorder="1" applyAlignment="1">
      <alignment horizontal="right" vertical="center"/>
    </xf>
    <xf numFmtId="0" fontId="6" fillId="0" borderId="26" xfId="0" applyFont="1" applyFill="1" applyBorder="1" applyAlignment="1">
      <alignment horizontal="right" vertical="center"/>
    </xf>
    <xf numFmtId="0" fontId="6" fillId="0" borderId="25" xfId="0" applyFont="1" applyFill="1" applyBorder="1" applyAlignment="1">
      <alignment horizontal="right" vertical="center"/>
    </xf>
    <xf numFmtId="0" fontId="6" fillId="0" borderId="32" xfId="0" applyFont="1" applyFill="1" applyBorder="1" applyAlignment="1">
      <alignment horizontal="right" vertical="center"/>
    </xf>
    <xf numFmtId="0" fontId="6" fillId="0" borderId="31" xfId="0" applyFont="1" applyFill="1" applyBorder="1" applyAlignment="1">
      <alignment horizontal="right" vertical="center"/>
    </xf>
    <xf numFmtId="0" fontId="6" fillId="0" borderId="35" xfId="0" applyFont="1" applyFill="1" applyBorder="1" applyAlignment="1">
      <alignment horizontal="right" vertical="center"/>
    </xf>
    <xf numFmtId="0" fontId="4" fillId="5" borderId="1" xfId="0" applyNumberFormat="1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vertical="center"/>
    </xf>
    <xf numFmtId="177" fontId="4" fillId="5" borderId="1" xfId="0" applyNumberFormat="1" applyFont="1" applyFill="1" applyBorder="1" applyAlignment="1">
      <alignment horizontal="center" vertical="center"/>
    </xf>
    <xf numFmtId="177" fontId="4" fillId="5" borderId="1" xfId="1" applyNumberFormat="1" applyFont="1" applyFill="1" applyBorder="1" applyAlignment="1">
      <alignment horizontal="center" vertical="center"/>
    </xf>
    <xf numFmtId="179" fontId="4" fillId="5" borderId="1" xfId="0" applyNumberFormat="1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NumberFormat="1" applyFont="1" applyFill="1" applyBorder="1" applyAlignment="1">
      <alignment horizontal="left" vertical="center"/>
    </xf>
    <xf numFmtId="0" fontId="4" fillId="5" borderId="2" xfId="0" applyNumberFormat="1" applyFont="1" applyFill="1" applyBorder="1" applyAlignment="1">
      <alignment horizontal="center" vertical="center"/>
    </xf>
    <xf numFmtId="0" fontId="4" fillId="5" borderId="2" xfId="0" applyNumberFormat="1" applyFont="1" applyFill="1" applyBorder="1" applyAlignment="1">
      <alignment horizontal="left" vertical="center"/>
    </xf>
    <xf numFmtId="177" fontId="4" fillId="5" borderId="2" xfId="0" applyNumberFormat="1" applyFont="1" applyFill="1" applyBorder="1" applyAlignment="1">
      <alignment horizontal="center" vertical="center"/>
    </xf>
    <xf numFmtId="177" fontId="4" fillId="5" borderId="2" xfId="1" applyNumberFormat="1" applyFont="1" applyFill="1" applyBorder="1" applyAlignment="1">
      <alignment horizontal="center" vertical="center"/>
    </xf>
    <xf numFmtId="179" fontId="4" fillId="5" borderId="2" xfId="0" applyNumberFormat="1" applyFont="1" applyFill="1" applyBorder="1" applyAlignment="1">
      <alignment horizontal="center" vertical="center"/>
    </xf>
    <xf numFmtId="14" fontId="4" fillId="5" borderId="2" xfId="0" applyNumberFormat="1" applyFont="1" applyFill="1" applyBorder="1" applyAlignment="1">
      <alignment horizontal="center" vertical="center"/>
    </xf>
    <xf numFmtId="177" fontId="10" fillId="5" borderId="1" xfId="0" applyNumberFormat="1" applyFont="1" applyFill="1" applyBorder="1" applyAlignment="1">
      <alignment horizontal="center" vertical="center"/>
    </xf>
    <xf numFmtId="49" fontId="4" fillId="8" borderId="1" xfId="0" applyNumberFormat="1" applyFont="1" applyFill="1" applyBorder="1" applyAlignment="1">
      <alignment horizontal="center" vertical="center"/>
    </xf>
    <xf numFmtId="179" fontId="4" fillId="8" borderId="1" xfId="0" applyNumberFormat="1" applyFont="1" applyFill="1" applyBorder="1" applyAlignment="1">
      <alignment horizontal="center" vertical="center"/>
    </xf>
    <xf numFmtId="49" fontId="4" fillId="8" borderId="1" xfId="0" applyNumberFormat="1" applyFont="1" applyFill="1" applyBorder="1">
      <alignment vertical="center"/>
    </xf>
    <xf numFmtId="0" fontId="4" fillId="8" borderId="1" xfId="0" applyNumberFormat="1" applyFont="1" applyFill="1" applyBorder="1" applyAlignment="1">
      <alignment vertical="center"/>
    </xf>
    <xf numFmtId="49" fontId="4" fillId="8" borderId="1" xfId="0" applyNumberFormat="1" applyFont="1" applyFill="1" applyBorder="1" applyAlignment="1">
      <alignment vertical="center"/>
    </xf>
    <xf numFmtId="0" fontId="5" fillId="8" borderId="1" xfId="0" applyFont="1" applyFill="1" applyBorder="1" applyAlignment="1">
      <alignment horizontal="center" vertical="center"/>
    </xf>
    <xf numFmtId="49" fontId="4" fillId="8" borderId="1" xfId="0" applyNumberFormat="1" applyFont="1" applyFill="1" applyBorder="1" applyAlignment="1">
      <alignment horizontal="left" vertical="center"/>
    </xf>
    <xf numFmtId="0" fontId="4" fillId="8" borderId="1" xfId="0" applyNumberFormat="1" applyFont="1" applyFill="1" applyBorder="1" applyAlignment="1">
      <alignment horizontal="left" vertical="center"/>
    </xf>
    <xf numFmtId="0" fontId="4" fillId="8" borderId="1" xfId="0" applyNumberFormat="1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right" vertical="center"/>
    </xf>
    <xf numFmtId="0" fontId="6" fillId="0" borderId="28" xfId="0" applyFont="1" applyFill="1" applyBorder="1" applyAlignment="1">
      <alignment horizontal="right" vertical="center"/>
    </xf>
    <xf numFmtId="49" fontId="6" fillId="2" borderId="1" xfId="0" applyNumberFormat="1" applyFont="1" applyFill="1" applyBorder="1" applyAlignment="1">
      <alignment vertical="center"/>
    </xf>
    <xf numFmtId="0" fontId="11" fillId="0" borderId="1" xfId="0" applyNumberFormat="1" applyFont="1" applyFill="1" applyBorder="1" applyAlignment="1">
      <alignment horizontal="center" vertical="center"/>
    </xf>
    <xf numFmtId="0" fontId="6" fillId="0" borderId="23" xfId="0" applyFont="1" applyBorder="1" applyAlignment="1">
      <alignment horizontal="right" vertical="center"/>
    </xf>
    <xf numFmtId="0" fontId="6" fillId="0" borderId="25" xfId="0" applyFont="1" applyBorder="1" applyAlignment="1">
      <alignment horizontal="right" vertical="center"/>
    </xf>
    <xf numFmtId="0" fontId="6" fillId="0" borderId="31" xfId="0" applyFont="1" applyBorder="1" applyAlignment="1">
      <alignment horizontal="right" vertical="center"/>
    </xf>
    <xf numFmtId="177" fontId="6" fillId="0" borderId="4" xfId="1" applyNumberFormat="1" applyFont="1" applyBorder="1" applyAlignment="1">
      <alignment horizontal="right" vertical="center" wrapText="1"/>
    </xf>
    <xf numFmtId="177" fontId="6" fillId="0" borderId="1" xfId="1" applyNumberFormat="1" applyFont="1" applyBorder="1" applyAlignment="1">
      <alignment horizontal="right" vertical="center" wrapText="1"/>
    </xf>
    <xf numFmtId="177" fontId="6" fillId="0" borderId="126" xfId="1" applyNumberFormat="1" applyFont="1" applyFill="1" applyBorder="1" applyAlignment="1">
      <alignment horizontal="right" vertical="center" wrapText="1"/>
    </xf>
    <xf numFmtId="49" fontId="4" fillId="9" borderId="1" xfId="0" applyNumberFormat="1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right" vertical="center"/>
    </xf>
    <xf numFmtId="0" fontId="4" fillId="0" borderId="29" xfId="0" applyFont="1" applyFill="1" applyBorder="1" applyAlignment="1">
      <alignment horizontal="right" vertical="center"/>
    </xf>
    <xf numFmtId="0" fontId="4" fillId="0" borderId="34" xfId="0" applyFont="1" applyFill="1" applyBorder="1" applyAlignment="1">
      <alignment horizontal="right" vertical="center"/>
    </xf>
    <xf numFmtId="180" fontId="4" fillId="0" borderId="69" xfId="0" applyNumberFormat="1" applyFont="1" applyFill="1" applyBorder="1" applyAlignment="1">
      <alignment horizontal="right" vertical="center"/>
    </xf>
    <xf numFmtId="176" fontId="4" fillId="3" borderId="129" xfId="0" applyNumberFormat="1" applyFont="1" applyFill="1" applyBorder="1" applyAlignment="1">
      <alignment horizontal="center" vertical="center" wrapText="1"/>
    </xf>
    <xf numFmtId="176" fontId="11" fillId="0" borderId="130" xfId="0" applyNumberFormat="1" applyFont="1" applyFill="1" applyBorder="1" applyAlignment="1">
      <alignment horizontal="right" vertical="center"/>
    </xf>
    <xf numFmtId="176" fontId="11" fillId="0" borderId="131" xfId="0" applyNumberFormat="1" applyFont="1" applyFill="1" applyBorder="1" applyAlignment="1">
      <alignment horizontal="right" vertical="center"/>
    </xf>
    <xf numFmtId="176" fontId="11" fillId="2" borderId="132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left" vertical="center"/>
    </xf>
    <xf numFmtId="0" fontId="4" fillId="0" borderId="5" xfId="0" applyNumberFormat="1" applyFont="1" applyFill="1" applyBorder="1" applyAlignment="1">
      <alignment horizontal="left" vertical="center"/>
    </xf>
    <xf numFmtId="0" fontId="10" fillId="0" borderId="1" xfId="0" applyNumberFormat="1" applyFont="1" applyFill="1" applyBorder="1" applyAlignment="1">
      <alignment horizontal="left" vertical="center" wrapText="1"/>
    </xf>
    <xf numFmtId="177" fontId="4" fillId="0" borderId="5" xfId="1" applyNumberFormat="1" applyFont="1" applyFill="1" applyBorder="1" applyAlignment="1">
      <alignment horizontal="center" vertical="center"/>
    </xf>
    <xf numFmtId="49" fontId="4" fillId="10" borderId="1" xfId="0" applyNumberFormat="1" applyFont="1" applyFill="1" applyBorder="1" applyAlignment="1">
      <alignment vertical="center"/>
    </xf>
    <xf numFmtId="49" fontId="4" fillId="10" borderId="1" xfId="0" applyNumberFormat="1" applyFont="1" applyFill="1" applyBorder="1" applyAlignment="1">
      <alignment horizontal="center" vertical="center"/>
    </xf>
    <xf numFmtId="177" fontId="4" fillId="10" borderId="1" xfId="0" applyNumberFormat="1" applyFont="1" applyFill="1" applyBorder="1" applyAlignment="1">
      <alignment horizontal="center" vertical="center"/>
    </xf>
    <xf numFmtId="177" fontId="4" fillId="10" borderId="1" xfId="1" applyNumberFormat="1" applyFont="1" applyFill="1" applyBorder="1" applyAlignment="1">
      <alignment horizontal="center" vertical="center"/>
    </xf>
    <xf numFmtId="179" fontId="4" fillId="10" borderId="1" xfId="0" applyNumberFormat="1" applyFont="1" applyFill="1" applyBorder="1" applyAlignment="1">
      <alignment horizontal="center" vertical="center"/>
    </xf>
    <xf numFmtId="177" fontId="6" fillId="10" borderId="1" xfId="0" applyNumberFormat="1" applyFont="1" applyFill="1" applyBorder="1" applyAlignment="1">
      <alignment horizontal="center" vertical="center"/>
    </xf>
    <xf numFmtId="176" fontId="4" fillId="10" borderId="32" xfId="0" applyNumberFormat="1" applyFont="1" applyFill="1" applyBorder="1" applyAlignment="1">
      <alignment horizontal="right" vertical="center"/>
    </xf>
    <xf numFmtId="177" fontId="4" fillId="10" borderId="8" xfId="0" applyNumberFormat="1" applyFont="1" applyFill="1" applyBorder="1" applyAlignment="1">
      <alignment horizontal="right" vertical="center"/>
    </xf>
    <xf numFmtId="177" fontId="4" fillId="10" borderId="68" xfId="0" applyNumberFormat="1" applyFont="1" applyFill="1" applyBorder="1" applyAlignment="1">
      <alignment horizontal="right" vertical="center"/>
    </xf>
    <xf numFmtId="0" fontId="6" fillId="10" borderId="32" xfId="0" applyFont="1" applyFill="1" applyBorder="1" applyAlignment="1">
      <alignment horizontal="right" vertical="center"/>
    </xf>
    <xf numFmtId="0" fontId="6" fillId="10" borderId="31" xfId="0" applyFont="1" applyFill="1" applyBorder="1" applyAlignment="1">
      <alignment horizontal="right" vertical="center"/>
    </xf>
    <xf numFmtId="0" fontId="6" fillId="10" borderId="33" xfId="0" applyFont="1" applyFill="1" applyBorder="1" applyAlignment="1">
      <alignment horizontal="right" vertical="center"/>
    </xf>
    <xf numFmtId="41" fontId="4" fillId="0" borderId="113" xfId="1" applyFont="1" applyFill="1" applyBorder="1" applyAlignment="1">
      <alignment horizontal="right" vertical="center" wrapText="1"/>
    </xf>
    <xf numFmtId="0" fontId="6" fillId="0" borderId="32" xfId="3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177" fontId="6" fillId="0" borderId="4" xfId="1" applyNumberFormat="1" applyFont="1" applyFill="1" applyBorder="1" applyAlignment="1">
      <alignment horizontal="right" vertical="center" wrapText="1"/>
    </xf>
    <xf numFmtId="0" fontId="6" fillId="0" borderId="26" xfId="0" applyFont="1" applyFill="1" applyBorder="1" applyAlignment="1">
      <alignment horizontal="center" vertical="center" wrapText="1"/>
    </xf>
    <xf numFmtId="177" fontId="6" fillId="0" borderId="5" xfId="1" applyNumberFormat="1" applyFont="1" applyFill="1" applyBorder="1" applyAlignment="1">
      <alignment horizontal="right" vertical="center" wrapText="1"/>
    </xf>
    <xf numFmtId="0" fontId="6" fillId="0" borderId="32" xfId="0" applyFont="1" applyFill="1" applyBorder="1" applyAlignment="1">
      <alignment horizontal="center" vertical="center" wrapText="1"/>
    </xf>
    <xf numFmtId="177" fontId="6" fillId="0" borderId="1" xfId="1" applyNumberFormat="1" applyFont="1" applyFill="1" applyBorder="1" applyAlignment="1">
      <alignment horizontal="right" vertical="center" wrapText="1"/>
    </xf>
    <xf numFmtId="0" fontId="6" fillId="0" borderId="20" xfId="3" applyFont="1" applyFill="1" applyBorder="1" applyAlignment="1">
      <alignment horizontal="center" vertical="center" wrapText="1"/>
    </xf>
    <xf numFmtId="0" fontId="4" fillId="0" borderId="2" xfId="4" applyNumberFormat="1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177" fontId="11" fillId="2" borderId="53" xfId="0" applyNumberFormat="1" applyFont="1" applyFill="1" applyBorder="1" applyAlignment="1">
      <alignment horizontal="right" vertical="center" wrapText="1"/>
    </xf>
    <xf numFmtId="177" fontId="11" fillId="0" borderId="125" xfId="6" applyNumberFormat="1" applyFont="1" applyFill="1" applyBorder="1" applyAlignment="1">
      <alignment horizontal="right" vertical="center" wrapText="1"/>
    </xf>
    <xf numFmtId="177" fontId="11" fillId="2" borderId="125" xfId="1" applyNumberFormat="1" applyFont="1" applyFill="1" applyBorder="1" applyAlignment="1">
      <alignment horizontal="right" vertical="center" wrapText="1"/>
    </xf>
    <xf numFmtId="0" fontId="6" fillId="11" borderId="49" xfId="0" applyFont="1" applyFill="1" applyBorder="1" applyAlignment="1">
      <alignment horizontal="center" vertical="center" wrapText="1"/>
    </xf>
    <xf numFmtId="177" fontId="4" fillId="0" borderId="22" xfId="6" applyNumberFormat="1" applyFont="1" applyFill="1" applyBorder="1" applyAlignment="1">
      <alignment horizontal="right" vertical="center" wrapText="1"/>
    </xf>
    <xf numFmtId="177" fontId="4" fillId="0" borderId="4" xfId="6" applyNumberFormat="1" applyFont="1" applyFill="1" applyBorder="1" applyAlignment="1">
      <alignment horizontal="right" vertical="center" wrapText="1"/>
    </xf>
    <xf numFmtId="0" fontId="6" fillId="11" borderId="20" xfId="0" applyFont="1" applyFill="1" applyBorder="1" applyAlignment="1">
      <alignment horizontal="center" vertical="center" wrapText="1"/>
    </xf>
    <xf numFmtId="177" fontId="4" fillId="0" borderId="31" xfId="6" applyNumberFormat="1" applyFont="1" applyFill="1" applyBorder="1" applyAlignment="1">
      <alignment horizontal="right" vertical="center" wrapText="1"/>
    </xf>
    <xf numFmtId="177" fontId="4" fillId="0" borderId="1" xfId="6" applyNumberFormat="1" applyFont="1" applyFill="1" applyBorder="1" applyAlignment="1">
      <alignment horizontal="right" vertical="center" wrapText="1"/>
    </xf>
    <xf numFmtId="0" fontId="6" fillId="11" borderId="32" xfId="0" applyFont="1" applyFill="1" applyBorder="1" applyAlignment="1">
      <alignment horizontal="center" vertical="center" wrapText="1"/>
    </xf>
    <xf numFmtId="177" fontId="5" fillId="0" borderId="31" xfId="0" applyNumberFormat="1" applyFont="1" applyFill="1" applyBorder="1" applyAlignment="1">
      <alignment horizontal="right" vertical="center"/>
    </xf>
    <xf numFmtId="177" fontId="5" fillId="0" borderId="1" xfId="0" applyNumberFormat="1" applyFont="1" applyFill="1" applyBorder="1" applyAlignment="1">
      <alignment horizontal="right" vertical="center"/>
    </xf>
    <xf numFmtId="176" fontId="11" fillId="2" borderId="53" xfId="0" applyNumberFormat="1" applyFont="1" applyFill="1" applyBorder="1" applyAlignment="1">
      <alignment horizontal="right" vertical="center" wrapText="1"/>
    </xf>
    <xf numFmtId="176" fontId="11" fillId="2" borderId="125" xfId="1" applyNumberFormat="1" applyFont="1" applyFill="1" applyBorder="1" applyAlignment="1">
      <alignment horizontal="right" vertical="center" wrapText="1"/>
    </xf>
    <xf numFmtId="41" fontId="11" fillId="2" borderId="125" xfId="1" applyFont="1" applyFill="1" applyBorder="1" applyAlignment="1">
      <alignment horizontal="right" vertical="center" wrapText="1"/>
    </xf>
    <xf numFmtId="180" fontId="4" fillId="0" borderId="125" xfId="0" applyNumberFormat="1" applyFont="1" applyFill="1" applyBorder="1" applyAlignment="1">
      <alignment horizontal="right" vertical="center" wrapText="1"/>
    </xf>
    <xf numFmtId="176" fontId="11" fillId="2" borderId="125" xfId="0" applyNumberFormat="1" applyFont="1" applyFill="1" applyBorder="1" applyAlignment="1">
      <alignment horizontal="right" vertical="center" wrapText="1"/>
    </xf>
    <xf numFmtId="3" fontId="11" fillId="2" borderId="125" xfId="0" applyNumberFormat="1" applyFont="1" applyFill="1" applyBorder="1" applyAlignment="1">
      <alignment horizontal="right" vertical="center" wrapText="1"/>
    </xf>
    <xf numFmtId="176" fontId="11" fillId="0" borderId="125" xfId="0" applyNumberFormat="1" applyFont="1" applyFill="1" applyBorder="1" applyAlignment="1">
      <alignment horizontal="right" vertical="center" wrapText="1"/>
    </xf>
    <xf numFmtId="0" fontId="11" fillId="0" borderId="125" xfId="0" applyFont="1" applyFill="1" applyBorder="1" applyAlignment="1">
      <alignment horizontal="right" vertical="center" wrapText="1"/>
    </xf>
    <xf numFmtId="0" fontId="7" fillId="6" borderId="49" xfId="0" applyFont="1" applyFill="1" applyBorder="1" applyAlignment="1">
      <alignment horizontal="center" vertical="center" wrapText="1"/>
    </xf>
    <xf numFmtId="176" fontId="4" fillId="0" borderId="22" xfId="0" applyNumberFormat="1" applyFont="1" applyFill="1" applyBorder="1" applyAlignment="1">
      <alignment horizontal="right" vertical="center" wrapText="1"/>
    </xf>
    <xf numFmtId="176" fontId="4" fillId="0" borderId="4" xfId="1" applyNumberFormat="1" applyFont="1" applyFill="1" applyBorder="1" applyAlignment="1">
      <alignment horizontal="right" vertical="center" wrapText="1"/>
    </xf>
    <xf numFmtId="41" fontId="4" fillId="0" borderId="4" xfId="1" applyFont="1" applyFill="1" applyBorder="1" applyAlignment="1">
      <alignment horizontal="right" vertical="center" wrapText="1"/>
    </xf>
    <xf numFmtId="180" fontId="4" fillId="0" borderId="4" xfId="0" applyNumberFormat="1" applyFont="1" applyFill="1" applyBorder="1" applyAlignment="1">
      <alignment horizontal="right" vertical="center" wrapText="1"/>
    </xf>
    <xf numFmtId="176" fontId="4" fillId="0" borderId="4" xfId="0" applyNumberFormat="1" applyFont="1" applyFill="1" applyBorder="1" applyAlignment="1">
      <alignment horizontal="right" vertical="center" wrapText="1"/>
    </xf>
    <xf numFmtId="0" fontId="4" fillId="0" borderId="4" xfId="0" applyFont="1" applyFill="1" applyBorder="1" applyAlignment="1">
      <alignment horizontal="right" vertical="center" wrapText="1"/>
    </xf>
    <xf numFmtId="0" fontId="7" fillId="6" borderId="20" xfId="0" applyFont="1" applyFill="1" applyBorder="1" applyAlignment="1">
      <alignment horizontal="center" vertical="center" wrapText="1"/>
    </xf>
    <xf numFmtId="176" fontId="4" fillId="0" borderId="31" xfId="0" applyNumberFormat="1" applyFont="1" applyFill="1" applyBorder="1" applyAlignment="1">
      <alignment horizontal="right" vertical="center" wrapText="1"/>
    </xf>
    <xf numFmtId="176" fontId="4" fillId="0" borderId="1" xfId="1" applyNumberFormat="1" applyFont="1" applyFill="1" applyBorder="1" applyAlignment="1">
      <alignment horizontal="right" vertical="center" wrapText="1"/>
    </xf>
    <xf numFmtId="41" fontId="4" fillId="0" borderId="1" xfId="1" applyFont="1" applyFill="1" applyBorder="1" applyAlignment="1">
      <alignment horizontal="right" vertical="center" wrapText="1"/>
    </xf>
    <xf numFmtId="180" fontId="4" fillId="0" borderId="1" xfId="0" applyNumberFormat="1" applyFont="1" applyFill="1" applyBorder="1" applyAlignment="1">
      <alignment horizontal="right" vertical="center" wrapText="1"/>
    </xf>
    <xf numFmtId="176" fontId="4" fillId="0" borderId="1" xfId="0" applyNumberFormat="1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horizontal="right" vertical="center" wrapText="1"/>
    </xf>
    <xf numFmtId="0" fontId="7" fillId="6" borderId="32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7" fillId="3" borderId="93" xfId="0" applyFont="1" applyFill="1" applyBorder="1" applyAlignment="1">
      <alignment horizontal="center" vertical="center" wrapText="1"/>
    </xf>
    <xf numFmtId="0" fontId="7" fillId="3" borderId="100" xfId="0" applyFont="1" applyFill="1" applyBorder="1" applyAlignment="1">
      <alignment horizontal="center" vertical="center" wrapText="1"/>
    </xf>
    <xf numFmtId="0" fontId="7" fillId="3" borderId="94" xfId="0" applyFont="1" applyFill="1" applyBorder="1" applyAlignment="1">
      <alignment horizontal="center" vertical="center" wrapText="1"/>
    </xf>
    <xf numFmtId="0" fontId="7" fillId="3" borderId="101" xfId="0" applyFont="1" applyFill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/>
    </xf>
    <xf numFmtId="0" fontId="7" fillId="3" borderId="84" xfId="0" applyFont="1" applyFill="1" applyBorder="1" applyAlignment="1">
      <alignment horizontal="center" vertical="center" wrapText="1"/>
    </xf>
    <xf numFmtId="0" fontId="7" fillId="3" borderId="89" xfId="0" applyFont="1" applyFill="1" applyBorder="1" applyAlignment="1">
      <alignment horizontal="center" vertical="center" wrapText="1"/>
    </xf>
    <xf numFmtId="0" fontId="7" fillId="3" borderId="96" xfId="0" applyFont="1" applyFill="1" applyBorder="1" applyAlignment="1">
      <alignment horizontal="center" vertical="center" wrapText="1"/>
    </xf>
    <xf numFmtId="0" fontId="7" fillId="3" borderId="85" xfId="0" applyFont="1" applyFill="1" applyBorder="1" applyAlignment="1">
      <alignment horizontal="center" vertical="center" wrapText="1"/>
    </xf>
    <xf numFmtId="0" fontId="7" fillId="3" borderId="86" xfId="0" applyFont="1" applyFill="1" applyBorder="1" applyAlignment="1">
      <alignment horizontal="center" vertical="center" wrapText="1"/>
    </xf>
    <xf numFmtId="0" fontId="7" fillId="3" borderId="60" xfId="0" applyFont="1" applyFill="1" applyBorder="1" applyAlignment="1">
      <alignment horizontal="center" vertical="center" wrapText="1"/>
    </xf>
    <xf numFmtId="0" fontId="7" fillId="3" borderId="87" xfId="0" applyFont="1" applyFill="1" applyBorder="1" applyAlignment="1">
      <alignment horizontal="center" vertical="center" wrapText="1"/>
    </xf>
    <xf numFmtId="0" fontId="7" fillId="3" borderId="88" xfId="0" applyFont="1" applyFill="1" applyBorder="1" applyAlignment="1">
      <alignment horizontal="center" vertical="center" wrapText="1"/>
    </xf>
    <xf numFmtId="0" fontId="7" fillId="3" borderId="90" xfId="0" applyFont="1" applyFill="1" applyBorder="1" applyAlignment="1">
      <alignment horizontal="center" vertical="center" wrapText="1"/>
    </xf>
    <xf numFmtId="0" fontId="7" fillId="3" borderId="97" xfId="0" applyFont="1" applyFill="1" applyBorder="1" applyAlignment="1">
      <alignment horizontal="center" vertical="center" wrapText="1"/>
    </xf>
    <xf numFmtId="0" fontId="7" fillId="3" borderId="91" xfId="0" applyFont="1" applyFill="1" applyBorder="1" applyAlignment="1">
      <alignment horizontal="center" vertical="center" wrapText="1"/>
    </xf>
    <xf numFmtId="0" fontId="7" fillId="3" borderId="98" xfId="0" applyFont="1" applyFill="1" applyBorder="1" applyAlignment="1">
      <alignment horizontal="center" vertical="center" wrapText="1"/>
    </xf>
    <xf numFmtId="0" fontId="7" fillId="3" borderId="92" xfId="0" applyFont="1" applyFill="1" applyBorder="1" applyAlignment="1">
      <alignment horizontal="center" vertical="center" wrapText="1"/>
    </xf>
    <xf numFmtId="0" fontId="7" fillId="3" borderId="99" xfId="0" applyFont="1" applyFill="1" applyBorder="1" applyAlignment="1">
      <alignment horizontal="center" vertical="center" wrapText="1"/>
    </xf>
    <xf numFmtId="0" fontId="7" fillId="3" borderId="95" xfId="0" applyFont="1" applyFill="1" applyBorder="1" applyAlignment="1">
      <alignment horizontal="center" vertical="center" wrapText="1"/>
    </xf>
    <xf numFmtId="0" fontId="7" fillId="3" borderId="102" xfId="0" applyFont="1" applyFill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27" fillId="0" borderId="9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7" fillId="3" borderId="56" xfId="3" applyFont="1" applyFill="1" applyBorder="1" applyAlignment="1">
      <alignment horizontal="center" vertical="center" wrapText="1"/>
    </xf>
    <xf numFmtId="0" fontId="7" fillId="3" borderId="26" xfId="3" applyFont="1" applyFill="1" applyBorder="1" applyAlignment="1">
      <alignment horizontal="center" vertical="center" wrapText="1"/>
    </xf>
    <xf numFmtId="0" fontId="7" fillId="3" borderId="57" xfId="3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7" fillId="3" borderId="13" xfId="3" applyFont="1" applyFill="1" applyBorder="1" applyAlignment="1">
      <alignment horizontal="center" vertical="center" wrapText="1"/>
    </xf>
    <xf numFmtId="0" fontId="7" fillId="3" borderId="15" xfId="3" applyFont="1" applyFill="1" applyBorder="1" applyAlignment="1">
      <alignment horizontal="center" vertical="center" wrapText="1"/>
    </xf>
    <xf numFmtId="0" fontId="7" fillId="3" borderId="124" xfId="3" applyFont="1" applyFill="1" applyBorder="1" applyAlignment="1">
      <alignment horizontal="center" vertical="center" wrapText="1"/>
    </xf>
    <xf numFmtId="0" fontId="7" fillId="3" borderId="56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3" borderId="57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6" fillId="6" borderId="51" xfId="0" applyFont="1" applyFill="1" applyBorder="1" applyAlignment="1">
      <alignment horizontal="center" vertical="center"/>
    </xf>
    <xf numFmtId="0" fontId="6" fillId="6" borderId="44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 wrapText="1"/>
    </xf>
    <xf numFmtId="0" fontId="6" fillId="6" borderId="35" xfId="0" applyFont="1" applyFill="1" applyBorder="1" applyAlignment="1">
      <alignment horizontal="center" vertical="center"/>
    </xf>
    <xf numFmtId="0" fontId="6" fillId="6" borderId="70" xfId="0" applyFont="1" applyFill="1" applyBorder="1" applyAlignment="1">
      <alignment horizontal="center" vertical="center"/>
    </xf>
    <xf numFmtId="0" fontId="6" fillId="6" borderId="26" xfId="0" applyFont="1" applyFill="1" applyBorder="1" applyAlignment="1">
      <alignment horizontal="center" vertical="center"/>
    </xf>
    <xf numFmtId="0" fontId="6" fillId="6" borderId="127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 wrapText="1"/>
    </xf>
    <xf numFmtId="0" fontId="7" fillId="3" borderId="124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7" fillId="3" borderId="12" xfId="0" applyFont="1" applyFill="1" applyBorder="1" applyAlignment="1">
      <alignment horizontal="center" vertical="center" wrapText="1"/>
    </xf>
    <xf numFmtId="0" fontId="32" fillId="0" borderId="0" xfId="0" applyFont="1" applyFill="1" applyBorder="1" applyAlignment="1">
      <alignment horizontal="left" vertical="center"/>
    </xf>
    <xf numFmtId="0" fontId="32" fillId="0" borderId="0" xfId="0" applyFont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49" fontId="4" fillId="12" borderId="1" xfId="0" applyNumberFormat="1" applyFont="1" applyFill="1" applyBorder="1" applyAlignment="1">
      <alignment horizontal="center" vertical="center"/>
    </xf>
    <xf numFmtId="0" fontId="4" fillId="12" borderId="1" xfId="0" applyNumberFormat="1" applyFont="1" applyFill="1" applyBorder="1" applyAlignment="1">
      <alignment horizontal="center" vertical="center"/>
    </xf>
    <xf numFmtId="0" fontId="6" fillId="12" borderId="1" xfId="0" applyNumberFormat="1" applyFont="1" applyFill="1" applyBorder="1" applyAlignment="1">
      <alignment horizontal="left" vertical="center"/>
    </xf>
    <xf numFmtId="0" fontId="4" fillId="12" borderId="1" xfId="0" applyNumberFormat="1" applyFont="1" applyFill="1" applyBorder="1" applyAlignment="1">
      <alignment horizontal="left" vertical="center"/>
    </xf>
    <xf numFmtId="177" fontId="4" fillId="12" borderId="1" xfId="0" applyNumberFormat="1" applyFont="1" applyFill="1" applyBorder="1" applyAlignment="1">
      <alignment horizontal="center" vertical="center"/>
    </xf>
    <xf numFmtId="177" fontId="4" fillId="12" borderId="1" xfId="1" applyNumberFormat="1" applyFont="1" applyFill="1" applyBorder="1" applyAlignment="1">
      <alignment horizontal="center" vertical="center"/>
    </xf>
    <xf numFmtId="179" fontId="4" fillId="12" borderId="1" xfId="0" applyNumberFormat="1" applyFont="1" applyFill="1" applyBorder="1" applyAlignment="1">
      <alignment horizontal="center" vertical="center"/>
    </xf>
    <xf numFmtId="14" fontId="4" fillId="12" borderId="1" xfId="0" applyNumberFormat="1" applyFont="1" applyFill="1" applyBorder="1" applyAlignment="1">
      <alignment horizontal="center" vertical="center"/>
    </xf>
  </cellXfs>
  <cellStyles count="7">
    <cellStyle name="백분율" xfId="6" builtinId="5"/>
    <cellStyle name="백분율 2" xfId="5"/>
    <cellStyle name="보통" xfId="2" builtinId="28"/>
    <cellStyle name="쉼표 [0]" xfId="1" builtinId="6"/>
    <cellStyle name="쉼표 [0] 2" xfId="4"/>
    <cellStyle name="표준" xfId="0" builtinId="0"/>
    <cellStyle name="표준 2" xfId="3"/>
  </cellStyles>
  <dxfs count="0"/>
  <tableStyles count="0" defaultTableStyle="TableStyleMedium2" defaultPivotStyle="PivotStyleLight16"/>
  <colors>
    <mruColors>
      <color rgb="FFFFCCFF"/>
      <color rgb="FF0000FF"/>
      <color rgb="FF99FFCC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31"/>
  <sheetViews>
    <sheetView zoomScaleNormal="100" workbookViewId="0">
      <pane xSplit="1" ySplit="2" topLeftCell="H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16.5" x14ac:dyDescent="0.3"/>
  <cols>
    <col min="21" max="21" width="10" customWidth="1"/>
  </cols>
  <sheetData>
    <row r="1" spans="1:22" ht="27" thickBot="1" x14ac:dyDescent="0.35">
      <c r="A1" s="662" t="s">
        <v>3660</v>
      </c>
      <c r="B1" s="662"/>
      <c r="C1" s="662"/>
      <c r="D1" s="662"/>
      <c r="E1" s="662"/>
      <c r="F1" s="662"/>
      <c r="G1" s="662"/>
      <c r="H1" s="662"/>
      <c r="I1" s="662"/>
      <c r="J1" s="662"/>
      <c r="K1" s="662"/>
      <c r="L1" s="662"/>
      <c r="M1" s="662"/>
      <c r="N1" s="662"/>
      <c r="O1" s="662"/>
      <c r="P1" s="662"/>
      <c r="Q1" s="662"/>
      <c r="R1" s="662"/>
      <c r="S1" s="662"/>
      <c r="T1" s="662"/>
      <c r="U1" s="662"/>
      <c r="V1" s="662"/>
    </row>
    <row r="2" spans="1:22" ht="40.5" x14ac:dyDescent="0.3">
      <c r="A2" s="194" t="s">
        <v>3207</v>
      </c>
      <c r="B2" s="195" t="s">
        <v>3661</v>
      </c>
      <c r="C2" s="196" t="s">
        <v>3662</v>
      </c>
      <c r="D2" s="197" t="s">
        <v>3208</v>
      </c>
      <c r="E2" s="198" t="s">
        <v>3209</v>
      </c>
      <c r="F2" s="199" t="s">
        <v>3663</v>
      </c>
      <c r="G2" s="196" t="s">
        <v>3664</v>
      </c>
      <c r="H2" s="269" t="s">
        <v>3210</v>
      </c>
      <c r="I2" s="198" t="s">
        <v>3211</v>
      </c>
      <c r="J2" s="199" t="s">
        <v>3665</v>
      </c>
      <c r="K2" s="200" t="s">
        <v>3666</v>
      </c>
      <c r="L2" s="201" t="s">
        <v>3212</v>
      </c>
      <c r="M2" s="202" t="s">
        <v>3213</v>
      </c>
      <c r="N2" s="203" t="s">
        <v>3214</v>
      </c>
      <c r="O2" s="204" t="s">
        <v>3215</v>
      </c>
      <c r="P2" s="203" t="s">
        <v>3216</v>
      </c>
      <c r="Q2" s="204" t="s">
        <v>3217</v>
      </c>
      <c r="R2" s="205" t="s">
        <v>3218</v>
      </c>
      <c r="S2" s="206" t="s">
        <v>3219</v>
      </c>
      <c r="T2" s="207" t="s">
        <v>3220</v>
      </c>
      <c r="U2" s="198" t="s">
        <v>3221</v>
      </c>
      <c r="V2" s="204" t="s">
        <v>3222</v>
      </c>
    </row>
    <row r="3" spans="1:22" s="346" customFormat="1" ht="17.25" thickBot="1" x14ac:dyDescent="0.35">
      <c r="A3" s="208" t="s">
        <v>3223</v>
      </c>
      <c r="B3" s="209">
        <v>91</v>
      </c>
      <c r="C3" s="209">
        <v>90</v>
      </c>
      <c r="D3" s="210">
        <f>B3-C3</f>
        <v>1</v>
      </c>
      <c r="E3" s="211">
        <f>(B3-C3)/C3</f>
        <v>1.1111111111111112E-2</v>
      </c>
      <c r="F3" s="531">
        <v>589</v>
      </c>
      <c r="G3" s="212">
        <v>591</v>
      </c>
      <c r="H3" s="210">
        <f t="shared" ref="H3:H21" si="0">F3-G3</f>
        <v>-2</v>
      </c>
      <c r="I3" s="211">
        <f>(F3-G3)/G3</f>
        <v>-3.3840947546531302E-3</v>
      </c>
      <c r="J3" s="531">
        <v>93018</v>
      </c>
      <c r="K3" s="212">
        <v>94487</v>
      </c>
      <c r="L3" s="213">
        <f>J3-K3</f>
        <v>-1469</v>
      </c>
      <c r="M3" s="211">
        <f>(J3-K3)/K3</f>
        <v>-1.5547112301163122E-2</v>
      </c>
      <c r="N3" s="544">
        <v>1</v>
      </c>
      <c r="O3" s="576">
        <v>1</v>
      </c>
      <c r="P3" s="544">
        <v>0</v>
      </c>
      <c r="Q3" s="576">
        <v>6</v>
      </c>
      <c r="R3" s="544">
        <v>1</v>
      </c>
      <c r="S3" s="545">
        <v>2</v>
      </c>
      <c r="T3" s="538">
        <v>127</v>
      </c>
      <c r="U3" s="587">
        <v>33</v>
      </c>
      <c r="V3" s="580">
        <v>0</v>
      </c>
    </row>
    <row r="4" spans="1:22" s="346" customFormat="1" ht="17.25" thickTop="1" x14ac:dyDescent="0.3">
      <c r="A4" s="215" t="s">
        <v>3224</v>
      </c>
      <c r="B4" s="216">
        <v>29</v>
      </c>
      <c r="C4" s="216">
        <v>29</v>
      </c>
      <c r="D4" s="217">
        <f t="shared" ref="D4:D21" si="1">B4-C4</f>
        <v>0</v>
      </c>
      <c r="E4" s="218">
        <f t="shared" ref="E4:E21" si="2">(B4-C4)/C4</f>
        <v>0</v>
      </c>
      <c r="F4" s="532">
        <v>227</v>
      </c>
      <c r="G4" s="535">
        <v>228</v>
      </c>
      <c r="H4" s="217">
        <f t="shared" si="0"/>
        <v>-1</v>
      </c>
      <c r="I4" s="218">
        <f t="shared" ref="I4:I21" si="3">(F4-G4)/G4</f>
        <v>-4.3859649122807015E-3</v>
      </c>
      <c r="J4" s="532">
        <v>33557</v>
      </c>
      <c r="K4" s="535">
        <v>34053</v>
      </c>
      <c r="L4" s="219">
        <f t="shared" ref="L4:L21" si="4">J4-K4</f>
        <v>-496</v>
      </c>
      <c r="M4" s="218">
        <f t="shared" ref="M4:M21" si="5">(J4-K4)/K4</f>
        <v>-1.4565530202918979E-2</v>
      </c>
      <c r="N4" s="546">
        <v>1</v>
      </c>
      <c r="O4" s="577">
        <v>7</v>
      </c>
      <c r="P4" s="546">
        <v>0</v>
      </c>
      <c r="Q4" s="577">
        <v>0</v>
      </c>
      <c r="R4" s="546">
        <v>1</v>
      </c>
      <c r="S4" s="547">
        <v>6</v>
      </c>
      <c r="T4" s="539">
        <v>53</v>
      </c>
      <c r="U4" s="588">
        <v>8</v>
      </c>
      <c r="V4" s="581">
        <v>0</v>
      </c>
    </row>
    <row r="5" spans="1:22" s="346" customFormat="1" x14ac:dyDescent="0.3">
      <c r="A5" s="220" t="s">
        <v>3225</v>
      </c>
      <c r="B5" s="221">
        <v>22</v>
      </c>
      <c r="C5" s="221">
        <v>22</v>
      </c>
      <c r="D5" s="222">
        <f t="shared" si="1"/>
        <v>0</v>
      </c>
      <c r="E5" s="223">
        <f t="shared" si="2"/>
        <v>0</v>
      </c>
      <c r="F5" s="533">
        <v>145</v>
      </c>
      <c r="G5" s="536">
        <v>145</v>
      </c>
      <c r="H5" s="222">
        <f t="shared" si="0"/>
        <v>0</v>
      </c>
      <c r="I5" s="223">
        <f t="shared" si="3"/>
        <v>0</v>
      </c>
      <c r="J5" s="533">
        <v>20411</v>
      </c>
      <c r="K5" s="536">
        <v>20912</v>
      </c>
      <c r="L5" s="224">
        <f t="shared" si="4"/>
        <v>-501</v>
      </c>
      <c r="M5" s="223">
        <f t="shared" si="5"/>
        <v>-2.3957536342769703E-2</v>
      </c>
      <c r="N5" s="548">
        <v>0</v>
      </c>
      <c r="O5" s="549">
        <v>0</v>
      </c>
      <c r="P5" s="548">
        <v>1</v>
      </c>
      <c r="Q5" s="549">
        <v>7</v>
      </c>
      <c r="R5" s="548">
        <v>1</v>
      </c>
      <c r="S5" s="549">
        <v>7</v>
      </c>
      <c r="T5" s="540">
        <v>44</v>
      </c>
      <c r="U5" s="589">
        <v>3</v>
      </c>
      <c r="V5" s="582">
        <v>0</v>
      </c>
    </row>
    <row r="6" spans="1:22" s="346" customFormat="1" x14ac:dyDescent="0.3">
      <c r="A6" s="220" t="s">
        <v>3226</v>
      </c>
      <c r="B6" s="221">
        <v>30</v>
      </c>
      <c r="C6" s="221">
        <v>27</v>
      </c>
      <c r="D6" s="222">
        <f t="shared" si="1"/>
        <v>3</v>
      </c>
      <c r="E6" s="223">
        <f t="shared" si="2"/>
        <v>0.1111111111111111</v>
      </c>
      <c r="F6" s="533">
        <v>188</v>
      </c>
      <c r="G6" s="536">
        <v>172</v>
      </c>
      <c r="H6" s="222">
        <f t="shared" si="0"/>
        <v>16</v>
      </c>
      <c r="I6" s="223">
        <f t="shared" si="3"/>
        <v>9.3023255813953487E-2</v>
      </c>
      <c r="J6" s="533">
        <v>27136</v>
      </c>
      <c r="K6" s="536">
        <v>25920</v>
      </c>
      <c r="L6" s="224">
        <f t="shared" si="4"/>
        <v>1216</v>
      </c>
      <c r="M6" s="223">
        <f t="shared" si="5"/>
        <v>4.6913580246913583E-2</v>
      </c>
      <c r="N6" s="548">
        <v>0</v>
      </c>
      <c r="O6" s="549">
        <v>0</v>
      </c>
      <c r="P6" s="548">
        <v>0</v>
      </c>
      <c r="Q6" s="549">
        <v>0</v>
      </c>
      <c r="R6" s="548">
        <v>3</v>
      </c>
      <c r="S6" s="549">
        <v>16</v>
      </c>
      <c r="T6" s="540">
        <v>19</v>
      </c>
      <c r="U6" s="589">
        <v>7</v>
      </c>
      <c r="V6" s="582">
        <v>1</v>
      </c>
    </row>
    <row r="7" spans="1:22" s="346" customFormat="1" x14ac:dyDescent="0.3">
      <c r="A7" s="220" t="s">
        <v>3227</v>
      </c>
      <c r="B7" s="221">
        <v>17</v>
      </c>
      <c r="C7" s="221">
        <v>17</v>
      </c>
      <c r="D7" s="222">
        <f t="shared" si="1"/>
        <v>0</v>
      </c>
      <c r="E7" s="223">
        <f t="shared" si="2"/>
        <v>0</v>
      </c>
      <c r="F7" s="533">
        <v>128</v>
      </c>
      <c r="G7" s="536">
        <v>128</v>
      </c>
      <c r="H7" s="222">
        <f t="shared" si="0"/>
        <v>0</v>
      </c>
      <c r="I7" s="223">
        <f t="shared" si="3"/>
        <v>0</v>
      </c>
      <c r="J7" s="533">
        <v>17406</v>
      </c>
      <c r="K7" s="536">
        <v>17473</v>
      </c>
      <c r="L7" s="224">
        <f t="shared" si="4"/>
        <v>-67</v>
      </c>
      <c r="M7" s="223">
        <f t="shared" si="5"/>
        <v>-3.8344874949922739E-3</v>
      </c>
      <c r="N7" s="548">
        <v>0</v>
      </c>
      <c r="O7" s="549">
        <v>0</v>
      </c>
      <c r="P7" s="548">
        <v>0</v>
      </c>
      <c r="Q7" s="549">
        <v>0</v>
      </c>
      <c r="R7" s="548">
        <v>0</v>
      </c>
      <c r="S7" s="549">
        <v>0</v>
      </c>
      <c r="T7" s="540">
        <v>43</v>
      </c>
      <c r="U7" s="589">
        <v>3</v>
      </c>
      <c r="V7" s="582">
        <v>0</v>
      </c>
    </row>
    <row r="8" spans="1:22" s="346" customFormat="1" x14ac:dyDescent="0.3">
      <c r="A8" s="220" t="s">
        <v>3228</v>
      </c>
      <c r="B8" s="221">
        <v>18</v>
      </c>
      <c r="C8" s="221">
        <v>16</v>
      </c>
      <c r="D8" s="222">
        <f t="shared" si="1"/>
        <v>2</v>
      </c>
      <c r="E8" s="223">
        <f t="shared" si="2"/>
        <v>0.125</v>
      </c>
      <c r="F8" s="533">
        <v>109</v>
      </c>
      <c r="G8" s="536">
        <v>107</v>
      </c>
      <c r="H8" s="222">
        <f t="shared" si="0"/>
        <v>2</v>
      </c>
      <c r="I8" s="223">
        <f t="shared" si="3"/>
        <v>1.8691588785046728E-2</v>
      </c>
      <c r="J8" s="533">
        <v>17947</v>
      </c>
      <c r="K8" s="536">
        <v>17805</v>
      </c>
      <c r="L8" s="224">
        <f t="shared" si="4"/>
        <v>142</v>
      </c>
      <c r="M8" s="223">
        <f t="shared" si="5"/>
        <v>7.975287840494243E-3</v>
      </c>
      <c r="N8" s="548">
        <v>0</v>
      </c>
      <c r="O8" s="549">
        <v>0</v>
      </c>
      <c r="P8" s="548">
        <v>0</v>
      </c>
      <c r="Q8" s="549">
        <v>0</v>
      </c>
      <c r="R8" s="548">
        <v>1</v>
      </c>
      <c r="S8" s="549">
        <v>1</v>
      </c>
      <c r="T8" s="540">
        <v>23</v>
      </c>
      <c r="U8" s="589">
        <v>2</v>
      </c>
      <c r="V8" s="582">
        <v>0</v>
      </c>
    </row>
    <row r="9" spans="1:22" s="346" customFormat="1" x14ac:dyDescent="0.3">
      <c r="A9" s="220" t="s">
        <v>3229</v>
      </c>
      <c r="B9" s="221">
        <v>9</v>
      </c>
      <c r="C9" s="221">
        <v>9</v>
      </c>
      <c r="D9" s="222">
        <f t="shared" si="1"/>
        <v>0</v>
      </c>
      <c r="E9" s="223">
        <f t="shared" si="2"/>
        <v>0</v>
      </c>
      <c r="F9" s="533">
        <v>56</v>
      </c>
      <c r="G9" s="536">
        <v>56</v>
      </c>
      <c r="H9" s="222">
        <f t="shared" si="0"/>
        <v>0</v>
      </c>
      <c r="I9" s="223">
        <f t="shared" si="3"/>
        <v>0</v>
      </c>
      <c r="J9" s="533">
        <v>8177</v>
      </c>
      <c r="K9" s="536">
        <v>8583</v>
      </c>
      <c r="L9" s="224">
        <f t="shared" si="4"/>
        <v>-406</v>
      </c>
      <c r="M9" s="223">
        <f t="shared" si="5"/>
        <v>-4.7302807876034018E-2</v>
      </c>
      <c r="N9" s="548">
        <v>0</v>
      </c>
      <c r="O9" s="549">
        <v>0</v>
      </c>
      <c r="P9" s="548">
        <v>0</v>
      </c>
      <c r="Q9" s="549">
        <v>0</v>
      </c>
      <c r="R9" s="548">
        <v>0</v>
      </c>
      <c r="S9" s="549">
        <v>0</v>
      </c>
      <c r="T9" s="540">
        <v>12</v>
      </c>
      <c r="U9" s="589">
        <v>0</v>
      </c>
      <c r="V9" s="582">
        <v>1</v>
      </c>
    </row>
    <row r="10" spans="1:22" s="346" customFormat="1" x14ac:dyDescent="0.3">
      <c r="A10" s="220" t="s">
        <v>3230</v>
      </c>
      <c r="B10" s="221">
        <v>3</v>
      </c>
      <c r="C10" s="221">
        <v>4</v>
      </c>
      <c r="D10" s="222">
        <f t="shared" si="1"/>
        <v>-1</v>
      </c>
      <c r="E10" s="223">
        <f t="shared" si="2"/>
        <v>-0.25</v>
      </c>
      <c r="F10" s="533">
        <v>17</v>
      </c>
      <c r="G10" s="536">
        <v>23</v>
      </c>
      <c r="H10" s="222">
        <f t="shared" si="0"/>
        <v>-6</v>
      </c>
      <c r="I10" s="223">
        <f t="shared" si="3"/>
        <v>-0.2608695652173913</v>
      </c>
      <c r="J10" s="533">
        <v>2602</v>
      </c>
      <c r="K10" s="536">
        <v>3284</v>
      </c>
      <c r="L10" s="224">
        <f t="shared" si="4"/>
        <v>-682</v>
      </c>
      <c r="M10" s="223">
        <f t="shared" si="5"/>
        <v>-0.20767356881851401</v>
      </c>
      <c r="N10" s="548">
        <v>1</v>
      </c>
      <c r="O10" s="549">
        <v>6</v>
      </c>
      <c r="P10" s="548">
        <v>0</v>
      </c>
      <c r="Q10" s="549">
        <v>0</v>
      </c>
      <c r="R10" s="548">
        <v>0</v>
      </c>
      <c r="S10" s="549">
        <v>0</v>
      </c>
      <c r="T10" s="540">
        <v>1</v>
      </c>
      <c r="U10" s="589">
        <v>0</v>
      </c>
      <c r="V10" s="582">
        <v>0</v>
      </c>
    </row>
    <row r="11" spans="1:22" s="346" customFormat="1" x14ac:dyDescent="0.3">
      <c r="A11" s="220" t="s">
        <v>3693</v>
      </c>
      <c r="B11" s="607">
        <v>147</v>
      </c>
      <c r="C11" s="221">
        <v>139</v>
      </c>
      <c r="D11" s="222">
        <f t="shared" si="1"/>
        <v>8</v>
      </c>
      <c r="E11" s="223">
        <f t="shared" si="2"/>
        <v>5.7553956834532377E-2</v>
      </c>
      <c r="F11" s="608">
        <v>910</v>
      </c>
      <c r="G11" s="536">
        <v>854</v>
      </c>
      <c r="H11" s="222">
        <f t="shared" si="0"/>
        <v>56</v>
      </c>
      <c r="I11" s="223">
        <f t="shared" si="3"/>
        <v>6.5573770491803282E-2</v>
      </c>
      <c r="J11" s="608">
        <v>120309</v>
      </c>
      <c r="K11" s="536">
        <v>116306</v>
      </c>
      <c r="L11" s="224">
        <f t="shared" si="4"/>
        <v>4003</v>
      </c>
      <c r="M11" s="223">
        <f t="shared" si="5"/>
        <v>3.4417828830842774E-2</v>
      </c>
      <c r="N11" s="548">
        <v>2</v>
      </c>
      <c r="O11" s="549">
        <v>10</v>
      </c>
      <c r="P11" s="548">
        <v>1</v>
      </c>
      <c r="Q11" s="549">
        <v>8</v>
      </c>
      <c r="R11" s="609">
        <v>9</v>
      </c>
      <c r="S11" s="610">
        <v>51</v>
      </c>
      <c r="T11" s="611">
        <v>194</v>
      </c>
      <c r="U11" s="589">
        <v>4</v>
      </c>
      <c r="V11" s="582">
        <v>4</v>
      </c>
    </row>
    <row r="12" spans="1:22" s="346" customFormat="1" x14ac:dyDescent="0.3">
      <c r="A12" s="220" t="s">
        <v>3232</v>
      </c>
      <c r="B12" s="221">
        <v>27</v>
      </c>
      <c r="C12" s="221">
        <v>28</v>
      </c>
      <c r="D12" s="222">
        <f t="shared" si="1"/>
        <v>-1</v>
      </c>
      <c r="E12" s="223">
        <f t="shared" si="2"/>
        <v>-3.5714285714285712E-2</v>
      </c>
      <c r="F12" s="533">
        <v>116</v>
      </c>
      <c r="G12" s="536">
        <v>127</v>
      </c>
      <c r="H12" s="222">
        <f t="shared" si="0"/>
        <v>-11</v>
      </c>
      <c r="I12" s="223">
        <f t="shared" si="3"/>
        <v>-8.6614173228346455E-2</v>
      </c>
      <c r="J12" s="533">
        <v>13668</v>
      </c>
      <c r="K12" s="536">
        <v>14980</v>
      </c>
      <c r="L12" s="224">
        <f t="shared" si="4"/>
        <v>-1312</v>
      </c>
      <c r="M12" s="223">
        <f t="shared" si="5"/>
        <v>-8.7583444592790383E-2</v>
      </c>
      <c r="N12" s="548">
        <v>1</v>
      </c>
      <c r="O12" s="549">
        <v>8</v>
      </c>
      <c r="P12" s="548">
        <v>1</v>
      </c>
      <c r="Q12" s="549">
        <v>5</v>
      </c>
      <c r="R12" s="548">
        <v>1</v>
      </c>
      <c r="S12" s="549">
        <v>2</v>
      </c>
      <c r="T12" s="540">
        <v>28</v>
      </c>
      <c r="U12" s="589">
        <v>2</v>
      </c>
      <c r="V12" s="582">
        <v>13</v>
      </c>
    </row>
    <row r="13" spans="1:22" s="346" customFormat="1" x14ac:dyDescent="0.3">
      <c r="A13" s="220" t="s">
        <v>3233</v>
      </c>
      <c r="B13" s="221">
        <v>20</v>
      </c>
      <c r="C13" s="221">
        <v>21</v>
      </c>
      <c r="D13" s="222">
        <f t="shared" si="1"/>
        <v>-1</v>
      </c>
      <c r="E13" s="223">
        <f t="shared" si="2"/>
        <v>-4.7619047619047616E-2</v>
      </c>
      <c r="F13" s="533">
        <v>112</v>
      </c>
      <c r="G13" s="536">
        <v>119</v>
      </c>
      <c r="H13" s="222">
        <f t="shared" si="0"/>
        <v>-7</v>
      </c>
      <c r="I13" s="223">
        <f t="shared" si="3"/>
        <v>-5.8823529411764705E-2</v>
      </c>
      <c r="J13" s="533">
        <v>14781</v>
      </c>
      <c r="K13" s="536">
        <v>15981</v>
      </c>
      <c r="L13" s="224">
        <f t="shared" si="4"/>
        <v>-1200</v>
      </c>
      <c r="M13" s="223">
        <f t="shared" si="5"/>
        <v>-7.5089168387460103E-2</v>
      </c>
      <c r="N13" s="548">
        <v>0</v>
      </c>
      <c r="O13" s="549">
        <v>0</v>
      </c>
      <c r="P13" s="548">
        <v>1</v>
      </c>
      <c r="Q13" s="549">
        <v>7</v>
      </c>
      <c r="R13" s="548">
        <v>0</v>
      </c>
      <c r="S13" s="549">
        <v>0</v>
      </c>
      <c r="T13" s="540">
        <v>8</v>
      </c>
      <c r="U13" s="589">
        <v>1</v>
      </c>
      <c r="V13" s="582">
        <v>4</v>
      </c>
    </row>
    <row r="14" spans="1:22" s="346" customFormat="1" x14ac:dyDescent="0.3">
      <c r="A14" s="220" t="s">
        <v>3234</v>
      </c>
      <c r="B14" s="221">
        <v>29</v>
      </c>
      <c r="C14" s="221">
        <v>29</v>
      </c>
      <c r="D14" s="222">
        <f t="shared" si="1"/>
        <v>0</v>
      </c>
      <c r="E14" s="223">
        <f t="shared" si="2"/>
        <v>0</v>
      </c>
      <c r="F14" s="533">
        <v>150</v>
      </c>
      <c r="G14" s="536">
        <v>149</v>
      </c>
      <c r="H14" s="222">
        <f t="shared" si="0"/>
        <v>1</v>
      </c>
      <c r="I14" s="223">
        <f t="shared" si="3"/>
        <v>6.7114093959731542E-3</v>
      </c>
      <c r="J14" s="533">
        <v>17898</v>
      </c>
      <c r="K14" s="536">
        <v>18068</v>
      </c>
      <c r="L14" s="224">
        <f t="shared" si="4"/>
        <v>-170</v>
      </c>
      <c r="M14" s="223">
        <f t="shared" si="5"/>
        <v>-9.4088997121983611E-3</v>
      </c>
      <c r="N14" s="548">
        <v>0</v>
      </c>
      <c r="O14" s="549">
        <v>0</v>
      </c>
      <c r="P14" s="548">
        <v>1</v>
      </c>
      <c r="Q14" s="549">
        <v>5</v>
      </c>
      <c r="R14" s="548">
        <v>1</v>
      </c>
      <c r="S14" s="549">
        <v>6</v>
      </c>
      <c r="T14" s="540">
        <v>20</v>
      </c>
      <c r="U14" s="589">
        <v>2</v>
      </c>
      <c r="V14" s="582">
        <v>5</v>
      </c>
    </row>
    <row r="15" spans="1:22" s="346" customFormat="1" x14ac:dyDescent="0.3">
      <c r="A15" s="220" t="s">
        <v>3235</v>
      </c>
      <c r="B15" s="221">
        <v>28</v>
      </c>
      <c r="C15" s="221">
        <v>29</v>
      </c>
      <c r="D15" s="222">
        <f t="shared" si="1"/>
        <v>-1</v>
      </c>
      <c r="E15" s="223">
        <f t="shared" si="2"/>
        <v>-3.4482758620689655E-2</v>
      </c>
      <c r="F15" s="533">
        <v>134</v>
      </c>
      <c r="G15" s="536">
        <v>139</v>
      </c>
      <c r="H15" s="222">
        <f t="shared" si="0"/>
        <v>-5</v>
      </c>
      <c r="I15" s="223">
        <f t="shared" si="3"/>
        <v>-3.5971223021582732E-2</v>
      </c>
      <c r="J15" s="533">
        <v>18298</v>
      </c>
      <c r="K15" s="536">
        <v>19277</v>
      </c>
      <c r="L15" s="224">
        <f t="shared" si="4"/>
        <v>-979</v>
      </c>
      <c r="M15" s="223">
        <f t="shared" si="5"/>
        <v>-5.0785910670747524E-2</v>
      </c>
      <c r="N15" s="548">
        <v>1</v>
      </c>
      <c r="O15" s="549">
        <v>2</v>
      </c>
      <c r="P15" s="548">
        <v>1</v>
      </c>
      <c r="Q15" s="549">
        <v>5</v>
      </c>
      <c r="R15" s="548">
        <v>0</v>
      </c>
      <c r="S15" s="549">
        <v>0</v>
      </c>
      <c r="T15" s="540">
        <v>20</v>
      </c>
      <c r="U15" s="589">
        <v>1</v>
      </c>
      <c r="V15" s="582">
        <v>8</v>
      </c>
    </row>
    <row r="16" spans="1:22" s="346" customFormat="1" x14ac:dyDescent="0.3">
      <c r="A16" s="220" t="s">
        <v>3236</v>
      </c>
      <c r="B16" s="221">
        <v>23</v>
      </c>
      <c r="C16" s="221">
        <v>23</v>
      </c>
      <c r="D16" s="222">
        <f t="shared" si="1"/>
        <v>0</v>
      </c>
      <c r="E16" s="223">
        <f t="shared" si="2"/>
        <v>0</v>
      </c>
      <c r="F16" s="533">
        <v>101</v>
      </c>
      <c r="G16" s="536">
        <v>101</v>
      </c>
      <c r="H16" s="222">
        <f t="shared" si="0"/>
        <v>0</v>
      </c>
      <c r="I16" s="223">
        <f t="shared" si="3"/>
        <v>0</v>
      </c>
      <c r="J16" s="533">
        <v>12700</v>
      </c>
      <c r="K16" s="536">
        <v>12704</v>
      </c>
      <c r="L16" s="224">
        <f t="shared" si="4"/>
        <v>-4</v>
      </c>
      <c r="M16" s="223">
        <f t="shared" si="5"/>
        <v>-3.1486146095717883E-4</v>
      </c>
      <c r="N16" s="548">
        <v>0</v>
      </c>
      <c r="O16" s="549">
        <v>0</v>
      </c>
      <c r="P16" s="548">
        <v>0</v>
      </c>
      <c r="Q16" s="549">
        <v>0</v>
      </c>
      <c r="R16" s="548">
        <v>0</v>
      </c>
      <c r="S16" s="549">
        <v>0</v>
      </c>
      <c r="T16" s="540">
        <v>7</v>
      </c>
      <c r="U16" s="589">
        <v>0</v>
      </c>
      <c r="V16" s="582">
        <v>11</v>
      </c>
    </row>
    <row r="17" spans="1:22" s="346" customFormat="1" x14ac:dyDescent="0.3">
      <c r="A17" s="220" t="s">
        <v>3237</v>
      </c>
      <c r="B17" s="221">
        <v>32</v>
      </c>
      <c r="C17" s="221">
        <v>33</v>
      </c>
      <c r="D17" s="222">
        <f t="shared" si="1"/>
        <v>-1</v>
      </c>
      <c r="E17" s="223">
        <f t="shared" si="2"/>
        <v>-3.0303030303030304E-2</v>
      </c>
      <c r="F17" s="533">
        <v>151</v>
      </c>
      <c r="G17" s="536">
        <v>152</v>
      </c>
      <c r="H17" s="222">
        <f t="shared" si="0"/>
        <v>-1</v>
      </c>
      <c r="I17" s="223">
        <f t="shared" si="3"/>
        <v>-6.5789473684210523E-3</v>
      </c>
      <c r="J17" s="533">
        <v>16952</v>
      </c>
      <c r="K17" s="536">
        <v>17422</v>
      </c>
      <c r="L17" s="224">
        <f t="shared" si="4"/>
        <v>-470</v>
      </c>
      <c r="M17" s="223">
        <f t="shared" si="5"/>
        <v>-2.6977384915623924E-2</v>
      </c>
      <c r="N17" s="548">
        <v>1</v>
      </c>
      <c r="O17" s="549">
        <v>1</v>
      </c>
      <c r="P17" s="548">
        <v>0</v>
      </c>
      <c r="Q17" s="549">
        <v>0</v>
      </c>
      <c r="R17" s="548">
        <v>0</v>
      </c>
      <c r="S17" s="549">
        <v>0</v>
      </c>
      <c r="T17" s="540">
        <v>46</v>
      </c>
      <c r="U17" s="589">
        <v>2</v>
      </c>
      <c r="V17" s="582">
        <v>6</v>
      </c>
    </row>
    <row r="18" spans="1:22" s="346" customFormat="1" x14ac:dyDescent="0.3">
      <c r="A18" s="220" t="s">
        <v>3238</v>
      </c>
      <c r="B18" s="221">
        <v>39</v>
      </c>
      <c r="C18" s="221">
        <v>38</v>
      </c>
      <c r="D18" s="222">
        <f t="shared" si="1"/>
        <v>1</v>
      </c>
      <c r="E18" s="223">
        <f t="shared" si="2"/>
        <v>2.6315789473684209E-2</v>
      </c>
      <c r="F18" s="533">
        <v>194</v>
      </c>
      <c r="G18" s="536">
        <v>192</v>
      </c>
      <c r="H18" s="222">
        <f t="shared" si="0"/>
        <v>2</v>
      </c>
      <c r="I18" s="223">
        <f t="shared" si="3"/>
        <v>1.0416666666666666E-2</v>
      </c>
      <c r="J18" s="533">
        <v>24776</v>
      </c>
      <c r="K18" s="536">
        <v>25260</v>
      </c>
      <c r="L18" s="224">
        <f t="shared" si="4"/>
        <v>-484</v>
      </c>
      <c r="M18" s="223">
        <f t="shared" si="5"/>
        <v>-1.9160728424386382E-2</v>
      </c>
      <c r="N18" s="548">
        <v>0</v>
      </c>
      <c r="O18" s="549">
        <v>0</v>
      </c>
      <c r="P18" s="548">
        <v>0</v>
      </c>
      <c r="Q18" s="549">
        <v>0</v>
      </c>
      <c r="R18" s="548">
        <v>1</v>
      </c>
      <c r="S18" s="549">
        <v>2</v>
      </c>
      <c r="T18" s="540">
        <v>71</v>
      </c>
      <c r="U18" s="589">
        <v>1</v>
      </c>
      <c r="V18" s="582">
        <v>7</v>
      </c>
    </row>
    <row r="19" spans="1:22" s="346" customFormat="1" ht="17.25" thickBot="1" x14ac:dyDescent="0.35">
      <c r="A19" s="228" t="s">
        <v>3239</v>
      </c>
      <c r="B19" s="209">
        <v>9</v>
      </c>
      <c r="C19" s="209">
        <v>7</v>
      </c>
      <c r="D19" s="210">
        <f t="shared" si="1"/>
        <v>2</v>
      </c>
      <c r="E19" s="229">
        <f t="shared" si="2"/>
        <v>0.2857142857142857</v>
      </c>
      <c r="F19" s="531">
        <v>44</v>
      </c>
      <c r="G19" s="212">
        <v>39</v>
      </c>
      <c r="H19" s="210">
        <f t="shared" si="0"/>
        <v>5</v>
      </c>
      <c r="I19" s="229">
        <f t="shared" si="3"/>
        <v>0.12820512820512819</v>
      </c>
      <c r="J19" s="531">
        <v>4299</v>
      </c>
      <c r="K19" s="212">
        <v>4165</v>
      </c>
      <c r="L19" s="213">
        <f t="shared" si="4"/>
        <v>134</v>
      </c>
      <c r="M19" s="229">
        <f t="shared" si="5"/>
        <v>3.2172869147659065E-2</v>
      </c>
      <c r="N19" s="550">
        <v>0</v>
      </c>
      <c r="O19" s="545">
        <v>0</v>
      </c>
      <c r="P19" s="550">
        <v>0</v>
      </c>
      <c r="Q19" s="545">
        <v>0</v>
      </c>
      <c r="R19" s="550">
        <v>2</v>
      </c>
      <c r="S19" s="545">
        <v>5</v>
      </c>
      <c r="T19" s="541">
        <v>13</v>
      </c>
      <c r="U19" s="587">
        <v>0</v>
      </c>
      <c r="V19" s="580">
        <v>1</v>
      </c>
    </row>
    <row r="20" spans="1:22" ht="18" thickTop="1" thickBot="1" x14ac:dyDescent="0.35">
      <c r="A20" s="231" t="s">
        <v>3240</v>
      </c>
      <c r="B20" s="232">
        <f>SUM(B4:B19)</f>
        <v>482</v>
      </c>
      <c r="C20" s="232">
        <f>SUM(C4:C19)</f>
        <v>471</v>
      </c>
      <c r="D20" s="210">
        <f t="shared" si="1"/>
        <v>11</v>
      </c>
      <c r="E20" s="211">
        <f t="shared" si="2"/>
        <v>2.3354564755838639E-2</v>
      </c>
      <c r="F20" s="534">
        <f>SUM(F4:F19)</f>
        <v>2782</v>
      </c>
      <c r="G20" s="537">
        <f>SUM(G4:G19)</f>
        <v>2731</v>
      </c>
      <c r="H20" s="210">
        <f t="shared" si="0"/>
        <v>51</v>
      </c>
      <c r="I20" s="211">
        <f t="shared" si="3"/>
        <v>1.8674478213108751E-2</v>
      </c>
      <c r="J20" s="233">
        <f>SUM(J4:J19)</f>
        <v>370917</v>
      </c>
      <c r="K20" s="234">
        <f>SUM(K4:K19)</f>
        <v>372193</v>
      </c>
      <c r="L20" s="230">
        <f t="shared" si="4"/>
        <v>-1276</v>
      </c>
      <c r="M20" s="235">
        <f t="shared" si="5"/>
        <v>-3.4283288508918761E-3</v>
      </c>
      <c r="N20" s="236">
        <f>SUM(N4:N19)</f>
        <v>7</v>
      </c>
      <c r="O20" s="237">
        <f>SUM(O4:O19)</f>
        <v>34</v>
      </c>
      <c r="P20" s="236">
        <f t="shared" ref="P20:U20" si="6">SUM(P4:P19)</f>
        <v>6</v>
      </c>
      <c r="Q20" s="237">
        <f t="shared" si="6"/>
        <v>37</v>
      </c>
      <c r="R20" s="236">
        <f>SUM(R4:R19)</f>
        <v>20</v>
      </c>
      <c r="S20" s="237">
        <f>SUM(S4:S19)</f>
        <v>96</v>
      </c>
      <c r="T20" s="542">
        <f t="shared" si="6"/>
        <v>602</v>
      </c>
      <c r="U20" s="238">
        <f t="shared" si="6"/>
        <v>36</v>
      </c>
      <c r="V20" s="239">
        <f>SUM(V4:V19)</f>
        <v>61</v>
      </c>
    </row>
    <row r="21" spans="1:22" ht="18" thickTop="1" thickBot="1" x14ac:dyDescent="0.35">
      <c r="A21" s="240" t="s">
        <v>3241</v>
      </c>
      <c r="B21" s="241">
        <f>B3+B20</f>
        <v>573</v>
      </c>
      <c r="C21" s="242">
        <f>C3+C20</f>
        <v>561</v>
      </c>
      <c r="D21" s="243">
        <f t="shared" si="1"/>
        <v>12</v>
      </c>
      <c r="E21" s="244">
        <f t="shared" si="2"/>
        <v>2.1390374331550801E-2</v>
      </c>
      <c r="F21" s="245">
        <f>F3+F20</f>
        <v>3371</v>
      </c>
      <c r="G21" s="242">
        <f>G3+G20</f>
        <v>3322</v>
      </c>
      <c r="H21" s="243">
        <f t="shared" si="0"/>
        <v>49</v>
      </c>
      <c r="I21" s="244">
        <f t="shared" si="3"/>
        <v>1.4750150511739916E-2</v>
      </c>
      <c r="J21" s="245">
        <f>J3+J20</f>
        <v>463935</v>
      </c>
      <c r="K21" s="246">
        <f>K3+K20</f>
        <v>466680</v>
      </c>
      <c r="L21" s="247">
        <f t="shared" si="4"/>
        <v>-2745</v>
      </c>
      <c r="M21" s="248">
        <f t="shared" si="5"/>
        <v>-5.8819748007199798E-3</v>
      </c>
      <c r="N21" s="249">
        <f>N3+N20</f>
        <v>8</v>
      </c>
      <c r="O21" s="250">
        <f>O3+O20</f>
        <v>35</v>
      </c>
      <c r="P21" s="251">
        <f t="shared" ref="P21:V21" si="7">P3+P20</f>
        <v>6</v>
      </c>
      <c r="Q21" s="252">
        <f t="shared" si="7"/>
        <v>43</v>
      </c>
      <c r="R21" s="253">
        <f>R3+R20</f>
        <v>21</v>
      </c>
      <c r="S21" s="254">
        <f>S3+S20</f>
        <v>98</v>
      </c>
      <c r="T21" s="543">
        <f t="shared" si="7"/>
        <v>729</v>
      </c>
      <c r="U21" s="255">
        <f t="shared" si="7"/>
        <v>69</v>
      </c>
      <c r="V21" s="254">
        <f t="shared" si="7"/>
        <v>61</v>
      </c>
    </row>
    <row r="22" spans="1:22" s="2" customFormat="1" x14ac:dyDescent="0.3">
      <c r="A22" s="41"/>
      <c r="B22" s="256"/>
      <c r="C22" s="256"/>
      <c r="D22" s="257"/>
      <c r="E22" s="258"/>
      <c r="F22" s="256"/>
      <c r="G22" s="256"/>
      <c r="H22" s="257"/>
      <c r="I22" s="258"/>
      <c r="J22" s="256"/>
      <c r="K22" s="259"/>
      <c r="L22" s="260"/>
      <c r="M22" s="261"/>
      <c r="N22" s="262"/>
      <c r="O22" s="262"/>
      <c r="P22" s="262"/>
      <c r="Q22" s="262"/>
      <c r="R22" s="262"/>
      <c r="S22" s="262"/>
      <c r="T22" s="263"/>
      <c r="U22" s="263"/>
      <c r="V22" s="262"/>
    </row>
    <row r="23" spans="1:22" x14ac:dyDescent="0.3">
      <c r="A23" s="264" t="s">
        <v>3669</v>
      </c>
      <c r="B23" s="109"/>
      <c r="C23" s="265"/>
      <c r="G23" s="265"/>
    </row>
    <row r="24" spans="1:22" x14ac:dyDescent="0.3">
      <c r="A24" s="86" t="s">
        <v>3242</v>
      </c>
      <c r="B24" s="109"/>
      <c r="C24" s="265"/>
      <c r="G24" s="265"/>
    </row>
    <row r="25" spans="1:22" x14ac:dyDescent="0.3">
      <c r="A25" s="87" t="s">
        <v>3647</v>
      </c>
      <c r="B25" s="109"/>
      <c r="C25" s="265"/>
      <c r="G25" s="265"/>
    </row>
    <row r="26" spans="1:22" x14ac:dyDescent="0.3">
      <c r="A26" s="87" t="s">
        <v>3243</v>
      </c>
      <c r="B26" s="109"/>
      <c r="C26" s="265"/>
      <c r="G26" s="265"/>
    </row>
    <row r="27" spans="1:22" x14ac:dyDescent="0.3">
      <c r="A27" s="110" t="s">
        <v>3667</v>
      </c>
      <c r="B27" s="109"/>
      <c r="C27" s="265"/>
      <c r="G27" s="265"/>
    </row>
    <row r="28" spans="1:22" x14ac:dyDescent="0.3">
      <c r="A28" s="37" t="s">
        <v>3244</v>
      </c>
      <c r="B28" s="109"/>
      <c r="C28" s="265"/>
      <c r="G28" s="265"/>
    </row>
    <row r="29" spans="1:22" x14ac:dyDescent="0.3">
      <c r="A29" s="111" t="s">
        <v>3245</v>
      </c>
      <c r="B29" s="109"/>
      <c r="C29" s="265"/>
      <c r="G29" s="265"/>
    </row>
    <row r="30" spans="1:22" x14ac:dyDescent="0.3">
      <c r="A30" s="266" t="s">
        <v>3246</v>
      </c>
      <c r="B30" s="109"/>
      <c r="C30" s="265"/>
      <c r="G30" s="265"/>
    </row>
    <row r="31" spans="1:22" x14ac:dyDescent="0.3">
      <c r="A31" s="266"/>
    </row>
  </sheetData>
  <mergeCells count="1">
    <mergeCell ref="A1:V1"/>
  </mergeCells>
  <phoneticPr fontId="2" type="noConversion"/>
  <pageMargins left="0.7" right="0.7" top="0.75" bottom="0.75" header="0.3" footer="0.3"/>
  <pageSetup paperSize="9" orientation="portrait" horizontalDpi="360" verticalDpi="360" r:id="rId1"/>
  <ignoredErrors>
    <ignoredError sqref="B20:V20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1"/>
  <sheetViews>
    <sheetView workbookViewId="0">
      <pane xSplit="3" ySplit="2" topLeftCell="E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RowHeight="16.5" x14ac:dyDescent="0.3"/>
  <cols>
    <col min="1" max="1" width="12" customWidth="1"/>
    <col min="3" max="3" width="10.875" style="348" bestFit="1" customWidth="1"/>
    <col min="4" max="4" width="8.75" style="349"/>
    <col min="8" max="8" width="8.75" style="349"/>
    <col min="12" max="12" width="8.75" style="349"/>
    <col min="16" max="16" width="12" style="346" customWidth="1"/>
    <col min="17" max="17" width="10.625" style="346" customWidth="1"/>
  </cols>
  <sheetData>
    <row r="1" spans="1:19" ht="27" thickBot="1" x14ac:dyDescent="0.35">
      <c r="A1" s="662" t="s">
        <v>3694</v>
      </c>
      <c r="B1" s="662"/>
      <c r="C1" s="662"/>
      <c r="D1" s="662"/>
      <c r="E1" s="662"/>
      <c r="F1" s="662"/>
      <c r="G1" s="662"/>
      <c r="H1" s="662"/>
      <c r="I1" s="662"/>
      <c r="J1" s="662"/>
      <c r="K1" s="662"/>
      <c r="L1" s="663"/>
      <c r="M1" s="663"/>
      <c r="N1" s="663"/>
      <c r="O1" s="663"/>
      <c r="P1" s="662"/>
      <c r="Q1" s="662"/>
      <c r="R1" s="662"/>
      <c r="S1" s="267"/>
    </row>
    <row r="2" spans="1:19" ht="41.25" thickBot="1" x14ac:dyDescent="0.35">
      <c r="A2" s="268" t="s">
        <v>3247</v>
      </c>
      <c r="B2" s="269" t="s">
        <v>3248</v>
      </c>
      <c r="C2" s="270" t="s">
        <v>3695</v>
      </c>
      <c r="D2" s="271" t="s">
        <v>3696</v>
      </c>
      <c r="E2" s="591" t="s">
        <v>3697</v>
      </c>
      <c r="F2" s="270" t="s">
        <v>3249</v>
      </c>
      <c r="G2" s="273" t="s">
        <v>3250</v>
      </c>
      <c r="H2" s="271" t="s">
        <v>3698</v>
      </c>
      <c r="I2" s="274" t="s">
        <v>3699</v>
      </c>
      <c r="J2" s="275" t="s">
        <v>3249</v>
      </c>
      <c r="K2" s="276" t="s">
        <v>3251</v>
      </c>
      <c r="L2" s="271" t="s">
        <v>3700</v>
      </c>
      <c r="M2" s="272" t="s">
        <v>3252</v>
      </c>
      <c r="N2" s="277" t="s">
        <v>3249</v>
      </c>
      <c r="O2" s="273" t="s">
        <v>3253</v>
      </c>
      <c r="P2" s="278" t="s">
        <v>3701</v>
      </c>
      <c r="Q2" s="279" t="s">
        <v>3702</v>
      </c>
      <c r="R2" s="280" t="s">
        <v>3254</v>
      </c>
    </row>
    <row r="3" spans="1:19" ht="17.25" thickTop="1" x14ac:dyDescent="0.25">
      <c r="A3" s="281" t="s">
        <v>3255</v>
      </c>
      <c r="B3" s="282" t="s">
        <v>3256</v>
      </c>
      <c r="C3" s="283">
        <f>C4+C30+C47+C57+C68+C74+C80+C86+C87+C119+C138+C150+C166+C181+C204+C227+C246</f>
        <v>51325329</v>
      </c>
      <c r="D3" s="594">
        <f>D4+D30+D47+D57+D68+D74+D80+D86+D87+D119+D138+D150+D166+D181+D204+D227+D246</f>
        <v>573</v>
      </c>
      <c r="E3" s="592">
        <f>E4+E30+E47+E57+E68+E74+E80+E86+E87+E119+E138+E150+E166+E181+E204+E227+E246</f>
        <v>561</v>
      </c>
      <c r="F3" s="285">
        <f>D3-E3</f>
        <v>12</v>
      </c>
      <c r="G3" s="218">
        <f>F3/E3</f>
        <v>2.1390374331550801E-2</v>
      </c>
      <c r="H3" s="284">
        <f>H4+H30+H47+H57+H68+H74+H80+H86+H87+H119+H138+H150+H166+H181+H204+H227+H246</f>
        <v>3371</v>
      </c>
      <c r="I3" s="593">
        <f>I4+I30+I47+I57+I68+I74+I80+I86+I87+I119+I138+I150+I166+I181+I204+I227+I246</f>
        <v>3322</v>
      </c>
      <c r="J3" s="217">
        <f>H3-I3</f>
        <v>49</v>
      </c>
      <c r="K3" s="286">
        <f>J3/I3</f>
        <v>1.4750150511739916E-2</v>
      </c>
      <c r="L3" s="284">
        <f>L4+L30+L47+L57+L68+L74+L80+L86+L87+L119+L138+L150+L166+L181+L204+L227+L246</f>
        <v>463935</v>
      </c>
      <c r="M3" s="593">
        <f>M4+M30+M47+M57+M68+M74+M80+M86+M87+M119+M138+M150+M166+M181+M204+M227+M246</f>
        <v>466680</v>
      </c>
      <c r="N3" s="219">
        <f>L3-M3</f>
        <v>-2745</v>
      </c>
      <c r="O3" s="287">
        <f>N3/M3</f>
        <v>-5.8819748007199798E-3</v>
      </c>
      <c r="P3" s="288">
        <f>(H3/C3)*100000</f>
        <v>6.567907241276524</v>
      </c>
      <c r="Q3" s="289">
        <v>6.5</v>
      </c>
      <c r="R3" s="290">
        <f>P3-Q3</f>
        <v>6.7907241276524033E-2</v>
      </c>
    </row>
    <row r="4" spans="1:19" x14ac:dyDescent="0.25">
      <c r="A4" s="291" t="s">
        <v>3257</v>
      </c>
      <c r="B4" s="292" t="s">
        <v>3256</v>
      </c>
      <c r="C4" s="293">
        <v>9386034</v>
      </c>
      <c r="D4" s="294">
        <f>SUM(D5:D29)</f>
        <v>91</v>
      </c>
      <c r="E4" s="312">
        <f>SUM(E5:E29)</f>
        <v>90</v>
      </c>
      <c r="F4" s="296">
        <f t="shared" ref="F4:F68" si="0">D4-E4</f>
        <v>1</v>
      </c>
      <c r="G4" s="223">
        <f t="shared" ref="G4:G68" si="1">F4/E4</f>
        <v>1.1111111111111112E-2</v>
      </c>
      <c r="H4" s="294">
        <f>SUM(H5:H29)</f>
        <v>589</v>
      </c>
      <c r="I4" s="313">
        <f>SUM(I5:I29)</f>
        <v>591</v>
      </c>
      <c r="J4" s="222">
        <f t="shared" ref="J4:J68" si="2">H4-I4</f>
        <v>-2</v>
      </c>
      <c r="K4" s="297">
        <f t="shared" ref="K4:K68" si="3">J4/I4</f>
        <v>-3.3840947546531302E-3</v>
      </c>
      <c r="L4" s="294">
        <f>SUM(L5:L29)</f>
        <v>93018</v>
      </c>
      <c r="M4" s="313">
        <f>SUM(M5:M29)</f>
        <v>94487</v>
      </c>
      <c r="N4" s="224">
        <f t="shared" ref="N4:N68" si="4">L4-M4</f>
        <v>-1469</v>
      </c>
      <c r="O4" s="298">
        <f t="shared" ref="O4:O68" si="5">N4/M4</f>
        <v>-1.5547112301163122E-2</v>
      </c>
      <c r="P4" s="299">
        <f t="shared" ref="P4:P68" si="6">(H4/C4)*100000</f>
        <v>6.2752809120444271</v>
      </c>
      <c r="Q4" s="300">
        <v>6.3</v>
      </c>
      <c r="R4" s="301">
        <f t="shared" ref="R4:R68" si="7">P4-Q4</f>
        <v>-2.4719087955572761E-2</v>
      </c>
    </row>
    <row r="5" spans="1:19" x14ac:dyDescent="0.25">
      <c r="A5" s="302" t="s">
        <v>3258</v>
      </c>
      <c r="B5" s="303" t="s">
        <v>3</v>
      </c>
      <c r="C5" s="304">
        <v>139417</v>
      </c>
      <c r="D5" s="305">
        <v>6</v>
      </c>
      <c r="E5" s="310">
        <v>6</v>
      </c>
      <c r="F5" s="296">
        <f t="shared" si="0"/>
        <v>0</v>
      </c>
      <c r="G5" s="223">
        <f t="shared" si="1"/>
        <v>0</v>
      </c>
      <c r="H5" s="305">
        <v>20</v>
      </c>
      <c r="I5" s="310">
        <v>20</v>
      </c>
      <c r="J5" s="306">
        <f t="shared" si="2"/>
        <v>0</v>
      </c>
      <c r="K5" s="297">
        <f t="shared" si="3"/>
        <v>0</v>
      </c>
      <c r="L5" s="305">
        <v>2911</v>
      </c>
      <c r="M5" s="310">
        <v>2911</v>
      </c>
      <c r="N5" s="224">
        <f t="shared" si="4"/>
        <v>0</v>
      </c>
      <c r="O5" s="298">
        <f t="shared" si="5"/>
        <v>0</v>
      </c>
      <c r="P5" s="307">
        <f t="shared" si="6"/>
        <v>14.345452850082845</v>
      </c>
      <c r="Q5" s="308">
        <v>14.1</v>
      </c>
      <c r="R5" s="301">
        <f t="shared" si="7"/>
        <v>0.24545285008284523</v>
      </c>
    </row>
    <row r="6" spans="1:19" x14ac:dyDescent="0.25">
      <c r="A6" s="302" t="s">
        <v>3258</v>
      </c>
      <c r="B6" s="303" t="s">
        <v>4</v>
      </c>
      <c r="C6" s="309">
        <v>121312</v>
      </c>
      <c r="D6" s="305">
        <v>8</v>
      </c>
      <c r="E6" s="310">
        <v>8</v>
      </c>
      <c r="F6" s="296">
        <f t="shared" si="0"/>
        <v>0</v>
      </c>
      <c r="G6" s="223">
        <f t="shared" si="1"/>
        <v>0</v>
      </c>
      <c r="H6" s="305">
        <v>42</v>
      </c>
      <c r="I6" s="310">
        <v>42</v>
      </c>
      <c r="J6" s="306">
        <f t="shared" si="2"/>
        <v>0</v>
      </c>
      <c r="K6" s="297">
        <f t="shared" si="3"/>
        <v>0</v>
      </c>
      <c r="L6" s="305">
        <v>7762</v>
      </c>
      <c r="M6" s="310">
        <v>7762</v>
      </c>
      <c r="N6" s="224">
        <f t="shared" si="4"/>
        <v>0</v>
      </c>
      <c r="O6" s="298">
        <f t="shared" si="5"/>
        <v>0</v>
      </c>
      <c r="P6" s="307">
        <f t="shared" si="6"/>
        <v>34.621471907148511</v>
      </c>
      <c r="Q6" s="308">
        <v>34.9</v>
      </c>
      <c r="R6" s="301">
        <f t="shared" si="7"/>
        <v>-0.27852809285148794</v>
      </c>
    </row>
    <row r="7" spans="1:19" x14ac:dyDescent="0.25">
      <c r="A7" s="302" t="s">
        <v>3258</v>
      </c>
      <c r="B7" s="303" t="s">
        <v>5</v>
      </c>
      <c r="C7" s="309">
        <v>213151</v>
      </c>
      <c r="D7" s="305">
        <v>2</v>
      </c>
      <c r="E7" s="310">
        <v>2</v>
      </c>
      <c r="F7" s="296">
        <f t="shared" si="0"/>
        <v>0</v>
      </c>
      <c r="G7" s="223">
        <f t="shared" si="1"/>
        <v>0</v>
      </c>
      <c r="H7" s="305">
        <v>28</v>
      </c>
      <c r="I7" s="310">
        <v>28</v>
      </c>
      <c r="J7" s="306">
        <f t="shared" si="2"/>
        <v>0</v>
      </c>
      <c r="K7" s="297">
        <f t="shared" si="3"/>
        <v>0</v>
      </c>
      <c r="L7" s="305">
        <v>4776</v>
      </c>
      <c r="M7" s="310">
        <v>5355</v>
      </c>
      <c r="N7" s="224">
        <f t="shared" si="4"/>
        <v>-579</v>
      </c>
      <c r="O7" s="298">
        <f t="shared" si="5"/>
        <v>-0.10812324929971989</v>
      </c>
      <c r="P7" s="307">
        <f t="shared" si="6"/>
        <v>13.136227369329724</v>
      </c>
      <c r="Q7" s="308">
        <v>12.8</v>
      </c>
      <c r="R7" s="301">
        <f t="shared" si="7"/>
        <v>0.3362273693297233</v>
      </c>
    </row>
    <row r="8" spans="1:19" x14ac:dyDescent="0.25">
      <c r="A8" s="302" t="s">
        <v>3258</v>
      </c>
      <c r="B8" s="303" t="s">
        <v>6</v>
      </c>
      <c r="C8" s="309">
        <v>277361</v>
      </c>
      <c r="D8" s="305">
        <v>2</v>
      </c>
      <c r="E8" s="310">
        <v>2</v>
      </c>
      <c r="F8" s="296">
        <f t="shared" si="0"/>
        <v>0</v>
      </c>
      <c r="G8" s="223">
        <f t="shared" si="1"/>
        <v>0</v>
      </c>
      <c r="H8" s="305">
        <v>16</v>
      </c>
      <c r="I8" s="310">
        <v>17</v>
      </c>
      <c r="J8" s="306">
        <f t="shared" si="2"/>
        <v>-1</v>
      </c>
      <c r="K8" s="297">
        <f t="shared" si="3"/>
        <v>-5.8823529411764705E-2</v>
      </c>
      <c r="L8" s="305">
        <v>2641</v>
      </c>
      <c r="M8" s="310">
        <v>2811</v>
      </c>
      <c r="N8" s="224">
        <f t="shared" si="4"/>
        <v>-170</v>
      </c>
      <c r="O8" s="298">
        <f t="shared" si="5"/>
        <v>-6.047669868374244E-2</v>
      </c>
      <c r="P8" s="307">
        <f t="shared" si="6"/>
        <v>5.7686552903977129</v>
      </c>
      <c r="Q8" s="308">
        <v>6</v>
      </c>
      <c r="R8" s="301">
        <f t="shared" si="7"/>
        <v>-0.23134470960228715</v>
      </c>
    </row>
    <row r="9" spans="1:19" x14ac:dyDescent="0.25">
      <c r="A9" s="302" t="s">
        <v>3258</v>
      </c>
      <c r="B9" s="303" t="s">
        <v>7</v>
      </c>
      <c r="C9" s="309">
        <v>335554</v>
      </c>
      <c r="D9" s="305">
        <v>5</v>
      </c>
      <c r="E9" s="310">
        <v>5</v>
      </c>
      <c r="F9" s="296">
        <f t="shared" si="0"/>
        <v>0</v>
      </c>
      <c r="G9" s="223">
        <f t="shared" si="1"/>
        <v>0</v>
      </c>
      <c r="H9" s="305">
        <v>37</v>
      </c>
      <c r="I9" s="310">
        <v>37</v>
      </c>
      <c r="J9" s="306">
        <f t="shared" si="2"/>
        <v>0</v>
      </c>
      <c r="K9" s="297">
        <f t="shared" si="3"/>
        <v>0</v>
      </c>
      <c r="L9" s="305">
        <v>5669</v>
      </c>
      <c r="M9" s="310">
        <v>5669</v>
      </c>
      <c r="N9" s="224">
        <f t="shared" si="4"/>
        <v>0</v>
      </c>
      <c r="O9" s="298">
        <f t="shared" si="5"/>
        <v>0</v>
      </c>
      <c r="P9" s="307">
        <f t="shared" si="6"/>
        <v>11.026541182641244</v>
      </c>
      <c r="Q9" s="308">
        <v>11</v>
      </c>
      <c r="R9" s="301">
        <f t="shared" si="7"/>
        <v>2.6541182641244276E-2</v>
      </c>
    </row>
    <row r="10" spans="1:19" x14ac:dyDescent="0.25">
      <c r="A10" s="302" t="s">
        <v>3258</v>
      </c>
      <c r="B10" s="303" t="s">
        <v>8</v>
      </c>
      <c r="C10" s="309">
        <v>341149</v>
      </c>
      <c r="D10" s="305">
        <v>1</v>
      </c>
      <c r="E10" s="310">
        <v>1</v>
      </c>
      <c r="F10" s="296">
        <f t="shared" si="0"/>
        <v>0</v>
      </c>
      <c r="G10" s="223">
        <f t="shared" si="1"/>
        <v>0</v>
      </c>
      <c r="H10" s="305">
        <v>8</v>
      </c>
      <c r="I10" s="310">
        <v>8</v>
      </c>
      <c r="J10" s="306">
        <f t="shared" si="2"/>
        <v>0</v>
      </c>
      <c r="K10" s="297">
        <f t="shared" si="3"/>
        <v>0</v>
      </c>
      <c r="L10" s="305">
        <v>1737</v>
      </c>
      <c r="M10" s="310">
        <v>1737</v>
      </c>
      <c r="N10" s="224">
        <f t="shared" si="4"/>
        <v>0</v>
      </c>
      <c r="O10" s="298">
        <f t="shared" si="5"/>
        <v>0</v>
      </c>
      <c r="P10" s="307">
        <f t="shared" si="6"/>
        <v>2.3450164004584506</v>
      </c>
      <c r="Q10" s="308">
        <v>2.4</v>
      </c>
      <c r="R10" s="301">
        <f t="shared" si="7"/>
        <v>-5.49835995415493E-2</v>
      </c>
    </row>
    <row r="11" spans="1:19" x14ac:dyDescent="0.25">
      <c r="A11" s="302" t="s">
        <v>3258</v>
      </c>
      <c r="B11" s="303" t="s">
        <v>9</v>
      </c>
      <c r="C11" s="309">
        <v>382155</v>
      </c>
      <c r="D11" s="305">
        <v>3</v>
      </c>
      <c r="E11" s="310">
        <v>3</v>
      </c>
      <c r="F11" s="296">
        <f t="shared" si="0"/>
        <v>0</v>
      </c>
      <c r="G11" s="223">
        <f t="shared" si="1"/>
        <v>0</v>
      </c>
      <c r="H11" s="305">
        <v>22</v>
      </c>
      <c r="I11" s="310">
        <v>22</v>
      </c>
      <c r="J11" s="306">
        <f t="shared" si="2"/>
        <v>0</v>
      </c>
      <c r="K11" s="297">
        <f t="shared" si="3"/>
        <v>0</v>
      </c>
      <c r="L11" s="305">
        <v>3052</v>
      </c>
      <c r="M11" s="310">
        <v>3064</v>
      </c>
      <c r="N11" s="224">
        <f t="shared" si="4"/>
        <v>-12</v>
      </c>
      <c r="O11" s="298">
        <f t="shared" si="5"/>
        <v>-3.9164490861618795E-3</v>
      </c>
      <c r="P11" s="307">
        <f t="shared" si="6"/>
        <v>5.7568264185997826</v>
      </c>
      <c r="Q11" s="308">
        <v>5.7</v>
      </c>
      <c r="R11" s="301">
        <f t="shared" si="7"/>
        <v>5.6826418599782436E-2</v>
      </c>
    </row>
    <row r="12" spans="1:19" x14ac:dyDescent="0.25">
      <c r="A12" s="302" t="s">
        <v>3258</v>
      </c>
      <c r="B12" s="303" t="s">
        <v>10</v>
      </c>
      <c r="C12" s="309">
        <v>425602</v>
      </c>
      <c r="D12" s="305">
        <v>2</v>
      </c>
      <c r="E12" s="310">
        <v>2</v>
      </c>
      <c r="F12" s="296">
        <f t="shared" si="0"/>
        <v>0</v>
      </c>
      <c r="G12" s="223">
        <f t="shared" si="1"/>
        <v>0</v>
      </c>
      <c r="H12" s="305">
        <v>8</v>
      </c>
      <c r="I12" s="310">
        <v>8</v>
      </c>
      <c r="J12" s="306">
        <f t="shared" si="2"/>
        <v>0</v>
      </c>
      <c r="K12" s="297">
        <f t="shared" si="3"/>
        <v>0</v>
      </c>
      <c r="L12" s="305">
        <v>1240</v>
      </c>
      <c r="M12" s="310">
        <v>1240</v>
      </c>
      <c r="N12" s="224">
        <f t="shared" si="4"/>
        <v>0</v>
      </c>
      <c r="O12" s="298">
        <f t="shared" si="5"/>
        <v>0</v>
      </c>
      <c r="P12" s="307">
        <f t="shared" si="6"/>
        <v>1.8796904149886513</v>
      </c>
      <c r="Q12" s="308">
        <v>1.9</v>
      </c>
      <c r="R12" s="301">
        <f t="shared" si="7"/>
        <v>-2.0309585011348608E-2</v>
      </c>
    </row>
    <row r="13" spans="1:19" x14ac:dyDescent="0.25">
      <c r="A13" s="302" t="s">
        <v>3258</v>
      </c>
      <c r="B13" s="303" t="s">
        <v>11</v>
      </c>
      <c r="C13" s="309">
        <v>288113</v>
      </c>
      <c r="D13" s="305">
        <v>3</v>
      </c>
      <c r="E13" s="310">
        <v>3</v>
      </c>
      <c r="F13" s="296">
        <f t="shared" si="0"/>
        <v>0</v>
      </c>
      <c r="G13" s="223">
        <f t="shared" si="1"/>
        <v>0</v>
      </c>
      <c r="H13" s="305">
        <v>21</v>
      </c>
      <c r="I13" s="310">
        <v>21</v>
      </c>
      <c r="J13" s="306">
        <f t="shared" si="2"/>
        <v>0</v>
      </c>
      <c r="K13" s="297">
        <f t="shared" si="3"/>
        <v>0</v>
      </c>
      <c r="L13" s="305">
        <v>2516</v>
      </c>
      <c r="M13" s="310">
        <v>2516</v>
      </c>
      <c r="N13" s="224">
        <f t="shared" si="4"/>
        <v>0</v>
      </c>
      <c r="O13" s="298">
        <f t="shared" si="5"/>
        <v>0</v>
      </c>
      <c r="P13" s="307">
        <f t="shared" si="6"/>
        <v>7.2888068223231857</v>
      </c>
      <c r="Q13" s="308">
        <v>7.2</v>
      </c>
      <c r="R13" s="301">
        <f t="shared" si="7"/>
        <v>8.8806822323185486E-2</v>
      </c>
    </row>
    <row r="14" spans="1:19" x14ac:dyDescent="0.25">
      <c r="A14" s="302" t="s">
        <v>3258</v>
      </c>
      <c r="B14" s="303" t="s">
        <v>12</v>
      </c>
      <c r="C14" s="309">
        <v>306948</v>
      </c>
      <c r="D14" s="305">
        <v>2</v>
      </c>
      <c r="E14" s="310">
        <v>2</v>
      </c>
      <c r="F14" s="296">
        <f t="shared" si="0"/>
        <v>0</v>
      </c>
      <c r="G14" s="223">
        <f t="shared" si="1"/>
        <v>0</v>
      </c>
      <c r="H14" s="305">
        <v>12</v>
      </c>
      <c r="I14" s="310">
        <v>12</v>
      </c>
      <c r="J14" s="306">
        <f t="shared" si="2"/>
        <v>0</v>
      </c>
      <c r="K14" s="297">
        <f t="shared" si="3"/>
        <v>0</v>
      </c>
      <c r="L14" s="305">
        <v>1550</v>
      </c>
      <c r="M14" s="310">
        <v>1550</v>
      </c>
      <c r="N14" s="224">
        <f t="shared" si="4"/>
        <v>0</v>
      </c>
      <c r="O14" s="298">
        <f t="shared" si="5"/>
        <v>0</v>
      </c>
      <c r="P14" s="307">
        <f t="shared" si="6"/>
        <v>3.9094569764259739</v>
      </c>
      <c r="Q14" s="308">
        <v>3.8</v>
      </c>
      <c r="R14" s="301">
        <f t="shared" si="7"/>
        <v>0.10945697642597407</v>
      </c>
    </row>
    <row r="15" spans="1:19" x14ac:dyDescent="0.25">
      <c r="A15" s="302" t="s">
        <v>3258</v>
      </c>
      <c r="B15" s="303" t="s">
        <v>13</v>
      </c>
      <c r="C15" s="309">
        <v>498213</v>
      </c>
      <c r="D15" s="305">
        <v>5</v>
      </c>
      <c r="E15" s="310">
        <v>5</v>
      </c>
      <c r="F15" s="296">
        <f t="shared" si="0"/>
        <v>0</v>
      </c>
      <c r="G15" s="223">
        <f t="shared" si="1"/>
        <v>0</v>
      </c>
      <c r="H15" s="305">
        <v>28</v>
      </c>
      <c r="I15" s="310">
        <v>28</v>
      </c>
      <c r="J15" s="306">
        <f t="shared" si="2"/>
        <v>0</v>
      </c>
      <c r="K15" s="297">
        <f t="shared" si="3"/>
        <v>0</v>
      </c>
      <c r="L15" s="305">
        <v>4559</v>
      </c>
      <c r="M15" s="310">
        <v>4559</v>
      </c>
      <c r="N15" s="224">
        <f t="shared" si="4"/>
        <v>0</v>
      </c>
      <c r="O15" s="298">
        <f t="shared" si="5"/>
        <v>0</v>
      </c>
      <c r="P15" s="307">
        <f t="shared" si="6"/>
        <v>5.6200861880360407</v>
      </c>
      <c r="Q15" s="308">
        <v>5.6</v>
      </c>
      <c r="R15" s="301">
        <f t="shared" si="7"/>
        <v>2.0086188036041008E-2</v>
      </c>
    </row>
    <row r="16" spans="1:19" x14ac:dyDescent="0.25">
      <c r="A16" s="302" t="s">
        <v>3258</v>
      </c>
      <c r="B16" s="303" t="s">
        <v>14</v>
      </c>
      <c r="C16" s="309">
        <v>466770</v>
      </c>
      <c r="D16" s="305">
        <v>2</v>
      </c>
      <c r="E16" s="310">
        <v>2</v>
      </c>
      <c r="F16" s="296">
        <f t="shared" si="0"/>
        <v>0</v>
      </c>
      <c r="G16" s="223">
        <f t="shared" si="1"/>
        <v>0</v>
      </c>
      <c r="H16" s="305">
        <v>17</v>
      </c>
      <c r="I16" s="310">
        <v>17</v>
      </c>
      <c r="J16" s="306">
        <f t="shared" si="2"/>
        <v>0</v>
      </c>
      <c r="K16" s="297">
        <f t="shared" si="3"/>
        <v>0</v>
      </c>
      <c r="L16" s="305">
        <v>2956</v>
      </c>
      <c r="M16" s="310">
        <v>2956</v>
      </c>
      <c r="N16" s="224">
        <f t="shared" si="4"/>
        <v>0</v>
      </c>
      <c r="O16" s="298">
        <f t="shared" si="5"/>
        <v>0</v>
      </c>
      <c r="P16" s="307">
        <f t="shared" si="6"/>
        <v>3.6420506887760564</v>
      </c>
      <c r="Q16" s="308">
        <v>3.6</v>
      </c>
      <c r="R16" s="301">
        <f t="shared" si="7"/>
        <v>4.2050688776056333E-2</v>
      </c>
    </row>
    <row r="17" spans="1:18" x14ac:dyDescent="0.25">
      <c r="A17" s="302" t="s">
        <v>3258</v>
      </c>
      <c r="B17" s="303" t="s">
        <v>15</v>
      </c>
      <c r="C17" s="309">
        <v>306231</v>
      </c>
      <c r="D17" s="305">
        <v>5</v>
      </c>
      <c r="E17" s="310">
        <v>5</v>
      </c>
      <c r="F17" s="296">
        <f t="shared" si="0"/>
        <v>0</v>
      </c>
      <c r="G17" s="223">
        <f t="shared" si="1"/>
        <v>0</v>
      </c>
      <c r="H17" s="305">
        <v>21</v>
      </c>
      <c r="I17" s="310">
        <v>23</v>
      </c>
      <c r="J17" s="306">
        <f t="shared" si="2"/>
        <v>-2</v>
      </c>
      <c r="K17" s="297">
        <f t="shared" si="3"/>
        <v>-8.6956521739130432E-2</v>
      </c>
      <c r="L17" s="305">
        <v>3453</v>
      </c>
      <c r="M17" s="310">
        <v>3712</v>
      </c>
      <c r="N17" s="224">
        <f t="shared" si="4"/>
        <v>-259</v>
      </c>
      <c r="O17" s="298">
        <f t="shared" si="5"/>
        <v>-6.9773706896551727E-2</v>
      </c>
      <c r="P17" s="307">
        <f t="shared" si="6"/>
        <v>6.8575683062785942</v>
      </c>
      <c r="Q17" s="308">
        <v>7.5</v>
      </c>
      <c r="R17" s="301">
        <f t="shared" si="7"/>
        <v>-0.64243169372140585</v>
      </c>
    </row>
    <row r="18" spans="1:18" x14ac:dyDescent="0.25">
      <c r="A18" s="302" t="s">
        <v>3258</v>
      </c>
      <c r="B18" s="303" t="s">
        <v>16</v>
      </c>
      <c r="C18" s="309">
        <v>363697</v>
      </c>
      <c r="D18" s="305">
        <v>8</v>
      </c>
      <c r="E18" s="310">
        <v>8</v>
      </c>
      <c r="F18" s="296">
        <f t="shared" si="0"/>
        <v>0</v>
      </c>
      <c r="G18" s="223">
        <f t="shared" si="1"/>
        <v>0</v>
      </c>
      <c r="H18" s="305">
        <v>36</v>
      </c>
      <c r="I18" s="310">
        <v>38</v>
      </c>
      <c r="J18" s="306">
        <f t="shared" si="2"/>
        <v>-2</v>
      </c>
      <c r="K18" s="297">
        <f t="shared" si="3"/>
        <v>-5.2631578947368418E-2</v>
      </c>
      <c r="L18" s="305">
        <v>5661</v>
      </c>
      <c r="M18" s="310">
        <v>6033</v>
      </c>
      <c r="N18" s="224">
        <f t="shared" si="4"/>
        <v>-372</v>
      </c>
      <c r="O18" s="298">
        <f t="shared" si="5"/>
        <v>-6.1660865241173549E-2</v>
      </c>
      <c r="P18" s="307">
        <f t="shared" si="6"/>
        <v>9.8983494502291745</v>
      </c>
      <c r="Q18" s="308">
        <v>10.4</v>
      </c>
      <c r="R18" s="301">
        <f t="shared" si="7"/>
        <v>-0.5016505497708259</v>
      </c>
    </row>
    <row r="19" spans="1:18" x14ac:dyDescent="0.25">
      <c r="A19" s="302" t="s">
        <v>3258</v>
      </c>
      <c r="B19" s="303" t="s">
        <v>17</v>
      </c>
      <c r="C19" s="309">
        <v>436028</v>
      </c>
      <c r="D19" s="305">
        <v>2</v>
      </c>
      <c r="E19" s="310">
        <v>2</v>
      </c>
      <c r="F19" s="296">
        <f t="shared" si="0"/>
        <v>0</v>
      </c>
      <c r="G19" s="223">
        <f t="shared" si="1"/>
        <v>0</v>
      </c>
      <c r="H19" s="305">
        <v>17</v>
      </c>
      <c r="I19" s="310">
        <v>17</v>
      </c>
      <c r="J19" s="306">
        <f t="shared" si="2"/>
        <v>0</v>
      </c>
      <c r="K19" s="297">
        <f t="shared" si="3"/>
        <v>0</v>
      </c>
      <c r="L19" s="305">
        <v>2467</v>
      </c>
      <c r="M19" s="310">
        <v>2467</v>
      </c>
      <c r="N19" s="224">
        <f t="shared" si="4"/>
        <v>0</v>
      </c>
      <c r="O19" s="298">
        <f t="shared" si="5"/>
        <v>0</v>
      </c>
      <c r="P19" s="307">
        <f t="shared" si="6"/>
        <v>3.8988321850890313</v>
      </c>
      <c r="Q19" s="308">
        <v>3.9</v>
      </c>
      <c r="R19" s="301">
        <f t="shared" si="7"/>
        <v>-1.1678149109686231E-3</v>
      </c>
    </row>
    <row r="20" spans="1:18" x14ac:dyDescent="0.25">
      <c r="A20" s="302" t="s">
        <v>3258</v>
      </c>
      <c r="B20" s="303" t="s">
        <v>18</v>
      </c>
      <c r="C20" s="309">
        <v>563058</v>
      </c>
      <c r="D20" s="305">
        <v>5</v>
      </c>
      <c r="E20" s="310">
        <v>5</v>
      </c>
      <c r="F20" s="296">
        <f t="shared" si="0"/>
        <v>0</v>
      </c>
      <c r="G20" s="223">
        <f t="shared" si="1"/>
        <v>0</v>
      </c>
      <c r="H20" s="305">
        <v>33</v>
      </c>
      <c r="I20" s="310">
        <v>33</v>
      </c>
      <c r="J20" s="306">
        <f t="shared" si="2"/>
        <v>0</v>
      </c>
      <c r="K20" s="297">
        <f t="shared" si="3"/>
        <v>0</v>
      </c>
      <c r="L20" s="305">
        <v>5171</v>
      </c>
      <c r="M20" s="310">
        <v>5171</v>
      </c>
      <c r="N20" s="224">
        <f t="shared" si="4"/>
        <v>0</v>
      </c>
      <c r="O20" s="298">
        <f t="shared" si="5"/>
        <v>0</v>
      </c>
      <c r="P20" s="307">
        <f t="shared" si="6"/>
        <v>5.8608527007874853</v>
      </c>
      <c r="Q20" s="308">
        <v>5.8</v>
      </c>
      <c r="R20" s="301">
        <f t="shared" si="7"/>
        <v>6.0852700787485503E-2</v>
      </c>
    </row>
    <row r="21" spans="1:18" x14ac:dyDescent="0.25">
      <c r="A21" s="302" t="s">
        <v>3258</v>
      </c>
      <c r="B21" s="303" t="s">
        <v>19</v>
      </c>
      <c r="C21" s="309">
        <v>392405</v>
      </c>
      <c r="D21" s="305">
        <v>3</v>
      </c>
      <c r="E21" s="310">
        <v>3</v>
      </c>
      <c r="F21" s="296">
        <f t="shared" si="0"/>
        <v>0</v>
      </c>
      <c r="G21" s="223">
        <f t="shared" si="1"/>
        <v>0</v>
      </c>
      <c r="H21" s="305">
        <v>23</v>
      </c>
      <c r="I21" s="310">
        <v>23</v>
      </c>
      <c r="J21" s="306">
        <f t="shared" si="2"/>
        <v>0</v>
      </c>
      <c r="K21" s="297">
        <f t="shared" si="3"/>
        <v>0</v>
      </c>
      <c r="L21" s="305">
        <v>2907</v>
      </c>
      <c r="M21" s="310">
        <v>2907</v>
      </c>
      <c r="N21" s="224">
        <f t="shared" si="4"/>
        <v>0</v>
      </c>
      <c r="O21" s="298">
        <f t="shared" si="5"/>
        <v>0</v>
      </c>
      <c r="P21" s="307">
        <f t="shared" si="6"/>
        <v>5.8612912679502047</v>
      </c>
      <c r="Q21" s="308">
        <v>5.8</v>
      </c>
      <c r="R21" s="301">
        <f t="shared" si="7"/>
        <v>6.1291267950204897E-2</v>
      </c>
    </row>
    <row r="22" spans="1:18" x14ac:dyDescent="0.25">
      <c r="A22" s="302" t="s">
        <v>3258</v>
      </c>
      <c r="B22" s="303" t="s">
        <v>20</v>
      </c>
      <c r="C22" s="309">
        <v>227481</v>
      </c>
      <c r="D22" s="305">
        <v>2</v>
      </c>
      <c r="E22" s="310">
        <v>2</v>
      </c>
      <c r="F22" s="296">
        <f t="shared" si="0"/>
        <v>0</v>
      </c>
      <c r="G22" s="223">
        <f t="shared" si="1"/>
        <v>0</v>
      </c>
      <c r="H22" s="305">
        <v>14</v>
      </c>
      <c r="I22" s="310">
        <v>14</v>
      </c>
      <c r="J22" s="306">
        <f t="shared" si="2"/>
        <v>0</v>
      </c>
      <c r="K22" s="297">
        <f t="shared" si="3"/>
        <v>0</v>
      </c>
      <c r="L22" s="305">
        <v>2660</v>
      </c>
      <c r="M22" s="310">
        <v>2660</v>
      </c>
      <c r="N22" s="224">
        <f t="shared" si="4"/>
        <v>0</v>
      </c>
      <c r="O22" s="298">
        <f t="shared" si="5"/>
        <v>0</v>
      </c>
      <c r="P22" s="307">
        <f t="shared" si="6"/>
        <v>6.1543601443637055</v>
      </c>
      <c r="Q22" s="308">
        <v>6.1</v>
      </c>
      <c r="R22" s="301">
        <f t="shared" si="7"/>
        <v>5.4360144363705842E-2</v>
      </c>
    </row>
    <row r="23" spans="1:18" x14ac:dyDescent="0.25">
      <c r="A23" s="302" t="s">
        <v>3258</v>
      </c>
      <c r="B23" s="303" t="s">
        <v>21</v>
      </c>
      <c r="C23" s="309">
        <v>374794</v>
      </c>
      <c r="D23" s="305">
        <v>3</v>
      </c>
      <c r="E23" s="310">
        <v>3</v>
      </c>
      <c r="F23" s="296">
        <f t="shared" si="0"/>
        <v>0</v>
      </c>
      <c r="G23" s="223">
        <f t="shared" si="1"/>
        <v>0</v>
      </c>
      <c r="H23" s="305">
        <v>28</v>
      </c>
      <c r="I23" s="310">
        <v>28</v>
      </c>
      <c r="J23" s="306">
        <f t="shared" si="2"/>
        <v>0</v>
      </c>
      <c r="K23" s="297">
        <f t="shared" si="3"/>
        <v>0</v>
      </c>
      <c r="L23" s="305">
        <v>5175</v>
      </c>
      <c r="M23" s="310">
        <v>5175</v>
      </c>
      <c r="N23" s="224">
        <f t="shared" si="4"/>
        <v>0</v>
      </c>
      <c r="O23" s="298">
        <f t="shared" si="5"/>
        <v>0</v>
      </c>
      <c r="P23" s="307">
        <f t="shared" si="6"/>
        <v>7.4707706099884197</v>
      </c>
      <c r="Q23" s="308">
        <v>7.5</v>
      </c>
      <c r="R23" s="301">
        <f t="shared" si="7"/>
        <v>-2.9229390011580314E-2</v>
      </c>
    </row>
    <row r="24" spans="1:18" x14ac:dyDescent="0.25">
      <c r="A24" s="302" t="s">
        <v>3258</v>
      </c>
      <c r="B24" s="303" t="s">
        <v>22</v>
      </c>
      <c r="C24" s="309">
        <v>378769</v>
      </c>
      <c r="D24" s="305">
        <v>3</v>
      </c>
      <c r="E24" s="310">
        <v>2</v>
      </c>
      <c r="F24" s="296">
        <f t="shared" si="0"/>
        <v>1</v>
      </c>
      <c r="G24" s="223">
        <f t="shared" si="1"/>
        <v>0.5</v>
      </c>
      <c r="H24" s="305">
        <v>14</v>
      </c>
      <c r="I24" s="310">
        <v>8</v>
      </c>
      <c r="J24" s="306">
        <f t="shared" si="2"/>
        <v>6</v>
      </c>
      <c r="K24" s="297">
        <f t="shared" si="3"/>
        <v>0.75</v>
      </c>
      <c r="L24" s="305">
        <v>1571</v>
      </c>
      <c r="M24" s="310">
        <v>1038</v>
      </c>
      <c r="N24" s="224">
        <f t="shared" si="4"/>
        <v>533</v>
      </c>
      <c r="O24" s="298">
        <f t="shared" si="5"/>
        <v>0.51348747591522159</v>
      </c>
      <c r="P24" s="307">
        <f t="shared" si="6"/>
        <v>3.6961842178214166</v>
      </c>
      <c r="Q24" s="308">
        <v>2.1</v>
      </c>
      <c r="R24" s="301">
        <f t="shared" si="7"/>
        <v>1.5961842178214165</v>
      </c>
    </row>
    <row r="25" spans="1:18" x14ac:dyDescent="0.25">
      <c r="A25" s="302" t="s">
        <v>3258</v>
      </c>
      <c r="B25" s="303" t="s">
        <v>23</v>
      </c>
      <c r="C25" s="309">
        <v>481956</v>
      </c>
      <c r="D25" s="305">
        <v>2</v>
      </c>
      <c r="E25" s="310">
        <v>2</v>
      </c>
      <c r="F25" s="296">
        <f t="shared" si="0"/>
        <v>0</v>
      </c>
      <c r="G25" s="223">
        <f t="shared" si="1"/>
        <v>0</v>
      </c>
      <c r="H25" s="305">
        <v>13</v>
      </c>
      <c r="I25" s="310">
        <v>13</v>
      </c>
      <c r="J25" s="306">
        <f t="shared" si="2"/>
        <v>0</v>
      </c>
      <c r="K25" s="297">
        <f t="shared" si="3"/>
        <v>0</v>
      </c>
      <c r="L25" s="305">
        <v>2181</v>
      </c>
      <c r="M25" s="310">
        <v>2181</v>
      </c>
      <c r="N25" s="224">
        <f t="shared" si="4"/>
        <v>0</v>
      </c>
      <c r="O25" s="298">
        <f t="shared" si="5"/>
        <v>0</v>
      </c>
      <c r="P25" s="307">
        <f t="shared" si="6"/>
        <v>2.6973416660442031</v>
      </c>
      <c r="Q25" s="308">
        <v>2.7</v>
      </c>
      <c r="R25" s="301">
        <f t="shared" si="7"/>
        <v>-2.6583339557970653E-3</v>
      </c>
    </row>
    <row r="26" spans="1:18" x14ac:dyDescent="0.25">
      <c r="A26" s="302" t="s">
        <v>3258</v>
      </c>
      <c r="B26" s="303" t="s">
        <v>24</v>
      </c>
      <c r="C26" s="309">
        <v>407664</v>
      </c>
      <c r="D26" s="305">
        <v>3</v>
      </c>
      <c r="E26" s="310">
        <v>3</v>
      </c>
      <c r="F26" s="296">
        <f t="shared" si="0"/>
        <v>0</v>
      </c>
      <c r="G26" s="223">
        <f t="shared" si="1"/>
        <v>0</v>
      </c>
      <c r="H26" s="305">
        <v>13</v>
      </c>
      <c r="I26" s="310">
        <v>13</v>
      </c>
      <c r="J26" s="306">
        <f t="shared" si="2"/>
        <v>0</v>
      </c>
      <c r="K26" s="297">
        <f t="shared" si="3"/>
        <v>0</v>
      </c>
      <c r="L26" s="305">
        <v>1679</v>
      </c>
      <c r="M26" s="310">
        <v>1679</v>
      </c>
      <c r="N26" s="224">
        <f t="shared" si="4"/>
        <v>0</v>
      </c>
      <c r="O26" s="298">
        <f t="shared" si="5"/>
        <v>0</v>
      </c>
      <c r="P26" s="307">
        <f t="shared" si="6"/>
        <v>3.1889006632913381</v>
      </c>
      <c r="Q26" s="308">
        <v>3.2</v>
      </c>
      <c r="R26" s="301">
        <f t="shared" si="7"/>
        <v>-1.1099336708662033E-2</v>
      </c>
    </row>
    <row r="27" spans="1:18" x14ac:dyDescent="0.25">
      <c r="A27" s="302" t="s">
        <v>3258</v>
      </c>
      <c r="B27" s="303" t="s">
        <v>25</v>
      </c>
      <c r="C27" s="309">
        <v>544873</v>
      </c>
      <c r="D27" s="305">
        <v>8</v>
      </c>
      <c r="E27" s="310">
        <v>8</v>
      </c>
      <c r="F27" s="296">
        <f t="shared" si="0"/>
        <v>0</v>
      </c>
      <c r="G27" s="223">
        <f t="shared" si="1"/>
        <v>0</v>
      </c>
      <c r="H27" s="305">
        <v>56</v>
      </c>
      <c r="I27" s="310">
        <v>57</v>
      </c>
      <c r="J27" s="306">
        <f t="shared" si="2"/>
        <v>-1</v>
      </c>
      <c r="K27" s="297">
        <f t="shared" si="3"/>
        <v>-1.7543859649122806E-2</v>
      </c>
      <c r="L27" s="305">
        <v>8065</v>
      </c>
      <c r="M27" s="310">
        <v>8212</v>
      </c>
      <c r="N27" s="224">
        <f t="shared" si="4"/>
        <v>-147</v>
      </c>
      <c r="O27" s="298">
        <f t="shared" si="5"/>
        <v>-1.7900633219678518E-2</v>
      </c>
      <c r="P27" s="307">
        <f t="shared" si="6"/>
        <v>10.277624327136781</v>
      </c>
      <c r="Q27" s="308">
        <v>10.8</v>
      </c>
      <c r="R27" s="301">
        <f t="shared" si="7"/>
        <v>-0.52237567286321962</v>
      </c>
    </row>
    <row r="28" spans="1:18" x14ac:dyDescent="0.25">
      <c r="A28" s="302" t="s">
        <v>3258</v>
      </c>
      <c r="B28" s="303" t="s">
        <v>26</v>
      </c>
      <c r="C28" s="309">
        <v>654166</v>
      </c>
      <c r="D28" s="305">
        <v>3</v>
      </c>
      <c r="E28" s="310">
        <v>3</v>
      </c>
      <c r="F28" s="296">
        <f t="shared" si="0"/>
        <v>0</v>
      </c>
      <c r="G28" s="223">
        <f t="shared" si="1"/>
        <v>0</v>
      </c>
      <c r="H28" s="305">
        <v>36</v>
      </c>
      <c r="I28" s="310">
        <v>38</v>
      </c>
      <c r="J28" s="306">
        <f t="shared" si="2"/>
        <v>-2</v>
      </c>
      <c r="K28" s="297">
        <f t="shared" si="3"/>
        <v>-5.2631578947368418E-2</v>
      </c>
      <c r="L28" s="305">
        <v>6325</v>
      </c>
      <c r="M28" s="310">
        <v>6684</v>
      </c>
      <c r="N28" s="224">
        <f t="shared" si="4"/>
        <v>-359</v>
      </c>
      <c r="O28" s="298">
        <f t="shared" si="5"/>
        <v>-5.3710353081986836E-2</v>
      </c>
      <c r="P28" s="307">
        <f t="shared" si="6"/>
        <v>5.503190321722621</v>
      </c>
      <c r="Q28" s="308">
        <v>5.8</v>
      </c>
      <c r="R28" s="301">
        <f t="shared" si="7"/>
        <v>-0.29680967827737881</v>
      </c>
    </row>
    <row r="29" spans="1:18" x14ac:dyDescent="0.25">
      <c r="A29" s="302" t="s">
        <v>3258</v>
      </c>
      <c r="B29" s="303" t="s">
        <v>27</v>
      </c>
      <c r="C29" s="309">
        <v>459167</v>
      </c>
      <c r="D29" s="305">
        <v>3</v>
      </c>
      <c r="E29" s="310">
        <v>3</v>
      </c>
      <c r="F29" s="296">
        <f t="shared" si="0"/>
        <v>0</v>
      </c>
      <c r="G29" s="223">
        <f t="shared" si="1"/>
        <v>0</v>
      </c>
      <c r="H29" s="305">
        <v>26</v>
      </c>
      <c r="I29" s="310">
        <v>26</v>
      </c>
      <c r="J29" s="306">
        <f t="shared" si="2"/>
        <v>0</v>
      </c>
      <c r="K29" s="297">
        <f t="shared" si="3"/>
        <v>0</v>
      </c>
      <c r="L29" s="305">
        <v>4334</v>
      </c>
      <c r="M29" s="310">
        <v>4438</v>
      </c>
      <c r="N29" s="224">
        <f t="shared" si="4"/>
        <v>-104</v>
      </c>
      <c r="O29" s="298">
        <f t="shared" si="5"/>
        <v>-2.3433979269941414E-2</v>
      </c>
      <c r="P29" s="307">
        <f t="shared" si="6"/>
        <v>5.6624278312683618</v>
      </c>
      <c r="Q29" s="308">
        <v>5.7</v>
      </c>
      <c r="R29" s="301">
        <f t="shared" si="7"/>
        <v>-3.7572168731638378E-2</v>
      </c>
    </row>
    <row r="30" spans="1:18" x14ac:dyDescent="0.25">
      <c r="A30" s="291" t="s">
        <v>3259</v>
      </c>
      <c r="B30" s="292" t="s">
        <v>3256</v>
      </c>
      <c r="C30" s="311">
        <v>3293362</v>
      </c>
      <c r="D30" s="294">
        <f>SUM(D31:D46)</f>
        <v>29</v>
      </c>
      <c r="E30" s="312">
        <f>SUM(E31:E46)</f>
        <v>29</v>
      </c>
      <c r="F30" s="296">
        <f t="shared" si="0"/>
        <v>0</v>
      </c>
      <c r="G30" s="223">
        <f t="shared" si="1"/>
        <v>0</v>
      </c>
      <c r="H30" s="294">
        <f>SUM(H31:H46)</f>
        <v>227</v>
      </c>
      <c r="I30" s="312">
        <f>SUM(I31:I46)</f>
        <v>228</v>
      </c>
      <c r="J30" s="306">
        <f t="shared" si="2"/>
        <v>-1</v>
      </c>
      <c r="K30" s="297">
        <f t="shared" si="3"/>
        <v>-4.3859649122807015E-3</v>
      </c>
      <c r="L30" s="294">
        <f>SUM(L31:L46)</f>
        <v>33557</v>
      </c>
      <c r="M30" s="312">
        <f>SUM(M31:M46)</f>
        <v>34053</v>
      </c>
      <c r="N30" s="224">
        <f t="shared" si="4"/>
        <v>-496</v>
      </c>
      <c r="O30" s="298">
        <f t="shared" si="5"/>
        <v>-1.4565530202918979E-2</v>
      </c>
      <c r="P30" s="299">
        <f t="shared" si="6"/>
        <v>6.8926525538340453</v>
      </c>
      <c r="Q30" s="300">
        <v>6.9</v>
      </c>
      <c r="R30" s="301">
        <f t="shared" si="7"/>
        <v>-7.3474461659550627E-3</v>
      </c>
    </row>
    <row r="31" spans="1:18" x14ac:dyDescent="0.25">
      <c r="A31" s="302" t="s">
        <v>3258</v>
      </c>
      <c r="B31" s="303" t="s">
        <v>4</v>
      </c>
      <c r="C31" s="309">
        <v>38619</v>
      </c>
      <c r="D31" s="305">
        <v>3</v>
      </c>
      <c r="E31" s="310">
        <v>3</v>
      </c>
      <c r="F31" s="296">
        <f t="shared" si="0"/>
        <v>0</v>
      </c>
      <c r="G31" s="223">
        <f t="shared" si="1"/>
        <v>0</v>
      </c>
      <c r="H31" s="305">
        <v>26</v>
      </c>
      <c r="I31" s="310">
        <v>26</v>
      </c>
      <c r="J31" s="306">
        <f t="shared" si="2"/>
        <v>0</v>
      </c>
      <c r="K31" s="297">
        <f t="shared" si="3"/>
        <v>0</v>
      </c>
      <c r="L31" s="305">
        <v>4763</v>
      </c>
      <c r="M31" s="310">
        <v>4763</v>
      </c>
      <c r="N31" s="224">
        <f t="shared" si="4"/>
        <v>0</v>
      </c>
      <c r="O31" s="298">
        <f t="shared" si="5"/>
        <v>0</v>
      </c>
      <c r="P31" s="307">
        <f t="shared" si="6"/>
        <v>67.324374012791637</v>
      </c>
      <c r="Q31" s="308">
        <v>65.5</v>
      </c>
      <c r="R31" s="301">
        <f t="shared" si="7"/>
        <v>1.8243740127916368</v>
      </c>
    </row>
    <row r="32" spans="1:18" x14ac:dyDescent="0.25">
      <c r="A32" s="302" t="s">
        <v>3258</v>
      </c>
      <c r="B32" s="303" t="s">
        <v>28</v>
      </c>
      <c r="C32" s="309">
        <v>104089</v>
      </c>
      <c r="D32" s="305">
        <v>0</v>
      </c>
      <c r="E32" s="310">
        <v>0</v>
      </c>
      <c r="F32" s="296">
        <f t="shared" si="0"/>
        <v>0</v>
      </c>
      <c r="G32" s="314" t="s">
        <v>3260</v>
      </c>
      <c r="H32" s="305">
        <v>0</v>
      </c>
      <c r="I32" s="310">
        <v>0</v>
      </c>
      <c r="J32" s="306">
        <f t="shared" si="2"/>
        <v>0</v>
      </c>
      <c r="K32" s="315" t="s">
        <v>3260</v>
      </c>
      <c r="L32" s="305">
        <v>0</v>
      </c>
      <c r="M32" s="310">
        <v>0</v>
      </c>
      <c r="N32" s="224">
        <f t="shared" si="4"/>
        <v>0</v>
      </c>
      <c r="O32" s="298" t="s">
        <v>3260</v>
      </c>
      <c r="P32" s="307">
        <f t="shared" si="6"/>
        <v>0</v>
      </c>
      <c r="Q32" s="308">
        <v>0</v>
      </c>
      <c r="R32" s="301">
        <f t="shared" si="7"/>
        <v>0</v>
      </c>
    </row>
    <row r="33" spans="1:18" x14ac:dyDescent="0.25">
      <c r="A33" s="302" t="s">
        <v>3258</v>
      </c>
      <c r="B33" s="303" t="s">
        <v>29</v>
      </c>
      <c r="C33" s="309">
        <v>87792</v>
      </c>
      <c r="D33" s="305">
        <v>0</v>
      </c>
      <c r="E33" s="310">
        <v>0</v>
      </c>
      <c r="F33" s="296">
        <f t="shared" si="0"/>
        <v>0</v>
      </c>
      <c r="G33" s="314" t="s">
        <v>3261</v>
      </c>
      <c r="H33" s="305">
        <v>0</v>
      </c>
      <c r="I33" s="310">
        <v>0</v>
      </c>
      <c r="J33" s="306">
        <f t="shared" si="2"/>
        <v>0</v>
      </c>
      <c r="K33" s="315" t="s">
        <v>3260</v>
      </c>
      <c r="L33" s="305">
        <v>0</v>
      </c>
      <c r="M33" s="310">
        <v>0</v>
      </c>
      <c r="N33" s="224">
        <f t="shared" si="4"/>
        <v>0</v>
      </c>
      <c r="O33" s="298" t="s">
        <v>3260</v>
      </c>
      <c r="P33" s="307">
        <f t="shared" si="6"/>
        <v>0</v>
      </c>
      <c r="Q33" s="308">
        <v>0</v>
      </c>
      <c r="R33" s="301">
        <f t="shared" si="7"/>
        <v>0</v>
      </c>
    </row>
    <row r="34" spans="1:18" x14ac:dyDescent="0.25">
      <c r="A34" s="302" t="s">
        <v>3258</v>
      </c>
      <c r="B34" s="303" t="s">
        <v>3262</v>
      </c>
      <c r="C34" s="309">
        <v>106548</v>
      </c>
      <c r="D34" s="305">
        <v>0</v>
      </c>
      <c r="E34" s="310">
        <v>0</v>
      </c>
      <c r="F34" s="296">
        <f t="shared" si="0"/>
        <v>0</v>
      </c>
      <c r="G34" s="314" t="s">
        <v>3261</v>
      </c>
      <c r="H34" s="305">
        <v>0</v>
      </c>
      <c r="I34" s="310">
        <v>0</v>
      </c>
      <c r="J34" s="306">
        <f t="shared" si="2"/>
        <v>0</v>
      </c>
      <c r="K34" s="315" t="s">
        <v>3261</v>
      </c>
      <c r="L34" s="305">
        <v>0</v>
      </c>
      <c r="M34" s="310">
        <v>0</v>
      </c>
      <c r="N34" s="224">
        <f t="shared" si="4"/>
        <v>0</v>
      </c>
      <c r="O34" s="298" t="s">
        <v>3261</v>
      </c>
      <c r="P34" s="307">
        <f t="shared" si="6"/>
        <v>0</v>
      </c>
      <c r="Q34" s="308">
        <v>0</v>
      </c>
      <c r="R34" s="301">
        <f t="shared" si="7"/>
        <v>0</v>
      </c>
    </row>
    <row r="35" spans="1:18" x14ac:dyDescent="0.25">
      <c r="A35" s="302" t="s">
        <v>3258</v>
      </c>
      <c r="B35" s="303" t="s">
        <v>30</v>
      </c>
      <c r="C35" s="309">
        <v>359508</v>
      </c>
      <c r="D35" s="305">
        <v>5</v>
      </c>
      <c r="E35" s="310">
        <v>5</v>
      </c>
      <c r="F35" s="296">
        <f t="shared" si="0"/>
        <v>0</v>
      </c>
      <c r="G35" s="223">
        <f t="shared" si="1"/>
        <v>0</v>
      </c>
      <c r="H35" s="305">
        <v>43</v>
      </c>
      <c r="I35" s="310">
        <v>43</v>
      </c>
      <c r="J35" s="306">
        <f t="shared" si="2"/>
        <v>0</v>
      </c>
      <c r="K35" s="297">
        <f t="shared" si="3"/>
        <v>0</v>
      </c>
      <c r="L35" s="305">
        <v>7478</v>
      </c>
      <c r="M35" s="310">
        <v>7478</v>
      </c>
      <c r="N35" s="224">
        <f t="shared" si="4"/>
        <v>0</v>
      </c>
      <c r="O35" s="298">
        <f t="shared" si="5"/>
        <v>0</v>
      </c>
      <c r="P35" s="307">
        <f t="shared" si="6"/>
        <v>11.960790858617889</v>
      </c>
      <c r="Q35" s="308">
        <v>12.1</v>
      </c>
      <c r="R35" s="301">
        <f t="shared" si="7"/>
        <v>-0.1392091413821106</v>
      </c>
    </row>
    <row r="36" spans="1:18" x14ac:dyDescent="0.25">
      <c r="A36" s="302" t="s">
        <v>3258</v>
      </c>
      <c r="B36" s="303" t="s">
        <v>31</v>
      </c>
      <c r="C36" s="309">
        <v>270815</v>
      </c>
      <c r="D36" s="305">
        <v>2</v>
      </c>
      <c r="E36" s="310">
        <v>2</v>
      </c>
      <c r="F36" s="296">
        <f t="shared" si="0"/>
        <v>0</v>
      </c>
      <c r="G36" s="223">
        <f t="shared" si="1"/>
        <v>0</v>
      </c>
      <c r="H36" s="305">
        <v>18</v>
      </c>
      <c r="I36" s="310">
        <v>18</v>
      </c>
      <c r="J36" s="306">
        <f t="shared" si="2"/>
        <v>0</v>
      </c>
      <c r="K36" s="297">
        <f t="shared" si="3"/>
        <v>0</v>
      </c>
      <c r="L36" s="305">
        <v>2966</v>
      </c>
      <c r="M36" s="310">
        <v>2966</v>
      </c>
      <c r="N36" s="224">
        <f t="shared" si="4"/>
        <v>0</v>
      </c>
      <c r="O36" s="298">
        <f t="shared" si="5"/>
        <v>0</v>
      </c>
      <c r="P36" s="307">
        <f t="shared" si="6"/>
        <v>6.6466037701013612</v>
      </c>
      <c r="Q36" s="308">
        <v>6.6</v>
      </c>
      <c r="R36" s="301">
        <f t="shared" si="7"/>
        <v>4.6603770101361519E-2</v>
      </c>
    </row>
    <row r="37" spans="1:18" x14ac:dyDescent="0.25">
      <c r="A37" s="302" t="s">
        <v>3258</v>
      </c>
      <c r="B37" s="303" t="s">
        <v>32</v>
      </c>
      <c r="C37" s="309">
        <v>254185</v>
      </c>
      <c r="D37" s="305">
        <v>1</v>
      </c>
      <c r="E37" s="310">
        <v>1</v>
      </c>
      <c r="F37" s="296">
        <f t="shared" si="0"/>
        <v>0</v>
      </c>
      <c r="G37" s="223">
        <f t="shared" si="1"/>
        <v>0</v>
      </c>
      <c r="H37" s="305">
        <v>8</v>
      </c>
      <c r="I37" s="310">
        <v>8</v>
      </c>
      <c r="J37" s="306">
        <f t="shared" si="2"/>
        <v>0</v>
      </c>
      <c r="K37" s="297">
        <f t="shared" si="3"/>
        <v>0</v>
      </c>
      <c r="L37" s="305">
        <v>1171</v>
      </c>
      <c r="M37" s="310">
        <v>1171</v>
      </c>
      <c r="N37" s="224">
        <f t="shared" si="4"/>
        <v>0</v>
      </c>
      <c r="O37" s="298">
        <f t="shared" si="5"/>
        <v>0</v>
      </c>
      <c r="P37" s="307">
        <f t="shared" si="6"/>
        <v>3.147313964238645</v>
      </c>
      <c r="Q37" s="308">
        <v>3.1</v>
      </c>
      <c r="R37" s="301">
        <f t="shared" si="7"/>
        <v>4.7313964238644868E-2</v>
      </c>
    </row>
    <row r="38" spans="1:18" x14ac:dyDescent="0.25">
      <c r="A38" s="302" t="s">
        <v>3258</v>
      </c>
      <c r="B38" s="303" t="s">
        <v>33</v>
      </c>
      <c r="C38" s="309">
        <v>273596</v>
      </c>
      <c r="D38" s="305">
        <v>2</v>
      </c>
      <c r="E38" s="310">
        <v>2</v>
      </c>
      <c r="F38" s="296">
        <f t="shared" si="0"/>
        <v>0</v>
      </c>
      <c r="G38" s="223">
        <f t="shared" si="1"/>
        <v>0</v>
      </c>
      <c r="H38" s="305">
        <v>16</v>
      </c>
      <c r="I38" s="310">
        <v>16</v>
      </c>
      <c r="J38" s="306">
        <f t="shared" si="2"/>
        <v>0</v>
      </c>
      <c r="K38" s="297">
        <f t="shared" si="3"/>
        <v>0</v>
      </c>
      <c r="L38" s="305">
        <v>1446</v>
      </c>
      <c r="M38" s="310">
        <v>1446</v>
      </c>
      <c r="N38" s="224">
        <f t="shared" si="4"/>
        <v>0</v>
      </c>
      <c r="O38" s="298">
        <f t="shared" si="5"/>
        <v>0</v>
      </c>
      <c r="P38" s="307">
        <f t="shared" si="6"/>
        <v>5.8480387140162868</v>
      </c>
      <c r="Q38" s="308">
        <v>5.7</v>
      </c>
      <c r="R38" s="301">
        <f t="shared" si="7"/>
        <v>0.14803871401628665</v>
      </c>
    </row>
    <row r="39" spans="1:18" x14ac:dyDescent="0.25">
      <c r="A39" s="302" t="s">
        <v>3258</v>
      </c>
      <c r="B39" s="303" t="s">
        <v>34</v>
      </c>
      <c r="C39" s="309">
        <v>380448</v>
      </c>
      <c r="D39" s="305">
        <v>5</v>
      </c>
      <c r="E39" s="310">
        <v>6</v>
      </c>
      <c r="F39" s="296">
        <f t="shared" si="0"/>
        <v>-1</v>
      </c>
      <c r="G39" s="223">
        <f t="shared" si="1"/>
        <v>-0.16666666666666666</v>
      </c>
      <c r="H39" s="305">
        <v>40</v>
      </c>
      <c r="I39" s="310">
        <v>47</v>
      </c>
      <c r="J39" s="306">
        <f t="shared" si="2"/>
        <v>-7</v>
      </c>
      <c r="K39" s="297">
        <f t="shared" si="3"/>
        <v>-0.14893617021276595</v>
      </c>
      <c r="L39" s="305">
        <v>6031</v>
      </c>
      <c r="M39" s="310">
        <v>7038</v>
      </c>
      <c r="N39" s="224">
        <f t="shared" si="4"/>
        <v>-1007</v>
      </c>
      <c r="O39" s="298">
        <f t="shared" si="5"/>
        <v>-0.1430804205740267</v>
      </c>
      <c r="P39" s="307">
        <f t="shared" si="6"/>
        <v>10.513920430650181</v>
      </c>
      <c r="Q39" s="308">
        <v>12.2</v>
      </c>
      <c r="R39" s="301">
        <f t="shared" si="7"/>
        <v>-1.6860795693498183</v>
      </c>
    </row>
    <row r="40" spans="1:18" x14ac:dyDescent="0.25">
      <c r="A40" s="302" t="s">
        <v>3258</v>
      </c>
      <c r="B40" s="303" t="s">
        <v>35</v>
      </c>
      <c r="C40" s="309">
        <v>297831</v>
      </c>
      <c r="D40" s="305">
        <v>2</v>
      </c>
      <c r="E40" s="310">
        <v>1</v>
      </c>
      <c r="F40" s="296">
        <f t="shared" si="0"/>
        <v>1</v>
      </c>
      <c r="G40" s="223">
        <f t="shared" si="1"/>
        <v>1</v>
      </c>
      <c r="H40" s="305">
        <v>13</v>
      </c>
      <c r="I40" s="310">
        <v>7</v>
      </c>
      <c r="J40" s="306">
        <f t="shared" si="2"/>
        <v>6</v>
      </c>
      <c r="K40" s="297">
        <f t="shared" si="3"/>
        <v>0.8571428571428571</v>
      </c>
      <c r="L40" s="305">
        <v>1426</v>
      </c>
      <c r="M40" s="310">
        <v>888</v>
      </c>
      <c r="N40" s="224">
        <f t="shared" si="4"/>
        <v>538</v>
      </c>
      <c r="O40" s="298">
        <f t="shared" si="5"/>
        <v>0.60585585585585588</v>
      </c>
      <c r="P40" s="307">
        <f t="shared" si="6"/>
        <v>4.3648914988701648</v>
      </c>
      <c r="Q40" s="308">
        <v>2.2999999999999998</v>
      </c>
      <c r="R40" s="301">
        <f t="shared" si="7"/>
        <v>2.064891498870165</v>
      </c>
    </row>
    <row r="41" spans="1:18" x14ac:dyDescent="0.25">
      <c r="A41" s="302" t="s">
        <v>3258</v>
      </c>
      <c r="B41" s="303" t="s">
        <v>36</v>
      </c>
      <c r="C41" s="309">
        <v>215590</v>
      </c>
      <c r="D41" s="305">
        <v>2</v>
      </c>
      <c r="E41" s="310">
        <v>2</v>
      </c>
      <c r="F41" s="296">
        <f t="shared" si="0"/>
        <v>0</v>
      </c>
      <c r="G41" s="223">
        <f t="shared" si="1"/>
        <v>0</v>
      </c>
      <c r="H41" s="305">
        <v>14</v>
      </c>
      <c r="I41" s="310">
        <v>14</v>
      </c>
      <c r="J41" s="306">
        <f t="shared" si="2"/>
        <v>0</v>
      </c>
      <c r="K41" s="297">
        <f t="shared" si="3"/>
        <v>0</v>
      </c>
      <c r="L41" s="305">
        <v>2114</v>
      </c>
      <c r="M41" s="310">
        <v>2114</v>
      </c>
      <c r="N41" s="224">
        <f t="shared" si="4"/>
        <v>0</v>
      </c>
      <c r="O41" s="298">
        <f t="shared" si="5"/>
        <v>0</v>
      </c>
      <c r="P41" s="307">
        <f t="shared" si="6"/>
        <v>6.4938076905236795</v>
      </c>
      <c r="Q41" s="308">
        <v>6.3</v>
      </c>
      <c r="R41" s="301">
        <f t="shared" si="7"/>
        <v>0.19380769052367963</v>
      </c>
    </row>
    <row r="42" spans="1:18" x14ac:dyDescent="0.25">
      <c r="A42" s="302" t="s">
        <v>3258</v>
      </c>
      <c r="B42" s="303" t="s">
        <v>18</v>
      </c>
      <c r="C42" s="309">
        <v>142396</v>
      </c>
      <c r="D42" s="305">
        <v>2</v>
      </c>
      <c r="E42" s="310">
        <v>2</v>
      </c>
      <c r="F42" s="296">
        <f t="shared" si="0"/>
        <v>0</v>
      </c>
      <c r="G42" s="223">
        <f t="shared" si="1"/>
        <v>0</v>
      </c>
      <c r="H42" s="316">
        <v>13</v>
      </c>
      <c r="I42" s="312">
        <v>13</v>
      </c>
      <c r="J42" s="317">
        <f t="shared" si="2"/>
        <v>0</v>
      </c>
      <c r="K42" s="297">
        <f t="shared" si="3"/>
        <v>0</v>
      </c>
      <c r="L42" s="316">
        <v>1241</v>
      </c>
      <c r="M42" s="312">
        <v>1241</v>
      </c>
      <c r="N42" s="295">
        <f t="shared" si="4"/>
        <v>0</v>
      </c>
      <c r="O42" s="298">
        <f t="shared" si="5"/>
        <v>0</v>
      </c>
      <c r="P42" s="307">
        <f t="shared" si="6"/>
        <v>9.1294699289305878</v>
      </c>
      <c r="Q42" s="308">
        <v>9.1</v>
      </c>
      <c r="R42" s="301">
        <f t="shared" si="7"/>
        <v>2.9469928930588196E-2</v>
      </c>
    </row>
    <row r="43" spans="1:18" x14ac:dyDescent="0.25">
      <c r="A43" s="302" t="s">
        <v>3258</v>
      </c>
      <c r="B43" s="303" t="s">
        <v>37</v>
      </c>
      <c r="C43" s="309">
        <v>205766</v>
      </c>
      <c r="D43" s="305">
        <v>1</v>
      </c>
      <c r="E43" s="310">
        <v>1</v>
      </c>
      <c r="F43" s="296">
        <f t="shared" si="0"/>
        <v>0</v>
      </c>
      <c r="G43" s="223">
        <f t="shared" si="1"/>
        <v>0</v>
      </c>
      <c r="H43" s="305">
        <v>8</v>
      </c>
      <c r="I43" s="310">
        <v>8</v>
      </c>
      <c r="J43" s="306">
        <f t="shared" si="2"/>
        <v>0</v>
      </c>
      <c r="K43" s="297">
        <f t="shared" si="3"/>
        <v>0</v>
      </c>
      <c r="L43" s="305">
        <v>1383</v>
      </c>
      <c r="M43" s="310">
        <v>1383</v>
      </c>
      <c r="N43" s="224">
        <f t="shared" si="4"/>
        <v>0</v>
      </c>
      <c r="O43" s="298">
        <f t="shared" si="5"/>
        <v>0</v>
      </c>
      <c r="P43" s="307">
        <f t="shared" si="6"/>
        <v>3.887911511134007</v>
      </c>
      <c r="Q43" s="308">
        <v>3.9</v>
      </c>
      <c r="R43" s="301">
        <f t="shared" si="7"/>
        <v>-1.2088488865992897E-2</v>
      </c>
    </row>
    <row r="44" spans="1:18" x14ac:dyDescent="0.25">
      <c r="A44" s="302" t="s">
        <v>3258</v>
      </c>
      <c r="B44" s="303" t="s">
        <v>3263</v>
      </c>
      <c r="C44" s="309">
        <v>174518</v>
      </c>
      <c r="D44" s="305">
        <v>0</v>
      </c>
      <c r="E44" s="310">
        <v>0</v>
      </c>
      <c r="F44" s="296">
        <f t="shared" si="0"/>
        <v>0</v>
      </c>
      <c r="G44" s="314" t="s">
        <v>3260</v>
      </c>
      <c r="H44" s="305">
        <v>0</v>
      </c>
      <c r="I44" s="310">
        <v>0</v>
      </c>
      <c r="J44" s="306">
        <f t="shared" si="2"/>
        <v>0</v>
      </c>
      <c r="K44" s="315" t="s">
        <v>3260</v>
      </c>
      <c r="L44" s="305">
        <v>0</v>
      </c>
      <c r="M44" s="310">
        <v>0</v>
      </c>
      <c r="N44" s="224">
        <f t="shared" si="4"/>
        <v>0</v>
      </c>
      <c r="O44" s="298" t="s">
        <v>3261</v>
      </c>
      <c r="P44" s="307">
        <f t="shared" si="6"/>
        <v>0</v>
      </c>
      <c r="Q44" s="308">
        <v>0</v>
      </c>
      <c r="R44" s="301">
        <f t="shared" si="7"/>
        <v>0</v>
      </c>
    </row>
    <row r="45" spans="1:18" x14ac:dyDescent="0.25">
      <c r="A45" s="302" t="s">
        <v>3258</v>
      </c>
      <c r="B45" s="303" t="s">
        <v>38</v>
      </c>
      <c r="C45" s="309">
        <v>202932</v>
      </c>
      <c r="D45" s="305">
        <v>1</v>
      </c>
      <c r="E45" s="310">
        <v>1</v>
      </c>
      <c r="F45" s="296">
        <f t="shared" si="0"/>
        <v>0</v>
      </c>
      <c r="G45" s="223">
        <f t="shared" si="1"/>
        <v>0</v>
      </c>
      <c r="H45" s="305">
        <v>7</v>
      </c>
      <c r="I45" s="310">
        <v>7</v>
      </c>
      <c r="J45" s="306">
        <f t="shared" si="2"/>
        <v>0</v>
      </c>
      <c r="K45" s="297">
        <f t="shared" si="3"/>
        <v>0</v>
      </c>
      <c r="L45" s="305">
        <v>1319</v>
      </c>
      <c r="M45" s="310">
        <v>1319</v>
      </c>
      <c r="N45" s="224">
        <f t="shared" si="4"/>
        <v>0</v>
      </c>
      <c r="O45" s="298">
        <f t="shared" si="5"/>
        <v>0</v>
      </c>
      <c r="P45" s="307">
        <f t="shared" si="6"/>
        <v>3.4494313366053651</v>
      </c>
      <c r="Q45" s="308">
        <v>3.4</v>
      </c>
      <c r="R45" s="301">
        <f t="shared" si="7"/>
        <v>4.9431336605365139E-2</v>
      </c>
    </row>
    <row r="46" spans="1:18" x14ac:dyDescent="0.25">
      <c r="A46" s="302" t="s">
        <v>3258</v>
      </c>
      <c r="B46" s="303" t="s">
        <v>39</v>
      </c>
      <c r="C46" s="309">
        <v>178729</v>
      </c>
      <c r="D46" s="305">
        <v>3</v>
      </c>
      <c r="E46" s="310">
        <v>3</v>
      </c>
      <c r="F46" s="296">
        <f t="shared" si="0"/>
        <v>0</v>
      </c>
      <c r="G46" s="223">
        <f t="shared" si="1"/>
        <v>0</v>
      </c>
      <c r="H46" s="305">
        <v>21</v>
      </c>
      <c r="I46" s="310">
        <v>21</v>
      </c>
      <c r="J46" s="306">
        <f t="shared" si="2"/>
        <v>0</v>
      </c>
      <c r="K46" s="297">
        <f t="shared" si="3"/>
        <v>0</v>
      </c>
      <c r="L46" s="305">
        <v>2219</v>
      </c>
      <c r="M46" s="310">
        <v>2246</v>
      </c>
      <c r="N46" s="224">
        <f t="shared" si="4"/>
        <v>-27</v>
      </c>
      <c r="O46" s="298">
        <f t="shared" si="5"/>
        <v>-1.2021371326803205E-2</v>
      </c>
      <c r="P46" s="307">
        <f t="shared" si="6"/>
        <v>11.749632124613241</v>
      </c>
      <c r="Q46" s="308">
        <v>11.8</v>
      </c>
      <c r="R46" s="301">
        <f t="shared" si="7"/>
        <v>-5.0367875386760019E-2</v>
      </c>
    </row>
    <row r="47" spans="1:18" x14ac:dyDescent="0.25">
      <c r="A47" s="291" t="s">
        <v>3265</v>
      </c>
      <c r="B47" s="292" t="s">
        <v>3256</v>
      </c>
      <c r="C47" s="318">
        <v>2374960</v>
      </c>
      <c r="D47" s="294">
        <f>SUM(D48:D55)</f>
        <v>22</v>
      </c>
      <c r="E47" s="312">
        <f>SUM(E48:E55)</f>
        <v>22</v>
      </c>
      <c r="F47" s="296">
        <f t="shared" si="0"/>
        <v>0</v>
      </c>
      <c r="G47" s="223">
        <f t="shared" si="1"/>
        <v>0</v>
      </c>
      <c r="H47" s="294">
        <f>SUM(H48:H55)</f>
        <v>145</v>
      </c>
      <c r="I47" s="312">
        <f>SUM(I48:I55)</f>
        <v>145</v>
      </c>
      <c r="J47" s="306">
        <f t="shared" si="2"/>
        <v>0</v>
      </c>
      <c r="K47" s="297">
        <f t="shared" si="3"/>
        <v>0</v>
      </c>
      <c r="L47" s="294">
        <f>SUM(L48:L55)</f>
        <v>20411</v>
      </c>
      <c r="M47" s="312">
        <f>SUM(M48:M55)</f>
        <v>20912</v>
      </c>
      <c r="N47" s="224">
        <f t="shared" si="4"/>
        <v>-501</v>
      </c>
      <c r="O47" s="298">
        <f t="shared" si="5"/>
        <v>-2.3957536342769703E-2</v>
      </c>
      <c r="P47" s="299">
        <f t="shared" si="6"/>
        <v>6.1053659851113284</v>
      </c>
      <c r="Q47" s="300">
        <v>6.1</v>
      </c>
      <c r="R47" s="301">
        <f t="shared" si="7"/>
        <v>5.3659851113287971E-3</v>
      </c>
    </row>
    <row r="48" spans="1:18" x14ac:dyDescent="0.25">
      <c r="A48" s="302" t="s">
        <v>3258</v>
      </c>
      <c r="B48" s="303" t="s">
        <v>4</v>
      </c>
      <c r="C48" s="319">
        <v>89064</v>
      </c>
      <c r="D48" s="305">
        <v>6</v>
      </c>
      <c r="E48" s="310">
        <v>6</v>
      </c>
      <c r="F48" s="296">
        <f t="shared" si="0"/>
        <v>0</v>
      </c>
      <c r="G48" s="223">
        <f t="shared" si="1"/>
        <v>0</v>
      </c>
      <c r="H48" s="305">
        <v>37</v>
      </c>
      <c r="I48" s="310">
        <v>37</v>
      </c>
      <c r="J48" s="306">
        <f t="shared" si="2"/>
        <v>0</v>
      </c>
      <c r="K48" s="297">
        <f t="shared" si="3"/>
        <v>0</v>
      </c>
      <c r="L48" s="305">
        <v>4711</v>
      </c>
      <c r="M48" s="310">
        <v>4720</v>
      </c>
      <c r="N48" s="224">
        <f t="shared" si="4"/>
        <v>-9</v>
      </c>
      <c r="O48" s="298">
        <f t="shared" si="5"/>
        <v>-1.9067796610169492E-3</v>
      </c>
      <c r="P48" s="307">
        <f t="shared" si="6"/>
        <v>41.543159974849544</v>
      </c>
      <c r="Q48" s="308">
        <v>46.1</v>
      </c>
      <c r="R48" s="301">
        <f t="shared" si="7"/>
        <v>-4.5568400251504571</v>
      </c>
    </row>
    <row r="49" spans="1:18" x14ac:dyDescent="0.25">
      <c r="A49" s="302" t="s">
        <v>3258</v>
      </c>
      <c r="B49" s="303" t="s">
        <v>29</v>
      </c>
      <c r="C49" s="319">
        <v>342813</v>
      </c>
      <c r="D49" s="305">
        <v>4</v>
      </c>
      <c r="E49" s="310">
        <v>4</v>
      </c>
      <c r="F49" s="296">
        <f t="shared" si="0"/>
        <v>0</v>
      </c>
      <c r="G49" s="223">
        <f t="shared" si="1"/>
        <v>0</v>
      </c>
      <c r="H49" s="305">
        <v>26</v>
      </c>
      <c r="I49" s="310">
        <v>26</v>
      </c>
      <c r="J49" s="306">
        <f t="shared" si="2"/>
        <v>0</v>
      </c>
      <c r="K49" s="297">
        <f t="shared" si="3"/>
        <v>0</v>
      </c>
      <c r="L49" s="305">
        <v>3441</v>
      </c>
      <c r="M49" s="310">
        <v>3441</v>
      </c>
      <c r="N49" s="224">
        <f t="shared" si="4"/>
        <v>0</v>
      </c>
      <c r="O49" s="298">
        <f t="shared" si="5"/>
        <v>0</v>
      </c>
      <c r="P49" s="307">
        <f t="shared" si="6"/>
        <v>7.5843098132217861</v>
      </c>
      <c r="Q49" s="308">
        <v>7.7</v>
      </c>
      <c r="R49" s="301">
        <f t="shared" si="7"/>
        <v>-0.11569018677821408</v>
      </c>
    </row>
    <row r="50" spans="1:18" x14ac:dyDescent="0.25">
      <c r="A50" s="302" t="s">
        <v>3258</v>
      </c>
      <c r="B50" s="303" t="s">
        <v>28</v>
      </c>
      <c r="C50" s="319">
        <v>164088</v>
      </c>
      <c r="D50" s="305">
        <v>1</v>
      </c>
      <c r="E50" s="310">
        <v>1</v>
      </c>
      <c r="F50" s="296">
        <f t="shared" si="0"/>
        <v>0</v>
      </c>
      <c r="G50" s="223">
        <f t="shared" si="1"/>
        <v>0</v>
      </c>
      <c r="H50" s="305">
        <v>7</v>
      </c>
      <c r="I50" s="310">
        <v>7</v>
      </c>
      <c r="J50" s="306">
        <f t="shared" si="2"/>
        <v>0</v>
      </c>
      <c r="K50" s="297">
        <f t="shared" si="3"/>
        <v>0</v>
      </c>
      <c r="L50" s="305">
        <v>1300</v>
      </c>
      <c r="M50" s="310">
        <v>1300</v>
      </c>
      <c r="N50" s="224">
        <f t="shared" si="4"/>
        <v>0</v>
      </c>
      <c r="O50" s="298">
        <f t="shared" si="5"/>
        <v>0</v>
      </c>
      <c r="P50" s="307">
        <f t="shared" si="6"/>
        <v>4.2660036078201937</v>
      </c>
      <c r="Q50" s="308">
        <v>4.4000000000000004</v>
      </c>
      <c r="R50" s="301">
        <f t="shared" si="7"/>
        <v>-0.13399639217980663</v>
      </c>
    </row>
    <row r="51" spans="1:18" x14ac:dyDescent="0.25">
      <c r="A51" s="302" t="s">
        <v>3258</v>
      </c>
      <c r="B51" s="303" t="s">
        <v>32</v>
      </c>
      <c r="C51" s="319">
        <v>139187</v>
      </c>
      <c r="D51" s="305">
        <v>0</v>
      </c>
      <c r="E51" s="310">
        <v>0</v>
      </c>
      <c r="F51" s="296">
        <f t="shared" si="0"/>
        <v>0</v>
      </c>
      <c r="G51" s="314" t="s">
        <v>3261</v>
      </c>
      <c r="H51" s="305">
        <v>0</v>
      </c>
      <c r="I51" s="310">
        <v>0</v>
      </c>
      <c r="J51" s="306">
        <f t="shared" si="2"/>
        <v>0</v>
      </c>
      <c r="K51" s="315" t="s">
        <v>3260</v>
      </c>
      <c r="L51" s="305">
        <v>0</v>
      </c>
      <c r="M51" s="310">
        <v>0</v>
      </c>
      <c r="N51" s="224">
        <f t="shared" si="4"/>
        <v>0</v>
      </c>
      <c r="O51" s="298" t="s">
        <v>3261</v>
      </c>
      <c r="P51" s="307">
        <f t="shared" si="6"/>
        <v>0</v>
      </c>
      <c r="Q51" s="308">
        <v>0</v>
      </c>
      <c r="R51" s="301">
        <f t="shared" si="7"/>
        <v>0</v>
      </c>
    </row>
    <row r="52" spans="1:18" x14ac:dyDescent="0.25">
      <c r="A52" s="302" t="s">
        <v>3258</v>
      </c>
      <c r="B52" s="303" t="s">
        <v>33</v>
      </c>
      <c r="C52" s="319">
        <v>419624</v>
      </c>
      <c r="D52" s="305">
        <v>4</v>
      </c>
      <c r="E52" s="310">
        <v>5</v>
      </c>
      <c r="F52" s="296">
        <f t="shared" si="0"/>
        <v>-1</v>
      </c>
      <c r="G52" s="223">
        <f t="shared" si="1"/>
        <v>-0.2</v>
      </c>
      <c r="H52" s="305">
        <v>26</v>
      </c>
      <c r="I52" s="310">
        <v>33</v>
      </c>
      <c r="J52" s="306">
        <f t="shared" si="2"/>
        <v>-7</v>
      </c>
      <c r="K52" s="297">
        <f t="shared" si="3"/>
        <v>-0.21212121212121213</v>
      </c>
      <c r="L52" s="305">
        <v>3145</v>
      </c>
      <c r="M52" s="310">
        <v>4493</v>
      </c>
      <c r="N52" s="224">
        <f t="shared" si="4"/>
        <v>-1348</v>
      </c>
      <c r="O52" s="298">
        <f t="shared" si="5"/>
        <v>-0.30002225684397954</v>
      </c>
      <c r="P52" s="307">
        <f t="shared" si="6"/>
        <v>6.1960231064000153</v>
      </c>
      <c r="Q52" s="308">
        <v>7.7</v>
      </c>
      <c r="R52" s="301">
        <f t="shared" si="7"/>
        <v>-1.5039768935999849</v>
      </c>
    </row>
    <row r="53" spans="1:18" x14ac:dyDescent="0.25">
      <c r="A53" s="302" t="s">
        <v>3258</v>
      </c>
      <c r="B53" s="303" t="s">
        <v>40</v>
      </c>
      <c r="C53" s="319">
        <v>407331</v>
      </c>
      <c r="D53" s="305">
        <v>2</v>
      </c>
      <c r="E53" s="310">
        <v>2</v>
      </c>
      <c r="F53" s="296">
        <f t="shared" si="0"/>
        <v>0</v>
      </c>
      <c r="G53" s="223">
        <f t="shared" si="1"/>
        <v>0</v>
      </c>
      <c r="H53" s="305">
        <v>14</v>
      </c>
      <c r="I53" s="310">
        <v>14</v>
      </c>
      <c r="J53" s="306">
        <f t="shared" si="2"/>
        <v>0</v>
      </c>
      <c r="K53" s="297">
        <f t="shared" si="3"/>
        <v>0</v>
      </c>
      <c r="L53" s="305">
        <v>2262</v>
      </c>
      <c r="M53" s="310">
        <v>2262</v>
      </c>
      <c r="N53" s="224">
        <f t="shared" si="4"/>
        <v>0</v>
      </c>
      <c r="O53" s="298">
        <f t="shared" si="5"/>
        <v>0</v>
      </c>
      <c r="P53" s="307">
        <f t="shared" si="6"/>
        <v>3.437008231634715</v>
      </c>
      <c r="Q53" s="308">
        <v>3.4</v>
      </c>
      <c r="R53" s="301">
        <f t="shared" si="7"/>
        <v>3.7008231634715116E-2</v>
      </c>
    </row>
    <row r="54" spans="1:18" x14ac:dyDescent="0.25">
      <c r="A54" s="302" t="s">
        <v>3258</v>
      </c>
      <c r="B54" s="303" t="s">
        <v>41</v>
      </c>
      <c r="C54" s="319">
        <v>527781</v>
      </c>
      <c r="D54" s="305">
        <v>4</v>
      </c>
      <c r="E54" s="310">
        <v>3</v>
      </c>
      <c r="F54" s="296">
        <f t="shared" si="0"/>
        <v>1</v>
      </c>
      <c r="G54" s="223">
        <f t="shared" si="1"/>
        <v>0.33333333333333331</v>
      </c>
      <c r="H54" s="305">
        <v>29</v>
      </c>
      <c r="I54" s="310">
        <v>22</v>
      </c>
      <c r="J54" s="306">
        <f t="shared" si="2"/>
        <v>7</v>
      </c>
      <c r="K54" s="297">
        <f t="shared" si="3"/>
        <v>0.31818181818181818</v>
      </c>
      <c r="L54" s="305">
        <v>4818</v>
      </c>
      <c r="M54" s="310">
        <v>3962</v>
      </c>
      <c r="N54" s="224">
        <f t="shared" si="4"/>
        <v>856</v>
      </c>
      <c r="O54" s="298">
        <f t="shared" si="5"/>
        <v>0.21605249873801111</v>
      </c>
      <c r="P54" s="307">
        <f t="shared" si="6"/>
        <v>5.49470329549567</v>
      </c>
      <c r="Q54" s="308">
        <v>4.0999999999999996</v>
      </c>
      <c r="R54" s="301">
        <f t="shared" si="7"/>
        <v>1.3947032954956704</v>
      </c>
    </row>
    <row r="55" spans="1:18" x14ac:dyDescent="0.25">
      <c r="A55" s="302" t="s">
        <v>3258</v>
      </c>
      <c r="B55" s="303" t="s">
        <v>42</v>
      </c>
      <c r="C55" s="319">
        <v>262084</v>
      </c>
      <c r="D55" s="305">
        <v>1</v>
      </c>
      <c r="E55" s="310">
        <v>1</v>
      </c>
      <c r="F55" s="296">
        <f t="shared" si="0"/>
        <v>0</v>
      </c>
      <c r="G55" s="223">
        <f t="shared" si="1"/>
        <v>0</v>
      </c>
      <c r="H55" s="305">
        <v>6</v>
      </c>
      <c r="I55" s="310">
        <v>6</v>
      </c>
      <c r="J55" s="306">
        <f t="shared" si="2"/>
        <v>0</v>
      </c>
      <c r="K55" s="297">
        <f t="shared" si="3"/>
        <v>0</v>
      </c>
      <c r="L55" s="305">
        <v>734</v>
      </c>
      <c r="M55" s="310">
        <v>734</v>
      </c>
      <c r="N55" s="224">
        <f t="shared" si="4"/>
        <v>0</v>
      </c>
      <c r="O55" s="298">
        <f t="shared" si="5"/>
        <v>0</v>
      </c>
      <c r="P55" s="307">
        <f t="shared" si="6"/>
        <v>2.2893423482547584</v>
      </c>
      <c r="Q55" s="308">
        <v>2.2999999999999998</v>
      </c>
      <c r="R55" s="301">
        <f t="shared" si="7"/>
        <v>-1.065765174524147E-2</v>
      </c>
    </row>
    <row r="56" spans="1:18" x14ac:dyDescent="0.25">
      <c r="A56" s="302" t="s">
        <v>3258</v>
      </c>
      <c r="B56" s="303" t="s">
        <v>3323</v>
      </c>
      <c r="C56" s="319">
        <v>22988</v>
      </c>
      <c r="D56" s="305">
        <v>0</v>
      </c>
      <c r="E56" s="310">
        <v>0</v>
      </c>
      <c r="F56" s="296">
        <f>D56-E56</f>
        <v>0</v>
      </c>
      <c r="G56" s="314" t="s">
        <v>3261</v>
      </c>
      <c r="H56" s="305">
        <v>0</v>
      </c>
      <c r="I56" s="310">
        <v>0</v>
      </c>
      <c r="J56" s="306">
        <f>H56-I56</f>
        <v>0</v>
      </c>
      <c r="K56" s="315" t="s">
        <v>3260</v>
      </c>
      <c r="L56" s="305">
        <v>0</v>
      </c>
      <c r="M56" s="310">
        <v>0</v>
      </c>
      <c r="N56" s="224">
        <f>L56-M56</f>
        <v>0</v>
      </c>
      <c r="O56" s="298" t="s">
        <v>3260</v>
      </c>
      <c r="P56" s="307">
        <f>(H56/C56)*100000</f>
        <v>0</v>
      </c>
      <c r="Q56" s="308">
        <v>0</v>
      </c>
      <c r="R56" s="301">
        <f>P56-Q56</f>
        <v>0</v>
      </c>
    </row>
    <row r="57" spans="1:18" x14ac:dyDescent="0.25">
      <c r="A57" s="291" t="s">
        <v>3266</v>
      </c>
      <c r="B57" s="292" t="s">
        <v>3256</v>
      </c>
      <c r="C57" s="311">
        <v>2997410</v>
      </c>
      <c r="D57" s="294">
        <f>SUM(D58:D67)</f>
        <v>30</v>
      </c>
      <c r="E57" s="312">
        <f>SUM(E58:E67)</f>
        <v>27</v>
      </c>
      <c r="F57" s="296">
        <f t="shared" si="0"/>
        <v>3</v>
      </c>
      <c r="G57" s="223">
        <f t="shared" si="1"/>
        <v>0.1111111111111111</v>
      </c>
      <c r="H57" s="294">
        <f>SUM(H58:H67)</f>
        <v>188</v>
      </c>
      <c r="I57" s="312">
        <f>SUM(I58:I67)</f>
        <v>172</v>
      </c>
      <c r="J57" s="306">
        <f t="shared" si="2"/>
        <v>16</v>
      </c>
      <c r="K57" s="297">
        <f t="shared" si="3"/>
        <v>9.3023255813953487E-2</v>
      </c>
      <c r="L57" s="294">
        <f>SUM(L58:L67)</f>
        <v>27136</v>
      </c>
      <c r="M57" s="312">
        <f>SUM(M58:M67)</f>
        <v>25920</v>
      </c>
      <c r="N57" s="224">
        <f t="shared" si="4"/>
        <v>1216</v>
      </c>
      <c r="O57" s="298">
        <f t="shared" si="5"/>
        <v>4.6913580246913583E-2</v>
      </c>
      <c r="P57" s="299">
        <f t="shared" si="6"/>
        <v>6.2720815637500378</v>
      </c>
      <c r="Q57" s="300">
        <v>5.8</v>
      </c>
      <c r="R57" s="301">
        <f t="shared" si="7"/>
        <v>0.47208156375003796</v>
      </c>
    </row>
    <row r="58" spans="1:18" x14ac:dyDescent="0.25">
      <c r="A58" s="302" t="s">
        <v>3258</v>
      </c>
      <c r="B58" s="303" t="s">
        <v>4</v>
      </c>
      <c r="C58" s="309">
        <v>158958</v>
      </c>
      <c r="D58" s="305">
        <v>3</v>
      </c>
      <c r="E58" s="310">
        <v>3</v>
      </c>
      <c r="F58" s="296">
        <f t="shared" si="0"/>
        <v>0</v>
      </c>
      <c r="G58" s="223">
        <f t="shared" si="1"/>
        <v>0</v>
      </c>
      <c r="H58" s="305">
        <v>14</v>
      </c>
      <c r="I58" s="310">
        <v>14</v>
      </c>
      <c r="J58" s="306">
        <f t="shared" si="2"/>
        <v>0</v>
      </c>
      <c r="K58" s="297">
        <f t="shared" si="3"/>
        <v>0</v>
      </c>
      <c r="L58" s="305">
        <v>1756</v>
      </c>
      <c r="M58" s="310">
        <v>1756</v>
      </c>
      <c r="N58" s="224">
        <f t="shared" si="4"/>
        <v>0</v>
      </c>
      <c r="O58" s="298">
        <f t="shared" si="5"/>
        <v>0</v>
      </c>
      <c r="P58" s="307">
        <f t="shared" si="6"/>
        <v>8.8073579184438664</v>
      </c>
      <c r="Q58" s="308">
        <v>9.1999999999999993</v>
      </c>
      <c r="R58" s="301">
        <f t="shared" si="7"/>
        <v>-0.39264208155613289</v>
      </c>
    </row>
    <row r="59" spans="1:18" x14ac:dyDescent="0.25">
      <c r="A59" s="302" t="s">
        <v>3258</v>
      </c>
      <c r="B59" s="303" t="s">
        <v>29</v>
      </c>
      <c r="C59" s="309">
        <v>59482</v>
      </c>
      <c r="D59" s="305">
        <v>1</v>
      </c>
      <c r="E59" s="310">
        <v>1</v>
      </c>
      <c r="F59" s="296">
        <f t="shared" si="0"/>
        <v>0</v>
      </c>
      <c r="G59" s="223">
        <f t="shared" si="1"/>
        <v>0</v>
      </c>
      <c r="H59" s="305">
        <v>1</v>
      </c>
      <c r="I59" s="310">
        <v>1</v>
      </c>
      <c r="J59" s="306">
        <f t="shared" si="2"/>
        <v>0</v>
      </c>
      <c r="K59" s="297">
        <f t="shared" si="3"/>
        <v>0</v>
      </c>
      <c r="L59" s="305">
        <v>253</v>
      </c>
      <c r="M59" s="310">
        <v>253</v>
      </c>
      <c r="N59" s="224">
        <f t="shared" si="4"/>
        <v>0</v>
      </c>
      <c r="O59" s="298">
        <f t="shared" si="5"/>
        <v>0</v>
      </c>
      <c r="P59" s="307">
        <f t="shared" si="6"/>
        <v>1.6811808614370733</v>
      </c>
      <c r="Q59" s="308">
        <v>1.7</v>
      </c>
      <c r="R59" s="301">
        <f t="shared" si="7"/>
        <v>-1.8819138562926607E-2</v>
      </c>
    </row>
    <row r="60" spans="1:18" x14ac:dyDescent="0.25">
      <c r="A60" s="302" t="s">
        <v>3258</v>
      </c>
      <c r="B60" s="303" t="s">
        <v>3267</v>
      </c>
      <c r="C60" s="309">
        <v>405995</v>
      </c>
      <c r="D60" s="305">
        <v>6</v>
      </c>
      <c r="E60" s="310">
        <v>5</v>
      </c>
      <c r="F60" s="296">
        <f t="shared" si="0"/>
        <v>1</v>
      </c>
      <c r="G60" s="223">
        <f t="shared" si="1"/>
        <v>0.2</v>
      </c>
      <c r="H60" s="305">
        <v>34</v>
      </c>
      <c r="I60" s="310">
        <v>29</v>
      </c>
      <c r="J60" s="306">
        <f t="shared" si="2"/>
        <v>5</v>
      </c>
      <c r="K60" s="297">
        <f t="shared" si="3"/>
        <v>0.17241379310344829</v>
      </c>
      <c r="L60" s="305">
        <v>3959</v>
      </c>
      <c r="M60" s="310">
        <v>3586</v>
      </c>
      <c r="N60" s="224">
        <f t="shared" si="4"/>
        <v>373</v>
      </c>
      <c r="O60" s="298">
        <f t="shared" si="5"/>
        <v>0.10401561628555493</v>
      </c>
      <c r="P60" s="307">
        <f t="shared" si="6"/>
        <v>8.3744873705341192</v>
      </c>
      <c r="Q60" s="308">
        <v>7.1</v>
      </c>
      <c r="R60" s="301">
        <f t="shared" si="7"/>
        <v>1.2744873705341195</v>
      </c>
    </row>
    <row r="61" spans="1:18" x14ac:dyDescent="0.25">
      <c r="A61" s="302" t="s">
        <v>3258</v>
      </c>
      <c r="B61" s="303" t="s">
        <v>43</v>
      </c>
      <c r="C61" s="319">
        <v>392416</v>
      </c>
      <c r="D61" s="305">
        <v>4</v>
      </c>
      <c r="E61" s="310">
        <v>4</v>
      </c>
      <c r="F61" s="296">
        <f t="shared" si="0"/>
        <v>0</v>
      </c>
      <c r="G61" s="223">
        <f t="shared" si="1"/>
        <v>0</v>
      </c>
      <c r="H61" s="305">
        <v>30</v>
      </c>
      <c r="I61" s="310">
        <v>30</v>
      </c>
      <c r="J61" s="306">
        <f t="shared" si="2"/>
        <v>0</v>
      </c>
      <c r="K61" s="297">
        <f t="shared" si="3"/>
        <v>0</v>
      </c>
      <c r="L61" s="305">
        <v>4947</v>
      </c>
      <c r="M61" s="310">
        <v>4947</v>
      </c>
      <c r="N61" s="224">
        <f t="shared" si="4"/>
        <v>0</v>
      </c>
      <c r="O61" s="298">
        <f t="shared" si="5"/>
        <v>0</v>
      </c>
      <c r="P61" s="307">
        <f t="shared" si="6"/>
        <v>7.6449482182174018</v>
      </c>
      <c r="Q61" s="308">
        <v>7.8</v>
      </c>
      <c r="R61" s="301">
        <f t="shared" si="7"/>
        <v>-0.15505178178259804</v>
      </c>
    </row>
    <row r="62" spans="1:18" x14ac:dyDescent="0.25">
      <c r="A62" s="302" t="s">
        <v>3258</v>
      </c>
      <c r="B62" s="303" t="s">
        <v>44</v>
      </c>
      <c r="C62" s="319">
        <v>492415</v>
      </c>
      <c r="D62" s="305">
        <v>3</v>
      </c>
      <c r="E62" s="310">
        <v>3</v>
      </c>
      <c r="F62" s="296">
        <f t="shared" si="0"/>
        <v>0</v>
      </c>
      <c r="G62" s="223">
        <f t="shared" si="1"/>
        <v>0</v>
      </c>
      <c r="H62" s="305">
        <v>27</v>
      </c>
      <c r="I62" s="310">
        <v>27</v>
      </c>
      <c r="J62" s="306">
        <f t="shared" si="2"/>
        <v>0</v>
      </c>
      <c r="K62" s="297">
        <f t="shared" si="3"/>
        <v>0</v>
      </c>
      <c r="L62" s="305">
        <v>4454</v>
      </c>
      <c r="M62" s="310">
        <v>4605</v>
      </c>
      <c r="N62" s="224">
        <f t="shared" si="4"/>
        <v>-151</v>
      </c>
      <c r="O62" s="298">
        <f t="shared" si="5"/>
        <v>-3.279044516829533E-2</v>
      </c>
      <c r="P62" s="307">
        <f t="shared" si="6"/>
        <v>5.4831798381446539</v>
      </c>
      <c r="Q62" s="308">
        <v>5.3</v>
      </c>
      <c r="R62" s="301">
        <f t="shared" si="7"/>
        <v>0.18317983814465411</v>
      </c>
    </row>
    <row r="63" spans="1:18" x14ac:dyDescent="0.25">
      <c r="A63" s="302" t="s">
        <v>3258</v>
      </c>
      <c r="B63" s="303" t="s">
        <v>45</v>
      </c>
      <c r="C63" s="319">
        <v>494138</v>
      </c>
      <c r="D63" s="305">
        <v>5</v>
      </c>
      <c r="E63" s="310">
        <v>5</v>
      </c>
      <c r="F63" s="296">
        <f t="shared" si="0"/>
        <v>0</v>
      </c>
      <c r="G63" s="223">
        <f t="shared" si="1"/>
        <v>0</v>
      </c>
      <c r="H63" s="305">
        <v>37</v>
      </c>
      <c r="I63" s="310">
        <v>37</v>
      </c>
      <c r="J63" s="306">
        <f t="shared" si="2"/>
        <v>0</v>
      </c>
      <c r="K63" s="297">
        <f t="shared" si="3"/>
        <v>0</v>
      </c>
      <c r="L63" s="305">
        <v>5644</v>
      </c>
      <c r="M63" s="310">
        <v>5644</v>
      </c>
      <c r="N63" s="224">
        <f t="shared" si="4"/>
        <v>0</v>
      </c>
      <c r="O63" s="298">
        <f t="shared" si="5"/>
        <v>0</v>
      </c>
      <c r="P63" s="307">
        <f t="shared" si="6"/>
        <v>7.4877868125908149</v>
      </c>
      <c r="Q63" s="308">
        <v>7.6</v>
      </c>
      <c r="R63" s="301">
        <f t="shared" si="7"/>
        <v>-0.11221318740918473</v>
      </c>
    </row>
    <row r="64" spans="1:18" x14ac:dyDescent="0.25">
      <c r="A64" s="302" t="s">
        <v>3258</v>
      </c>
      <c r="B64" s="303" t="s">
        <v>46</v>
      </c>
      <c r="C64" s="319">
        <v>280266</v>
      </c>
      <c r="D64" s="305">
        <v>1</v>
      </c>
      <c r="E64" s="310">
        <v>1</v>
      </c>
      <c r="F64" s="296">
        <f t="shared" si="0"/>
        <v>0</v>
      </c>
      <c r="G64" s="223">
        <f t="shared" si="1"/>
        <v>0</v>
      </c>
      <c r="H64" s="305">
        <v>8</v>
      </c>
      <c r="I64" s="310">
        <v>8</v>
      </c>
      <c r="J64" s="306">
        <f t="shared" si="2"/>
        <v>0</v>
      </c>
      <c r="K64" s="297">
        <f t="shared" si="3"/>
        <v>0</v>
      </c>
      <c r="L64" s="305">
        <v>1257</v>
      </c>
      <c r="M64" s="310">
        <v>1257</v>
      </c>
      <c r="N64" s="224">
        <f t="shared" si="4"/>
        <v>0</v>
      </c>
      <c r="O64" s="298">
        <f t="shared" si="5"/>
        <v>0</v>
      </c>
      <c r="P64" s="307">
        <f t="shared" si="6"/>
        <v>2.854431147552682</v>
      </c>
      <c r="Q64" s="308">
        <v>2.8</v>
      </c>
      <c r="R64" s="301">
        <f t="shared" si="7"/>
        <v>5.4431147552682191E-2</v>
      </c>
    </row>
    <row r="65" spans="1:18" x14ac:dyDescent="0.25">
      <c r="A65" s="302" t="s">
        <v>3258</v>
      </c>
      <c r="B65" s="303" t="s">
        <v>28</v>
      </c>
      <c r="C65" s="319">
        <v>624358</v>
      </c>
      <c r="D65" s="305">
        <v>6</v>
      </c>
      <c r="E65" s="310">
        <v>4</v>
      </c>
      <c r="F65" s="296">
        <f t="shared" si="0"/>
        <v>2</v>
      </c>
      <c r="G65" s="223">
        <f t="shared" si="1"/>
        <v>0.5</v>
      </c>
      <c r="H65" s="305">
        <v>36</v>
      </c>
      <c r="I65" s="310">
        <v>25</v>
      </c>
      <c r="J65" s="306">
        <f t="shared" si="2"/>
        <v>11</v>
      </c>
      <c r="K65" s="297">
        <f t="shared" si="3"/>
        <v>0.44</v>
      </c>
      <c r="L65" s="305">
        <v>4777</v>
      </c>
      <c r="M65" s="310">
        <v>3783</v>
      </c>
      <c r="N65" s="224">
        <f t="shared" si="4"/>
        <v>994</v>
      </c>
      <c r="O65" s="298">
        <f t="shared" si="5"/>
        <v>0.26275442770288132</v>
      </c>
      <c r="P65" s="307">
        <f t="shared" si="6"/>
        <v>5.7659227558548141</v>
      </c>
      <c r="Q65" s="308">
        <v>4.2</v>
      </c>
      <c r="R65" s="301">
        <f t="shared" si="7"/>
        <v>1.5659227558548139</v>
      </c>
    </row>
    <row r="66" spans="1:18" x14ac:dyDescent="0.25">
      <c r="A66" s="302" t="s">
        <v>3258</v>
      </c>
      <c r="B66" s="303" t="s">
        <v>3268</v>
      </c>
      <c r="C66" s="319">
        <v>69005</v>
      </c>
      <c r="D66" s="305">
        <v>1</v>
      </c>
      <c r="E66" s="310">
        <v>1</v>
      </c>
      <c r="F66" s="296">
        <f t="shared" si="0"/>
        <v>0</v>
      </c>
      <c r="G66" s="223">
        <f t="shared" si="1"/>
        <v>0</v>
      </c>
      <c r="H66" s="305">
        <v>1</v>
      </c>
      <c r="I66" s="310">
        <v>1</v>
      </c>
      <c r="J66" s="306">
        <f t="shared" si="2"/>
        <v>0</v>
      </c>
      <c r="K66" s="297">
        <f t="shared" si="3"/>
        <v>0</v>
      </c>
      <c r="L66" s="305">
        <v>89</v>
      </c>
      <c r="M66" s="310">
        <v>89</v>
      </c>
      <c r="N66" s="224">
        <f t="shared" si="4"/>
        <v>0</v>
      </c>
      <c r="O66" s="298">
        <f t="shared" si="5"/>
        <v>0</v>
      </c>
      <c r="P66" s="307">
        <f t="shared" si="6"/>
        <v>1.4491703499746396</v>
      </c>
      <c r="Q66" s="308">
        <v>1.4</v>
      </c>
      <c r="R66" s="301">
        <f t="shared" si="7"/>
        <v>4.9170349974639649E-2</v>
      </c>
    </row>
    <row r="67" spans="1:18" x14ac:dyDescent="0.25">
      <c r="A67" s="302" t="s">
        <v>3258</v>
      </c>
      <c r="B67" s="303" t="s">
        <v>3270</v>
      </c>
      <c r="C67" s="319">
        <v>20377</v>
      </c>
      <c r="D67" s="305">
        <v>0</v>
      </c>
      <c r="E67" s="310">
        <v>0</v>
      </c>
      <c r="F67" s="296">
        <f t="shared" si="0"/>
        <v>0</v>
      </c>
      <c r="G67" s="314" t="s">
        <v>3269</v>
      </c>
      <c r="H67" s="305">
        <v>0</v>
      </c>
      <c r="I67" s="310">
        <v>0</v>
      </c>
      <c r="J67" s="306">
        <f t="shared" si="2"/>
        <v>0</v>
      </c>
      <c r="K67" s="315" t="s">
        <v>3261</v>
      </c>
      <c r="L67" s="305">
        <v>0</v>
      </c>
      <c r="M67" s="310">
        <v>0</v>
      </c>
      <c r="N67" s="224">
        <f t="shared" si="4"/>
        <v>0</v>
      </c>
      <c r="O67" s="298" t="s">
        <v>3261</v>
      </c>
      <c r="P67" s="307">
        <f t="shared" si="6"/>
        <v>0</v>
      </c>
      <c r="Q67" s="308">
        <v>0</v>
      </c>
      <c r="R67" s="301">
        <f t="shared" si="7"/>
        <v>0</v>
      </c>
    </row>
    <row r="68" spans="1:18" x14ac:dyDescent="0.25">
      <c r="A68" s="291" t="s">
        <v>3271</v>
      </c>
      <c r="B68" s="292" t="s">
        <v>3256</v>
      </c>
      <c r="C68" s="318">
        <v>1419237</v>
      </c>
      <c r="D68" s="294">
        <f>SUM(D69:D73)</f>
        <v>17</v>
      </c>
      <c r="E68" s="312">
        <f>SUM(E69:E73)</f>
        <v>17</v>
      </c>
      <c r="F68" s="296">
        <f t="shared" si="0"/>
        <v>0</v>
      </c>
      <c r="G68" s="223">
        <f t="shared" si="1"/>
        <v>0</v>
      </c>
      <c r="H68" s="294">
        <f>SUM(H69:H73)</f>
        <v>128</v>
      </c>
      <c r="I68" s="312">
        <f>SUM(I69:I73)</f>
        <v>128</v>
      </c>
      <c r="J68" s="306">
        <f t="shared" si="2"/>
        <v>0</v>
      </c>
      <c r="K68" s="297">
        <f t="shared" si="3"/>
        <v>0</v>
      </c>
      <c r="L68" s="294">
        <f>SUM(L69:L73)</f>
        <v>17406</v>
      </c>
      <c r="M68" s="312">
        <f>SUM(M69:M73)</f>
        <v>17473</v>
      </c>
      <c r="N68" s="224">
        <f t="shared" si="4"/>
        <v>-67</v>
      </c>
      <c r="O68" s="298">
        <f t="shared" si="5"/>
        <v>-3.8344874949922739E-3</v>
      </c>
      <c r="P68" s="299">
        <f t="shared" si="6"/>
        <v>9.0189305943968474</v>
      </c>
      <c r="Q68" s="300">
        <v>8.9</v>
      </c>
      <c r="R68" s="301">
        <f t="shared" si="7"/>
        <v>0.11893059439684706</v>
      </c>
    </row>
    <row r="69" spans="1:18" x14ac:dyDescent="0.25">
      <c r="A69" s="302" t="s">
        <v>3258</v>
      </c>
      <c r="B69" s="303" t="s">
        <v>29</v>
      </c>
      <c r="C69" s="319">
        <v>107176</v>
      </c>
      <c r="D69" s="305">
        <v>6</v>
      </c>
      <c r="E69" s="310">
        <v>6</v>
      </c>
      <c r="F69" s="296">
        <f t="shared" ref="F69:F132" si="8">D69-E69</f>
        <v>0</v>
      </c>
      <c r="G69" s="223">
        <f t="shared" ref="G69:G136" si="9">F69/E69</f>
        <v>0</v>
      </c>
      <c r="H69" s="305">
        <v>31</v>
      </c>
      <c r="I69" s="310">
        <v>31</v>
      </c>
      <c r="J69" s="306">
        <f t="shared" ref="J69:J132" si="10">H69-I69</f>
        <v>0</v>
      </c>
      <c r="K69" s="297">
        <f t="shared" ref="K69:K136" si="11">J69/I69</f>
        <v>0</v>
      </c>
      <c r="L69" s="305">
        <v>4285</v>
      </c>
      <c r="M69" s="310">
        <v>4352</v>
      </c>
      <c r="N69" s="224">
        <f t="shared" ref="N69:N132" si="12">L69-M69</f>
        <v>-67</v>
      </c>
      <c r="O69" s="298">
        <f t="shared" ref="O69:O136" si="13">N69/M69</f>
        <v>-1.5395220588235295E-2</v>
      </c>
      <c r="P69" s="307">
        <f t="shared" ref="P69:P132" si="14">(H69/C69)*100000</f>
        <v>28.924386056579831</v>
      </c>
      <c r="Q69" s="308">
        <v>29.3</v>
      </c>
      <c r="R69" s="301">
        <f t="shared" ref="R69:R132" si="15">P69-Q69</f>
        <v>-0.37561394342016996</v>
      </c>
    </row>
    <row r="70" spans="1:18" x14ac:dyDescent="0.25">
      <c r="A70" s="302" t="s">
        <v>3258</v>
      </c>
      <c r="B70" s="303" t="s">
        <v>28</v>
      </c>
      <c r="C70" s="319">
        <v>283991</v>
      </c>
      <c r="D70" s="305">
        <v>3</v>
      </c>
      <c r="E70" s="310">
        <v>3</v>
      </c>
      <c r="F70" s="296">
        <f t="shared" si="8"/>
        <v>0</v>
      </c>
      <c r="G70" s="223">
        <f t="shared" si="9"/>
        <v>0</v>
      </c>
      <c r="H70" s="305">
        <v>31</v>
      </c>
      <c r="I70" s="310">
        <v>31</v>
      </c>
      <c r="J70" s="306">
        <f t="shared" si="10"/>
        <v>0</v>
      </c>
      <c r="K70" s="297">
        <f t="shared" si="11"/>
        <v>0</v>
      </c>
      <c r="L70" s="305">
        <v>4439</v>
      </c>
      <c r="M70" s="310">
        <v>4439</v>
      </c>
      <c r="N70" s="224">
        <f t="shared" si="12"/>
        <v>0</v>
      </c>
      <c r="O70" s="298">
        <f t="shared" si="13"/>
        <v>0</v>
      </c>
      <c r="P70" s="307">
        <f t="shared" si="14"/>
        <v>10.915838882218099</v>
      </c>
      <c r="Q70" s="308">
        <v>10.8</v>
      </c>
      <c r="R70" s="301">
        <f t="shared" si="15"/>
        <v>0.11583888221809779</v>
      </c>
    </row>
    <row r="71" spans="1:18" x14ac:dyDescent="0.25">
      <c r="A71" s="302" t="s">
        <v>3258</v>
      </c>
      <c r="B71" s="303" t="s">
        <v>32</v>
      </c>
      <c r="C71" s="319">
        <v>209646</v>
      </c>
      <c r="D71" s="305">
        <v>0</v>
      </c>
      <c r="E71" s="310">
        <v>0</v>
      </c>
      <c r="F71" s="296">
        <f t="shared" si="8"/>
        <v>0</v>
      </c>
      <c r="G71" s="314" t="s">
        <v>3269</v>
      </c>
      <c r="H71" s="305">
        <v>0</v>
      </c>
      <c r="I71" s="310">
        <v>0</v>
      </c>
      <c r="J71" s="306">
        <f t="shared" si="10"/>
        <v>0</v>
      </c>
      <c r="K71" s="315" t="s">
        <v>3269</v>
      </c>
      <c r="L71" s="305">
        <v>0</v>
      </c>
      <c r="M71" s="310">
        <v>0</v>
      </c>
      <c r="N71" s="224">
        <f t="shared" si="12"/>
        <v>0</v>
      </c>
      <c r="O71" s="298" t="s">
        <v>3269</v>
      </c>
      <c r="P71" s="307">
        <f t="shared" si="14"/>
        <v>0</v>
      </c>
      <c r="Q71" s="308">
        <v>0</v>
      </c>
      <c r="R71" s="301">
        <f t="shared" si="15"/>
        <v>0</v>
      </c>
    </row>
    <row r="72" spans="1:18" x14ac:dyDescent="0.25">
      <c r="A72" s="302" t="s">
        <v>3258</v>
      </c>
      <c r="B72" s="303" t="s">
        <v>33</v>
      </c>
      <c r="C72" s="319">
        <v>421683</v>
      </c>
      <c r="D72" s="305">
        <v>2</v>
      </c>
      <c r="E72" s="310">
        <v>2</v>
      </c>
      <c r="F72" s="296">
        <f t="shared" si="8"/>
        <v>0</v>
      </c>
      <c r="G72" s="223">
        <f t="shared" si="9"/>
        <v>0</v>
      </c>
      <c r="H72" s="305">
        <v>17</v>
      </c>
      <c r="I72" s="310">
        <v>17</v>
      </c>
      <c r="J72" s="306">
        <f t="shared" si="10"/>
        <v>0</v>
      </c>
      <c r="K72" s="297">
        <f t="shared" si="11"/>
        <v>0</v>
      </c>
      <c r="L72" s="305">
        <v>2423</v>
      </c>
      <c r="M72" s="310">
        <v>2423</v>
      </c>
      <c r="N72" s="224">
        <f t="shared" si="12"/>
        <v>0</v>
      </c>
      <c r="O72" s="298">
        <f t="shared" si="13"/>
        <v>0</v>
      </c>
      <c r="P72" s="307">
        <f t="shared" si="14"/>
        <v>4.031464393869328</v>
      </c>
      <c r="Q72" s="308">
        <v>4</v>
      </c>
      <c r="R72" s="301">
        <f t="shared" si="15"/>
        <v>3.1464393869327978E-2</v>
      </c>
    </row>
    <row r="73" spans="1:18" x14ac:dyDescent="0.25">
      <c r="A73" s="302" t="s">
        <v>3258</v>
      </c>
      <c r="B73" s="303" t="s">
        <v>47</v>
      </c>
      <c r="C73" s="319">
        <v>396741</v>
      </c>
      <c r="D73" s="305">
        <v>6</v>
      </c>
      <c r="E73" s="310">
        <v>6</v>
      </c>
      <c r="F73" s="296">
        <f t="shared" si="8"/>
        <v>0</v>
      </c>
      <c r="G73" s="223">
        <f t="shared" si="9"/>
        <v>0</v>
      </c>
      <c r="H73" s="305">
        <v>49</v>
      </c>
      <c r="I73" s="310">
        <v>49</v>
      </c>
      <c r="J73" s="306">
        <f t="shared" si="10"/>
        <v>0</v>
      </c>
      <c r="K73" s="297">
        <f t="shared" si="11"/>
        <v>0</v>
      </c>
      <c r="L73" s="305">
        <v>6259</v>
      </c>
      <c r="M73" s="310">
        <v>6259</v>
      </c>
      <c r="N73" s="224">
        <f t="shared" si="12"/>
        <v>0</v>
      </c>
      <c r="O73" s="298">
        <f t="shared" si="13"/>
        <v>0</v>
      </c>
      <c r="P73" s="307">
        <f t="shared" si="14"/>
        <v>12.350626731293211</v>
      </c>
      <c r="Q73" s="308">
        <v>12.2</v>
      </c>
      <c r="R73" s="301">
        <f t="shared" si="15"/>
        <v>0.15062673129321169</v>
      </c>
    </row>
    <row r="74" spans="1:18" x14ac:dyDescent="0.25">
      <c r="A74" s="291" t="s">
        <v>3272</v>
      </c>
      <c r="B74" s="292" t="s">
        <v>3256</v>
      </c>
      <c r="C74" s="318">
        <v>1442216</v>
      </c>
      <c r="D74" s="294">
        <f>SUM(D75:D79)</f>
        <v>18</v>
      </c>
      <c r="E74" s="312">
        <f>SUM(E75:E79)</f>
        <v>16</v>
      </c>
      <c r="F74" s="296">
        <f t="shared" si="8"/>
        <v>2</v>
      </c>
      <c r="G74" s="223">
        <f t="shared" si="9"/>
        <v>0.125</v>
      </c>
      <c r="H74" s="294">
        <f>SUM(H75:H79)</f>
        <v>109</v>
      </c>
      <c r="I74" s="312">
        <f>SUM(I75:I79)</f>
        <v>107</v>
      </c>
      <c r="J74" s="222">
        <f t="shared" si="10"/>
        <v>2</v>
      </c>
      <c r="K74" s="297">
        <f t="shared" si="11"/>
        <v>1.8691588785046728E-2</v>
      </c>
      <c r="L74" s="294">
        <f>SUM(L75:L79)</f>
        <v>17947</v>
      </c>
      <c r="M74" s="312">
        <f>SUM(M75:M79)</f>
        <v>17805</v>
      </c>
      <c r="N74" s="224">
        <f t="shared" si="12"/>
        <v>142</v>
      </c>
      <c r="O74" s="298">
        <f t="shared" si="13"/>
        <v>7.975287840494243E-3</v>
      </c>
      <c r="P74" s="299">
        <f t="shared" si="14"/>
        <v>7.5578138087498683</v>
      </c>
      <c r="Q74" s="300">
        <v>7.4</v>
      </c>
      <c r="R74" s="301">
        <f t="shared" si="15"/>
        <v>0.15781380874986795</v>
      </c>
    </row>
    <row r="75" spans="1:18" x14ac:dyDescent="0.25">
      <c r="A75" s="302" t="s">
        <v>3258</v>
      </c>
      <c r="B75" s="303" t="s">
        <v>29</v>
      </c>
      <c r="C75" s="319">
        <v>217628</v>
      </c>
      <c r="D75" s="305">
        <v>3</v>
      </c>
      <c r="E75" s="310">
        <v>2</v>
      </c>
      <c r="F75" s="296">
        <f t="shared" si="8"/>
        <v>1</v>
      </c>
      <c r="G75" s="223">
        <f t="shared" si="9"/>
        <v>0.5</v>
      </c>
      <c r="H75" s="305">
        <v>15</v>
      </c>
      <c r="I75" s="310">
        <v>14</v>
      </c>
      <c r="J75" s="222">
        <f t="shared" si="10"/>
        <v>1</v>
      </c>
      <c r="K75" s="297">
        <f t="shared" si="11"/>
        <v>7.1428571428571425E-2</v>
      </c>
      <c r="L75" s="305">
        <v>2711</v>
      </c>
      <c r="M75" s="310">
        <v>2627</v>
      </c>
      <c r="N75" s="224">
        <f t="shared" si="12"/>
        <v>84</v>
      </c>
      <c r="O75" s="298">
        <f t="shared" si="13"/>
        <v>3.1975637609440423E-2</v>
      </c>
      <c r="P75" s="307">
        <f t="shared" si="14"/>
        <v>6.8924954509530032</v>
      </c>
      <c r="Q75" s="308">
        <v>6.4</v>
      </c>
      <c r="R75" s="301">
        <f t="shared" si="15"/>
        <v>0.49249545095300284</v>
      </c>
    </row>
    <row r="76" spans="1:18" x14ac:dyDescent="0.25">
      <c r="A76" s="302" t="s">
        <v>3258</v>
      </c>
      <c r="B76" s="303" t="s">
        <v>4</v>
      </c>
      <c r="C76" s="319">
        <v>223256</v>
      </c>
      <c r="D76" s="305">
        <v>3</v>
      </c>
      <c r="E76" s="310">
        <v>3</v>
      </c>
      <c r="F76" s="296">
        <f t="shared" si="8"/>
        <v>0</v>
      </c>
      <c r="G76" s="223">
        <f t="shared" si="9"/>
        <v>0</v>
      </c>
      <c r="H76" s="305">
        <v>18</v>
      </c>
      <c r="I76" s="310">
        <v>18</v>
      </c>
      <c r="J76" s="222">
        <f t="shared" si="10"/>
        <v>0</v>
      </c>
      <c r="K76" s="297">
        <f t="shared" si="11"/>
        <v>0</v>
      </c>
      <c r="L76" s="305">
        <v>3076</v>
      </c>
      <c r="M76" s="310">
        <v>3076</v>
      </c>
      <c r="N76" s="224">
        <f t="shared" si="12"/>
        <v>0</v>
      </c>
      <c r="O76" s="298">
        <f t="shared" si="13"/>
        <v>0</v>
      </c>
      <c r="P76" s="307">
        <f t="shared" si="14"/>
        <v>8.0624932812555983</v>
      </c>
      <c r="Q76" s="308">
        <v>7.9</v>
      </c>
      <c r="R76" s="301">
        <f t="shared" si="15"/>
        <v>0.16249328125559792</v>
      </c>
    </row>
    <row r="77" spans="1:18" x14ac:dyDescent="0.25">
      <c r="A77" s="302" t="s">
        <v>3258</v>
      </c>
      <c r="B77" s="303" t="s">
        <v>28</v>
      </c>
      <c r="C77" s="319">
        <v>464634</v>
      </c>
      <c r="D77" s="305">
        <v>7</v>
      </c>
      <c r="E77" s="310">
        <v>7</v>
      </c>
      <c r="F77" s="296">
        <f t="shared" si="8"/>
        <v>0</v>
      </c>
      <c r="G77" s="223">
        <f t="shared" si="9"/>
        <v>0</v>
      </c>
      <c r="H77" s="305">
        <v>51</v>
      </c>
      <c r="I77" s="310">
        <v>51</v>
      </c>
      <c r="J77" s="222">
        <f t="shared" si="10"/>
        <v>0</v>
      </c>
      <c r="K77" s="297">
        <f t="shared" si="11"/>
        <v>0</v>
      </c>
      <c r="L77" s="305">
        <v>8058</v>
      </c>
      <c r="M77" s="310">
        <v>8058</v>
      </c>
      <c r="N77" s="224">
        <f t="shared" si="12"/>
        <v>0</v>
      </c>
      <c r="O77" s="298">
        <f t="shared" si="13"/>
        <v>0</v>
      </c>
      <c r="P77" s="307">
        <f t="shared" si="14"/>
        <v>10.976381409883908</v>
      </c>
      <c r="Q77" s="308">
        <v>10.8</v>
      </c>
      <c r="R77" s="301">
        <f t="shared" si="15"/>
        <v>0.17638140988390738</v>
      </c>
    </row>
    <row r="78" spans="1:18" x14ac:dyDescent="0.25">
      <c r="A78" s="302" t="s">
        <v>3258</v>
      </c>
      <c r="B78" s="303" t="s">
        <v>48</v>
      </c>
      <c r="C78" s="319">
        <v>366845</v>
      </c>
      <c r="D78" s="305">
        <v>4</v>
      </c>
      <c r="E78" s="310">
        <v>4</v>
      </c>
      <c r="F78" s="296">
        <f t="shared" si="8"/>
        <v>0</v>
      </c>
      <c r="G78" s="223">
        <f t="shared" si="9"/>
        <v>0</v>
      </c>
      <c r="H78" s="305">
        <v>24</v>
      </c>
      <c r="I78" s="310">
        <v>24</v>
      </c>
      <c r="J78" s="222">
        <f t="shared" si="10"/>
        <v>0</v>
      </c>
      <c r="K78" s="297">
        <f t="shared" si="11"/>
        <v>0</v>
      </c>
      <c r="L78" s="305">
        <v>4044</v>
      </c>
      <c r="M78" s="310">
        <v>4044</v>
      </c>
      <c r="N78" s="224">
        <f t="shared" si="12"/>
        <v>0</v>
      </c>
      <c r="O78" s="298">
        <f t="shared" si="13"/>
        <v>0</v>
      </c>
      <c r="P78" s="307">
        <f t="shared" si="14"/>
        <v>6.5422726219520513</v>
      </c>
      <c r="Q78" s="308">
        <v>6.7</v>
      </c>
      <c r="R78" s="301">
        <f t="shared" si="15"/>
        <v>-0.1577273780479489</v>
      </c>
    </row>
    <row r="79" spans="1:18" x14ac:dyDescent="0.25">
      <c r="A79" s="302" t="s">
        <v>3258</v>
      </c>
      <c r="B79" s="303" t="s">
        <v>3273</v>
      </c>
      <c r="C79" s="319">
        <v>169853</v>
      </c>
      <c r="D79" s="305">
        <v>1</v>
      </c>
      <c r="E79" s="310">
        <v>0</v>
      </c>
      <c r="F79" s="296">
        <f t="shared" si="8"/>
        <v>1</v>
      </c>
      <c r="G79" s="314" t="s">
        <v>3269</v>
      </c>
      <c r="H79" s="316">
        <v>1</v>
      </c>
      <c r="I79" s="312">
        <v>0</v>
      </c>
      <c r="J79" s="321">
        <f t="shared" si="10"/>
        <v>1</v>
      </c>
      <c r="K79" s="315" t="s">
        <v>3269</v>
      </c>
      <c r="L79" s="316">
        <v>58</v>
      </c>
      <c r="M79" s="312">
        <v>0</v>
      </c>
      <c r="N79" s="295">
        <f t="shared" si="12"/>
        <v>58</v>
      </c>
      <c r="O79" s="590" t="s">
        <v>3269</v>
      </c>
      <c r="P79" s="307">
        <f t="shared" si="14"/>
        <v>0.58874438485042946</v>
      </c>
      <c r="Q79" s="308">
        <v>0</v>
      </c>
      <c r="R79" s="301">
        <f t="shared" si="15"/>
        <v>0.58874438485042946</v>
      </c>
    </row>
    <row r="80" spans="1:18" x14ac:dyDescent="0.25">
      <c r="A80" s="291" t="s">
        <v>3274</v>
      </c>
      <c r="B80" s="292" t="s">
        <v>3256</v>
      </c>
      <c r="C80" s="320">
        <v>1103661</v>
      </c>
      <c r="D80" s="294">
        <f>SUM(D81:D85)</f>
        <v>9</v>
      </c>
      <c r="E80" s="312">
        <f>SUM(E81:E85)</f>
        <v>9</v>
      </c>
      <c r="F80" s="296">
        <f t="shared" si="8"/>
        <v>0</v>
      </c>
      <c r="G80" s="223">
        <f t="shared" si="9"/>
        <v>0</v>
      </c>
      <c r="H80" s="294">
        <f>SUM(H81:H85)</f>
        <v>56</v>
      </c>
      <c r="I80" s="312">
        <f>SUM(I81:I85)</f>
        <v>56</v>
      </c>
      <c r="J80" s="222">
        <f t="shared" si="10"/>
        <v>0</v>
      </c>
      <c r="K80" s="297">
        <f t="shared" si="11"/>
        <v>0</v>
      </c>
      <c r="L80" s="294">
        <f>SUM(L81:L85)</f>
        <v>8177</v>
      </c>
      <c r="M80" s="312">
        <f>SUM(M81:M85)</f>
        <v>8583</v>
      </c>
      <c r="N80" s="224">
        <f t="shared" si="12"/>
        <v>-406</v>
      </c>
      <c r="O80" s="298">
        <f t="shared" si="13"/>
        <v>-4.7302807876034018E-2</v>
      </c>
      <c r="P80" s="299">
        <f t="shared" si="14"/>
        <v>5.0740218237302939</v>
      </c>
      <c r="Q80" s="300">
        <v>5</v>
      </c>
      <c r="R80" s="301">
        <f t="shared" si="15"/>
        <v>7.4021823730293868E-2</v>
      </c>
    </row>
    <row r="81" spans="1:18" x14ac:dyDescent="0.25">
      <c r="A81" s="302" t="s">
        <v>3258</v>
      </c>
      <c r="B81" s="303" t="s">
        <v>4</v>
      </c>
      <c r="C81" s="319">
        <v>208668</v>
      </c>
      <c r="D81" s="305">
        <v>2</v>
      </c>
      <c r="E81" s="310">
        <v>2</v>
      </c>
      <c r="F81" s="296">
        <f t="shared" si="8"/>
        <v>0</v>
      </c>
      <c r="G81" s="223">
        <f t="shared" si="9"/>
        <v>0</v>
      </c>
      <c r="H81" s="305">
        <v>15</v>
      </c>
      <c r="I81" s="310">
        <v>15</v>
      </c>
      <c r="J81" s="222">
        <f t="shared" si="10"/>
        <v>0</v>
      </c>
      <c r="K81" s="297">
        <f t="shared" si="11"/>
        <v>0</v>
      </c>
      <c r="L81" s="305">
        <v>1936</v>
      </c>
      <c r="M81" s="310">
        <v>2264</v>
      </c>
      <c r="N81" s="224">
        <f t="shared" si="12"/>
        <v>-328</v>
      </c>
      <c r="O81" s="298">
        <f t="shared" si="13"/>
        <v>-0.14487632508833923</v>
      </c>
      <c r="P81" s="307">
        <f t="shared" si="14"/>
        <v>7.1884524699522689</v>
      </c>
      <c r="Q81" s="308">
        <v>7.2</v>
      </c>
      <c r="R81" s="301">
        <f t="shared" si="15"/>
        <v>-1.1547530047731236E-2</v>
      </c>
    </row>
    <row r="82" spans="1:18" x14ac:dyDescent="0.25">
      <c r="A82" s="302" t="s">
        <v>3258</v>
      </c>
      <c r="B82" s="303" t="s">
        <v>32</v>
      </c>
      <c r="C82" s="319">
        <v>307232</v>
      </c>
      <c r="D82" s="305">
        <v>2</v>
      </c>
      <c r="E82" s="310">
        <v>2</v>
      </c>
      <c r="F82" s="296">
        <f t="shared" si="8"/>
        <v>0</v>
      </c>
      <c r="G82" s="223">
        <f t="shared" si="9"/>
        <v>0</v>
      </c>
      <c r="H82" s="305">
        <v>20</v>
      </c>
      <c r="I82" s="310">
        <v>20</v>
      </c>
      <c r="J82" s="222">
        <f t="shared" si="10"/>
        <v>0</v>
      </c>
      <c r="K82" s="297">
        <f t="shared" si="11"/>
        <v>0</v>
      </c>
      <c r="L82" s="305">
        <v>3967</v>
      </c>
      <c r="M82" s="310">
        <v>3967</v>
      </c>
      <c r="N82" s="224">
        <f t="shared" si="12"/>
        <v>0</v>
      </c>
      <c r="O82" s="298">
        <f t="shared" si="13"/>
        <v>0</v>
      </c>
      <c r="P82" s="307">
        <f t="shared" si="14"/>
        <v>6.5097385688990732</v>
      </c>
      <c r="Q82" s="308">
        <v>6.4</v>
      </c>
      <c r="R82" s="301">
        <f t="shared" si="15"/>
        <v>0.10973856889907285</v>
      </c>
    </row>
    <row r="83" spans="1:18" x14ac:dyDescent="0.25">
      <c r="A83" s="302" t="s">
        <v>3258</v>
      </c>
      <c r="B83" s="303" t="s">
        <v>29</v>
      </c>
      <c r="C83" s="319">
        <v>152287</v>
      </c>
      <c r="D83" s="305">
        <v>2</v>
      </c>
      <c r="E83" s="310">
        <v>2</v>
      </c>
      <c r="F83" s="296">
        <f t="shared" si="8"/>
        <v>0</v>
      </c>
      <c r="G83" s="223">
        <f t="shared" si="9"/>
        <v>0</v>
      </c>
      <c r="H83" s="316">
        <v>8</v>
      </c>
      <c r="I83" s="312">
        <v>8</v>
      </c>
      <c r="J83" s="321">
        <f t="shared" si="10"/>
        <v>0</v>
      </c>
      <c r="K83" s="297">
        <f t="shared" si="11"/>
        <v>0</v>
      </c>
      <c r="L83" s="316">
        <v>544</v>
      </c>
      <c r="M83" s="312">
        <v>622</v>
      </c>
      <c r="N83" s="295">
        <f t="shared" si="12"/>
        <v>-78</v>
      </c>
      <c r="O83" s="298">
        <f t="shared" si="13"/>
        <v>-0.12540192926045016</v>
      </c>
      <c r="P83" s="307">
        <f t="shared" si="14"/>
        <v>5.2532389501401964</v>
      </c>
      <c r="Q83" s="308">
        <v>5.3</v>
      </c>
      <c r="R83" s="301">
        <f t="shared" si="15"/>
        <v>-4.676104985980345E-2</v>
      </c>
    </row>
    <row r="84" spans="1:18" x14ac:dyDescent="0.25">
      <c r="A84" s="302" t="s">
        <v>3258</v>
      </c>
      <c r="B84" s="303" t="s">
        <v>33</v>
      </c>
      <c r="C84" s="319">
        <v>216477</v>
      </c>
      <c r="D84" s="305">
        <v>2</v>
      </c>
      <c r="E84" s="310">
        <v>2</v>
      </c>
      <c r="F84" s="296">
        <f t="shared" si="8"/>
        <v>0</v>
      </c>
      <c r="G84" s="223">
        <f t="shared" si="9"/>
        <v>0</v>
      </c>
      <c r="H84" s="305">
        <v>11</v>
      </c>
      <c r="I84" s="310">
        <v>11</v>
      </c>
      <c r="J84" s="222">
        <f t="shared" si="10"/>
        <v>0</v>
      </c>
      <c r="K84" s="297">
        <f t="shared" si="11"/>
        <v>0</v>
      </c>
      <c r="L84" s="305">
        <v>1429</v>
      </c>
      <c r="M84" s="310">
        <v>1429</v>
      </c>
      <c r="N84" s="224">
        <f t="shared" si="12"/>
        <v>0</v>
      </c>
      <c r="O84" s="298">
        <f t="shared" si="13"/>
        <v>0</v>
      </c>
      <c r="P84" s="307">
        <f t="shared" si="14"/>
        <v>5.0813712311238612</v>
      </c>
      <c r="Q84" s="308">
        <v>5</v>
      </c>
      <c r="R84" s="301">
        <f t="shared" si="15"/>
        <v>8.1371231123861243E-2</v>
      </c>
    </row>
    <row r="85" spans="1:18" x14ac:dyDescent="0.25">
      <c r="A85" s="302" t="s">
        <v>3258</v>
      </c>
      <c r="B85" s="303" t="s">
        <v>49</v>
      </c>
      <c r="C85" s="319">
        <v>218997</v>
      </c>
      <c r="D85" s="305">
        <v>1</v>
      </c>
      <c r="E85" s="310">
        <v>1</v>
      </c>
      <c r="F85" s="296">
        <f t="shared" si="8"/>
        <v>0</v>
      </c>
      <c r="G85" s="223">
        <f t="shared" si="9"/>
        <v>0</v>
      </c>
      <c r="H85" s="305">
        <v>2</v>
      </c>
      <c r="I85" s="310">
        <v>2</v>
      </c>
      <c r="J85" s="222">
        <f t="shared" si="10"/>
        <v>0</v>
      </c>
      <c r="K85" s="297">
        <f t="shared" si="11"/>
        <v>0</v>
      </c>
      <c r="L85" s="305">
        <v>301</v>
      </c>
      <c r="M85" s="310">
        <v>301</v>
      </c>
      <c r="N85" s="224">
        <f t="shared" si="12"/>
        <v>0</v>
      </c>
      <c r="O85" s="298">
        <f t="shared" si="13"/>
        <v>0</v>
      </c>
      <c r="P85" s="307">
        <f t="shared" si="14"/>
        <v>0.91325451946830327</v>
      </c>
      <c r="Q85" s="308">
        <v>0.9</v>
      </c>
      <c r="R85" s="301">
        <f t="shared" si="15"/>
        <v>1.325451946830325E-2</v>
      </c>
    </row>
    <row r="86" spans="1:18" x14ac:dyDescent="0.25">
      <c r="A86" s="291" t="s">
        <v>3275</v>
      </c>
      <c r="B86" s="292" t="s">
        <v>3256</v>
      </c>
      <c r="C86" s="311">
        <v>386525</v>
      </c>
      <c r="D86" s="294">
        <v>3</v>
      </c>
      <c r="E86" s="312">
        <v>4</v>
      </c>
      <c r="F86" s="296">
        <f t="shared" si="8"/>
        <v>-1</v>
      </c>
      <c r="G86" s="223">
        <f t="shared" si="9"/>
        <v>-0.25</v>
      </c>
      <c r="H86" s="294">
        <v>17</v>
      </c>
      <c r="I86" s="312">
        <v>23</v>
      </c>
      <c r="J86" s="222">
        <f t="shared" si="10"/>
        <v>-6</v>
      </c>
      <c r="K86" s="297">
        <f t="shared" si="11"/>
        <v>-0.2608695652173913</v>
      </c>
      <c r="L86" s="294">
        <v>2602</v>
      </c>
      <c r="M86" s="312">
        <v>3284</v>
      </c>
      <c r="N86" s="224">
        <f t="shared" si="12"/>
        <v>-682</v>
      </c>
      <c r="O86" s="298">
        <f t="shared" si="13"/>
        <v>-0.20767356881851401</v>
      </c>
      <c r="P86" s="299">
        <f t="shared" si="14"/>
        <v>4.3981631201086611</v>
      </c>
      <c r="Q86" s="300">
        <v>6</v>
      </c>
      <c r="R86" s="301">
        <f t="shared" si="15"/>
        <v>-1.6018368798913389</v>
      </c>
    </row>
    <row r="87" spans="1:18" x14ac:dyDescent="0.25">
      <c r="A87" s="291" t="s">
        <v>51</v>
      </c>
      <c r="B87" s="292" t="s">
        <v>3256</v>
      </c>
      <c r="C87" s="318">
        <v>13630821</v>
      </c>
      <c r="D87" s="294">
        <f>SUM(D88:D118)</f>
        <v>147</v>
      </c>
      <c r="E87" s="312">
        <f>SUM(E88:E118)</f>
        <v>139</v>
      </c>
      <c r="F87" s="296">
        <f t="shared" si="8"/>
        <v>8</v>
      </c>
      <c r="G87" s="223">
        <f t="shared" si="9"/>
        <v>5.7553956834532377E-2</v>
      </c>
      <c r="H87" s="294">
        <f>SUM(H88:H118)</f>
        <v>910</v>
      </c>
      <c r="I87" s="312">
        <f>SUM(I88:I118)</f>
        <v>854</v>
      </c>
      <c r="J87" s="222">
        <f t="shared" si="10"/>
        <v>56</v>
      </c>
      <c r="K87" s="297">
        <f t="shared" si="11"/>
        <v>6.5573770491803282E-2</v>
      </c>
      <c r="L87" s="294">
        <f>SUM(L88:L118)</f>
        <v>120309</v>
      </c>
      <c r="M87" s="312">
        <f>SUM(M88:M118)</f>
        <v>116306</v>
      </c>
      <c r="N87" s="224">
        <f t="shared" si="12"/>
        <v>4003</v>
      </c>
      <c r="O87" s="298">
        <f t="shared" si="13"/>
        <v>3.4417828830842774E-2</v>
      </c>
      <c r="P87" s="299">
        <f t="shared" si="14"/>
        <v>6.6760468793479122</v>
      </c>
      <c r="Q87" s="300">
        <v>6.3</v>
      </c>
      <c r="R87" s="301">
        <f t="shared" si="15"/>
        <v>0.37604687934791237</v>
      </c>
    </row>
    <row r="88" spans="1:18" x14ac:dyDescent="0.25">
      <c r="A88" s="302" t="s">
        <v>3258</v>
      </c>
      <c r="B88" s="303" t="s">
        <v>52</v>
      </c>
      <c r="C88" s="309">
        <v>1197257</v>
      </c>
      <c r="D88" s="305">
        <v>13</v>
      </c>
      <c r="E88" s="310">
        <v>12</v>
      </c>
      <c r="F88" s="296">
        <f t="shared" si="8"/>
        <v>1</v>
      </c>
      <c r="G88" s="223">
        <f t="shared" si="9"/>
        <v>8.3333333333333329E-2</v>
      </c>
      <c r="H88" s="305">
        <v>87</v>
      </c>
      <c r="I88" s="310">
        <v>80</v>
      </c>
      <c r="J88" s="306">
        <f t="shared" si="10"/>
        <v>7</v>
      </c>
      <c r="K88" s="297">
        <f t="shared" si="11"/>
        <v>8.7499999999999994E-2</v>
      </c>
      <c r="L88" s="305">
        <v>14364</v>
      </c>
      <c r="M88" s="310">
        <v>14056</v>
      </c>
      <c r="N88" s="224">
        <f t="shared" si="12"/>
        <v>308</v>
      </c>
      <c r="O88" s="298">
        <f t="shared" si="13"/>
        <v>2.1912350597609563E-2</v>
      </c>
      <c r="P88" s="307">
        <f t="shared" si="14"/>
        <v>7.2666102599525422</v>
      </c>
      <c r="Q88" s="308">
        <v>6.7</v>
      </c>
      <c r="R88" s="301">
        <f t="shared" si="15"/>
        <v>0.56661025995254199</v>
      </c>
    </row>
    <row r="89" spans="1:18" x14ac:dyDescent="0.25">
      <c r="A89" s="302" t="s">
        <v>3258</v>
      </c>
      <c r="B89" s="303" t="s">
        <v>53</v>
      </c>
      <c r="C89" s="322">
        <v>919747</v>
      </c>
      <c r="D89" s="305">
        <v>9</v>
      </c>
      <c r="E89" s="310">
        <v>8</v>
      </c>
      <c r="F89" s="296">
        <f t="shared" si="8"/>
        <v>1</v>
      </c>
      <c r="G89" s="223">
        <f t="shared" si="9"/>
        <v>0.125</v>
      </c>
      <c r="H89" s="305">
        <v>64</v>
      </c>
      <c r="I89" s="310">
        <v>54</v>
      </c>
      <c r="J89" s="306">
        <f t="shared" si="10"/>
        <v>10</v>
      </c>
      <c r="K89" s="297">
        <f t="shared" si="11"/>
        <v>0.18518518518518517</v>
      </c>
      <c r="L89" s="305">
        <v>9455</v>
      </c>
      <c r="M89" s="310">
        <v>7884</v>
      </c>
      <c r="N89" s="224">
        <f t="shared" si="12"/>
        <v>1571</v>
      </c>
      <c r="O89" s="298">
        <f t="shared" si="13"/>
        <v>0.19926433282597666</v>
      </c>
      <c r="P89" s="307">
        <f t="shared" si="14"/>
        <v>6.9584353088403663</v>
      </c>
      <c r="Q89" s="308">
        <v>5.9</v>
      </c>
      <c r="R89" s="301">
        <f t="shared" si="15"/>
        <v>1.058435308840366</v>
      </c>
    </row>
    <row r="90" spans="1:18" x14ac:dyDescent="0.25">
      <c r="A90" s="302" t="s">
        <v>3258</v>
      </c>
      <c r="B90" s="303" t="s">
        <v>54</v>
      </c>
      <c r="C90" s="322">
        <v>164213</v>
      </c>
      <c r="D90" s="305">
        <v>4</v>
      </c>
      <c r="E90" s="310">
        <v>4</v>
      </c>
      <c r="F90" s="296">
        <f t="shared" si="8"/>
        <v>0</v>
      </c>
      <c r="G90" s="223">
        <f t="shared" si="9"/>
        <v>0</v>
      </c>
      <c r="H90" s="305">
        <v>30</v>
      </c>
      <c r="I90" s="310">
        <v>30</v>
      </c>
      <c r="J90" s="306">
        <f t="shared" si="10"/>
        <v>0</v>
      </c>
      <c r="K90" s="297">
        <f t="shared" si="11"/>
        <v>0</v>
      </c>
      <c r="L90" s="305">
        <v>4885</v>
      </c>
      <c r="M90" s="310">
        <v>4885</v>
      </c>
      <c r="N90" s="224">
        <f t="shared" si="12"/>
        <v>0</v>
      </c>
      <c r="O90" s="298">
        <f t="shared" si="13"/>
        <v>0</v>
      </c>
      <c r="P90" s="307">
        <f t="shared" si="14"/>
        <v>18.268955563810415</v>
      </c>
      <c r="Q90" s="308">
        <v>6.5</v>
      </c>
      <c r="R90" s="301">
        <f t="shared" si="15"/>
        <v>11.768955563810415</v>
      </c>
    </row>
    <row r="91" spans="1:18" x14ac:dyDescent="0.25">
      <c r="A91" s="302" t="s">
        <v>3258</v>
      </c>
      <c r="B91" s="303" t="s">
        <v>55</v>
      </c>
      <c r="C91" s="322">
        <v>544660</v>
      </c>
      <c r="D91" s="305">
        <v>6</v>
      </c>
      <c r="E91" s="310">
        <v>6</v>
      </c>
      <c r="F91" s="296">
        <f t="shared" si="8"/>
        <v>0</v>
      </c>
      <c r="G91" s="223">
        <f t="shared" si="9"/>
        <v>0</v>
      </c>
      <c r="H91" s="305">
        <v>45</v>
      </c>
      <c r="I91" s="310">
        <v>45</v>
      </c>
      <c r="J91" s="306">
        <f t="shared" si="10"/>
        <v>0</v>
      </c>
      <c r="K91" s="297">
        <f t="shared" si="11"/>
        <v>0</v>
      </c>
      <c r="L91" s="305">
        <v>6165</v>
      </c>
      <c r="M91" s="310">
        <v>6291</v>
      </c>
      <c r="N91" s="224">
        <f t="shared" si="12"/>
        <v>-126</v>
      </c>
      <c r="O91" s="298">
        <f t="shared" si="13"/>
        <v>-2.0028612303290415E-2</v>
      </c>
      <c r="P91" s="307">
        <f t="shared" si="14"/>
        <v>8.2620350310285318</v>
      </c>
      <c r="Q91" s="308">
        <v>8.1999999999999993</v>
      </c>
      <c r="R91" s="301">
        <f t="shared" si="15"/>
        <v>6.2035031028532472E-2</v>
      </c>
    </row>
    <row r="92" spans="1:18" x14ac:dyDescent="0.25">
      <c r="A92" s="302" t="s">
        <v>3258</v>
      </c>
      <c r="B92" s="303" t="s">
        <v>56</v>
      </c>
      <c r="C92" s="322">
        <v>779968</v>
      </c>
      <c r="D92" s="305">
        <v>9</v>
      </c>
      <c r="E92" s="310">
        <v>10</v>
      </c>
      <c r="F92" s="296">
        <f t="shared" si="8"/>
        <v>-1</v>
      </c>
      <c r="G92" s="223">
        <f t="shared" si="9"/>
        <v>-0.1</v>
      </c>
      <c r="H92" s="305">
        <v>62</v>
      </c>
      <c r="I92" s="310">
        <v>63</v>
      </c>
      <c r="J92" s="306">
        <f t="shared" si="10"/>
        <v>-1</v>
      </c>
      <c r="K92" s="297">
        <f t="shared" si="11"/>
        <v>-1.5873015873015872E-2</v>
      </c>
      <c r="L92" s="305">
        <v>8305</v>
      </c>
      <c r="M92" s="310">
        <v>8691</v>
      </c>
      <c r="N92" s="224">
        <f t="shared" si="12"/>
        <v>-386</v>
      </c>
      <c r="O92" s="298">
        <f t="shared" si="13"/>
        <v>-4.4413761362328844E-2</v>
      </c>
      <c r="P92" s="307">
        <f t="shared" si="14"/>
        <v>7.9490440633461885</v>
      </c>
      <c r="Q92" s="308">
        <v>8</v>
      </c>
      <c r="R92" s="301">
        <f t="shared" si="15"/>
        <v>-5.0955936653811484E-2</v>
      </c>
    </row>
    <row r="93" spans="1:18" x14ac:dyDescent="0.25">
      <c r="A93" s="302" t="s">
        <v>3258</v>
      </c>
      <c r="B93" s="303" t="s">
        <v>57</v>
      </c>
      <c r="C93" s="322">
        <v>280197</v>
      </c>
      <c r="D93" s="305">
        <v>5</v>
      </c>
      <c r="E93" s="310">
        <v>6</v>
      </c>
      <c r="F93" s="296">
        <f t="shared" si="8"/>
        <v>-1</v>
      </c>
      <c r="G93" s="223">
        <f t="shared" si="9"/>
        <v>-0.16666666666666666</v>
      </c>
      <c r="H93" s="305">
        <v>30</v>
      </c>
      <c r="I93" s="310">
        <v>32</v>
      </c>
      <c r="J93" s="306">
        <f t="shared" si="10"/>
        <v>-2</v>
      </c>
      <c r="K93" s="297">
        <f t="shared" si="11"/>
        <v>-6.25E-2</v>
      </c>
      <c r="L93" s="305">
        <v>3901</v>
      </c>
      <c r="M93" s="310">
        <v>4340</v>
      </c>
      <c r="N93" s="224">
        <f t="shared" si="12"/>
        <v>-439</v>
      </c>
      <c r="O93" s="298">
        <f t="shared" si="13"/>
        <v>-0.10115207373271889</v>
      </c>
      <c r="P93" s="307">
        <f t="shared" si="14"/>
        <v>10.706752748958769</v>
      </c>
      <c r="Q93" s="308">
        <v>11.1</v>
      </c>
      <c r="R93" s="301">
        <f t="shared" si="15"/>
        <v>-0.39324725104123104</v>
      </c>
    </row>
    <row r="94" spans="1:18" x14ac:dyDescent="0.25">
      <c r="A94" s="302" t="s">
        <v>3258</v>
      </c>
      <c r="B94" s="303" t="s">
        <v>58</v>
      </c>
      <c r="C94" s="322">
        <v>591022</v>
      </c>
      <c r="D94" s="305">
        <v>5</v>
      </c>
      <c r="E94" s="310">
        <v>5</v>
      </c>
      <c r="F94" s="296">
        <f t="shared" si="8"/>
        <v>0</v>
      </c>
      <c r="G94" s="223">
        <f t="shared" si="9"/>
        <v>0</v>
      </c>
      <c r="H94" s="305">
        <v>32</v>
      </c>
      <c r="I94" s="310">
        <v>32</v>
      </c>
      <c r="J94" s="306">
        <f t="shared" si="10"/>
        <v>0</v>
      </c>
      <c r="K94" s="297">
        <f t="shared" si="11"/>
        <v>0</v>
      </c>
      <c r="L94" s="305">
        <v>3846</v>
      </c>
      <c r="M94" s="310">
        <v>3855</v>
      </c>
      <c r="N94" s="224">
        <f t="shared" si="12"/>
        <v>-9</v>
      </c>
      <c r="O94" s="298">
        <f t="shared" si="13"/>
        <v>-2.3346303501945525E-3</v>
      </c>
      <c r="P94" s="307">
        <f t="shared" si="14"/>
        <v>5.4143500580350645</v>
      </c>
      <c r="Q94" s="308">
        <v>5.5</v>
      </c>
      <c r="R94" s="301">
        <f t="shared" si="15"/>
        <v>-8.5649941964935472E-2</v>
      </c>
    </row>
    <row r="95" spans="1:18" x14ac:dyDescent="0.25">
      <c r="A95" s="302" t="s">
        <v>3258</v>
      </c>
      <c r="B95" s="303" t="s">
        <v>59</v>
      </c>
      <c r="C95" s="322">
        <v>88626</v>
      </c>
      <c r="D95" s="305">
        <v>3</v>
      </c>
      <c r="E95" s="310">
        <v>2</v>
      </c>
      <c r="F95" s="296">
        <f t="shared" si="8"/>
        <v>1</v>
      </c>
      <c r="G95" s="223">
        <f t="shared" si="9"/>
        <v>0.5</v>
      </c>
      <c r="H95" s="305">
        <v>7</v>
      </c>
      <c r="I95" s="310">
        <v>3</v>
      </c>
      <c r="J95" s="306">
        <f t="shared" si="10"/>
        <v>4</v>
      </c>
      <c r="K95" s="297">
        <f t="shared" si="11"/>
        <v>1.3333333333333333</v>
      </c>
      <c r="L95" s="305">
        <v>921</v>
      </c>
      <c r="M95" s="310">
        <v>573</v>
      </c>
      <c r="N95" s="224">
        <f t="shared" si="12"/>
        <v>348</v>
      </c>
      <c r="O95" s="298">
        <f t="shared" si="13"/>
        <v>0.60732984293193715</v>
      </c>
      <c r="P95" s="307">
        <f t="shared" si="14"/>
        <v>7.8983593979193465</v>
      </c>
      <c r="Q95" s="308">
        <v>3.3</v>
      </c>
      <c r="R95" s="301">
        <f t="shared" si="15"/>
        <v>4.5983593979193467</v>
      </c>
    </row>
    <row r="96" spans="1:18" x14ac:dyDescent="0.25">
      <c r="A96" s="302" t="s">
        <v>3258</v>
      </c>
      <c r="B96" s="303" t="s">
        <v>60</v>
      </c>
      <c r="C96" s="322">
        <v>629308</v>
      </c>
      <c r="D96" s="305">
        <v>6</v>
      </c>
      <c r="E96" s="310">
        <v>6</v>
      </c>
      <c r="F96" s="296">
        <f t="shared" si="8"/>
        <v>0</v>
      </c>
      <c r="G96" s="223">
        <f t="shared" si="9"/>
        <v>0</v>
      </c>
      <c r="H96" s="305">
        <v>39</v>
      </c>
      <c r="I96" s="310">
        <v>39</v>
      </c>
      <c r="J96" s="306">
        <f t="shared" si="10"/>
        <v>0</v>
      </c>
      <c r="K96" s="297">
        <f t="shared" si="11"/>
        <v>0</v>
      </c>
      <c r="L96" s="305">
        <v>7002</v>
      </c>
      <c r="M96" s="310">
        <v>7002</v>
      </c>
      <c r="N96" s="224">
        <f t="shared" si="12"/>
        <v>0</v>
      </c>
      <c r="O96" s="298">
        <f t="shared" si="13"/>
        <v>0</v>
      </c>
      <c r="P96" s="307">
        <f t="shared" si="14"/>
        <v>6.1972833652202102</v>
      </c>
      <c r="Q96" s="308">
        <v>6.1</v>
      </c>
      <c r="R96" s="301">
        <f t="shared" si="15"/>
        <v>9.7283365220210527E-2</v>
      </c>
    </row>
    <row r="97" spans="1:18" x14ac:dyDescent="0.25">
      <c r="A97" s="302" t="s">
        <v>3258</v>
      </c>
      <c r="B97" s="303" t="s">
        <v>61</v>
      </c>
      <c r="C97" s="322">
        <v>1074907</v>
      </c>
      <c r="D97" s="305">
        <v>10</v>
      </c>
      <c r="E97" s="310">
        <v>11</v>
      </c>
      <c r="F97" s="296">
        <f t="shared" si="8"/>
        <v>-1</v>
      </c>
      <c r="G97" s="223">
        <f t="shared" si="9"/>
        <v>-9.0909090909090912E-2</v>
      </c>
      <c r="H97" s="305">
        <v>67</v>
      </c>
      <c r="I97" s="310">
        <v>75</v>
      </c>
      <c r="J97" s="306">
        <f t="shared" si="10"/>
        <v>-8</v>
      </c>
      <c r="K97" s="297">
        <f t="shared" si="11"/>
        <v>-0.10666666666666667</v>
      </c>
      <c r="L97" s="305">
        <v>9287</v>
      </c>
      <c r="M97" s="310">
        <v>10338</v>
      </c>
      <c r="N97" s="224">
        <f t="shared" si="12"/>
        <v>-1051</v>
      </c>
      <c r="O97" s="298">
        <f t="shared" si="13"/>
        <v>-0.1016637647514026</v>
      </c>
      <c r="P97" s="307">
        <f t="shared" si="14"/>
        <v>6.2330973749356922</v>
      </c>
      <c r="Q97" s="308">
        <v>7</v>
      </c>
      <c r="R97" s="301">
        <f t="shared" si="15"/>
        <v>-0.76690262506430784</v>
      </c>
    </row>
    <row r="98" spans="1:18" x14ac:dyDescent="0.25">
      <c r="A98" s="302" t="s">
        <v>3258</v>
      </c>
      <c r="B98" s="303" t="s">
        <v>3276</v>
      </c>
      <c r="C98" s="322">
        <v>81000</v>
      </c>
      <c r="D98" s="305">
        <v>0</v>
      </c>
      <c r="E98" s="310">
        <v>0</v>
      </c>
      <c r="F98" s="296">
        <f t="shared" si="8"/>
        <v>0</v>
      </c>
      <c r="G98" s="314" t="s">
        <v>3269</v>
      </c>
      <c r="H98" s="305">
        <v>0</v>
      </c>
      <c r="I98" s="310">
        <v>0</v>
      </c>
      <c r="J98" s="306">
        <f t="shared" si="10"/>
        <v>0</v>
      </c>
      <c r="K98" s="315" t="s">
        <v>3269</v>
      </c>
      <c r="L98" s="305">
        <v>0</v>
      </c>
      <c r="M98" s="310">
        <v>0</v>
      </c>
      <c r="N98" s="224">
        <f t="shared" si="12"/>
        <v>0</v>
      </c>
      <c r="O98" s="298" t="s">
        <v>3261</v>
      </c>
      <c r="P98" s="307">
        <f t="shared" si="14"/>
        <v>0</v>
      </c>
      <c r="Q98" s="308">
        <v>0</v>
      </c>
      <c r="R98" s="301">
        <f t="shared" si="15"/>
        <v>0</v>
      </c>
    </row>
    <row r="99" spans="1:18" x14ac:dyDescent="0.25">
      <c r="A99" s="302" t="s">
        <v>3258</v>
      </c>
      <c r="B99" s="303" t="s">
        <v>62</v>
      </c>
      <c r="C99" s="322">
        <v>187093</v>
      </c>
      <c r="D99" s="305">
        <v>3</v>
      </c>
      <c r="E99" s="310">
        <v>2</v>
      </c>
      <c r="F99" s="296">
        <f t="shared" si="8"/>
        <v>1</v>
      </c>
      <c r="G99" s="223">
        <f t="shared" si="9"/>
        <v>0.5</v>
      </c>
      <c r="H99" s="305">
        <v>20</v>
      </c>
      <c r="I99" s="310">
        <v>14</v>
      </c>
      <c r="J99" s="306">
        <f t="shared" si="10"/>
        <v>6</v>
      </c>
      <c r="K99" s="297">
        <f t="shared" si="11"/>
        <v>0.42857142857142855</v>
      </c>
      <c r="L99" s="305">
        <v>2772</v>
      </c>
      <c r="M99" s="310">
        <v>2280</v>
      </c>
      <c r="N99" s="224">
        <f t="shared" si="12"/>
        <v>492</v>
      </c>
      <c r="O99" s="298">
        <f t="shared" si="13"/>
        <v>0.21578947368421053</v>
      </c>
      <c r="P99" s="307">
        <f t="shared" si="14"/>
        <v>10.689870812911227</v>
      </c>
      <c r="Q99" s="308">
        <v>7.4</v>
      </c>
      <c r="R99" s="301">
        <f t="shared" si="15"/>
        <v>3.2898708129112268</v>
      </c>
    </row>
    <row r="100" spans="1:18" x14ac:dyDescent="0.25">
      <c r="A100" s="302" t="s">
        <v>3258</v>
      </c>
      <c r="B100" s="303" t="s">
        <v>63</v>
      </c>
      <c r="C100" s="322">
        <v>732265</v>
      </c>
      <c r="D100" s="606">
        <v>9</v>
      </c>
      <c r="E100" s="310">
        <v>7</v>
      </c>
      <c r="F100" s="296">
        <f t="shared" si="8"/>
        <v>2</v>
      </c>
      <c r="G100" s="223">
        <f t="shared" si="9"/>
        <v>0.2857142857142857</v>
      </c>
      <c r="H100" s="606">
        <v>55</v>
      </c>
      <c r="I100" s="310">
        <v>42</v>
      </c>
      <c r="J100" s="306">
        <f t="shared" si="10"/>
        <v>13</v>
      </c>
      <c r="K100" s="297">
        <f t="shared" si="11"/>
        <v>0.30952380952380953</v>
      </c>
      <c r="L100" s="606">
        <v>5430</v>
      </c>
      <c r="M100" s="310">
        <v>4544</v>
      </c>
      <c r="N100" s="224">
        <f t="shared" si="12"/>
        <v>886</v>
      </c>
      <c r="O100" s="298">
        <f t="shared" si="13"/>
        <v>0.19498239436619719</v>
      </c>
      <c r="P100" s="307">
        <f t="shared" si="14"/>
        <v>7.5109420769803279</v>
      </c>
      <c r="Q100" s="308">
        <v>5.7</v>
      </c>
      <c r="R100" s="301">
        <f t="shared" si="15"/>
        <v>1.8109420769803277</v>
      </c>
    </row>
    <row r="101" spans="1:18" x14ac:dyDescent="0.25">
      <c r="A101" s="302" t="s">
        <v>3258</v>
      </c>
      <c r="B101" s="303" t="s">
        <v>64</v>
      </c>
      <c r="C101" s="322">
        <v>229656</v>
      </c>
      <c r="D101" s="305">
        <v>3</v>
      </c>
      <c r="E101" s="310">
        <v>3</v>
      </c>
      <c r="F101" s="296">
        <f t="shared" si="8"/>
        <v>0</v>
      </c>
      <c r="G101" s="223">
        <f t="shared" si="9"/>
        <v>0</v>
      </c>
      <c r="H101" s="305">
        <v>19</v>
      </c>
      <c r="I101" s="310">
        <v>19</v>
      </c>
      <c r="J101" s="306">
        <f t="shared" si="10"/>
        <v>0</v>
      </c>
      <c r="K101" s="297">
        <f t="shared" si="11"/>
        <v>0</v>
      </c>
      <c r="L101" s="305">
        <v>1290</v>
      </c>
      <c r="M101" s="310">
        <v>1290</v>
      </c>
      <c r="N101" s="224">
        <f t="shared" si="12"/>
        <v>0</v>
      </c>
      <c r="O101" s="298">
        <f t="shared" si="13"/>
        <v>0</v>
      </c>
      <c r="P101" s="307">
        <f t="shared" si="14"/>
        <v>8.2732434597833286</v>
      </c>
      <c r="Q101" s="308">
        <v>8.3000000000000007</v>
      </c>
      <c r="R101" s="301">
        <f t="shared" si="15"/>
        <v>-2.6756540216672065E-2</v>
      </c>
    </row>
    <row r="102" spans="1:18" x14ac:dyDescent="0.25">
      <c r="A102" s="302" t="s">
        <v>3258</v>
      </c>
      <c r="B102" s="303" t="s">
        <v>65</v>
      </c>
      <c r="C102" s="322">
        <v>519715</v>
      </c>
      <c r="D102" s="305">
        <v>6</v>
      </c>
      <c r="E102" s="310">
        <v>6</v>
      </c>
      <c r="F102" s="296">
        <f t="shared" si="8"/>
        <v>0</v>
      </c>
      <c r="G102" s="223">
        <f t="shared" si="9"/>
        <v>0</v>
      </c>
      <c r="H102" s="305">
        <v>34</v>
      </c>
      <c r="I102" s="310">
        <v>34</v>
      </c>
      <c r="J102" s="306">
        <f t="shared" si="10"/>
        <v>0</v>
      </c>
      <c r="K102" s="297">
        <f t="shared" si="11"/>
        <v>0</v>
      </c>
      <c r="L102" s="305">
        <v>4166</v>
      </c>
      <c r="M102" s="310">
        <v>4166</v>
      </c>
      <c r="N102" s="224">
        <f t="shared" si="12"/>
        <v>0</v>
      </c>
      <c r="O102" s="298">
        <f t="shared" si="13"/>
        <v>0</v>
      </c>
      <c r="P102" s="307">
        <f t="shared" si="14"/>
        <v>6.5420470834976863</v>
      </c>
      <c r="Q102" s="308">
        <v>6.6</v>
      </c>
      <c r="R102" s="301">
        <f t="shared" si="15"/>
        <v>-5.7952916502313379E-2</v>
      </c>
    </row>
    <row r="103" spans="1:18" x14ac:dyDescent="0.25">
      <c r="A103" s="302" t="s">
        <v>3258</v>
      </c>
      <c r="B103" s="303" t="s">
        <v>66</v>
      </c>
      <c r="C103" s="322">
        <v>261229</v>
      </c>
      <c r="D103" s="305">
        <v>3</v>
      </c>
      <c r="E103" s="310">
        <v>3</v>
      </c>
      <c r="F103" s="296">
        <f t="shared" si="8"/>
        <v>0</v>
      </c>
      <c r="G103" s="223">
        <f t="shared" si="9"/>
        <v>0</v>
      </c>
      <c r="H103" s="305">
        <v>20</v>
      </c>
      <c r="I103" s="310">
        <v>20</v>
      </c>
      <c r="J103" s="306">
        <f t="shared" si="10"/>
        <v>0</v>
      </c>
      <c r="K103" s="297">
        <f t="shared" si="11"/>
        <v>0</v>
      </c>
      <c r="L103" s="305">
        <v>2214</v>
      </c>
      <c r="M103" s="310">
        <v>2288</v>
      </c>
      <c r="N103" s="224">
        <f t="shared" si="12"/>
        <v>-74</v>
      </c>
      <c r="O103" s="298">
        <f t="shared" si="13"/>
        <v>-3.2342657342657344E-2</v>
      </c>
      <c r="P103" s="307">
        <f t="shared" si="14"/>
        <v>7.6561178123408968</v>
      </c>
      <c r="Q103" s="308">
        <v>7.5</v>
      </c>
      <c r="R103" s="301">
        <f t="shared" si="15"/>
        <v>0.15611781234089683</v>
      </c>
    </row>
    <row r="104" spans="1:18" x14ac:dyDescent="0.25">
      <c r="A104" s="302" t="s">
        <v>3258</v>
      </c>
      <c r="B104" s="303" t="s">
        <v>3277</v>
      </c>
      <c r="C104" s="322">
        <v>158870</v>
      </c>
      <c r="D104" s="305">
        <v>0</v>
      </c>
      <c r="E104" s="310">
        <v>0</v>
      </c>
      <c r="F104" s="296">
        <f t="shared" si="8"/>
        <v>0</v>
      </c>
      <c r="G104" s="314" t="s">
        <v>3261</v>
      </c>
      <c r="H104" s="305">
        <v>0</v>
      </c>
      <c r="I104" s="310">
        <v>0</v>
      </c>
      <c r="J104" s="306">
        <f t="shared" si="10"/>
        <v>0</v>
      </c>
      <c r="K104" s="315" t="s">
        <v>3269</v>
      </c>
      <c r="L104" s="305">
        <v>0</v>
      </c>
      <c r="M104" s="310">
        <v>0</v>
      </c>
      <c r="N104" s="224">
        <f t="shared" si="12"/>
        <v>0</v>
      </c>
      <c r="O104" s="298" t="s">
        <v>3269</v>
      </c>
      <c r="P104" s="307">
        <f t="shared" si="14"/>
        <v>0</v>
      </c>
      <c r="Q104" s="308">
        <v>0</v>
      </c>
      <c r="R104" s="301">
        <f t="shared" si="15"/>
        <v>0</v>
      </c>
    </row>
    <row r="105" spans="1:18" x14ac:dyDescent="0.25">
      <c r="A105" s="302" t="s">
        <v>3258</v>
      </c>
      <c r="B105" s="303" t="s">
        <v>67</v>
      </c>
      <c r="C105" s="322">
        <v>329861</v>
      </c>
      <c r="D105" s="305">
        <v>5</v>
      </c>
      <c r="E105" s="310">
        <v>5</v>
      </c>
      <c r="F105" s="296">
        <f t="shared" si="8"/>
        <v>0</v>
      </c>
      <c r="G105" s="223">
        <f t="shared" si="9"/>
        <v>0</v>
      </c>
      <c r="H105" s="305">
        <v>37</v>
      </c>
      <c r="I105" s="310">
        <v>37</v>
      </c>
      <c r="J105" s="306">
        <f t="shared" si="10"/>
        <v>0</v>
      </c>
      <c r="K105" s="297">
        <f t="shared" si="11"/>
        <v>0</v>
      </c>
      <c r="L105" s="305">
        <v>4419</v>
      </c>
      <c r="M105" s="310">
        <v>4419</v>
      </c>
      <c r="N105" s="224">
        <f t="shared" si="12"/>
        <v>0</v>
      </c>
      <c r="O105" s="298">
        <f t="shared" si="13"/>
        <v>0</v>
      </c>
      <c r="P105" s="307">
        <f t="shared" si="14"/>
        <v>11.216845883569139</v>
      </c>
      <c r="Q105" s="308">
        <v>11.3</v>
      </c>
      <c r="R105" s="301">
        <f t="shared" si="15"/>
        <v>-8.3154116430861791E-2</v>
      </c>
    </row>
    <row r="106" spans="1:18" x14ac:dyDescent="0.25">
      <c r="A106" s="302" t="s">
        <v>3258</v>
      </c>
      <c r="B106" s="303" t="s">
        <v>68</v>
      </c>
      <c r="C106" s="322">
        <v>1075566</v>
      </c>
      <c r="D106" s="305">
        <v>10</v>
      </c>
      <c r="E106" s="310">
        <v>9</v>
      </c>
      <c r="F106" s="296">
        <f t="shared" si="8"/>
        <v>1</v>
      </c>
      <c r="G106" s="223">
        <f t="shared" si="9"/>
        <v>0.1111111111111111</v>
      </c>
      <c r="H106" s="305">
        <v>66</v>
      </c>
      <c r="I106" s="310">
        <v>60</v>
      </c>
      <c r="J106" s="306">
        <f t="shared" si="10"/>
        <v>6</v>
      </c>
      <c r="K106" s="297">
        <f t="shared" si="11"/>
        <v>0.1</v>
      </c>
      <c r="L106" s="305">
        <v>7920</v>
      </c>
      <c r="M106" s="310">
        <v>7254</v>
      </c>
      <c r="N106" s="224">
        <f t="shared" si="12"/>
        <v>666</v>
      </c>
      <c r="O106" s="298">
        <f t="shared" si="13"/>
        <v>9.1811414392059559E-2</v>
      </c>
      <c r="P106" s="307">
        <f t="shared" si="14"/>
        <v>6.1363040482871343</v>
      </c>
      <c r="Q106" s="308">
        <v>5.6</v>
      </c>
      <c r="R106" s="301">
        <f t="shared" si="15"/>
        <v>0.53630404828713463</v>
      </c>
    </row>
    <row r="107" spans="1:18" x14ac:dyDescent="0.25">
      <c r="A107" s="302" t="s">
        <v>3258</v>
      </c>
      <c r="B107" s="303" t="s">
        <v>69</v>
      </c>
      <c r="C107" s="322">
        <v>497753</v>
      </c>
      <c r="D107" s="305">
        <v>8</v>
      </c>
      <c r="E107" s="310">
        <v>7</v>
      </c>
      <c r="F107" s="296">
        <f t="shared" si="8"/>
        <v>1</v>
      </c>
      <c r="G107" s="223">
        <f t="shared" si="9"/>
        <v>0.14285714285714285</v>
      </c>
      <c r="H107" s="305">
        <v>46</v>
      </c>
      <c r="I107" s="310">
        <v>39</v>
      </c>
      <c r="J107" s="306">
        <f t="shared" si="10"/>
        <v>7</v>
      </c>
      <c r="K107" s="297">
        <f t="shared" si="11"/>
        <v>0.17948717948717949</v>
      </c>
      <c r="L107" s="305">
        <v>6403</v>
      </c>
      <c r="M107" s="310">
        <v>5479</v>
      </c>
      <c r="N107" s="224">
        <f t="shared" si="12"/>
        <v>924</v>
      </c>
      <c r="O107" s="298">
        <f t="shared" si="13"/>
        <v>0.16864391312283264</v>
      </c>
      <c r="P107" s="307">
        <f t="shared" si="14"/>
        <v>9.2415314423017048</v>
      </c>
      <c r="Q107" s="308">
        <v>7.9</v>
      </c>
      <c r="R107" s="301">
        <f t="shared" si="15"/>
        <v>1.3415314423017044</v>
      </c>
    </row>
    <row r="108" spans="1:18" x14ac:dyDescent="0.25">
      <c r="A108" s="302" t="s">
        <v>3258</v>
      </c>
      <c r="B108" s="303" t="s">
        <v>70</v>
      </c>
      <c r="C108" s="322">
        <v>222098</v>
      </c>
      <c r="D108" s="305">
        <v>1</v>
      </c>
      <c r="E108" s="310">
        <v>1</v>
      </c>
      <c r="F108" s="296">
        <f t="shared" si="8"/>
        <v>0</v>
      </c>
      <c r="G108" s="223">
        <f t="shared" si="9"/>
        <v>0</v>
      </c>
      <c r="H108" s="305">
        <v>10</v>
      </c>
      <c r="I108" s="310">
        <v>10</v>
      </c>
      <c r="J108" s="306">
        <f t="shared" si="10"/>
        <v>0</v>
      </c>
      <c r="K108" s="297">
        <f t="shared" si="11"/>
        <v>0</v>
      </c>
      <c r="L108" s="305">
        <v>1143</v>
      </c>
      <c r="M108" s="310">
        <v>1143</v>
      </c>
      <c r="N108" s="224">
        <f t="shared" si="12"/>
        <v>0</v>
      </c>
      <c r="O108" s="298">
        <f t="shared" si="13"/>
        <v>0</v>
      </c>
      <c r="P108" s="307">
        <f t="shared" si="14"/>
        <v>4.5025169069509854</v>
      </c>
      <c r="Q108" s="308">
        <v>4.5</v>
      </c>
      <c r="R108" s="301">
        <f t="shared" si="15"/>
        <v>2.516906950985387E-3</v>
      </c>
    </row>
    <row r="109" spans="1:18" x14ac:dyDescent="0.25">
      <c r="A109" s="302" t="s">
        <v>3258</v>
      </c>
      <c r="B109" s="303" t="s">
        <v>71</v>
      </c>
      <c r="C109" s="322">
        <v>189034</v>
      </c>
      <c r="D109" s="305">
        <v>3</v>
      </c>
      <c r="E109" s="310">
        <v>3</v>
      </c>
      <c r="F109" s="296">
        <f t="shared" si="8"/>
        <v>0</v>
      </c>
      <c r="G109" s="223">
        <f t="shared" si="9"/>
        <v>0</v>
      </c>
      <c r="H109" s="305">
        <v>17</v>
      </c>
      <c r="I109" s="310">
        <v>17</v>
      </c>
      <c r="J109" s="306">
        <f t="shared" si="10"/>
        <v>0</v>
      </c>
      <c r="K109" s="297">
        <f t="shared" si="11"/>
        <v>0</v>
      </c>
      <c r="L109" s="305">
        <v>2421</v>
      </c>
      <c r="M109" s="310">
        <v>2421</v>
      </c>
      <c r="N109" s="224">
        <f t="shared" si="12"/>
        <v>0</v>
      </c>
      <c r="O109" s="298">
        <f t="shared" si="13"/>
        <v>0</v>
      </c>
      <c r="P109" s="307">
        <f t="shared" si="14"/>
        <v>8.9930911899446659</v>
      </c>
      <c r="Q109" s="308">
        <v>9</v>
      </c>
      <c r="R109" s="301">
        <f t="shared" si="15"/>
        <v>-6.9088100553340581E-3</v>
      </c>
    </row>
    <row r="110" spans="1:18" x14ac:dyDescent="0.25">
      <c r="A110" s="302" t="s">
        <v>3258</v>
      </c>
      <c r="B110" s="303" t="s">
        <v>72</v>
      </c>
      <c r="C110" s="322">
        <v>486172</v>
      </c>
      <c r="D110" s="305">
        <v>5</v>
      </c>
      <c r="E110" s="310">
        <v>4</v>
      </c>
      <c r="F110" s="296">
        <f t="shared" si="8"/>
        <v>1</v>
      </c>
      <c r="G110" s="223">
        <f t="shared" si="9"/>
        <v>0.25</v>
      </c>
      <c r="H110" s="305">
        <v>21</v>
      </c>
      <c r="I110" s="310">
        <v>19</v>
      </c>
      <c r="J110" s="306">
        <f t="shared" si="10"/>
        <v>2</v>
      </c>
      <c r="K110" s="297">
        <f t="shared" si="11"/>
        <v>0.10526315789473684</v>
      </c>
      <c r="L110" s="305">
        <v>2530</v>
      </c>
      <c r="M110" s="310">
        <v>2420</v>
      </c>
      <c r="N110" s="224">
        <f t="shared" si="12"/>
        <v>110</v>
      </c>
      <c r="O110" s="298">
        <f t="shared" si="13"/>
        <v>4.5454545454545456E-2</v>
      </c>
      <c r="P110" s="307">
        <f t="shared" si="14"/>
        <v>4.3194589569123689</v>
      </c>
      <c r="Q110" s="308">
        <v>3.9</v>
      </c>
      <c r="R110" s="301">
        <f t="shared" si="15"/>
        <v>0.41945895691236901</v>
      </c>
    </row>
    <row r="111" spans="1:18" x14ac:dyDescent="0.25">
      <c r="A111" s="302" t="s">
        <v>3258</v>
      </c>
      <c r="B111" s="303" t="s">
        <v>73</v>
      </c>
      <c r="C111" s="322">
        <v>944342</v>
      </c>
      <c r="D111" s="305">
        <v>12</v>
      </c>
      <c r="E111" s="310">
        <v>10</v>
      </c>
      <c r="F111" s="296">
        <f t="shared" si="8"/>
        <v>2</v>
      </c>
      <c r="G111" s="223">
        <f t="shared" si="9"/>
        <v>0.2</v>
      </c>
      <c r="H111" s="305">
        <v>68</v>
      </c>
      <c r="I111" s="310">
        <v>56</v>
      </c>
      <c r="J111" s="306">
        <f t="shared" si="10"/>
        <v>12</v>
      </c>
      <c r="K111" s="297">
        <f t="shared" si="11"/>
        <v>0.21428571428571427</v>
      </c>
      <c r="L111" s="305">
        <v>8075</v>
      </c>
      <c r="M111" s="310">
        <v>7292</v>
      </c>
      <c r="N111" s="224">
        <f t="shared" si="12"/>
        <v>783</v>
      </c>
      <c r="O111" s="298">
        <f t="shared" si="13"/>
        <v>0.1073779484366429</v>
      </c>
      <c r="P111" s="307">
        <f t="shared" si="14"/>
        <v>7.2007810729587378</v>
      </c>
      <c r="Q111" s="308">
        <v>6.1</v>
      </c>
      <c r="R111" s="301">
        <f t="shared" si="15"/>
        <v>1.1007810729587382</v>
      </c>
    </row>
    <row r="112" spans="1:18" x14ac:dyDescent="0.25">
      <c r="A112" s="302" t="s">
        <v>3258</v>
      </c>
      <c r="B112" s="303" t="s">
        <v>74</v>
      </c>
      <c r="C112" s="322">
        <v>391377</v>
      </c>
      <c r="D112" s="305">
        <v>2</v>
      </c>
      <c r="E112" s="310">
        <v>2</v>
      </c>
      <c r="F112" s="296">
        <f t="shared" si="8"/>
        <v>0</v>
      </c>
      <c r="G112" s="223">
        <f t="shared" si="9"/>
        <v>0</v>
      </c>
      <c r="H112" s="305">
        <v>11</v>
      </c>
      <c r="I112" s="310">
        <v>11</v>
      </c>
      <c r="J112" s="306">
        <f t="shared" si="10"/>
        <v>0</v>
      </c>
      <c r="K112" s="297">
        <f t="shared" si="11"/>
        <v>0</v>
      </c>
      <c r="L112" s="305">
        <v>1433</v>
      </c>
      <c r="M112" s="310">
        <v>1433</v>
      </c>
      <c r="N112" s="224">
        <f t="shared" si="12"/>
        <v>0</v>
      </c>
      <c r="O112" s="298">
        <f t="shared" si="13"/>
        <v>0</v>
      </c>
      <c r="P112" s="307">
        <f t="shared" si="14"/>
        <v>2.8105892783684272</v>
      </c>
      <c r="Q112" s="308">
        <v>2.8</v>
      </c>
      <c r="R112" s="301">
        <f t="shared" si="15"/>
        <v>1.0589278368427379E-2</v>
      </c>
    </row>
    <row r="113" spans="1:18" x14ac:dyDescent="0.25">
      <c r="A113" s="302" t="s">
        <v>3258</v>
      </c>
      <c r="B113" s="303" t="s">
        <v>75</v>
      </c>
      <c r="C113" s="322">
        <v>268026</v>
      </c>
      <c r="D113" s="305">
        <v>2</v>
      </c>
      <c r="E113" s="310">
        <v>2</v>
      </c>
      <c r="F113" s="296">
        <f t="shared" si="8"/>
        <v>0</v>
      </c>
      <c r="G113" s="223">
        <f t="shared" si="9"/>
        <v>0</v>
      </c>
      <c r="H113" s="305">
        <v>11</v>
      </c>
      <c r="I113" s="310">
        <v>11</v>
      </c>
      <c r="J113" s="306">
        <f t="shared" si="10"/>
        <v>0</v>
      </c>
      <c r="K113" s="297">
        <f t="shared" si="11"/>
        <v>0</v>
      </c>
      <c r="L113" s="305">
        <v>1062</v>
      </c>
      <c r="M113" s="310">
        <v>1062</v>
      </c>
      <c r="N113" s="224">
        <f t="shared" si="12"/>
        <v>0</v>
      </c>
      <c r="O113" s="298">
        <f t="shared" si="13"/>
        <v>0</v>
      </c>
      <c r="P113" s="307">
        <f t="shared" si="14"/>
        <v>4.1040794549782484</v>
      </c>
      <c r="Q113" s="308">
        <v>4.5</v>
      </c>
      <c r="R113" s="301">
        <f t="shared" si="15"/>
        <v>-0.39592054502175156</v>
      </c>
    </row>
    <row r="114" spans="1:18" x14ac:dyDescent="0.25">
      <c r="A114" s="302" t="s">
        <v>3258</v>
      </c>
      <c r="B114" s="303" t="s">
        <v>3278</v>
      </c>
      <c r="C114" s="322">
        <v>143323</v>
      </c>
      <c r="D114" s="305">
        <v>2</v>
      </c>
      <c r="E114" s="310">
        <v>2</v>
      </c>
      <c r="F114" s="296">
        <f t="shared" si="8"/>
        <v>0</v>
      </c>
      <c r="G114" s="223">
        <f t="shared" si="9"/>
        <v>0</v>
      </c>
      <c r="H114" s="305">
        <v>7</v>
      </c>
      <c r="I114" s="310">
        <v>7</v>
      </c>
      <c r="J114" s="306">
        <f t="shared" si="10"/>
        <v>0</v>
      </c>
      <c r="K114" s="297">
        <f t="shared" si="11"/>
        <v>0</v>
      </c>
      <c r="L114" s="305">
        <v>513</v>
      </c>
      <c r="M114" s="310">
        <v>513</v>
      </c>
      <c r="N114" s="224">
        <f t="shared" si="12"/>
        <v>0</v>
      </c>
      <c r="O114" s="298">
        <f t="shared" si="13"/>
        <v>0</v>
      </c>
      <c r="P114" s="307">
        <f t="shared" si="14"/>
        <v>4.884073037823657</v>
      </c>
      <c r="Q114" s="308">
        <v>4.8</v>
      </c>
      <c r="R114" s="301">
        <f t="shared" si="15"/>
        <v>8.407303782365716E-2</v>
      </c>
    </row>
    <row r="115" spans="1:18" x14ac:dyDescent="0.25">
      <c r="A115" s="302" t="s">
        <v>3258</v>
      </c>
      <c r="B115" s="303" t="s">
        <v>3279</v>
      </c>
      <c r="C115" s="322">
        <v>114412</v>
      </c>
      <c r="D115" s="305">
        <v>0</v>
      </c>
      <c r="E115" s="310">
        <v>0</v>
      </c>
      <c r="F115" s="296">
        <f t="shared" si="8"/>
        <v>0</v>
      </c>
      <c r="G115" s="314" t="s">
        <v>3269</v>
      </c>
      <c r="H115" s="305">
        <v>0</v>
      </c>
      <c r="I115" s="310">
        <v>0</v>
      </c>
      <c r="J115" s="306">
        <f t="shared" si="10"/>
        <v>0</v>
      </c>
      <c r="K115" s="315" t="s">
        <v>3269</v>
      </c>
      <c r="L115" s="305">
        <v>0</v>
      </c>
      <c r="M115" s="310">
        <v>0</v>
      </c>
      <c r="N115" s="224">
        <f t="shared" si="12"/>
        <v>0</v>
      </c>
      <c r="O115" s="298" t="s">
        <v>3261</v>
      </c>
      <c r="P115" s="307">
        <f t="shared" si="14"/>
        <v>0</v>
      </c>
      <c r="Q115" s="308">
        <v>0</v>
      </c>
      <c r="R115" s="301">
        <f t="shared" si="15"/>
        <v>0</v>
      </c>
    </row>
    <row r="116" spans="1:18" x14ac:dyDescent="0.25">
      <c r="A116" s="302" t="s">
        <v>3258</v>
      </c>
      <c r="B116" s="303" t="s">
        <v>3280</v>
      </c>
      <c r="C116" s="322">
        <v>41584</v>
      </c>
      <c r="D116" s="305">
        <v>0</v>
      </c>
      <c r="E116" s="310">
        <v>0</v>
      </c>
      <c r="F116" s="296">
        <f t="shared" si="8"/>
        <v>0</v>
      </c>
      <c r="G116" s="314" t="s">
        <v>3269</v>
      </c>
      <c r="H116" s="305">
        <v>0</v>
      </c>
      <c r="I116" s="310">
        <v>0</v>
      </c>
      <c r="J116" s="306">
        <f t="shared" si="10"/>
        <v>0</v>
      </c>
      <c r="K116" s="315" t="s">
        <v>3261</v>
      </c>
      <c r="L116" s="305">
        <v>0</v>
      </c>
      <c r="M116" s="310">
        <v>0</v>
      </c>
      <c r="N116" s="224">
        <f t="shared" si="12"/>
        <v>0</v>
      </c>
      <c r="O116" s="298" t="s">
        <v>3269</v>
      </c>
      <c r="P116" s="307">
        <f t="shared" si="14"/>
        <v>0</v>
      </c>
      <c r="Q116" s="308">
        <v>0</v>
      </c>
      <c r="R116" s="301">
        <f t="shared" si="15"/>
        <v>0</v>
      </c>
    </row>
    <row r="117" spans="1:18" x14ac:dyDescent="0.25">
      <c r="A117" s="302" t="s">
        <v>3258</v>
      </c>
      <c r="B117" s="303" t="s">
        <v>3281</v>
      </c>
      <c r="C117" s="322">
        <v>62302</v>
      </c>
      <c r="D117" s="305">
        <v>2</v>
      </c>
      <c r="E117" s="310">
        <v>2</v>
      </c>
      <c r="F117" s="296">
        <f t="shared" si="8"/>
        <v>0</v>
      </c>
      <c r="G117" s="223">
        <f t="shared" si="9"/>
        <v>0</v>
      </c>
      <c r="H117" s="316">
        <v>4</v>
      </c>
      <c r="I117" s="312">
        <v>4</v>
      </c>
      <c r="J117" s="317">
        <f t="shared" si="10"/>
        <v>0</v>
      </c>
      <c r="K117" s="297">
        <f t="shared" si="11"/>
        <v>0</v>
      </c>
      <c r="L117" s="316">
        <v>235</v>
      </c>
      <c r="M117" s="312">
        <v>235</v>
      </c>
      <c r="N117" s="295">
        <f t="shared" si="12"/>
        <v>0</v>
      </c>
      <c r="O117" s="298">
        <f t="shared" si="13"/>
        <v>0</v>
      </c>
      <c r="P117" s="307">
        <f t="shared" si="14"/>
        <v>6.4203396359667426</v>
      </c>
      <c r="Q117" s="308">
        <v>6.4</v>
      </c>
      <c r="R117" s="301">
        <f t="shared" si="15"/>
        <v>2.0339635966742264E-2</v>
      </c>
    </row>
    <row r="118" spans="1:18" x14ac:dyDescent="0.25">
      <c r="A118" s="302" t="s">
        <v>3258</v>
      </c>
      <c r="B118" s="303" t="s">
        <v>76</v>
      </c>
      <c r="C118" s="322">
        <v>125238</v>
      </c>
      <c r="D118" s="305">
        <v>1</v>
      </c>
      <c r="E118" s="310">
        <v>1</v>
      </c>
      <c r="F118" s="296">
        <f t="shared" si="8"/>
        <v>0</v>
      </c>
      <c r="G118" s="223">
        <f t="shared" si="9"/>
        <v>0</v>
      </c>
      <c r="H118" s="305">
        <v>1</v>
      </c>
      <c r="I118" s="310">
        <v>1</v>
      </c>
      <c r="J118" s="306">
        <f t="shared" si="10"/>
        <v>0</v>
      </c>
      <c r="K118" s="297">
        <f t="shared" si="11"/>
        <v>0</v>
      </c>
      <c r="L118" s="305">
        <v>152</v>
      </c>
      <c r="M118" s="310">
        <v>152</v>
      </c>
      <c r="N118" s="224">
        <f t="shared" si="12"/>
        <v>0</v>
      </c>
      <c r="O118" s="298">
        <f t="shared" si="13"/>
        <v>0</v>
      </c>
      <c r="P118" s="307">
        <f t="shared" si="14"/>
        <v>0.79847969466136481</v>
      </c>
      <c r="Q118" s="308">
        <v>0.8</v>
      </c>
      <c r="R118" s="301">
        <f t="shared" si="15"/>
        <v>-1.5203053386352305E-3</v>
      </c>
    </row>
    <row r="119" spans="1:18" x14ac:dyDescent="0.25">
      <c r="A119" s="291" t="s">
        <v>77</v>
      </c>
      <c r="B119" s="292" t="s">
        <v>3256</v>
      </c>
      <c r="C119" s="318">
        <v>1527807</v>
      </c>
      <c r="D119" s="294">
        <f>SUM(D120:D137)</f>
        <v>27</v>
      </c>
      <c r="E119" s="312">
        <f>SUM(E120:E137)</f>
        <v>28</v>
      </c>
      <c r="F119" s="296">
        <f t="shared" si="8"/>
        <v>-1</v>
      </c>
      <c r="G119" s="223">
        <f t="shared" si="9"/>
        <v>-3.5714285714285712E-2</v>
      </c>
      <c r="H119" s="294">
        <f>SUM(H120:H137)</f>
        <v>116</v>
      </c>
      <c r="I119" s="312">
        <f>SUM(I120:I137)</f>
        <v>127</v>
      </c>
      <c r="J119" s="306">
        <f t="shared" si="10"/>
        <v>-11</v>
      </c>
      <c r="K119" s="297">
        <f t="shared" si="11"/>
        <v>-8.6614173228346455E-2</v>
      </c>
      <c r="L119" s="294">
        <f>SUM(L120:L137)</f>
        <v>13668</v>
      </c>
      <c r="M119" s="312">
        <f>SUM(M120:M137)</f>
        <v>14980</v>
      </c>
      <c r="N119" s="224">
        <f t="shared" si="12"/>
        <v>-1312</v>
      </c>
      <c r="O119" s="298">
        <f t="shared" si="13"/>
        <v>-8.7583444592790383E-2</v>
      </c>
      <c r="P119" s="299">
        <f t="shared" si="14"/>
        <v>7.5925820473397492</v>
      </c>
      <c r="Q119" s="300">
        <v>8.3000000000000007</v>
      </c>
      <c r="R119" s="301">
        <f t="shared" si="15"/>
        <v>-0.70741795266025154</v>
      </c>
    </row>
    <row r="120" spans="1:18" x14ac:dyDescent="0.25">
      <c r="A120" s="302" t="s">
        <v>3258</v>
      </c>
      <c r="B120" s="303" t="s">
        <v>78</v>
      </c>
      <c r="C120" s="319">
        <v>286426</v>
      </c>
      <c r="D120" s="305">
        <v>4</v>
      </c>
      <c r="E120" s="310">
        <v>4</v>
      </c>
      <c r="F120" s="296">
        <f t="shared" si="8"/>
        <v>0</v>
      </c>
      <c r="G120" s="223">
        <f t="shared" si="9"/>
        <v>0</v>
      </c>
      <c r="H120" s="305">
        <v>31</v>
      </c>
      <c r="I120" s="310">
        <v>31</v>
      </c>
      <c r="J120" s="306">
        <f t="shared" si="10"/>
        <v>0</v>
      </c>
      <c r="K120" s="297">
        <f t="shared" si="11"/>
        <v>0</v>
      </c>
      <c r="L120" s="305">
        <v>4283</v>
      </c>
      <c r="M120" s="310">
        <v>4283</v>
      </c>
      <c r="N120" s="224">
        <f t="shared" si="12"/>
        <v>0</v>
      </c>
      <c r="O120" s="298">
        <f t="shared" si="13"/>
        <v>0</v>
      </c>
      <c r="P120" s="307">
        <f t="shared" si="14"/>
        <v>10.823039807838674</v>
      </c>
      <c r="Q120" s="308">
        <v>10.8</v>
      </c>
      <c r="R120" s="301">
        <f t="shared" si="15"/>
        <v>2.3039807838673099E-2</v>
      </c>
    </row>
    <row r="121" spans="1:18" x14ac:dyDescent="0.25">
      <c r="A121" s="302" t="s">
        <v>3258</v>
      </c>
      <c r="B121" s="303" t="s">
        <v>79</v>
      </c>
      <c r="C121" s="319">
        <v>361503</v>
      </c>
      <c r="D121" s="305">
        <v>4</v>
      </c>
      <c r="E121" s="310">
        <v>5</v>
      </c>
      <c r="F121" s="296">
        <f t="shared" si="8"/>
        <v>-1</v>
      </c>
      <c r="G121" s="223">
        <f t="shared" si="9"/>
        <v>-0.2</v>
      </c>
      <c r="H121" s="305">
        <v>34</v>
      </c>
      <c r="I121" s="310">
        <v>42</v>
      </c>
      <c r="J121" s="306">
        <f t="shared" si="10"/>
        <v>-8</v>
      </c>
      <c r="K121" s="297">
        <f t="shared" si="11"/>
        <v>-0.19047619047619047</v>
      </c>
      <c r="L121" s="305">
        <v>4386</v>
      </c>
      <c r="M121" s="310">
        <v>5277</v>
      </c>
      <c r="N121" s="224">
        <f t="shared" si="12"/>
        <v>-891</v>
      </c>
      <c r="O121" s="298">
        <f t="shared" si="13"/>
        <v>-0.16884593519044913</v>
      </c>
      <c r="P121" s="307">
        <f t="shared" si="14"/>
        <v>9.4051778270166508</v>
      </c>
      <c r="Q121" s="308">
        <v>11.6</v>
      </c>
      <c r="R121" s="301">
        <f t="shared" si="15"/>
        <v>-2.1948221729833488</v>
      </c>
    </row>
    <row r="122" spans="1:18" x14ac:dyDescent="0.25">
      <c r="A122" s="302" t="s">
        <v>3258</v>
      </c>
      <c r="B122" s="303" t="s">
        <v>80</v>
      </c>
      <c r="C122" s="319">
        <v>209439</v>
      </c>
      <c r="D122" s="305">
        <v>2</v>
      </c>
      <c r="E122" s="310">
        <v>2</v>
      </c>
      <c r="F122" s="296">
        <f t="shared" si="8"/>
        <v>0</v>
      </c>
      <c r="G122" s="223">
        <f t="shared" si="9"/>
        <v>0</v>
      </c>
      <c r="H122" s="305">
        <v>9</v>
      </c>
      <c r="I122" s="310">
        <v>9</v>
      </c>
      <c r="J122" s="306">
        <f t="shared" si="10"/>
        <v>0</v>
      </c>
      <c r="K122" s="297">
        <f t="shared" si="11"/>
        <v>0</v>
      </c>
      <c r="L122" s="305">
        <v>1507</v>
      </c>
      <c r="M122" s="310">
        <v>1507</v>
      </c>
      <c r="N122" s="224">
        <f t="shared" si="12"/>
        <v>0</v>
      </c>
      <c r="O122" s="298">
        <f t="shared" si="13"/>
        <v>0</v>
      </c>
      <c r="P122" s="307">
        <f t="shared" si="14"/>
        <v>4.297193932362168</v>
      </c>
      <c r="Q122" s="308">
        <v>4.3</v>
      </c>
      <c r="R122" s="301">
        <f t="shared" si="15"/>
        <v>-2.8060676378318661E-3</v>
      </c>
    </row>
    <row r="123" spans="1:18" x14ac:dyDescent="0.25">
      <c r="A123" s="302" t="s">
        <v>3258</v>
      </c>
      <c r="B123" s="303" t="s">
        <v>81</v>
      </c>
      <c r="C123" s="319">
        <v>88625</v>
      </c>
      <c r="D123" s="305">
        <v>1</v>
      </c>
      <c r="E123" s="310">
        <v>1</v>
      </c>
      <c r="F123" s="296">
        <f t="shared" si="8"/>
        <v>0</v>
      </c>
      <c r="G123" s="223">
        <f t="shared" si="9"/>
        <v>0</v>
      </c>
      <c r="H123" s="305">
        <v>5</v>
      </c>
      <c r="I123" s="310">
        <v>5</v>
      </c>
      <c r="J123" s="306">
        <f t="shared" si="10"/>
        <v>0</v>
      </c>
      <c r="K123" s="297">
        <f t="shared" si="11"/>
        <v>0</v>
      </c>
      <c r="L123" s="305">
        <v>719</v>
      </c>
      <c r="M123" s="310">
        <v>719</v>
      </c>
      <c r="N123" s="224">
        <f t="shared" si="12"/>
        <v>0</v>
      </c>
      <c r="O123" s="298">
        <f t="shared" si="13"/>
        <v>0</v>
      </c>
      <c r="P123" s="307">
        <f t="shared" si="14"/>
        <v>5.6417489421720735</v>
      </c>
      <c r="Q123" s="308">
        <v>5.6</v>
      </c>
      <c r="R123" s="301">
        <f t="shared" si="15"/>
        <v>4.1748942172073811E-2</v>
      </c>
    </row>
    <row r="124" spans="1:18" x14ac:dyDescent="0.25">
      <c r="A124" s="302" t="s">
        <v>3258</v>
      </c>
      <c r="B124" s="303" t="s">
        <v>3282</v>
      </c>
      <c r="C124" s="319">
        <v>38702</v>
      </c>
      <c r="D124" s="305">
        <v>0</v>
      </c>
      <c r="E124" s="310">
        <v>0</v>
      </c>
      <c r="F124" s="296">
        <f t="shared" si="8"/>
        <v>0</v>
      </c>
      <c r="G124" s="314" t="s">
        <v>3269</v>
      </c>
      <c r="H124" s="305">
        <v>0</v>
      </c>
      <c r="I124" s="310">
        <v>0</v>
      </c>
      <c r="J124" s="306">
        <f t="shared" si="10"/>
        <v>0</v>
      </c>
      <c r="K124" s="315" t="s">
        <v>3269</v>
      </c>
      <c r="L124" s="305">
        <v>0</v>
      </c>
      <c r="M124" s="310">
        <v>0</v>
      </c>
      <c r="N124" s="224">
        <f t="shared" si="12"/>
        <v>0</v>
      </c>
      <c r="O124" s="298" t="s">
        <v>3269</v>
      </c>
      <c r="P124" s="307">
        <f t="shared" si="14"/>
        <v>0</v>
      </c>
      <c r="Q124" s="308">
        <v>0</v>
      </c>
      <c r="R124" s="301">
        <f t="shared" si="15"/>
        <v>0</v>
      </c>
    </row>
    <row r="125" spans="1:18" x14ac:dyDescent="0.25">
      <c r="A125" s="302" t="s">
        <v>3258</v>
      </c>
      <c r="B125" s="303" t="s">
        <v>82</v>
      </c>
      <c r="C125" s="319">
        <v>82054</v>
      </c>
      <c r="D125" s="305">
        <v>1</v>
      </c>
      <c r="E125" s="310">
        <v>2</v>
      </c>
      <c r="F125" s="296">
        <f t="shared" si="8"/>
        <v>-1</v>
      </c>
      <c r="G125" s="223">
        <f t="shared" si="9"/>
        <v>-0.5</v>
      </c>
      <c r="H125" s="305">
        <v>5</v>
      </c>
      <c r="I125" s="310">
        <v>10</v>
      </c>
      <c r="J125" s="306">
        <f t="shared" si="10"/>
        <v>-5</v>
      </c>
      <c r="K125" s="297">
        <f t="shared" si="11"/>
        <v>-0.5</v>
      </c>
      <c r="L125" s="305">
        <v>585</v>
      </c>
      <c r="M125" s="310">
        <v>1101</v>
      </c>
      <c r="N125" s="224">
        <f t="shared" si="12"/>
        <v>-516</v>
      </c>
      <c r="O125" s="298">
        <f t="shared" si="13"/>
        <v>-0.46866485013623976</v>
      </c>
      <c r="P125" s="307">
        <f t="shared" si="14"/>
        <v>6.0935481512174912</v>
      </c>
      <c r="Q125" s="308">
        <v>12.1</v>
      </c>
      <c r="R125" s="301">
        <f t="shared" si="15"/>
        <v>-6.0064518487825085</v>
      </c>
    </row>
    <row r="126" spans="1:18" x14ac:dyDescent="0.25">
      <c r="A126" s="302" t="s">
        <v>3258</v>
      </c>
      <c r="B126" s="303" t="s">
        <v>3283</v>
      </c>
      <c r="C126" s="319">
        <v>62651</v>
      </c>
      <c r="D126" s="305">
        <v>1</v>
      </c>
      <c r="E126" s="310">
        <v>1</v>
      </c>
      <c r="F126" s="296">
        <f t="shared" si="8"/>
        <v>0</v>
      </c>
      <c r="G126" s="223">
        <f t="shared" si="9"/>
        <v>0</v>
      </c>
      <c r="H126" s="316">
        <v>3</v>
      </c>
      <c r="I126" s="312">
        <v>3</v>
      </c>
      <c r="J126" s="317">
        <f t="shared" si="10"/>
        <v>0</v>
      </c>
      <c r="K126" s="297">
        <f t="shared" si="11"/>
        <v>0</v>
      </c>
      <c r="L126" s="316">
        <v>268</v>
      </c>
      <c r="M126" s="312">
        <v>268</v>
      </c>
      <c r="N126" s="295">
        <f t="shared" si="12"/>
        <v>0</v>
      </c>
      <c r="O126" s="298">
        <f t="shared" si="13"/>
        <v>0</v>
      </c>
      <c r="P126" s="307">
        <f t="shared" si="14"/>
        <v>4.7884311503407773</v>
      </c>
      <c r="Q126" s="308">
        <v>4.7</v>
      </c>
      <c r="R126" s="301">
        <f t="shared" si="15"/>
        <v>8.8431150340777087E-2</v>
      </c>
    </row>
    <row r="127" spans="1:18" x14ac:dyDescent="0.25">
      <c r="A127" s="302" t="s">
        <v>3258</v>
      </c>
      <c r="B127" s="303" t="s">
        <v>83</v>
      </c>
      <c r="C127" s="319">
        <v>67309</v>
      </c>
      <c r="D127" s="305">
        <v>1</v>
      </c>
      <c r="E127" s="310">
        <v>1</v>
      </c>
      <c r="F127" s="296">
        <f t="shared" si="8"/>
        <v>0</v>
      </c>
      <c r="G127" s="223">
        <f t="shared" si="9"/>
        <v>0</v>
      </c>
      <c r="H127" s="305">
        <v>2</v>
      </c>
      <c r="I127" s="310">
        <v>2</v>
      </c>
      <c r="J127" s="306">
        <f t="shared" si="10"/>
        <v>0</v>
      </c>
      <c r="K127" s="297">
        <f t="shared" si="11"/>
        <v>0</v>
      </c>
      <c r="L127" s="305">
        <v>98</v>
      </c>
      <c r="M127" s="310">
        <v>98</v>
      </c>
      <c r="N127" s="224">
        <f t="shared" si="12"/>
        <v>0</v>
      </c>
      <c r="O127" s="298">
        <f t="shared" si="13"/>
        <v>0</v>
      </c>
      <c r="P127" s="307">
        <f t="shared" si="14"/>
        <v>2.9713708419379281</v>
      </c>
      <c r="Q127" s="308">
        <v>2.9</v>
      </c>
      <c r="R127" s="301">
        <f t="shared" si="15"/>
        <v>7.1370841937928198E-2</v>
      </c>
    </row>
    <row r="128" spans="1:18" x14ac:dyDescent="0.25">
      <c r="A128" s="302" t="s">
        <v>3258</v>
      </c>
      <c r="B128" s="303" t="s">
        <v>84</v>
      </c>
      <c r="C128" s="319">
        <v>46359</v>
      </c>
      <c r="D128" s="305">
        <v>1</v>
      </c>
      <c r="E128" s="310">
        <v>1</v>
      </c>
      <c r="F128" s="296">
        <f t="shared" si="8"/>
        <v>0</v>
      </c>
      <c r="G128" s="223">
        <f t="shared" si="9"/>
        <v>0</v>
      </c>
      <c r="H128" s="305">
        <v>2</v>
      </c>
      <c r="I128" s="310">
        <v>2</v>
      </c>
      <c r="J128" s="306">
        <f t="shared" si="10"/>
        <v>0</v>
      </c>
      <c r="K128" s="297">
        <f t="shared" si="11"/>
        <v>0</v>
      </c>
      <c r="L128" s="305">
        <v>136</v>
      </c>
      <c r="M128" s="310">
        <v>136</v>
      </c>
      <c r="N128" s="224">
        <f t="shared" si="12"/>
        <v>0</v>
      </c>
      <c r="O128" s="298">
        <f t="shared" si="13"/>
        <v>0</v>
      </c>
      <c r="P128" s="307">
        <f t="shared" si="14"/>
        <v>4.3141569058866676</v>
      </c>
      <c r="Q128" s="308">
        <v>4.3</v>
      </c>
      <c r="R128" s="301">
        <f t="shared" si="15"/>
        <v>1.4156905886667737E-2</v>
      </c>
    </row>
    <row r="129" spans="1:18" x14ac:dyDescent="0.25">
      <c r="A129" s="302" t="s">
        <v>3258</v>
      </c>
      <c r="B129" s="303" t="s">
        <v>3284</v>
      </c>
      <c r="C129" s="319">
        <v>37332</v>
      </c>
      <c r="D129" s="305">
        <v>1</v>
      </c>
      <c r="E129" s="310">
        <v>1</v>
      </c>
      <c r="F129" s="296">
        <f t="shared" si="8"/>
        <v>0</v>
      </c>
      <c r="G129" s="223">
        <f t="shared" si="9"/>
        <v>0</v>
      </c>
      <c r="H129" s="316">
        <v>2</v>
      </c>
      <c r="I129" s="312">
        <v>2</v>
      </c>
      <c r="J129" s="317">
        <f t="shared" si="10"/>
        <v>0</v>
      </c>
      <c r="K129" s="297">
        <f t="shared" si="11"/>
        <v>0</v>
      </c>
      <c r="L129" s="316">
        <v>149</v>
      </c>
      <c r="M129" s="312">
        <v>149</v>
      </c>
      <c r="N129" s="295">
        <f t="shared" si="12"/>
        <v>0</v>
      </c>
      <c r="O129" s="298">
        <f t="shared" si="13"/>
        <v>0</v>
      </c>
      <c r="P129" s="307">
        <f t="shared" si="14"/>
        <v>5.3573341905068039</v>
      </c>
      <c r="Q129" s="308">
        <v>5.3</v>
      </c>
      <c r="R129" s="301">
        <f t="shared" si="15"/>
        <v>5.7334190506804106E-2</v>
      </c>
    </row>
    <row r="130" spans="1:18" x14ac:dyDescent="0.25">
      <c r="A130" s="302" t="s">
        <v>3258</v>
      </c>
      <c r="B130" s="303" t="s">
        <v>85</v>
      </c>
      <c r="C130" s="319">
        <v>40659</v>
      </c>
      <c r="D130" s="305">
        <v>1</v>
      </c>
      <c r="E130" s="310">
        <v>1</v>
      </c>
      <c r="F130" s="296">
        <f t="shared" si="8"/>
        <v>0</v>
      </c>
      <c r="G130" s="223">
        <f t="shared" si="9"/>
        <v>0</v>
      </c>
      <c r="H130" s="305">
        <v>2</v>
      </c>
      <c r="I130" s="310">
        <v>2</v>
      </c>
      <c r="J130" s="306">
        <f t="shared" si="10"/>
        <v>0</v>
      </c>
      <c r="K130" s="297">
        <f t="shared" si="11"/>
        <v>0</v>
      </c>
      <c r="L130" s="305">
        <v>99</v>
      </c>
      <c r="M130" s="310">
        <v>99</v>
      </c>
      <c r="N130" s="224">
        <f t="shared" si="12"/>
        <v>0</v>
      </c>
      <c r="O130" s="298">
        <f t="shared" si="13"/>
        <v>0</v>
      </c>
      <c r="P130" s="307">
        <f t="shared" si="14"/>
        <v>4.9189601318281317</v>
      </c>
      <c r="Q130" s="308">
        <v>4.9000000000000004</v>
      </c>
      <c r="R130" s="301">
        <f t="shared" si="15"/>
        <v>1.8960131828131388E-2</v>
      </c>
    </row>
    <row r="131" spans="1:18" x14ac:dyDescent="0.25">
      <c r="A131" s="302" t="s">
        <v>3258</v>
      </c>
      <c r="B131" s="303" t="s">
        <v>3285</v>
      </c>
      <c r="C131" s="319">
        <v>34202</v>
      </c>
      <c r="D131" s="305">
        <v>2</v>
      </c>
      <c r="E131" s="310">
        <v>2</v>
      </c>
      <c r="F131" s="296">
        <f t="shared" si="8"/>
        <v>0</v>
      </c>
      <c r="G131" s="223">
        <f t="shared" si="9"/>
        <v>0</v>
      </c>
      <c r="H131" s="316">
        <v>4</v>
      </c>
      <c r="I131" s="312">
        <v>4</v>
      </c>
      <c r="J131" s="317">
        <f t="shared" si="10"/>
        <v>0</v>
      </c>
      <c r="K131" s="297">
        <f t="shared" si="11"/>
        <v>0</v>
      </c>
      <c r="L131" s="316">
        <v>214</v>
      </c>
      <c r="M131" s="312">
        <v>214</v>
      </c>
      <c r="N131" s="295">
        <f t="shared" si="12"/>
        <v>0</v>
      </c>
      <c r="O131" s="298">
        <f t="shared" si="13"/>
        <v>0</v>
      </c>
      <c r="P131" s="307">
        <f t="shared" si="14"/>
        <v>11.695222501608093</v>
      </c>
      <c r="Q131" s="308">
        <v>11.5</v>
      </c>
      <c r="R131" s="301">
        <f t="shared" si="15"/>
        <v>0.19522250160809307</v>
      </c>
    </row>
    <row r="132" spans="1:18" x14ac:dyDescent="0.25">
      <c r="A132" s="302" t="s">
        <v>3258</v>
      </c>
      <c r="B132" s="303" t="s">
        <v>3286</v>
      </c>
      <c r="C132" s="319">
        <v>41448</v>
      </c>
      <c r="D132" s="305">
        <v>1</v>
      </c>
      <c r="E132" s="310">
        <v>1</v>
      </c>
      <c r="F132" s="296">
        <f t="shared" si="8"/>
        <v>0</v>
      </c>
      <c r="G132" s="223">
        <f t="shared" si="9"/>
        <v>0</v>
      </c>
      <c r="H132" s="316">
        <v>3</v>
      </c>
      <c r="I132" s="312">
        <v>3</v>
      </c>
      <c r="J132" s="317">
        <f t="shared" si="10"/>
        <v>0</v>
      </c>
      <c r="K132" s="297">
        <f t="shared" si="11"/>
        <v>0</v>
      </c>
      <c r="L132" s="316">
        <v>228</v>
      </c>
      <c r="M132" s="312">
        <v>228</v>
      </c>
      <c r="N132" s="295">
        <f t="shared" si="12"/>
        <v>0</v>
      </c>
      <c r="O132" s="298">
        <f t="shared" si="13"/>
        <v>0</v>
      </c>
      <c r="P132" s="307">
        <f t="shared" si="14"/>
        <v>7.2379849449913136</v>
      </c>
      <c r="Q132" s="308">
        <v>7.1</v>
      </c>
      <c r="R132" s="301">
        <f t="shared" si="15"/>
        <v>0.13798494499131397</v>
      </c>
    </row>
    <row r="133" spans="1:18" x14ac:dyDescent="0.25">
      <c r="A133" s="302" t="s">
        <v>3258</v>
      </c>
      <c r="B133" s="303" t="s">
        <v>3287</v>
      </c>
      <c r="C133" s="319">
        <v>23007</v>
      </c>
      <c r="D133" s="305">
        <v>1</v>
      </c>
      <c r="E133" s="310">
        <v>1</v>
      </c>
      <c r="F133" s="296">
        <f t="shared" ref="F133:F196" si="16">D133-E133</f>
        <v>0</v>
      </c>
      <c r="G133" s="223">
        <f t="shared" si="9"/>
        <v>0</v>
      </c>
      <c r="H133" s="316">
        <v>3</v>
      </c>
      <c r="I133" s="312">
        <v>3</v>
      </c>
      <c r="J133" s="317">
        <f t="shared" ref="J133:J196" si="17">H133-I133</f>
        <v>0</v>
      </c>
      <c r="K133" s="297">
        <f t="shared" si="11"/>
        <v>0</v>
      </c>
      <c r="L133" s="316">
        <v>322</v>
      </c>
      <c r="M133" s="312">
        <v>322</v>
      </c>
      <c r="N133" s="295">
        <f t="shared" ref="N133:N196" si="18">L133-M133</f>
        <v>0</v>
      </c>
      <c r="O133" s="298">
        <f t="shared" si="13"/>
        <v>0</v>
      </c>
      <c r="P133" s="307">
        <f t="shared" ref="P133:P196" si="19">(H133/C133)*100000</f>
        <v>13.039509714434736</v>
      </c>
      <c r="Q133" s="308">
        <v>12.8</v>
      </c>
      <c r="R133" s="301">
        <f t="shared" ref="R133:R196" si="20">P133-Q133</f>
        <v>0.23950971443473534</v>
      </c>
    </row>
    <row r="134" spans="1:18" x14ac:dyDescent="0.25">
      <c r="A134" s="302" t="s">
        <v>3258</v>
      </c>
      <c r="B134" s="303" t="s">
        <v>3288</v>
      </c>
      <c r="C134" s="319">
        <v>21056</v>
      </c>
      <c r="D134" s="305">
        <v>1</v>
      </c>
      <c r="E134" s="310">
        <v>1</v>
      </c>
      <c r="F134" s="296">
        <f t="shared" si="16"/>
        <v>0</v>
      </c>
      <c r="G134" s="223">
        <f t="shared" si="9"/>
        <v>0</v>
      </c>
      <c r="H134" s="305">
        <v>2</v>
      </c>
      <c r="I134" s="310">
        <v>2</v>
      </c>
      <c r="J134" s="306">
        <f t="shared" si="17"/>
        <v>0</v>
      </c>
      <c r="K134" s="297">
        <f t="shared" si="11"/>
        <v>0</v>
      </c>
      <c r="L134" s="305">
        <v>201</v>
      </c>
      <c r="M134" s="310">
        <v>201</v>
      </c>
      <c r="N134" s="224">
        <f t="shared" si="18"/>
        <v>0</v>
      </c>
      <c r="O134" s="298">
        <f t="shared" si="13"/>
        <v>0</v>
      </c>
      <c r="P134" s="307">
        <f t="shared" si="19"/>
        <v>9.4984802431610937</v>
      </c>
      <c r="Q134" s="308">
        <v>9.4</v>
      </c>
      <c r="R134" s="301">
        <f t="shared" si="20"/>
        <v>9.8480243161093384E-2</v>
      </c>
    </row>
    <row r="135" spans="1:18" x14ac:dyDescent="0.25">
      <c r="A135" s="302" t="s">
        <v>3258</v>
      </c>
      <c r="B135" s="303" t="s">
        <v>3289</v>
      </c>
      <c r="C135" s="319">
        <v>32020</v>
      </c>
      <c r="D135" s="305">
        <v>3</v>
      </c>
      <c r="E135" s="310">
        <v>2</v>
      </c>
      <c r="F135" s="296">
        <f t="shared" si="16"/>
        <v>1</v>
      </c>
      <c r="G135" s="223">
        <f t="shared" si="9"/>
        <v>0.5</v>
      </c>
      <c r="H135" s="316">
        <v>5</v>
      </c>
      <c r="I135" s="312">
        <v>3</v>
      </c>
      <c r="J135" s="317">
        <f t="shared" si="17"/>
        <v>2</v>
      </c>
      <c r="K135" s="297">
        <f t="shared" si="11"/>
        <v>0.66666666666666663</v>
      </c>
      <c r="L135" s="316">
        <v>286</v>
      </c>
      <c r="M135" s="312">
        <v>191</v>
      </c>
      <c r="N135" s="295">
        <f t="shared" si="18"/>
        <v>95</v>
      </c>
      <c r="O135" s="298">
        <f t="shared" si="13"/>
        <v>0.49738219895287961</v>
      </c>
      <c r="P135" s="307">
        <f t="shared" si="19"/>
        <v>15.61524047470331</v>
      </c>
      <c r="Q135" s="308">
        <v>9.3000000000000007</v>
      </c>
      <c r="R135" s="301">
        <f t="shared" si="20"/>
        <v>6.3152404747033088</v>
      </c>
    </row>
    <row r="136" spans="1:18" x14ac:dyDescent="0.25">
      <c r="A136" s="302" t="s">
        <v>3258</v>
      </c>
      <c r="B136" s="303" t="s">
        <v>3290</v>
      </c>
      <c r="C136" s="319">
        <v>27305</v>
      </c>
      <c r="D136" s="305">
        <v>1</v>
      </c>
      <c r="E136" s="310">
        <v>1</v>
      </c>
      <c r="F136" s="296">
        <f t="shared" si="16"/>
        <v>0</v>
      </c>
      <c r="G136" s="223">
        <f t="shared" si="9"/>
        <v>0</v>
      </c>
      <c r="H136" s="305">
        <v>2</v>
      </c>
      <c r="I136" s="310">
        <v>2</v>
      </c>
      <c r="J136" s="306">
        <f t="shared" si="17"/>
        <v>0</v>
      </c>
      <c r="K136" s="297">
        <f t="shared" si="11"/>
        <v>0</v>
      </c>
      <c r="L136" s="305">
        <v>93</v>
      </c>
      <c r="M136" s="310">
        <v>93</v>
      </c>
      <c r="N136" s="224">
        <f t="shared" si="18"/>
        <v>0</v>
      </c>
      <c r="O136" s="298">
        <f t="shared" si="13"/>
        <v>0</v>
      </c>
      <c r="P136" s="307">
        <f t="shared" si="19"/>
        <v>7.3246658121223218</v>
      </c>
      <c r="Q136" s="308">
        <v>7.3</v>
      </c>
      <c r="R136" s="301">
        <f t="shared" si="20"/>
        <v>2.4665812122321995E-2</v>
      </c>
    </row>
    <row r="137" spans="1:18" x14ac:dyDescent="0.25">
      <c r="A137" s="302" t="s">
        <v>3258</v>
      </c>
      <c r="B137" s="303" t="s">
        <v>86</v>
      </c>
      <c r="C137" s="319">
        <v>27710</v>
      </c>
      <c r="D137" s="305">
        <v>1</v>
      </c>
      <c r="E137" s="310">
        <v>1</v>
      </c>
      <c r="F137" s="296">
        <f t="shared" si="16"/>
        <v>0</v>
      </c>
      <c r="G137" s="314">
        <f>F137/E137</f>
        <v>0</v>
      </c>
      <c r="H137" s="305">
        <v>2</v>
      </c>
      <c r="I137" s="310">
        <v>2</v>
      </c>
      <c r="J137" s="306">
        <f t="shared" si="17"/>
        <v>0</v>
      </c>
      <c r="K137" s="315">
        <f>J137/I137</f>
        <v>0</v>
      </c>
      <c r="L137" s="305">
        <v>94</v>
      </c>
      <c r="M137" s="310">
        <v>94</v>
      </c>
      <c r="N137" s="224">
        <f t="shared" si="18"/>
        <v>0</v>
      </c>
      <c r="O137" s="298">
        <f>N137/M137</f>
        <v>0</v>
      </c>
      <c r="P137" s="307">
        <f t="shared" si="19"/>
        <v>7.2176109707686749</v>
      </c>
      <c r="Q137" s="308">
        <v>7.2</v>
      </c>
      <c r="R137" s="301">
        <f t="shared" si="20"/>
        <v>1.7610970768674683E-2</v>
      </c>
    </row>
    <row r="138" spans="1:18" x14ac:dyDescent="0.25">
      <c r="A138" s="291" t="s">
        <v>87</v>
      </c>
      <c r="B138" s="292" t="s">
        <v>3256</v>
      </c>
      <c r="C138" s="318">
        <v>1593469</v>
      </c>
      <c r="D138" s="294">
        <f>SUM(D139:D149)</f>
        <v>20</v>
      </c>
      <c r="E138" s="312">
        <f>SUM(E139:E149)</f>
        <v>21</v>
      </c>
      <c r="F138" s="296">
        <f t="shared" si="16"/>
        <v>-1</v>
      </c>
      <c r="G138" s="223">
        <f t="shared" ref="G138:G196" si="21">F138/E138</f>
        <v>-4.7619047619047616E-2</v>
      </c>
      <c r="H138" s="294">
        <f>SUM(H139:H149)</f>
        <v>112</v>
      </c>
      <c r="I138" s="312">
        <f>SUM(I139:I149)</f>
        <v>119</v>
      </c>
      <c r="J138" s="306">
        <f t="shared" si="17"/>
        <v>-7</v>
      </c>
      <c r="K138" s="297">
        <f t="shared" ref="K138:K196" si="22">J138/I138</f>
        <v>-5.8823529411764705E-2</v>
      </c>
      <c r="L138" s="294">
        <f>SUM(L139:L149)</f>
        <v>14781</v>
      </c>
      <c r="M138" s="312">
        <f>SUM(M139:M149)</f>
        <v>15981</v>
      </c>
      <c r="N138" s="224">
        <f t="shared" si="18"/>
        <v>-1200</v>
      </c>
      <c r="O138" s="298">
        <f t="shared" ref="O138:O196" si="23">N138/M138</f>
        <v>-7.5089168387460103E-2</v>
      </c>
      <c r="P138" s="299">
        <f t="shared" si="19"/>
        <v>7.0286902349527978</v>
      </c>
      <c r="Q138" s="300">
        <v>7.5</v>
      </c>
      <c r="R138" s="301">
        <f t="shared" si="20"/>
        <v>-0.47130976504720223</v>
      </c>
    </row>
    <row r="139" spans="1:18" x14ac:dyDescent="0.25">
      <c r="A139" s="302" t="s">
        <v>3258</v>
      </c>
      <c r="B139" s="303" t="s">
        <v>88</v>
      </c>
      <c r="C139" s="309">
        <v>852189</v>
      </c>
      <c r="D139" s="305">
        <v>9</v>
      </c>
      <c r="E139" s="310">
        <v>9</v>
      </c>
      <c r="F139" s="296">
        <f t="shared" si="16"/>
        <v>0</v>
      </c>
      <c r="G139" s="223">
        <f t="shared" si="21"/>
        <v>0</v>
      </c>
      <c r="H139" s="305">
        <v>71</v>
      </c>
      <c r="I139" s="310">
        <v>71</v>
      </c>
      <c r="J139" s="306">
        <f t="shared" si="17"/>
        <v>0</v>
      </c>
      <c r="K139" s="297">
        <f t="shared" si="22"/>
        <v>0</v>
      </c>
      <c r="L139" s="305">
        <v>10572</v>
      </c>
      <c r="M139" s="310">
        <v>10572</v>
      </c>
      <c r="N139" s="224">
        <f t="shared" si="18"/>
        <v>0</v>
      </c>
      <c r="O139" s="298">
        <f t="shared" si="23"/>
        <v>0</v>
      </c>
      <c r="P139" s="307">
        <f t="shared" si="19"/>
        <v>8.3314851517679767</v>
      </c>
      <c r="Q139" s="308">
        <v>8.4</v>
      </c>
      <c r="R139" s="301">
        <f t="shared" si="20"/>
        <v>-6.8514848232023695E-2</v>
      </c>
    </row>
    <row r="140" spans="1:18" x14ac:dyDescent="0.25">
      <c r="A140" s="302" t="s">
        <v>3258</v>
      </c>
      <c r="B140" s="303" t="s">
        <v>89</v>
      </c>
      <c r="C140" s="322">
        <v>207778</v>
      </c>
      <c r="D140" s="305">
        <v>3</v>
      </c>
      <c r="E140" s="310">
        <v>3</v>
      </c>
      <c r="F140" s="296">
        <f t="shared" si="16"/>
        <v>0</v>
      </c>
      <c r="G140" s="223">
        <f t="shared" si="21"/>
        <v>0</v>
      </c>
      <c r="H140" s="305">
        <v>15</v>
      </c>
      <c r="I140" s="310">
        <v>15</v>
      </c>
      <c r="J140" s="306">
        <f t="shared" si="17"/>
        <v>0</v>
      </c>
      <c r="K140" s="297">
        <f t="shared" si="22"/>
        <v>0</v>
      </c>
      <c r="L140" s="305">
        <v>1787</v>
      </c>
      <c r="M140" s="310">
        <v>1787</v>
      </c>
      <c r="N140" s="224">
        <f t="shared" si="18"/>
        <v>0</v>
      </c>
      <c r="O140" s="298">
        <f t="shared" si="23"/>
        <v>0</v>
      </c>
      <c r="P140" s="307">
        <f t="shared" si="19"/>
        <v>7.2192436157822293</v>
      </c>
      <c r="Q140" s="308">
        <v>7.2</v>
      </c>
      <c r="R140" s="301">
        <f t="shared" si="20"/>
        <v>1.9243615782229107E-2</v>
      </c>
    </row>
    <row r="141" spans="1:18" x14ac:dyDescent="0.25">
      <c r="A141" s="302" t="s">
        <v>3258</v>
      </c>
      <c r="B141" s="303" t="s">
        <v>90</v>
      </c>
      <c r="C141" s="319">
        <v>130194</v>
      </c>
      <c r="D141" s="305">
        <v>1</v>
      </c>
      <c r="E141" s="310">
        <v>2</v>
      </c>
      <c r="F141" s="296">
        <f t="shared" si="16"/>
        <v>-1</v>
      </c>
      <c r="G141" s="223">
        <f t="shared" si="21"/>
        <v>-0.5</v>
      </c>
      <c r="H141" s="305">
        <v>6</v>
      </c>
      <c r="I141" s="310">
        <v>13</v>
      </c>
      <c r="J141" s="306">
        <f t="shared" si="17"/>
        <v>-7</v>
      </c>
      <c r="K141" s="297">
        <f t="shared" si="22"/>
        <v>-0.53846153846153844</v>
      </c>
      <c r="L141" s="305">
        <v>642</v>
      </c>
      <c r="M141" s="310">
        <v>1842</v>
      </c>
      <c r="N141" s="224">
        <f t="shared" si="18"/>
        <v>-1200</v>
      </c>
      <c r="O141" s="298">
        <f t="shared" si="23"/>
        <v>-0.65146579804560256</v>
      </c>
      <c r="P141" s="307">
        <f t="shared" si="19"/>
        <v>4.6085073044840774</v>
      </c>
      <c r="Q141" s="308">
        <v>9.9</v>
      </c>
      <c r="R141" s="301">
        <f t="shared" si="20"/>
        <v>-5.2914926955159229</v>
      </c>
    </row>
    <row r="142" spans="1:18" x14ac:dyDescent="0.25">
      <c r="A142" s="302" t="s">
        <v>3258</v>
      </c>
      <c r="B142" s="303" t="s">
        <v>3291</v>
      </c>
      <c r="C142" s="319">
        <v>31010</v>
      </c>
      <c r="D142" s="305">
        <v>1</v>
      </c>
      <c r="E142" s="310">
        <v>1</v>
      </c>
      <c r="F142" s="296">
        <f t="shared" si="16"/>
        <v>0</v>
      </c>
      <c r="G142" s="223">
        <f t="shared" si="21"/>
        <v>0</v>
      </c>
      <c r="H142" s="316">
        <v>2</v>
      </c>
      <c r="I142" s="312">
        <v>2</v>
      </c>
      <c r="J142" s="317">
        <f t="shared" si="17"/>
        <v>0</v>
      </c>
      <c r="K142" s="297">
        <f t="shared" si="22"/>
        <v>0</v>
      </c>
      <c r="L142" s="316">
        <v>91</v>
      </c>
      <c r="M142" s="312">
        <v>91</v>
      </c>
      <c r="N142" s="295">
        <f t="shared" si="18"/>
        <v>0</v>
      </c>
      <c r="O142" s="298">
        <f t="shared" si="23"/>
        <v>0</v>
      </c>
      <c r="P142" s="307">
        <f t="shared" si="19"/>
        <v>6.4495324089003541</v>
      </c>
      <c r="Q142" s="308">
        <v>6.4</v>
      </c>
      <c r="R142" s="301">
        <f t="shared" si="20"/>
        <v>4.9532408900353708E-2</v>
      </c>
    </row>
    <row r="143" spans="1:18" x14ac:dyDescent="0.25">
      <c r="A143" s="302" t="s">
        <v>3258</v>
      </c>
      <c r="B143" s="303" t="s">
        <v>3292</v>
      </c>
      <c r="C143" s="319">
        <v>48891</v>
      </c>
      <c r="D143" s="305">
        <v>1</v>
      </c>
      <c r="E143" s="310">
        <v>1</v>
      </c>
      <c r="F143" s="296">
        <f t="shared" si="16"/>
        <v>0</v>
      </c>
      <c r="G143" s="223">
        <f t="shared" si="21"/>
        <v>0</v>
      </c>
      <c r="H143" s="316">
        <v>2</v>
      </c>
      <c r="I143" s="312">
        <v>2</v>
      </c>
      <c r="J143" s="317">
        <f t="shared" si="17"/>
        <v>0</v>
      </c>
      <c r="K143" s="297">
        <f t="shared" si="22"/>
        <v>0</v>
      </c>
      <c r="L143" s="316">
        <v>95</v>
      </c>
      <c r="M143" s="312">
        <v>95</v>
      </c>
      <c r="N143" s="295">
        <f t="shared" si="18"/>
        <v>0</v>
      </c>
      <c r="O143" s="298">
        <f t="shared" si="23"/>
        <v>0</v>
      </c>
      <c r="P143" s="307">
        <f t="shared" si="19"/>
        <v>4.0907324456443925</v>
      </c>
      <c r="Q143" s="308">
        <v>4</v>
      </c>
      <c r="R143" s="301">
        <f t="shared" si="20"/>
        <v>9.0732445644392534E-2</v>
      </c>
    </row>
    <row r="144" spans="1:18" x14ac:dyDescent="0.25">
      <c r="A144" s="302" t="s">
        <v>3258</v>
      </c>
      <c r="B144" s="303" t="s">
        <v>3293</v>
      </c>
      <c r="C144" s="319">
        <v>44195</v>
      </c>
      <c r="D144" s="305">
        <v>1</v>
      </c>
      <c r="E144" s="310">
        <v>1</v>
      </c>
      <c r="F144" s="296">
        <f t="shared" si="16"/>
        <v>0</v>
      </c>
      <c r="G144" s="223">
        <f t="shared" si="21"/>
        <v>0</v>
      </c>
      <c r="H144" s="316">
        <v>2</v>
      </c>
      <c r="I144" s="312">
        <v>2</v>
      </c>
      <c r="J144" s="317">
        <f t="shared" si="17"/>
        <v>0</v>
      </c>
      <c r="K144" s="297">
        <f t="shared" si="22"/>
        <v>0</v>
      </c>
      <c r="L144" s="316">
        <v>97</v>
      </c>
      <c r="M144" s="312">
        <v>97</v>
      </c>
      <c r="N144" s="295">
        <f t="shared" si="18"/>
        <v>0</v>
      </c>
      <c r="O144" s="298">
        <f t="shared" si="23"/>
        <v>0</v>
      </c>
      <c r="P144" s="307">
        <f t="shared" si="19"/>
        <v>4.5253988007693176</v>
      </c>
      <c r="Q144" s="308">
        <v>4.4000000000000004</v>
      </c>
      <c r="R144" s="301">
        <f t="shared" si="20"/>
        <v>0.1253988007693172</v>
      </c>
    </row>
    <row r="145" spans="1:18" x14ac:dyDescent="0.25">
      <c r="A145" s="302" t="s">
        <v>3258</v>
      </c>
      <c r="B145" s="303" t="s">
        <v>3294</v>
      </c>
      <c r="C145" s="319">
        <v>37484</v>
      </c>
      <c r="D145" s="305">
        <v>0</v>
      </c>
      <c r="E145" s="310">
        <v>0</v>
      </c>
      <c r="F145" s="296">
        <f t="shared" si="16"/>
        <v>0</v>
      </c>
      <c r="G145" s="314" t="s">
        <v>3269</v>
      </c>
      <c r="H145" s="305">
        <v>0</v>
      </c>
      <c r="I145" s="310">
        <v>0</v>
      </c>
      <c r="J145" s="306">
        <f t="shared" si="17"/>
        <v>0</v>
      </c>
      <c r="K145" s="315" t="s">
        <v>3261</v>
      </c>
      <c r="L145" s="305">
        <v>0</v>
      </c>
      <c r="M145" s="310">
        <v>0</v>
      </c>
      <c r="N145" s="224">
        <f t="shared" si="18"/>
        <v>0</v>
      </c>
      <c r="O145" s="298" t="s">
        <v>3261</v>
      </c>
      <c r="P145" s="307">
        <f t="shared" si="19"/>
        <v>0</v>
      </c>
      <c r="Q145" s="308">
        <v>0</v>
      </c>
      <c r="R145" s="301">
        <f t="shared" si="20"/>
        <v>0</v>
      </c>
    </row>
    <row r="146" spans="1:18" x14ac:dyDescent="0.25">
      <c r="A146" s="302" t="s">
        <v>3258</v>
      </c>
      <c r="B146" s="303" t="s">
        <v>91</v>
      </c>
      <c r="C146" s="319">
        <v>86254</v>
      </c>
      <c r="D146" s="305">
        <v>1</v>
      </c>
      <c r="E146" s="310">
        <v>1</v>
      </c>
      <c r="F146" s="296">
        <f t="shared" si="16"/>
        <v>0</v>
      </c>
      <c r="G146" s="223">
        <f t="shared" si="21"/>
        <v>0</v>
      </c>
      <c r="H146" s="305">
        <v>4</v>
      </c>
      <c r="I146" s="310">
        <v>4</v>
      </c>
      <c r="J146" s="306">
        <f t="shared" si="17"/>
        <v>0</v>
      </c>
      <c r="K146" s="297">
        <f t="shared" si="22"/>
        <v>0</v>
      </c>
      <c r="L146" s="305">
        <v>372</v>
      </c>
      <c r="M146" s="310">
        <v>372</v>
      </c>
      <c r="N146" s="224">
        <f t="shared" si="18"/>
        <v>0</v>
      </c>
      <c r="O146" s="298">
        <f t="shared" si="23"/>
        <v>0</v>
      </c>
      <c r="P146" s="307">
        <f t="shared" si="19"/>
        <v>4.6374660885292283</v>
      </c>
      <c r="Q146" s="308">
        <v>4.5999999999999996</v>
      </c>
      <c r="R146" s="301">
        <f t="shared" si="20"/>
        <v>3.7466088529228614E-2</v>
      </c>
    </row>
    <row r="147" spans="1:18" x14ac:dyDescent="0.25">
      <c r="A147" s="302" t="s">
        <v>3258</v>
      </c>
      <c r="B147" s="303" t="s">
        <v>92</v>
      </c>
      <c r="C147" s="319">
        <v>36590</v>
      </c>
      <c r="D147" s="305">
        <v>1</v>
      </c>
      <c r="E147" s="310">
        <v>1</v>
      </c>
      <c r="F147" s="296">
        <f t="shared" si="16"/>
        <v>0</v>
      </c>
      <c r="G147" s="223">
        <f t="shared" si="21"/>
        <v>0</v>
      </c>
      <c r="H147" s="305">
        <v>3</v>
      </c>
      <c r="I147" s="310">
        <v>3</v>
      </c>
      <c r="J147" s="306">
        <f t="shared" si="17"/>
        <v>0</v>
      </c>
      <c r="K147" s="297">
        <f t="shared" si="22"/>
        <v>0</v>
      </c>
      <c r="L147" s="305">
        <v>234</v>
      </c>
      <c r="M147" s="310">
        <v>234</v>
      </c>
      <c r="N147" s="224">
        <f t="shared" si="18"/>
        <v>0</v>
      </c>
      <c r="O147" s="298">
        <f t="shared" si="23"/>
        <v>0</v>
      </c>
      <c r="P147" s="307">
        <f t="shared" si="19"/>
        <v>8.1989614648811155</v>
      </c>
      <c r="Q147" s="308">
        <v>8.1</v>
      </c>
      <c r="R147" s="301">
        <f t="shared" si="20"/>
        <v>9.8961464881115901E-2</v>
      </c>
    </row>
    <row r="148" spans="1:18" x14ac:dyDescent="0.25">
      <c r="A148" s="302" t="s">
        <v>3258</v>
      </c>
      <c r="B148" s="303" t="s">
        <v>93</v>
      </c>
      <c r="C148" s="319">
        <v>91183</v>
      </c>
      <c r="D148" s="305">
        <v>2</v>
      </c>
      <c r="E148" s="310">
        <v>2</v>
      </c>
      <c r="F148" s="296">
        <f t="shared" si="16"/>
        <v>0</v>
      </c>
      <c r="G148" s="223">
        <f t="shared" si="21"/>
        <v>0</v>
      </c>
      <c r="H148" s="305">
        <v>7</v>
      </c>
      <c r="I148" s="310">
        <v>7</v>
      </c>
      <c r="J148" s="306">
        <f t="shared" si="17"/>
        <v>0</v>
      </c>
      <c r="K148" s="297">
        <f t="shared" si="22"/>
        <v>0</v>
      </c>
      <c r="L148" s="305">
        <v>891</v>
      </c>
      <c r="M148" s="310">
        <v>891</v>
      </c>
      <c r="N148" s="224">
        <f t="shared" si="18"/>
        <v>0</v>
      </c>
      <c r="O148" s="298">
        <f t="shared" si="23"/>
        <v>0</v>
      </c>
      <c r="P148" s="307">
        <f t="shared" si="19"/>
        <v>7.6768695919195462</v>
      </c>
      <c r="Q148" s="308">
        <v>7.6</v>
      </c>
      <c r="R148" s="301">
        <f t="shared" si="20"/>
        <v>7.6869591919546565E-2</v>
      </c>
    </row>
    <row r="149" spans="1:18" x14ac:dyDescent="0.25">
      <c r="A149" s="302" t="s">
        <v>3258</v>
      </c>
      <c r="B149" s="303" t="s">
        <v>3295</v>
      </c>
      <c r="C149" s="319">
        <v>27701</v>
      </c>
      <c r="D149" s="305">
        <v>0</v>
      </c>
      <c r="E149" s="310">
        <v>0</v>
      </c>
      <c r="F149" s="296">
        <f t="shared" si="16"/>
        <v>0</v>
      </c>
      <c r="G149" s="314" t="s">
        <v>3269</v>
      </c>
      <c r="H149" s="305">
        <v>0</v>
      </c>
      <c r="I149" s="310">
        <v>0</v>
      </c>
      <c r="J149" s="306">
        <f t="shared" si="17"/>
        <v>0</v>
      </c>
      <c r="K149" s="315" t="s">
        <v>3269</v>
      </c>
      <c r="L149" s="305">
        <v>0</v>
      </c>
      <c r="M149" s="310">
        <v>0</v>
      </c>
      <c r="N149" s="224">
        <f t="shared" si="18"/>
        <v>0</v>
      </c>
      <c r="O149" s="298" t="s">
        <v>3261</v>
      </c>
      <c r="P149" s="307">
        <f t="shared" si="19"/>
        <v>0</v>
      </c>
      <c r="Q149" s="308">
        <v>0</v>
      </c>
      <c r="R149" s="301">
        <f t="shared" si="20"/>
        <v>0</v>
      </c>
    </row>
    <row r="150" spans="1:18" x14ac:dyDescent="0.25">
      <c r="A150" s="291" t="s">
        <v>94</v>
      </c>
      <c r="B150" s="292" t="s">
        <v>3256</v>
      </c>
      <c r="C150" s="318">
        <v>2130119</v>
      </c>
      <c r="D150" s="294">
        <f>SUM(D151:D165)</f>
        <v>29</v>
      </c>
      <c r="E150" s="312">
        <f>SUM(E151:E165)</f>
        <v>29</v>
      </c>
      <c r="F150" s="296">
        <f t="shared" si="16"/>
        <v>0</v>
      </c>
      <c r="G150" s="223">
        <f t="shared" si="21"/>
        <v>0</v>
      </c>
      <c r="H150" s="294">
        <f>SUM(H151:H165)</f>
        <v>150</v>
      </c>
      <c r="I150" s="312">
        <f>SUM(I151:I165)</f>
        <v>149</v>
      </c>
      <c r="J150" s="306">
        <f t="shared" si="17"/>
        <v>1</v>
      </c>
      <c r="K150" s="297">
        <f t="shared" si="22"/>
        <v>6.7114093959731542E-3</v>
      </c>
      <c r="L150" s="294">
        <f>SUM(L151:L165)</f>
        <v>17898</v>
      </c>
      <c r="M150" s="312">
        <f>SUM(M151:M165)</f>
        <v>18068</v>
      </c>
      <c r="N150" s="224">
        <f t="shared" si="18"/>
        <v>-170</v>
      </c>
      <c r="O150" s="298">
        <f t="shared" si="23"/>
        <v>-9.4088997121983611E-3</v>
      </c>
      <c r="P150" s="299">
        <f t="shared" si="19"/>
        <v>7.0418601026515422</v>
      </c>
      <c r="Q150" s="300">
        <v>7</v>
      </c>
      <c r="R150" s="301">
        <f t="shared" si="20"/>
        <v>4.1860102651542164E-2</v>
      </c>
    </row>
    <row r="151" spans="1:18" x14ac:dyDescent="0.25">
      <c r="A151" s="302" t="s">
        <v>3258</v>
      </c>
      <c r="B151" s="303" t="s">
        <v>95</v>
      </c>
      <c r="C151" s="322">
        <v>655959</v>
      </c>
      <c r="D151" s="305">
        <v>10</v>
      </c>
      <c r="E151" s="310">
        <v>10</v>
      </c>
      <c r="F151" s="296">
        <f t="shared" si="16"/>
        <v>0</v>
      </c>
      <c r="G151" s="223">
        <f t="shared" si="21"/>
        <v>0</v>
      </c>
      <c r="H151" s="305">
        <v>64</v>
      </c>
      <c r="I151" s="310">
        <v>64</v>
      </c>
      <c r="J151" s="306">
        <f t="shared" si="17"/>
        <v>0</v>
      </c>
      <c r="K151" s="297">
        <f t="shared" si="22"/>
        <v>0</v>
      </c>
      <c r="L151" s="305">
        <v>8150</v>
      </c>
      <c r="M151" s="310">
        <v>8191</v>
      </c>
      <c r="N151" s="224">
        <f t="shared" si="18"/>
        <v>-41</v>
      </c>
      <c r="O151" s="298">
        <f t="shared" si="23"/>
        <v>-5.005493834696618E-3</v>
      </c>
      <c r="P151" s="307">
        <f t="shared" si="19"/>
        <v>9.7567073551853092</v>
      </c>
      <c r="Q151" s="308">
        <v>9.6999999999999993</v>
      </c>
      <c r="R151" s="301">
        <f t="shared" si="20"/>
        <v>5.6707355185309893E-2</v>
      </c>
    </row>
    <row r="152" spans="1:18" x14ac:dyDescent="0.25">
      <c r="A152" s="302" t="s">
        <v>3258</v>
      </c>
      <c r="B152" s="303" t="s">
        <v>96</v>
      </c>
      <c r="C152" s="322">
        <v>102104</v>
      </c>
      <c r="D152" s="305">
        <v>1</v>
      </c>
      <c r="E152" s="310">
        <v>1</v>
      </c>
      <c r="F152" s="296">
        <f t="shared" si="16"/>
        <v>0</v>
      </c>
      <c r="G152" s="223">
        <f t="shared" si="21"/>
        <v>0</v>
      </c>
      <c r="H152" s="305">
        <v>7</v>
      </c>
      <c r="I152" s="310">
        <v>7</v>
      </c>
      <c r="J152" s="306">
        <f t="shared" si="17"/>
        <v>0</v>
      </c>
      <c r="K152" s="297">
        <f t="shared" si="22"/>
        <v>0</v>
      </c>
      <c r="L152" s="305">
        <v>802</v>
      </c>
      <c r="M152" s="310">
        <v>802</v>
      </c>
      <c r="N152" s="224">
        <f t="shared" si="18"/>
        <v>0</v>
      </c>
      <c r="O152" s="298">
        <f t="shared" si="23"/>
        <v>0</v>
      </c>
      <c r="P152" s="307">
        <f t="shared" si="19"/>
        <v>6.8557549165556688</v>
      </c>
      <c r="Q152" s="308">
        <v>6.8</v>
      </c>
      <c r="R152" s="301">
        <f t="shared" si="20"/>
        <v>5.5754916555668999E-2</v>
      </c>
    </row>
    <row r="153" spans="1:18" x14ac:dyDescent="0.25">
      <c r="A153" s="302" t="s">
        <v>3258</v>
      </c>
      <c r="B153" s="303" t="s">
        <v>97</v>
      </c>
      <c r="C153" s="322">
        <v>95772</v>
      </c>
      <c r="D153" s="305">
        <v>1</v>
      </c>
      <c r="E153" s="310">
        <v>2</v>
      </c>
      <c r="F153" s="296">
        <f t="shared" si="16"/>
        <v>-1</v>
      </c>
      <c r="G153" s="223">
        <f t="shared" si="21"/>
        <v>-0.5</v>
      </c>
      <c r="H153" s="305">
        <v>3</v>
      </c>
      <c r="I153" s="310">
        <v>8</v>
      </c>
      <c r="J153" s="306">
        <f t="shared" si="17"/>
        <v>-5</v>
      </c>
      <c r="K153" s="297">
        <f t="shared" si="22"/>
        <v>-0.625</v>
      </c>
      <c r="L153" s="305">
        <v>236</v>
      </c>
      <c r="M153" s="310">
        <v>999</v>
      </c>
      <c r="N153" s="224">
        <f t="shared" si="18"/>
        <v>-763</v>
      </c>
      <c r="O153" s="298">
        <f t="shared" si="23"/>
        <v>-0.76376376376376376</v>
      </c>
      <c r="P153" s="307">
        <f t="shared" si="19"/>
        <v>3.1324395439168025</v>
      </c>
      <c r="Q153" s="308">
        <v>8.1999999999999993</v>
      </c>
      <c r="R153" s="301">
        <f t="shared" si="20"/>
        <v>-5.0675604560831964</v>
      </c>
    </row>
    <row r="154" spans="1:18" x14ac:dyDescent="0.25">
      <c r="A154" s="302" t="s">
        <v>3258</v>
      </c>
      <c r="B154" s="303" t="s">
        <v>98</v>
      </c>
      <c r="C154" s="322">
        <v>345796</v>
      </c>
      <c r="D154" s="305">
        <v>2</v>
      </c>
      <c r="E154" s="310">
        <v>1</v>
      </c>
      <c r="F154" s="296">
        <f t="shared" si="16"/>
        <v>1</v>
      </c>
      <c r="G154" s="223">
        <f t="shared" si="21"/>
        <v>1</v>
      </c>
      <c r="H154" s="305">
        <v>12</v>
      </c>
      <c r="I154" s="310">
        <v>6</v>
      </c>
      <c r="J154" s="306">
        <f t="shared" si="17"/>
        <v>6</v>
      </c>
      <c r="K154" s="297">
        <f t="shared" si="22"/>
        <v>1</v>
      </c>
      <c r="L154" s="305">
        <v>1654</v>
      </c>
      <c r="M154" s="310">
        <v>1020</v>
      </c>
      <c r="N154" s="224">
        <f t="shared" si="18"/>
        <v>634</v>
      </c>
      <c r="O154" s="298">
        <f t="shared" si="23"/>
        <v>0.6215686274509804</v>
      </c>
      <c r="P154" s="307">
        <f t="shared" si="19"/>
        <v>3.4702541382780598</v>
      </c>
      <c r="Q154" s="308">
        <v>1.8</v>
      </c>
      <c r="R154" s="301">
        <f t="shared" si="20"/>
        <v>1.6702541382780598</v>
      </c>
    </row>
    <row r="155" spans="1:18" x14ac:dyDescent="0.25">
      <c r="A155" s="302" t="s">
        <v>3258</v>
      </c>
      <c r="B155" s="303" t="s">
        <v>99</v>
      </c>
      <c r="C155" s="322">
        <v>176011</v>
      </c>
      <c r="D155" s="305">
        <v>2</v>
      </c>
      <c r="E155" s="310">
        <v>2</v>
      </c>
      <c r="F155" s="296">
        <f t="shared" si="16"/>
        <v>0</v>
      </c>
      <c r="G155" s="223">
        <f t="shared" si="21"/>
        <v>0</v>
      </c>
      <c r="H155" s="305">
        <v>15</v>
      </c>
      <c r="I155" s="310">
        <v>15</v>
      </c>
      <c r="J155" s="306">
        <f t="shared" si="17"/>
        <v>0</v>
      </c>
      <c r="K155" s="297">
        <f t="shared" si="22"/>
        <v>0</v>
      </c>
      <c r="L155" s="305">
        <v>1765</v>
      </c>
      <c r="M155" s="310">
        <v>1765</v>
      </c>
      <c r="N155" s="224">
        <f t="shared" si="18"/>
        <v>0</v>
      </c>
      <c r="O155" s="298">
        <f t="shared" si="23"/>
        <v>0</v>
      </c>
      <c r="P155" s="307">
        <f t="shared" si="19"/>
        <v>8.5221946355625491</v>
      </c>
      <c r="Q155" s="308">
        <v>8.5</v>
      </c>
      <c r="R155" s="301">
        <f t="shared" si="20"/>
        <v>2.2194635562549081E-2</v>
      </c>
    </row>
    <row r="156" spans="1:18" x14ac:dyDescent="0.25">
      <c r="A156" s="302" t="s">
        <v>3258</v>
      </c>
      <c r="B156" s="303" t="s">
        <v>3296</v>
      </c>
      <c r="C156" s="322">
        <v>110423</v>
      </c>
      <c r="D156" s="305">
        <v>2</v>
      </c>
      <c r="E156" s="310">
        <v>2</v>
      </c>
      <c r="F156" s="296">
        <f t="shared" si="16"/>
        <v>0</v>
      </c>
      <c r="G156" s="223">
        <f t="shared" si="21"/>
        <v>0</v>
      </c>
      <c r="H156" s="305">
        <v>10</v>
      </c>
      <c r="I156" s="310">
        <v>10</v>
      </c>
      <c r="J156" s="306">
        <f t="shared" si="17"/>
        <v>0</v>
      </c>
      <c r="K156" s="297">
        <f t="shared" si="22"/>
        <v>0</v>
      </c>
      <c r="L156" s="305">
        <v>1112</v>
      </c>
      <c r="M156" s="310">
        <v>1112</v>
      </c>
      <c r="N156" s="224">
        <f t="shared" si="18"/>
        <v>0</v>
      </c>
      <c r="O156" s="298">
        <f t="shared" si="23"/>
        <v>0</v>
      </c>
      <c r="P156" s="307">
        <f t="shared" si="19"/>
        <v>9.0560843302572831</v>
      </c>
      <c r="Q156" s="308">
        <v>8.9</v>
      </c>
      <c r="R156" s="301">
        <f t="shared" si="20"/>
        <v>0.15608433025728274</v>
      </c>
    </row>
    <row r="157" spans="1:18" x14ac:dyDescent="0.25">
      <c r="A157" s="302" t="s">
        <v>3258</v>
      </c>
      <c r="B157" s="303" t="s">
        <v>3297</v>
      </c>
      <c r="C157" s="322">
        <v>46667</v>
      </c>
      <c r="D157" s="305">
        <v>0</v>
      </c>
      <c r="E157" s="310">
        <v>0</v>
      </c>
      <c r="F157" s="296">
        <f t="shared" si="16"/>
        <v>0</v>
      </c>
      <c r="G157" s="314" t="s">
        <v>3261</v>
      </c>
      <c r="H157" s="305">
        <v>0</v>
      </c>
      <c r="I157" s="310">
        <v>0</v>
      </c>
      <c r="J157" s="306">
        <f t="shared" si="17"/>
        <v>0</v>
      </c>
      <c r="K157" s="315" t="s">
        <v>3261</v>
      </c>
      <c r="L157" s="305">
        <v>0</v>
      </c>
      <c r="M157" s="310">
        <v>0</v>
      </c>
      <c r="N157" s="224">
        <f t="shared" si="18"/>
        <v>0</v>
      </c>
      <c r="O157" s="298" t="s">
        <v>3269</v>
      </c>
      <c r="P157" s="307">
        <f t="shared" si="19"/>
        <v>0</v>
      </c>
      <c r="Q157" s="308">
        <v>0</v>
      </c>
      <c r="R157" s="301">
        <f t="shared" si="20"/>
        <v>0</v>
      </c>
    </row>
    <row r="158" spans="1:18" x14ac:dyDescent="0.25">
      <c r="A158" s="302" t="s">
        <v>3258</v>
      </c>
      <c r="B158" s="303" t="s">
        <v>100</v>
      </c>
      <c r="C158" s="322">
        <v>170302</v>
      </c>
      <c r="D158" s="305">
        <v>2</v>
      </c>
      <c r="E158" s="310">
        <v>2</v>
      </c>
      <c r="F158" s="296">
        <f t="shared" si="16"/>
        <v>0</v>
      </c>
      <c r="G158" s="223">
        <f t="shared" si="21"/>
        <v>0</v>
      </c>
      <c r="H158" s="305">
        <v>14</v>
      </c>
      <c r="I158" s="310">
        <v>14</v>
      </c>
      <c r="J158" s="306">
        <f t="shared" si="17"/>
        <v>0</v>
      </c>
      <c r="K158" s="297">
        <f t="shared" si="22"/>
        <v>0</v>
      </c>
      <c r="L158" s="305">
        <v>1779</v>
      </c>
      <c r="M158" s="310">
        <v>1779</v>
      </c>
      <c r="N158" s="224">
        <f t="shared" si="18"/>
        <v>0</v>
      </c>
      <c r="O158" s="298">
        <f t="shared" si="23"/>
        <v>0</v>
      </c>
      <c r="P158" s="307">
        <f t="shared" si="19"/>
        <v>8.2206903031085954</v>
      </c>
      <c r="Q158" s="308">
        <v>8.3000000000000007</v>
      </c>
      <c r="R158" s="301">
        <f t="shared" si="20"/>
        <v>-7.9309696891405324E-2</v>
      </c>
    </row>
    <row r="159" spans="1:18" x14ac:dyDescent="0.25">
      <c r="A159" s="302" t="s">
        <v>3258</v>
      </c>
      <c r="B159" s="303" t="s">
        <v>3298</v>
      </c>
      <c r="C159" s="319">
        <v>50093</v>
      </c>
      <c r="D159" s="305">
        <v>1</v>
      </c>
      <c r="E159" s="310">
        <v>1</v>
      </c>
      <c r="F159" s="296">
        <f t="shared" si="16"/>
        <v>0</v>
      </c>
      <c r="G159" s="223">
        <f t="shared" si="21"/>
        <v>0</v>
      </c>
      <c r="H159" s="316">
        <v>2</v>
      </c>
      <c r="I159" s="312">
        <v>2</v>
      </c>
      <c r="J159" s="317">
        <f t="shared" si="17"/>
        <v>0</v>
      </c>
      <c r="K159" s="297">
        <f t="shared" si="22"/>
        <v>0</v>
      </c>
      <c r="L159" s="316">
        <v>150</v>
      </c>
      <c r="M159" s="312">
        <v>150</v>
      </c>
      <c r="N159" s="295">
        <f t="shared" si="18"/>
        <v>0</v>
      </c>
      <c r="O159" s="298">
        <f t="shared" si="23"/>
        <v>0</v>
      </c>
      <c r="P159" s="307">
        <f t="shared" si="19"/>
        <v>3.9925738127083625</v>
      </c>
      <c r="Q159" s="308">
        <v>4</v>
      </c>
      <c r="R159" s="301">
        <f t="shared" si="20"/>
        <v>-7.4261872916374649E-3</v>
      </c>
    </row>
    <row r="160" spans="1:18" x14ac:dyDescent="0.25">
      <c r="A160" s="302" t="s">
        <v>3258</v>
      </c>
      <c r="B160" s="303" t="s">
        <v>101</v>
      </c>
      <c r="C160" s="319">
        <v>61046</v>
      </c>
      <c r="D160" s="305">
        <v>2</v>
      </c>
      <c r="E160" s="310">
        <v>2</v>
      </c>
      <c r="F160" s="296">
        <f t="shared" si="16"/>
        <v>0</v>
      </c>
      <c r="G160" s="223">
        <f t="shared" si="21"/>
        <v>0</v>
      </c>
      <c r="H160" s="305">
        <v>4</v>
      </c>
      <c r="I160" s="310">
        <v>4</v>
      </c>
      <c r="J160" s="306">
        <f t="shared" si="17"/>
        <v>0</v>
      </c>
      <c r="K160" s="297">
        <f t="shared" si="22"/>
        <v>0</v>
      </c>
      <c r="L160" s="305">
        <v>274</v>
      </c>
      <c r="M160" s="310">
        <v>274</v>
      </c>
      <c r="N160" s="224">
        <f t="shared" si="18"/>
        <v>0</v>
      </c>
      <c r="O160" s="298">
        <f t="shared" si="23"/>
        <v>0</v>
      </c>
      <c r="P160" s="307">
        <f t="shared" si="19"/>
        <v>6.5524358680339425</v>
      </c>
      <c r="Q160" s="308">
        <v>6.4</v>
      </c>
      <c r="R160" s="301">
        <f t="shared" si="20"/>
        <v>0.15243586803394216</v>
      </c>
    </row>
    <row r="161" spans="1:18" x14ac:dyDescent="0.25">
      <c r="A161" s="302" t="s">
        <v>3258</v>
      </c>
      <c r="B161" s="303" t="s">
        <v>3299</v>
      </c>
      <c r="C161" s="319">
        <v>49116</v>
      </c>
      <c r="D161" s="305">
        <v>1</v>
      </c>
      <c r="E161" s="310">
        <v>1</v>
      </c>
      <c r="F161" s="296">
        <f t="shared" si="16"/>
        <v>0</v>
      </c>
      <c r="G161" s="223">
        <f t="shared" si="21"/>
        <v>0</v>
      </c>
      <c r="H161" s="316">
        <v>2</v>
      </c>
      <c r="I161" s="312">
        <v>2</v>
      </c>
      <c r="J161" s="317">
        <f t="shared" si="17"/>
        <v>0</v>
      </c>
      <c r="K161" s="297">
        <f t="shared" si="22"/>
        <v>0</v>
      </c>
      <c r="L161" s="316">
        <v>154</v>
      </c>
      <c r="M161" s="312">
        <v>154</v>
      </c>
      <c r="N161" s="295">
        <f t="shared" si="18"/>
        <v>0</v>
      </c>
      <c r="O161" s="298">
        <f t="shared" si="23"/>
        <v>0</v>
      </c>
      <c r="P161" s="307">
        <f t="shared" si="19"/>
        <v>4.0719928332926134</v>
      </c>
      <c r="Q161" s="308">
        <v>4</v>
      </c>
      <c r="R161" s="301">
        <f t="shared" si="20"/>
        <v>7.1992833292613412E-2</v>
      </c>
    </row>
    <row r="162" spans="1:18" x14ac:dyDescent="0.25">
      <c r="A162" s="302" t="s">
        <v>3258</v>
      </c>
      <c r="B162" s="303" t="s">
        <v>3300</v>
      </c>
      <c r="C162" s="319">
        <v>30168</v>
      </c>
      <c r="D162" s="305">
        <v>1</v>
      </c>
      <c r="E162" s="310">
        <v>1</v>
      </c>
      <c r="F162" s="296">
        <f t="shared" si="16"/>
        <v>0</v>
      </c>
      <c r="G162" s="223">
        <f t="shared" si="21"/>
        <v>0</v>
      </c>
      <c r="H162" s="316">
        <v>2</v>
      </c>
      <c r="I162" s="312">
        <v>2</v>
      </c>
      <c r="J162" s="317">
        <f t="shared" si="17"/>
        <v>0</v>
      </c>
      <c r="K162" s="297">
        <f t="shared" si="22"/>
        <v>0</v>
      </c>
      <c r="L162" s="316">
        <v>98</v>
      </c>
      <c r="M162" s="312">
        <v>98</v>
      </c>
      <c r="N162" s="295">
        <f t="shared" si="18"/>
        <v>0</v>
      </c>
      <c r="O162" s="298">
        <f t="shared" si="23"/>
        <v>0</v>
      </c>
      <c r="P162" s="307">
        <f t="shared" si="19"/>
        <v>6.6295412357464869</v>
      </c>
      <c r="Q162" s="308">
        <v>6.6</v>
      </c>
      <c r="R162" s="301">
        <f t="shared" si="20"/>
        <v>2.954123574648726E-2</v>
      </c>
    </row>
    <row r="163" spans="1:18" x14ac:dyDescent="0.25">
      <c r="A163" s="302" t="s">
        <v>3258</v>
      </c>
      <c r="B163" s="303" t="s">
        <v>102</v>
      </c>
      <c r="C163" s="319">
        <v>97524</v>
      </c>
      <c r="D163" s="305">
        <v>2</v>
      </c>
      <c r="E163" s="310">
        <v>2</v>
      </c>
      <c r="F163" s="296">
        <f t="shared" si="16"/>
        <v>0</v>
      </c>
      <c r="G163" s="223">
        <f t="shared" si="21"/>
        <v>0</v>
      </c>
      <c r="H163" s="305">
        <v>11</v>
      </c>
      <c r="I163" s="310">
        <v>11</v>
      </c>
      <c r="J163" s="306">
        <f t="shared" si="17"/>
        <v>0</v>
      </c>
      <c r="K163" s="297">
        <f t="shared" si="22"/>
        <v>0</v>
      </c>
      <c r="L163" s="305">
        <v>1526</v>
      </c>
      <c r="M163" s="310">
        <v>1526</v>
      </c>
      <c r="N163" s="224">
        <f t="shared" si="18"/>
        <v>0</v>
      </c>
      <c r="O163" s="298">
        <f t="shared" si="23"/>
        <v>0</v>
      </c>
      <c r="P163" s="307">
        <f t="shared" si="19"/>
        <v>11.279274845166318</v>
      </c>
      <c r="Q163" s="308">
        <v>11.2</v>
      </c>
      <c r="R163" s="301">
        <f t="shared" si="20"/>
        <v>7.9274845166318997E-2</v>
      </c>
    </row>
    <row r="164" spans="1:18" x14ac:dyDescent="0.25">
      <c r="A164" s="302" t="s">
        <v>3258</v>
      </c>
      <c r="B164" s="303" t="s">
        <v>103</v>
      </c>
      <c r="C164" s="319">
        <v>78354</v>
      </c>
      <c r="D164" s="305">
        <v>1</v>
      </c>
      <c r="E164" s="310">
        <v>1</v>
      </c>
      <c r="F164" s="296">
        <f t="shared" si="16"/>
        <v>0</v>
      </c>
      <c r="G164" s="223">
        <f t="shared" si="21"/>
        <v>0</v>
      </c>
      <c r="H164" s="305">
        <v>2</v>
      </c>
      <c r="I164" s="310">
        <v>2</v>
      </c>
      <c r="J164" s="306">
        <f t="shared" si="17"/>
        <v>0</v>
      </c>
      <c r="K164" s="297">
        <f t="shared" si="22"/>
        <v>0</v>
      </c>
      <c r="L164" s="305">
        <v>99</v>
      </c>
      <c r="M164" s="310">
        <v>99</v>
      </c>
      <c r="N164" s="224">
        <f t="shared" si="18"/>
        <v>0</v>
      </c>
      <c r="O164" s="298">
        <f t="shared" si="23"/>
        <v>0</v>
      </c>
      <c r="P164" s="307">
        <f t="shared" si="19"/>
        <v>2.5525180590652679</v>
      </c>
      <c r="Q164" s="308">
        <v>2.6</v>
      </c>
      <c r="R164" s="301">
        <f t="shared" si="20"/>
        <v>-4.7481940934732236E-2</v>
      </c>
    </row>
    <row r="165" spans="1:18" x14ac:dyDescent="0.25">
      <c r="A165" s="302" t="s">
        <v>3258</v>
      </c>
      <c r="B165" s="303" t="s">
        <v>104</v>
      </c>
      <c r="C165" s="319">
        <v>60784</v>
      </c>
      <c r="D165" s="305">
        <v>1</v>
      </c>
      <c r="E165" s="310">
        <v>1</v>
      </c>
      <c r="F165" s="296">
        <f t="shared" si="16"/>
        <v>0</v>
      </c>
      <c r="G165" s="223">
        <f t="shared" si="21"/>
        <v>0</v>
      </c>
      <c r="H165" s="305">
        <v>2</v>
      </c>
      <c r="I165" s="310">
        <v>2</v>
      </c>
      <c r="J165" s="306">
        <f t="shared" si="17"/>
        <v>0</v>
      </c>
      <c r="K165" s="297">
        <f t="shared" si="22"/>
        <v>0</v>
      </c>
      <c r="L165" s="305">
        <v>99</v>
      </c>
      <c r="M165" s="310">
        <v>99</v>
      </c>
      <c r="N165" s="224">
        <f t="shared" si="18"/>
        <v>0</v>
      </c>
      <c r="O165" s="298">
        <f t="shared" si="23"/>
        <v>0</v>
      </c>
      <c r="P165" s="307">
        <f t="shared" si="19"/>
        <v>3.290339563042906</v>
      </c>
      <c r="Q165" s="308">
        <v>3.3</v>
      </c>
      <c r="R165" s="301">
        <f t="shared" si="20"/>
        <v>-9.6604369570938431E-3</v>
      </c>
    </row>
    <row r="166" spans="1:18" x14ac:dyDescent="0.25">
      <c r="A166" s="291" t="s">
        <v>105</v>
      </c>
      <c r="B166" s="292" t="s">
        <v>3256</v>
      </c>
      <c r="C166" s="318">
        <v>1754757</v>
      </c>
      <c r="D166" s="294">
        <f>SUM(D167:D180)</f>
        <v>28</v>
      </c>
      <c r="E166" s="312">
        <f>SUM(E167:E180)</f>
        <v>29</v>
      </c>
      <c r="F166" s="296">
        <f t="shared" si="16"/>
        <v>-1</v>
      </c>
      <c r="G166" s="223">
        <f t="shared" si="21"/>
        <v>-3.4482758620689655E-2</v>
      </c>
      <c r="H166" s="294">
        <f>SUM(H167:H180)</f>
        <v>134</v>
      </c>
      <c r="I166" s="312">
        <f>SUM(I167:I180)</f>
        <v>139</v>
      </c>
      <c r="J166" s="306">
        <f t="shared" si="17"/>
        <v>-5</v>
      </c>
      <c r="K166" s="297">
        <f t="shared" si="22"/>
        <v>-3.5971223021582732E-2</v>
      </c>
      <c r="L166" s="294">
        <f>SUM(L167:L180)</f>
        <v>18298</v>
      </c>
      <c r="M166" s="312">
        <f>SUM(M167:M180)</f>
        <v>19277</v>
      </c>
      <c r="N166" s="224">
        <f t="shared" si="18"/>
        <v>-979</v>
      </c>
      <c r="O166" s="298">
        <f t="shared" si="23"/>
        <v>-5.0785910670747524E-2</v>
      </c>
      <c r="P166" s="299">
        <f t="shared" si="19"/>
        <v>7.636384980940381</v>
      </c>
      <c r="Q166" s="300">
        <v>7.9</v>
      </c>
      <c r="R166" s="301">
        <f t="shared" si="20"/>
        <v>-0.26361501905961937</v>
      </c>
    </row>
    <row r="167" spans="1:18" x14ac:dyDescent="0.25">
      <c r="A167" s="302" t="s">
        <v>3258</v>
      </c>
      <c r="B167" s="303" t="s">
        <v>106</v>
      </c>
      <c r="C167" s="309">
        <v>642727</v>
      </c>
      <c r="D167" s="305">
        <v>14</v>
      </c>
      <c r="E167" s="310">
        <v>14</v>
      </c>
      <c r="F167" s="296">
        <f t="shared" si="16"/>
        <v>0</v>
      </c>
      <c r="G167" s="223">
        <f t="shared" si="21"/>
        <v>0</v>
      </c>
      <c r="H167" s="305">
        <v>83</v>
      </c>
      <c r="I167" s="310">
        <v>83</v>
      </c>
      <c r="J167" s="306">
        <f t="shared" si="17"/>
        <v>0</v>
      </c>
      <c r="K167" s="297">
        <f t="shared" si="22"/>
        <v>0</v>
      </c>
      <c r="L167" s="305">
        <v>12208</v>
      </c>
      <c r="M167" s="310">
        <v>12208</v>
      </c>
      <c r="N167" s="224">
        <f t="shared" si="18"/>
        <v>0</v>
      </c>
      <c r="O167" s="298">
        <f t="shared" si="23"/>
        <v>0</v>
      </c>
      <c r="P167" s="307">
        <f t="shared" si="19"/>
        <v>12.913725423080095</v>
      </c>
      <c r="Q167" s="308">
        <v>12.7</v>
      </c>
      <c r="R167" s="301">
        <f t="shared" si="20"/>
        <v>0.21372542308009557</v>
      </c>
    </row>
    <row r="168" spans="1:18" x14ac:dyDescent="0.25">
      <c r="A168" s="302" t="s">
        <v>3258</v>
      </c>
      <c r="B168" s="303" t="s">
        <v>107</v>
      </c>
      <c r="C168" s="322">
        <v>259980</v>
      </c>
      <c r="D168" s="305">
        <v>2</v>
      </c>
      <c r="E168" s="310">
        <v>3</v>
      </c>
      <c r="F168" s="296">
        <f t="shared" si="16"/>
        <v>-1</v>
      </c>
      <c r="G168" s="223">
        <f t="shared" si="21"/>
        <v>-0.33333333333333331</v>
      </c>
      <c r="H168" s="305">
        <v>14</v>
      </c>
      <c r="I168" s="310">
        <v>19</v>
      </c>
      <c r="J168" s="306">
        <f t="shared" si="17"/>
        <v>-5</v>
      </c>
      <c r="K168" s="297">
        <f t="shared" si="22"/>
        <v>-0.26315789473684209</v>
      </c>
      <c r="L168" s="305">
        <v>2099</v>
      </c>
      <c r="M168" s="310">
        <v>3074</v>
      </c>
      <c r="N168" s="224">
        <f t="shared" si="18"/>
        <v>-975</v>
      </c>
      <c r="O168" s="298">
        <f t="shared" si="23"/>
        <v>-0.31717631750162656</v>
      </c>
      <c r="P168" s="307">
        <f t="shared" si="19"/>
        <v>5.3850296176628971</v>
      </c>
      <c r="Q168" s="308">
        <v>7.2</v>
      </c>
      <c r="R168" s="301">
        <f t="shared" si="20"/>
        <v>-1.8149703823371031</v>
      </c>
    </row>
    <row r="169" spans="1:18" x14ac:dyDescent="0.25">
      <c r="A169" s="302" t="s">
        <v>3258</v>
      </c>
      <c r="B169" s="303" t="s">
        <v>108</v>
      </c>
      <c r="C169" s="322">
        <v>270036</v>
      </c>
      <c r="D169" s="305">
        <v>2</v>
      </c>
      <c r="E169" s="310">
        <v>2</v>
      </c>
      <c r="F169" s="296">
        <f t="shared" si="16"/>
        <v>0</v>
      </c>
      <c r="G169" s="223">
        <f t="shared" si="21"/>
        <v>0</v>
      </c>
      <c r="H169" s="305">
        <v>14</v>
      </c>
      <c r="I169" s="310">
        <v>14</v>
      </c>
      <c r="J169" s="306">
        <f t="shared" si="17"/>
        <v>0</v>
      </c>
      <c r="K169" s="297">
        <f t="shared" si="22"/>
        <v>0</v>
      </c>
      <c r="L169" s="305">
        <v>2366</v>
      </c>
      <c r="M169" s="310">
        <v>2366</v>
      </c>
      <c r="N169" s="224">
        <f t="shared" si="18"/>
        <v>0</v>
      </c>
      <c r="O169" s="298">
        <f t="shared" si="23"/>
        <v>0</v>
      </c>
      <c r="P169" s="307">
        <f t="shared" si="19"/>
        <v>5.1844939193292747</v>
      </c>
      <c r="Q169" s="308">
        <v>5.0999999999999996</v>
      </c>
      <c r="R169" s="301">
        <f t="shared" si="20"/>
        <v>8.449391932927508E-2</v>
      </c>
    </row>
    <row r="170" spans="1:18" x14ac:dyDescent="0.25">
      <c r="A170" s="302" t="s">
        <v>3258</v>
      </c>
      <c r="B170" s="303" t="s">
        <v>109</v>
      </c>
      <c r="C170" s="322">
        <v>103620</v>
      </c>
      <c r="D170" s="305">
        <v>1</v>
      </c>
      <c r="E170" s="310">
        <v>1</v>
      </c>
      <c r="F170" s="296">
        <f t="shared" si="16"/>
        <v>0</v>
      </c>
      <c r="G170" s="223">
        <f t="shared" si="21"/>
        <v>0</v>
      </c>
      <c r="H170" s="305">
        <v>4</v>
      </c>
      <c r="I170" s="310">
        <v>4</v>
      </c>
      <c r="J170" s="306">
        <f t="shared" si="17"/>
        <v>0</v>
      </c>
      <c r="K170" s="297">
        <f t="shared" si="22"/>
        <v>0</v>
      </c>
      <c r="L170" s="305">
        <v>553</v>
      </c>
      <c r="M170" s="310">
        <v>553</v>
      </c>
      <c r="N170" s="224">
        <f t="shared" si="18"/>
        <v>0</v>
      </c>
      <c r="O170" s="298">
        <f t="shared" si="23"/>
        <v>0</v>
      </c>
      <c r="P170" s="307">
        <f t="shared" si="19"/>
        <v>3.8602586373287009</v>
      </c>
      <c r="Q170" s="308">
        <v>3.8</v>
      </c>
      <c r="R170" s="301">
        <f t="shared" si="20"/>
        <v>6.025863732870107E-2</v>
      </c>
    </row>
    <row r="171" spans="1:18" x14ac:dyDescent="0.25">
      <c r="A171" s="302" t="s">
        <v>3258</v>
      </c>
      <c r="B171" s="303" t="s">
        <v>3301</v>
      </c>
      <c r="C171" s="319">
        <v>76781</v>
      </c>
      <c r="D171" s="305">
        <v>1</v>
      </c>
      <c r="E171" s="310">
        <v>1</v>
      </c>
      <c r="F171" s="296">
        <f t="shared" si="16"/>
        <v>0</v>
      </c>
      <c r="G171" s="223">
        <f t="shared" si="21"/>
        <v>0</v>
      </c>
      <c r="H171" s="316">
        <v>3</v>
      </c>
      <c r="I171" s="312">
        <v>3</v>
      </c>
      <c r="J171" s="317">
        <f t="shared" si="17"/>
        <v>0</v>
      </c>
      <c r="K171" s="297">
        <f t="shared" si="22"/>
        <v>0</v>
      </c>
      <c r="L171" s="316">
        <v>257</v>
      </c>
      <c r="M171" s="312">
        <v>257</v>
      </c>
      <c r="N171" s="295">
        <f t="shared" si="18"/>
        <v>0</v>
      </c>
      <c r="O171" s="298">
        <f t="shared" si="23"/>
        <v>0</v>
      </c>
      <c r="P171" s="307">
        <f t="shared" si="19"/>
        <v>3.9072166291139734</v>
      </c>
      <c r="Q171" s="308">
        <v>3.8</v>
      </c>
      <c r="R171" s="301">
        <f t="shared" si="20"/>
        <v>0.10721662911397356</v>
      </c>
    </row>
    <row r="172" spans="1:18" x14ac:dyDescent="0.25">
      <c r="A172" s="302" t="s">
        <v>3258</v>
      </c>
      <c r="B172" s="303" t="s">
        <v>3302</v>
      </c>
      <c r="C172" s="319">
        <v>81430</v>
      </c>
      <c r="D172" s="305">
        <v>1</v>
      </c>
      <c r="E172" s="310">
        <v>1</v>
      </c>
      <c r="F172" s="296">
        <f t="shared" si="16"/>
        <v>0</v>
      </c>
      <c r="G172" s="223">
        <f t="shared" si="21"/>
        <v>0</v>
      </c>
      <c r="H172" s="316">
        <v>2</v>
      </c>
      <c r="I172" s="312">
        <v>2</v>
      </c>
      <c r="J172" s="317">
        <f t="shared" si="17"/>
        <v>0</v>
      </c>
      <c r="K172" s="297">
        <f t="shared" si="22"/>
        <v>0</v>
      </c>
      <c r="L172" s="316">
        <v>99</v>
      </c>
      <c r="M172" s="312">
        <v>99</v>
      </c>
      <c r="N172" s="295">
        <f t="shared" si="18"/>
        <v>0</v>
      </c>
      <c r="O172" s="298">
        <f t="shared" si="23"/>
        <v>0</v>
      </c>
      <c r="P172" s="307">
        <f t="shared" si="19"/>
        <v>2.4560972614515535</v>
      </c>
      <c r="Q172" s="308">
        <v>2.5</v>
      </c>
      <c r="R172" s="301">
        <f t="shared" si="20"/>
        <v>-4.3902738548446507E-2</v>
      </c>
    </row>
    <row r="173" spans="1:18" x14ac:dyDescent="0.25">
      <c r="A173" s="302" t="s">
        <v>3258</v>
      </c>
      <c r="B173" s="303" t="s">
        <v>3303</v>
      </c>
      <c r="C173" s="319">
        <v>97827</v>
      </c>
      <c r="D173" s="305">
        <v>0</v>
      </c>
      <c r="E173" s="310">
        <v>1</v>
      </c>
      <c r="F173" s="296">
        <f t="shared" si="16"/>
        <v>-1</v>
      </c>
      <c r="G173" s="223">
        <f t="shared" si="21"/>
        <v>-1</v>
      </c>
      <c r="H173" s="316">
        <v>0</v>
      </c>
      <c r="I173" s="312">
        <v>2</v>
      </c>
      <c r="J173" s="317">
        <f t="shared" si="17"/>
        <v>-2</v>
      </c>
      <c r="K173" s="297">
        <f t="shared" si="22"/>
        <v>-1</v>
      </c>
      <c r="L173" s="316">
        <v>0</v>
      </c>
      <c r="M173" s="312">
        <v>90</v>
      </c>
      <c r="N173" s="295">
        <f t="shared" si="18"/>
        <v>-90</v>
      </c>
      <c r="O173" s="298">
        <f t="shared" si="23"/>
        <v>-1</v>
      </c>
      <c r="P173" s="307">
        <f t="shared" si="19"/>
        <v>0</v>
      </c>
      <c r="Q173" s="308">
        <v>2.2000000000000002</v>
      </c>
      <c r="R173" s="301">
        <f t="shared" si="20"/>
        <v>-2.2000000000000002</v>
      </c>
    </row>
    <row r="174" spans="1:18" x14ac:dyDescent="0.25">
      <c r="A174" s="302" t="s">
        <v>3258</v>
      </c>
      <c r="B174" s="303" t="s">
        <v>110</v>
      </c>
      <c r="C174" s="319">
        <v>24465</v>
      </c>
      <c r="D174" s="305">
        <v>1</v>
      </c>
      <c r="E174" s="310">
        <v>1</v>
      </c>
      <c r="F174" s="296">
        <f t="shared" si="16"/>
        <v>0</v>
      </c>
      <c r="G174" s="223">
        <f t="shared" si="21"/>
        <v>0</v>
      </c>
      <c r="H174" s="305">
        <v>2</v>
      </c>
      <c r="I174" s="310">
        <v>2</v>
      </c>
      <c r="J174" s="306">
        <f t="shared" si="17"/>
        <v>0</v>
      </c>
      <c r="K174" s="297">
        <f t="shared" si="22"/>
        <v>0</v>
      </c>
      <c r="L174" s="305">
        <v>98</v>
      </c>
      <c r="M174" s="310">
        <v>98</v>
      </c>
      <c r="N174" s="224">
        <f t="shared" si="18"/>
        <v>0</v>
      </c>
      <c r="O174" s="298">
        <f t="shared" si="23"/>
        <v>0</v>
      </c>
      <c r="P174" s="307">
        <f t="shared" si="19"/>
        <v>8.1749437972613936</v>
      </c>
      <c r="Q174" s="308">
        <v>8.1</v>
      </c>
      <c r="R174" s="301">
        <f t="shared" si="20"/>
        <v>7.4943797261393996E-2</v>
      </c>
    </row>
    <row r="175" spans="1:18" x14ac:dyDescent="0.25">
      <c r="A175" s="302" t="s">
        <v>3258</v>
      </c>
      <c r="B175" s="303" t="s">
        <v>111</v>
      </c>
      <c r="C175" s="319">
        <v>23251</v>
      </c>
      <c r="D175" s="305">
        <v>1</v>
      </c>
      <c r="E175" s="310">
        <v>1</v>
      </c>
      <c r="F175" s="296">
        <f t="shared" si="16"/>
        <v>0</v>
      </c>
      <c r="G175" s="223">
        <f t="shared" si="21"/>
        <v>0</v>
      </c>
      <c r="H175" s="305">
        <v>2</v>
      </c>
      <c r="I175" s="310">
        <v>2</v>
      </c>
      <c r="J175" s="306">
        <f t="shared" si="17"/>
        <v>0</v>
      </c>
      <c r="K175" s="297">
        <f t="shared" si="22"/>
        <v>0</v>
      </c>
      <c r="L175" s="305">
        <v>98</v>
      </c>
      <c r="M175" s="310">
        <v>98</v>
      </c>
      <c r="N175" s="224">
        <f t="shared" si="18"/>
        <v>0</v>
      </c>
      <c r="O175" s="298">
        <f t="shared" si="23"/>
        <v>0</v>
      </c>
      <c r="P175" s="307">
        <f t="shared" si="19"/>
        <v>8.6017805685776949</v>
      </c>
      <c r="Q175" s="308">
        <v>8.5</v>
      </c>
      <c r="R175" s="301">
        <f t="shared" si="20"/>
        <v>0.10178056857769491</v>
      </c>
    </row>
    <row r="176" spans="1:18" x14ac:dyDescent="0.25">
      <c r="A176" s="302" t="s">
        <v>3258</v>
      </c>
      <c r="B176" s="303" t="s">
        <v>112</v>
      </c>
      <c r="C176" s="319">
        <v>20983</v>
      </c>
      <c r="D176" s="305">
        <v>1</v>
      </c>
      <c r="E176" s="310">
        <v>0</v>
      </c>
      <c r="F176" s="296">
        <f t="shared" si="16"/>
        <v>1</v>
      </c>
      <c r="G176" s="323" t="s">
        <v>3261</v>
      </c>
      <c r="H176" s="316">
        <v>2</v>
      </c>
      <c r="I176" s="312">
        <v>0</v>
      </c>
      <c r="J176" s="317">
        <f t="shared" si="17"/>
        <v>2</v>
      </c>
      <c r="K176" s="323" t="s">
        <v>3261</v>
      </c>
      <c r="L176" s="316">
        <v>90</v>
      </c>
      <c r="M176" s="312">
        <v>0</v>
      </c>
      <c r="N176" s="295">
        <f t="shared" si="18"/>
        <v>90</v>
      </c>
      <c r="O176" s="323" t="s">
        <v>3261</v>
      </c>
      <c r="P176" s="307">
        <f t="shared" si="19"/>
        <v>9.5315255206595815</v>
      </c>
      <c r="Q176" s="308">
        <v>0</v>
      </c>
      <c r="R176" s="301">
        <f t="shared" si="20"/>
        <v>9.5315255206595815</v>
      </c>
    </row>
    <row r="177" spans="1:18" x14ac:dyDescent="0.25">
      <c r="A177" s="302" t="s">
        <v>3258</v>
      </c>
      <c r="B177" s="303" t="s">
        <v>3304</v>
      </c>
      <c r="C177" s="319">
        <v>25956</v>
      </c>
      <c r="D177" s="305">
        <v>1</v>
      </c>
      <c r="E177" s="310">
        <v>1</v>
      </c>
      <c r="F177" s="296">
        <f t="shared" si="16"/>
        <v>0</v>
      </c>
      <c r="G177" s="323" t="s">
        <v>3261</v>
      </c>
      <c r="H177" s="316">
        <v>2</v>
      </c>
      <c r="I177" s="312">
        <v>2</v>
      </c>
      <c r="J177" s="317">
        <f t="shared" si="17"/>
        <v>0</v>
      </c>
      <c r="K177" s="324" t="s">
        <v>3261</v>
      </c>
      <c r="L177" s="316">
        <v>94</v>
      </c>
      <c r="M177" s="312">
        <v>94</v>
      </c>
      <c r="N177" s="295">
        <f t="shared" si="18"/>
        <v>0</v>
      </c>
      <c r="O177" s="325" t="s">
        <v>3261</v>
      </c>
      <c r="P177" s="307">
        <f t="shared" si="19"/>
        <v>7.7053475111727545</v>
      </c>
      <c r="Q177" s="308">
        <v>7.5</v>
      </c>
      <c r="R177" s="301">
        <f t="shared" si="20"/>
        <v>0.20534751117275452</v>
      </c>
    </row>
    <row r="178" spans="1:18" x14ac:dyDescent="0.25">
      <c r="A178" s="302" t="s">
        <v>3258</v>
      </c>
      <c r="B178" s="303" t="s">
        <v>113</v>
      </c>
      <c r="C178" s="319">
        <v>26764</v>
      </c>
      <c r="D178" s="305">
        <v>1</v>
      </c>
      <c r="E178" s="310">
        <v>1</v>
      </c>
      <c r="F178" s="296">
        <f t="shared" si="16"/>
        <v>0</v>
      </c>
      <c r="G178" s="223">
        <f t="shared" si="21"/>
        <v>0</v>
      </c>
      <c r="H178" s="305">
        <v>2</v>
      </c>
      <c r="I178" s="310">
        <v>2</v>
      </c>
      <c r="J178" s="306">
        <f t="shared" si="17"/>
        <v>0</v>
      </c>
      <c r="K178" s="297">
        <f t="shared" si="22"/>
        <v>0</v>
      </c>
      <c r="L178" s="305">
        <v>149</v>
      </c>
      <c r="M178" s="310">
        <v>149</v>
      </c>
      <c r="N178" s="224">
        <f t="shared" si="18"/>
        <v>0</v>
      </c>
      <c r="O178" s="298">
        <f t="shared" si="23"/>
        <v>0</v>
      </c>
      <c r="P178" s="307">
        <f t="shared" si="19"/>
        <v>7.4727245553728885</v>
      </c>
      <c r="Q178" s="308">
        <v>7.5</v>
      </c>
      <c r="R178" s="301">
        <f t="shared" si="20"/>
        <v>-2.7275444627111511E-2</v>
      </c>
    </row>
    <row r="179" spans="1:18" x14ac:dyDescent="0.25">
      <c r="A179" s="302" t="s">
        <v>3258</v>
      </c>
      <c r="B179" s="303" t="s">
        <v>114</v>
      </c>
      <c r="C179" s="319">
        <v>51750</v>
      </c>
      <c r="D179" s="305">
        <v>1</v>
      </c>
      <c r="E179" s="310">
        <v>1</v>
      </c>
      <c r="F179" s="296">
        <f t="shared" si="16"/>
        <v>0</v>
      </c>
      <c r="G179" s="223">
        <f t="shared" si="21"/>
        <v>0</v>
      </c>
      <c r="H179" s="305">
        <v>2</v>
      </c>
      <c r="I179" s="310">
        <v>2</v>
      </c>
      <c r="J179" s="306">
        <f t="shared" si="17"/>
        <v>0</v>
      </c>
      <c r="K179" s="297">
        <f t="shared" si="22"/>
        <v>0</v>
      </c>
      <c r="L179" s="305">
        <v>89</v>
      </c>
      <c r="M179" s="310">
        <v>93</v>
      </c>
      <c r="N179" s="224">
        <f t="shared" si="18"/>
        <v>-4</v>
      </c>
      <c r="O179" s="298">
        <f t="shared" si="23"/>
        <v>-4.3010752688172046E-2</v>
      </c>
      <c r="P179" s="307">
        <f t="shared" si="19"/>
        <v>3.8647342995169081</v>
      </c>
      <c r="Q179" s="308">
        <v>3.8</v>
      </c>
      <c r="R179" s="301">
        <f t="shared" si="20"/>
        <v>6.4734299516908234E-2</v>
      </c>
    </row>
    <row r="180" spans="1:18" x14ac:dyDescent="0.25">
      <c r="A180" s="302" t="s">
        <v>3258</v>
      </c>
      <c r="B180" s="303" t="s">
        <v>3305</v>
      </c>
      <c r="C180" s="319">
        <v>49187</v>
      </c>
      <c r="D180" s="305">
        <v>1</v>
      </c>
      <c r="E180" s="310">
        <v>1</v>
      </c>
      <c r="F180" s="296">
        <f t="shared" si="16"/>
        <v>0</v>
      </c>
      <c r="G180" s="223">
        <f t="shared" si="21"/>
        <v>0</v>
      </c>
      <c r="H180" s="316">
        <v>2</v>
      </c>
      <c r="I180" s="312">
        <v>2</v>
      </c>
      <c r="J180" s="317">
        <f t="shared" si="17"/>
        <v>0</v>
      </c>
      <c r="K180" s="297">
        <f t="shared" si="22"/>
        <v>0</v>
      </c>
      <c r="L180" s="316">
        <v>98</v>
      </c>
      <c r="M180" s="312">
        <v>98</v>
      </c>
      <c r="N180" s="295">
        <f t="shared" si="18"/>
        <v>0</v>
      </c>
      <c r="O180" s="298">
        <f t="shared" si="23"/>
        <v>0</v>
      </c>
      <c r="P180" s="307">
        <f t="shared" si="19"/>
        <v>4.0661150303942097</v>
      </c>
      <c r="Q180" s="308">
        <v>4</v>
      </c>
      <c r="R180" s="301">
        <f t="shared" si="20"/>
        <v>6.6115030394209739E-2</v>
      </c>
    </row>
    <row r="181" spans="1:18" x14ac:dyDescent="0.25">
      <c r="A181" s="291" t="s">
        <v>115</v>
      </c>
      <c r="B181" s="292" t="s">
        <v>3256</v>
      </c>
      <c r="C181" s="318">
        <v>1804217</v>
      </c>
      <c r="D181" s="294">
        <f>SUM(D182:D203)</f>
        <v>23</v>
      </c>
      <c r="E181" s="312">
        <f>SUM(E182:E203)</f>
        <v>23</v>
      </c>
      <c r="F181" s="296">
        <f t="shared" si="16"/>
        <v>0</v>
      </c>
      <c r="G181" s="223">
        <f t="shared" si="21"/>
        <v>0</v>
      </c>
      <c r="H181" s="294">
        <f>SUM(H182:H203)</f>
        <v>101</v>
      </c>
      <c r="I181" s="312">
        <f>SUM(I182:I203)</f>
        <v>101</v>
      </c>
      <c r="J181" s="306">
        <f t="shared" si="17"/>
        <v>0</v>
      </c>
      <c r="K181" s="297">
        <f t="shared" si="22"/>
        <v>0</v>
      </c>
      <c r="L181" s="294">
        <f>SUM(L182:L203)</f>
        <v>12700</v>
      </c>
      <c r="M181" s="312">
        <f>SUM(M182:M203)</f>
        <v>12704</v>
      </c>
      <c r="N181" s="224">
        <f t="shared" si="18"/>
        <v>-4</v>
      </c>
      <c r="O181" s="298">
        <f t="shared" si="23"/>
        <v>-3.1486146095717883E-4</v>
      </c>
      <c r="P181" s="299">
        <f t="shared" si="19"/>
        <v>5.5979962498967692</v>
      </c>
      <c r="Q181" s="300">
        <v>5.6</v>
      </c>
      <c r="R181" s="301">
        <f t="shared" si="20"/>
        <v>-2.003750103230395E-3</v>
      </c>
    </row>
    <row r="182" spans="1:18" x14ac:dyDescent="0.25">
      <c r="A182" s="302" t="s">
        <v>3258</v>
      </c>
      <c r="B182" s="303" t="s">
        <v>116</v>
      </c>
      <c r="C182" s="319">
        <v>214156</v>
      </c>
      <c r="D182" s="305">
        <v>3</v>
      </c>
      <c r="E182" s="310">
        <v>3</v>
      </c>
      <c r="F182" s="296">
        <f t="shared" si="16"/>
        <v>0</v>
      </c>
      <c r="G182" s="223">
        <f t="shared" si="21"/>
        <v>0</v>
      </c>
      <c r="H182" s="305">
        <v>20</v>
      </c>
      <c r="I182" s="310">
        <v>20</v>
      </c>
      <c r="J182" s="306">
        <f t="shared" si="17"/>
        <v>0</v>
      </c>
      <c r="K182" s="297">
        <f t="shared" si="22"/>
        <v>0</v>
      </c>
      <c r="L182" s="305">
        <v>3276</v>
      </c>
      <c r="M182" s="310">
        <v>3274</v>
      </c>
      <c r="N182" s="224">
        <f t="shared" si="18"/>
        <v>2</v>
      </c>
      <c r="O182" s="298">
        <f t="shared" si="23"/>
        <v>6.1087354917532073E-4</v>
      </c>
      <c r="P182" s="307">
        <f t="shared" si="19"/>
        <v>9.3389865331814192</v>
      </c>
      <c r="Q182" s="308">
        <v>9.1999999999999993</v>
      </c>
      <c r="R182" s="301">
        <f t="shared" si="20"/>
        <v>0.13898653318141996</v>
      </c>
    </row>
    <row r="183" spans="1:18" x14ac:dyDescent="0.25">
      <c r="A183" s="302" t="s">
        <v>3258</v>
      </c>
      <c r="B183" s="303" t="s">
        <v>117</v>
      </c>
      <c r="C183" s="319">
        <v>271696</v>
      </c>
      <c r="D183" s="305">
        <v>2</v>
      </c>
      <c r="E183" s="310">
        <v>2</v>
      </c>
      <c r="F183" s="296">
        <f t="shared" si="16"/>
        <v>0</v>
      </c>
      <c r="G183" s="223">
        <f t="shared" si="21"/>
        <v>0</v>
      </c>
      <c r="H183" s="305">
        <v>16</v>
      </c>
      <c r="I183" s="310">
        <v>16</v>
      </c>
      <c r="J183" s="306">
        <f t="shared" si="17"/>
        <v>0</v>
      </c>
      <c r="K183" s="297">
        <f t="shared" si="22"/>
        <v>0</v>
      </c>
      <c r="L183" s="305">
        <v>2010</v>
      </c>
      <c r="M183" s="310">
        <v>2010</v>
      </c>
      <c r="N183" s="224">
        <f t="shared" si="18"/>
        <v>0</v>
      </c>
      <c r="O183" s="298">
        <f t="shared" si="23"/>
        <v>0</v>
      </c>
      <c r="P183" s="307">
        <f t="shared" si="19"/>
        <v>5.8889346917142689</v>
      </c>
      <c r="Q183" s="308">
        <v>5.8</v>
      </c>
      <c r="R183" s="301">
        <f t="shared" si="20"/>
        <v>8.8934691714269043E-2</v>
      </c>
    </row>
    <row r="184" spans="1:18" x14ac:dyDescent="0.25">
      <c r="A184" s="302" t="s">
        <v>3258</v>
      </c>
      <c r="B184" s="303" t="s">
        <v>118</v>
      </c>
      <c r="C184" s="319">
        <v>278137</v>
      </c>
      <c r="D184" s="305">
        <v>3</v>
      </c>
      <c r="E184" s="310">
        <v>3</v>
      </c>
      <c r="F184" s="296">
        <f t="shared" si="16"/>
        <v>0</v>
      </c>
      <c r="G184" s="223">
        <f t="shared" si="21"/>
        <v>0</v>
      </c>
      <c r="H184" s="305">
        <v>24</v>
      </c>
      <c r="I184" s="310">
        <v>24</v>
      </c>
      <c r="J184" s="306">
        <f t="shared" si="17"/>
        <v>0</v>
      </c>
      <c r="K184" s="297">
        <f t="shared" si="22"/>
        <v>0</v>
      </c>
      <c r="L184" s="305">
        <v>3557</v>
      </c>
      <c r="M184" s="310">
        <v>3557</v>
      </c>
      <c r="N184" s="224">
        <f t="shared" si="18"/>
        <v>0</v>
      </c>
      <c r="O184" s="298">
        <f t="shared" si="23"/>
        <v>0</v>
      </c>
      <c r="P184" s="307">
        <f t="shared" si="19"/>
        <v>8.6288411825826845</v>
      </c>
      <c r="Q184" s="308">
        <v>8.6</v>
      </c>
      <c r="R184" s="301">
        <f t="shared" si="20"/>
        <v>2.8841182582684866E-2</v>
      </c>
    </row>
    <row r="185" spans="1:18" x14ac:dyDescent="0.25">
      <c r="A185" s="302" t="s">
        <v>3258</v>
      </c>
      <c r="B185" s="303" t="s">
        <v>119</v>
      </c>
      <c r="C185" s="319">
        <v>117377</v>
      </c>
      <c r="D185" s="305">
        <v>1</v>
      </c>
      <c r="E185" s="310">
        <v>1</v>
      </c>
      <c r="F185" s="296">
        <f t="shared" si="16"/>
        <v>0</v>
      </c>
      <c r="G185" s="223">
        <f t="shared" si="21"/>
        <v>0</v>
      </c>
      <c r="H185" s="305">
        <v>6</v>
      </c>
      <c r="I185" s="310">
        <v>6</v>
      </c>
      <c r="J185" s="306">
        <f t="shared" si="17"/>
        <v>0</v>
      </c>
      <c r="K185" s="297">
        <f t="shared" si="22"/>
        <v>0</v>
      </c>
      <c r="L185" s="305">
        <v>659</v>
      </c>
      <c r="M185" s="310">
        <v>665</v>
      </c>
      <c r="N185" s="224">
        <f t="shared" si="18"/>
        <v>-6</v>
      </c>
      <c r="O185" s="298">
        <f t="shared" si="23"/>
        <v>-9.0225563909774441E-3</v>
      </c>
      <c r="P185" s="307">
        <f t="shared" si="19"/>
        <v>5.1117339853634016</v>
      </c>
      <c r="Q185" s="308">
        <v>5.2</v>
      </c>
      <c r="R185" s="301">
        <f t="shared" si="20"/>
        <v>-8.8266014636598555E-2</v>
      </c>
    </row>
    <row r="186" spans="1:18" x14ac:dyDescent="0.25">
      <c r="A186" s="302" t="s">
        <v>3258</v>
      </c>
      <c r="B186" s="303" t="s">
        <v>120</v>
      </c>
      <c r="C186" s="319">
        <v>152666</v>
      </c>
      <c r="D186" s="305">
        <v>2</v>
      </c>
      <c r="E186" s="310">
        <v>2</v>
      </c>
      <c r="F186" s="296">
        <f t="shared" si="16"/>
        <v>0</v>
      </c>
      <c r="G186" s="223">
        <f t="shared" si="21"/>
        <v>0</v>
      </c>
      <c r="H186" s="305">
        <v>11</v>
      </c>
      <c r="I186" s="310">
        <v>11</v>
      </c>
      <c r="J186" s="306">
        <f t="shared" si="17"/>
        <v>0</v>
      </c>
      <c r="K186" s="297">
        <f t="shared" si="22"/>
        <v>0</v>
      </c>
      <c r="L186" s="305">
        <v>1874</v>
      </c>
      <c r="M186" s="310">
        <v>1874</v>
      </c>
      <c r="N186" s="224">
        <f t="shared" si="18"/>
        <v>0</v>
      </c>
      <c r="O186" s="298">
        <f t="shared" si="23"/>
        <v>0</v>
      </c>
      <c r="P186" s="307">
        <f t="shared" si="19"/>
        <v>7.20527163874078</v>
      </c>
      <c r="Q186" s="308">
        <v>7.2</v>
      </c>
      <c r="R186" s="301">
        <f t="shared" si="20"/>
        <v>5.2716387407798493E-3</v>
      </c>
    </row>
    <row r="187" spans="1:18" x14ac:dyDescent="0.25">
      <c r="A187" s="302" t="s">
        <v>3258</v>
      </c>
      <c r="B187" s="303" t="s">
        <v>3306</v>
      </c>
      <c r="C187" s="319">
        <v>45373</v>
      </c>
      <c r="D187" s="305">
        <v>1</v>
      </c>
      <c r="E187" s="310">
        <v>1</v>
      </c>
      <c r="F187" s="296">
        <f t="shared" si="16"/>
        <v>0</v>
      </c>
      <c r="G187" s="223">
        <f t="shared" si="21"/>
        <v>0</v>
      </c>
      <c r="H187" s="316">
        <v>2</v>
      </c>
      <c r="I187" s="312">
        <v>2</v>
      </c>
      <c r="J187" s="317">
        <f t="shared" si="17"/>
        <v>0</v>
      </c>
      <c r="K187" s="297">
        <f t="shared" si="22"/>
        <v>0</v>
      </c>
      <c r="L187" s="316">
        <v>99</v>
      </c>
      <c r="M187" s="312">
        <v>99</v>
      </c>
      <c r="N187" s="295">
        <f t="shared" si="18"/>
        <v>0</v>
      </c>
      <c r="O187" s="298">
        <f t="shared" si="23"/>
        <v>0</v>
      </c>
      <c r="P187" s="307">
        <f t="shared" si="19"/>
        <v>4.4079077865691048</v>
      </c>
      <c r="Q187" s="308">
        <v>4.4000000000000004</v>
      </c>
      <c r="R187" s="301">
        <f t="shared" si="20"/>
        <v>7.9077865691044025E-3</v>
      </c>
    </row>
    <row r="188" spans="1:18" x14ac:dyDescent="0.25">
      <c r="A188" s="302" t="s">
        <v>3258</v>
      </c>
      <c r="B188" s="303" t="s">
        <v>3307</v>
      </c>
      <c r="C188" s="319">
        <v>26905</v>
      </c>
      <c r="D188" s="305">
        <v>1</v>
      </c>
      <c r="E188" s="310">
        <v>1</v>
      </c>
      <c r="F188" s="296">
        <f t="shared" si="16"/>
        <v>0</v>
      </c>
      <c r="G188" s="223">
        <f t="shared" si="21"/>
        <v>0</v>
      </c>
      <c r="H188" s="316">
        <v>2</v>
      </c>
      <c r="I188" s="312">
        <v>2</v>
      </c>
      <c r="J188" s="317">
        <f t="shared" si="17"/>
        <v>0</v>
      </c>
      <c r="K188" s="297">
        <f t="shared" si="22"/>
        <v>0</v>
      </c>
      <c r="L188" s="316">
        <v>95</v>
      </c>
      <c r="M188" s="312">
        <v>95</v>
      </c>
      <c r="N188" s="295">
        <f t="shared" si="18"/>
        <v>0</v>
      </c>
      <c r="O188" s="298">
        <f t="shared" si="23"/>
        <v>0</v>
      </c>
      <c r="P188" s="307">
        <f t="shared" si="19"/>
        <v>7.4335625348448247</v>
      </c>
      <c r="Q188" s="308">
        <v>7.4</v>
      </c>
      <c r="R188" s="301">
        <f t="shared" si="20"/>
        <v>3.3562534844824299E-2</v>
      </c>
    </row>
    <row r="189" spans="1:18" x14ac:dyDescent="0.25">
      <c r="A189" s="302" t="s">
        <v>3258</v>
      </c>
      <c r="B189" s="303" t="s">
        <v>121</v>
      </c>
      <c r="C189" s="319">
        <v>24314</v>
      </c>
      <c r="D189" s="305">
        <v>1</v>
      </c>
      <c r="E189" s="310">
        <v>1</v>
      </c>
      <c r="F189" s="296">
        <f t="shared" si="16"/>
        <v>0</v>
      </c>
      <c r="G189" s="223">
        <f t="shared" si="21"/>
        <v>0</v>
      </c>
      <c r="H189" s="305">
        <v>2</v>
      </c>
      <c r="I189" s="310">
        <v>2</v>
      </c>
      <c r="J189" s="306">
        <f t="shared" si="17"/>
        <v>0</v>
      </c>
      <c r="K189" s="297">
        <f t="shared" si="22"/>
        <v>0</v>
      </c>
      <c r="L189" s="305">
        <v>140</v>
      </c>
      <c r="M189" s="310">
        <v>140</v>
      </c>
      <c r="N189" s="224">
        <f t="shared" si="18"/>
        <v>0</v>
      </c>
      <c r="O189" s="298">
        <f t="shared" si="23"/>
        <v>0</v>
      </c>
      <c r="P189" s="307">
        <f t="shared" si="19"/>
        <v>8.225713580653121</v>
      </c>
      <c r="Q189" s="308">
        <v>8.1</v>
      </c>
      <c r="R189" s="301">
        <f t="shared" si="20"/>
        <v>0.12571358065312133</v>
      </c>
    </row>
    <row r="190" spans="1:18" x14ac:dyDescent="0.25">
      <c r="A190" s="302" t="s">
        <v>3258</v>
      </c>
      <c r="B190" s="303" t="s">
        <v>3308</v>
      </c>
      <c r="C190" s="319">
        <v>61113</v>
      </c>
      <c r="D190" s="305">
        <v>1</v>
      </c>
      <c r="E190" s="310">
        <v>1</v>
      </c>
      <c r="F190" s="296">
        <f t="shared" si="16"/>
        <v>0</v>
      </c>
      <c r="G190" s="223">
        <f t="shared" si="21"/>
        <v>0</v>
      </c>
      <c r="H190" s="316">
        <v>2</v>
      </c>
      <c r="I190" s="312">
        <v>2</v>
      </c>
      <c r="J190" s="317">
        <f t="shared" si="17"/>
        <v>0</v>
      </c>
      <c r="K190" s="297">
        <f t="shared" si="22"/>
        <v>0</v>
      </c>
      <c r="L190" s="316">
        <v>141</v>
      </c>
      <c r="M190" s="312">
        <v>141</v>
      </c>
      <c r="N190" s="295">
        <f t="shared" si="18"/>
        <v>0</v>
      </c>
      <c r="O190" s="298">
        <f t="shared" si="23"/>
        <v>0</v>
      </c>
      <c r="P190" s="307">
        <f t="shared" si="19"/>
        <v>3.2726261188290544</v>
      </c>
      <c r="Q190" s="308">
        <v>3.2</v>
      </c>
      <c r="R190" s="301">
        <f t="shared" si="20"/>
        <v>7.2626118829054231E-2</v>
      </c>
    </row>
    <row r="191" spans="1:18" x14ac:dyDescent="0.25">
      <c r="A191" s="302" t="s">
        <v>3258</v>
      </c>
      <c r="B191" s="303" t="s">
        <v>3309</v>
      </c>
      <c r="C191" s="319">
        <v>37686</v>
      </c>
      <c r="D191" s="305">
        <v>1</v>
      </c>
      <c r="E191" s="310">
        <v>1</v>
      </c>
      <c r="F191" s="296">
        <f t="shared" si="16"/>
        <v>0</v>
      </c>
      <c r="G191" s="223">
        <f t="shared" si="21"/>
        <v>0</v>
      </c>
      <c r="H191" s="305">
        <v>2</v>
      </c>
      <c r="I191" s="310">
        <v>2</v>
      </c>
      <c r="J191" s="306">
        <f t="shared" si="17"/>
        <v>0</v>
      </c>
      <c r="K191" s="297">
        <f t="shared" si="22"/>
        <v>0</v>
      </c>
      <c r="L191" s="305">
        <v>92</v>
      </c>
      <c r="M191" s="310">
        <v>92</v>
      </c>
      <c r="N191" s="224">
        <f t="shared" si="18"/>
        <v>0</v>
      </c>
      <c r="O191" s="298">
        <f t="shared" si="23"/>
        <v>0</v>
      </c>
      <c r="P191" s="307">
        <f t="shared" si="19"/>
        <v>5.3070105609510163</v>
      </c>
      <c r="Q191" s="308">
        <v>5.2</v>
      </c>
      <c r="R191" s="301">
        <f t="shared" si="20"/>
        <v>0.10701056095101613</v>
      </c>
    </row>
    <row r="192" spans="1:18" x14ac:dyDescent="0.25">
      <c r="A192" s="302" t="s">
        <v>3258</v>
      </c>
      <c r="B192" s="303" t="s">
        <v>3310</v>
      </c>
      <c r="C192" s="319">
        <v>61254</v>
      </c>
      <c r="D192" s="305">
        <v>1</v>
      </c>
      <c r="E192" s="310">
        <v>1</v>
      </c>
      <c r="F192" s="296">
        <f t="shared" si="16"/>
        <v>0</v>
      </c>
      <c r="G192" s="223">
        <f t="shared" si="21"/>
        <v>0</v>
      </c>
      <c r="H192" s="316">
        <v>2</v>
      </c>
      <c r="I192" s="312">
        <v>2</v>
      </c>
      <c r="J192" s="317">
        <f t="shared" si="17"/>
        <v>0</v>
      </c>
      <c r="K192" s="297">
        <f t="shared" si="22"/>
        <v>0</v>
      </c>
      <c r="L192" s="316">
        <v>124</v>
      </c>
      <c r="M192" s="312">
        <v>124</v>
      </c>
      <c r="N192" s="295">
        <f t="shared" si="18"/>
        <v>0</v>
      </c>
      <c r="O192" s="298">
        <f t="shared" si="23"/>
        <v>0</v>
      </c>
      <c r="P192" s="307">
        <f t="shared" si="19"/>
        <v>3.265092891892774</v>
      </c>
      <c r="Q192" s="308">
        <v>3.2</v>
      </c>
      <c r="R192" s="301">
        <f t="shared" si="20"/>
        <v>6.5092891892773785E-2</v>
      </c>
    </row>
    <row r="193" spans="1:18" x14ac:dyDescent="0.25">
      <c r="A193" s="302" t="s">
        <v>3258</v>
      </c>
      <c r="B193" s="303" t="s">
        <v>3311</v>
      </c>
      <c r="C193" s="319">
        <v>35046</v>
      </c>
      <c r="D193" s="305">
        <v>1</v>
      </c>
      <c r="E193" s="310">
        <v>1</v>
      </c>
      <c r="F193" s="296">
        <f t="shared" si="16"/>
        <v>0</v>
      </c>
      <c r="G193" s="223">
        <f t="shared" si="21"/>
        <v>0</v>
      </c>
      <c r="H193" s="316">
        <v>2</v>
      </c>
      <c r="I193" s="312">
        <v>2</v>
      </c>
      <c r="J193" s="317">
        <f t="shared" si="17"/>
        <v>0</v>
      </c>
      <c r="K193" s="297">
        <f t="shared" si="22"/>
        <v>0</v>
      </c>
      <c r="L193" s="316">
        <v>99</v>
      </c>
      <c r="M193" s="312">
        <v>99</v>
      </c>
      <c r="N193" s="295">
        <f t="shared" si="18"/>
        <v>0</v>
      </c>
      <c r="O193" s="298">
        <f t="shared" si="23"/>
        <v>0</v>
      </c>
      <c r="P193" s="307">
        <f t="shared" si="19"/>
        <v>5.7067853678023166</v>
      </c>
      <c r="Q193" s="308">
        <v>5.6</v>
      </c>
      <c r="R193" s="301">
        <f t="shared" si="20"/>
        <v>0.10678536780231696</v>
      </c>
    </row>
    <row r="194" spans="1:18" x14ac:dyDescent="0.25">
      <c r="A194" s="302" t="s">
        <v>3258</v>
      </c>
      <c r="B194" s="303" t="s">
        <v>3312</v>
      </c>
      <c r="C194" s="319">
        <v>32722</v>
      </c>
      <c r="D194" s="305">
        <v>0</v>
      </c>
      <c r="E194" s="310">
        <v>0</v>
      </c>
      <c r="F194" s="296">
        <f t="shared" si="16"/>
        <v>0</v>
      </c>
      <c r="G194" s="314" t="s">
        <v>3260</v>
      </c>
      <c r="H194" s="305">
        <v>0</v>
      </c>
      <c r="I194" s="310">
        <v>0</v>
      </c>
      <c r="J194" s="306">
        <f t="shared" si="17"/>
        <v>0</v>
      </c>
      <c r="K194" s="315" t="s">
        <v>3260</v>
      </c>
      <c r="L194" s="305">
        <v>0</v>
      </c>
      <c r="M194" s="310">
        <v>0</v>
      </c>
      <c r="N194" s="224">
        <f t="shared" si="18"/>
        <v>0</v>
      </c>
      <c r="O194" s="298" t="s">
        <v>3260</v>
      </c>
      <c r="P194" s="307">
        <f t="shared" si="19"/>
        <v>0</v>
      </c>
      <c r="Q194" s="308">
        <v>0</v>
      </c>
      <c r="R194" s="301">
        <f t="shared" si="20"/>
        <v>0</v>
      </c>
    </row>
    <row r="195" spans="1:18" x14ac:dyDescent="0.25">
      <c r="A195" s="302" t="s">
        <v>3258</v>
      </c>
      <c r="B195" s="303" t="s">
        <v>3313</v>
      </c>
      <c r="C195" s="319">
        <v>64575</v>
      </c>
      <c r="D195" s="305">
        <v>1</v>
      </c>
      <c r="E195" s="310">
        <v>1</v>
      </c>
      <c r="F195" s="296">
        <f t="shared" si="16"/>
        <v>0</v>
      </c>
      <c r="G195" s="223">
        <f t="shared" si="21"/>
        <v>0</v>
      </c>
      <c r="H195" s="305">
        <v>2</v>
      </c>
      <c r="I195" s="310">
        <v>2</v>
      </c>
      <c r="J195" s="306">
        <f t="shared" si="17"/>
        <v>0</v>
      </c>
      <c r="K195" s="297">
        <f t="shared" si="22"/>
        <v>0</v>
      </c>
      <c r="L195" s="305">
        <v>136</v>
      </c>
      <c r="M195" s="310">
        <v>136</v>
      </c>
      <c r="N195" s="224">
        <f t="shared" si="18"/>
        <v>0</v>
      </c>
      <c r="O195" s="298">
        <f t="shared" si="23"/>
        <v>0</v>
      </c>
      <c r="P195" s="307">
        <f t="shared" si="19"/>
        <v>3.0971738288811461</v>
      </c>
      <c r="Q195" s="308">
        <v>3</v>
      </c>
      <c r="R195" s="301">
        <f t="shared" si="20"/>
        <v>9.7173828881146118E-2</v>
      </c>
    </row>
    <row r="196" spans="1:18" x14ac:dyDescent="0.25">
      <c r="A196" s="302" t="s">
        <v>3258</v>
      </c>
      <c r="B196" s="303" t="s">
        <v>3314</v>
      </c>
      <c r="C196" s="319">
        <v>52350</v>
      </c>
      <c r="D196" s="305">
        <v>1</v>
      </c>
      <c r="E196" s="310">
        <v>1</v>
      </c>
      <c r="F196" s="296">
        <f t="shared" si="16"/>
        <v>0</v>
      </c>
      <c r="G196" s="223">
        <f t="shared" si="21"/>
        <v>0</v>
      </c>
      <c r="H196" s="305">
        <v>2</v>
      </c>
      <c r="I196" s="310">
        <v>2</v>
      </c>
      <c r="J196" s="306">
        <f t="shared" si="17"/>
        <v>0</v>
      </c>
      <c r="K196" s="297">
        <f t="shared" si="22"/>
        <v>0</v>
      </c>
      <c r="L196" s="305">
        <v>93</v>
      </c>
      <c r="M196" s="310">
        <v>93</v>
      </c>
      <c r="N196" s="224">
        <f t="shared" si="18"/>
        <v>0</v>
      </c>
      <c r="O196" s="298">
        <f t="shared" si="23"/>
        <v>0</v>
      </c>
      <c r="P196" s="307">
        <f t="shared" si="19"/>
        <v>3.8204393505253105</v>
      </c>
      <c r="Q196" s="308">
        <v>3.8</v>
      </c>
      <c r="R196" s="301">
        <f t="shared" si="20"/>
        <v>2.0439350525310651E-2</v>
      </c>
    </row>
    <row r="197" spans="1:18" x14ac:dyDescent="0.25">
      <c r="A197" s="302" t="s">
        <v>3258</v>
      </c>
      <c r="B197" s="303" t="s">
        <v>3315</v>
      </c>
      <c r="C197" s="319">
        <v>90296</v>
      </c>
      <c r="D197" s="305">
        <v>0</v>
      </c>
      <c r="E197" s="310">
        <v>0</v>
      </c>
      <c r="F197" s="296">
        <f t="shared" ref="F197:F248" si="24">D197-E197</f>
        <v>0</v>
      </c>
      <c r="G197" s="314" t="s">
        <v>3260</v>
      </c>
      <c r="H197" s="305">
        <v>0</v>
      </c>
      <c r="I197" s="310">
        <v>0</v>
      </c>
      <c r="J197" s="306">
        <f t="shared" ref="J197:J248" si="25">H197-I197</f>
        <v>0</v>
      </c>
      <c r="K197" s="315" t="s">
        <v>3260</v>
      </c>
      <c r="L197" s="305">
        <v>0</v>
      </c>
      <c r="M197" s="310">
        <v>0</v>
      </c>
      <c r="N197" s="224">
        <f t="shared" ref="N197:N248" si="26">L197-M197</f>
        <v>0</v>
      </c>
      <c r="O197" s="298" t="s">
        <v>3260</v>
      </c>
      <c r="P197" s="307">
        <f t="shared" ref="P197:P248" si="27">(H197/C197)*100000</f>
        <v>0</v>
      </c>
      <c r="Q197" s="308">
        <v>0</v>
      </c>
      <c r="R197" s="301">
        <f t="shared" ref="R197:R248" si="28">P197-Q197</f>
        <v>0</v>
      </c>
    </row>
    <row r="198" spans="1:18" x14ac:dyDescent="0.25">
      <c r="A198" s="302" t="s">
        <v>3258</v>
      </c>
      <c r="B198" s="303" t="s">
        <v>3316</v>
      </c>
      <c r="C198" s="319">
        <v>30601</v>
      </c>
      <c r="D198" s="305">
        <v>0</v>
      </c>
      <c r="E198" s="310">
        <v>0</v>
      </c>
      <c r="F198" s="296">
        <f t="shared" si="24"/>
        <v>0</v>
      </c>
      <c r="G198" s="314" t="s">
        <v>3260</v>
      </c>
      <c r="H198" s="305">
        <v>0</v>
      </c>
      <c r="I198" s="310">
        <v>0</v>
      </c>
      <c r="J198" s="306">
        <f t="shared" si="25"/>
        <v>0</v>
      </c>
      <c r="K198" s="315" t="s">
        <v>3260</v>
      </c>
      <c r="L198" s="305">
        <v>0</v>
      </c>
      <c r="M198" s="310">
        <v>0</v>
      </c>
      <c r="N198" s="224">
        <f t="shared" si="26"/>
        <v>0</v>
      </c>
      <c r="O198" s="298" t="s">
        <v>3260</v>
      </c>
      <c r="P198" s="307">
        <f t="shared" si="27"/>
        <v>0</v>
      </c>
      <c r="Q198" s="308">
        <v>0</v>
      </c>
      <c r="R198" s="301">
        <f t="shared" si="28"/>
        <v>0</v>
      </c>
    </row>
    <row r="199" spans="1:18" x14ac:dyDescent="0.25">
      <c r="A199" s="302" t="s">
        <v>3258</v>
      </c>
      <c r="B199" s="303" t="s">
        <v>3317</v>
      </c>
      <c r="C199" s="319">
        <v>51750</v>
      </c>
      <c r="D199" s="305">
        <v>1</v>
      </c>
      <c r="E199" s="310">
        <v>1</v>
      </c>
      <c r="F199" s="296">
        <f t="shared" si="24"/>
        <v>0</v>
      </c>
      <c r="G199" s="223">
        <f t="shared" ref="G199" si="29">F199/E199</f>
        <v>0</v>
      </c>
      <c r="H199" s="305">
        <v>2</v>
      </c>
      <c r="I199" s="310">
        <v>2</v>
      </c>
      <c r="J199" s="306">
        <f t="shared" si="25"/>
        <v>0</v>
      </c>
      <c r="K199" s="297">
        <f t="shared" ref="K199" si="30">J199/I199</f>
        <v>0</v>
      </c>
      <c r="L199" s="305">
        <v>109</v>
      </c>
      <c r="M199" s="310">
        <v>109</v>
      </c>
      <c r="N199" s="224">
        <f t="shared" si="26"/>
        <v>0</v>
      </c>
      <c r="O199" s="298">
        <f t="shared" ref="O199" si="31">N199/M199</f>
        <v>0</v>
      </c>
      <c r="P199" s="307">
        <f t="shared" si="27"/>
        <v>3.8647342995169081</v>
      </c>
      <c r="Q199" s="308">
        <v>3.8</v>
      </c>
      <c r="R199" s="301">
        <f t="shared" si="28"/>
        <v>6.4734299516908234E-2</v>
      </c>
    </row>
    <row r="200" spans="1:18" x14ac:dyDescent="0.25">
      <c r="A200" s="302" t="s">
        <v>3258</v>
      </c>
      <c r="B200" s="303" t="s">
        <v>3318</v>
      </c>
      <c r="C200" s="319">
        <v>42543</v>
      </c>
      <c r="D200" s="305">
        <v>0</v>
      </c>
      <c r="E200" s="310">
        <v>0</v>
      </c>
      <c r="F200" s="296">
        <f t="shared" si="24"/>
        <v>0</v>
      </c>
      <c r="G200" s="314" t="s">
        <v>3260</v>
      </c>
      <c r="H200" s="305">
        <v>0</v>
      </c>
      <c r="I200" s="310">
        <v>0</v>
      </c>
      <c r="J200" s="306">
        <f t="shared" si="25"/>
        <v>0</v>
      </c>
      <c r="K200" s="315" t="s">
        <v>3264</v>
      </c>
      <c r="L200" s="305">
        <v>0</v>
      </c>
      <c r="M200" s="310">
        <v>0</v>
      </c>
      <c r="N200" s="224">
        <f t="shared" si="26"/>
        <v>0</v>
      </c>
      <c r="O200" s="298" t="s">
        <v>3260</v>
      </c>
      <c r="P200" s="307">
        <f t="shared" si="27"/>
        <v>0</v>
      </c>
      <c r="Q200" s="308">
        <v>0</v>
      </c>
      <c r="R200" s="301">
        <f t="shared" si="28"/>
        <v>0</v>
      </c>
    </row>
    <row r="201" spans="1:18" x14ac:dyDescent="0.25">
      <c r="A201" s="302" t="s">
        <v>3258</v>
      </c>
      <c r="B201" s="303" t="s">
        <v>3319</v>
      </c>
      <c r="C201" s="319">
        <v>46641</v>
      </c>
      <c r="D201" s="305">
        <v>1</v>
      </c>
      <c r="E201" s="310">
        <v>1</v>
      </c>
      <c r="F201" s="296">
        <f t="shared" si="24"/>
        <v>0</v>
      </c>
      <c r="G201" s="223">
        <f t="shared" ref="G201:G248" si="32">F201/E201</f>
        <v>0</v>
      </c>
      <c r="H201" s="316">
        <v>2</v>
      </c>
      <c r="I201" s="312">
        <v>2</v>
      </c>
      <c r="J201" s="317">
        <f t="shared" si="25"/>
        <v>0</v>
      </c>
      <c r="K201" s="297">
        <f t="shared" ref="K201:K248" si="33">J201/I201</f>
        <v>0</v>
      </c>
      <c r="L201" s="316">
        <v>98</v>
      </c>
      <c r="M201" s="312">
        <v>98</v>
      </c>
      <c r="N201" s="295">
        <f t="shared" si="26"/>
        <v>0</v>
      </c>
      <c r="O201" s="298">
        <f t="shared" ref="O201:O248" si="34">N201/M201</f>
        <v>0</v>
      </c>
      <c r="P201" s="307">
        <f t="shared" si="27"/>
        <v>4.2880727257134277</v>
      </c>
      <c r="Q201" s="308">
        <v>4.2</v>
      </c>
      <c r="R201" s="301">
        <f t="shared" si="28"/>
        <v>8.8072725713427502E-2</v>
      </c>
    </row>
    <row r="202" spans="1:18" x14ac:dyDescent="0.25">
      <c r="A202" s="302" t="s">
        <v>3258</v>
      </c>
      <c r="B202" s="303" t="s">
        <v>122</v>
      </c>
      <c r="C202" s="319">
        <v>28979</v>
      </c>
      <c r="D202" s="305">
        <v>1</v>
      </c>
      <c r="E202" s="310">
        <v>1</v>
      </c>
      <c r="F202" s="296">
        <f t="shared" si="24"/>
        <v>0</v>
      </c>
      <c r="G202" s="223">
        <f t="shared" si="32"/>
        <v>0</v>
      </c>
      <c r="H202" s="305">
        <v>2</v>
      </c>
      <c r="I202" s="310">
        <v>2</v>
      </c>
      <c r="J202" s="306">
        <f t="shared" si="25"/>
        <v>0</v>
      </c>
      <c r="K202" s="297">
        <f t="shared" si="33"/>
        <v>0</v>
      </c>
      <c r="L202" s="305">
        <v>98</v>
      </c>
      <c r="M202" s="310">
        <v>98</v>
      </c>
      <c r="N202" s="224">
        <f t="shared" si="26"/>
        <v>0</v>
      </c>
      <c r="O202" s="298">
        <f t="shared" si="34"/>
        <v>0</v>
      </c>
      <c r="P202" s="307">
        <f t="shared" si="27"/>
        <v>6.9015493978398146</v>
      </c>
      <c r="Q202" s="308">
        <v>6.8</v>
      </c>
      <c r="R202" s="301">
        <f t="shared" si="28"/>
        <v>0.10154939783981476</v>
      </c>
    </row>
    <row r="203" spans="1:18" x14ac:dyDescent="0.25">
      <c r="A203" s="302" t="s">
        <v>3258</v>
      </c>
      <c r="B203" s="303" t="s">
        <v>3320</v>
      </c>
      <c r="C203" s="319">
        <v>38037</v>
      </c>
      <c r="D203" s="305">
        <v>0</v>
      </c>
      <c r="E203" s="310">
        <v>0</v>
      </c>
      <c r="F203" s="296">
        <f t="shared" si="24"/>
        <v>0</v>
      </c>
      <c r="G203" s="314" t="s">
        <v>3260</v>
      </c>
      <c r="H203" s="305">
        <v>0</v>
      </c>
      <c r="I203" s="310">
        <v>0</v>
      </c>
      <c r="J203" s="306">
        <f t="shared" si="25"/>
        <v>0</v>
      </c>
      <c r="K203" s="315" t="s">
        <v>3260</v>
      </c>
      <c r="L203" s="305">
        <v>0</v>
      </c>
      <c r="M203" s="310">
        <v>0</v>
      </c>
      <c r="N203" s="224">
        <f t="shared" si="26"/>
        <v>0</v>
      </c>
      <c r="O203" s="298" t="s">
        <v>3261</v>
      </c>
      <c r="P203" s="307">
        <f t="shared" si="27"/>
        <v>0</v>
      </c>
      <c r="Q203" s="308">
        <v>0</v>
      </c>
      <c r="R203" s="301">
        <f t="shared" si="28"/>
        <v>0</v>
      </c>
    </row>
    <row r="204" spans="1:18" x14ac:dyDescent="0.25">
      <c r="A204" s="291" t="s">
        <v>123</v>
      </c>
      <c r="B204" s="292" t="s">
        <v>3256</v>
      </c>
      <c r="C204" s="318">
        <v>2554324</v>
      </c>
      <c r="D204" s="294">
        <f>SUM(D205:D226)</f>
        <v>32</v>
      </c>
      <c r="E204" s="312">
        <f>SUM(E205:E226)</f>
        <v>33</v>
      </c>
      <c r="F204" s="296">
        <f t="shared" si="24"/>
        <v>-1</v>
      </c>
      <c r="G204" s="223">
        <f t="shared" si="32"/>
        <v>-3.0303030303030304E-2</v>
      </c>
      <c r="H204" s="294">
        <f>SUM(H205:H226)</f>
        <v>151</v>
      </c>
      <c r="I204" s="312">
        <f>SUM(I205:I226)</f>
        <v>152</v>
      </c>
      <c r="J204" s="306">
        <f t="shared" si="25"/>
        <v>-1</v>
      </c>
      <c r="K204" s="297">
        <f t="shared" si="33"/>
        <v>-6.5789473684210523E-3</v>
      </c>
      <c r="L204" s="294">
        <f>SUM(L205:L226)</f>
        <v>16952</v>
      </c>
      <c r="M204" s="312">
        <f>SUM(M205:M226)</f>
        <v>17422</v>
      </c>
      <c r="N204" s="224">
        <f t="shared" si="26"/>
        <v>-470</v>
      </c>
      <c r="O204" s="298">
        <f t="shared" si="34"/>
        <v>-2.6977384915623924E-2</v>
      </c>
      <c r="P204" s="299">
        <f t="shared" si="27"/>
        <v>5.911544502576807</v>
      </c>
      <c r="Q204" s="300">
        <v>5.8</v>
      </c>
      <c r="R204" s="301">
        <f t="shared" si="28"/>
        <v>0.11154450257680715</v>
      </c>
    </row>
    <row r="205" spans="1:18" x14ac:dyDescent="0.25">
      <c r="A205" s="302" t="s">
        <v>3258</v>
      </c>
      <c r="B205" s="303" t="s">
        <v>124</v>
      </c>
      <c r="C205" s="309">
        <v>493033</v>
      </c>
      <c r="D205" s="305">
        <v>5</v>
      </c>
      <c r="E205" s="310">
        <v>5</v>
      </c>
      <c r="F205" s="296">
        <f t="shared" si="24"/>
        <v>0</v>
      </c>
      <c r="G205" s="223">
        <f t="shared" si="32"/>
        <v>0</v>
      </c>
      <c r="H205" s="305">
        <v>30</v>
      </c>
      <c r="I205" s="310">
        <v>30</v>
      </c>
      <c r="J205" s="306">
        <f t="shared" si="25"/>
        <v>0</v>
      </c>
      <c r="K205" s="297">
        <f t="shared" si="33"/>
        <v>0</v>
      </c>
      <c r="L205" s="305">
        <v>3327</v>
      </c>
      <c r="M205" s="310">
        <v>3512</v>
      </c>
      <c r="N205" s="224">
        <f t="shared" si="26"/>
        <v>-185</v>
      </c>
      <c r="O205" s="298">
        <f t="shared" si="34"/>
        <v>-5.2676537585421415E-2</v>
      </c>
      <c r="P205" s="307">
        <f t="shared" si="27"/>
        <v>6.0847853997602597</v>
      </c>
      <c r="Q205" s="308">
        <v>6</v>
      </c>
      <c r="R205" s="301">
        <f t="shared" si="28"/>
        <v>8.4785399760259672E-2</v>
      </c>
    </row>
    <row r="206" spans="1:18" x14ac:dyDescent="0.25">
      <c r="A206" s="302" t="s">
        <v>3258</v>
      </c>
      <c r="B206" s="303" t="s">
        <v>125</v>
      </c>
      <c r="C206" s="322">
        <v>247489</v>
      </c>
      <c r="D206" s="305">
        <v>4</v>
      </c>
      <c r="E206" s="310">
        <v>4</v>
      </c>
      <c r="F206" s="296">
        <f t="shared" si="24"/>
        <v>0</v>
      </c>
      <c r="G206" s="223">
        <f t="shared" si="32"/>
        <v>0</v>
      </c>
      <c r="H206" s="305">
        <v>17</v>
      </c>
      <c r="I206" s="310">
        <v>17</v>
      </c>
      <c r="J206" s="306">
        <f t="shared" si="25"/>
        <v>0</v>
      </c>
      <c r="K206" s="297">
        <f t="shared" si="33"/>
        <v>0</v>
      </c>
      <c r="L206" s="305">
        <v>2116</v>
      </c>
      <c r="M206" s="310">
        <v>2253</v>
      </c>
      <c r="N206" s="224">
        <f t="shared" si="26"/>
        <v>-137</v>
      </c>
      <c r="O206" s="298">
        <f t="shared" si="34"/>
        <v>-6.0807811806480247E-2</v>
      </c>
      <c r="P206" s="307">
        <f t="shared" si="27"/>
        <v>6.8689921572271899</v>
      </c>
      <c r="Q206" s="308">
        <v>6.8</v>
      </c>
      <c r="R206" s="301">
        <f t="shared" si="28"/>
        <v>6.8992157227190098E-2</v>
      </c>
    </row>
    <row r="207" spans="1:18" x14ac:dyDescent="0.25">
      <c r="A207" s="302" t="s">
        <v>3258</v>
      </c>
      <c r="B207" s="303" t="s">
        <v>126</v>
      </c>
      <c r="C207" s="319">
        <v>137515</v>
      </c>
      <c r="D207" s="305">
        <v>2</v>
      </c>
      <c r="E207" s="310">
        <v>2</v>
      </c>
      <c r="F207" s="296">
        <f t="shared" si="24"/>
        <v>0</v>
      </c>
      <c r="G207" s="223">
        <f t="shared" si="32"/>
        <v>0</v>
      </c>
      <c r="H207" s="305">
        <v>9</v>
      </c>
      <c r="I207" s="310">
        <v>9</v>
      </c>
      <c r="J207" s="306">
        <f t="shared" si="25"/>
        <v>0</v>
      </c>
      <c r="K207" s="297">
        <f t="shared" si="33"/>
        <v>0</v>
      </c>
      <c r="L207" s="305">
        <v>1458</v>
      </c>
      <c r="M207" s="310">
        <v>1458</v>
      </c>
      <c r="N207" s="224">
        <f t="shared" si="26"/>
        <v>0</v>
      </c>
      <c r="O207" s="298">
        <f t="shared" si="34"/>
        <v>0</v>
      </c>
      <c r="P207" s="307">
        <f t="shared" si="27"/>
        <v>6.5447405737555897</v>
      </c>
      <c r="Q207" s="308">
        <v>6.5</v>
      </c>
      <c r="R207" s="301">
        <f t="shared" si="28"/>
        <v>4.4740573755589708E-2</v>
      </c>
    </row>
    <row r="208" spans="1:18" x14ac:dyDescent="0.25">
      <c r="A208" s="302" t="s">
        <v>3258</v>
      </c>
      <c r="B208" s="303" t="s">
        <v>127</v>
      </c>
      <c r="C208" s="319">
        <v>152935</v>
      </c>
      <c r="D208" s="305">
        <v>3</v>
      </c>
      <c r="E208" s="310">
        <v>3</v>
      </c>
      <c r="F208" s="296">
        <f t="shared" si="24"/>
        <v>0</v>
      </c>
      <c r="G208" s="223">
        <f t="shared" si="32"/>
        <v>0</v>
      </c>
      <c r="H208" s="305">
        <v>12</v>
      </c>
      <c r="I208" s="310">
        <v>12</v>
      </c>
      <c r="J208" s="306">
        <f t="shared" si="25"/>
        <v>0</v>
      </c>
      <c r="K208" s="297">
        <f t="shared" si="33"/>
        <v>0</v>
      </c>
      <c r="L208" s="305">
        <v>1161</v>
      </c>
      <c r="M208" s="310">
        <v>1161</v>
      </c>
      <c r="N208" s="224">
        <f t="shared" si="26"/>
        <v>0</v>
      </c>
      <c r="O208" s="298">
        <f t="shared" si="34"/>
        <v>0</v>
      </c>
      <c r="P208" s="307">
        <f t="shared" si="27"/>
        <v>7.8464707228561155</v>
      </c>
      <c r="Q208" s="308">
        <v>7.8</v>
      </c>
      <c r="R208" s="301">
        <f t="shared" si="28"/>
        <v>4.6470722856115643E-2</v>
      </c>
    </row>
    <row r="209" spans="1:18" x14ac:dyDescent="0.25">
      <c r="A209" s="302" t="s">
        <v>3258</v>
      </c>
      <c r="B209" s="303" t="s">
        <v>128</v>
      </c>
      <c r="C209" s="319">
        <v>405506</v>
      </c>
      <c r="D209" s="305">
        <v>5</v>
      </c>
      <c r="E209" s="310">
        <v>5</v>
      </c>
      <c r="F209" s="296">
        <f t="shared" si="24"/>
        <v>0</v>
      </c>
      <c r="G209" s="223">
        <f t="shared" si="32"/>
        <v>0</v>
      </c>
      <c r="H209" s="305">
        <v>36</v>
      </c>
      <c r="I209" s="310">
        <v>36</v>
      </c>
      <c r="J209" s="306">
        <f t="shared" si="25"/>
        <v>0</v>
      </c>
      <c r="K209" s="297">
        <f t="shared" si="33"/>
        <v>0</v>
      </c>
      <c r="L209" s="305">
        <v>4541</v>
      </c>
      <c r="M209" s="310">
        <v>4541</v>
      </c>
      <c r="N209" s="224">
        <f t="shared" si="26"/>
        <v>0</v>
      </c>
      <c r="O209" s="298">
        <f t="shared" si="34"/>
        <v>0</v>
      </c>
      <c r="P209" s="307">
        <f t="shared" si="27"/>
        <v>8.8777971226073102</v>
      </c>
      <c r="Q209" s="308">
        <v>8.8000000000000007</v>
      </c>
      <c r="R209" s="301">
        <f t="shared" si="28"/>
        <v>7.7797122607309532E-2</v>
      </c>
    </row>
    <row r="210" spans="1:18" x14ac:dyDescent="0.25">
      <c r="A210" s="302" t="s">
        <v>3258</v>
      </c>
      <c r="B210" s="303" t="s">
        <v>129</v>
      </c>
      <c r="C210" s="319">
        <v>100199</v>
      </c>
      <c r="D210" s="305">
        <v>1</v>
      </c>
      <c r="E210" s="310">
        <v>1</v>
      </c>
      <c r="F210" s="296">
        <f t="shared" si="24"/>
        <v>0</v>
      </c>
      <c r="G210" s="223">
        <f t="shared" si="32"/>
        <v>0</v>
      </c>
      <c r="H210" s="305">
        <v>6</v>
      </c>
      <c r="I210" s="310">
        <v>6</v>
      </c>
      <c r="J210" s="306">
        <f t="shared" si="25"/>
        <v>0</v>
      </c>
      <c r="K210" s="297">
        <f t="shared" si="33"/>
        <v>0</v>
      </c>
      <c r="L210" s="305">
        <v>909</v>
      </c>
      <c r="M210" s="310">
        <v>909</v>
      </c>
      <c r="N210" s="224">
        <f t="shared" si="26"/>
        <v>0</v>
      </c>
      <c r="O210" s="298">
        <f t="shared" si="34"/>
        <v>0</v>
      </c>
      <c r="P210" s="307">
        <f t="shared" si="27"/>
        <v>5.9880837134103135</v>
      </c>
      <c r="Q210" s="308">
        <v>6</v>
      </c>
      <c r="R210" s="301">
        <f t="shared" si="28"/>
        <v>-1.1916286589686464E-2</v>
      </c>
    </row>
    <row r="211" spans="1:18" x14ac:dyDescent="0.25">
      <c r="A211" s="302" t="s">
        <v>3258</v>
      </c>
      <c r="B211" s="303" t="s">
        <v>3321</v>
      </c>
      <c r="C211" s="319">
        <v>100212</v>
      </c>
      <c r="D211" s="305">
        <v>1</v>
      </c>
      <c r="E211" s="310">
        <v>2</v>
      </c>
      <c r="F211" s="296">
        <f t="shared" si="24"/>
        <v>-1</v>
      </c>
      <c r="G211" s="223">
        <f t="shared" si="32"/>
        <v>-0.5</v>
      </c>
      <c r="H211" s="316">
        <v>6</v>
      </c>
      <c r="I211" s="312">
        <v>7</v>
      </c>
      <c r="J211" s="317">
        <f t="shared" si="25"/>
        <v>-1</v>
      </c>
      <c r="K211" s="297">
        <f t="shared" si="33"/>
        <v>-0.14285714285714285</v>
      </c>
      <c r="L211" s="316">
        <v>612</v>
      </c>
      <c r="M211" s="312">
        <v>688</v>
      </c>
      <c r="N211" s="295">
        <f t="shared" si="26"/>
        <v>-76</v>
      </c>
      <c r="O211" s="298">
        <f t="shared" si="34"/>
        <v>-0.11046511627906977</v>
      </c>
      <c r="P211" s="307">
        <f t="shared" si="27"/>
        <v>5.9873069093521734</v>
      </c>
      <c r="Q211" s="308">
        <v>6.9</v>
      </c>
      <c r="R211" s="301">
        <f t="shared" si="28"/>
        <v>-0.912693090647827</v>
      </c>
    </row>
    <row r="212" spans="1:18" x14ac:dyDescent="0.25">
      <c r="A212" s="302" t="s">
        <v>3258</v>
      </c>
      <c r="B212" s="303" t="s">
        <v>3322</v>
      </c>
      <c r="C212" s="319">
        <v>93858</v>
      </c>
      <c r="D212" s="305">
        <v>1</v>
      </c>
      <c r="E212" s="310">
        <v>1</v>
      </c>
      <c r="F212" s="296">
        <f t="shared" si="24"/>
        <v>0</v>
      </c>
      <c r="G212" s="223">
        <f t="shared" si="32"/>
        <v>0</v>
      </c>
      <c r="H212" s="305">
        <v>4</v>
      </c>
      <c r="I212" s="310">
        <v>4</v>
      </c>
      <c r="J212" s="306">
        <f t="shared" si="25"/>
        <v>0</v>
      </c>
      <c r="K212" s="297">
        <f t="shared" si="33"/>
        <v>0</v>
      </c>
      <c r="L212" s="305">
        <v>471</v>
      </c>
      <c r="M212" s="310">
        <v>471</v>
      </c>
      <c r="N212" s="224">
        <f t="shared" si="26"/>
        <v>0</v>
      </c>
      <c r="O212" s="298">
        <f t="shared" si="34"/>
        <v>0</v>
      </c>
      <c r="P212" s="307">
        <f t="shared" si="27"/>
        <v>4.2617571224615913</v>
      </c>
      <c r="Q212" s="308">
        <v>4.2</v>
      </c>
      <c r="R212" s="301">
        <f t="shared" si="28"/>
        <v>6.1757122461591152E-2</v>
      </c>
    </row>
    <row r="213" spans="1:18" x14ac:dyDescent="0.25">
      <c r="A213" s="302" t="s">
        <v>3258</v>
      </c>
      <c r="B213" s="303" t="s">
        <v>130</v>
      </c>
      <c r="C213" s="319">
        <v>68755</v>
      </c>
      <c r="D213" s="305">
        <v>1</v>
      </c>
      <c r="E213" s="310">
        <v>1</v>
      </c>
      <c r="F213" s="296">
        <f t="shared" si="24"/>
        <v>0</v>
      </c>
      <c r="G213" s="223">
        <f t="shared" si="32"/>
        <v>0</v>
      </c>
      <c r="H213" s="305">
        <v>3</v>
      </c>
      <c r="I213" s="310">
        <v>3</v>
      </c>
      <c r="J213" s="306">
        <f t="shared" si="25"/>
        <v>0</v>
      </c>
      <c r="K213" s="297">
        <f t="shared" si="33"/>
        <v>0</v>
      </c>
      <c r="L213" s="305">
        <v>259</v>
      </c>
      <c r="M213" s="310">
        <v>259</v>
      </c>
      <c r="N213" s="224">
        <f t="shared" si="26"/>
        <v>0</v>
      </c>
      <c r="O213" s="298">
        <f t="shared" si="34"/>
        <v>0</v>
      </c>
      <c r="P213" s="307">
        <f t="shared" si="27"/>
        <v>4.3633190313431749</v>
      </c>
      <c r="Q213" s="308">
        <v>4.3</v>
      </c>
      <c r="R213" s="301">
        <f t="shared" si="28"/>
        <v>6.331903134317507E-2</v>
      </c>
    </row>
    <row r="214" spans="1:18" x14ac:dyDescent="0.25">
      <c r="A214" s="302" t="s">
        <v>3258</v>
      </c>
      <c r="B214" s="303" t="s">
        <v>131</v>
      </c>
      <c r="C214" s="319">
        <v>266205</v>
      </c>
      <c r="D214" s="305">
        <v>2</v>
      </c>
      <c r="E214" s="310">
        <v>2</v>
      </c>
      <c r="F214" s="296">
        <f t="shared" si="24"/>
        <v>0</v>
      </c>
      <c r="G214" s="223">
        <f t="shared" si="32"/>
        <v>0</v>
      </c>
      <c r="H214" s="305">
        <v>12</v>
      </c>
      <c r="I214" s="310">
        <v>12</v>
      </c>
      <c r="J214" s="306">
        <f t="shared" si="25"/>
        <v>0</v>
      </c>
      <c r="K214" s="297">
        <f t="shared" si="33"/>
        <v>0</v>
      </c>
      <c r="L214" s="305">
        <v>1062</v>
      </c>
      <c r="M214" s="310">
        <v>1134</v>
      </c>
      <c r="N214" s="224">
        <f t="shared" si="26"/>
        <v>-72</v>
      </c>
      <c r="O214" s="298">
        <f t="shared" si="34"/>
        <v>-6.3492063492063489E-2</v>
      </c>
      <c r="P214" s="307">
        <f t="shared" si="27"/>
        <v>4.5078041359102947</v>
      </c>
      <c r="Q214" s="308">
        <v>4.5</v>
      </c>
      <c r="R214" s="301">
        <f t="shared" si="28"/>
        <v>7.8041359102947183E-3</v>
      </c>
    </row>
    <row r="215" spans="1:18" x14ac:dyDescent="0.25">
      <c r="A215" s="302" t="s">
        <v>3258</v>
      </c>
      <c r="B215" s="303" t="s">
        <v>3324</v>
      </c>
      <c r="C215" s="319">
        <v>50086</v>
      </c>
      <c r="D215" s="305">
        <v>1</v>
      </c>
      <c r="E215" s="310">
        <v>1</v>
      </c>
      <c r="F215" s="296">
        <f t="shared" si="24"/>
        <v>0</v>
      </c>
      <c r="G215" s="223">
        <f t="shared" si="32"/>
        <v>0</v>
      </c>
      <c r="H215" s="305">
        <v>2</v>
      </c>
      <c r="I215" s="310">
        <v>2</v>
      </c>
      <c r="J215" s="306">
        <f t="shared" si="25"/>
        <v>0</v>
      </c>
      <c r="K215" s="297">
        <f t="shared" si="33"/>
        <v>0</v>
      </c>
      <c r="L215" s="305">
        <v>94</v>
      </c>
      <c r="M215" s="310">
        <v>94</v>
      </c>
      <c r="N215" s="224">
        <f t="shared" si="26"/>
        <v>0</v>
      </c>
      <c r="O215" s="298">
        <f t="shared" si="34"/>
        <v>0</v>
      </c>
      <c r="P215" s="307">
        <f t="shared" si="27"/>
        <v>3.9931318132811566</v>
      </c>
      <c r="Q215" s="308">
        <v>4</v>
      </c>
      <c r="R215" s="301">
        <f t="shared" si="28"/>
        <v>-6.8681867188433721E-3</v>
      </c>
    </row>
    <row r="216" spans="1:18" x14ac:dyDescent="0.25">
      <c r="A216" s="302" t="s">
        <v>3258</v>
      </c>
      <c r="B216" s="303" t="s">
        <v>3325</v>
      </c>
      <c r="C216" s="319">
        <v>24019</v>
      </c>
      <c r="D216" s="305">
        <v>0</v>
      </c>
      <c r="E216" s="310">
        <v>0</v>
      </c>
      <c r="F216" s="296">
        <f t="shared" si="24"/>
        <v>0</v>
      </c>
      <c r="G216" s="314" t="s">
        <v>3264</v>
      </c>
      <c r="H216" s="305">
        <v>0</v>
      </c>
      <c r="I216" s="310">
        <v>0</v>
      </c>
      <c r="J216" s="306">
        <f t="shared" si="25"/>
        <v>0</v>
      </c>
      <c r="K216" s="315" t="s">
        <v>3260</v>
      </c>
      <c r="L216" s="305">
        <v>0</v>
      </c>
      <c r="M216" s="310">
        <v>0</v>
      </c>
      <c r="N216" s="224">
        <f t="shared" si="26"/>
        <v>0</v>
      </c>
      <c r="O216" s="298" t="s">
        <v>3261</v>
      </c>
      <c r="P216" s="307">
        <f t="shared" si="27"/>
        <v>0</v>
      </c>
      <c r="Q216" s="308">
        <v>0</v>
      </c>
      <c r="R216" s="301">
        <f t="shared" si="28"/>
        <v>0</v>
      </c>
    </row>
    <row r="217" spans="1:18" x14ac:dyDescent="0.25">
      <c r="A217" s="302" t="s">
        <v>3258</v>
      </c>
      <c r="B217" s="303" t="s">
        <v>132</v>
      </c>
      <c r="C217" s="319">
        <v>15661</v>
      </c>
      <c r="D217" s="305">
        <v>1</v>
      </c>
      <c r="E217" s="310">
        <v>1</v>
      </c>
      <c r="F217" s="296">
        <f t="shared" si="24"/>
        <v>0</v>
      </c>
      <c r="G217" s="223">
        <f t="shared" si="32"/>
        <v>0</v>
      </c>
      <c r="H217" s="305">
        <v>1</v>
      </c>
      <c r="I217" s="310">
        <v>1</v>
      </c>
      <c r="J217" s="306">
        <f t="shared" si="25"/>
        <v>0</v>
      </c>
      <c r="K217" s="297">
        <f t="shared" si="33"/>
        <v>0</v>
      </c>
      <c r="L217" s="305">
        <v>93</v>
      </c>
      <c r="M217" s="310">
        <v>93</v>
      </c>
      <c r="N217" s="224">
        <f t="shared" si="26"/>
        <v>0</v>
      </c>
      <c r="O217" s="298">
        <f t="shared" si="34"/>
        <v>0</v>
      </c>
      <c r="P217" s="307">
        <f t="shared" si="27"/>
        <v>6.3852882957665544</v>
      </c>
      <c r="Q217" s="308">
        <v>6.2</v>
      </c>
      <c r="R217" s="301">
        <f t="shared" si="28"/>
        <v>0.18528829576655426</v>
      </c>
    </row>
    <row r="218" spans="1:18" x14ac:dyDescent="0.25">
      <c r="A218" s="302" t="s">
        <v>3258</v>
      </c>
      <c r="B218" s="303" t="s">
        <v>3326</v>
      </c>
      <c r="C218" s="319">
        <v>34055</v>
      </c>
      <c r="D218" s="305">
        <v>0</v>
      </c>
      <c r="E218" s="310">
        <v>0</v>
      </c>
      <c r="F218" s="296">
        <f t="shared" si="24"/>
        <v>0</v>
      </c>
      <c r="G218" s="314" t="s">
        <v>3261</v>
      </c>
      <c r="H218" s="305">
        <v>0</v>
      </c>
      <c r="I218" s="310">
        <v>0</v>
      </c>
      <c r="J218" s="306">
        <f t="shared" si="25"/>
        <v>0</v>
      </c>
      <c r="K218" s="315" t="s">
        <v>3260</v>
      </c>
      <c r="L218" s="305">
        <v>0</v>
      </c>
      <c r="M218" s="310">
        <v>0</v>
      </c>
      <c r="N218" s="224">
        <f t="shared" si="26"/>
        <v>0</v>
      </c>
      <c r="O218" s="298" t="s">
        <v>3261</v>
      </c>
      <c r="P218" s="307">
        <f t="shared" si="27"/>
        <v>0</v>
      </c>
      <c r="Q218" s="308">
        <v>0</v>
      </c>
      <c r="R218" s="301">
        <f t="shared" si="28"/>
        <v>0</v>
      </c>
    </row>
    <row r="219" spans="1:18" x14ac:dyDescent="0.25">
      <c r="A219" s="302" t="s">
        <v>3258</v>
      </c>
      <c r="B219" s="303" t="s">
        <v>3327</v>
      </c>
      <c r="C219" s="319">
        <v>41316</v>
      </c>
      <c r="D219" s="305">
        <v>0</v>
      </c>
      <c r="E219" s="310">
        <v>0</v>
      </c>
      <c r="F219" s="296">
        <f t="shared" si="24"/>
        <v>0</v>
      </c>
      <c r="G219" s="314" t="s">
        <v>3261</v>
      </c>
      <c r="H219" s="305">
        <v>0</v>
      </c>
      <c r="I219" s="310">
        <v>0</v>
      </c>
      <c r="J219" s="306">
        <f t="shared" si="25"/>
        <v>0</v>
      </c>
      <c r="K219" s="315" t="s">
        <v>3261</v>
      </c>
      <c r="L219" s="305">
        <v>0</v>
      </c>
      <c r="M219" s="310">
        <v>0</v>
      </c>
      <c r="N219" s="224">
        <f t="shared" si="26"/>
        <v>0</v>
      </c>
      <c r="O219" s="298" t="s">
        <v>3261</v>
      </c>
      <c r="P219" s="307">
        <f t="shared" si="27"/>
        <v>0</v>
      </c>
      <c r="Q219" s="308">
        <v>0</v>
      </c>
      <c r="R219" s="301">
        <f t="shared" si="28"/>
        <v>0</v>
      </c>
    </row>
    <row r="220" spans="1:18" x14ac:dyDescent="0.25">
      <c r="A220" s="302" t="s">
        <v>3258</v>
      </c>
      <c r="B220" s="303" t="s">
        <v>133</v>
      </c>
      <c r="C220" s="319">
        <v>30139</v>
      </c>
      <c r="D220" s="305">
        <v>1</v>
      </c>
      <c r="E220" s="310">
        <v>1</v>
      </c>
      <c r="F220" s="296">
        <f t="shared" si="24"/>
        <v>0</v>
      </c>
      <c r="G220" s="223">
        <f t="shared" si="32"/>
        <v>0</v>
      </c>
      <c r="H220" s="305">
        <v>2</v>
      </c>
      <c r="I220" s="310">
        <v>2</v>
      </c>
      <c r="J220" s="306">
        <f t="shared" si="25"/>
        <v>0</v>
      </c>
      <c r="K220" s="297">
        <f t="shared" si="33"/>
        <v>0</v>
      </c>
      <c r="L220" s="305">
        <v>99</v>
      </c>
      <c r="M220" s="310">
        <v>99</v>
      </c>
      <c r="N220" s="224">
        <f t="shared" si="26"/>
        <v>0</v>
      </c>
      <c r="O220" s="298">
        <f t="shared" si="34"/>
        <v>0</v>
      </c>
      <c r="P220" s="307">
        <f t="shared" si="27"/>
        <v>6.6359202362387606</v>
      </c>
      <c r="Q220" s="308">
        <v>6.6</v>
      </c>
      <c r="R220" s="301">
        <f t="shared" si="28"/>
        <v>3.592023623876095E-2</v>
      </c>
    </row>
    <row r="221" spans="1:18" x14ac:dyDescent="0.25">
      <c r="A221" s="302" t="s">
        <v>3258</v>
      </c>
      <c r="B221" s="303" t="s">
        <v>3328</v>
      </c>
      <c r="C221" s="319">
        <v>42086</v>
      </c>
      <c r="D221" s="305">
        <v>1</v>
      </c>
      <c r="E221" s="310">
        <v>1</v>
      </c>
      <c r="F221" s="296">
        <f t="shared" si="24"/>
        <v>0</v>
      </c>
      <c r="G221" s="223">
        <f t="shared" si="32"/>
        <v>0</v>
      </c>
      <c r="H221" s="305">
        <v>2</v>
      </c>
      <c r="I221" s="310">
        <v>2</v>
      </c>
      <c r="J221" s="306">
        <f t="shared" si="25"/>
        <v>0</v>
      </c>
      <c r="K221" s="297">
        <f t="shared" si="33"/>
        <v>0</v>
      </c>
      <c r="L221" s="305">
        <v>98</v>
      </c>
      <c r="M221" s="310">
        <v>98</v>
      </c>
      <c r="N221" s="224">
        <f t="shared" si="26"/>
        <v>0</v>
      </c>
      <c r="O221" s="298">
        <f t="shared" si="34"/>
        <v>0</v>
      </c>
      <c r="P221" s="307">
        <f t="shared" si="27"/>
        <v>4.7521741196597445</v>
      </c>
      <c r="Q221" s="308">
        <v>4.7</v>
      </c>
      <c r="R221" s="301">
        <f t="shared" si="28"/>
        <v>5.2174119659744278E-2</v>
      </c>
    </row>
    <row r="222" spans="1:18" x14ac:dyDescent="0.25">
      <c r="A222" s="302" t="s">
        <v>3258</v>
      </c>
      <c r="B222" s="303" t="s">
        <v>3329</v>
      </c>
      <c r="C222" s="319">
        <v>110581</v>
      </c>
      <c r="D222" s="305">
        <v>1</v>
      </c>
      <c r="E222" s="310">
        <v>1</v>
      </c>
      <c r="F222" s="296">
        <f t="shared" si="24"/>
        <v>0</v>
      </c>
      <c r="G222" s="223">
        <f t="shared" si="32"/>
        <v>0</v>
      </c>
      <c r="H222" s="316">
        <v>2</v>
      </c>
      <c r="I222" s="312">
        <v>2</v>
      </c>
      <c r="J222" s="317">
        <f t="shared" si="25"/>
        <v>0</v>
      </c>
      <c r="K222" s="297">
        <f t="shared" si="33"/>
        <v>0</v>
      </c>
      <c r="L222" s="316">
        <v>94</v>
      </c>
      <c r="M222" s="312">
        <v>94</v>
      </c>
      <c r="N222" s="295">
        <f t="shared" si="26"/>
        <v>0</v>
      </c>
      <c r="O222" s="298">
        <f t="shared" si="34"/>
        <v>0</v>
      </c>
      <c r="P222" s="307">
        <f t="shared" si="27"/>
        <v>1.8086289688101935</v>
      </c>
      <c r="Q222" s="308">
        <v>1.8</v>
      </c>
      <c r="R222" s="301">
        <f t="shared" si="28"/>
        <v>8.6289688101934825E-3</v>
      </c>
    </row>
    <row r="223" spans="1:18" x14ac:dyDescent="0.25">
      <c r="A223" s="302" t="s">
        <v>3258</v>
      </c>
      <c r="B223" s="303" t="s">
        <v>134</v>
      </c>
      <c r="C223" s="319">
        <v>55325</v>
      </c>
      <c r="D223" s="305">
        <v>1</v>
      </c>
      <c r="E223" s="310">
        <v>1</v>
      </c>
      <c r="F223" s="296">
        <f t="shared" si="24"/>
        <v>0</v>
      </c>
      <c r="G223" s="223">
        <f t="shared" si="32"/>
        <v>0</v>
      </c>
      <c r="H223" s="305">
        <v>6</v>
      </c>
      <c r="I223" s="310">
        <v>6</v>
      </c>
      <c r="J223" s="306">
        <f t="shared" si="25"/>
        <v>0</v>
      </c>
      <c r="K223" s="297">
        <f t="shared" si="33"/>
        <v>0</v>
      </c>
      <c r="L223" s="305">
        <v>471</v>
      </c>
      <c r="M223" s="310">
        <v>471</v>
      </c>
      <c r="N223" s="224">
        <f t="shared" si="26"/>
        <v>0</v>
      </c>
      <c r="O223" s="298">
        <f t="shared" si="34"/>
        <v>0</v>
      </c>
      <c r="P223" s="307">
        <f t="shared" si="27"/>
        <v>10.845006778129235</v>
      </c>
      <c r="Q223" s="308">
        <v>10.8</v>
      </c>
      <c r="R223" s="301">
        <f t="shared" si="28"/>
        <v>4.5006778129234704E-2</v>
      </c>
    </row>
    <row r="224" spans="1:18" x14ac:dyDescent="0.25">
      <c r="A224" s="302" t="s">
        <v>3258</v>
      </c>
      <c r="B224" s="303" t="s">
        <v>3330</v>
      </c>
      <c r="C224" s="319">
        <v>29603</v>
      </c>
      <c r="D224" s="305">
        <v>0</v>
      </c>
      <c r="E224" s="310">
        <v>0</v>
      </c>
      <c r="F224" s="296">
        <f t="shared" si="24"/>
        <v>0</v>
      </c>
      <c r="G224" s="314" t="s">
        <v>3260</v>
      </c>
      <c r="H224" s="305">
        <v>0</v>
      </c>
      <c r="I224" s="310">
        <v>0</v>
      </c>
      <c r="J224" s="306">
        <f t="shared" si="25"/>
        <v>0</v>
      </c>
      <c r="K224" s="315" t="s">
        <v>3261</v>
      </c>
      <c r="L224" s="305">
        <v>0</v>
      </c>
      <c r="M224" s="310">
        <v>0</v>
      </c>
      <c r="N224" s="224">
        <f t="shared" si="26"/>
        <v>0</v>
      </c>
      <c r="O224" s="298" t="s">
        <v>3261</v>
      </c>
      <c r="P224" s="307">
        <f t="shared" si="27"/>
        <v>0</v>
      </c>
      <c r="Q224" s="308">
        <v>0</v>
      </c>
      <c r="R224" s="301">
        <f t="shared" si="28"/>
        <v>0</v>
      </c>
    </row>
    <row r="225" spans="1:18" x14ac:dyDescent="0.25">
      <c r="A225" s="302" t="s">
        <v>3258</v>
      </c>
      <c r="B225" s="303" t="s">
        <v>3331</v>
      </c>
      <c r="C225" s="319">
        <v>46669</v>
      </c>
      <c r="D225" s="305">
        <v>1</v>
      </c>
      <c r="E225" s="310">
        <v>1</v>
      </c>
      <c r="F225" s="296">
        <f t="shared" si="24"/>
        <v>0</v>
      </c>
      <c r="G225" s="223">
        <f t="shared" si="32"/>
        <v>0</v>
      </c>
      <c r="H225" s="316">
        <v>1</v>
      </c>
      <c r="I225" s="312">
        <v>1</v>
      </c>
      <c r="J225" s="317">
        <f t="shared" si="25"/>
        <v>0</v>
      </c>
      <c r="K225" s="297">
        <f t="shared" si="33"/>
        <v>0</v>
      </c>
      <c r="L225" s="316">
        <v>87</v>
      </c>
      <c r="M225" s="312">
        <v>87</v>
      </c>
      <c r="N225" s="295">
        <f t="shared" si="26"/>
        <v>0</v>
      </c>
      <c r="O225" s="298">
        <f t="shared" si="34"/>
        <v>0</v>
      </c>
      <c r="P225" s="307">
        <f t="shared" si="27"/>
        <v>2.1427500053568749</v>
      </c>
      <c r="Q225" s="308">
        <v>2.1</v>
      </c>
      <c r="R225" s="301">
        <f t="shared" si="28"/>
        <v>4.2750005356874787E-2</v>
      </c>
    </row>
    <row r="226" spans="1:18" x14ac:dyDescent="0.25">
      <c r="A226" s="302" t="s">
        <v>3258</v>
      </c>
      <c r="B226" s="303" t="s">
        <v>3332</v>
      </c>
      <c r="C226" s="319">
        <v>9077</v>
      </c>
      <c r="D226" s="305">
        <v>0</v>
      </c>
      <c r="E226" s="310">
        <v>0</v>
      </c>
      <c r="F226" s="296">
        <f t="shared" si="24"/>
        <v>0</v>
      </c>
      <c r="G226" s="314" t="s">
        <v>3260</v>
      </c>
      <c r="H226" s="305">
        <v>0</v>
      </c>
      <c r="I226" s="310">
        <v>0</v>
      </c>
      <c r="J226" s="306">
        <f t="shared" si="25"/>
        <v>0</v>
      </c>
      <c r="K226" s="315" t="s">
        <v>3261</v>
      </c>
      <c r="L226" s="305">
        <v>0</v>
      </c>
      <c r="M226" s="310">
        <v>0</v>
      </c>
      <c r="N226" s="224">
        <f t="shared" si="26"/>
        <v>0</v>
      </c>
      <c r="O226" s="298" t="s">
        <v>3261</v>
      </c>
      <c r="P226" s="307">
        <f t="shared" si="27"/>
        <v>0</v>
      </c>
      <c r="Q226" s="308">
        <v>0</v>
      </c>
      <c r="R226" s="301">
        <f t="shared" si="28"/>
        <v>0</v>
      </c>
    </row>
    <row r="227" spans="1:18" x14ac:dyDescent="0.25">
      <c r="A227" s="291" t="s">
        <v>135</v>
      </c>
      <c r="B227" s="292" t="s">
        <v>3256</v>
      </c>
      <c r="C227" s="318">
        <v>3251158</v>
      </c>
      <c r="D227" s="294">
        <f>SUM(D228:D245)</f>
        <v>39</v>
      </c>
      <c r="E227" s="312">
        <f>SUM(E228:E245)</f>
        <v>38</v>
      </c>
      <c r="F227" s="296">
        <f t="shared" si="24"/>
        <v>1</v>
      </c>
      <c r="G227" s="223">
        <f t="shared" si="32"/>
        <v>2.6315789473684209E-2</v>
      </c>
      <c r="H227" s="294">
        <f>SUM(H228:H245)</f>
        <v>194</v>
      </c>
      <c r="I227" s="312">
        <f>SUM(I228:I245)</f>
        <v>192</v>
      </c>
      <c r="J227" s="306">
        <f t="shared" si="25"/>
        <v>2</v>
      </c>
      <c r="K227" s="297">
        <f t="shared" si="33"/>
        <v>1.0416666666666666E-2</v>
      </c>
      <c r="L227" s="294">
        <f>SUM(L228:L245)</f>
        <v>24776</v>
      </c>
      <c r="M227" s="312">
        <f>SUM(M228:M245)</f>
        <v>25260</v>
      </c>
      <c r="N227" s="224">
        <f t="shared" si="26"/>
        <v>-484</v>
      </c>
      <c r="O227" s="298">
        <f t="shared" si="34"/>
        <v>-1.9160728424386382E-2</v>
      </c>
      <c r="P227" s="299">
        <f t="shared" si="27"/>
        <v>5.9671046439453264</v>
      </c>
      <c r="Q227" s="300">
        <v>5.9</v>
      </c>
      <c r="R227" s="301">
        <f t="shared" si="28"/>
        <v>6.7104643945326004E-2</v>
      </c>
    </row>
    <row r="228" spans="1:18" x14ac:dyDescent="0.25">
      <c r="A228" s="302" t="s">
        <v>3258</v>
      </c>
      <c r="B228" s="303" t="s">
        <v>136</v>
      </c>
      <c r="C228" s="309">
        <v>1009038</v>
      </c>
      <c r="D228" s="305">
        <v>12</v>
      </c>
      <c r="E228" s="310">
        <v>12</v>
      </c>
      <c r="F228" s="296">
        <f t="shared" si="24"/>
        <v>0</v>
      </c>
      <c r="G228" s="223">
        <f t="shared" si="32"/>
        <v>0</v>
      </c>
      <c r="H228" s="305">
        <v>69</v>
      </c>
      <c r="I228" s="310">
        <v>69</v>
      </c>
      <c r="J228" s="306">
        <f t="shared" si="25"/>
        <v>0</v>
      </c>
      <c r="K228" s="297">
        <f t="shared" si="33"/>
        <v>0</v>
      </c>
      <c r="L228" s="305">
        <v>9374</v>
      </c>
      <c r="M228" s="310">
        <v>9958</v>
      </c>
      <c r="N228" s="224">
        <f t="shared" si="26"/>
        <v>-584</v>
      </c>
      <c r="O228" s="298">
        <f t="shared" si="34"/>
        <v>-5.8646314520988153E-2</v>
      </c>
      <c r="P228" s="307">
        <f t="shared" si="27"/>
        <v>6.8381963811075499</v>
      </c>
      <c r="Q228" s="308">
        <v>6.8</v>
      </c>
      <c r="R228" s="301">
        <f t="shared" si="28"/>
        <v>3.8196381107550081E-2</v>
      </c>
    </row>
    <row r="229" spans="1:18" x14ac:dyDescent="0.25">
      <c r="A229" s="302" t="s">
        <v>3258</v>
      </c>
      <c r="B229" s="303" t="s">
        <v>137</v>
      </c>
      <c r="C229" s="309">
        <v>341074</v>
      </c>
      <c r="D229" s="305">
        <v>4</v>
      </c>
      <c r="E229" s="310">
        <v>4</v>
      </c>
      <c r="F229" s="296">
        <f t="shared" si="24"/>
        <v>0</v>
      </c>
      <c r="G229" s="223">
        <f t="shared" si="32"/>
        <v>0</v>
      </c>
      <c r="H229" s="305">
        <v>32</v>
      </c>
      <c r="I229" s="310">
        <v>32</v>
      </c>
      <c r="J229" s="306">
        <f t="shared" si="25"/>
        <v>0</v>
      </c>
      <c r="K229" s="297">
        <f t="shared" si="33"/>
        <v>0</v>
      </c>
      <c r="L229" s="305">
        <v>3842</v>
      </c>
      <c r="M229" s="310">
        <v>3842</v>
      </c>
      <c r="N229" s="224">
        <f t="shared" si="26"/>
        <v>0</v>
      </c>
      <c r="O229" s="298">
        <f t="shared" si="34"/>
        <v>0</v>
      </c>
      <c r="P229" s="307">
        <f t="shared" si="27"/>
        <v>9.3821282185097665</v>
      </c>
      <c r="Q229" s="308">
        <v>9.3000000000000007</v>
      </c>
      <c r="R229" s="301">
        <f t="shared" si="28"/>
        <v>8.2128218509765816E-2</v>
      </c>
    </row>
    <row r="230" spans="1:18" x14ac:dyDescent="0.25">
      <c r="A230" s="302" t="s">
        <v>3258</v>
      </c>
      <c r="B230" s="303" t="s">
        <v>138</v>
      </c>
      <c r="C230" s="309">
        <v>120551</v>
      </c>
      <c r="D230" s="305">
        <v>1</v>
      </c>
      <c r="E230" s="310">
        <v>1</v>
      </c>
      <c r="F230" s="296">
        <f t="shared" si="24"/>
        <v>0</v>
      </c>
      <c r="G230" s="223">
        <f t="shared" si="32"/>
        <v>0</v>
      </c>
      <c r="H230" s="305">
        <v>7</v>
      </c>
      <c r="I230" s="310">
        <v>7</v>
      </c>
      <c r="J230" s="306">
        <f t="shared" si="25"/>
        <v>0</v>
      </c>
      <c r="K230" s="297">
        <f t="shared" si="33"/>
        <v>0</v>
      </c>
      <c r="L230" s="305">
        <v>858</v>
      </c>
      <c r="M230" s="310">
        <v>858</v>
      </c>
      <c r="N230" s="224">
        <f t="shared" si="26"/>
        <v>0</v>
      </c>
      <c r="O230" s="298">
        <f t="shared" si="34"/>
        <v>0</v>
      </c>
      <c r="P230" s="307">
        <f t="shared" si="27"/>
        <v>5.8066710354953504</v>
      </c>
      <c r="Q230" s="308">
        <v>5.7</v>
      </c>
      <c r="R230" s="301">
        <f t="shared" si="28"/>
        <v>0.10667103549535017</v>
      </c>
    </row>
    <row r="231" spans="1:18" x14ac:dyDescent="0.25">
      <c r="A231" s="302" t="s">
        <v>3258</v>
      </c>
      <c r="B231" s="303" t="s">
        <v>139</v>
      </c>
      <c r="C231" s="309">
        <v>109030</v>
      </c>
      <c r="D231" s="305">
        <v>2</v>
      </c>
      <c r="E231" s="310">
        <v>2</v>
      </c>
      <c r="F231" s="296">
        <f t="shared" si="24"/>
        <v>0</v>
      </c>
      <c r="G231" s="223">
        <f t="shared" si="32"/>
        <v>0</v>
      </c>
      <c r="H231" s="305">
        <v>9</v>
      </c>
      <c r="I231" s="310">
        <v>9</v>
      </c>
      <c r="J231" s="306">
        <f t="shared" si="25"/>
        <v>0</v>
      </c>
      <c r="K231" s="297">
        <f t="shared" si="33"/>
        <v>0</v>
      </c>
      <c r="L231" s="305">
        <v>719</v>
      </c>
      <c r="M231" s="310">
        <v>719</v>
      </c>
      <c r="N231" s="224">
        <f t="shared" si="26"/>
        <v>0</v>
      </c>
      <c r="O231" s="298">
        <f t="shared" si="34"/>
        <v>0</v>
      </c>
      <c r="P231" s="307">
        <f t="shared" si="27"/>
        <v>8.2546088232596535</v>
      </c>
      <c r="Q231" s="308">
        <v>8.1999999999999993</v>
      </c>
      <c r="R231" s="301">
        <f t="shared" si="28"/>
        <v>5.4608823259654216E-2</v>
      </c>
    </row>
    <row r="232" spans="1:18" x14ac:dyDescent="0.25">
      <c r="A232" s="302" t="s">
        <v>3258</v>
      </c>
      <c r="B232" s="303" t="s">
        <v>140</v>
      </c>
      <c r="C232" s="309">
        <v>533659</v>
      </c>
      <c r="D232" s="305">
        <v>5</v>
      </c>
      <c r="E232" s="310">
        <v>5</v>
      </c>
      <c r="F232" s="296">
        <f t="shared" si="24"/>
        <v>0</v>
      </c>
      <c r="G232" s="223">
        <f t="shared" si="32"/>
        <v>0</v>
      </c>
      <c r="H232" s="305">
        <v>32</v>
      </c>
      <c r="I232" s="310">
        <v>32</v>
      </c>
      <c r="J232" s="306">
        <f t="shared" si="25"/>
        <v>0</v>
      </c>
      <c r="K232" s="297">
        <f t="shared" si="33"/>
        <v>0</v>
      </c>
      <c r="L232" s="305">
        <v>4905</v>
      </c>
      <c r="M232" s="310">
        <v>4905</v>
      </c>
      <c r="N232" s="224">
        <f t="shared" si="26"/>
        <v>0</v>
      </c>
      <c r="O232" s="298">
        <f t="shared" si="34"/>
        <v>0</v>
      </c>
      <c r="P232" s="307">
        <f t="shared" si="27"/>
        <v>5.9963384858121005</v>
      </c>
      <c r="Q232" s="308">
        <v>6</v>
      </c>
      <c r="R232" s="301">
        <f t="shared" si="28"/>
        <v>-3.6615141878995061E-3</v>
      </c>
    </row>
    <row r="233" spans="1:18" x14ac:dyDescent="0.25">
      <c r="A233" s="302" t="s">
        <v>3258</v>
      </c>
      <c r="B233" s="303" t="s">
        <v>141</v>
      </c>
      <c r="C233" s="309">
        <v>102084</v>
      </c>
      <c r="D233" s="305">
        <v>1</v>
      </c>
      <c r="E233" s="310">
        <v>1</v>
      </c>
      <c r="F233" s="296">
        <f t="shared" si="24"/>
        <v>0</v>
      </c>
      <c r="G233" s="223">
        <f t="shared" si="32"/>
        <v>0</v>
      </c>
      <c r="H233" s="305">
        <v>2</v>
      </c>
      <c r="I233" s="310">
        <v>2</v>
      </c>
      <c r="J233" s="306">
        <f t="shared" si="25"/>
        <v>0</v>
      </c>
      <c r="K233" s="297">
        <f t="shared" si="33"/>
        <v>0</v>
      </c>
      <c r="L233" s="305">
        <v>292</v>
      </c>
      <c r="M233" s="310">
        <v>292</v>
      </c>
      <c r="N233" s="224">
        <f t="shared" si="26"/>
        <v>0</v>
      </c>
      <c r="O233" s="298">
        <f t="shared" si="34"/>
        <v>0</v>
      </c>
      <c r="P233" s="307">
        <f t="shared" si="27"/>
        <v>1.9591708788840563</v>
      </c>
      <c r="Q233" s="308">
        <v>1.9</v>
      </c>
      <c r="R233" s="301">
        <f t="shared" si="28"/>
        <v>5.9170878884056366E-2</v>
      </c>
    </row>
    <row r="234" spans="1:18" x14ac:dyDescent="0.25">
      <c r="A234" s="302" t="s">
        <v>3258</v>
      </c>
      <c r="B234" s="303" t="s">
        <v>142</v>
      </c>
      <c r="C234" s="309">
        <v>234038</v>
      </c>
      <c r="D234" s="305">
        <v>1</v>
      </c>
      <c r="E234" s="310">
        <v>1</v>
      </c>
      <c r="F234" s="296">
        <f t="shared" si="24"/>
        <v>0</v>
      </c>
      <c r="G234" s="223">
        <f t="shared" si="32"/>
        <v>0</v>
      </c>
      <c r="H234" s="305">
        <v>7</v>
      </c>
      <c r="I234" s="310">
        <v>7</v>
      </c>
      <c r="J234" s="306">
        <f t="shared" si="25"/>
        <v>0</v>
      </c>
      <c r="K234" s="297">
        <f t="shared" si="33"/>
        <v>0</v>
      </c>
      <c r="L234" s="305">
        <v>1223</v>
      </c>
      <c r="M234" s="310">
        <v>1223</v>
      </c>
      <c r="N234" s="224">
        <f t="shared" si="26"/>
        <v>0</v>
      </c>
      <c r="O234" s="298">
        <f t="shared" si="34"/>
        <v>0</v>
      </c>
      <c r="P234" s="307">
        <f t="shared" si="27"/>
        <v>2.99096727881797</v>
      </c>
      <c r="Q234" s="308">
        <v>3</v>
      </c>
      <c r="R234" s="301">
        <f t="shared" si="28"/>
        <v>-9.0327211820300235E-3</v>
      </c>
    </row>
    <row r="235" spans="1:18" x14ac:dyDescent="0.25">
      <c r="A235" s="302" t="s">
        <v>3258</v>
      </c>
      <c r="B235" s="303" t="s">
        <v>143</v>
      </c>
      <c r="C235" s="309">
        <v>355122</v>
      </c>
      <c r="D235" s="305">
        <v>5</v>
      </c>
      <c r="E235" s="310">
        <v>5</v>
      </c>
      <c r="F235" s="296">
        <f t="shared" si="24"/>
        <v>0</v>
      </c>
      <c r="G235" s="223">
        <f t="shared" si="32"/>
        <v>0</v>
      </c>
      <c r="H235" s="305">
        <v>22</v>
      </c>
      <c r="I235" s="310">
        <v>22</v>
      </c>
      <c r="J235" s="306">
        <f t="shared" si="25"/>
        <v>0</v>
      </c>
      <c r="K235" s="297">
        <f t="shared" si="33"/>
        <v>0</v>
      </c>
      <c r="L235" s="305">
        <v>2278</v>
      </c>
      <c r="M235" s="310">
        <v>2278</v>
      </c>
      <c r="N235" s="224">
        <f t="shared" si="26"/>
        <v>0</v>
      </c>
      <c r="O235" s="298">
        <f t="shared" si="34"/>
        <v>0</v>
      </c>
      <c r="P235" s="307">
        <f t="shared" si="27"/>
        <v>6.1950540940859762</v>
      </c>
      <c r="Q235" s="308">
        <v>6.2</v>
      </c>
      <c r="R235" s="301">
        <f t="shared" si="28"/>
        <v>-4.9459059140239958E-3</v>
      </c>
    </row>
    <row r="236" spans="1:18" x14ac:dyDescent="0.25">
      <c r="A236" s="302" t="s">
        <v>3258</v>
      </c>
      <c r="B236" s="303" t="s">
        <v>3333</v>
      </c>
      <c r="C236" s="319">
        <v>25475</v>
      </c>
      <c r="D236" s="305">
        <v>1</v>
      </c>
      <c r="E236" s="310">
        <v>0</v>
      </c>
      <c r="F236" s="296">
        <f t="shared" si="24"/>
        <v>1</v>
      </c>
      <c r="G236" s="314" t="s">
        <v>3261</v>
      </c>
      <c r="H236" s="305">
        <v>2</v>
      </c>
      <c r="I236" s="310">
        <v>0</v>
      </c>
      <c r="J236" s="306">
        <f t="shared" si="25"/>
        <v>2</v>
      </c>
      <c r="K236" s="315" t="s">
        <v>3261</v>
      </c>
      <c r="L236" s="305">
        <v>100</v>
      </c>
      <c r="M236" s="310">
        <v>0</v>
      </c>
      <c r="N236" s="224">
        <f t="shared" si="26"/>
        <v>100</v>
      </c>
      <c r="O236" s="298" t="s">
        <v>3261</v>
      </c>
      <c r="P236" s="307">
        <f t="shared" si="27"/>
        <v>7.8508341511285575</v>
      </c>
      <c r="Q236" s="308">
        <v>0</v>
      </c>
      <c r="R236" s="301">
        <f t="shared" si="28"/>
        <v>7.8508341511285575</v>
      </c>
    </row>
    <row r="237" spans="1:18" x14ac:dyDescent="0.25">
      <c r="A237" s="302" t="s">
        <v>3258</v>
      </c>
      <c r="B237" s="303" t="s">
        <v>3334</v>
      </c>
      <c r="C237" s="319">
        <v>60203</v>
      </c>
      <c r="D237" s="305">
        <v>1</v>
      </c>
      <c r="E237" s="310">
        <v>1</v>
      </c>
      <c r="F237" s="296">
        <f t="shared" si="24"/>
        <v>0</v>
      </c>
      <c r="G237" s="223">
        <f t="shared" si="32"/>
        <v>0</v>
      </c>
      <c r="H237" s="316">
        <v>2</v>
      </c>
      <c r="I237" s="312">
        <v>2</v>
      </c>
      <c r="J237" s="317">
        <f t="shared" si="25"/>
        <v>0</v>
      </c>
      <c r="K237" s="324" t="s">
        <v>3261</v>
      </c>
      <c r="L237" s="316">
        <v>98</v>
      </c>
      <c r="M237" s="312">
        <v>98</v>
      </c>
      <c r="N237" s="295">
        <f t="shared" si="26"/>
        <v>0</v>
      </c>
      <c r="O237" s="298">
        <f t="shared" si="34"/>
        <v>0</v>
      </c>
      <c r="P237" s="307">
        <f t="shared" si="27"/>
        <v>3.3220935833762435</v>
      </c>
      <c r="Q237" s="308">
        <v>3.2</v>
      </c>
      <c r="R237" s="301">
        <f t="shared" si="28"/>
        <v>0.12209358337624332</v>
      </c>
    </row>
    <row r="238" spans="1:18" x14ac:dyDescent="0.25">
      <c r="A238" s="302" t="s">
        <v>3258</v>
      </c>
      <c r="B238" s="303" t="s">
        <v>3335</v>
      </c>
      <c r="C238" s="319">
        <v>57083</v>
      </c>
      <c r="D238" s="305">
        <v>0</v>
      </c>
      <c r="E238" s="310">
        <v>0</v>
      </c>
      <c r="F238" s="296">
        <f t="shared" si="24"/>
        <v>0</v>
      </c>
      <c r="G238" s="314" t="s">
        <v>3261</v>
      </c>
      <c r="H238" s="305">
        <v>0</v>
      </c>
      <c r="I238" s="310">
        <v>0</v>
      </c>
      <c r="J238" s="306">
        <f t="shared" si="25"/>
        <v>0</v>
      </c>
      <c r="K238" s="315" t="s">
        <v>3261</v>
      </c>
      <c r="L238" s="305">
        <v>0</v>
      </c>
      <c r="M238" s="310">
        <v>0</v>
      </c>
      <c r="N238" s="224">
        <f t="shared" si="26"/>
        <v>0</v>
      </c>
      <c r="O238" s="298" t="s">
        <v>3261</v>
      </c>
      <c r="P238" s="307">
        <f t="shared" si="27"/>
        <v>0</v>
      </c>
      <c r="Q238" s="308">
        <v>0</v>
      </c>
      <c r="R238" s="301">
        <f t="shared" si="28"/>
        <v>0</v>
      </c>
    </row>
    <row r="239" spans="1:18" x14ac:dyDescent="0.25">
      <c r="A239" s="302" t="s">
        <v>3258</v>
      </c>
      <c r="B239" s="303" t="s">
        <v>3290</v>
      </c>
      <c r="C239" s="319">
        <v>49468</v>
      </c>
      <c r="D239" s="305">
        <v>1</v>
      </c>
      <c r="E239" s="310">
        <v>1</v>
      </c>
      <c r="F239" s="296">
        <f t="shared" si="24"/>
        <v>0</v>
      </c>
      <c r="G239" s="223">
        <f t="shared" si="32"/>
        <v>0</v>
      </c>
      <c r="H239" s="305">
        <v>2</v>
      </c>
      <c r="I239" s="310">
        <v>2</v>
      </c>
      <c r="J239" s="306">
        <f t="shared" si="25"/>
        <v>0</v>
      </c>
      <c r="K239" s="297">
        <f t="shared" si="33"/>
        <v>0</v>
      </c>
      <c r="L239" s="305">
        <v>116</v>
      </c>
      <c r="M239" s="310">
        <v>116</v>
      </c>
      <c r="N239" s="224">
        <f t="shared" si="26"/>
        <v>0</v>
      </c>
      <c r="O239" s="298">
        <f t="shared" si="34"/>
        <v>0</v>
      </c>
      <c r="P239" s="307">
        <f t="shared" si="27"/>
        <v>4.0430177084175627</v>
      </c>
      <c r="Q239" s="308">
        <v>4</v>
      </c>
      <c r="R239" s="301">
        <f t="shared" si="28"/>
        <v>4.3017708417562694E-2</v>
      </c>
    </row>
    <row r="240" spans="1:18" x14ac:dyDescent="0.25">
      <c r="A240" s="302" t="s">
        <v>3258</v>
      </c>
      <c r="B240" s="303" t="s">
        <v>144</v>
      </c>
      <c r="C240" s="319">
        <v>40780</v>
      </c>
      <c r="D240" s="305">
        <v>1</v>
      </c>
      <c r="E240" s="310">
        <v>1</v>
      </c>
      <c r="F240" s="296">
        <f t="shared" si="24"/>
        <v>0</v>
      </c>
      <c r="G240" s="223">
        <f t="shared" si="32"/>
        <v>0</v>
      </c>
      <c r="H240" s="305">
        <v>1</v>
      </c>
      <c r="I240" s="310">
        <v>1</v>
      </c>
      <c r="J240" s="306">
        <f t="shared" si="25"/>
        <v>0</v>
      </c>
      <c r="K240" s="297">
        <f t="shared" si="33"/>
        <v>0</v>
      </c>
      <c r="L240" s="305">
        <v>212</v>
      </c>
      <c r="M240" s="310">
        <v>212</v>
      </c>
      <c r="N240" s="224">
        <f t="shared" si="26"/>
        <v>0</v>
      </c>
      <c r="O240" s="298">
        <f t="shared" si="34"/>
        <v>0</v>
      </c>
      <c r="P240" s="307">
        <f t="shared" si="27"/>
        <v>2.4521824423737129</v>
      </c>
      <c r="Q240" s="308">
        <v>2.4</v>
      </c>
      <c r="R240" s="301">
        <f t="shared" si="28"/>
        <v>5.2182442373712945E-2</v>
      </c>
    </row>
    <row r="241" spans="1:18" x14ac:dyDescent="0.25">
      <c r="A241" s="302" t="s">
        <v>3258</v>
      </c>
      <c r="B241" s="303" t="s">
        <v>3336</v>
      </c>
      <c r="C241" s="319">
        <v>41606</v>
      </c>
      <c r="D241" s="305">
        <v>1</v>
      </c>
      <c r="E241" s="310">
        <v>1</v>
      </c>
      <c r="F241" s="296">
        <f t="shared" si="24"/>
        <v>0</v>
      </c>
      <c r="G241" s="223">
        <f t="shared" si="32"/>
        <v>0</v>
      </c>
      <c r="H241" s="305">
        <v>1</v>
      </c>
      <c r="I241" s="310">
        <v>1</v>
      </c>
      <c r="J241" s="306">
        <f t="shared" si="25"/>
        <v>0</v>
      </c>
      <c r="K241" s="297">
        <f t="shared" si="33"/>
        <v>0</v>
      </c>
      <c r="L241" s="305">
        <v>152</v>
      </c>
      <c r="M241" s="310">
        <v>152</v>
      </c>
      <c r="N241" s="224">
        <f t="shared" si="26"/>
        <v>0</v>
      </c>
      <c r="O241" s="298">
        <f t="shared" si="34"/>
        <v>0</v>
      </c>
      <c r="P241" s="307">
        <f t="shared" si="27"/>
        <v>2.4034994952651059</v>
      </c>
      <c r="Q241" s="308">
        <v>2.4</v>
      </c>
      <c r="R241" s="301">
        <f t="shared" si="28"/>
        <v>3.4994952651059563E-3</v>
      </c>
    </row>
    <row r="242" spans="1:18" x14ac:dyDescent="0.25">
      <c r="A242" s="302" t="s">
        <v>3258</v>
      </c>
      <c r="B242" s="303" t="s">
        <v>3337</v>
      </c>
      <c r="C242" s="319">
        <v>33752</v>
      </c>
      <c r="D242" s="305">
        <v>1</v>
      </c>
      <c r="E242" s="310">
        <v>1</v>
      </c>
      <c r="F242" s="296">
        <f t="shared" si="24"/>
        <v>0</v>
      </c>
      <c r="G242" s="223">
        <f t="shared" si="32"/>
        <v>0</v>
      </c>
      <c r="H242" s="305">
        <v>2</v>
      </c>
      <c r="I242" s="310">
        <v>2</v>
      </c>
      <c r="J242" s="306">
        <f t="shared" si="25"/>
        <v>0</v>
      </c>
      <c r="K242" s="297">
        <f t="shared" si="33"/>
        <v>0</v>
      </c>
      <c r="L242" s="305">
        <v>98</v>
      </c>
      <c r="M242" s="310">
        <v>98</v>
      </c>
      <c r="N242" s="224">
        <f t="shared" si="26"/>
        <v>0</v>
      </c>
      <c r="O242" s="298">
        <f t="shared" si="34"/>
        <v>0</v>
      </c>
      <c r="P242" s="307">
        <f t="shared" si="27"/>
        <v>5.9255747807537329</v>
      </c>
      <c r="Q242" s="308">
        <v>5.9</v>
      </c>
      <c r="R242" s="301">
        <f t="shared" si="28"/>
        <v>2.557478075373254E-2</v>
      </c>
    </row>
    <row r="243" spans="1:18" x14ac:dyDescent="0.25">
      <c r="A243" s="302" t="s">
        <v>3258</v>
      </c>
      <c r="B243" s="303" t="s">
        <v>3338</v>
      </c>
      <c r="C243" s="319">
        <v>36945</v>
      </c>
      <c r="D243" s="305">
        <v>0</v>
      </c>
      <c r="E243" s="310">
        <v>0</v>
      </c>
      <c r="F243" s="296">
        <f t="shared" si="24"/>
        <v>0</v>
      </c>
      <c r="G243" s="314" t="s">
        <v>3261</v>
      </c>
      <c r="H243" s="305">
        <v>0</v>
      </c>
      <c r="I243" s="310">
        <v>0</v>
      </c>
      <c r="J243" s="306">
        <f t="shared" si="25"/>
        <v>0</v>
      </c>
      <c r="K243" s="315" t="s">
        <v>3261</v>
      </c>
      <c r="L243" s="305">
        <v>0</v>
      </c>
      <c r="M243" s="310">
        <v>0</v>
      </c>
      <c r="N243" s="224">
        <f t="shared" si="26"/>
        <v>0</v>
      </c>
      <c r="O243" s="298" t="s">
        <v>3261</v>
      </c>
      <c r="P243" s="307">
        <f t="shared" si="27"/>
        <v>0</v>
      </c>
      <c r="Q243" s="308">
        <v>0</v>
      </c>
      <c r="R243" s="301">
        <f t="shared" si="28"/>
        <v>0</v>
      </c>
    </row>
    <row r="244" spans="1:18" x14ac:dyDescent="0.25">
      <c r="A244" s="302" t="s">
        <v>3258</v>
      </c>
      <c r="B244" s="303" t="s">
        <v>145</v>
      </c>
      <c r="C244" s="319">
        <v>60047</v>
      </c>
      <c r="D244" s="305">
        <v>1</v>
      </c>
      <c r="E244" s="310">
        <v>1</v>
      </c>
      <c r="F244" s="296">
        <f t="shared" si="24"/>
        <v>0</v>
      </c>
      <c r="G244" s="223">
        <f t="shared" si="32"/>
        <v>0</v>
      </c>
      <c r="H244" s="305">
        <v>2</v>
      </c>
      <c r="I244" s="310">
        <v>2</v>
      </c>
      <c r="J244" s="306">
        <f t="shared" si="25"/>
        <v>0</v>
      </c>
      <c r="K244" s="297">
        <f t="shared" si="33"/>
        <v>0</v>
      </c>
      <c r="L244" s="305">
        <v>410</v>
      </c>
      <c r="M244" s="310">
        <v>410</v>
      </c>
      <c r="N244" s="224">
        <f t="shared" si="26"/>
        <v>0</v>
      </c>
      <c r="O244" s="298">
        <f t="shared" si="34"/>
        <v>0</v>
      </c>
      <c r="P244" s="307">
        <f t="shared" si="27"/>
        <v>3.3307242659916398</v>
      </c>
      <c r="Q244" s="308">
        <v>3.3</v>
      </c>
      <c r="R244" s="301">
        <f t="shared" si="28"/>
        <v>3.0724265991640021E-2</v>
      </c>
    </row>
    <row r="245" spans="1:18" x14ac:dyDescent="0.25">
      <c r="A245" s="302" t="s">
        <v>3258</v>
      </c>
      <c r="B245" s="303" t="s">
        <v>146</v>
      </c>
      <c r="C245" s="319">
        <v>41203</v>
      </c>
      <c r="D245" s="305">
        <v>1</v>
      </c>
      <c r="E245" s="310">
        <v>1</v>
      </c>
      <c r="F245" s="296">
        <f t="shared" si="24"/>
        <v>0</v>
      </c>
      <c r="G245" s="223">
        <f t="shared" si="32"/>
        <v>0</v>
      </c>
      <c r="H245" s="305">
        <v>2</v>
      </c>
      <c r="I245" s="310">
        <v>2</v>
      </c>
      <c r="J245" s="306">
        <f t="shared" si="25"/>
        <v>0</v>
      </c>
      <c r="K245" s="297">
        <f t="shared" si="33"/>
        <v>0</v>
      </c>
      <c r="L245" s="305">
        <v>99</v>
      </c>
      <c r="M245" s="310">
        <v>99</v>
      </c>
      <c r="N245" s="224">
        <f t="shared" si="26"/>
        <v>0</v>
      </c>
      <c r="O245" s="298">
        <f t="shared" si="34"/>
        <v>0</v>
      </c>
      <c r="P245" s="307">
        <f t="shared" si="27"/>
        <v>4.8540154843093948</v>
      </c>
      <c r="Q245" s="308">
        <v>4.7</v>
      </c>
      <c r="R245" s="301">
        <f t="shared" si="28"/>
        <v>0.1540154843093946</v>
      </c>
    </row>
    <row r="246" spans="1:18" x14ac:dyDescent="0.25">
      <c r="A246" s="291" t="s">
        <v>3339</v>
      </c>
      <c r="B246" s="292" t="s">
        <v>3256</v>
      </c>
      <c r="C246" s="318">
        <v>675252</v>
      </c>
      <c r="D246" s="294">
        <f>SUM(D247:D248)</f>
        <v>9</v>
      </c>
      <c r="E246" s="312">
        <f>SUM(E247:E248)</f>
        <v>7</v>
      </c>
      <c r="F246" s="296">
        <f t="shared" si="24"/>
        <v>2</v>
      </c>
      <c r="G246" s="223">
        <f t="shared" si="32"/>
        <v>0.2857142857142857</v>
      </c>
      <c r="H246" s="294">
        <f>SUM(H247:H248)</f>
        <v>44</v>
      </c>
      <c r="I246" s="312">
        <f>SUM(I247:I248)</f>
        <v>39</v>
      </c>
      <c r="J246" s="306">
        <f t="shared" si="25"/>
        <v>5</v>
      </c>
      <c r="K246" s="297">
        <f t="shared" si="33"/>
        <v>0.12820512820512819</v>
      </c>
      <c r="L246" s="294">
        <f>SUM(L247:L248)</f>
        <v>4299</v>
      </c>
      <c r="M246" s="312">
        <f>SUM(M247:M248)</f>
        <v>4165</v>
      </c>
      <c r="N246" s="224">
        <f t="shared" si="26"/>
        <v>134</v>
      </c>
      <c r="O246" s="298">
        <f t="shared" si="34"/>
        <v>3.2172869147659065E-2</v>
      </c>
      <c r="P246" s="299">
        <f t="shared" si="27"/>
        <v>6.5160858464691698</v>
      </c>
      <c r="Q246" s="300">
        <v>5.8</v>
      </c>
      <c r="R246" s="301">
        <f t="shared" si="28"/>
        <v>0.71608584646916995</v>
      </c>
    </row>
    <row r="247" spans="1:18" x14ac:dyDescent="0.25">
      <c r="A247" s="302" t="s">
        <v>3258</v>
      </c>
      <c r="B247" s="303" t="s">
        <v>147</v>
      </c>
      <c r="C247" s="319">
        <v>491654</v>
      </c>
      <c r="D247" s="305">
        <v>6</v>
      </c>
      <c r="E247" s="310">
        <v>6</v>
      </c>
      <c r="F247" s="296">
        <f t="shared" si="24"/>
        <v>0</v>
      </c>
      <c r="G247" s="223">
        <f t="shared" si="32"/>
        <v>0</v>
      </c>
      <c r="H247" s="305">
        <v>33</v>
      </c>
      <c r="I247" s="310">
        <v>33</v>
      </c>
      <c r="J247" s="306">
        <f t="shared" si="25"/>
        <v>0</v>
      </c>
      <c r="K247" s="297">
        <f t="shared" si="33"/>
        <v>0</v>
      </c>
      <c r="L247" s="305">
        <v>3516</v>
      </c>
      <c r="M247" s="310">
        <v>3516</v>
      </c>
      <c r="N247" s="224">
        <f t="shared" si="26"/>
        <v>0</v>
      </c>
      <c r="O247" s="298">
        <f t="shared" si="34"/>
        <v>0</v>
      </c>
      <c r="P247" s="307">
        <f t="shared" si="27"/>
        <v>6.7120373270633422</v>
      </c>
      <c r="Q247" s="308">
        <v>6.7</v>
      </c>
      <c r="R247" s="301">
        <f t="shared" si="28"/>
        <v>1.203732706334204E-2</v>
      </c>
    </row>
    <row r="248" spans="1:18" ht="17.25" thickBot="1" x14ac:dyDescent="0.3">
      <c r="A248" s="326" t="s">
        <v>3258</v>
      </c>
      <c r="B248" s="327" t="s">
        <v>148</v>
      </c>
      <c r="C248" s="328">
        <v>183598</v>
      </c>
      <c r="D248" s="329">
        <v>3</v>
      </c>
      <c r="E248" s="330">
        <v>1</v>
      </c>
      <c r="F248" s="331">
        <f t="shared" si="24"/>
        <v>2</v>
      </c>
      <c r="G248" s="332">
        <f t="shared" si="32"/>
        <v>2</v>
      </c>
      <c r="H248" s="329">
        <v>11</v>
      </c>
      <c r="I248" s="330">
        <v>6</v>
      </c>
      <c r="J248" s="333">
        <f t="shared" si="25"/>
        <v>5</v>
      </c>
      <c r="K248" s="244">
        <f t="shared" si="33"/>
        <v>0.83333333333333337</v>
      </c>
      <c r="L248" s="329">
        <v>783</v>
      </c>
      <c r="M248" s="330">
        <v>649</v>
      </c>
      <c r="N248" s="334">
        <f t="shared" si="26"/>
        <v>134</v>
      </c>
      <c r="O248" s="335">
        <f t="shared" si="34"/>
        <v>0.20647149460708783</v>
      </c>
      <c r="P248" s="336">
        <f t="shared" si="27"/>
        <v>5.9913506683079341</v>
      </c>
      <c r="Q248" s="337">
        <v>3.2</v>
      </c>
      <c r="R248" s="338">
        <f t="shared" si="28"/>
        <v>2.7913506683079339</v>
      </c>
    </row>
    <row r="249" spans="1:18" x14ac:dyDescent="0.3">
      <c r="A249" s="339"/>
      <c r="B249" s="339"/>
      <c r="C249" s="340"/>
      <c r="D249" s="341"/>
      <c r="E249" s="342"/>
      <c r="F249" s="342"/>
      <c r="G249" s="343"/>
      <c r="H249" s="341"/>
      <c r="I249" s="344"/>
      <c r="J249" s="344"/>
      <c r="K249" s="343"/>
      <c r="L249" s="341"/>
      <c r="M249" s="342"/>
      <c r="O249" s="345"/>
    </row>
    <row r="250" spans="1:18" x14ac:dyDescent="0.3">
      <c r="A250" s="347" t="s">
        <v>3703</v>
      </c>
      <c r="B250" s="339"/>
      <c r="C250" s="340"/>
      <c r="D250" s="341"/>
      <c r="E250" s="342"/>
      <c r="F250" s="342"/>
      <c r="G250" s="343"/>
      <c r="H250" s="341"/>
      <c r="I250" s="344"/>
      <c r="J250" s="344"/>
      <c r="K250" s="343"/>
      <c r="L250" s="341"/>
      <c r="M250" s="342"/>
      <c r="O250" s="345"/>
    </row>
    <row r="251" spans="1:18" x14ac:dyDescent="0.3">
      <c r="A251" s="339" t="s">
        <v>3704</v>
      </c>
      <c r="B251" s="339"/>
      <c r="C251" s="340"/>
      <c r="D251" s="341"/>
      <c r="E251" s="342"/>
      <c r="F251" s="342"/>
      <c r="G251" s="343"/>
      <c r="H251" s="341"/>
      <c r="I251" s="344"/>
      <c r="J251" s="344"/>
      <c r="K251" s="343"/>
      <c r="L251" s="341"/>
      <c r="M251" s="342"/>
      <c r="O251" s="345"/>
    </row>
  </sheetData>
  <autoFilter ref="A2:R248"/>
  <mergeCells count="1">
    <mergeCell ref="A1:R1"/>
  </mergeCells>
  <phoneticPr fontId="2" type="noConversion"/>
  <pageMargins left="0.7" right="0.7" top="0.75" bottom="0.75" header="0.3" footer="0.3"/>
  <pageSetup paperSize="9" orientation="portrait" horizontalDpi="360" verticalDpi="360" r:id="rId1"/>
  <ignoredErrors>
    <ignoredError sqref="L80:M80 H80:I80 D80:E8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ColWidth="12.375" defaultRowHeight="16.5" x14ac:dyDescent="0.3"/>
  <cols>
    <col min="8" max="9" width="14.375" customWidth="1"/>
  </cols>
  <sheetData>
    <row r="1" spans="1:13" ht="27" thickBot="1" x14ac:dyDescent="0.35">
      <c r="A1" s="664" t="s">
        <v>3649</v>
      </c>
      <c r="B1" s="664"/>
      <c r="C1" s="664"/>
      <c r="D1" s="664"/>
      <c r="E1" s="664"/>
      <c r="F1" s="664"/>
      <c r="G1" s="664"/>
      <c r="H1" s="664"/>
      <c r="I1" s="664"/>
      <c r="J1" s="664"/>
      <c r="K1" s="664"/>
      <c r="L1" s="664"/>
      <c r="M1" s="664"/>
    </row>
    <row r="2" spans="1:13" ht="60.6" customHeight="1" thickBot="1" x14ac:dyDescent="0.35">
      <c r="A2" s="350" t="s">
        <v>3340</v>
      </c>
      <c r="B2" s="351" t="s">
        <v>3650</v>
      </c>
      <c r="C2" s="352" t="s">
        <v>3651</v>
      </c>
      <c r="D2" s="352" t="s">
        <v>3341</v>
      </c>
      <c r="E2" s="353" t="s">
        <v>3342</v>
      </c>
      <c r="F2" s="351" t="s">
        <v>3652</v>
      </c>
      <c r="G2" s="352" t="s">
        <v>3653</v>
      </c>
      <c r="H2" s="352" t="s">
        <v>3343</v>
      </c>
      <c r="I2" s="353" t="s">
        <v>3344</v>
      </c>
      <c r="J2" s="351" t="s">
        <v>3654</v>
      </c>
      <c r="K2" s="352" t="s">
        <v>3345</v>
      </c>
      <c r="L2" s="352" t="s">
        <v>3346</v>
      </c>
      <c r="M2" s="354" t="s">
        <v>3347</v>
      </c>
    </row>
    <row r="3" spans="1:13" ht="17.25" thickBot="1" x14ac:dyDescent="0.35">
      <c r="A3" s="355" t="s">
        <v>3348</v>
      </c>
      <c r="B3" s="356">
        <v>74</v>
      </c>
      <c r="C3" s="356">
        <v>74</v>
      </c>
      <c r="D3" s="357">
        <f>B3-C3</f>
        <v>0</v>
      </c>
      <c r="E3" s="358">
        <f>(B3-C3)/C3</f>
        <v>0</v>
      </c>
      <c r="F3" s="356">
        <v>553</v>
      </c>
      <c r="G3" s="356">
        <v>567</v>
      </c>
      <c r="H3" s="357">
        <f>F3-G3</f>
        <v>-14</v>
      </c>
      <c r="I3" s="358">
        <f>(F3-G3)/G3</f>
        <v>-2.4691358024691357E-2</v>
      </c>
      <c r="J3" s="356">
        <v>86938</v>
      </c>
      <c r="K3" s="356">
        <v>91310</v>
      </c>
      <c r="L3" s="359">
        <f>J3-K3</f>
        <v>-4372</v>
      </c>
      <c r="M3" s="360">
        <f>(J3-K3)/K3</f>
        <v>-4.7880845471470812E-2</v>
      </c>
    </row>
    <row r="4" spans="1:13" ht="17.25" thickTop="1" x14ac:dyDescent="0.3">
      <c r="A4" s="361" t="s">
        <v>3349</v>
      </c>
      <c r="B4" s="362">
        <v>28</v>
      </c>
      <c r="C4" s="362">
        <v>28</v>
      </c>
      <c r="D4" s="219">
        <f t="shared" ref="D4:D21" si="0">B4-C4</f>
        <v>0</v>
      </c>
      <c r="E4" s="218">
        <f t="shared" ref="E4:E21" si="1">(B4-C4)/C4</f>
        <v>0</v>
      </c>
      <c r="F4" s="362">
        <v>223</v>
      </c>
      <c r="G4" s="362">
        <v>224</v>
      </c>
      <c r="H4" s="219">
        <f t="shared" ref="H4:H21" si="2">F4-G4</f>
        <v>-1</v>
      </c>
      <c r="I4" s="218">
        <f t="shared" ref="I4:I21" si="3">(F4-G4)/G4</f>
        <v>-4.464285714285714E-3</v>
      </c>
      <c r="J4" s="362">
        <v>32684</v>
      </c>
      <c r="K4" s="362">
        <v>33180</v>
      </c>
      <c r="L4" s="363">
        <f t="shared" ref="L4:L21" si="4">J4-K4</f>
        <v>-496</v>
      </c>
      <c r="M4" s="364">
        <f t="shared" ref="M4:M21" si="5">(J4-K4)/K4</f>
        <v>-1.4948764315852923E-2</v>
      </c>
    </row>
    <row r="5" spans="1:13" x14ac:dyDescent="0.3">
      <c r="A5" s="365" t="s">
        <v>3350</v>
      </c>
      <c r="B5" s="316">
        <v>21</v>
      </c>
      <c r="C5" s="316">
        <v>21</v>
      </c>
      <c r="D5" s="224">
        <f t="shared" si="0"/>
        <v>0</v>
      </c>
      <c r="E5" s="223">
        <f t="shared" si="1"/>
        <v>0</v>
      </c>
      <c r="F5" s="316">
        <v>144</v>
      </c>
      <c r="G5" s="316">
        <v>144</v>
      </c>
      <c r="H5" s="224">
        <f t="shared" si="2"/>
        <v>0</v>
      </c>
      <c r="I5" s="223">
        <f t="shared" si="3"/>
        <v>0</v>
      </c>
      <c r="J5" s="316">
        <v>20356</v>
      </c>
      <c r="K5" s="316">
        <v>20857</v>
      </c>
      <c r="L5" s="226">
        <f t="shared" si="4"/>
        <v>-501</v>
      </c>
      <c r="M5" s="227">
        <f t="shared" si="5"/>
        <v>-2.4020712470633362E-2</v>
      </c>
    </row>
    <row r="6" spans="1:13" s="346" customFormat="1" x14ac:dyDescent="0.3">
      <c r="A6" s="529" t="s">
        <v>3351</v>
      </c>
      <c r="B6" s="316">
        <v>25</v>
      </c>
      <c r="C6" s="316">
        <v>22</v>
      </c>
      <c r="D6" s="224">
        <f t="shared" si="0"/>
        <v>3</v>
      </c>
      <c r="E6" s="223">
        <f t="shared" si="1"/>
        <v>0.13636363636363635</v>
      </c>
      <c r="F6" s="316">
        <v>175</v>
      </c>
      <c r="G6" s="316">
        <v>159</v>
      </c>
      <c r="H6" s="224">
        <f t="shared" si="2"/>
        <v>16</v>
      </c>
      <c r="I6" s="223">
        <f t="shared" si="3"/>
        <v>0.10062893081761007</v>
      </c>
      <c r="J6" s="316">
        <v>25244</v>
      </c>
      <c r="K6" s="316">
        <v>24028</v>
      </c>
      <c r="L6" s="224">
        <f t="shared" si="4"/>
        <v>1216</v>
      </c>
      <c r="M6" s="223">
        <f t="shared" si="5"/>
        <v>5.0607624438155488E-2</v>
      </c>
    </row>
    <row r="7" spans="1:13" s="346" customFormat="1" x14ac:dyDescent="0.3">
      <c r="A7" s="529" t="s">
        <v>3352</v>
      </c>
      <c r="B7" s="316">
        <v>15</v>
      </c>
      <c r="C7" s="316">
        <v>15</v>
      </c>
      <c r="D7" s="224">
        <f t="shared" si="0"/>
        <v>0</v>
      </c>
      <c r="E7" s="223">
        <f t="shared" si="1"/>
        <v>0</v>
      </c>
      <c r="F7" s="316">
        <v>126</v>
      </c>
      <c r="G7" s="316">
        <v>126</v>
      </c>
      <c r="H7" s="224">
        <f t="shared" si="2"/>
        <v>0</v>
      </c>
      <c r="I7" s="223">
        <f t="shared" si="3"/>
        <v>0</v>
      </c>
      <c r="J7" s="316">
        <v>16445</v>
      </c>
      <c r="K7" s="316">
        <v>16512</v>
      </c>
      <c r="L7" s="224">
        <f t="shared" si="4"/>
        <v>-67</v>
      </c>
      <c r="M7" s="223">
        <f t="shared" si="5"/>
        <v>-4.0576550387596902E-3</v>
      </c>
    </row>
    <row r="8" spans="1:13" s="346" customFormat="1" x14ac:dyDescent="0.3">
      <c r="A8" s="529" t="s">
        <v>3353</v>
      </c>
      <c r="B8" s="316">
        <v>15</v>
      </c>
      <c r="C8" s="316">
        <v>15</v>
      </c>
      <c r="D8" s="224">
        <f t="shared" si="0"/>
        <v>0</v>
      </c>
      <c r="E8" s="223">
        <f t="shared" si="1"/>
        <v>0</v>
      </c>
      <c r="F8" s="316">
        <v>106</v>
      </c>
      <c r="G8" s="316">
        <v>106</v>
      </c>
      <c r="H8" s="224">
        <f t="shared" si="2"/>
        <v>0</v>
      </c>
      <c r="I8" s="223">
        <f t="shared" si="3"/>
        <v>0</v>
      </c>
      <c r="J8" s="316">
        <v>17679</v>
      </c>
      <c r="K8" s="316">
        <v>17733</v>
      </c>
      <c r="L8" s="224">
        <f t="shared" si="4"/>
        <v>-54</v>
      </c>
      <c r="M8" s="223">
        <f t="shared" si="5"/>
        <v>-3.0451700219928947E-3</v>
      </c>
    </row>
    <row r="9" spans="1:13" s="346" customFormat="1" x14ac:dyDescent="0.3">
      <c r="A9" s="529" t="s">
        <v>3354</v>
      </c>
      <c r="B9" s="316">
        <v>7</v>
      </c>
      <c r="C9" s="316">
        <v>7</v>
      </c>
      <c r="D9" s="224">
        <f t="shared" si="0"/>
        <v>0</v>
      </c>
      <c r="E9" s="223">
        <f t="shared" si="1"/>
        <v>0</v>
      </c>
      <c r="F9" s="316">
        <v>52</v>
      </c>
      <c r="G9" s="316">
        <v>52</v>
      </c>
      <c r="H9" s="224">
        <f t="shared" si="2"/>
        <v>0</v>
      </c>
      <c r="I9" s="223">
        <f t="shared" si="3"/>
        <v>0</v>
      </c>
      <c r="J9" s="316">
        <v>7744</v>
      </c>
      <c r="K9" s="316">
        <v>8072</v>
      </c>
      <c r="L9" s="224">
        <f t="shared" si="4"/>
        <v>-328</v>
      </c>
      <c r="M9" s="223">
        <f t="shared" si="5"/>
        <v>-4.0634291377601585E-2</v>
      </c>
    </row>
    <row r="10" spans="1:13" s="346" customFormat="1" x14ac:dyDescent="0.3">
      <c r="A10" s="529" t="s">
        <v>3355</v>
      </c>
      <c r="B10" s="316">
        <v>3</v>
      </c>
      <c r="C10" s="316">
        <v>4</v>
      </c>
      <c r="D10" s="224">
        <f t="shared" si="0"/>
        <v>-1</v>
      </c>
      <c r="E10" s="223">
        <f t="shared" si="1"/>
        <v>-0.25</v>
      </c>
      <c r="F10" s="316">
        <v>17</v>
      </c>
      <c r="G10" s="316">
        <v>23</v>
      </c>
      <c r="H10" s="224">
        <f t="shared" si="2"/>
        <v>-6</v>
      </c>
      <c r="I10" s="223">
        <f t="shared" si="3"/>
        <v>-0.2608695652173913</v>
      </c>
      <c r="J10" s="316">
        <v>2602</v>
      </c>
      <c r="K10" s="316">
        <v>3284</v>
      </c>
      <c r="L10" s="224">
        <f t="shared" si="4"/>
        <v>-682</v>
      </c>
      <c r="M10" s="223">
        <f t="shared" si="5"/>
        <v>-0.20767356881851401</v>
      </c>
    </row>
    <row r="11" spans="1:13" s="346" customFormat="1" x14ac:dyDescent="0.3">
      <c r="A11" s="529" t="s">
        <v>3356</v>
      </c>
      <c r="B11" s="316">
        <v>134</v>
      </c>
      <c r="C11" s="316">
        <v>125</v>
      </c>
      <c r="D11" s="295">
        <f t="shared" si="0"/>
        <v>9</v>
      </c>
      <c r="E11" s="314">
        <f t="shared" si="1"/>
        <v>7.1999999999999995E-2</v>
      </c>
      <c r="F11" s="316">
        <v>891</v>
      </c>
      <c r="G11" s="316">
        <v>834</v>
      </c>
      <c r="H11" s="295">
        <f t="shared" si="2"/>
        <v>57</v>
      </c>
      <c r="I11" s="314">
        <f t="shared" si="3"/>
        <v>6.83453237410072E-2</v>
      </c>
      <c r="J11" s="316">
        <v>118634</v>
      </c>
      <c r="K11" s="316">
        <v>114244</v>
      </c>
      <c r="L11" s="224">
        <f t="shared" si="4"/>
        <v>4390</v>
      </c>
      <c r="M11" s="223">
        <f t="shared" si="5"/>
        <v>3.8426525681873887E-2</v>
      </c>
    </row>
    <row r="12" spans="1:13" s="346" customFormat="1" x14ac:dyDescent="0.3">
      <c r="A12" s="529" t="s">
        <v>3357</v>
      </c>
      <c r="B12" s="316">
        <v>14</v>
      </c>
      <c r="C12" s="316">
        <v>15</v>
      </c>
      <c r="D12" s="295">
        <f t="shared" si="0"/>
        <v>-1</v>
      </c>
      <c r="E12" s="314">
        <f t="shared" si="1"/>
        <v>-6.6666666666666666E-2</v>
      </c>
      <c r="F12" s="316">
        <v>88</v>
      </c>
      <c r="G12" s="316">
        <v>99</v>
      </c>
      <c r="H12" s="295">
        <f t="shared" si="2"/>
        <v>-11</v>
      </c>
      <c r="I12" s="314">
        <f t="shared" si="3"/>
        <v>-0.1111111111111111</v>
      </c>
      <c r="J12" s="316">
        <v>11655</v>
      </c>
      <c r="K12" s="316">
        <v>12967</v>
      </c>
      <c r="L12" s="224">
        <f t="shared" si="4"/>
        <v>-1312</v>
      </c>
      <c r="M12" s="223">
        <f t="shared" si="5"/>
        <v>-0.10117991825402946</v>
      </c>
    </row>
    <row r="13" spans="1:13" s="346" customFormat="1" x14ac:dyDescent="0.3">
      <c r="A13" s="529" t="s">
        <v>3358</v>
      </c>
      <c r="B13" s="316">
        <v>16</v>
      </c>
      <c r="C13" s="316">
        <v>17</v>
      </c>
      <c r="D13" s="224">
        <f t="shared" si="0"/>
        <v>-1</v>
      </c>
      <c r="E13" s="223">
        <f t="shared" si="1"/>
        <v>-5.8823529411764705E-2</v>
      </c>
      <c r="F13" s="316">
        <v>103</v>
      </c>
      <c r="G13" s="316">
        <v>110</v>
      </c>
      <c r="H13" s="224">
        <f t="shared" si="2"/>
        <v>-7</v>
      </c>
      <c r="I13" s="223">
        <f t="shared" si="3"/>
        <v>-6.363636363636363E-2</v>
      </c>
      <c r="J13" s="316">
        <v>14263</v>
      </c>
      <c r="K13" s="316">
        <v>15463</v>
      </c>
      <c r="L13" s="224">
        <f t="shared" si="4"/>
        <v>-1200</v>
      </c>
      <c r="M13" s="223">
        <f t="shared" si="5"/>
        <v>-7.7604604539869365E-2</v>
      </c>
    </row>
    <row r="14" spans="1:13" s="346" customFormat="1" x14ac:dyDescent="0.3">
      <c r="A14" s="529" t="s">
        <v>3359</v>
      </c>
      <c r="B14" s="316">
        <v>19</v>
      </c>
      <c r="C14" s="316">
        <v>19</v>
      </c>
      <c r="D14" s="224">
        <f t="shared" si="0"/>
        <v>0</v>
      </c>
      <c r="E14" s="223">
        <f t="shared" si="1"/>
        <v>0</v>
      </c>
      <c r="F14" s="316">
        <v>131</v>
      </c>
      <c r="G14" s="316">
        <v>130</v>
      </c>
      <c r="H14" s="224">
        <f t="shared" si="2"/>
        <v>1</v>
      </c>
      <c r="I14" s="223">
        <f t="shared" si="3"/>
        <v>7.6923076923076927E-3</v>
      </c>
      <c r="J14" s="316">
        <v>16568</v>
      </c>
      <c r="K14" s="316">
        <v>16738</v>
      </c>
      <c r="L14" s="224">
        <f t="shared" si="4"/>
        <v>-170</v>
      </c>
      <c r="M14" s="223">
        <f t="shared" si="5"/>
        <v>-1.0156530051380093E-2</v>
      </c>
    </row>
    <row r="15" spans="1:13" s="346" customFormat="1" x14ac:dyDescent="0.3">
      <c r="A15" s="529" t="s">
        <v>3360</v>
      </c>
      <c r="B15" s="316">
        <v>15</v>
      </c>
      <c r="C15" s="316">
        <v>16</v>
      </c>
      <c r="D15" s="224">
        <f t="shared" si="0"/>
        <v>-1</v>
      </c>
      <c r="E15" s="223">
        <f t="shared" si="1"/>
        <v>-6.25E-2</v>
      </c>
      <c r="F15" s="316">
        <v>104</v>
      </c>
      <c r="G15" s="316">
        <v>109</v>
      </c>
      <c r="H15" s="224">
        <f t="shared" si="2"/>
        <v>-5</v>
      </c>
      <c r="I15" s="223">
        <f t="shared" si="3"/>
        <v>-4.5871559633027525E-2</v>
      </c>
      <c r="J15" s="316">
        <v>15612</v>
      </c>
      <c r="K15" s="316">
        <v>16587</v>
      </c>
      <c r="L15" s="224">
        <f t="shared" si="4"/>
        <v>-975</v>
      </c>
      <c r="M15" s="223">
        <f t="shared" si="5"/>
        <v>-5.8780973051184661E-2</v>
      </c>
    </row>
    <row r="16" spans="1:13" s="346" customFormat="1" x14ac:dyDescent="0.3">
      <c r="A16" s="529" t="s">
        <v>3361</v>
      </c>
      <c r="B16" s="316">
        <v>11</v>
      </c>
      <c r="C16" s="316">
        <v>11</v>
      </c>
      <c r="D16" s="224">
        <f t="shared" si="0"/>
        <v>0</v>
      </c>
      <c r="E16" s="223">
        <f t="shared" si="1"/>
        <v>0</v>
      </c>
      <c r="F16" s="316">
        <v>77</v>
      </c>
      <c r="G16" s="316">
        <v>77</v>
      </c>
      <c r="H16" s="224">
        <f t="shared" si="2"/>
        <v>0</v>
      </c>
      <c r="I16" s="223">
        <f t="shared" si="3"/>
        <v>0</v>
      </c>
      <c r="J16" s="316">
        <v>11376</v>
      </c>
      <c r="K16" s="316">
        <v>11380</v>
      </c>
      <c r="L16" s="224">
        <f t="shared" si="4"/>
        <v>-4</v>
      </c>
      <c r="M16" s="223">
        <f t="shared" si="5"/>
        <v>-3.5149384885764501E-4</v>
      </c>
    </row>
    <row r="17" spans="1:13" s="346" customFormat="1" x14ac:dyDescent="0.3">
      <c r="A17" s="529" t="s">
        <v>3362</v>
      </c>
      <c r="B17" s="366">
        <v>25</v>
      </c>
      <c r="C17" s="366">
        <v>26</v>
      </c>
      <c r="D17" s="224">
        <f t="shared" si="0"/>
        <v>-1</v>
      </c>
      <c r="E17" s="223">
        <f t="shared" si="1"/>
        <v>-3.8461538461538464E-2</v>
      </c>
      <c r="F17" s="366">
        <v>141</v>
      </c>
      <c r="G17" s="366">
        <v>142</v>
      </c>
      <c r="H17" s="224">
        <f t="shared" si="2"/>
        <v>-1</v>
      </c>
      <c r="I17" s="223">
        <f t="shared" si="3"/>
        <v>-7.0422535211267607E-3</v>
      </c>
      <c r="J17" s="366">
        <v>16075</v>
      </c>
      <c r="K17" s="366">
        <v>16545</v>
      </c>
      <c r="L17" s="224">
        <f t="shared" si="4"/>
        <v>-470</v>
      </c>
      <c r="M17" s="223">
        <f t="shared" si="5"/>
        <v>-2.8407373828951345E-2</v>
      </c>
    </row>
    <row r="18" spans="1:13" s="346" customFormat="1" x14ac:dyDescent="0.3">
      <c r="A18" s="529" t="s">
        <v>3363</v>
      </c>
      <c r="B18" s="305">
        <v>30</v>
      </c>
      <c r="C18" s="305">
        <v>31</v>
      </c>
      <c r="D18" s="224">
        <f t="shared" si="0"/>
        <v>-1</v>
      </c>
      <c r="E18" s="223">
        <f t="shared" si="1"/>
        <v>-3.2258064516129031E-2</v>
      </c>
      <c r="F18" s="305">
        <v>180</v>
      </c>
      <c r="G18" s="305">
        <v>181</v>
      </c>
      <c r="H18" s="224">
        <f t="shared" si="2"/>
        <v>-1</v>
      </c>
      <c r="I18" s="223">
        <f t="shared" si="3"/>
        <v>-5.5248618784530384E-3</v>
      </c>
      <c r="J18" s="305">
        <v>23566</v>
      </c>
      <c r="K18" s="305">
        <v>24302</v>
      </c>
      <c r="L18" s="224">
        <f t="shared" si="4"/>
        <v>-736</v>
      </c>
      <c r="M18" s="223">
        <f t="shared" si="5"/>
        <v>-3.0285573203851536E-2</v>
      </c>
    </row>
    <row r="19" spans="1:13" s="346" customFormat="1" ht="17.25" thickBot="1" x14ac:dyDescent="0.35">
      <c r="A19" s="530" t="s">
        <v>3364</v>
      </c>
      <c r="B19" s="367">
        <v>7</v>
      </c>
      <c r="C19" s="367">
        <v>6</v>
      </c>
      <c r="D19" s="213">
        <f t="shared" si="0"/>
        <v>1</v>
      </c>
      <c r="E19" s="229">
        <f t="shared" si="1"/>
        <v>0.16666666666666666</v>
      </c>
      <c r="F19" s="367">
        <v>40</v>
      </c>
      <c r="G19" s="367">
        <v>37</v>
      </c>
      <c r="H19" s="213">
        <f t="shared" si="2"/>
        <v>3</v>
      </c>
      <c r="I19" s="229">
        <f t="shared" si="3"/>
        <v>8.1081081081081086E-2</v>
      </c>
      <c r="J19" s="367">
        <v>4165</v>
      </c>
      <c r="K19" s="367">
        <v>4067</v>
      </c>
      <c r="L19" s="213">
        <f t="shared" si="4"/>
        <v>98</v>
      </c>
      <c r="M19" s="229">
        <f t="shared" si="5"/>
        <v>2.4096385542168676E-2</v>
      </c>
    </row>
    <row r="20" spans="1:13" ht="18" thickTop="1" thickBot="1" x14ac:dyDescent="0.35">
      <c r="A20" s="368" t="s">
        <v>3365</v>
      </c>
      <c r="B20" s="369">
        <f>SUM(B4:B19)</f>
        <v>385</v>
      </c>
      <c r="C20" s="370">
        <f>SUM(C4:C19)</f>
        <v>378</v>
      </c>
      <c r="D20" s="213">
        <f t="shared" si="0"/>
        <v>7</v>
      </c>
      <c r="E20" s="358">
        <f t="shared" si="1"/>
        <v>1.8518518518518517E-2</v>
      </c>
      <c r="F20" s="369">
        <f>SUM(F4:F19)</f>
        <v>2598</v>
      </c>
      <c r="G20" s="370">
        <f>SUM(G4:G19)</f>
        <v>2553</v>
      </c>
      <c r="H20" s="357">
        <f t="shared" si="2"/>
        <v>45</v>
      </c>
      <c r="I20" s="358">
        <f t="shared" si="3"/>
        <v>1.7626321974148061E-2</v>
      </c>
      <c r="J20" s="369">
        <f>SUM(J4:J19)</f>
        <v>354668</v>
      </c>
      <c r="K20" s="371">
        <f>SUM(K4:K19)</f>
        <v>355959</v>
      </c>
      <c r="L20" s="359">
        <f t="shared" si="4"/>
        <v>-1291</v>
      </c>
      <c r="M20" s="360">
        <f t="shared" si="5"/>
        <v>-3.6268221901960621E-3</v>
      </c>
    </row>
    <row r="21" spans="1:13" ht="18" thickTop="1" thickBot="1" x14ac:dyDescent="0.35">
      <c r="A21" s="372" t="s">
        <v>3366</v>
      </c>
      <c r="B21" s="373">
        <f>B20+B3</f>
        <v>459</v>
      </c>
      <c r="C21" s="374">
        <f>C3+C20</f>
        <v>452</v>
      </c>
      <c r="D21" s="374">
        <f t="shared" si="0"/>
        <v>7</v>
      </c>
      <c r="E21" s="375">
        <f t="shared" si="1"/>
        <v>1.5486725663716814E-2</v>
      </c>
      <c r="F21" s="373">
        <f>F20+F3</f>
        <v>3151</v>
      </c>
      <c r="G21" s="374">
        <f>G3+G20</f>
        <v>3120</v>
      </c>
      <c r="H21" s="374">
        <f t="shared" si="2"/>
        <v>31</v>
      </c>
      <c r="I21" s="375">
        <f t="shared" si="3"/>
        <v>9.9358974358974353E-3</v>
      </c>
      <c r="J21" s="373">
        <f>J20+J3</f>
        <v>441606</v>
      </c>
      <c r="K21" s="376">
        <f>K3+K20</f>
        <v>447269</v>
      </c>
      <c r="L21" s="376">
        <f t="shared" si="4"/>
        <v>-5663</v>
      </c>
      <c r="M21" s="377">
        <f t="shared" si="5"/>
        <v>-1.2661284372491722E-2</v>
      </c>
    </row>
    <row r="22" spans="1:13" x14ac:dyDescent="0.3">
      <c r="A22" s="378"/>
      <c r="B22" s="379"/>
      <c r="C22" s="379"/>
      <c r="D22" s="379"/>
      <c r="E22" s="379"/>
      <c r="F22" s="379"/>
      <c r="G22" s="379"/>
      <c r="H22" s="379"/>
      <c r="I22" s="379"/>
      <c r="J22" s="379"/>
      <c r="K22" s="379"/>
      <c r="L22" s="109"/>
      <c r="M22" s="109"/>
    </row>
    <row r="23" spans="1:13" s="109" customFormat="1" x14ac:dyDescent="0.3">
      <c r="A23" s="380" t="s">
        <v>3367</v>
      </c>
      <c r="B23" s="381"/>
      <c r="C23" s="379"/>
      <c r="D23" s="379"/>
      <c r="E23" s="379"/>
      <c r="F23" s="379"/>
      <c r="G23" s="379"/>
      <c r="H23" s="379"/>
      <c r="I23" s="379"/>
      <c r="J23" s="379"/>
      <c r="K23" s="379"/>
    </row>
    <row r="24" spans="1:13" s="109" customFormat="1" x14ac:dyDescent="0.3">
      <c r="A24" s="86" t="s">
        <v>3242</v>
      </c>
      <c r="B24" s="381"/>
      <c r="C24" s="379"/>
      <c r="D24" s="379"/>
      <c r="E24" s="379"/>
      <c r="F24" s="379"/>
      <c r="G24" s="379"/>
      <c r="H24" s="379"/>
      <c r="I24" s="379"/>
      <c r="J24" s="379"/>
      <c r="K24" s="379"/>
    </row>
    <row r="25" spans="1:13" s="109" customFormat="1" x14ac:dyDescent="0.3">
      <c r="A25" s="87" t="s">
        <v>3648</v>
      </c>
    </row>
    <row r="26" spans="1:13" x14ac:dyDescent="0.3">
      <c r="A26" s="4"/>
    </row>
  </sheetData>
  <mergeCells count="1">
    <mergeCell ref="A1:M1"/>
  </mergeCells>
  <phoneticPr fontId="2" type="noConversion"/>
  <pageMargins left="0.7" right="0.7" top="0.75" bottom="0.75" header="0.3" footer="0.3"/>
  <pageSetup paperSize="9" orientation="portrait" r:id="rId1"/>
  <ignoredErrors>
    <ignoredError sqref="B20:K2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zoomScale="115" zoomScaleNormal="115" workbookViewId="0">
      <selection activeCell="I12" sqref="I12"/>
    </sheetView>
  </sheetViews>
  <sheetFormatPr defaultRowHeight="16.5" x14ac:dyDescent="0.3"/>
  <cols>
    <col min="1" max="1" width="17.375" customWidth="1"/>
    <col min="2" max="7" width="8.875" bestFit="1" customWidth="1"/>
    <col min="8" max="8" width="9" bestFit="1" customWidth="1"/>
    <col min="9" max="10" width="8.875" bestFit="1" customWidth="1"/>
    <col min="11" max="11" width="11.125" customWidth="1"/>
    <col min="12" max="12" width="8.875" bestFit="1" customWidth="1"/>
    <col min="13" max="13" width="10.375" customWidth="1"/>
    <col min="14" max="14" width="8.875" bestFit="1" customWidth="1"/>
  </cols>
  <sheetData>
    <row r="1" spans="1:17" s="346" customFormat="1" ht="27" customHeight="1" thickBot="1" x14ac:dyDescent="0.35">
      <c r="A1" s="669" t="s">
        <v>3646</v>
      </c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669"/>
      <c r="N1" s="669"/>
      <c r="O1" s="669"/>
      <c r="P1" s="669"/>
      <c r="Q1" s="669"/>
    </row>
    <row r="2" spans="1:17" s="346" customFormat="1" x14ac:dyDescent="0.3">
      <c r="A2" s="670" t="s">
        <v>3368</v>
      </c>
      <c r="B2" s="673">
        <v>2023</v>
      </c>
      <c r="C2" s="674"/>
      <c r="D2" s="674"/>
      <c r="E2" s="674"/>
      <c r="F2" s="674"/>
      <c r="G2" s="674"/>
      <c r="H2" s="674"/>
      <c r="I2" s="674"/>
      <c r="J2" s="674"/>
      <c r="K2" s="675"/>
      <c r="L2" s="675"/>
      <c r="M2" s="675"/>
      <c r="N2" s="675"/>
      <c r="O2" s="676">
        <v>2022</v>
      </c>
      <c r="P2" s="674"/>
      <c r="Q2" s="677"/>
    </row>
    <row r="3" spans="1:17" s="346" customFormat="1" x14ac:dyDescent="0.3">
      <c r="A3" s="671"/>
      <c r="B3" s="678" t="s">
        <v>3369</v>
      </c>
      <c r="C3" s="680" t="s">
        <v>3370</v>
      </c>
      <c r="D3" s="682" t="s">
        <v>3371</v>
      </c>
      <c r="E3" s="678" t="s">
        <v>3372</v>
      </c>
      <c r="F3" s="680" t="s">
        <v>3373</v>
      </c>
      <c r="G3" s="682" t="s">
        <v>3374</v>
      </c>
      <c r="H3" s="678" t="s">
        <v>3375</v>
      </c>
      <c r="I3" s="680" t="s">
        <v>3376</v>
      </c>
      <c r="J3" s="682" t="s">
        <v>3377</v>
      </c>
      <c r="K3" s="686" t="s">
        <v>3378</v>
      </c>
      <c r="L3" s="687"/>
      <c r="M3" s="687"/>
      <c r="N3" s="688"/>
      <c r="O3" s="665" t="s">
        <v>3379</v>
      </c>
      <c r="P3" s="667" t="s">
        <v>3372</v>
      </c>
      <c r="Q3" s="684" t="s">
        <v>3380</v>
      </c>
    </row>
    <row r="4" spans="1:17" s="346" customFormat="1" ht="17.25" thickBot="1" x14ac:dyDescent="0.35">
      <c r="A4" s="672"/>
      <c r="B4" s="679"/>
      <c r="C4" s="681"/>
      <c r="D4" s="683"/>
      <c r="E4" s="679"/>
      <c r="F4" s="681"/>
      <c r="G4" s="683"/>
      <c r="H4" s="679"/>
      <c r="I4" s="681"/>
      <c r="J4" s="683"/>
      <c r="K4" s="382" t="s">
        <v>3381</v>
      </c>
      <c r="L4" s="383" t="s">
        <v>3382</v>
      </c>
      <c r="M4" s="383" t="s">
        <v>3383</v>
      </c>
      <c r="N4" s="384" t="s">
        <v>3384</v>
      </c>
      <c r="O4" s="666"/>
      <c r="P4" s="668"/>
      <c r="Q4" s="685"/>
    </row>
    <row r="5" spans="1:17" s="346" customFormat="1" ht="17.25" customHeight="1" thickTop="1" x14ac:dyDescent="0.3">
      <c r="A5" s="385" t="s">
        <v>3385</v>
      </c>
      <c r="B5" s="386">
        <v>196</v>
      </c>
      <c r="C5" s="387">
        <f t="shared" ref="C5:C9" si="0">B5-O5</f>
        <v>8</v>
      </c>
      <c r="D5" s="388">
        <f t="shared" ref="D5:D9" si="1">(B5-O5)/O5</f>
        <v>4.2553191489361701E-2</v>
      </c>
      <c r="E5" s="389">
        <v>1373</v>
      </c>
      <c r="F5" s="387">
        <f>E5-P5</f>
        <v>43</v>
      </c>
      <c r="G5" s="388">
        <f t="shared" ref="G5:G9" si="2">(E5-P5)/P5</f>
        <v>3.2330827067669175E-2</v>
      </c>
      <c r="H5" s="390">
        <v>195347</v>
      </c>
      <c r="I5" s="391">
        <v>7058</v>
      </c>
      <c r="J5" s="392">
        <f t="shared" ref="J5:J9" si="3">(H5-Q5)/Q5</f>
        <v>6.4245234415249873E-3</v>
      </c>
      <c r="K5" s="386">
        <v>123</v>
      </c>
      <c r="L5" s="393">
        <f>K5/B5</f>
        <v>0.62755102040816324</v>
      </c>
      <c r="M5" s="394">
        <v>73</v>
      </c>
      <c r="N5" s="388">
        <f>M5/B5</f>
        <v>0.37244897959183676</v>
      </c>
      <c r="O5" s="395">
        <v>188</v>
      </c>
      <c r="P5" s="396">
        <v>1330</v>
      </c>
      <c r="Q5" s="397">
        <v>194100</v>
      </c>
    </row>
    <row r="6" spans="1:17" s="346" customFormat="1" x14ac:dyDescent="0.3">
      <c r="A6" s="398" t="s">
        <v>3386</v>
      </c>
      <c r="B6" s="386">
        <v>143</v>
      </c>
      <c r="C6" s="394">
        <f t="shared" si="0"/>
        <v>1</v>
      </c>
      <c r="D6" s="388">
        <f t="shared" si="1"/>
        <v>7.0422535211267607E-3</v>
      </c>
      <c r="E6" s="386">
        <v>982</v>
      </c>
      <c r="F6" s="394">
        <f t="shared" ref="F6:F9" si="4">E6-P6</f>
        <v>6</v>
      </c>
      <c r="G6" s="388">
        <f t="shared" si="2"/>
        <v>6.1475409836065573E-3</v>
      </c>
      <c r="H6" s="390">
        <v>144050</v>
      </c>
      <c r="I6" s="391">
        <f t="shared" ref="I6:I9" si="5">H6-Q6</f>
        <v>103</v>
      </c>
      <c r="J6" s="392">
        <f t="shared" si="3"/>
        <v>7.1554113666835706E-4</v>
      </c>
      <c r="K6" s="386">
        <v>92</v>
      </c>
      <c r="L6" s="393">
        <f>K6/B6</f>
        <v>0.64335664335664333</v>
      </c>
      <c r="M6" s="394">
        <v>51</v>
      </c>
      <c r="N6" s="388">
        <f>M6/B6</f>
        <v>0.35664335664335667</v>
      </c>
      <c r="O6" s="395">
        <v>142</v>
      </c>
      <c r="P6" s="396">
        <v>976</v>
      </c>
      <c r="Q6" s="397">
        <v>143947</v>
      </c>
    </row>
    <row r="7" spans="1:17" s="346" customFormat="1" x14ac:dyDescent="0.3">
      <c r="A7" s="398" t="s">
        <v>3387</v>
      </c>
      <c r="B7" s="386">
        <v>110</v>
      </c>
      <c r="C7" s="394">
        <f t="shared" si="0"/>
        <v>-1</v>
      </c>
      <c r="D7" s="388">
        <f t="shared" si="1"/>
        <v>-9.0090090090090089E-3</v>
      </c>
      <c r="E7" s="386">
        <v>742</v>
      </c>
      <c r="F7" s="394">
        <f t="shared" si="4"/>
        <v>-13</v>
      </c>
      <c r="G7" s="388">
        <f t="shared" si="2"/>
        <v>-1.7218543046357615E-2</v>
      </c>
      <c r="H7" s="390">
        <v>97820</v>
      </c>
      <c r="I7" s="391">
        <f t="shared" si="5"/>
        <v>-4210</v>
      </c>
      <c r="J7" s="392">
        <f t="shared" si="3"/>
        <v>-4.126237381162403E-2</v>
      </c>
      <c r="K7" s="386">
        <v>50</v>
      </c>
      <c r="L7" s="393">
        <f>K7/B7</f>
        <v>0.45454545454545453</v>
      </c>
      <c r="M7" s="394">
        <v>60</v>
      </c>
      <c r="N7" s="388">
        <f>M7/B7</f>
        <v>0.54545454545454541</v>
      </c>
      <c r="O7" s="395">
        <v>111</v>
      </c>
      <c r="P7" s="396">
        <v>755</v>
      </c>
      <c r="Q7" s="397">
        <v>102030</v>
      </c>
    </row>
    <row r="8" spans="1:17" s="346" customFormat="1" ht="17.25" thickBot="1" x14ac:dyDescent="0.35">
      <c r="A8" s="399" t="s">
        <v>3388</v>
      </c>
      <c r="B8" s="400">
        <v>10</v>
      </c>
      <c r="C8" s="401">
        <f t="shared" si="0"/>
        <v>0</v>
      </c>
      <c r="D8" s="402">
        <f t="shared" si="1"/>
        <v>0</v>
      </c>
      <c r="E8" s="400">
        <v>54</v>
      </c>
      <c r="F8" s="401">
        <f t="shared" si="4"/>
        <v>6</v>
      </c>
      <c r="G8" s="402">
        <f t="shared" si="2"/>
        <v>0.125</v>
      </c>
      <c r="H8" s="612">
        <v>4389</v>
      </c>
      <c r="I8" s="403">
        <f t="shared" si="5"/>
        <v>-91</v>
      </c>
      <c r="J8" s="404">
        <f t="shared" si="3"/>
        <v>-2.0312500000000001E-2</v>
      </c>
      <c r="K8" s="400">
        <v>5</v>
      </c>
      <c r="L8" s="405">
        <f>K8/B8</f>
        <v>0.5</v>
      </c>
      <c r="M8" s="401">
        <v>5</v>
      </c>
      <c r="N8" s="402">
        <f>M8/B8</f>
        <v>0.5</v>
      </c>
      <c r="O8" s="406">
        <v>10</v>
      </c>
      <c r="P8" s="407">
        <v>48</v>
      </c>
      <c r="Q8" s="408">
        <v>4480</v>
      </c>
    </row>
    <row r="9" spans="1:17" s="346" customFormat="1" ht="18" thickTop="1" thickBot="1" x14ac:dyDescent="0.35">
      <c r="A9" s="409" t="s">
        <v>3256</v>
      </c>
      <c r="B9" s="410">
        <f>SUM(B5:B8)</f>
        <v>459</v>
      </c>
      <c r="C9" s="411">
        <f t="shared" si="0"/>
        <v>8</v>
      </c>
      <c r="D9" s="412">
        <f t="shared" si="1"/>
        <v>1.7738359201773836E-2</v>
      </c>
      <c r="E9" s="413">
        <f>SUM(E5:E8)</f>
        <v>3151</v>
      </c>
      <c r="F9" s="411">
        <f t="shared" si="4"/>
        <v>42</v>
      </c>
      <c r="G9" s="412">
        <f t="shared" si="2"/>
        <v>1.3509166934705693E-2</v>
      </c>
      <c r="H9" s="414">
        <f>SUM(H5:H8)</f>
        <v>441606</v>
      </c>
      <c r="I9" s="415">
        <f t="shared" si="5"/>
        <v>-2951</v>
      </c>
      <c r="J9" s="412">
        <f t="shared" si="3"/>
        <v>-6.6380689090487837E-3</v>
      </c>
      <c r="K9" s="416">
        <f>SUM(K5:K8)</f>
        <v>270</v>
      </c>
      <c r="L9" s="417">
        <f>K9/B9</f>
        <v>0.58823529411764708</v>
      </c>
      <c r="M9" s="418">
        <f>SUM(M5:M8)</f>
        <v>189</v>
      </c>
      <c r="N9" s="419">
        <f>M9/B9</f>
        <v>0.41176470588235292</v>
      </c>
      <c r="O9" s="420">
        <f>SUM(O5:O8)</f>
        <v>451</v>
      </c>
      <c r="P9" s="421">
        <f>SUM(P5:P8)</f>
        <v>3109</v>
      </c>
      <c r="Q9" s="422">
        <f>SUM(Q5:Q8)</f>
        <v>444557</v>
      </c>
    </row>
    <row r="10" spans="1:17" s="346" customFormat="1" x14ac:dyDescent="0.3"/>
    <row r="11" spans="1:17" s="346" customFormat="1" x14ac:dyDescent="0.3">
      <c r="A11" s="380" t="s">
        <v>3389</v>
      </c>
    </row>
    <row r="12" spans="1:17" s="346" customFormat="1" x14ac:dyDescent="0.3">
      <c r="A12" s="86" t="s">
        <v>3242</v>
      </c>
    </row>
    <row r="13" spans="1:17" s="346" customFormat="1" x14ac:dyDescent="0.3">
      <c r="A13" s="87" t="s">
        <v>3647</v>
      </c>
    </row>
    <row r="14" spans="1:17" s="346" customFormat="1" x14ac:dyDescent="0.3"/>
  </sheetData>
  <mergeCells count="17">
    <mergeCell ref="K3:N3"/>
    <mergeCell ref="O3:O4"/>
    <mergeCell ref="P3:P4"/>
    <mergeCell ref="A1:Q1"/>
    <mergeCell ref="A2:A4"/>
    <mergeCell ref="B2:N2"/>
    <mergeCell ref="O2:Q2"/>
    <mergeCell ref="B3:B4"/>
    <mergeCell ref="C3:C4"/>
    <mergeCell ref="D3:D4"/>
    <mergeCell ref="E3:E4"/>
    <mergeCell ref="F3:F4"/>
    <mergeCell ref="G3:G4"/>
    <mergeCell ref="Q3:Q4"/>
    <mergeCell ref="H3:H4"/>
    <mergeCell ref="I3:I4"/>
    <mergeCell ref="J3:J4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8"/>
  <sheetViews>
    <sheetView zoomScale="94" zoomScaleNormal="94" workbookViewId="0">
      <selection activeCell="A2" sqref="A2"/>
    </sheetView>
  </sheetViews>
  <sheetFormatPr defaultColWidth="12.375" defaultRowHeight="16.5" x14ac:dyDescent="0.3"/>
  <cols>
    <col min="1" max="1" width="13.5" customWidth="1"/>
    <col min="2" max="2" width="26" style="492" customWidth="1"/>
    <col min="3" max="6" width="10.5" customWidth="1"/>
    <col min="7" max="7" width="4" customWidth="1"/>
    <col min="8" max="8" width="11.25" customWidth="1"/>
    <col min="9" max="14" width="9.875" customWidth="1"/>
    <col min="15" max="15" width="4" customWidth="1"/>
    <col min="16" max="16" width="9.75" customWidth="1"/>
    <col min="17" max="22" width="9.125" customWidth="1"/>
    <col min="23" max="23" width="9.875" customWidth="1"/>
    <col min="24" max="24" width="9.125" customWidth="1"/>
  </cols>
  <sheetData>
    <row r="1" spans="1:24" ht="27" thickBot="1" x14ac:dyDescent="0.35">
      <c r="A1" s="662" t="s">
        <v>3390</v>
      </c>
      <c r="B1" s="662"/>
      <c r="C1" s="662"/>
      <c r="D1" s="662"/>
      <c r="E1" s="662"/>
      <c r="F1" s="662"/>
      <c r="H1" s="689" t="s">
        <v>3657</v>
      </c>
      <c r="I1" s="689"/>
      <c r="J1" s="689"/>
      <c r="K1" s="689"/>
      <c r="L1" s="689"/>
      <c r="M1" s="689"/>
      <c r="N1" s="689"/>
      <c r="O1" s="2"/>
      <c r="P1" s="690" t="s">
        <v>3658</v>
      </c>
      <c r="Q1" s="690"/>
      <c r="R1" s="690"/>
      <c r="S1" s="690"/>
      <c r="T1" s="690"/>
      <c r="U1" s="690"/>
      <c r="V1" s="690"/>
      <c r="W1" s="690"/>
      <c r="X1" s="690"/>
    </row>
    <row r="2" spans="1:24" s="427" customFormat="1" x14ac:dyDescent="0.3">
      <c r="A2" s="423" t="s">
        <v>3391</v>
      </c>
      <c r="B2" s="424" t="s">
        <v>3392</v>
      </c>
      <c r="C2" s="424" t="s">
        <v>3393</v>
      </c>
      <c r="D2" s="424" t="s">
        <v>3386</v>
      </c>
      <c r="E2" s="425" t="s">
        <v>3387</v>
      </c>
      <c r="F2" s="426" t="s">
        <v>3394</v>
      </c>
      <c r="H2" s="691" t="s">
        <v>3395</v>
      </c>
      <c r="I2" s="693" t="s">
        <v>3396</v>
      </c>
      <c r="J2" s="693" t="s">
        <v>3397</v>
      </c>
      <c r="K2" s="695" t="s">
        <v>3398</v>
      </c>
      <c r="L2" s="696"/>
      <c r="M2" s="696"/>
      <c r="N2" s="697"/>
      <c r="O2" s="428"/>
      <c r="P2" s="698" t="s">
        <v>3399</v>
      </c>
      <c r="Q2" s="700" t="s">
        <v>3400</v>
      </c>
      <c r="R2" s="702" t="s">
        <v>3401</v>
      </c>
      <c r="S2" s="703"/>
      <c r="T2" s="703"/>
      <c r="U2" s="703"/>
      <c r="V2" s="704"/>
      <c r="W2" s="700" t="s">
        <v>3402</v>
      </c>
      <c r="X2" s="707" t="s">
        <v>3403</v>
      </c>
    </row>
    <row r="3" spans="1:24" ht="16.5" customHeight="1" x14ac:dyDescent="0.3">
      <c r="A3" s="708" t="s">
        <v>3404</v>
      </c>
      <c r="B3" s="429" t="s">
        <v>187</v>
      </c>
      <c r="C3" s="430">
        <v>24</v>
      </c>
      <c r="D3" s="430" t="s">
        <v>3405</v>
      </c>
      <c r="E3" s="430" t="s">
        <v>3405</v>
      </c>
      <c r="F3" s="225" t="s">
        <v>3405</v>
      </c>
      <c r="H3" s="692"/>
      <c r="I3" s="694"/>
      <c r="J3" s="694"/>
      <c r="K3" s="431" t="s">
        <v>3406</v>
      </c>
      <c r="L3" s="431" t="s">
        <v>3407</v>
      </c>
      <c r="M3" s="431" t="s">
        <v>3408</v>
      </c>
      <c r="N3" s="432" t="s">
        <v>3409</v>
      </c>
      <c r="O3" s="2"/>
      <c r="P3" s="699"/>
      <c r="Q3" s="701"/>
      <c r="R3" s="433" t="s">
        <v>3393</v>
      </c>
      <c r="S3" s="434" t="s">
        <v>3386</v>
      </c>
      <c r="T3" s="433" t="s">
        <v>3387</v>
      </c>
      <c r="U3" s="433" t="s">
        <v>3394</v>
      </c>
      <c r="V3" s="433" t="s">
        <v>3256</v>
      </c>
      <c r="W3" s="701"/>
      <c r="X3" s="688"/>
    </row>
    <row r="4" spans="1:24" ht="17.25" thickBot="1" x14ac:dyDescent="0.35">
      <c r="A4" s="709"/>
      <c r="B4" s="429" t="s">
        <v>3410</v>
      </c>
      <c r="C4" s="430">
        <v>1</v>
      </c>
      <c r="D4" s="430" t="s">
        <v>3405</v>
      </c>
      <c r="E4" s="430" t="s">
        <v>3405</v>
      </c>
      <c r="F4" s="225" t="s">
        <v>3405</v>
      </c>
      <c r="G4" s="2"/>
      <c r="H4" s="613" t="s">
        <v>3393</v>
      </c>
      <c r="I4" s="435">
        <v>64</v>
      </c>
      <c r="J4" s="435">
        <v>140</v>
      </c>
      <c r="K4" s="435">
        <v>64</v>
      </c>
      <c r="L4" s="436">
        <f>K4/I4</f>
        <v>1</v>
      </c>
      <c r="M4" s="435">
        <v>0</v>
      </c>
      <c r="N4" s="437">
        <f>M4/I4</f>
        <v>0</v>
      </c>
      <c r="O4" s="2"/>
      <c r="P4" s="614" t="s">
        <v>3223</v>
      </c>
      <c r="Q4" s="615">
        <v>589</v>
      </c>
      <c r="R4" s="440">
        <v>49</v>
      </c>
      <c r="S4" s="440">
        <v>33</v>
      </c>
      <c r="T4" s="440">
        <v>42</v>
      </c>
      <c r="U4" s="440">
        <v>3</v>
      </c>
      <c r="V4" s="441">
        <f t="shared" ref="V4:V22" si="0">SUM(R4:U4)</f>
        <v>127</v>
      </c>
      <c r="W4" s="442">
        <f>V4/Q4</f>
        <v>0.21561969439728354</v>
      </c>
      <c r="X4" s="443">
        <f>V4/V22</f>
        <v>0.17421124828532236</v>
      </c>
    </row>
    <row r="5" spans="1:24" ht="17.25" thickTop="1" x14ac:dyDescent="0.3">
      <c r="A5" s="709"/>
      <c r="B5" s="429" t="s">
        <v>3411</v>
      </c>
      <c r="C5" s="430" t="s">
        <v>3261</v>
      </c>
      <c r="D5" s="430">
        <v>1</v>
      </c>
      <c r="E5" s="430" t="s">
        <v>3405</v>
      </c>
      <c r="F5" s="225" t="s">
        <v>3405</v>
      </c>
      <c r="G5" s="2"/>
      <c r="H5" s="613" t="s">
        <v>3386</v>
      </c>
      <c r="I5" s="435">
        <v>74</v>
      </c>
      <c r="J5" s="435">
        <v>261</v>
      </c>
      <c r="K5" s="435">
        <v>37</v>
      </c>
      <c r="L5" s="436">
        <f>K5/I5</f>
        <v>0.5</v>
      </c>
      <c r="M5" s="435">
        <v>37</v>
      </c>
      <c r="N5" s="437">
        <f>M5/I5</f>
        <v>0.5</v>
      </c>
      <c r="O5" s="2"/>
      <c r="P5" s="616" t="s">
        <v>3224</v>
      </c>
      <c r="Q5" s="617">
        <v>227</v>
      </c>
      <c r="R5" s="444">
        <v>12</v>
      </c>
      <c r="S5" s="444">
        <v>24</v>
      </c>
      <c r="T5" s="444">
        <v>17</v>
      </c>
      <c r="U5" s="444">
        <v>0</v>
      </c>
      <c r="V5" s="445">
        <f t="shared" si="0"/>
        <v>53</v>
      </c>
      <c r="W5" s="446">
        <f t="shared" ref="W5:W22" si="1">V5/Q5</f>
        <v>0.23348017621145375</v>
      </c>
      <c r="X5" s="447">
        <f>V5/V22</f>
        <v>7.2702331961591218E-2</v>
      </c>
    </row>
    <row r="6" spans="1:24" x14ac:dyDescent="0.3">
      <c r="A6" s="709"/>
      <c r="B6" s="429" t="s">
        <v>3412</v>
      </c>
      <c r="C6" s="430" t="s">
        <v>3405</v>
      </c>
      <c r="D6" s="430">
        <v>11</v>
      </c>
      <c r="E6" s="430" t="s">
        <v>3405</v>
      </c>
      <c r="F6" s="225" t="s">
        <v>3405</v>
      </c>
      <c r="G6" s="2"/>
      <c r="H6" s="613" t="s">
        <v>3387</v>
      </c>
      <c r="I6" s="435">
        <v>66</v>
      </c>
      <c r="J6" s="435">
        <v>297</v>
      </c>
      <c r="K6" s="435">
        <v>35</v>
      </c>
      <c r="L6" s="436">
        <f>K6/I6</f>
        <v>0.53030303030303028</v>
      </c>
      <c r="M6" s="435">
        <v>31</v>
      </c>
      <c r="N6" s="437">
        <f>M6/I6</f>
        <v>0.46969696969696972</v>
      </c>
      <c r="O6" s="2"/>
      <c r="P6" s="618" t="s">
        <v>3225</v>
      </c>
      <c r="Q6" s="619">
        <v>145</v>
      </c>
      <c r="R6" s="450">
        <v>6</v>
      </c>
      <c r="S6" s="450">
        <v>19</v>
      </c>
      <c r="T6" s="450">
        <v>12</v>
      </c>
      <c r="U6" s="450">
        <v>7</v>
      </c>
      <c r="V6" s="449">
        <f t="shared" si="0"/>
        <v>44</v>
      </c>
      <c r="W6" s="451">
        <f t="shared" si="1"/>
        <v>0.30344827586206896</v>
      </c>
      <c r="X6" s="452">
        <f>V6/V22</f>
        <v>6.035665294924554E-2</v>
      </c>
    </row>
    <row r="7" spans="1:24" ht="17.25" thickBot="1" x14ac:dyDescent="0.35">
      <c r="A7" s="709"/>
      <c r="B7" s="429" t="s">
        <v>3413</v>
      </c>
      <c r="C7" s="430">
        <v>46</v>
      </c>
      <c r="D7" s="430" t="s">
        <v>3405</v>
      </c>
      <c r="E7" s="430" t="s">
        <v>3405</v>
      </c>
      <c r="F7" s="225" t="s">
        <v>3405</v>
      </c>
      <c r="G7" s="2"/>
      <c r="H7" s="620" t="s">
        <v>3394</v>
      </c>
      <c r="I7" s="453">
        <v>7</v>
      </c>
      <c r="J7" s="453">
        <v>31</v>
      </c>
      <c r="K7" s="453">
        <v>2</v>
      </c>
      <c r="L7" s="454">
        <f>K7/I7</f>
        <v>0.2857142857142857</v>
      </c>
      <c r="M7" s="621">
        <v>5</v>
      </c>
      <c r="N7" s="455">
        <f>M7/I7</f>
        <v>0.7142857142857143</v>
      </c>
      <c r="O7" s="2"/>
      <c r="P7" s="618" t="s">
        <v>3226</v>
      </c>
      <c r="Q7" s="619">
        <v>188</v>
      </c>
      <c r="R7" s="450">
        <v>4</v>
      </c>
      <c r="S7" s="450">
        <v>2</v>
      </c>
      <c r="T7" s="450">
        <v>6</v>
      </c>
      <c r="U7" s="450">
        <v>7</v>
      </c>
      <c r="V7" s="449">
        <f t="shared" si="0"/>
        <v>19</v>
      </c>
      <c r="W7" s="451">
        <f t="shared" si="1"/>
        <v>0.10106382978723404</v>
      </c>
      <c r="X7" s="452">
        <f>V7/V22</f>
        <v>2.6063100137174212E-2</v>
      </c>
    </row>
    <row r="8" spans="1:24" ht="18" thickTop="1" thickBot="1" x14ac:dyDescent="0.35">
      <c r="A8" s="709"/>
      <c r="B8" s="429" t="s">
        <v>3414</v>
      </c>
      <c r="C8" s="430" t="s">
        <v>3264</v>
      </c>
      <c r="D8" s="430" t="s">
        <v>3405</v>
      </c>
      <c r="E8" s="430">
        <v>6</v>
      </c>
      <c r="F8" s="225" t="s">
        <v>3405</v>
      </c>
      <c r="H8" s="456" t="s">
        <v>3415</v>
      </c>
      <c r="I8" s="457">
        <f>SUM(I4:I7)</f>
        <v>211</v>
      </c>
      <c r="J8" s="457">
        <f>SUM(J4:J7)</f>
        <v>729</v>
      </c>
      <c r="K8" s="458">
        <f>SUM(K4:K7)</f>
        <v>138</v>
      </c>
      <c r="L8" s="459">
        <f>K8/I8</f>
        <v>0.65402843601895733</v>
      </c>
      <c r="M8" s="460">
        <f>SUM(M4:M7)</f>
        <v>73</v>
      </c>
      <c r="N8" s="461">
        <f>M8/I8</f>
        <v>0.34597156398104267</v>
      </c>
      <c r="O8" s="2"/>
      <c r="P8" s="448" t="s">
        <v>3227</v>
      </c>
      <c r="Q8" s="584">
        <v>128</v>
      </c>
      <c r="R8" s="450">
        <v>5</v>
      </c>
      <c r="S8" s="450">
        <v>18</v>
      </c>
      <c r="T8" s="450">
        <v>20</v>
      </c>
      <c r="U8" s="450">
        <v>0</v>
      </c>
      <c r="V8" s="449">
        <f t="shared" si="0"/>
        <v>43</v>
      </c>
      <c r="W8" s="451">
        <f t="shared" si="1"/>
        <v>0.3359375</v>
      </c>
      <c r="X8" s="452">
        <f>V8/V22</f>
        <v>5.8984910836762688E-2</v>
      </c>
    </row>
    <row r="9" spans="1:24" x14ac:dyDescent="0.3">
      <c r="A9" s="709"/>
      <c r="B9" s="429" t="s">
        <v>3416</v>
      </c>
      <c r="C9" s="430" t="s">
        <v>3261</v>
      </c>
      <c r="D9" s="430">
        <v>4</v>
      </c>
      <c r="E9" s="430" t="s">
        <v>3405</v>
      </c>
      <c r="F9" s="225" t="s">
        <v>3405</v>
      </c>
      <c r="H9" s="462"/>
      <c r="I9" s="463"/>
      <c r="J9" s="463"/>
      <c r="K9" s="464"/>
      <c r="L9" s="465"/>
      <c r="M9" s="464"/>
      <c r="N9" s="466"/>
      <c r="P9" s="448" t="s">
        <v>3228</v>
      </c>
      <c r="Q9" s="584">
        <v>109</v>
      </c>
      <c r="R9" s="450">
        <v>7</v>
      </c>
      <c r="S9" s="450">
        <v>4</v>
      </c>
      <c r="T9" s="450">
        <v>12</v>
      </c>
      <c r="U9" s="450">
        <v>0</v>
      </c>
      <c r="V9" s="449">
        <f t="shared" si="0"/>
        <v>23</v>
      </c>
      <c r="W9" s="451">
        <f t="shared" si="1"/>
        <v>0.21100917431192662</v>
      </c>
      <c r="X9" s="452">
        <f>V9/V22</f>
        <v>3.1550068587105622E-2</v>
      </c>
    </row>
    <row r="10" spans="1:24" x14ac:dyDescent="0.3">
      <c r="A10" s="710"/>
      <c r="B10" s="429" t="s">
        <v>3446</v>
      </c>
      <c r="C10" s="430" t="s">
        <v>3405</v>
      </c>
      <c r="D10" s="430" t="s">
        <v>3405</v>
      </c>
      <c r="E10" s="430">
        <v>9</v>
      </c>
      <c r="F10" s="225" t="s">
        <v>3261</v>
      </c>
      <c r="K10" s="427"/>
      <c r="P10" s="448" t="s">
        <v>3229</v>
      </c>
      <c r="Q10" s="584">
        <v>56</v>
      </c>
      <c r="R10" s="450">
        <v>5</v>
      </c>
      <c r="S10" s="450">
        <v>1</v>
      </c>
      <c r="T10" s="450">
        <v>6</v>
      </c>
      <c r="U10" s="450">
        <v>0</v>
      </c>
      <c r="V10" s="449">
        <f t="shared" si="0"/>
        <v>12</v>
      </c>
      <c r="W10" s="451">
        <f t="shared" si="1"/>
        <v>0.21428571428571427</v>
      </c>
      <c r="X10" s="452">
        <f>V10/V22</f>
        <v>1.646090534979424E-2</v>
      </c>
    </row>
    <row r="11" spans="1:24" x14ac:dyDescent="0.3">
      <c r="A11" s="708" t="s">
        <v>3417</v>
      </c>
      <c r="B11" s="429" t="s">
        <v>188</v>
      </c>
      <c r="C11" s="430">
        <v>41</v>
      </c>
      <c r="D11" s="430" t="s">
        <v>3261</v>
      </c>
      <c r="E11" s="430" t="s">
        <v>3405</v>
      </c>
      <c r="F11" s="225" t="s">
        <v>3405</v>
      </c>
      <c r="K11" s="427"/>
      <c r="P11" s="448" t="s">
        <v>3418</v>
      </c>
      <c r="Q11" s="584">
        <v>17</v>
      </c>
      <c r="R11" s="450">
        <v>1</v>
      </c>
      <c r="S11" s="450">
        <v>0</v>
      </c>
      <c r="T11" s="450">
        <v>0</v>
      </c>
      <c r="U11" s="450">
        <v>0</v>
      </c>
      <c r="V11" s="449">
        <f t="shared" si="0"/>
        <v>1</v>
      </c>
      <c r="W11" s="451">
        <f t="shared" si="1"/>
        <v>5.8823529411764705E-2</v>
      </c>
      <c r="X11" s="452">
        <f>V11/V22</f>
        <v>1.3717421124828531E-3</v>
      </c>
    </row>
    <row r="12" spans="1:24" x14ac:dyDescent="0.3">
      <c r="A12" s="710"/>
      <c r="B12" s="429" t="s">
        <v>3671</v>
      </c>
      <c r="C12" s="430" t="s">
        <v>3405</v>
      </c>
      <c r="D12" s="430">
        <v>11</v>
      </c>
      <c r="E12" s="430" t="s">
        <v>3405</v>
      </c>
      <c r="F12" s="225" t="s">
        <v>3261</v>
      </c>
      <c r="G12" s="2"/>
      <c r="H12" s="2"/>
      <c r="I12" s="2"/>
      <c r="J12" s="2"/>
      <c r="K12" s="428"/>
      <c r="L12" s="2"/>
      <c r="M12" s="2"/>
      <c r="N12" s="2"/>
      <c r="O12" s="2"/>
      <c r="P12" s="618" t="s">
        <v>3231</v>
      </c>
      <c r="Q12" s="619">
        <v>910</v>
      </c>
      <c r="R12" s="450">
        <v>34</v>
      </c>
      <c r="S12" s="450">
        <v>60</v>
      </c>
      <c r="T12" s="450">
        <v>90</v>
      </c>
      <c r="U12" s="450">
        <v>10</v>
      </c>
      <c r="V12" s="449">
        <f t="shared" si="0"/>
        <v>194</v>
      </c>
      <c r="W12" s="451">
        <f t="shared" si="1"/>
        <v>0.21318681318681318</v>
      </c>
      <c r="X12" s="452">
        <f>V12/V22</f>
        <v>0.26611796982167352</v>
      </c>
    </row>
    <row r="13" spans="1:24" x14ac:dyDescent="0.3">
      <c r="A13" s="708" t="s">
        <v>3419</v>
      </c>
      <c r="B13" s="429" t="s">
        <v>3420</v>
      </c>
      <c r="C13" s="430" t="s">
        <v>3261</v>
      </c>
      <c r="D13" s="430" t="s">
        <v>3261</v>
      </c>
      <c r="E13" s="430">
        <v>3</v>
      </c>
      <c r="F13" s="225" t="s">
        <v>3261</v>
      </c>
      <c r="G13" s="2"/>
      <c r="H13" s="2"/>
      <c r="I13" s="2"/>
      <c r="J13" s="2"/>
      <c r="K13" s="428"/>
      <c r="L13" s="2"/>
      <c r="M13" s="2"/>
      <c r="N13" s="2"/>
      <c r="O13" s="2"/>
      <c r="P13" s="618" t="s">
        <v>3232</v>
      </c>
      <c r="Q13" s="619">
        <v>116</v>
      </c>
      <c r="R13" s="450">
        <v>2</v>
      </c>
      <c r="S13" s="450">
        <v>11</v>
      </c>
      <c r="T13" s="450">
        <v>15</v>
      </c>
      <c r="U13" s="450">
        <v>0</v>
      </c>
      <c r="V13" s="449">
        <f t="shared" si="0"/>
        <v>28</v>
      </c>
      <c r="W13" s="451">
        <f t="shared" si="1"/>
        <v>0.2413793103448276</v>
      </c>
      <c r="X13" s="452">
        <f>V13/V22</f>
        <v>3.8408779149519894E-2</v>
      </c>
    </row>
    <row r="14" spans="1:24" x14ac:dyDescent="0.3">
      <c r="A14" s="709"/>
      <c r="B14" s="429" t="s">
        <v>3421</v>
      </c>
      <c r="C14" s="430">
        <v>1</v>
      </c>
      <c r="D14" s="430" t="s">
        <v>3405</v>
      </c>
      <c r="E14" s="430" t="s">
        <v>3261</v>
      </c>
      <c r="F14" s="225" t="s">
        <v>3261</v>
      </c>
      <c r="K14" s="427"/>
      <c r="P14" s="448" t="s">
        <v>3233</v>
      </c>
      <c r="Q14" s="584">
        <v>112</v>
      </c>
      <c r="R14" s="450">
        <v>2</v>
      </c>
      <c r="S14" s="450">
        <v>2</v>
      </c>
      <c r="T14" s="450">
        <v>4</v>
      </c>
      <c r="U14" s="450">
        <v>0</v>
      </c>
      <c r="V14" s="449">
        <f t="shared" si="0"/>
        <v>8</v>
      </c>
      <c r="W14" s="451">
        <f t="shared" si="1"/>
        <v>7.1428571428571425E-2</v>
      </c>
      <c r="X14" s="452">
        <f>V14/V22</f>
        <v>1.0973936899862825E-2</v>
      </c>
    </row>
    <row r="15" spans="1:24" x14ac:dyDescent="0.3">
      <c r="A15" s="709"/>
      <c r="B15" s="429" t="s">
        <v>3422</v>
      </c>
      <c r="C15" s="430">
        <v>7</v>
      </c>
      <c r="D15" s="430" t="s">
        <v>3405</v>
      </c>
      <c r="E15" s="430" t="s">
        <v>3261</v>
      </c>
      <c r="F15" s="225" t="s">
        <v>3261</v>
      </c>
      <c r="K15" s="427"/>
      <c r="P15" s="448" t="s">
        <v>3234</v>
      </c>
      <c r="Q15" s="584">
        <v>150</v>
      </c>
      <c r="R15" s="450">
        <v>5</v>
      </c>
      <c r="S15" s="450">
        <v>11</v>
      </c>
      <c r="T15" s="450">
        <v>2</v>
      </c>
      <c r="U15" s="450">
        <v>2</v>
      </c>
      <c r="V15" s="449">
        <f t="shared" si="0"/>
        <v>20</v>
      </c>
      <c r="W15" s="451">
        <f t="shared" si="1"/>
        <v>0.13333333333333333</v>
      </c>
      <c r="X15" s="452">
        <f>V15/V22</f>
        <v>2.7434842249657063E-2</v>
      </c>
    </row>
    <row r="16" spans="1:24" x14ac:dyDescent="0.3">
      <c r="A16" s="709"/>
      <c r="B16" s="429" t="s">
        <v>3423</v>
      </c>
      <c r="C16" s="430" t="s">
        <v>3261</v>
      </c>
      <c r="D16" s="430">
        <v>1</v>
      </c>
      <c r="E16" s="430" t="s">
        <v>3261</v>
      </c>
      <c r="F16" s="225" t="s">
        <v>3261</v>
      </c>
      <c r="P16" s="448" t="s">
        <v>3235</v>
      </c>
      <c r="Q16" s="584">
        <v>134</v>
      </c>
      <c r="R16" s="450">
        <v>3</v>
      </c>
      <c r="S16" s="450">
        <v>8</v>
      </c>
      <c r="T16" s="450">
        <v>9</v>
      </c>
      <c r="U16" s="450">
        <v>0</v>
      </c>
      <c r="V16" s="449">
        <f t="shared" si="0"/>
        <v>20</v>
      </c>
      <c r="W16" s="451">
        <f t="shared" si="1"/>
        <v>0.14925373134328357</v>
      </c>
      <c r="X16" s="452">
        <f>V16/V22</f>
        <v>2.7434842249657063E-2</v>
      </c>
    </row>
    <row r="17" spans="1:24" x14ac:dyDescent="0.3">
      <c r="A17" s="709"/>
      <c r="B17" s="429" t="s">
        <v>3424</v>
      </c>
      <c r="C17" s="430" t="s">
        <v>3261</v>
      </c>
      <c r="D17" s="430" t="s">
        <v>3261</v>
      </c>
      <c r="E17" s="430">
        <v>2</v>
      </c>
      <c r="F17" s="225" t="s">
        <v>3261</v>
      </c>
      <c r="P17" s="467" t="s">
        <v>3425</v>
      </c>
      <c r="Q17" s="585">
        <v>101</v>
      </c>
      <c r="R17" s="468">
        <v>0</v>
      </c>
      <c r="S17" s="468">
        <v>0</v>
      </c>
      <c r="T17" s="468">
        <v>7</v>
      </c>
      <c r="U17" s="468">
        <v>0</v>
      </c>
      <c r="V17" s="449">
        <f t="shared" si="0"/>
        <v>7</v>
      </c>
      <c r="W17" s="451">
        <f t="shared" si="1"/>
        <v>6.9306930693069313E-2</v>
      </c>
      <c r="X17" s="469">
        <f>V17/V22</f>
        <v>9.6021947873799734E-3</v>
      </c>
    </row>
    <row r="18" spans="1:24" x14ac:dyDescent="0.3">
      <c r="A18" s="709"/>
      <c r="B18" s="429" t="s">
        <v>3426</v>
      </c>
      <c r="C18" s="470">
        <v>3</v>
      </c>
      <c r="D18" s="430" t="s">
        <v>3261</v>
      </c>
      <c r="E18" s="430" t="s">
        <v>3405</v>
      </c>
      <c r="F18" s="225" t="s">
        <v>3261</v>
      </c>
      <c r="P18" s="448" t="s">
        <v>3237</v>
      </c>
      <c r="Q18" s="584">
        <v>151</v>
      </c>
      <c r="R18" s="450">
        <v>0</v>
      </c>
      <c r="S18" s="450">
        <v>32</v>
      </c>
      <c r="T18" s="450">
        <v>12</v>
      </c>
      <c r="U18" s="450">
        <v>2</v>
      </c>
      <c r="V18" s="449">
        <f t="shared" si="0"/>
        <v>46</v>
      </c>
      <c r="W18" s="451">
        <f t="shared" si="1"/>
        <v>0.30463576158940397</v>
      </c>
      <c r="X18" s="452">
        <f>V18/V22</f>
        <v>6.3100137174211243E-2</v>
      </c>
    </row>
    <row r="19" spans="1:24" x14ac:dyDescent="0.3">
      <c r="A19" s="709"/>
      <c r="B19" s="429" t="s">
        <v>3427</v>
      </c>
      <c r="C19" s="470" t="s">
        <v>3261</v>
      </c>
      <c r="D19" s="430">
        <v>2</v>
      </c>
      <c r="E19" s="430" t="s">
        <v>3261</v>
      </c>
      <c r="F19" s="225" t="s">
        <v>3405</v>
      </c>
      <c r="P19" s="448" t="s">
        <v>3428</v>
      </c>
      <c r="Q19" s="584">
        <v>194</v>
      </c>
      <c r="R19" s="450">
        <v>4</v>
      </c>
      <c r="S19" s="450">
        <v>30</v>
      </c>
      <c r="T19" s="450">
        <v>37</v>
      </c>
      <c r="U19" s="450">
        <v>0</v>
      </c>
      <c r="V19" s="449">
        <f t="shared" si="0"/>
        <v>71</v>
      </c>
      <c r="W19" s="451">
        <f t="shared" si="1"/>
        <v>0.36597938144329895</v>
      </c>
      <c r="X19" s="452">
        <f>V19/V22</f>
        <v>9.7393689986282575E-2</v>
      </c>
    </row>
    <row r="20" spans="1:24" ht="17.25" thickBot="1" x14ac:dyDescent="0.35">
      <c r="A20" s="709"/>
      <c r="B20" s="429" t="s">
        <v>3429</v>
      </c>
      <c r="C20" s="470" t="s">
        <v>3261</v>
      </c>
      <c r="D20" s="430">
        <v>218</v>
      </c>
      <c r="E20" s="430" t="s">
        <v>3261</v>
      </c>
      <c r="F20" s="225" t="s">
        <v>3261</v>
      </c>
      <c r="P20" s="438" t="s">
        <v>3239</v>
      </c>
      <c r="Q20" s="583">
        <v>44</v>
      </c>
      <c r="R20" s="440">
        <v>1</v>
      </c>
      <c r="S20" s="440">
        <v>6</v>
      </c>
      <c r="T20" s="440">
        <v>6</v>
      </c>
      <c r="U20" s="440">
        <v>0</v>
      </c>
      <c r="V20" s="439">
        <f t="shared" si="0"/>
        <v>13</v>
      </c>
      <c r="W20" s="442">
        <f t="shared" si="1"/>
        <v>0.29545454545454547</v>
      </c>
      <c r="X20" s="443">
        <f>V20/V22</f>
        <v>1.7832647462277092E-2</v>
      </c>
    </row>
    <row r="21" spans="1:24" ht="18" thickTop="1" thickBot="1" x14ac:dyDescent="0.35">
      <c r="A21" s="709"/>
      <c r="B21" s="429" t="s">
        <v>3430</v>
      </c>
      <c r="C21" s="470" t="s">
        <v>3405</v>
      </c>
      <c r="D21" s="430" t="s">
        <v>3405</v>
      </c>
      <c r="E21" s="430">
        <v>256</v>
      </c>
      <c r="F21" s="225" t="s">
        <v>3261</v>
      </c>
      <c r="P21" s="471" t="s">
        <v>3431</v>
      </c>
      <c r="Q21" s="472">
        <f>SUM(Q5:Q20)</f>
        <v>2782</v>
      </c>
      <c r="R21" s="472">
        <f>SUM(R5:R20)</f>
        <v>91</v>
      </c>
      <c r="S21" s="473">
        <f>SUM(S5:S20)</f>
        <v>228</v>
      </c>
      <c r="T21" s="473">
        <f>SUM(T5:T20)</f>
        <v>255</v>
      </c>
      <c r="U21" s="473">
        <f>SUM(U5:U20)</f>
        <v>28</v>
      </c>
      <c r="V21" s="439">
        <f>SUM(R21:U21)</f>
        <v>602</v>
      </c>
      <c r="W21" s="442">
        <f t="shared" si="1"/>
        <v>0.21639108554996406</v>
      </c>
      <c r="X21" s="474">
        <f>V21/V22</f>
        <v>0.82578875171467769</v>
      </c>
    </row>
    <row r="22" spans="1:24" ht="18" thickTop="1" thickBot="1" x14ac:dyDescent="0.35">
      <c r="A22" s="709"/>
      <c r="B22" s="429" t="s">
        <v>3432</v>
      </c>
      <c r="C22" s="430" t="s">
        <v>3405</v>
      </c>
      <c r="D22" s="430" t="s">
        <v>3261</v>
      </c>
      <c r="E22" s="430" t="s">
        <v>3405</v>
      </c>
      <c r="F22" s="225">
        <v>12</v>
      </c>
      <c r="P22" s="475" t="s">
        <v>3433</v>
      </c>
      <c r="Q22" s="476">
        <f>Q21+Q4</f>
        <v>3371</v>
      </c>
      <c r="R22" s="476">
        <f>R21+R4</f>
        <v>140</v>
      </c>
      <c r="S22" s="476">
        <f>S21+S4</f>
        <v>261</v>
      </c>
      <c r="T22" s="476">
        <f>T21+T4</f>
        <v>297</v>
      </c>
      <c r="U22" s="476">
        <f>U21+U4</f>
        <v>31</v>
      </c>
      <c r="V22" s="477">
        <f t="shared" si="0"/>
        <v>729</v>
      </c>
      <c r="W22" s="478">
        <f t="shared" si="1"/>
        <v>0.21625630376742808</v>
      </c>
      <c r="X22" s="479">
        <f>V22/V22</f>
        <v>1</v>
      </c>
    </row>
    <row r="23" spans="1:24" x14ac:dyDescent="0.3">
      <c r="A23" s="709"/>
      <c r="B23" s="429" t="s">
        <v>3434</v>
      </c>
      <c r="C23" s="430" t="s">
        <v>3405</v>
      </c>
      <c r="D23" s="430" t="s">
        <v>3261</v>
      </c>
      <c r="E23" s="430" t="s">
        <v>3261</v>
      </c>
      <c r="F23" s="225">
        <v>19</v>
      </c>
      <c r="G23" s="2"/>
      <c r="H23" s="2"/>
      <c r="P23" s="480"/>
      <c r="Q23" s="481"/>
      <c r="R23" s="481"/>
      <c r="S23" s="481"/>
      <c r="T23" s="481"/>
      <c r="U23" s="481"/>
      <c r="V23" s="482"/>
      <c r="W23" s="483"/>
      <c r="X23" s="484"/>
    </row>
    <row r="24" spans="1:24" x14ac:dyDescent="0.3">
      <c r="A24" s="708" t="s">
        <v>3435</v>
      </c>
      <c r="B24" s="429" t="s">
        <v>3436</v>
      </c>
      <c r="C24" s="430">
        <v>6</v>
      </c>
      <c r="D24" s="430" t="s">
        <v>3405</v>
      </c>
      <c r="E24" s="430" t="s">
        <v>3261</v>
      </c>
      <c r="F24" s="225" t="s">
        <v>3405</v>
      </c>
      <c r="G24" s="2"/>
      <c r="H24" s="2"/>
      <c r="P24" s="480"/>
      <c r="Q24" s="481"/>
      <c r="R24" s="481"/>
      <c r="S24" s="481"/>
      <c r="T24" s="481"/>
      <c r="U24" s="481"/>
      <c r="V24" s="482"/>
      <c r="W24" s="483"/>
      <c r="X24" s="484"/>
    </row>
    <row r="25" spans="1:24" x14ac:dyDescent="0.3">
      <c r="A25" s="709"/>
      <c r="B25" s="429" t="s">
        <v>3437</v>
      </c>
      <c r="C25" s="430">
        <v>2</v>
      </c>
      <c r="D25" s="430" t="s">
        <v>3261</v>
      </c>
      <c r="E25" s="430" t="s">
        <v>3405</v>
      </c>
      <c r="F25" s="225" t="s">
        <v>3261</v>
      </c>
      <c r="P25" s="480"/>
      <c r="Q25" s="481"/>
      <c r="R25" s="481"/>
      <c r="S25" s="481"/>
      <c r="T25" s="481"/>
      <c r="U25" s="481"/>
      <c r="V25" s="482"/>
      <c r="W25" s="483"/>
      <c r="X25" s="484"/>
    </row>
    <row r="26" spans="1:24" x14ac:dyDescent="0.3">
      <c r="A26" s="709"/>
      <c r="B26" s="429" t="s">
        <v>3438</v>
      </c>
      <c r="C26" s="430">
        <v>3</v>
      </c>
      <c r="D26" s="430"/>
      <c r="E26" s="430"/>
      <c r="F26" s="225"/>
      <c r="P26" s="480"/>
      <c r="Q26" s="481"/>
      <c r="R26" s="481"/>
      <c r="S26" s="481"/>
      <c r="T26" s="481"/>
      <c r="U26" s="481"/>
      <c r="V26" s="482"/>
      <c r="W26" s="483"/>
      <c r="X26" s="484"/>
    </row>
    <row r="27" spans="1:24" x14ac:dyDescent="0.3">
      <c r="A27" s="709"/>
      <c r="B27" s="429" t="s">
        <v>3439</v>
      </c>
      <c r="C27" s="430" t="s">
        <v>3261</v>
      </c>
      <c r="D27" s="430" t="s">
        <v>3261</v>
      </c>
      <c r="E27" s="430">
        <v>21</v>
      </c>
      <c r="F27" s="225" t="s">
        <v>3261</v>
      </c>
      <c r="P27" s="480"/>
      <c r="Q27" s="481"/>
      <c r="R27" s="481"/>
      <c r="S27" s="481"/>
      <c r="T27" s="481"/>
      <c r="U27" s="481"/>
      <c r="V27" s="482"/>
      <c r="W27" s="483"/>
      <c r="X27" s="484"/>
    </row>
    <row r="28" spans="1:24" x14ac:dyDescent="0.3">
      <c r="A28" s="709"/>
      <c r="B28" s="429" t="s">
        <v>3440</v>
      </c>
      <c r="C28" s="430" t="s">
        <v>3405</v>
      </c>
      <c r="D28" s="430">
        <v>13</v>
      </c>
      <c r="E28" s="430" t="s">
        <v>3405</v>
      </c>
      <c r="F28" s="225" t="s">
        <v>3261</v>
      </c>
      <c r="P28" s="480"/>
      <c r="Q28" s="481"/>
      <c r="R28" s="481"/>
      <c r="S28" s="481"/>
      <c r="T28" s="481"/>
      <c r="U28" s="481"/>
      <c r="V28" s="482"/>
      <c r="W28" s="483"/>
      <c r="X28" s="484"/>
    </row>
    <row r="29" spans="1:24" ht="17.25" thickBot="1" x14ac:dyDescent="0.35">
      <c r="A29" s="711"/>
      <c r="B29" s="485" t="s">
        <v>3441</v>
      </c>
      <c r="C29" s="486">
        <v>6</v>
      </c>
      <c r="D29" s="486" t="s">
        <v>3261</v>
      </c>
      <c r="E29" s="486" t="s">
        <v>3261</v>
      </c>
      <c r="F29" s="214" t="s">
        <v>3261</v>
      </c>
      <c r="P29" s="480"/>
      <c r="Q29" s="481"/>
      <c r="R29" s="481"/>
      <c r="S29" s="481"/>
      <c r="T29" s="481"/>
      <c r="U29" s="481"/>
      <c r="V29" s="482"/>
      <c r="W29" s="483"/>
      <c r="X29" s="484"/>
    </row>
    <row r="30" spans="1:24" ht="18" thickTop="1" thickBot="1" x14ac:dyDescent="0.35">
      <c r="A30" s="705" t="s">
        <v>3415</v>
      </c>
      <c r="B30" s="706"/>
      <c r="C30" s="487">
        <f>SUM(C3:C29)</f>
        <v>140</v>
      </c>
      <c r="D30" s="487">
        <f>SUM(D3:D29)</f>
        <v>261</v>
      </c>
      <c r="E30" s="487">
        <f>SUM(E3:E29)</f>
        <v>297</v>
      </c>
      <c r="F30" s="488">
        <f>SUM(F3:F29)</f>
        <v>31</v>
      </c>
    </row>
    <row r="31" spans="1:24" x14ac:dyDescent="0.3">
      <c r="A31" s="489"/>
      <c r="B31" s="489"/>
      <c r="C31" s="489"/>
      <c r="D31" s="489"/>
      <c r="E31" s="489"/>
      <c r="F31" s="489"/>
      <c r="G31" s="2"/>
    </row>
    <row r="32" spans="1:24" s="109" customFormat="1" x14ac:dyDescent="0.3">
      <c r="A32" s="37" t="s">
        <v>3442</v>
      </c>
      <c r="B32" s="490"/>
      <c r="C32" s="136"/>
      <c r="D32" s="136"/>
      <c r="E32" s="136"/>
      <c r="F32" s="136"/>
      <c r="G32" s="137"/>
    </row>
    <row r="33" spans="1:7" s="109" customFormat="1" x14ac:dyDescent="0.3">
      <c r="A33" s="37" t="s">
        <v>3443</v>
      </c>
      <c r="B33" s="490"/>
      <c r="C33" s="136"/>
      <c r="D33" s="136"/>
      <c r="E33" s="136"/>
      <c r="F33" s="136"/>
      <c r="G33" s="137"/>
    </row>
    <row r="34" spans="1:7" s="109" customFormat="1" x14ac:dyDescent="0.3">
      <c r="A34" s="37" t="s">
        <v>3444</v>
      </c>
      <c r="B34" s="490"/>
      <c r="C34" s="136"/>
      <c r="D34" s="136"/>
      <c r="E34" s="136"/>
      <c r="F34" s="136"/>
      <c r="G34" s="137"/>
    </row>
    <row r="35" spans="1:7" s="109" customFormat="1" x14ac:dyDescent="0.3">
      <c r="A35" s="37" t="s">
        <v>3445</v>
      </c>
      <c r="B35" s="490"/>
      <c r="C35" s="136"/>
      <c r="D35" s="136"/>
      <c r="E35" s="136"/>
      <c r="F35" s="136"/>
      <c r="G35" s="137"/>
    </row>
    <row r="36" spans="1:7" s="109" customFormat="1" x14ac:dyDescent="0.3">
      <c r="A36" s="37"/>
      <c r="B36" s="491"/>
      <c r="C36" s="136"/>
      <c r="D36" s="136"/>
      <c r="E36" s="136"/>
      <c r="F36" s="136"/>
      <c r="G36" s="137"/>
    </row>
    <row r="37" spans="1:7" s="109" customFormat="1" x14ac:dyDescent="0.3">
      <c r="A37" s="136"/>
      <c r="B37" s="136"/>
      <c r="C37" s="136"/>
      <c r="D37" s="136"/>
      <c r="E37" s="136"/>
      <c r="F37" s="136"/>
      <c r="G37" s="137"/>
    </row>
    <row r="38" spans="1:7" s="109" customFormat="1" x14ac:dyDescent="0.3">
      <c r="A38" s="136"/>
      <c r="B38" s="136"/>
      <c r="C38" s="136"/>
      <c r="D38" s="136"/>
      <c r="E38" s="136"/>
      <c r="F38" s="136"/>
      <c r="G38" s="137"/>
    </row>
  </sheetData>
  <mergeCells count="17">
    <mergeCell ref="A30:B30"/>
    <mergeCell ref="W2:W3"/>
    <mergeCell ref="X2:X3"/>
    <mergeCell ref="A3:A10"/>
    <mergeCell ref="A11:A12"/>
    <mergeCell ref="A13:A23"/>
    <mergeCell ref="A24:A29"/>
    <mergeCell ref="A1:F1"/>
    <mergeCell ref="H1:N1"/>
    <mergeCell ref="P1:X1"/>
    <mergeCell ref="H2:H3"/>
    <mergeCell ref="I2:I3"/>
    <mergeCell ref="J2:J3"/>
    <mergeCell ref="K2:N2"/>
    <mergeCell ref="P2:P3"/>
    <mergeCell ref="Q2:Q3"/>
    <mergeCell ref="R2:V2"/>
  </mergeCells>
  <phoneticPr fontId="2" type="noConversion"/>
  <pageMargins left="0.7" right="0.7" top="0.75" bottom="0.75" header="0.3" footer="0.3"/>
  <pageSetup paperSize="9" orientation="portrait" r:id="rId1"/>
  <ignoredErrors>
    <ignoredError sqref="Q21:V21 V4:V20" formulaRange="1"/>
    <ignoredError sqref="L8" formula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R659"/>
  <sheetViews>
    <sheetView zoomScale="92" zoomScaleNormal="92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L31" sqref="L31"/>
    </sheetView>
  </sheetViews>
  <sheetFormatPr defaultColWidth="8.875" defaultRowHeight="19.149999999999999" customHeight="1" outlineLevelCol="1" x14ac:dyDescent="0.3"/>
  <cols>
    <col min="1" max="1" width="6.25" style="4" customWidth="1"/>
    <col min="2" max="3" width="8.75" style="49" customWidth="1"/>
    <col min="4" max="4" width="12.25" style="49" hidden="1" customWidth="1"/>
    <col min="5" max="5" width="29.125" style="4" customWidth="1"/>
    <col min="6" max="6" width="25" style="4" customWidth="1"/>
    <col min="7" max="7" width="8.875" style="4"/>
    <col min="8" max="8" width="8.875" style="97"/>
    <col min="9" max="9" width="9.125" style="104" bestFit="1" customWidth="1"/>
    <col min="10" max="10" width="9.375" style="74" customWidth="1"/>
    <col min="11" max="11" width="33.75" style="49" customWidth="1"/>
    <col min="12" max="12" width="11.25" style="4" customWidth="1" outlineLevel="1"/>
    <col min="13" max="13" width="13.75" style="4" customWidth="1" outlineLevel="1"/>
    <col min="14" max="14" width="10.25" style="4" customWidth="1" outlineLevel="1"/>
    <col min="15" max="15" width="15" style="4" customWidth="1" outlineLevel="1"/>
    <col min="16" max="16" width="20" style="49" customWidth="1" outlineLevel="1"/>
    <col min="17" max="17" width="11.75" style="49" customWidth="1" outlineLevel="1"/>
    <col min="18" max="18" width="50.125" style="4" customWidth="1"/>
    <col min="19" max="19" width="21.625" style="4" customWidth="1"/>
    <col min="20" max="16384" width="8.875" style="4"/>
  </cols>
  <sheetData>
    <row r="1" spans="1:18" s="5" customFormat="1" ht="29.45" customHeight="1" thickBot="1" x14ac:dyDescent="0.35">
      <c r="A1" s="50" t="s">
        <v>301</v>
      </c>
      <c r="B1" s="50" t="s">
        <v>189</v>
      </c>
      <c r="C1" s="50" t="s">
        <v>190</v>
      </c>
      <c r="D1" s="51" t="s">
        <v>1069</v>
      </c>
      <c r="E1" s="50" t="s">
        <v>1208</v>
      </c>
      <c r="F1" s="50" t="s">
        <v>0</v>
      </c>
      <c r="G1" s="51" t="s">
        <v>1209</v>
      </c>
      <c r="H1" s="131" t="s">
        <v>2979</v>
      </c>
      <c r="I1" s="103" t="s">
        <v>302</v>
      </c>
      <c r="J1" s="130" t="s">
        <v>2982</v>
      </c>
      <c r="K1" s="53" t="s">
        <v>2726</v>
      </c>
      <c r="L1" s="52" t="s">
        <v>1210</v>
      </c>
      <c r="M1" s="52" t="s">
        <v>839</v>
      </c>
      <c r="N1" s="52" t="s">
        <v>1211</v>
      </c>
      <c r="O1" s="50" t="s">
        <v>303</v>
      </c>
      <c r="P1" s="50" t="s">
        <v>2</v>
      </c>
      <c r="Q1" s="50" t="s">
        <v>191</v>
      </c>
      <c r="R1" s="50" t="s">
        <v>192</v>
      </c>
    </row>
    <row r="2" spans="1:18" s="7" customFormat="1" ht="19.149999999999999" customHeight="1" thickTop="1" x14ac:dyDescent="0.3">
      <c r="A2" s="6">
        <v>1</v>
      </c>
      <c r="B2" s="81" t="s">
        <v>1212</v>
      </c>
      <c r="C2" s="81" t="s">
        <v>1213</v>
      </c>
      <c r="D2" s="6">
        <v>1</v>
      </c>
      <c r="E2" s="80" t="s">
        <v>1214</v>
      </c>
      <c r="F2" s="80" t="s">
        <v>1057</v>
      </c>
      <c r="G2" s="81" t="s">
        <v>317</v>
      </c>
      <c r="H2" s="83">
        <v>2</v>
      </c>
      <c r="I2" s="112">
        <v>102</v>
      </c>
      <c r="J2" s="82">
        <v>0</v>
      </c>
      <c r="K2" s="83" t="s">
        <v>1215</v>
      </c>
      <c r="L2" s="83">
        <v>2</v>
      </c>
      <c r="M2" s="83" t="s">
        <v>841</v>
      </c>
      <c r="N2" s="83" t="s">
        <v>1216</v>
      </c>
      <c r="O2" s="81" t="s">
        <v>832</v>
      </c>
      <c r="P2" s="127" t="s">
        <v>1206</v>
      </c>
      <c r="Q2" s="84">
        <v>42495</v>
      </c>
      <c r="R2" s="80"/>
    </row>
    <row r="3" spans="1:18" s="7" customFormat="1" ht="19.149999999999999" customHeight="1" x14ac:dyDescent="0.3">
      <c r="A3" s="24">
        <v>2</v>
      </c>
      <c r="B3" s="10" t="s">
        <v>193</v>
      </c>
      <c r="C3" s="10" t="s">
        <v>3</v>
      </c>
      <c r="D3" s="42">
        <v>1</v>
      </c>
      <c r="E3" s="11" t="s">
        <v>1217</v>
      </c>
      <c r="F3" s="11" t="s">
        <v>393</v>
      </c>
      <c r="G3" s="10" t="s">
        <v>150</v>
      </c>
      <c r="H3" s="13">
        <v>8</v>
      </c>
      <c r="I3" s="96">
        <v>973</v>
      </c>
      <c r="J3" s="62">
        <v>0</v>
      </c>
      <c r="K3" s="13" t="s">
        <v>1218</v>
      </c>
      <c r="L3" s="13">
        <v>0</v>
      </c>
      <c r="M3" s="13" t="s">
        <v>820</v>
      </c>
      <c r="N3" s="13" t="s">
        <v>884</v>
      </c>
      <c r="O3" s="10" t="s">
        <v>151</v>
      </c>
      <c r="P3" s="8" t="s">
        <v>152</v>
      </c>
      <c r="Q3" s="14">
        <v>39283</v>
      </c>
      <c r="R3" s="3" t="s">
        <v>1205</v>
      </c>
    </row>
    <row r="4" spans="1:18" s="7" customFormat="1" ht="19.149999999999999" customHeight="1" x14ac:dyDescent="0.3">
      <c r="A4" s="8">
        <v>3</v>
      </c>
      <c r="B4" s="8" t="s">
        <v>193</v>
      </c>
      <c r="C4" s="8" t="s">
        <v>3</v>
      </c>
      <c r="D4" s="8">
        <v>1</v>
      </c>
      <c r="E4" s="16" t="s">
        <v>1219</v>
      </c>
      <c r="F4" s="16" t="s">
        <v>395</v>
      </c>
      <c r="G4" s="8" t="s">
        <v>150</v>
      </c>
      <c r="H4" s="13">
        <v>6</v>
      </c>
      <c r="I4" s="96">
        <v>885</v>
      </c>
      <c r="J4" s="62">
        <v>0</v>
      </c>
      <c r="K4" s="13" t="s">
        <v>310</v>
      </c>
      <c r="L4" s="13">
        <v>0</v>
      </c>
      <c r="M4" s="13" t="s">
        <v>1220</v>
      </c>
      <c r="N4" s="13" t="s">
        <v>1221</v>
      </c>
      <c r="O4" s="10" t="s">
        <v>151</v>
      </c>
      <c r="P4" s="8" t="s">
        <v>152</v>
      </c>
      <c r="Q4" s="14">
        <v>42341</v>
      </c>
      <c r="R4" s="19" t="s">
        <v>1222</v>
      </c>
    </row>
    <row r="5" spans="1:18" s="7" customFormat="1" ht="19.149999999999999" customHeight="1" x14ac:dyDescent="0.3">
      <c r="A5" s="24">
        <v>4</v>
      </c>
      <c r="B5" s="10" t="s">
        <v>1223</v>
      </c>
      <c r="C5" s="10" t="s">
        <v>1224</v>
      </c>
      <c r="D5" s="8">
        <v>1</v>
      </c>
      <c r="E5" s="3" t="s">
        <v>1226</v>
      </c>
      <c r="F5" s="11" t="s">
        <v>1227</v>
      </c>
      <c r="G5" s="10" t="s">
        <v>1228</v>
      </c>
      <c r="H5" s="13">
        <v>1</v>
      </c>
      <c r="I5" s="96">
        <v>286</v>
      </c>
      <c r="J5" s="62">
        <v>0</v>
      </c>
      <c r="K5" s="13" t="s">
        <v>317</v>
      </c>
      <c r="L5" s="13">
        <v>1</v>
      </c>
      <c r="M5" s="13" t="s">
        <v>982</v>
      </c>
      <c r="N5" s="13" t="s">
        <v>1229</v>
      </c>
      <c r="O5" s="10" t="s">
        <v>203</v>
      </c>
      <c r="P5" s="113" t="s">
        <v>1230</v>
      </c>
      <c r="Q5" s="14">
        <v>42115</v>
      </c>
      <c r="R5" s="3" t="s">
        <v>1231</v>
      </c>
    </row>
    <row r="6" spans="1:18" s="15" customFormat="1" ht="19.149999999999999" customHeight="1" x14ac:dyDescent="0.3">
      <c r="A6" s="8">
        <v>5</v>
      </c>
      <c r="B6" s="10" t="s">
        <v>193</v>
      </c>
      <c r="C6" s="10" t="s">
        <v>3</v>
      </c>
      <c r="D6" s="8">
        <v>1</v>
      </c>
      <c r="E6" s="3" t="s">
        <v>1232</v>
      </c>
      <c r="F6" s="11" t="s">
        <v>1233</v>
      </c>
      <c r="G6" s="10" t="s">
        <v>310</v>
      </c>
      <c r="H6" s="13">
        <v>1</v>
      </c>
      <c r="I6" s="96">
        <v>300</v>
      </c>
      <c r="J6" s="62">
        <v>0</v>
      </c>
      <c r="K6" s="13" t="s">
        <v>310</v>
      </c>
      <c r="L6" s="13">
        <v>1</v>
      </c>
      <c r="M6" s="13" t="s">
        <v>982</v>
      </c>
      <c r="N6" s="13" t="s">
        <v>1221</v>
      </c>
      <c r="O6" s="10" t="s">
        <v>1235</v>
      </c>
      <c r="P6" s="113" t="s">
        <v>1230</v>
      </c>
      <c r="Q6" s="14">
        <v>39539</v>
      </c>
      <c r="R6" s="3" t="s">
        <v>1204</v>
      </c>
    </row>
    <row r="7" spans="1:18" s="7" customFormat="1" ht="19.149999999999999" customHeight="1" x14ac:dyDescent="0.3">
      <c r="A7" s="24">
        <v>6</v>
      </c>
      <c r="B7" s="10" t="s">
        <v>193</v>
      </c>
      <c r="C7" s="10" t="s">
        <v>3</v>
      </c>
      <c r="D7" s="8">
        <v>1</v>
      </c>
      <c r="E7" s="11" t="s">
        <v>397</v>
      </c>
      <c r="F7" s="11" t="s">
        <v>1236</v>
      </c>
      <c r="G7" s="10" t="s">
        <v>310</v>
      </c>
      <c r="H7" s="13">
        <v>2</v>
      </c>
      <c r="I7" s="96">
        <v>365</v>
      </c>
      <c r="J7" s="62">
        <v>0</v>
      </c>
      <c r="K7" s="13" t="s">
        <v>310</v>
      </c>
      <c r="L7" s="13">
        <v>2</v>
      </c>
      <c r="M7" s="13" t="s">
        <v>841</v>
      </c>
      <c r="N7" s="13" t="s">
        <v>1229</v>
      </c>
      <c r="O7" s="10" t="s">
        <v>1237</v>
      </c>
      <c r="P7" s="113" t="s">
        <v>1238</v>
      </c>
      <c r="Q7" s="14">
        <v>36847</v>
      </c>
      <c r="R7" s="11"/>
    </row>
    <row r="8" spans="1:18" s="7" customFormat="1" ht="19.149999999999999" customHeight="1" x14ac:dyDescent="0.3">
      <c r="A8" s="8">
        <v>7</v>
      </c>
      <c r="B8" s="8" t="s">
        <v>193</v>
      </c>
      <c r="C8" s="8" t="s">
        <v>4</v>
      </c>
      <c r="D8" s="8">
        <v>2</v>
      </c>
      <c r="E8" s="16" t="s">
        <v>153</v>
      </c>
      <c r="F8" s="16" t="s">
        <v>1141</v>
      </c>
      <c r="G8" s="8" t="s">
        <v>150</v>
      </c>
      <c r="H8" s="13">
        <v>5</v>
      </c>
      <c r="I8" s="96">
        <v>710</v>
      </c>
      <c r="J8" s="62">
        <v>1</v>
      </c>
      <c r="K8" s="13" t="s">
        <v>984</v>
      </c>
      <c r="L8" s="13">
        <v>0</v>
      </c>
      <c r="M8" s="13" t="s">
        <v>1239</v>
      </c>
      <c r="N8" s="13" t="s">
        <v>884</v>
      </c>
      <c r="O8" s="8" t="s">
        <v>155</v>
      </c>
      <c r="P8" s="8" t="s">
        <v>156</v>
      </c>
      <c r="Q8" s="14">
        <v>38436</v>
      </c>
      <c r="R8" s="19"/>
    </row>
    <row r="9" spans="1:18" s="7" customFormat="1" ht="19.149999999999999" customHeight="1" x14ac:dyDescent="0.3">
      <c r="A9" s="24">
        <v>8</v>
      </c>
      <c r="B9" s="8" t="s">
        <v>193</v>
      </c>
      <c r="C9" s="8" t="s">
        <v>4</v>
      </c>
      <c r="D9" s="8">
        <v>2</v>
      </c>
      <c r="E9" s="19" t="s">
        <v>1240</v>
      </c>
      <c r="F9" s="19" t="s">
        <v>399</v>
      </c>
      <c r="G9" s="8" t="s">
        <v>150</v>
      </c>
      <c r="H9" s="13">
        <v>5</v>
      </c>
      <c r="I9" s="96">
        <v>736</v>
      </c>
      <c r="J9" s="62">
        <v>0</v>
      </c>
      <c r="K9" s="13" t="s">
        <v>310</v>
      </c>
      <c r="L9" s="13">
        <v>0</v>
      </c>
      <c r="M9" s="13" t="s">
        <v>1239</v>
      </c>
      <c r="N9" s="13" t="s">
        <v>884</v>
      </c>
      <c r="O9" s="10" t="s">
        <v>151</v>
      </c>
      <c r="P9" s="8" t="s">
        <v>152</v>
      </c>
      <c r="Q9" s="14">
        <v>37248</v>
      </c>
      <c r="R9" s="19"/>
    </row>
    <row r="10" spans="1:18" s="7" customFormat="1" ht="19.149999999999999" customHeight="1" x14ac:dyDescent="0.3">
      <c r="A10" s="8">
        <v>9</v>
      </c>
      <c r="B10" s="8" t="s">
        <v>193</v>
      </c>
      <c r="C10" s="8" t="s">
        <v>1241</v>
      </c>
      <c r="D10" s="8">
        <v>2</v>
      </c>
      <c r="E10" s="56" t="s">
        <v>1242</v>
      </c>
      <c r="F10" s="16" t="s">
        <v>1243</v>
      </c>
      <c r="G10" s="8" t="s">
        <v>1228</v>
      </c>
      <c r="H10" s="13">
        <v>1</v>
      </c>
      <c r="I10" s="96">
        <v>260</v>
      </c>
      <c r="J10" s="62">
        <v>0</v>
      </c>
      <c r="K10" s="13" t="s">
        <v>1228</v>
      </c>
      <c r="L10" s="13">
        <v>0</v>
      </c>
      <c r="M10" s="13" t="s">
        <v>1239</v>
      </c>
      <c r="N10" s="13" t="s">
        <v>1216</v>
      </c>
      <c r="O10" s="8" t="s">
        <v>1244</v>
      </c>
      <c r="P10" s="8" t="s">
        <v>1245</v>
      </c>
      <c r="Q10" s="14">
        <v>40453</v>
      </c>
      <c r="R10" s="30" t="s">
        <v>1246</v>
      </c>
    </row>
    <row r="11" spans="1:18" s="7" customFormat="1" ht="19.149999999999999" customHeight="1" x14ac:dyDescent="0.3">
      <c r="A11" s="24">
        <v>10</v>
      </c>
      <c r="B11" s="8" t="s">
        <v>193</v>
      </c>
      <c r="C11" s="8" t="s">
        <v>4</v>
      </c>
      <c r="D11" s="8">
        <v>2</v>
      </c>
      <c r="E11" s="16" t="s">
        <v>1247</v>
      </c>
      <c r="F11" s="16" t="s">
        <v>398</v>
      </c>
      <c r="G11" s="8" t="s">
        <v>150</v>
      </c>
      <c r="H11" s="13">
        <v>6</v>
      </c>
      <c r="I11" s="96">
        <v>676</v>
      </c>
      <c r="J11" s="62">
        <v>0</v>
      </c>
      <c r="K11" s="13" t="s">
        <v>310</v>
      </c>
      <c r="L11" s="13">
        <v>0</v>
      </c>
      <c r="M11" s="13" t="s">
        <v>1218</v>
      </c>
      <c r="N11" s="13" t="s">
        <v>1229</v>
      </c>
      <c r="O11" s="10" t="s">
        <v>151</v>
      </c>
      <c r="P11" s="8" t="s">
        <v>152</v>
      </c>
      <c r="Q11" s="14">
        <v>43088</v>
      </c>
      <c r="R11" s="19"/>
    </row>
    <row r="12" spans="1:18" s="7" customFormat="1" ht="19.149999999999999" customHeight="1" x14ac:dyDescent="0.3">
      <c r="A12" s="8">
        <v>11</v>
      </c>
      <c r="B12" s="8" t="s">
        <v>193</v>
      </c>
      <c r="C12" s="8" t="s">
        <v>4</v>
      </c>
      <c r="D12" s="8">
        <v>2</v>
      </c>
      <c r="E12" s="16" t="s">
        <v>154</v>
      </c>
      <c r="F12" s="16" t="s">
        <v>405</v>
      </c>
      <c r="G12" s="8" t="s">
        <v>150</v>
      </c>
      <c r="H12" s="13">
        <v>8</v>
      </c>
      <c r="I12" s="96">
        <v>1744</v>
      </c>
      <c r="J12" s="62">
        <v>1</v>
      </c>
      <c r="K12" s="13" t="s">
        <v>369</v>
      </c>
      <c r="L12" s="13">
        <v>0</v>
      </c>
      <c r="M12" s="13" t="s">
        <v>1239</v>
      </c>
      <c r="N12" s="13" t="s">
        <v>1221</v>
      </c>
      <c r="O12" s="8" t="s">
        <v>157</v>
      </c>
      <c r="P12" s="8" t="s">
        <v>158</v>
      </c>
      <c r="Q12" s="14">
        <v>39702</v>
      </c>
      <c r="R12" s="19"/>
    </row>
    <row r="13" spans="1:18" s="7" customFormat="1" ht="19.149999999999999" customHeight="1" x14ac:dyDescent="0.3">
      <c r="A13" s="24">
        <v>12</v>
      </c>
      <c r="B13" s="10" t="s">
        <v>193</v>
      </c>
      <c r="C13" s="10" t="s">
        <v>1248</v>
      </c>
      <c r="D13" s="8">
        <v>2</v>
      </c>
      <c r="E13" s="11" t="s">
        <v>149</v>
      </c>
      <c r="F13" s="11" t="s">
        <v>1249</v>
      </c>
      <c r="G13" s="10" t="s">
        <v>310</v>
      </c>
      <c r="H13" s="13">
        <v>1</v>
      </c>
      <c r="I13" s="96">
        <v>230</v>
      </c>
      <c r="J13" s="62">
        <v>0</v>
      </c>
      <c r="K13" s="13" t="s">
        <v>310</v>
      </c>
      <c r="L13" s="13">
        <v>1</v>
      </c>
      <c r="M13" s="13" t="s">
        <v>1234</v>
      </c>
      <c r="N13" s="13" t="s">
        <v>1229</v>
      </c>
      <c r="O13" s="10" t="s">
        <v>1250</v>
      </c>
      <c r="P13" s="8" t="s">
        <v>396</v>
      </c>
      <c r="Q13" s="14">
        <v>37386</v>
      </c>
      <c r="R13" s="11" t="s">
        <v>1251</v>
      </c>
    </row>
    <row r="14" spans="1:18" s="7" customFormat="1" ht="19.149999999999999" customHeight="1" x14ac:dyDescent="0.3">
      <c r="A14" s="8">
        <v>13</v>
      </c>
      <c r="B14" s="10" t="s">
        <v>193</v>
      </c>
      <c r="C14" s="10" t="s">
        <v>4</v>
      </c>
      <c r="D14" s="8">
        <v>2</v>
      </c>
      <c r="E14" s="596" t="s">
        <v>1252</v>
      </c>
      <c r="F14" s="11" t="s">
        <v>400</v>
      </c>
      <c r="G14" s="10" t="s">
        <v>150</v>
      </c>
      <c r="H14" s="13">
        <v>5</v>
      </c>
      <c r="I14" s="96">
        <v>694</v>
      </c>
      <c r="J14" s="62">
        <v>0</v>
      </c>
      <c r="K14" s="13" t="s">
        <v>1239</v>
      </c>
      <c r="L14" s="13">
        <v>2</v>
      </c>
      <c r="M14" s="13" t="s">
        <v>394</v>
      </c>
      <c r="N14" s="13" t="s">
        <v>1221</v>
      </c>
      <c r="O14" s="10" t="s">
        <v>151</v>
      </c>
      <c r="P14" s="8" t="s">
        <v>152</v>
      </c>
      <c r="Q14" s="14">
        <v>38814</v>
      </c>
      <c r="R14" s="3" t="s">
        <v>1253</v>
      </c>
    </row>
    <row r="15" spans="1:18" s="7" customFormat="1" ht="19.149999999999999" customHeight="1" x14ac:dyDescent="0.3">
      <c r="A15" s="24">
        <v>14</v>
      </c>
      <c r="B15" s="8" t="s">
        <v>193</v>
      </c>
      <c r="C15" s="8" t="s">
        <v>4</v>
      </c>
      <c r="D15" s="8">
        <v>2</v>
      </c>
      <c r="E15" s="16" t="s">
        <v>401</v>
      </c>
      <c r="F15" s="16" t="s">
        <v>402</v>
      </c>
      <c r="G15" s="8" t="s">
        <v>310</v>
      </c>
      <c r="H15" s="13">
        <v>11</v>
      </c>
      <c r="I15" s="96">
        <v>2712</v>
      </c>
      <c r="J15" s="62">
        <v>0</v>
      </c>
      <c r="K15" s="13" t="s">
        <v>310</v>
      </c>
      <c r="L15" s="13">
        <v>0</v>
      </c>
      <c r="M15" s="13" t="s">
        <v>1218</v>
      </c>
      <c r="N15" s="13" t="s">
        <v>1221</v>
      </c>
      <c r="O15" s="8" t="s">
        <v>1254</v>
      </c>
      <c r="P15" s="8" t="s">
        <v>403</v>
      </c>
      <c r="Q15" s="14">
        <v>37240</v>
      </c>
      <c r="R15" s="3" t="s">
        <v>1185</v>
      </c>
    </row>
    <row r="16" spans="1:18" s="7" customFormat="1" ht="19.149999999999999" customHeight="1" x14ac:dyDescent="0.3">
      <c r="A16" s="8">
        <v>15</v>
      </c>
      <c r="B16" s="8" t="s">
        <v>307</v>
      </c>
      <c r="C16" s="8" t="s">
        <v>387</v>
      </c>
      <c r="D16" s="8">
        <v>3</v>
      </c>
      <c r="E16" s="16" t="s">
        <v>388</v>
      </c>
      <c r="F16" s="16" t="s">
        <v>389</v>
      </c>
      <c r="G16" s="8" t="s">
        <v>318</v>
      </c>
      <c r="H16" s="13">
        <v>8</v>
      </c>
      <c r="I16" s="193">
        <v>889</v>
      </c>
      <c r="J16" s="177">
        <v>6</v>
      </c>
      <c r="K16" s="174" t="s">
        <v>3501</v>
      </c>
      <c r="L16" s="13">
        <v>0</v>
      </c>
      <c r="M16" s="13" t="s">
        <v>1239</v>
      </c>
      <c r="N16" s="13" t="s">
        <v>1229</v>
      </c>
      <c r="O16" s="8" t="s">
        <v>155</v>
      </c>
      <c r="P16" s="8" t="s">
        <v>156</v>
      </c>
      <c r="Q16" s="14">
        <v>41487</v>
      </c>
      <c r="R16" s="19"/>
    </row>
    <row r="17" spans="1:18" s="7" customFormat="1" ht="19.149999999999999" customHeight="1" x14ac:dyDescent="0.3">
      <c r="A17" s="24">
        <v>16</v>
      </c>
      <c r="B17" s="8" t="s">
        <v>193</v>
      </c>
      <c r="C17" s="8" t="s">
        <v>5</v>
      </c>
      <c r="D17" s="8">
        <v>3</v>
      </c>
      <c r="E17" s="19" t="s">
        <v>1255</v>
      </c>
      <c r="F17" s="19" t="s">
        <v>1079</v>
      </c>
      <c r="G17" s="8" t="s">
        <v>150</v>
      </c>
      <c r="H17" s="13">
        <v>20</v>
      </c>
      <c r="I17" s="96">
        <v>3887</v>
      </c>
      <c r="J17" s="62">
        <v>7</v>
      </c>
      <c r="K17" s="13" t="s">
        <v>2971</v>
      </c>
      <c r="L17" s="13">
        <v>1</v>
      </c>
      <c r="M17" s="13" t="s">
        <v>1256</v>
      </c>
      <c r="N17" s="13" t="s">
        <v>1221</v>
      </c>
      <c r="O17" s="10" t="s">
        <v>151</v>
      </c>
      <c r="P17" s="8" t="s">
        <v>152</v>
      </c>
      <c r="Q17" s="14">
        <v>38268</v>
      </c>
      <c r="R17" s="19" t="s">
        <v>1257</v>
      </c>
    </row>
    <row r="18" spans="1:18" s="7" customFormat="1" ht="19.149999999999999" customHeight="1" x14ac:dyDescent="0.3">
      <c r="A18" s="8">
        <v>17</v>
      </c>
      <c r="B18" s="8" t="s">
        <v>193</v>
      </c>
      <c r="C18" s="8" t="s">
        <v>6</v>
      </c>
      <c r="D18" s="8">
        <v>4</v>
      </c>
      <c r="E18" s="19" t="s">
        <v>1258</v>
      </c>
      <c r="F18" s="19" t="s">
        <v>1080</v>
      </c>
      <c r="G18" s="8" t="s">
        <v>150</v>
      </c>
      <c r="H18" s="13">
        <v>10</v>
      </c>
      <c r="I18" s="96">
        <v>1770</v>
      </c>
      <c r="J18" s="62">
        <v>5</v>
      </c>
      <c r="K18" s="13" t="s">
        <v>2753</v>
      </c>
      <c r="L18" s="13">
        <v>0</v>
      </c>
      <c r="M18" s="13" t="s">
        <v>1239</v>
      </c>
      <c r="N18" s="13" t="s">
        <v>1229</v>
      </c>
      <c r="O18" s="10" t="s">
        <v>151</v>
      </c>
      <c r="P18" s="8" t="s">
        <v>152</v>
      </c>
      <c r="Q18" s="14">
        <v>39806</v>
      </c>
      <c r="R18" s="19"/>
    </row>
    <row r="19" spans="1:18" s="7" customFormat="1" ht="19.149999999999999" customHeight="1" x14ac:dyDescent="0.3">
      <c r="A19" s="24">
        <v>18</v>
      </c>
      <c r="B19" s="8" t="s">
        <v>1260</v>
      </c>
      <c r="C19" s="8" t="s">
        <v>1261</v>
      </c>
      <c r="D19" s="8">
        <v>4</v>
      </c>
      <c r="E19" s="19" t="s">
        <v>1262</v>
      </c>
      <c r="F19" s="19" t="s">
        <v>1081</v>
      </c>
      <c r="G19" s="8" t="s">
        <v>1264</v>
      </c>
      <c r="H19" s="174">
        <v>6</v>
      </c>
      <c r="I19" s="193">
        <v>871</v>
      </c>
      <c r="J19" s="62">
        <v>3</v>
      </c>
      <c r="K19" s="174" t="s">
        <v>3201</v>
      </c>
      <c r="L19" s="13">
        <v>0</v>
      </c>
      <c r="M19" s="13" t="s">
        <v>1218</v>
      </c>
      <c r="N19" s="13" t="s">
        <v>1221</v>
      </c>
      <c r="O19" s="8" t="s">
        <v>157</v>
      </c>
      <c r="P19" s="8" t="s">
        <v>158</v>
      </c>
      <c r="Q19" s="14">
        <v>43777</v>
      </c>
      <c r="R19" s="114" t="s">
        <v>3469</v>
      </c>
    </row>
    <row r="20" spans="1:18" s="7" customFormat="1" ht="19.149999999999999" customHeight="1" x14ac:dyDescent="0.3">
      <c r="A20" s="8">
        <v>19</v>
      </c>
      <c r="B20" s="8" t="s">
        <v>193</v>
      </c>
      <c r="C20" s="8" t="s">
        <v>7</v>
      </c>
      <c r="D20" s="8">
        <v>5</v>
      </c>
      <c r="E20" s="19" t="s">
        <v>1265</v>
      </c>
      <c r="F20" s="19" t="s">
        <v>1082</v>
      </c>
      <c r="G20" s="8" t="s">
        <v>150</v>
      </c>
      <c r="H20" s="13">
        <v>11</v>
      </c>
      <c r="I20" s="96">
        <v>1466</v>
      </c>
      <c r="J20" s="62">
        <v>2</v>
      </c>
      <c r="K20" s="13" t="s">
        <v>1070</v>
      </c>
      <c r="L20" s="13">
        <v>1</v>
      </c>
      <c r="M20" s="13" t="s">
        <v>1256</v>
      </c>
      <c r="N20" s="13" t="s">
        <v>1221</v>
      </c>
      <c r="O20" s="10" t="s">
        <v>151</v>
      </c>
      <c r="P20" s="8" t="s">
        <v>152</v>
      </c>
      <c r="Q20" s="14">
        <v>35889</v>
      </c>
      <c r="R20" s="9" t="s">
        <v>1266</v>
      </c>
    </row>
    <row r="21" spans="1:18" s="7" customFormat="1" ht="19.149999999999999" customHeight="1" x14ac:dyDescent="0.3">
      <c r="A21" s="24">
        <v>20</v>
      </c>
      <c r="B21" s="8" t="s">
        <v>193</v>
      </c>
      <c r="C21" s="8" t="s">
        <v>7</v>
      </c>
      <c r="D21" s="8">
        <v>5</v>
      </c>
      <c r="E21" s="16" t="s">
        <v>1267</v>
      </c>
      <c r="F21" s="16" t="s">
        <v>1268</v>
      </c>
      <c r="G21" s="8" t="s">
        <v>310</v>
      </c>
      <c r="H21" s="13">
        <v>1</v>
      </c>
      <c r="I21" s="96">
        <v>152</v>
      </c>
      <c r="J21" s="62">
        <v>0</v>
      </c>
      <c r="K21" s="13" t="s">
        <v>310</v>
      </c>
      <c r="L21" s="13">
        <v>1</v>
      </c>
      <c r="M21" s="13" t="s">
        <v>1234</v>
      </c>
      <c r="N21" s="13" t="s">
        <v>1221</v>
      </c>
      <c r="O21" s="8" t="s">
        <v>1269</v>
      </c>
      <c r="P21" s="24" t="s">
        <v>1270</v>
      </c>
      <c r="Q21" s="14">
        <v>40554</v>
      </c>
      <c r="R21" s="19"/>
    </row>
    <row r="22" spans="1:18" s="7" customFormat="1" ht="19.149999999999999" customHeight="1" x14ac:dyDescent="0.3">
      <c r="A22" s="8">
        <v>21</v>
      </c>
      <c r="B22" s="8" t="s">
        <v>193</v>
      </c>
      <c r="C22" s="8" t="s">
        <v>7</v>
      </c>
      <c r="D22" s="8">
        <v>5</v>
      </c>
      <c r="E22" s="16" t="s">
        <v>339</v>
      </c>
      <c r="F22" s="16" t="s">
        <v>340</v>
      </c>
      <c r="G22" s="8" t="s">
        <v>160</v>
      </c>
      <c r="H22" s="13">
        <v>9</v>
      </c>
      <c r="I22" s="96">
        <v>1127</v>
      </c>
      <c r="J22" s="62">
        <v>0</v>
      </c>
      <c r="K22" s="13" t="s">
        <v>310</v>
      </c>
      <c r="L22" s="13">
        <v>0</v>
      </c>
      <c r="M22" s="13" t="s">
        <v>1239</v>
      </c>
      <c r="N22" s="13" t="s">
        <v>1221</v>
      </c>
      <c r="O22" s="8" t="s">
        <v>157</v>
      </c>
      <c r="P22" s="8" t="s">
        <v>158</v>
      </c>
      <c r="Q22" s="14">
        <v>43344</v>
      </c>
      <c r="R22" s="30" t="s">
        <v>341</v>
      </c>
    </row>
    <row r="23" spans="1:18" s="7" customFormat="1" ht="19.149999999999999" customHeight="1" x14ac:dyDescent="0.3">
      <c r="A23" s="24">
        <v>22</v>
      </c>
      <c r="B23" s="8" t="s">
        <v>193</v>
      </c>
      <c r="C23" s="8" t="s">
        <v>7</v>
      </c>
      <c r="D23" s="8">
        <v>5</v>
      </c>
      <c r="E23" s="16" t="s">
        <v>159</v>
      </c>
      <c r="F23" s="16" t="s">
        <v>1083</v>
      </c>
      <c r="G23" s="8" t="s">
        <v>150</v>
      </c>
      <c r="H23" s="13">
        <v>11</v>
      </c>
      <c r="I23" s="96">
        <v>2170</v>
      </c>
      <c r="J23" s="62">
        <v>2</v>
      </c>
      <c r="K23" s="13" t="s">
        <v>1271</v>
      </c>
      <c r="L23" s="13">
        <v>0</v>
      </c>
      <c r="M23" s="13" t="s">
        <v>1239</v>
      </c>
      <c r="N23" s="13" t="s">
        <v>1221</v>
      </c>
      <c r="O23" s="8" t="s">
        <v>155</v>
      </c>
      <c r="P23" s="8" t="s">
        <v>156</v>
      </c>
      <c r="Q23" s="14">
        <v>39109</v>
      </c>
      <c r="R23" s="9" t="s">
        <v>1272</v>
      </c>
    </row>
    <row r="24" spans="1:18" s="7" customFormat="1" ht="19.149999999999999" customHeight="1" x14ac:dyDescent="0.3">
      <c r="A24" s="8">
        <v>23</v>
      </c>
      <c r="B24" s="8" t="s">
        <v>193</v>
      </c>
      <c r="C24" s="8" t="s">
        <v>7</v>
      </c>
      <c r="D24" s="8">
        <v>5</v>
      </c>
      <c r="E24" s="19" t="s">
        <v>1273</v>
      </c>
      <c r="F24" s="19" t="s">
        <v>337</v>
      </c>
      <c r="G24" s="8" t="s">
        <v>150</v>
      </c>
      <c r="H24" s="13">
        <v>5</v>
      </c>
      <c r="I24" s="96">
        <v>754</v>
      </c>
      <c r="J24" s="62">
        <v>0</v>
      </c>
      <c r="K24" s="13" t="s">
        <v>310</v>
      </c>
      <c r="L24" s="13">
        <v>0</v>
      </c>
      <c r="M24" s="13" t="s">
        <v>1239</v>
      </c>
      <c r="N24" s="13" t="s">
        <v>1221</v>
      </c>
      <c r="O24" s="10" t="s">
        <v>151</v>
      </c>
      <c r="P24" s="8" t="s">
        <v>152</v>
      </c>
      <c r="Q24" s="14">
        <v>43130</v>
      </c>
      <c r="R24" s="19"/>
    </row>
    <row r="25" spans="1:18" s="7" customFormat="1" ht="19.149999999999999" customHeight="1" x14ac:dyDescent="0.3">
      <c r="A25" s="24">
        <v>24</v>
      </c>
      <c r="B25" s="8" t="s">
        <v>193</v>
      </c>
      <c r="C25" s="8" t="s">
        <v>8</v>
      </c>
      <c r="D25" s="8">
        <v>6</v>
      </c>
      <c r="E25" s="16" t="s">
        <v>161</v>
      </c>
      <c r="F25" s="16" t="s">
        <v>358</v>
      </c>
      <c r="G25" s="8" t="s">
        <v>150</v>
      </c>
      <c r="H25" s="13">
        <v>8</v>
      </c>
      <c r="I25" s="96">
        <v>1737</v>
      </c>
      <c r="J25" s="62">
        <v>1</v>
      </c>
      <c r="K25" s="13" t="s">
        <v>1071</v>
      </c>
      <c r="L25" s="13">
        <v>0</v>
      </c>
      <c r="M25" s="13" t="s">
        <v>1239</v>
      </c>
      <c r="N25" s="13" t="s">
        <v>1221</v>
      </c>
      <c r="O25" s="23" t="s">
        <v>155</v>
      </c>
      <c r="P25" s="8" t="s">
        <v>156</v>
      </c>
      <c r="Q25" s="14">
        <v>40410</v>
      </c>
      <c r="R25" s="19"/>
    </row>
    <row r="26" spans="1:18" s="7" customFormat="1" ht="19.149999999999999" customHeight="1" x14ac:dyDescent="0.3">
      <c r="A26" s="8">
        <v>25</v>
      </c>
      <c r="B26" s="8" t="s">
        <v>1260</v>
      </c>
      <c r="C26" s="8" t="s">
        <v>1274</v>
      </c>
      <c r="D26" s="8">
        <v>7</v>
      </c>
      <c r="E26" s="16" t="s">
        <v>1275</v>
      </c>
      <c r="F26" s="16" t="s">
        <v>1276</v>
      </c>
      <c r="G26" s="8" t="s">
        <v>1278</v>
      </c>
      <c r="H26" s="13">
        <v>8</v>
      </c>
      <c r="I26" s="96">
        <v>973</v>
      </c>
      <c r="J26" s="62">
        <v>2</v>
      </c>
      <c r="K26" s="13" t="s">
        <v>1279</v>
      </c>
      <c r="L26" s="13">
        <v>0</v>
      </c>
      <c r="M26" s="13" t="s">
        <v>1239</v>
      </c>
      <c r="N26" s="13" t="s">
        <v>1221</v>
      </c>
      <c r="O26" s="23" t="s">
        <v>155</v>
      </c>
      <c r="P26" s="8" t="s">
        <v>156</v>
      </c>
      <c r="Q26" s="14">
        <v>44112</v>
      </c>
      <c r="R26" s="19"/>
    </row>
    <row r="27" spans="1:18" s="7" customFormat="1" ht="19.149999999999999" customHeight="1" x14ac:dyDescent="0.3">
      <c r="A27" s="24">
        <v>26</v>
      </c>
      <c r="B27" s="8" t="s">
        <v>193</v>
      </c>
      <c r="C27" s="8" t="s">
        <v>9</v>
      </c>
      <c r="D27" s="8">
        <v>7</v>
      </c>
      <c r="E27" s="16" t="s">
        <v>162</v>
      </c>
      <c r="F27" s="16" t="s">
        <v>407</v>
      </c>
      <c r="G27" s="8" t="s">
        <v>150</v>
      </c>
      <c r="H27" s="13">
        <v>7</v>
      </c>
      <c r="I27" s="96">
        <v>924</v>
      </c>
      <c r="J27" s="62">
        <v>1</v>
      </c>
      <c r="K27" s="13" t="s">
        <v>369</v>
      </c>
      <c r="L27" s="13">
        <v>0</v>
      </c>
      <c r="M27" s="13" t="s">
        <v>1239</v>
      </c>
      <c r="N27" s="13" t="s">
        <v>1221</v>
      </c>
      <c r="O27" s="8" t="s">
        <v>157</v>
      </c>
      <c r="P27" s="8" t="s">
        <v>158</v>
      </c>
      <c r="Q27" s="14">
        <v>40087</v>
      </c>
      <c r="R27" s="19"/>
    </row>
    <row r="28" spans="1:18" s="7" customFormat="1" ht="19.149999999999999" customHeight="1" x14ac:dyDescent="0.3">
      <c r="A28" s="8">
        <v>27</v>
      </c>
      <c r="B28" s="8" t="s">
        <v>193</v>
      </c>
      <c r="C28" s="8" t="s">
        <v>9</v>
      </c>
      <c r="D28" s="8">
        <v>7</v>
      </c>
      <c r="E28" s="19" t="s">
        <v>1280</v>
      </c>
      <c r="F28" s="19" t="s">
        <v>406</v>
      </c>
      <c r="G28" s="8" t="s">
        <v>150</v>
      </c>
      <c r="H28" s="13">
        <v>7</v>
      </c>
      <c r="I28" s="193">
        <v>1155</v>
      </c>
      <c r="J28" s="62">
        <v>2</v>
      </c>
      <c r="K28" s="13" t="s">
        <v>1172</v>
      </c>
      <c r="L28" s="13">
        <v>0</v>
      </c>
      <c r="M28" s="13" t="s">
        <v>1239</v>
      </c>
      <c r="N28" s="13" t="s">
        <v>1229</v>
      </c>
      <c r="O28" s="10" t="s">
        <v>151</v>
      </c>
      <c r="P28" s="8" t="s">
        <v>152</v>
      </c>
      <c r="Q28" s="14">
        <v>42425</v>
      </c>
      <c r="R28" s="19" t="s">
        <v>3535</v>
      </c>
    </row>
    <row r="29" spans="1:18" s="7" customFormat="1" ht="19.149999999999999" customHeight="1" x14ac:dyDescent="0.3">
      <c r="A29" s="24">
        <v>28</v>
      </c>
      <c r="B29" s="10" t="s">
        <v>193</v>
      </c>
      <c r="C29" s="10" t="s">
        <v>10</v>
      </c>
      <c r="D29" s="8">
        <v>8</v>
      </c>
      <c r="E29" s="11" t="s">
        <v>1281</v>
      </c>
      <c r="F29" s="19" t="s">
        <v>1282</v>
      </c>
      <c r="G29" s="10" t="s">
        <v>1264</v>
      </c>
      <c r="H29" s="13">
        <v>5</v>
      </c>
      <c r="I29" s="96">
        <v>768</v>
      </c>
      <c r="J29" s="62">
        <v>0</v>
      </c>
      <c r="K29" s="13" t="s">
        <v>310</v>
      </c>
      <c r="L29" s="13">
        <v>0</v>
      </c>
      <c r="M29" s="13" t="s">
        <v>1218</v>
      </c>
      <c r="N29" s="13" t="s">
        <v>1221</v>
      </c>
      <c r="O29" s="10" t="s">
        <v>151</v>
      </c>
      <c r="P29" s="8" t="s">
        <v>152</v>
      </c>
      <c r="Q29" s="14">
        <v>39701</v>
      </c>
      <c r="R29" s="11" t="s">
        <v>1283</v>
      </c>
    </row>
    <row r="30" spans="1:18" s="7" customFormat="1" ht="19.149999999999999" customHeight="1" x14ac:dyDescent="0.3">
      <c r="A30" s="8">
        <v>29</v>
      </c>
      <c r="B30" s="10" t="s">
        <v>193</v>
      </c>
      <c r="C30" s="10" t="s">
        <v>10</v>
      </c>
      <c r="D30" s="8">
        <v>8</v>
      </c>
      <c r="E30" s="3" t="s">
        <v>1284</v>
      </c>
      <c r="F30" s="11" t="s">
        <v>1285</v>
      </c>
      <c r="G30" s="10" t="s">
        <v>310</v>
      </c>
      <c r="H30" s="13">
        <v>3</v>
      </c>
      <c r="I30" s="96">
        <v>472</v>
      </c>
      <c r="J30" s="62">
        <v>0</v>
      </c>
      <c r="K30" s="13" t="s">
        <v>1215</v>
      </c>
      <c r="L30" s="13">
        <v>1</v>
      </c>
      <c r="M30" s="88" t="s">
        <v>1286</v>
      </c>
      <c r="N30" s="13" t="s">
        <v>1221</v>
      </c>
      <c r="O30" s="10" t="s">
        <v>1287</v>
      </c>
      <c r="P30" s="10" t="s">
        <v>375</v>
      </c>
      <c r="Q30" s="14" t="s">
        <v>376</v>
      </c>
      <c r="R30" s="3" t="s">
        <v>1288</v>
      </c>
    </row>
    <row r="31" spans="1:18" s="37" customFormat="1" ht="19.149999999999999" customHeight="1" x14ac:dyDescent="0.3">
      <c r="A31" s="24">
        <v>30</v>
      </c>
      <c r="B31" s="8" t="s">
        <v>193</v>
      </c>
      <c r="C31" s="8" t="s">
        <v>11</v>
      </c>
      <c r="D31" s="8">
        <v>9</v>
      </c>
      <c r="E31" s="16" t="s">
        <v>163</v>
      </c>
      <c r="F31" s="16" t="s">
        <v>328</v>
      </c>
      <c r="G31" s="8" t="s">
        <v>1277</v>
      </c>
      <c r="H31" s="13">
        <v>6</v>
      </c>
      <c r="I31" s="96">
        <v>852</v>
      </c>
      <c r="J31" s="62">
        <v>0</v>
      </c>
      <c r="K31" s="13" t="s">
        <v>310</v>
      </c>
      <c r="L31" s="13">
        <v>0</v>
      </c>
      <c r="M31" s="13" t="s">
        <v>1218</v>
      </c>
      <c r="N31" s="13" t="s">
        <v>1229</v>
      </c>
      <c r="O31" s="8" t="s">
        <v>155</v>
      </c>
      <c r="P31" s="8" t="s">
        <v>156</v>
      </c>
      <c r="Q31" s="14">
        <v>42851</v>
      </c>
      <c r="R31" s="11" t="s">
        <v>1289</v>
      </c>
    </row>
    <row r="32" spans="1:18" s="95" customFormat="1" ht="19.149999999999999" customHeight="1" x14ac:dyDescent="0.3">
      <c r="A32" s="8">
        <v>31</v>
      </c>
      <c r="B32" s="8" t="s">
        <v>193</v>
      </c>
      <c r="C32" s="8" t="s">
        <v>11</v>
      </c>
      <c r="D32" s="8">
        <v>9</v>
      </c>
      <c r="E32" s="19" t="s">
        <v>1290</v>
      </c>
      <c r="F32" s="19" t="s">
        <v>325</v>
      </c>
      <c r="G32" s="8" t="s">
        <v>150</v>
      </c>
      <c r="H32" s="13">
        <v>6</v>
      </c>
      <c r="I32" s="96">
        <v>692</v>
      </c>
      <c r="J32" s="62">
        <v>0</v>
      </c>
      <c r="K32" s="13" t="s">
        <v>310</v>
      </c>
      <c r="L32" s="13">
        <v>0</v>
      </c>
      <c r="M32" s="13" t="s">
        <v>1239</v>
      </c>
      <c r="N32" s="13" t="s">
        <v>1221</v>
      </c>
      <c r="O32" s="10" t="s">
        <v>151</v>
      </c>
      <c r="P32" s="8" t="s">
        <v>152</v>
      </c>
      <c r="Q32" s="14">
        <v>39173</v>
      </c>
      <c r="R32" s="11"/>
    </row>
    <row r="33" spans="1:18" s="95" customFormat="1" ht="19.149999999999999" customHeight="1" x14ac:dyDescent="0.3">
      <c r="A33" s="24">
        <v>32</v>
      </c>
      <c r="B33" s="8" t="s">
        <v>193</v>
      </c>
      <c r="C33" s="8" t="s">
        <v>11</v>
      </c>
      <c r="D33" s="8">
        <v>9</v>
      </c>
      <c r="E33" s="16" t="s">
        <v>1291</v>
      </c>
      <c r="F33" s="16" t="s">
        <v>326</v>
      </c>
      <c r="G33" s="8" t="s">
        <v>150</v>
      </c>
      <c r="H33" s="13">
        <v>9</v>
      </c>
      <c r="I33" s="96">
        <v>972</v>
      </c>
      <c r="J33" s="62">
        <v>0</v>
      </c>
      <c r="K33" s="13" t="s">
        <v>310</v>
      </c>
      <c r="L33" s="13">
        <v>0</v>
      </c>
      <c r="M33" s="13" t="s">
        <v>1239</v>
      </c>
      <c r="N33" s="13" t="s">
        <v>1221</v>
      </c>
      <c r="O33" s="10" t="s">
        <v>151</v>
      </c>
      <c r="P33" s="8" t="s">
        <v>152</v>
      </c>
      <c r="Q33" s="14">
        <v>43182</v>
      </c>
      <c r="R33" s="30" t="s">
        <v>327</v>
      </c>
    </row>
    <row r="34" spans="1:18" s="7" customFormat="1" ht="19.149999999999999" customHeight="1" x14ac:dyDescent="0.3">
      <c r="A34" s="8">
        <v>33</v>
      </c>
      <c r="B34" s="8" t="s">
        <v>193</v>
      </c>
      <c r="C34" s="8" t="s">
        <v>12</v>
      </c>
      <c r="D34" s="8">
        <v>10</v>
      </c>
      <c r="E34" s="16" t="s">
        <v>356</v>
      </c>
      <c r="F34" s="16" t="s">
        <v>357</v>
      </c>
      <c r="G34" s="8" t="s">
        <v>160</v>
      </c>
      <c r="H34" s="13">
        <v>5</v>
      </c>
      <c r="I34" s="96">
        <v>680</v>
      </c>
      <c r="J34" s="62">
        <v>0</v>
      </c>
      <c r="K34" s="13" t="s">
        <v>310</v>
      </c>
      <c r="L34" s="13">
        <v>0</v>
      </c>
      <c r="M34" s="13" t="s">
        <v>1239</v>
      </c>
      <c r="N34" s="13" t="s">
        <v>1221</v>
      </c>
      <c r="O34" s="8" t="s">
        <v>157</v>
      </c>
      <c r="P34" s="8" t="s">
        <v>158</v>
      </c>
      <c r="Q34" s="14">
        <v>42755</v>
      </c>
      <c r="R34" s="19"/>
    </row>
    <row r="35" spans="1:18" s="7" customFormat="1" ht="19.149999999999999" customHeight="1" x14ac:dyDescent="0.3">
      <c r="A35" s="24">
        <v>34</v>
      </c>
      <c r="B35" s="8" t="s">
        <v>1260</v>
      </c>
      <c r="C35" s="8" t="s">
        <v>1292</v>
      </c>
      <c r="D35" s="8">
        <v>10</v>
      </c>
      <c r="E35" s="16" t="s">
        <v>1293</v>
      </c>
      <c r="F35" s="16" t="s">
        <v>1294</v>
      </c>
      <c r="G35" s="8" t="s">
        <v>1264</v>
      </c>
      <c r="H35" s="13">
        <v>7</v>
      </c>
      <c r="I35" s="96">
        <v>870</v>
      </c>
      <c r="J35" s="62">
        <v>1</v>
      </c>
      <c r="K35" s="13" t="s">
        <v>188</v>
      </c>
      <c r="L35" s="13">
        <v>0</v>
      </c>
      <c r="M35" s="13" t="s">
        <v>1239</v>
      </c>
      <c r="N35" s="13" t="s">
        <v>1216</v>
      </c>
      <c r="O35" s="10" t="s">
        <v>151</v>
      </c>
      <c r="P35" s="8" t="s">
        <v>152</v>
      </c>
      <c r="Q35" s="14">
        <v>44679</v>
      </c>
      <c r="R35" s="30"/>
    </row>
    <row r="36" spans="1:18" s="95" customFormat="1" ht="19.149999999999999" customHeight="1" x14ac:dyDescent="0.3">
      <c r="A36" s="8">
        <v>35</v>
      </c>
      <c r="B36" s="8" t="s">
        <v>1295</v>
      </c>
      <c r="C36" s="8" t="s">
        <v>1296</v>
      </c>
      <c r="D36" s="8">
        <v>11</v>
      </c>
      <c r="E36" s="19" t="s">
        <v>1297</v>
      </c>
      <c r="F36" s="16" t="s">
        <v>1298</v>
      </c>
      <c r="G36" s="8" t="s">
        <v>1228</v>
      </c>
      <c r="H36" s="13">
        <v>2</v>
      </c>
      <c r="I36" s="96">
        <v>82</v>
      </c>
      <c r="J36" s="62">
        <v>0</v>
      </c>
      <c r="K36" s="13" t="s">
        <v>1228</v>
      </c>
      <c r="L36" s="13">
        <v>2</v>
      </c>
      <c r="M36" s="13" t="s">
        <v>1299</v>
      </c>
      <c r="N36" s="13" t="s">
        <v>1221</v>
      </c>
      <c r="O36" s="23" t="s">
        <v>1300</v>
      </c>
      <c r="P36" s="8" t="s">
        <v>831</v>
      </c>
      <c r="Q36" s="14">
        <v>42711</v>
      </c>
      <c r="R36" s="30" t="s">
        <v>1301</v>
      </c>
    </row>
    <row r="37" spans="1:18" s="95" customFormat="1" ht="19.149999999999999" customHeight="1" x14ac:dyDescent="0.3">
      <c r="A37" s="24">
        <v>36</v>
      </c>
      <c r="B37" s="8" t="s">
        <v>193</v>
      </c>
      <c r="C37" s="8" t="s">
        <v>13</v>
      </c>
      <c r="D37" s="8">
        <v>11</v>
      </c>
      <c r="E37" s="16" t="s">
        <v>164</v>
      </c>
      <c r="F37" s="16" t="s">
        <v>1085</v>
      </c>
      <c r="G37" s="8" t="s">
        <v>150</v>
      </c>
      <c r="H37" s="13">
        <v>10</v>
      </c>
      <c r="I37" s="96">
        <v>1855</v>
      </c>
      <c r="J37" s="62">
        <v>1</v>
      </c>
      <c r="K37" s="13" t="s">
        <v>1302</v>
      </c>
      <c r="L37" s="13">
        <v>1</v>
      </c>
      <c r="M37" s="13" t="s">
        <v>1303</v>
      </c>
      <c r="N37" s="13" t="s">
        <v>1221</v>
      </c>
      <c r="O37" s="23" t="s">
        <v>155</v>
      </c>
      <c r="P37" s="8" t="s">
        <v>156</v>
      </c>
      <c r="Q37" s="14">
        <v>38679</v>
      </c>
      <c r="R37" s="19"/>
    </row>
    <row r="38" spans="1:18" s="95" customFormat="1" ht="19.149999999999999" customHeight="1" x14ac:dyDescent="0.3">
      <c r="A38" s="8">
        <v>37</v>
      </c>
      <c r="B38" s="8" t="s">
        <v>193</v>
      </c>
      <c r="C38" s="8" t="s">
        <v>13</v>
      </c>
      <c r="D38" s="8">
        <v>11</v>
      </c>
      <c r="E38" s="16" t="s">
        <v>354</v>
      </c>
      <c r="F38" s="16" t="s">
        <v>355</v>
      </c>
      <c r="G38" s="8" t="s">
        <v>1278</v>
      </c>
      <c r="H38" s="13">
        <v>5</v>
      </c>
      <c r="I38" s="96">
        <v>634</v>
      </c>
      <c r="J38" s="62">
        <v>0</v>
      </c>
      <c r="K38" s="13" t="s">
        <v>310</v>
      </c>
      <c r="L38" s="13">
        <v>0</v>
      </c>
      <c r="M38" s="13" t="s">
        <v>1218</v>
      </c>
      <c r="N38" s="13" t="s">
        <v>1221</v>
      </c>
      <c r="O38" s="23" t="s">
        <v>155</v>
      </c>
      <c r="P38" s="8" t="s">
        <v>156</v>
      </c>
      <c r="Q38" s="14">
        <v>42321</v>
      </c>
      <c r="R38" s="19" t="s">
        <v>1304</v>
      </c>
    </row>
    <row r="39" spans="1:18" s="95" customFormat="1" ht="19.149999999999999" customHeight="1" x14ac:dyDescent="0.3">
      <c r="A39" s="24">
        <v>38</v>
      </c>
      <c r="B39" s="8" t="s">
        <v>193</v>
      </c>
      <c r="C39" s="8" t="s">
        <v>13</v>
      </c>
      <c r="D39" s="8">
        <v>11</v>
      </c>
      <c r="E39" s="19" t="s">
        <v>1305</v>
      </c>
      <c r="F39" s="19" t="s">
        <v>1086</v>
      </c>
      <c r="G39" s="8" t="s">
        <v>150</v>
      </c>
      <c r="H39" s="13">
        <v>7</v>
      </c>
      <c r="I39" s="96">
        <v>1090</v>
      </c>
      <c r="J39" s="62">
        <v>2</v>
      </c>
      <c r="K39" s="13" t="s">
        <v>1172</v>
      </c>
      <c r="L39" s="13">
        <v>0</v>
      </c>
      <c r="M39" s="13" t="s">
        <v>1239</v>
      </c>
      <c r="N39" s="13" t="s">
        <v>1221</v>
      </c>
      <c r="O39" s="10" t="s">
        <v>151</v>
      </c>
      <c r="P39" s="8" t="s">
        <v>152</v>
      </c>
      <c r="Q39" s="14">
        <v>41389</v>
      </c>
      <c r="R39" s="19"/>
    </row>
    <row r="40" spans="1:18" s="95" customFormat="1" ht="19.149999999999999" customHeight="1" x14ac:dyDescent="0.3">
      <c r="A40" s="8">
        <v>39</v>
      </c>
      <c r="B40" s="8" t="s">
        <v>193</v>
      </c>
      <c r="C40" s="8" t="s">
        <v>13</v>
      </c>
      <c r="D40" s="8">
        <v>11</v>
      </c>
      <c r="E40" s="19" t="s">
        <v>1306</v>
      </c>
      <c r="F40" s="19" t="s">
        <v>1307</v>
      </c>
      <c r="G40" s="8" t="s">
        <v>150</v>
      </c>
      <c r="H40" s="13">
        <v>4</v>
      </c>
      <c r="I40" s="96">
        <v>898</v>
      </c>
      <c r="J40" s="62">
        <v>0</v>
      </c>
      <c r="K40" s="13" t="s">
        <v>1239</v>
      </c>
      <c r="L40" s="13">
        <v>0</v>
      </c>
      <c r="M40" s="13" t="s">
        <v>1239</v>
      </c>
      <c r="N40" s="13" t="s">
        <v>1229</v>
      </c>
      <c r="O40" s="10" t="s">
        <v>151</v>
      </c>
      <c r="P40" s="8" t="s">
        <v>152</v>
      </c>
      <c r="Q40" s="14">
        <v>41529</v>
      </c>
      <c r="R40" s="30" t="s">
        <v>1308</v>
      </c>
    </row>
    <row r="41" spans="1:18" s="95" customFormat="1" ht="19.149999999999999" customHeight="1" x14ac:dyDescent="0.3">
      <c r="A41" s="24">
        <v>40</v>
      </c>
      <c r="B41" s="8" t="s">
        <v>193</v>
      </c>
      <c r="C41" s="8" t="s">
        <v>14</v>
      </c>
      <c r="D41" s="8">
        <v>12</v>
      </c>
      <c r="E41" s="19" t="s">
        <v>1309</v>
      </c>
      <c r="F41" s="19" t="s">
        <v>390</v>
      </c>
      <c r="G41" s="8" t="s">
        <v>160</v>
      </c>
      <c r="H41" s="13">
        <v>9</v>
      </c>
      <c r="I41" s="96">
        <v>1620</v>
      </c>
      <c r="J41" s="62">
        <v>0</v>
      </c>
      <c r="K41" s="13" t="s">
        <v>310</v>
      </c>
      <c r="L41" s="13">
        <v>0</v>
      </c>
      <c r="M41" s="13" t="s">
        <v>1218</v>
      </c>
      <c r="N41" s="13" t="s">
        <v>1229</v>
      </c>
      <c r="O41" s="10" t="s">
        <v>151</v>
      </c>
      <c r="P41" s="8" t="s">
        <v>152</v>
      </c>
      <c r="Q41" s="14">
        <v>38528</v>
      </c>
      <c r="R41" s="19"/>
    </row>
    <row r="42" spans="1:18" s="95" customFormat="1" ht="19.149999999999999" customHeight="1" x14ac:dyDescent="0.3">
      <c r="A42" s="8">
        <v>41</v>
      </c>
      <c r="B42" s="8" t="s">
        <v>193</v>
      </c>
      <c r="C42" s="8" t="s">
        <v>14</v>
      </c>
      <c r="D42" s="8">
        <v>12</v>
      </c>
      <c r="E42" s="16" t="s">
        <v>391</v>
      </c>
      <c r="F42" s="16" t="s">
        <v>392</v>
      </c>
      <c r="G42" s="8" t="s">
        <v>150</v>
      </c>
      <c r="H42" s="13">
        <v>8</v>
      </c>
      <c r="I42" s="96">
        <v>1336</v>
      </c>
      <c r="J42" s="62">
        <v>1</v>
      </c>
      <c r="K42" s="13" t="s">
        <v>1073</v>
      </c>
      <c r="L42" s="13">
        <v>0</v>
      </c>
      <c r="M42" s="13" t="s">
        <v>1218</v>
      </c>
      <c r="N42" s="13" t="s">
        <v>1229</v>
      </c>
      <c r="O42" s="8" t="s">
        <v>155</v>
      </c>
      <c r="P42" s="8" t="s">
        <v>156</v>
      </c>
      <c r="Q42" s="14">
        <v>42705</v>
      </c>
      <c r="R42" s="19"/>
    </row>
    <row r="43" spans="1:18" s="95" customFormat="1" ht="19.149999999999999" customHeight="1" x14ac:dyDescent="0.3">
      <c r="A43" s="24">
        <v>42</v>
      </c>
      <c r="B43" s="10" t="s">
        <v>193</v>
      </c>
      <c r="C43" s="10" t="s">
        <v>15</v>
      </c>
      <c r="D43" s="8">
        <v>13</v>
      </c>
      <c r="E43" s="11" t="s">
        <v>167</v>
      </c>
      <c r="F43" s="11" t="s">
        <v>1311</v>
      </c>
      <c r="G43" s="10" t="s">
        <v>310</v>
      </c>
      <c r="H43" s="13">
        <v>2</v>
      </c>
      <c r="I43" s="96">
        <v>142</v>
      </c>
      <c r="J43" s="62">
        <v>0</v>
      </c>
      <c r="K43" s="13" t="s">
        <v>310</v>
      </c>
      <c r="L43" s="13">
        <v>2</v>
      </c>
      <c r="M43" s="13" t="s">
        <v>1312</v>
      </c>
      <c r="N43" s="13" t="s">
        <v>1221</v>
      </c>
      <c r="O43" s="10" t="s">
        <v>1197</v>
      </c>
      <c r="P43" s="8" t="s">
        <v>371</v>
      </c>
      <c r="Q43" s="14">
        <v>38443</v>
      </c>
      <c r="R43" s="91" t="s">
        <v>1313</v>
      </c>
    </row>
    <row r="44" spans="1:18" s="95" customFormat="1" ht="19.149999999999999" customHeight="1" x14ac:dyDescent="0.3">
      <c r="A44" s="8">
        <v>43</v>
      </c>
      <c r="B44" s="8" t="s">
        <v>193</v>
      </c>
      <c r="C44" s="8" t="s">
        <v>15</v>
      </c>
      <c r="D44" s="8">
        <v>13</v>
      </c>
      <c r="E44" s="19" t="s">
        <v>1314</v>
      </c>
      <c r="F44" s="19" t="s">
        <v>1139</v>
      </c>
      <c r="G44" s="8" t="s">
        <v>150</v>
      </c>
      <c r="H44" s="175">
        <v>8</v>
      </c>
      <c r="I44" s="500">
        <v>1301</v>
      </c>
      <c r="J44" s="62">
        <v>2</v>
      </c>
      <c r="K44" s="13" t="s">
        <v>1172</v>
      </c>
      <c r="L44" s="13">
        <v>1</v>
      </c>
      <c r="M44" s="13" t="s">
        <v>394</v>
      </c>
      <c r="N44" s="13" t="s">
        <v>1216</v>
      </c>
      <c r="O44" s="10" t="s">
        <v>151</v>
      </c>
      <c r="P44" s="8" t="s">
        <v>152</v>
      </c>
      <c r="Q44" s="14">
        <v>41445</v>
      </c>
      <c r="R44" s="30" t="s">
        <v>3080</v>
      </c>
    </row>
    <row r="45" spans="1:18" s="95" customFormat="1" ht="19.149999999999999" customHeight="1" x14ac:dyDescent="0.3">
      <c r="A45" s="24">
        <v>44</v>
      </c>
      <c r="B45" s="10" t="s">
        <v>193</v>
      </c>
      <c r="C45" s="10" t="s">
        <v>15</v>
      </c>
      <c r="D45" s="8">
        <v>13</v>
      </c>
      <c r="E45" s="11" t="s">
        <v>165</v>
      </c>
      <c r="F45" s="11" t="s">
        <v>368</v>
      </c>
      <c r="G45" s="10" t="s">
        <v>150</v>
      </c>
      <c r="H45" s="13">
        <v>8</v>
      </c>
      <c r="I45" s="96">
        <v>1694</v>
      </c>
      <c r="J45" s="62">
        <v>2</v>
      </c>
      <c r="K45" s="13" t="s">
        <v>1315</v>
      </c>
      <c r="L45" s="13">
        <v>0</v>
      </c>
      <c r="M45" s="13" t="s">
        <v>1220</v>
      </c>
      <c r="N45" s="13" t="s">
        <v>1221</v>
      </c>
      <c r="O45" s="8" t="s">
        <v>157</v>
      </c>
      <c r="P45" s="8" t="s">
        <v>158</v>
      </c>
      <c r="Q45" s="14">
        <v>38982</v>
      </c>
      <c r="R45" s="11"/>
    </row>
    <row r="46" spans="1:18" s="95" customFormat="1" ht="19.149999999999999" customHeight="1" x14ac:dyDescent="0.3">
      <c r="A46" s="8">
        <v>45</v>
      </c>
      <c r="B46" s="10" t="s">
        <v>1316</v>
      </c>
      <c r="C46" s="10" t="s">
        <v>1317</v>
      </c>
      <c r="D46" s="8">
        <v>13</v>
      </c>
      <c r="E46" s="3" t="s">
        <v>1318</v>
      </c>
      <c r="F46" s="11" t="s">
        <v>1319</v>
      </c>
      <c r="G46" s="10" t="s">
        <v>1320</v>
      </c>
      <c r="H46" s="13">
        <v>1</v>
      </c>
      <c r="I46" s="193">
        <v>40</v>
      </c>
      <c r="J46" s="71">
        <v>0</v>
      </c>
      <c r="K46" s="88" t="s">
        <v>310</v>
      </c>
      <c r="L46" s="88">
        <v>1</v>
      </c>
      <c r="M46" s="88" t="s">
        <v>1321</v>
      </c>
      <c r="N46" s="88" t="s">
        <v>1216</v>
      </c>
      <c r="O46" s="10" t="s">
        <v>1322</v>
      </c>
      <c r="P46" s="61" t="s">
        <v>1194</v>
      </c>
      <c r="Q46" s="14">
        <v>44209</v>
      </c>
      <c r="R46" s="3" t="s">
        <v>1323</v>
      </c>
    </row>
    <row r="47" spans="1:18" s="95" customFormat="1" ht="19.149999999999999" customHeight="1" x14ac:dyDescent="0.3">
      <c r="A47" s="24">
        <v>46</v>
      </c>
      <c r="B47" s="10" t="s">
        <v>193</v>
      </c>
      <c r="C47" s="10" t="s">
        <v>15</v>
      </c>
      <c r="D47" s="8">
        <v>13</v>
      </c>
      <c r="E47" s="3" t="s">
        <v>166</v>
      </c>
      <c r="F47" s="11" t="s">
        <v>1324</v>
      </c>
      <c r="G47" s="10" t="s">
        <v>310</v>
      </c>
      <c r="H47" s="13">
        <v>2</v>
      </c>
      <c r="I47" s="96">
        <v>276</v>
      </c>
      <c r="J47" s="62">
        <v>0</v>
      </c>
      <c r="K47" s="13" t="s">
        <v>310</v>
      </c>
      <c r="L47" s="13">
        <v>2</v>
      </c>
      <c r="M47" s="13" t="s">
        <v>1325</v>
      </c>
      <c r="N47" s="13" t="s">
        <v>1216</v>
      </c>
      <c r="O47" s="10" t="s">
        <v>1326</v>
      </c>
      <c r="P47" s="8" t="s">
        <v>370</v>
      </c>
      <c r="Q47" s="14">
        <v>39713</v>
      </c>
      <c r="R47" s="3" t="s">
        <v>1327</v>
      </c>
    </row>
    <row r="48" spans="1:18" s="95" customFormat="1" ht="19.149999999999999" customHeight="1" x14ac:dyDescent="0.3">
      <c r="A48" s="8">
        <v>47</v>
      </c>
      <c r="B48" s="8" t="s">
        <v>1260</v>
      </c>
      <c r="C48" s="8" t="s">
        <v>1328</v>
      </c>
      <c r="D48" s="8">
        <v>14</v>
      </c>
      <c r="E48" s="16" t="s">
        <v>1329</v>
      </c>
      <c r="F48" s="16" t="s">
        <v>1330</v>
      </c>
      <c r="G48" s="8" t="s">
        <v>1331</v>
      </c>
      <c r="H48" s="13">
        <v>5</v>
      </c>
      <c r="I48" s="96">
        <v>726</v>
      </c>
      <c r="J48" s="62">
        <v>0</v>
      </c>
      <c r="K48" s="13" t="s">
        <v>1220</v>
      </c>
      <c r="L48" s="13">
        <v>0</v>
      </c>
      <c r="M48" s="13" t="s">
        <v>1239</v>
      </c>
      <c r="N48" s="13" t="s">
        <v>1221</v>
      </c>
      <c r="O48" s="8" t="s">
        <v>157</v>
      </c>
      <c r="P48" s="8" t="s">
        <v>158</v>
      </c>
      <c r="Q48" s="14">
        <v>43733</v>
      </c>
      <c r="R48" s="19"/>
    </row>
    <row r="49" spans="1:18" s="95" customFormat="1" ht="19.149999999999999" customHeight="1" x14ac:dyDescent="0.3">
      <c r="A49" s="24">
        <v>48</v>
      </c>
      <c r="B49" s="8" t="s">
        <v>307</v>
      </c>
      <c r="C49" s="8" t="s">
        <v>16</v>
      </c>
      <c r="D49" s="8">
        <v>14</v>
      </c>
      <c r="E49" s="19" t="s">
        <v>1332</v>
      </c>
      <c r="F49" s="19" t="s">
        <v>360</v>
      </c>
      <c r="G49" s="8" t="s">
        <v>318</v>
      </c>
      <c r="H49" s="13">
        <v>6</v>
      </c>
      <c r="I49" s="96">
        <v>936</v>
      </c>
      <c r="J49" s="62">
        <v>3</v>
      </c>
      <c r="K49" s="13" t="s">
        <v>2969</v>
      </c>
      <c r="L49" s="13">
        <v>0</v>
      </c>
      <c r="M49" s="13" t="s">
        <v>1239</v>
      </c>
      <c r="N49" s="13" t="s">
        <v>1216</v>
      </c>
      <c r="O49" s="10" t="s">
        <v>151</v>
      </c>
      <c r="P49" s="8" t="s">
        <v>152</v>
      </c>
      <c r="Q49" s="14">
        <v>41914</v>
      </c>
      <c r="R49" s="19"/>
    </row>
    <row r="50" spans="1:18" s="95" customFormat="1" ht="19.149999999999999" customHeight="1" x14ac:dyDescent="0.3">
      <c r="A50" s="8">
        <v>49</v>
      </c>
      <c r="B50" s="8" t="s">
        <v>193</v>
      </c>
      <c r="C50" s="8" t="s">
        <v>16</v>
      </c>
      <c r="D50" s="8">
        <v>14</v>
      </c>
      <c r="E50" s="11" t="s">
        <v>169</v>
      </c>
      <c r="F50" s="16" t="s">
        <v>362</v>
      </c>
      <c r="G50" s="10" t="s">
        <v>150</v>
      </c>
      <c r="H50" s="494">
        <v>4</v>
      </c>
      <c r="I50" s="505">
        <v>730</v>
      </c>
      <c r="J50" s="62">
        <v>0</v>
      </c>
      <c r="K50" s="13" t="s">
        <v>310</v>
      </c>
      <c r="L50" s="13">
        <v>0</v>
      </c>
      <c r="M50" s="13" t="s">
        <v>1220</v>
      </c>
      <c r="N50" s="13" t="s">
        <v>1216</v>
      </c>
      <c r="O50" s="8" t="s">
        <v>155</v>
      </c>
      <c r="P50" s="8" t="s">
        <v>156</v>
      </c>
      <c r="Q50" s="14">
        <v>39448</v>
      </c>
      <c r="R50" s="506" t="s">
        <v>3506</v>
      </c>
    </row>
    <row r="51" spans="1:18" s="95" customFormat="1" ht="19.149999999999999" customHeight="1" x14ac:dyDescent="0.3">
      <c r="A51" s="24">
        <v>50</v>
      </c>
      <c r="B51" s="8" t="s">
        <v>193</v>
      </c>
      <c r="C51" s="8" t="s">
        <v>1333</v>
      </c>
      <c r="D51" s="8">
        <v>14</v>
      </c>
      <c r="E51" s="16" t="s">
        <v>1334</v>
      </c>
      <c r="F51" s="16" t="s">
        <v>1335</v>
      </c>
      <c r="G51" s="8" t="s">
        <v>310</v>
      </c>
      <c r="H51" s="13">
        <v>1</v>
      </c>
      <c r="I51" s="96">
        <v>186</v>
      </c>
      <c r="J51" s="62">
        <v>0</v>
      </c>
      <c r="K51" s="13" t="s">
        <v>310</v>
      </c>
      <c r="L51" s="13">
        <v>1</v>
      </c>
      <c r="M51" s="174" t="s">
        <v>3556</v>
      </c>
      <c r="N51" s="13" t="s">
        <v>1216</v>
      </c>
      <c r="O51" s="8" t="s">
        <v>1336</v>
      </c>
      <c r="P51" s="17" t="s">
        <v>1337</v>
      </c>
      <c r="Q51" s="18">
        <v>39067</v>
      </c>
      <c r="R51" s="19" t="s">
        <v>3555</v>
      </c>
    </row>
    <row r="52" spans="1:18" s="95" customFormat="1" ht="19.149999999999999" customHeight="1" x14ac:dyDescent="0.3">
      <c r="A52" s="8">
        <v>51</v>
      </c>
      <c r="B52" s="24" t="s">
        <v>1260</v>
      </c>
      <c r="C52" s="24" t="s">
        <v>1333</v>
      </c>
      <c r="D52" s="24">
        <v>14</v>
      </c>
      <c r="E52" s="44" t="s">
        <v>1338</v>
      </c>
      <c r="F52" s="44" t="s">
        <v>1339</v>
      </c>
      <c r="G52" s="24" t="s">
        <v>1264</v>
      </c>
      <c r="H52" s="13">
        <v>6</v>
      </c>
      <c r="I52" s="13">
        <v>734</v>
      </c>
      <c r="J52" s="24">
        <v>2</v>
      </c>
      <c r="K52" s="24" t="s">
        <v>1340</v>
      </c>
      <c r="L52" s="24">
        <v>0</v>
      </c>
      <c r="M52" s="13" t="s">
        <v>1239</v>
      </c>
      <c r="N52" s="13" t="s">
        <v>1216</v>
      </c>
      <c r="O52" s="10" t="s">
        <v>151</v>
      </c>
      <c r="P52" s="8" t="s">
        <v>152</v>
      </c>
      <c r="Q52" s="14">
        <v>44384</v>
      </c>
      <c r="R52" s="24"/>
    </row>
    <row r="53" spans="1:18" s="95" customFormat="1" ht="19.149999999999999" customHeight="1" x14ac:dyDescent="0.3">
      <c r="A53" s="24">
        <v>52</v>
      </c>
      <c r="B53" s="8" t="s">
        <v>193</v>
      </c>
      <c r="C53" s="8" t="s">
        <v>16</v>
      </c>
      <c r="D53" s="8">
        <v>14</v>
      </c>
      <c r="E53" s="16" t="s">
        <v>168</v>
      </c>
      <c r="F53" s="16" t="s">
        <v>361</v>
      </c>
      <c r="G53" s="8" t="s">
        <v>150</v>
      </c>
      <c r="H53" s="13">
        <v>4</v>
      </c>
      <c r="I53" s="96">
        <v>733</v>
      </c>
      <c r="J53" s="62">
        <v>0</v>
      </c>
      <c r="K53" s="13" t="s">
        <v>310</v>
      </c>
      <c r="L53" s="13">
        <v>0</v>
      </c>
      <c r="M53" s="13" t="s">
        <v>1239</v>
      </c>
      <c r="N53" s="13" t="s">
        <v>1216</v>
      </c>
      <c r="O53" s="8" t="s">
        <v>155</v>
      </c>
      <c r="P53" s="8" t="s">
        <v>156</v>
      </c>
      <c r="Q53" s="14">
        <v>41109</v>
      </c>
      <c r="R53" s="19"/>
    </row>
    <row r="54" spans="1:18" s="95" customFormat="1" ht="19.149999999999999" customHeight="1" x14ac:dyDescent="0.3">
      <c r="A54" s="8">
        <v>53</v>
      </c>
      <c r="B54" s="8" t="s">
        <v>193</v>
      </c>
      <c r="C54" s="8" t="s">
        <v>16</v>
      </c>
      <c r="D54" s="8">
        <v>14</v>
      </c>
      <c r="E54" s="3" t="s">
        <v>1341</v>
      </c>
      <c r="F54" s="11" t="s">
        <v>1343</v>
      </c>
      <c r="G54" s="10" t="s">
        <v>310</v>
      </c>
      <c r="H54" s="62">
        <v>1</v>
      </c>
      <c r="I54" s="96">
        <v>76</v>
      </c>
      <c r="J54" s="62">
        <v>0</v>
      </c>
      <c r="K54" s="13" t="s">
        <v>310</v>
      </c>
      <c r="L54" s="13">
        <v>1</v>
      </c>
      <c r="M54" s="13" t="s">
        <v>1234</v>
      </c>
      <c r="N54" s="13" t="s">
        <v>1216</v>
      </c>
      <c r="O54" s="10" t="s">
        <v>1344</v>
      </c>
      <c r="P54" s="113" t="s">
        <v>1345</v>
      </c>
      <c r="Q54" s="8" t="s">
        <v>363</v>
      </c>
      <c r="R54" s="3" t="s">
        <v>1346</v>
      </c>
    </row>
    <row r="55" spans="1:18" s="95" customFormat="1" ht="19.149999999999999" customHeight="1" x14ac:dyDescent="0.3">
      <c r="A55" s="24">
        <v>54</v>
      </c>
      <c r="B55" s="10" t="s">
        <v>193</v>
      </c>
      <c r="C55" s="10" t="s">
        <v>364</v>
      </c>
      <c r="D55" s="8">
        <v>14</v>
      </c>
      <c r="E55" s="19" t="s">
        <v>170</v>
      </c>
      <c r="F55" s="16" t="s">
        <v>365</v>
      </c>
      <c r="G55" s="8" t="s">
        <v>150</v>
      </c>
      <c r="H55" s="13">
        <v>9</v>
      </c>
      <c r="I55" s="96">
        <v>1540</v>
      </c>
      <c r="J55" s="62">
        <v>2</v>
      </c>
      <c r="K55" s="174" t="s">
        <v>3200</v>
      </c>
      <c r="L55" s="13">
        <v>0</v>
      </c>
      <c r="M55" s="13" t="s">
        <v>1239</v>
      </c>
      <c r="N55" s="13" t="s">
        <v>1221</v>
      </c>
      <c r="O55" s="8" t="s">
        <v>157</v>
      </c>
      <c r="P55" s="8" t="s">
        <v>158</v>
      </c>
      <c r="Q55" s="14">
        <v>43283</v>
      </c>
      <c r="R55" s="92" t="s">
        <v>366</v>
      </c>
    </row>
    <row r="56" spans="1:18" s="95" customFormat="1" ht="19.149999999999999" customHeight="1" x14ac:dyDescent="0.3">
      <c r="A56" s="8">
        <v>55</v>
      </c>
      <c r="B56" s="8" t="s">
        <v>193</v>
      </c>
      <c r="C56" s="8" t="s">
        <v>17</v>
      </c>
      <c r="D56" s="8">
        <v>15</v>
      </c>
      <c r="E56" s="16" t="s">
        <v>1347</v>
      </c>
      <c r="F56" s="16" t="s">
        <v>1348</v>
      </c>
      <c r="G56" s="8" t="s">
        <v>150</v>
      </c>
      <c r="H56" s="13">
        <v>8</v>
      </c>
      <c r="I56" s="96">
        <v>883</v>
      </c>
      <c r="J56" s="62">
        <v>8</v>
      </c>
      <c r="K56" s="174" t="s">
        <v>3454</v>
      </c>
      <c r="L56" s="13">
        <v>0</v>
      </c>
      <c r="M56" s="13" t="s">
        <v>1220</v>
      </c>
      <c r="N56" s="13" t="s">
        <v>1216</v>
      </c>
      <c r="O56" s="8" t="s">
        <v>157</v>
      </c>
      <c r="P56" s="8" t="s">
        <v>158</v>
      </c>
      <c r="Q56" s="18">
        <v>44911</v>
      </c>
      <c r="R56" s="19" t="s">
        <v>1349</v>
      </c>
    </row>
    <row r="57" spans="1:18" s="95" customFormat="1" ht="19.149999999999999" customHeight="1" x14ac:dyDescent="0.3">
      <c r="A57" s="24">
        <v>56</v>
      </c>
      <c r="B57" s="8" t="s">
        <v>193</v>
      </c>
      <c r="C57" s="8" t="s">
        <v>17</v>
      </c>
      <c r="D57" s="8">
        <v>15</v>
      </c>
      <c r="E57" s="16" t="s">
        <v>171</v>
      </c>
      <c r="F57" s="16" t="s">
        <v>1087</v>
      </c>
      <c r="G57" s="8" t="s">
        <v>150</v>
      </c>
      <c r="H57" s="13">
        <v>9</v>
      </c>
      <c r="I57" s="96">
        <v>1584</v>
      </c>
      <c r="J57" s="62">
        <v>4</v>
      </c>
      <c r="K57" s="174" t="s">
        <v>3199</v>
      </c>
      <c r="L57" s="174">
        <v>0</v>
      </c>
      <c r="M57" s="174" t="s">
        <v>3470</v>
      </c>
      <c r="N57" s="13" t="s">
        <v>1221</v>
      </c>
      <c r="O57" s="8" t="s">
        <v>157</v>
      </c>
      <c r="P57" s="8" t="s">
        <v>158</v>
      </c>
      <c r="Q57" s="18">
        <v>38834</v>
      </c>
      <c r="R57" s="114" t="s">
        <v>3471</v>
      </c>
    </row>
    <row r="58" spans="1:18" s="95" customFormat="1" ht="19.149999999999999" customHeight="1" x14ac:dyDescent="0.3">
      <c r="A58" s="8">
        <v>57</v>
      </c>
      <c r="B58" s="8" t="s">
        <v>193</v>
      </c>
      <c r="C58" s="8" t="s">
        <v>18</v>
      </c>
      <c r="D58" s="8">
        <v>16</v>
      </c>
      <c r="E58" s="16" t="s">
        <v>174</v>
      </c>
      <c r="F58" s="16" t="s">
        <v>331</v>
      </c>
      <c r="G58" s="8" t="s">
        <v>150</v>
      </c>
      <c r="H58" s="13">
        <v>6</v>
      </c>
      <c r="I58" s="96">
        <v>815</v>
      </c>
      <c r="J58" s="62">
        <v>0</v>
      </c>
      <c r="K58" s="13" t="s">
        <v>1220</v>
      </c>
      <c r="L58" s="13">
        <v>0</v>
      </c>
      <c r="M58" s="13" t="s">
        <v>1239</v>
      </c>
      <c r="N58" s="13" t="s">
        <v>1216</v>
      </c>
      <c r="O58" s="8" t="s">
        <v>157</v>
      </c>
      <c r="P58" s="8" t="s">
        <v>158</v>
      </c>
      <c r="Q58" s="14">
        <v>43003</v>
      </c>
      <c r="R58" s="19"/>
    </row>
    <row r="59" spans="1:18" s="95" customFormat="1" ht="19.149999999999999" customHeight="1" x14ac:dyDescent="0.3">
      <c r="A59" s="24">
        <v>58</v>
      </c>
      <c r="B59" s="8" t="s">
        <v>1350</v>
      </c>
      <c r="C59" s="8" t="s">
        <v>1351</v>
      </c>
      <c r="D59" s="8">
        <v>16</v>
      </c>
      <c r="E59" s="56" t="s">
        <v>1352</v>
      </c>
      <c r="F59" s="16" t="s">
        <v>1353</v>
      </c>
      <c r="G59" s="8" t="s">
        <v>1264</v>
      </c>
      <c r="H59" s="13">
        <v>6</v>
      </c>
      <c r="I59" s="96">
        <v>934</v>
      </c>
      <c r="J59" s="62">
        <v>1</v>
      </c>
      <c r="K59" s="13" t="s">
        <v>1354</v>
      </c>
      <c r="L59" s="13">
        <v>0</v>
      </c>
      <c r="M59" s="13" t="s">
        <v>1220</v>
      </c>
      <c r="N59" s="13" t="s">
        <v>1216</v>
      </c>
      <c r="O59" s="10" t="s">
        <v>151</v>
      </c>
      <c r="P59" s="8" t="s">
        <v>152</v>
      </c>
      <c r="Q59" s="14">
        <v>43495</v>
      </c>
      <c r="R59" s="3" t="s">
        <v>1355</v>
      </c>
    </row>
    <row r="60" spans="1:18" s="95" customFormat="1" ht="19.149999999999999" customHeight="1" x14ac:dyDescent="0.3">
      <c r="A60" s="8">
        <v>59</v>
      </c>
      <c r="B60" s="8" t="s">
        <v>193</v>
      </c>
      <c r="C60" s="8" t="s">
        <v>18</v>
      </c>
      <c r="D60" s="8">
        <v>16</v>
      </c>
      <c r="E60" s="16" t="s">
        <v>172</v>
      </c>
      <c r="F60" s="16" t="s">
        <v>329</v>
      </c>
      <c r="G60" s="8" t="s">
        <v>1356</v>
      </c>
      <c r="H60" s="13">
        <v>6</v>
      </c>
      <c r="I60" s="96">
        <v>444</v>
      </c>
      <c r="J60" s="62">
        <v>6</v>
      </c>
      <c r="K60" s="13" t="s">
        <v>1358</v>
      </c>
      <c r="L60" s="13">
        <v>0</v>
      </c>
      <c r="M60" s="13" t="s">
        <v>1239</v>
      </c>
      <c r="N60" s="13" t="s">
        <v>1221</v>
      </c>
      <c r="O60" s="8" t="s">
        <v>155</v>
      </c>
      <c r="P60" s="8" t="s">
        <v>156</v>
      </c>
      <c r="Q60" s="14">
        <v>42294</v>
      </c>
      <c r="R60" s="11" t="s">
        <v>1359</v>
      </c>
    </row>
    <row r="61" spans="1:18" s="95" customFormat="1" ht="19.149999999999999" customHeight="1" x14ac:dyDescent="0.3">
      <c r="A61" s="24">
        <v>60</v>
      </c>
      <c r="B61" s="8" t="s">
        <v>193</v>
      </c>
      <c r="C61" s="8" t="s">
        <v>18</v>
      </c>
      <c r="D61" s="8">
        <v>16</v>
      </c>
      <c r="E61" s="16" t="s">
        <v>173</v>
      </c>
      <c r="F61" s="16" t="s">
        <v>1088</v>
      </c>
      <c r="G61" s="8" t="s">
        <v>150</v>
      </c>
      <c r="H61" s="13">
        <v>10</v>
      </c>
      <c r="I61" s="96">
        <v>2127</v>
      </c>
      <c r="J61" s="62">
        <v>2</v>
      </c>
      <c r="K61" s="13" t="s">
        <v>1361</v>
      </c>
      <c r="L61" s="13">
        <v>0</v>
      </c>
      <c r="M61" s="13" t="s">
        <v>1239</v>
      </c>
      <c r="N61" s="13" t="s">
        <v>1221</v>
      </c>
      <c r="O61" s="23" t="s">
        <v>155</v>
      </c>
      <c r="P61" s="8" t="s">
        <v>156</v>
      </c>
      <c r="Q61" s="14">
        <v>40865</v>
      </c>
      <c r="R61" s="11"/>
    </row>
    <row r="62" spans="1:18" s="95" customFormat="1" ht="19.149999999999999" customHeight="1" x14ac:dyDescent="0.3">
      <c r="A62" s="8">
        <v>61</v>
      </c>
      <c r="B62" s="8" t="s">
        <v>307</v>
      </c>
      <c r="C62" s="8" t="s">
        <v>18</v>
      </c>
      <c r="D62" s="8">
        <v>16</v>
      </c>
      <c r="E62" s="16" t="s">
        <v>332</v>
      </c>
      <c r="F62" s="16" t="s">
        <v>333</v>
      </c>
      <c r="G62" s="8" t="s">
        <v>318</v>
      </c>
      <c r="H62" s="13">
        <v>5</v>
      </c>
      <c r="I62" s="96">
        <v>851</v>
      </c>
      <c r="J62" s="62">
        <v>0</v>
      </c>
      <c r="K62" s="13" t="s">
        <v>310</v>
      </c>
      <c r="L62" s="13">
        <v>0</v>
      </c>
      <c r="M62" s="13" t="s">
        <v>1239</v>
      </c>
      <c r="N62" s="13" t="s">
        <v>1221</v>
      </c>
      <c r="O62" s="8" t="s">
        <v>157</v>
      </c>
      <c r="P62" s="8" t="s">
        <v>158</v>
      </c>
      <c r="Q62" s="14">
        <v>42153</v>
      </c>
      <c r="R62" s="19"/>
    </row>
    <row r="63" spans="1:18" s="95" customFormat="1" ht="19.149999999999999" customHeight="1" x14ac:dyDescent="0.3">
      <c r="A63" s="24">
        <v>62</v>
      </c>
      <c r="B63" s="8" t="s">
        <v>307</v>
      </c>
      <c r="C63" s="8" t="s">
        <v>345</v>
      </c>
      <c r="D63" s="8">
        <v>17</v>
      </c>
      <c r="E63" s="16" t="s">
        <v>175</v>
      </c>
      <c r="F63" s="16" t="s">
        <v>346</v>
      </c>
      <c r="G63" s="8" t="s">
        <v>150</v>
      </c>
      <c r="H63" s="13">
        <v>5</v>
      </c>
      <c r="I63" s="96">
        <v>560</v>
      </c>
      <c r="J63" s="62">
        <v>0</v>
      </c>
      <c r="K63" s="13" t="s">
        <v>1220</v>
      </c>
      <c r="L63" s="13">
        <v>1</v>
      </c>
      <c r="M63" s="13" t="s">
        <v>1303</v>
      </c>
      <c r="N63" s="13" t="s">
        <v>1216</v>
      </c>
      <c r="O63" s="8" t="s">
        <v>155</v>
      </c>
      <c r="P63" s="8" t="s">
        <v>156</v>
      </c>
      <c r="Q63" s="14">
        <v>41527</v>
      </c>
      <c r="R63" s="19"/>
    </row>
    <row r="64" spans="1:18" s="95" customFormat="1" ht="19.149999999999999" customHeight="1" x14ac:dyDescent="0.3">
      <c r="A64" s="8">
        <v>63</v>
      </c>
      <c r="B64" s="8" t="s">
        <v>193</v>
      </c>
      <c r="C64" s="8" t="s">
        <v>19</v>
      </c>
      <c r="D64" s="8">
        <v>17</v>
      </c>
      <c r="E64" s="19" t="s">
        <v>1362</v>
      </c>
      <c r="F64" s="19" t="s">
        <v>342</v>
      </c>
      <c r="G64" s="8" t="s">
        <v>150</v>
      </c>
      <c r="H64" s="13">
        <v>8</v>
      </c>
      <c r="I64" s="96">
        <v>1232</v>
      </c>
      <c r="J64" s="62">
        <v>1</v>
      </c>
      <c r="K64" s="13" t="s">
        <v>1363</v>
      </c>
      <c r="L64" s="13">
        <v>0</v>
      </c>
      <c r="M64" s="13" t="s">
        <v>2744</v>
      </c>
      <c r="N64" s="13" t="s">
        <v>1216</v>
      </c>
      <c r="O64" s="10" t="s">
        <v>151</v>
      </c>
      <c r="P64" s="8" t="s">
        <v>152</v>
      </c>
      <c r="Q64" s="14">
        <v>37279</v>
      </c>
      <c r="R64" s="19" t="s">
        <v>2743</v>
      </c>
    </row>
    <row r="65" spans="1:18" s="95" customFormat="1" ht="19.149999999999999" customHeight="1" x14ac:dyDescent="0.3">
      <c r="A65" s="24">
        <v>64</v>
      </c>
      <c r="B65" s="23" t="s">
        <v>193</v>
      </c>
      <c r="C65" s="23" t="s">
        <v>19</v>
      </c>
      <c r="D65" s="23">
        <v>17</v>
      </c>
      <c r="E65" s="27" t="s">
        <v>343</v>
      </c>
      <c r="F65" s="27" t="s">
        <v>344</v>
      </c>
      <c r="G65" s="23" t="s">
        <v>150</v>
      </c>
      <c r="H65" s="28">
        <v>10</v>
      </c>
      <c r="I65" s="108">
        <v>1115</v>
      </c>
      <c r="J65" s="73">
        <v>3</v>
      </c>
      <c r="K65" s="28" t="s">
        <v>1364</v>
      </c>
      <c r="L65" s="13">
        <v>0</v>
      </c>
      <c r="M65" s="13" t="s">
        <v>1220</v>
      </c>
      <c r="N65" s="13" t="s">
        <v>1221</v>
      </c>
      <c r="O65" s="8" t="s">
        <v>185</v>
      </c>
      <c r="P65" s="24" t="s">
        <v>186</v>
      </c>
      <c r="Q65" s="29">
        <v>43118</v>
      </c>
      <c r="R65" s="27"/>
    </row>
    <row r="66" spans="1:18" s="95" customFormat="1" ht="19.149999999999999" customHeight="1" x14ac:dyDescent="0.3">
      <c r="A66" s="8">
        <v>65</v>
      </c>
      <c r="B66" s="8" t="s">
        <v>307</v>
      </c>
      <c r="C66" s="8" t="s">
        <v>347</v>
      </c>
      <c r="D66" s="8">
        <v>18</v>
      </c>
      <c r="E66" s="16" t="s">
        <v>348</v>
      </c>
      <c r="F66" s="16" t="s">
        <v>349</v>
      </c>
      <c r="G66" s="8" t="s">
        <v>318</v>
      </c>
      <c r="H66" s="13">
        <v>6</v>
      </c>
      <c r="I66" s="96">
        <v>1054</v>
      </c>
      <c r="J66" s="62">
        <v>1</v>
      </c>
      <c r="K66" s="13" t="s">
        <v>1071</v>
      </c>
      <c r="L66" s="13">
        <v>0</v>
      </c>
      <c r="M66" s="13" t="s">
        <v>1220</v>
      </c>
      <c r="N66" s="13" t="s">
        <v>1221</v>
      </c>
      <c r="O66" s="23" t="s">
        <v>155</v>
      </c>
      <c r="P66" s="8" t="s">
        <v>156</v>
      </c>
      <c r="Q66" s="14">
        <v>41347</v>
      </c>
      <c r="R66" s="30" t="s">
        <v>350</v>
      </c>
    </row>
    <row r="67" spans="1:18" s="95" customFormat="1" ht="19.149999999999999" customHeight="1" x14ac:dyDescent="0.3">
      <c r="A67" s="24">
        <v>66</v>
      </c>
      <c r="B67" s="8" t="s">
        <v>307</v>
      </c>
      <c r="C67" s="8" t="s">
        <v>347</v>
      </c>
      <c r="D67" s="8">
        <v>18</v>
      </c>
      <c r="E67" s="16" t="s">
        <v>176</v>
      </c>
      <c r="F67" s="16" t="s">
        <v>351</v>
      </c>
      <c r="G67" s="8" t="s">
        <v>150</v>
      </c>
      <c r="H67" s="13">
        <v>8</v>
      </c>
      <c r="I67" s="96">
        <v>1606</v>
      </c>
      <c r="J67" s="62">
        <v>0</v>
      </c>
      <c r="K67" s="13" t="s">
        <v>310</v>
      </c>
      <c r="L67" s="13">
        <v>0</v>
      </c>
      <c r="M67" s="13" t="s">
        <v>1239</v>
      </c>
      <c r="N67" s="13" t="s">
        <v>1221</v>
      </c>
      <c r="O67" s="23" t="s">
        <v>155</v>
      </c>
      <c r="P67" s="8" t="s">
        <v>156</v>
      </c>
      <c r="Q67" s="14">
        <v>41950</v>
      </c>
      <c r="R67" s="19"/>
    </row>
    <row r="68" spans="1:18" s="95" customFormat="1" ht="19.149999999999999" customHeight="1" x14ac:dyDescent="0.3">
      <c r="A68" s="8">
        <v>67</v>
      </c>
      <c r="B68" s="8" t="s">
        <v>193</v>
      </c>
      <c r="C68" s="8" t="s">
        <v>21</v>
      </c>
      <c r="D68" s="8">
        <v>19</v>
      </c>
      <c r="E68" s="16" t="s">
        <v>177</v>
      </c>
      <c r="F68" s="16" t="s">
        <v>385</v>
      </c>
      <c r="G68" s="8" t="s">
        <v>150</v>
      </c>
      <c r="H68" s="13">
        <v>7</v>
      </c>
      <c r="I68" s="96">
        <v>1328</v>
      </c>
      <c r="J68" s="62">
        <v>0</v>
      </c>
      <c r="K68" s="13" t="s">
        <v>310</v>
      </c>
      <c r="L68" s="13">
        <v>0</v>
      </c>
      <c r="M68" s="13" t="s">
        <v>1239</v>
      </c>
      <c r="N68" s="13" t="s">
        <v>1221</v>
      </c>
      <c r="O68" s="8" t="s">
        <v>155</v>
      </c>
      <c r="P68" s="8" t="s">
        <v>156</v>
      </c>
      <c r="Q68" s="14">
        <v>38471</v>
      </c>
      <c r="R68" s="19"/>
    </row>
    <row r="69" spans="1:18" s="95" customFormat="1" ht="19.149999999999999" customHeight="1" x14ac:dyDescent="0.3">
      <c r="A69" s="24">
        <v>68</v>
      </c>
      <c r="B69" s="8" t="s">
        <v>193</v>
      </c>
      <c r="C69" s="8" t="s">
        <v>21</v>
      </c>
      <c r="D69" s="8">
        <v>19</v>
      </c>
      <c r="E69" s="19" t="s">
        <v>1365</v>
      </c>
      <c r="F69" s="19" t="s">
        <v>1090</v>
      </c>
      <c r="G69" s="8" t="s">
        <v>150</v>
      </c>
      <c r="H69" s="13">
        <v>9</v>
      </c>
      <c r="I69" s="96">
        <v>1133</v>
      </c>
      <c r="J69" s="62">
        <v>4</v>
      </c>
      <c r="K69" s="13" t="s">
        <v>2970</v>
      </c>
      <c r="L69" s="13">
        <v>1</v>
      </c>
      <c r="M69" s="13" t="s">
        <v>394</v>
      </c>
      <c r="N69" s="13" t="s">
        <v>1216</v>
      </c>
      <c r="O69" s="10" t="s">
        <v>151</v>
      </c>
      <c r="P69" s="8" t="s">
        <v>152</v>
      </c>
      <c r="Q69" s="14">
        <v>41151</v>
      </c>
      <c r="R69" s="19" t="s">
        <v>1366</v>
      </c>
    </row>
    <row r="70" spans="1:18" s="95" customFormat="1" ht="19.149999999999999" customHeight="1" x14ac:dyDescent="0.3">
      <c r="A70" s="8">
        <v>69</v>
      </c>
      <c r="B70" s="8" t="s">
        <v>193</v>
      </c>
      <c r="C70" s="8" t="s">
        <v>21</v>
      </c>
      <c r="D70" s="8">
        <v>19</v>
      </c>
      <c r="E70" s="19" t="s">
        <v>1367</v>
      </c>
      <c r="F70" s="19" t="s">
        <v>1091</v>
      </c>
      <c r="G70" s="8" t="s">
        <v>150</v>
      </c>
      <c r="H70" s="13">
        <v>12</v>
      </c>
      <c r="I70" s="96">
        <v>2714</v>
      </c>
      <c r="J70" s="62">
        <v>5</v>
      </c>
      <c r="K70" s="174" t="s">
        <v>3525</v>
      </c>
      <c r="L70" s="13">
        <v>0</v>
      </c>
      <c r="M70" s="13" t="s">
        <v>1239</v>
      </c>
      <c r="N70" s="13" t="s">
        <v>1221</v>
      </c>
      <c r="O70" s="10" t="s">
        <v>151</v>
      </c>
      <c r="P70" s="8" t="s">
        <v>152</v>
      </c>
      <c r="Q70" s="14">
        <v>39345</v>
      </c>
      <c r="R70" s="19" t="s">
        <v>3526</v>
      </c>
    </row>
    <row r="71" spans="1:18" s="95" customFormat="1" ht="19.149999999999999" customHeight="1" x14ac:dyDescent="0.3">
      <c r="A71" s="24">
        <v>70</v>
      </c>
      <c r="B71" s="10" t="s">
        <v>1223</v>
      </c>
      <c r="C71" s="10" t="s">
        <v>1368</v>
      </c>
      <c r="D71" s="8">
        <v>20</v>
      </c>
      <c r="E71" s="11" t="s">
        <v>1369</v>
      </c>
      <c r="F71" s="11" t="s">
        <v>1370</v>
      </c>
      <c r="G71" s="10" t="s">
        <v>1228</v>
      </c>
      <c r="H71" s="13">
        <v>2</v>
      </c>
      <c r="I71" s="96">
        <v>150</v>
      </c>
      <c r="J71" s="62">
        <v>0</v>
      </c>
      <c r="K71" s="13" t="s">
        <v>1228</v>
      </c>
      <c r="L71" s="13">
        <v>2</v>
      </c>
      <c r="M71" s="13" t="s">
        <v>1371</v>
      </c>
      <c r="N71" s="13" t="s">
        <v>1221</v>
      </c>
      <c r="O71" s="10" t="s">
        <v>1198</v>
      </c>
      <c r="P71" s="24" t="s">
        <v>1372</v>
      </c>
      <c r="Q71" s="14">
        <v>41275</v>
      </c>
      <c r="R71" s="11"/>
    </row>
    <row r="72" spans="1:18" s="95" customFormat="1" ht="19.149999999999999" customHeight="1" x14ac:dyDescent="0.3">
      <c r="A72" s="8">
        <v>71</v>
      </c>
      <c r="B72" s="10" t="s">
        <v>193</v>
      </c>
      <c r="C72" s="10" t="s">
        <v>22</v>
      </c>
      <c r="D72" s="8">
        <v>20</v>
      </c>
      <c r="E72" s="19" t="s">
        <v>178</v>
      </c>
      <c r="F72" s="16" t="s">
        <v>359</v>
      </c>
      <c r="G72" s="8" t="s">
        <v>150</v>
      </c>
      <c r="H72" s="13">
        <v>6</v>
      </c>
      <c r="I72" s="96">
        <v>888</v>
      </c>
      <c r="J72" s="62">
        <v>0</v>
      </c>
      <c r="K72" s="13" t="s">
        <v>310</v>
      </c>
      <c r="L72" s="13">
        <v>0</v>
      </c>
      <c r="M72" s="13" t="s">
        <v>1239</v>
      </c>
      <c r="N72" s="13" t="s">
        <v>1221</v>
      </c>
      <c r="O72" s="8" t="s">
        <v>157</v>
      </c>
      <c r="P72" s="8" t="s">
        <v>158</v>
      </c>
      <c r="Q72" s="14">
        <v>39219</v>
      </c>
      <c r="R72" s="26"/>
    </row>
    <row r="73" spans="1:18" s="95" customFormat="1" ht="19.149999999999999" customHeight="1" x14ac:dyDescent="0.3">
      <c r="A73" s="24">
        <v>72</v>
      </c>
      <c r="B73" s="99" t="s">
        <v>1259</v>
      </c>
      <c r="C73" s="99" t="s">
        <v>2732</v>
      </c>
      <c r="D73" s="99">
        <v>20</v>
      </c>
      <c r="E73" s="56" t="s">
        <v>2733</v>
      </c>
      <c r="F73" s="56" t="s">
        <v>2734</v>
      </c>
      <c r="G73" s="99" t="s">
        <v>1263</v>
      </c>
      <c r="H73" s="88">
        <v>6</v>
      </c>
      <c r="I73" s="102">
        <v>533</v>
      </c>
      <c r="J73" s="179">
        <v>2</v>
      </c>
      <c r="K73" s="178" t="s">
        <v>3500</v>
      </c>
      <c r="L73" s="88">
        <v>0</v>
      </c>
      <c r="M73" s="88" t="s">
        <v>820</v>
      </c>
      <c r="N73" s="88" t="s">
        <v>884</v>
      </c>
      <c r="O73" s="99" t="s">
        <v>155</v>
      </c>
      <c r="P73" s="99" t="s">
        <v>156</v>
      </c>
      <c r="Q73" s="45">
        <v>44771</v>
      </c>
      <c r="R73" s="30" t="s">
        <v>3170</v>
      </c>
    </row>
    <row r="74" spans="1:18" s="95" customFormat="1" ht="19.149999999999999" customHeight="1" x14ac:dyDescent="0.3">
      <c r="A74" s="8">
        <v>73</v>
      </c>
      <c r="B74" s="8" t="s">
        <v>193</v>
      </c>
      <c r="C74" s="8" t="s">
        <v>23</v>
      </c>
      <c r="D74" s="8">
        <v>21</v>
      </c>
      <c r="E74" s="16" t="s">
        <v>179</v>
      </c>
      <c r="F74" s="16" t="s">
        <v>334</v>
      </c>
      <c r="G74" s="8" t="s">
        <v>150</v>
      </c>
      <c r="H74" s="13">
        <v>5</v>
      </c>
      <c r="I74" s="96">
        <v>687</v>
      </c>
      <c r="J74" s="62">
        <v>0</v>
      </c>
      <c r="K74" s="13" t="s">
        <v>310</v>
      </c>
      <c r="L74" s="13">
        <v>0</v>
      </c>
      <c r="M74" s="13" t="s">
        <v>1239</v>
      </c>
      <c r="N74" s="13" t="s">
        <v>1221</v>
      </c>
      <c r="O74" s="8" t="s">
        <v>155</v>
      </c>
      <c r="P74" s="8" t="s">
        <v>156</v>
      </c>
      <c r="Q74" s="14">
        <v>41272</v>
      </c>
      <c r="R74" s="3" t="s">
        <v>335</v>
      </c>
    </row>
    <row r="75" spans="1:18" s="95" customFormat="1" ht="19.149999999999999" customHeight="1" x14ac:dyDescent="0.3">
      <c r="A75" s="24">
        <v>74</v>
      </c>
      <c r="B75" s="8" t="s">
        <v>193</v>
      </c>
      <c r="C75" s="8" t="s">
        <v>23</v>
      </c>
      <c r="D75" s="8">
        <v>21</v>
      </c>
      <c r="E75" s="16" t="s">
        <v>180</v>
      </c>
      <c r="F75" s="16" t="s">
        <v>1373</v>
      </c>
      <c r="G75" s="8" t="s">
        <v>150</v>
      </c>
      <c r="H75" s="13">
        <v>8</v>
      </c>
      <c r="I75" s="96">
        <v>1494</v>
      </c>
      <c r="J75" s="62">
        <v>0</v>
      </c>
      <c r="K75" s="13" t="s">
        <v>310</v>
      </c>
      <c r="L75" s="13">
        <v>0</v>
      </c>
      <c r="M75" s="13" t="s">
        <v>1239</v>
      </c>
      <c r="N75" s="13" t="s">
        <v>1221</v>
      </c>
      <c r="O75" s="23" t="s">
        <v>155</v>
      </c>
      <c r="P75" s="8" t="s">
        <v>156</v>
      </c>
      <c r="Q75" s="14">
        <v>39873</v>
      </c>
      <c r="R75" s="19"/>
    </row>
    <row r="76" spans="1:18" s="95" customFormat="1" ht="19.149999999999999" customHeight="1" x14ac:dyDescent="0.3">
      <c r="A76" s="8">
        <v>75</v>
      </c>
      <c r="B76" s="8" t="s">
        <v>193</v>
      </c>
      <c r="C76" s="8" t="s">
        <v>24</v>
      </c>
      <c r="D76" s="8">
        <v>22</v>
      </c>
      <c r="E76" s="16" t="s">
        <v>181</v>
      </c>
      <c r="F76" s="16" t="s">
        <v>372</v>
      </c>
      <c r="G76" s="8" t="s">
        <v>150</v>
      </c>
      <c r="H76" s="13">
        <v>7</v>
      </c>
      <c r="I76" s="96">
        <v>973</v>
      </c>
      <c r="J76" s="62">
        <v>0</v>
      </c>
      <c r="K76" s="13" t="s">
        <v>310</v>
      </c>
      <c r="L76" s="13">
        <v>0</v>
      </c>
      <c r="M76" s="13" t="s">
        <v>1220</v>
      </c>
      <c r="N76" s="13" t="s">
        <v>1221</v>
      </c>
      <c r="O76" s="8" t="s">
        <v>157</v>
      </c>
      <c r="P76" s="8" t="s">
        <v>158</v>
      </c>
      <c r="Q76" s="14">
        <v>38344</v>
      </c>
      <c r="R76" s="19"/>
    </row>
    <row r="77" spans="1:18" s="95" customFormat="1" ht="19.149999999999999" customHeight="1" x14ac:dyDescent="0.3">
      <c r="A77" s="24">
        <v>76</v>
      </c>
      <c r="B77" s="8" t="s">
        <v>193</v>
      </c>
      <c r="C77" s="8" t="s">
        <v>24</v>
      </c>
      <c r="D77" s="8">
        <v>22</v>
      </c>
      <c r="E77" s="16" t="s">
        <v>182</v>
      </c>
      <c r="F77" s="16" t="s">
        <v>373</v>
      </c>
      <c r="G77" s="8" t="s">
        <v>150</v>
      </c>
      <c r="H77" s="13">
        <v>5</v>
      </c>
      <c r="I77" s="96">
        <v>680</v>
      </c>
      <c r="J77" s="62">
        <v>5</v>
      </c>
      <c r="K77" s="13" t="s">
        <v>1374</v>
      </c>
      <c r="L77" s="13">
        <v>0</v>
      </c>
      <c r="M77" s="13" t="s">
        <v>1239</v>
      </c>
      <c r="N77" s="13" t="s">
        <v>1221</v>
      </c>
      <c r="O77" s="8" t="s">
        <v>157</v>
      </c>
      <c r="P77" s="8" t="s">
        <v>158</v>
      </c>
      <c r="Q77" s="14">
        <v>38306</v>
      </c>
      <c r="R77" s="30" t="s">
        <v>1375</v>
      </c>
    </row>
    <row r="78" spans="1:18" s="95" customFormat="1" ht="19.149999999999999" customHeight="1" x14ac:dyDescent="0.3">
      <c r="A78" s="8">
        <v>77</v>
      </c>
      <c r="B78" s="24" t="s">
        <v>1350</v>
      </c>
      <c r="C78" s="24" t="s">
        <v>1376</v>
      </c>
      <c r="D78" s="24">
        <v>22</v>
      </c>
      <c r="E78" s="44" t="s">
        <v>1377</v>
      </c>
      <c r="F78" s="44" t="s">
        <v>1378</v>
      </c>
      <c r="G78" s="24" t="s">
        <v>1264</v>
      </c>
      <c r="H78" s="13">
        <v>1</v>
      </c>
      <c r="I78" s="13">
        <v>26</v>
      </c>
      <c r="J78" s="24">
        <v>0</v>
      </c>
      <c r="K78" s="13" t="s">
        <v>310</v>
      </c>
      <c r="L78" s="13">
        <v>0</v>
      </c>
      <c r="M78" s="13" t="s">
        <v>1239</v>
      </c>
      <c r="N78" s="13" t="s">
        <v>1216</v>
      </c>
      <c r="O78" s="10" t="s">
        <v>151</v>
      </c>
      <c r="P78" s="8" t="s">
        <v>152</v>
      </c>
      <c r="Q78" s="14">
        <v>44518</v>
      </c>
      <c r="R78" s="24"/>
    </row>
    <row r="79" spans="1:18" s="95" customFormat="1" ht="19.149999999999999" customHeight="1" x14ac:dyDescent="0.3">
      <c r="A79" s="24">
        <v>78</v>
      </c>
      <c r="B79" s="23" t="s">
        <v>307</v>
      </c>
      <c r="C79" s="23" t="s">
        <v>25</v>
      </c>
      <c r="D79" s="8">
        <v>23</v>
      </c>
      <c r="E79" s="27" t="s">
        <v>308</v>
      </c>
      <c r="F79" s="27" t="s">
        <v>309</v>
      </c>
      <c r="G79" s="23" t="s">
        <v>160</v>
      </c>
      <c r="H79" s="175">
        <v>2</v>
      </c>
      <c r="I79" s="500">
        <v>470</v>
      </c>
      <c r="J79" s="73">
        <v>0</v>
      </c>
      <c r="K79" s="28" t="s">
        <v>310</v>
      </c>
      <c r="L79" s="13">
        <v>0</v>
      </c>
      <c r="M79" s="13" t="s">
        <v>1239</v>
      </c>
      <c r="N79" s="13" t="s">
        <v>1221</v>
      </c>
      <c r="O79" s="8" t="s">
        <v>157</v>
      </c>
      <c r="P79" s="8" t="s">
        <v>158</v>
      </c>
      <c r="Q79" s="29">
        <v>42530</v>
      </c>
      <c r="R79" s="56" t="s">
        <v>3135</v>
      </c>
    </row>
    <row r="80" spans="1:18" s="95" customFormat="1" ht="19.149999999999999" customHeight="1" x14ac:dyDescent="0.3">
      <c r="A80" s="8">
        <v>79</v>
      </c>
      <c r="B80" s="63" t="s">
        <v>3582</v>
      </c>
      <c r="C80" s="63" t="s">
        <v>1380</v>
      </c>
      <c r="D80" s="99">
        <v>23</v>
      </c>
      <c r="E80" s="3" t="s">
        <v>3584</v>
      </c>
      <c r="F80" s="3" t="s">
        <v>3585</v>
      </c>
      <c r="G80" s="63" t="s">
        <v>3571</v>
      </c>
      <c r="H80" s="88">
        <v>2</v>
      </c>
      <c r="I80" s="102">
        <v>249</v>
      </c>
      <c r="J80" s="71">
        <v>0</v>
      </c>
      <c r="K80" s="88" t="s">
        <v>3571</v>
      </c>
      <c r="L80" s="88">
        <v>0</v>
      </c>
      <c r="M80" s="88" t="s">
        <v>2373</v>
      </c>
      <c r="N80" s="88" t="s">
        <v>3586</v>
      </c>
      <c r="O80" s="99" t="s">
        <v>3587</v>
      </c>
      <c r="P80" s="99" t="s">
        <v>3588</v>
      </c>
      <c r="Q80" s="45">
        <v>45183</v>
      </c>
      <c r="R80" s="3" t="s">
        <v>3589</v>
      </c>
    </row>
    <row r="81" spans="1:18" s="95" customFormat="1" ht="19.149999999999999" customHeight="1" x14ac:dyDescent="0.3">
      <c r="A81" s="24">
        <v>80</v>
      </c>
      <c r="B81" s="10" t="s">
        <v>193</v>
      </c>
      <c r="C81" s="10" t="s">
        <v>25</v>
      </c>
      <c r="D81" s="8">
        <v>23</v>
      </c>
      <c r="E81" s="11" t="s">
        <v>1379</v>
      </c>
      <c r="F81" s="11" t="s">
        <v>304</v>
      </c>
      <c r="G81" s="10" t="s">
        <v>150</v>
      </c>
      <c r="H81" s="13">
        <v>6</v>
      </c>
      <c r="I81" s="96">
        <v>874</v>
      </c>
      <c r="J81" s="62">
        <v>1</v>
      </c>
      <c r="K81" s="13" t="s">
        <v>195</v>
      </c>
      <c r="L81" s="13">
        <v>0</v>
      </c>
      <c r="M81" s="13" t="s">
        <v>1239</v>
      </c>
      <c r="N81" s="13" t="s">
        <v>1221</v>
      </c>
      <c r="O81" s="10" t="s">
        <v>151</v>
      </c>
      <c r="P81" s="8" t="s">
        <v>152</v>
      </c>
      <c r="Q81" s="14">
        <v>39121</v>
      </c>
      <c r="R81" s="11"/>
    </row>
    <row r="82" spans="1:18" s="95" customFormat="1" ht="19.149999999999999" customHeight="1" x14ac:dyDescent="0.3">
      <c r="A82" s="8">
        <v>81</v>
      </c>
      <c r="B82" s="10" t="s">
        <v>1260</v>
      </c>
      <c r="C82" s="10" t="s">
        <v>1380</v>
      </c>
      <c r="D82" s="8">
        <v>23</v>
      </c>
      <c r="E82" s="11" t="s">
        <v>1381</v>
      </c>
      <c r="F82" s="11" t="s">
        <v>1382</v>
      </c>
      <c r="G82" s="10" t="s">
        <v>1264</v>
      </c>
      <c r="H82" s="13">
        <v>7</v>
      </c>
      <c r="I82" s="96">
        <v>847</v>
      </c>
      <c r="J82" s="62">
        <v>2</v>
      </c>
      <c r="K82" s="13" t="s">
        <v>1383</v>
      </c>
      <c r="L82" s="13">
        <v>0</v>
      </c>
      <c r="M82" s="13" t="s">
        <v>1220</v>
      </c>
      <c r="N82" s="13" t="s">
        <v>1221</v>
      </c>
      <c r="O82" s="8" t="s">
        <v>155</v>
      </c>
      <c r="P82" s="8" t="s">
        <v>156</v>
      </c>
      <c r="Q82" s="14">
        <v>43993</v>
      </c>
      <c r="R82" s="11"/>
    </row>
    <row r="83" spans="1:18" s="95" customFormat="1" ht="19.149999999999999" customHeight="1" x14ac:dyDescent="0.3">
      <c r="A83" s="24">
        <v>82</v>
      </c>
      <c r="B83" s="10" t="s">
        <v>193</v>
      </c>
      <c r="C83" s="10" t="s">
        <v>25</v>
      </c>
      <c r="D83" s="8">
        <v>23</v>
      </c>
      <c r="E83" s="11" t="s">
        <v>1384</v>
      </c>
      <c r="F83" s="11" t="s">
        <v>1093</v>
      </c>
      <c r="G83" s="10" t="s">
        <v>150</v>
      </c>
      <c r="H83" s="13">
        <v>5</v>
      </c>
      <c r="I83" s="96">
        <v>634</v>
      </c>
      <c r="J83" s="62">
        <v>2</v>
      </c>
      <c r="K83" s="13" t="s">
        <v>1385</v>
      </c>
      <c r="L83" s="13">
        <v>0</v>
      </c>
      <c r="M83" s="13" t="s">
        <v>1239</v>
      </c>
      <c r="N83" s="13" t="s">
        <v>1221</v>
      </c>
      <c r="O83" s="10" t="s">
        <v>151</v>
      </c>
      <c r="P83" s="8" t="s">
        <v>152</v>
      </c>
      <c r="Q83" s="14">
        <v>40828</v>
      </c>
      <c r="R83" s="11"/>
    </row>
    <row r="84" spans="1:18" s="95" customFormat="1" ht="19.149999999999999" customHeight="1" x14ac:dyDescent="0.3">
      <c r="A84" s="8">
        <v>83</v>
      </c>
      <c r="B84" s="23" t="s">
        <v>307</v>
      </c>
      <c r="C84" s="23" t="s">
        <v>312</v>
      </c>
      <c r="D84" s="8">
        <v>23</v>
      </c>
      <c r="E84" s="27" t="s">
        <v>313</v>
      </c>
      <c r="F84" s="27" t="s">
        <v>314</v>
      </c>
      <c r="G84" s="23" t="s">
        <v>160</v>
      </c>
      <c r="H84" s="28">
        <v>6</v>
      </c>
      <c r="I84" s="96">
        <v>570</v>
      </c>
      <c r="J84" s="73">
        <v>0</v>
      </c>
      <c r="K84" s="28" t="s">
        <v>310</v>
      </c>
      <c r="L84" s="13">
        <v>0</v>
      </c>
      <c r="M84" s="13" t="s">
        <v>1220</v>
      </c>
      <c r="N84" s="13" t="s">
        <v>1221</v>
      </c>
      <c r="O84" s="8" t="s">
        <v>155</v>
      </c>
      <c r="P84" s="8" t="s">
        <v>156</v>
      </c>
      <c r="Q84" s="29">
        <v>41376</v>
      </c>
      <c r="R84" s="56" t="s">
        <v>315</v>
      </c>
    </row>
    <row r="85" spans="1:18" s="95" customFormat="1" ht="19.149999999999999" customHeight="1" x14ac:dyDescent="0.3">
      <c r="A85" s="24">
        <v>84</v>
      </c>
      <c r="B85" s="8" t="s">
        <v>193</v>
      </c>
      <c r="C85" s="8" t="s">
        <v>25</v>
      </c>
      <c r="D85" s="8">
        <v>23</v>
      </c>
      <c r="E85" s="16" t="s">
        <v>183</v>
      </c>
      <c r="F85" s="16" t="s">
        <v>1094</v>
      </c>
      <c r="G85" s="8" t="s">
        <v>150</v>
      </c>
      <c r="H85" s="13">
        <v>20</v>
      </c>
      <c r="I85" s="500">
        <v>3447</v>
      </c>
      <c r="J85" s="62">
        <v>16</v>
      </c>
      <c r="K85" s="13" t="s">
        <v>3659</v>
      </c>
      <c r="L85" s="13">
        <v>2</v>
      </c>
      <c r="M85" s="13" t="s">
        <v>1386</v>
      </c>
      <c r="N85" s="13" t="s">
        <v>1221</v>
      </c>
      <c r="O85" s="8" t="s">
        <v>157</v>
      </c>
      <c r="P85" s="8" t="s">
        <v>158</v>
      </c>
      <c r="Q85" s="14">
        <v>36659</v>
      </c>
      <c r="R85" s="19" t="s">
        <v>1387</v>
      </c>
    </row>
    <row r="86" spans="1:18" s="95" customFormat="1" ht="19.149999999999999" customHeight="1" x14ac:dyDescent="0.3">
      <c r="A86" s="8">
        <v>85</v>
      </c>
      <c r="B86" s="10" t="s">
        <v>193</v>
      </c>
      <c r="C86" s="10" t="s">
        <v>25</v>
      </c>
      <c r="D86" s="8">
        <v>23</v>
      </c>
      <c r="E86" s="11" t="s">
        <v>1392</v>
      </c>
      <c r="F86" s="11" t="s">
        <v>1095</v>
      </c>
      <c r="G86" s="10" t="s">
        <v>150</v>
      </c>
      <c r="H86" s="13">
        <v>8</v>
      </c>
      <c r="I86" s="96">
        <v>974</v>
      </c>
      <c r="J86" s="62">
        <v>3</v>
      </c>
      <c r="K86" s="13" t="s">
        <v>1393</v>
      </c>
      <c r="L86" s="13">
        <v>2</v>
      </c>
      <c r="M86" s="13" t="s">
        <v>394</v>
      </c>
      <c r="N86" s="13" t="s">
        <v>1221</v>
      </c>
      <c r="O86" s="10" t="s">
        <v>151</v>
      </c>
      <c r="P86" s="8" t="s">
        <v>152</v>
      </c>
      <c r="Q86" s="14">
        <v>38779</v>
      </c>
      <c r="R86" s="11" t="s">
        <v>1394</v>
      </c>
    </row>
    <row r="87" spans="1:18" s="95" customFormat="1" ht="19.149999999999999" customHeight="1" x14ac:dyDescent="0.3">
      <c r="A87" s="24">
        <v>86</v>
      </c>
      <c r="B87" s="8" t="s">
        <v>193</v>
      </c>
      <c r="C87" s="8" t="s">
        <v>377</v>
      </c>
      <c r="D87" s="8">
        <v>24</v>
      </c>
      <c r="E87" s="16" t="s">
        <v>380</v>
      </c>
      <c r="F87" s="16" t="s">
        <v>381</v>
      </c>
      <c r="G87" s="8" t="s">
        <v>160</v>
      </c>
      <c r="H87" s="13">
        <v>9</v>
      </c>
      <c r="I87" s="96">
        <v>1007</v>
      </c>
      <c r="J87" s="62">
        <v>0</v>
      </c>
      <c r="K87" s="13" t="s">
        <v>310</v>
      </c>
      <c r="L87" s="13">
        <v>0</v>
      </c>
      <c r="M87" s="13" t="s">
        <v>1239</v>
      </c>
      <c r="N87" s="13" t="s">
        <v>1221</v>
      </c>
      <c r="O87" s="8" t="s">
        <v>157</v>
      </c>
      <c r="P87" s="8" t="s">
        <v>158</v>
      </c>
      <c r="Q87" s="14">
        <v>42728</v>
      </c>
      <c r="R87" s="19"/>
    </row>
    <row r="88" spans="1:18" s="95" customFormat="1" ht="19.149999999999999" customHeight="1" x14ac:dyDescent="0.3">
      <c r="A88" s="8">
        <v>87</v>
      </c>
      <c r="B88" s="8" t="s">
        <v>307</v>
      </c>
      <c r="C88" s="8" t="s">
        <v>377</v>
      </c>
      <c r="D88" s="8">
        <v>24</v>
      </c>
      <c r="E88" s="16" t="s">
        <v>378</v>
      </c>
      <c r="F88" s="16" t="s">
        <v>379</v>
      </c>
      <c r="G88" s="8" t="s">
        <v>318</v>
      </c>
      <c r="H88" s="13">
        <v>20</v>
      </c>
      <c r="I88" s="96">
        <v>4180</v>
      </c>
      <c r="J88" s="62">
        <v>6</v>
      </c>
      <c r="K88" s="503" t="s">
        <v>3672</v>
      </c>
      <c r="L88" s="174">
        <v>1</v>
      </c>
      <c r="M88" s="503" t="s">
        <v>840</v>
      </c>
      <c r="N88" s="13" t="s">
        <v>1221</v>
      </c>
      <c r="O88" s="8" t="s">
        <v>155</v>
      </c>
      <c r="P88" s="8" t="s">
        <v>156</v>
      </c>
      <c r="Q88" s="14">
        <v>41927</v>
      </c>
      <c r="R88" s="502" t="s">
        <v>3504</v>
      </c>
    </row>
    <row r="89" spans="1:18" s="95" customFormat="1" ht="19.149999999999999" customHeight="1" x14ac:dyDescent="0.3">
      <c r="A89" s="24">
        <v>88</v>
      </c>
      <c r="B89" s="8" t="s">
        <v>193</v>
      </c>
      <c r="C89" s="8" t="s">
        <v>26</v>
      </c>
      <c r="D89" s="8">
        <v>24</v>
      </c>
      <c r="E89" s="19" t="s">
        <v>1395</v>
      </c>
      <c r="F89" s="19" t="s">
        <v>1096</v>
      </c>
      <c r="G89" s="8" t="s">
        <v>150</v>
      </c>
      <c r="H89" s="175">
        <v>7</v>
      </c>
      <c r="I89" s="500">
        <v>1138</v>
      </c>
      <c r="J89" s="62">
        <v>3</v>
      </c>
      <c r="K89" s="13" t="s">
        <v>1174</v>
      </c>
      <c r="L89" s="13">
        <v>0</v>
      </c>
      <c r="M89" s="13" t="s">
        <v>1239</v>
      </c>
      <c r="N89" s="13" t="s">
        <v>1221</v>
      </c>
      <c r="O89" s="10" t="s">
        <v>151</v>
      </c>
      <c r="P89" s="8" t="s">
        <v>152</v>
      </c>
      <c r="Q89" s="14">
        <v>39932</v>
      </c>
      <c r="R89" s="19" t="s">
        <v>3081</v>
      </c>
    </row>
    <row r="90" spans="1:18" s="95" customFormat="1" ht="19.149999999999999" customHeight="1" x14ac:dyDescent="0.3">
      <c r="A90" s="8">
        <v>89</v>
      </c>
      <c r="B90" s="8" t="s">
        <v>193</v>
      </c>
      <c r="C90" s="8" t="s">
        <v>27</v>
      </c>
      <c r="D90" s="8">
        <v>25</v>
      </c>
      <c r="E90" s="16" t="s">
        <v>322</v>
      </c>
      <c r="F90" s="16" t="s">
        <v>323</v>
      </c>
      <c r="G90" s="8" t="s">
        <v>160</v>
      </c>
      <c r="H90" s="13">
        <v>10</v>
      </c>
      <c r="I90" s="96">
        <v>1352</v>
      </c>
      <c r="J90" s="62">
        <v>0</v>
      </c>
      <c r="K90" s="13" t="s">
        <v>310</v>
      </c>
      <c r="L90" s="13">
        <v>0</v>
      </c>
      <c r="M90" s="13" t="s">
        <v>1239</v>
      </c>
      <c r="N90" s="13" t="s">
        <v>1221</v>
      </c>
      <c r="O90" s="8" t="s">
        <v>157</v>
      </c>
      <c r="P90" s="8" t="s">
        <v>158</v>
      </c>
      <c r="Q90" s="14">
        <v>43221</v>
      </c>
      <c r="R90" s="30" t="s">
        <v>324</v>
      </c>
    </row>
    <row r="91" spans="1:18" s="95" customFormat="1" ht="19.149999999999999" customHeight="1" x14ac:dyDescent="0.3">
      <c r="A91" s="24">
        <v>90</v>
      </c>
      <c r="B91" s="8" t="s">
        <v>307</v>
      </c>
      <c r="C91" s="8" t="s">
        <v>27</v>
      </c>
      <c r="D91" s="8">
        <v>25</v>
      </c>
      <c r="E91" s="19" t="s">
        <v>1396</v>
      </c>
      <c r="F91" s="11" t="s">
        <v>319</v>
      </c>
      <c r="G91" s="8" t="s">
        <v>318</v>
      </c>
      <c r="H91" s="13">
        <v>6</v>
      </c>
      <c r="I91" s="96">
        <v>1240</v>
      </c>
      <c r="J91" s="62">
        <v>3</v>
      </c>
      <c r="K91" s="13" t="s">
        <v>320</v>
      </c>
      <c r="L91" s="13">
        <v>0</v>
      </c>
      <c r="M91" s="13" t="s">
        <v>1239</v>
      </c>
      <c r="N91" s="13" t="s">
        <v>1216</v>
      </c>
      <c r="O91" s="10" t="s">
        <v>151</v>
      </c>
      <c r="P91" s="8" t="s">
        <v>152</v>
      </c>
      <c r="Q91" s="14">
        <v>42193</v>
      </c>
      <c r="R91" s="11"/>
    </row>
    <row r="92" spans="1:18" s="95" customFormat="1" ht="19.149999999999999" customHeight="1" x14ac:dyDescent="0.3">
      <c r="A92" s="8">
        <v>91</v>
      </c>
      <c r="B92" s="8" t="s">
        <v>193</v>
      </c>
      <c r="C92" s="8" t="s">
        <v>27</v>
      </c>
      <c r="D92" s="8">
        <v>25</v>
      </c>
      <c r="E92" s="16" t="s">
        <v>184</v>
      </c>
      <c r="F92" s="16" t="s">
        <v>321</v>
      </c>
      <c r="G92" s="8" t="s">
        <v>160</v>
      </c>
      <c r="H92" s="13">
        <v>10</v>
      </c>
      <c r="I92" s="193">
        <v>1742</v>
      </c>
      <c r="J92" s="62">
        <v>0</v>
      </c>
      <c r="K92" s="13" t="s">
        <v>310</v>
      </c>
      <c r="L92" s="13">
        <v>0</v>
      </c>
      <c r="M92" s="13" t="s">
        <v>1239</v>
      </c>
      <c r="N92" s="13" t="s">
        <v>1221</v>
      </c>
      <c r="O92" s="8" t="s">
        <v>155</v>
      </c>
      <c r="P92" s="8" t="s">
        <v>156</v>
      </c>
      <c r="Q92" s="14">
        <v>39562</v>
      </c>
      <c r="R92" s="11"/>
    </row>
    <row r="93" spans="1:18" s="95" customFormat="1" ht="19.149999999999999" customHeight="1" x14ac:dyDescent="0.3">
      <c r="A93" s="24">
        <v>92</v>
      </c>
      <c r="B93" s="8" t="s">
        <v>196</v>
      </c>
      <c r="C93" s="8" t="s">
        <v>4</v>
      </c>
      <c r="D93" s="8">
        <v>26</v>
      </c>
      <c r="E93" s="16" t="s">
        <v>262</v>
      </c>
      <c r="F93" s="27" t="s">
        <v>436</v>
      </c>
      <c r="G93" s="8" t="s">
        <v>160</v>
      </c>
      <c r="H93" s="13">
        <v>9</v>
      </c>
      <c r="I93" s="96">
        <v>1372</v>
      </c>
      <c r="J93" s="62">
        <v>0</v>
      </c>
      <c r="K93" s="13" t="s">
        <v>310</v>
      </c>
      <c r="L93" s="13">
        <v>0</v>
      </c>
      <c r="M93" s="13" t="s">
        <v>1220</v>
      </c>
      <c r="N93" s="13" t="s">
        <v>1221</v>
      </c>
      <c r="O93" s="8" t="s">
        <v>157</v>
      </c>
      <c r="P93" s="8" t="s">
        <v>158</v>
      </c>
      <c r="Q93" s="14">
        <v>39055</v>
      </c>
      <c r="R93" s="89" t="s">
        <v>437</v>
      </c>
    </row>
    <row r="94" spans="1:18" s="95" customFormat="1" ht="19.149999999999999" customHeight="1" x14ac:dyDescent="0.3">
      <c r="A94" s="8">
        <v>93</v>
      </c>
      <c r="B94" s="8" t="s">
        <v>196</v>
      </c>
      <c r="C94" s="8" t="s">
        <v>4</v>
      </c>
      <c r="D94" s="8">
        <v>26</v>
      </c>
      <c r="E94" s="16" t="s">
        <v>215</v>
      </c>
      <c r="F94" s="27" t="s">
        <v>434</v>
      </c>
      <c r="G94" s="8" t="s">
        <v>318</v>
      </c>
      <c r="H94" s="13">
        <v>6</v>
      </c>
      <c r="I94" s="96">
        <v>982</v>
      </c>
      <c r="J94" s="62">
        <v>0</v>
      </c>
      <c r="K94" s="13" t="s">
        <v>310</v>
      </c>
      <c r="L94" s="13">
        <v>0</v>
      </c>
      <c r="M94" s="13" t="s">
        <v>1239</v>
      </c>
      <c r="N94" s="13" t="s">
        <v>1221</v>
      </c>
      <c r="O94" s="8" t="s">
        <v>155</v>
      </c>
      <c r="P94" s="8" t="s">
        <v>156</v>
      </c>
      <c r="Q94" s="14">
        <v>42810</v>
      </c>
      <c r="R94" s="3" t="s">
        <v>435</v>
      </c>
    </row>
    <row r="95" spans="1:18" s="95" customFormat="1" ht="19.149999999999999" customHeight="1" x14ac:dyDescent="0.3">
      <c r="A95" s="24">
        <v>94</v>
      </c>
      <c r="B95" s="8" t="s">
        <v>415</v>
      </c>
      <c r="C95" s="8" t="s">
        <v>438</v>
      </c>
      <c r="D95" s="8">
        <v>26</v>
      </c>
      <c r="E95" s="16" t="s">
        <v>439</v>
      </c>
      <c r="F95" s="598" t="s">
        <v>440</v>
      </c>
      <c r="G95" s="8" t="s">
        <v>150</v>
      </c>
      <c r="H95" s="13">
        <v>11</v>
      </c>
      <c r="I95" s="96">
        <v>2409</v>
      </c>
      <c r="J95" s="62">
        <v>3</v>
      </c>
      <c r="K95" s="13" t="s">
        <v>1397</v>
      </c>
      <c r="L95" s="13">
        <v>1</v>
      </c>
      <c r="M95" s="13" t="s">
        <v>840</v>
      </c>
      <c r="N95" s="13" t="s">
        <v>1221</v>
      </c>
      <c r="O95" s="8" t="s">
        <v>155</v>
      </c>
      <c r="P95" s="8" t="s">
        <v>156</v>
      </c>
      <c r="Q95" s="14">
        <v>41879</v>
      </c>
      <c r="R95" s="19"/>
    </row>
    <row r="96" spans="1:18" s="95" customFormat="1" ht="19.149999999999999" customHeight="1" x14ac:dyDescent="0.3">
      <c r="A96" s="8">
        <v>95</v>
      </c>
      <c r="B96" s="8" t="s">
        <v>196</v>
      </c>
      <c r="C96" s="8" t="s">
        <v>30</v>
      </c>
      <c r="D96" s="8">
        <v>30</v>
      </c>
      <c r="E96" s="16" t="s">
        <v>423</v>
      </c>
      <c r="F96" s="27" t="s">
        <v>424</v>
      </c>
      <c r="G96" s="8" t="s">
        <v>150</v>
      </c>
      <c r="H96" s="13">
        <v>11</v>
      </c>
      <c r="I96" s="96">
        <v>2062</v>
      </c>
      <c r="J96" s="62">
        <v>1</v>
      </c>
      <c r="K96" s="13" t="s">
        <v>1072</v>
      </c>
      <c r="L96" s="13">
        <v>0</v>
      </c>
      <c r="M96" s="13" t="s">
        <v>1239</v>
      </c>
      <c r="N96" s="13" t="s">
        <v>1221</v>
      </c>
      <c r="O96" s="8" t="s">
        <v>155</v>
      </c>
      <c r="P96" s="8" t="s">
        <v>156</v>
      </c>
      <c r="Q96" s="14">
        <v>37058</v>
      </c>
      <c r="R96" s="19"/>
    </row>
    <row r="97" spans="1:18" s="95" customFormat="1" ht="19.149999999999999" customHeight="1" x14ac:dyDescent="0.3">
      <c r="A97" s="24">
        <v>96</v>
      </c>
      <c r="B97" s="8" t="s">
        <v>196</v>
      </c>
      <c r="C97" s="8" t="s">
        <v>30</v>
      </c>
      <c r="D97" s="8">
        <v>30</v>
      </c>
      <c r="E97" s="19" t="s">
        <v>1398</v>
      </c>
      <c r="F97" s="32" t="s">
        <v>1098</v>
      </c>
      <c r="G97" s="8" t="s">
        <v>150</v>
      </c>
      <c r="H97" s="13">
        <v>12</v>
      </c>
      <c r="I97" s="96">
        <v>2280</v>
      </c>
      <c r="J97" s="62">
        <v>3</v>
      </c>
      <c r="K97" s="13" t="s">
        <v>1171</v>
      </c>
      <c r="L97" s="13">
        <v>2</v>
      </c>
      <c r="M97" s="13" t="s">
        <v>394</v>
      </c>
      <c r="N97" s="13" t="s">
        <v>1221</v>
      </c>
      <c r="O97" s="10" t="s">
        <v>151</v>
      </c>
      <c r="P97" s="8" t="s">
        <v>152</v>
      </c>
      <c r="Q97" s="14">
        <v>36677</v>
      </c>
      <c r="R97" s="19"/>
    </row>
    <row r="98" spans="1:18" s="95" customFormat="1" ht="19.149999999999999" customHeight="1" x14ac:dyDescent="0.3">
      <c r="A98" s="8">
        <v>97</v>
      </c>
      <c r="B98" s="8" t="s">
        <v>196</v>
      </c>
      <c r="C98" s="8" t="s">
        <v>30</v>
      </c>
      <c r="D98" s="8">
        <v>30</v>
      </c>
      <c r="E98" s="16" t="s">
        <v>425</v>
      </c>
      <c r="F98" s="27" t="s">
        <v>426</v>
      </c>
      <c r="G98" s="8" t="s">
        <v>150</v>
      </c>
      <c r="H98" s="13">
        <v>6</v>
      </c>
      <c r="I98" s="96">
        <v>1232</v>
      </c>
      <c r="J98" s="62">
        <v>0</v>
      </c>
      <c r="K98" s="13" t="s">
        <v>310</v>
      </c>
      <c r="L98" s="13">
        <v>0</v>
      </c>
      <c r="M98" s="13" t="s">
        <v>1239</v>
      </c>
      <c r="N98" s="13" t="s">
        <v>1221</v>
      </c>
      <c r="O98" s="23" t="s">
        <v>155</v>
      </c>
      <c r="P98" s="8" t="s">
        <v>156</v>
      </c>
      <c r="Q98" s="14">
        <v>40422</v>
      </c>
      <c r="R98" s="30" t="s">
        <v>1399</v>
      </c>
    </row>
    <row r="99" spans="1:18" s="95" customFormat="1" ht="19.149999999999999" customHeight="1" x14ac:dyDescent="0.3">
      <c r="A99" s="24">
        <v>98</v>
      </c>
      <c r="B99" s="8" t="s">
        <v>1400</v>
      </c>
      <c r="C99" s="8" t="s">
        <v>1401</v>
      </c>
      <c r="D99" s="8">
        <v>30</v>
      </c>
      <c r="E99" s="19" t="s">
        <v>1402</v>
      </c>
      <c r="F99" s="32" t="s">
        <v>1403</v>
      </c>
      <c r="G99" s="8" t="s">
        <v>1264</v>
      </c>
      <c r="H99" s="13">
        <v>6</v>
      </c>
      <c r="I99" s="96">
        <v>660</v>
      </c>
      <c r="J99" s="62">
        <v>1</v>
      </c>
      <c r="K99" s="13" t="s">
        <v>1404</v>
      </c>
      <c r="L99" s="13">
        <v>0</v>
      </c>
      <c r="M99" s="13" t="s">
        <v>1239</v>
      </c>
      <c r="N99" s="13" t="s">
        <v>1221</v>
      </c>
      <c r="O99" s="10" t="s">
        <v>151</v>
      </c>
      <c r="P99" s="8" t="s">
        <v>152</v>
      </c>
      <c r="Q99" s="14">
        <v>44552</v>
      </c>
      <c r="R99" s="19"/>
    </row>
    <row r="100" spans="1:18" s="95" customFormat="1" ht="19.149999999999999" customHeight="1" x14ac:dyDescent="0.3">
      <c r="A100" s="8">
        <v>99</v>
      </c>
      <c r="B100" s="8" t="s">
        <v>1400</v>
      </c>
      <c r="C100" s="8" t="s">
        <v>1401</v>
      </c>
      <c r="D100" s="8">
        <v>30</v>
      </c>
      <c r="E100" s="19" t="s">
        <v>1405</v>
      </c>
      <c r="F100" s="32" t="s">
        <v>1406</v>
      </c>
      <c r="G100" s="8" t="s">
        <v>1278</v>
      </c>
      <c r="H100" s="13">
        <v>8</v>
      </c>
      <c r="I100" s="96">
        <v>1244</v>
      </c>
      <c r="J100" s="62">
        <v>0</v>
      </c>
      <c r="K100" s="13" t="s">
        <v>1239</v>
      </c>
      <c r="L100" s="13">
        <v>0</v>
      </c>
      <c r="M100" s="13" t="s">
        <v>1239</v>
      </c>
      <c r="N100" s="13" t="s">
        <v>1221</v>
      </c>
      <c r="O100" s="10" t="s">
        <v>151</v>
      </c>
      <c r="P100" s="8" t="s">
        <v>152</v>
      </c>
      <c r="Q100" s="14">
        <v>43650</v>
      </c>
      <c r="R100" s="19"/>
    </row>
    <row r="101" spans="1:18" s="95" customFormat="1" ht="19.149999999999999" customHeight="1" x14ac:dyDescent="0.3">
      <c r="A101" s="24">
        <v>100</v>
      </c>
      <c r="B101" s="10" t="s">
        <v>196</v>
      </c>
      <c r="C101" s="10" t="s">
        <v>31</v>
      </c>
      <c r="D101" s="8">
        <v>31</v>
      </c>
      <c r="E101" s="11" t="s">
        <v>217</v>
      </c>
      <c r="F101" s="34" t="s">
        <v>421</v>
      </c>
      <c r="G101" s="10" t="s">
        <v>150</v>
      </c>
      <c r="H101" s="13">
        <v>9</v>
      </c>
      <c r="I101" s="96">
        <v>1581</v>
      </c>
      <c r="J101" s="62">
        <v>0</v>
      </c>
      <c r="K101" s="13" t="s">
        <v>310</v>
      </c>
      <c r="L101" s="13">
        <v>0</v>
      </c>
      <c r="M101" s="13" t="s">
        <v>1239</v>
      </c>
      <c r="N101" s="13" t="s">
        <v>1221</v>
      </c>
      <c r="O101" s="23" t="s">
        <v>155</v>
      </c>
      <c r="P101" s="8" t="s">
        <v>156</v>
      </c>
      <c r="Q101" s="14">
        <v>39600</v>
      </c>
      <c r="R101" s="11"/>
    </row>
    <row r="102" spans="1:18" s="95" customFormat="1" ht="19.149999999999999" customHeight="1" x14ac:dyDescent="0.3">
      <c r="A102" s="8">
        <v>101</v>
      </c>
      <c r="B102" s="10" t="s">
        <v>196</v>
      </c>
      <c r="C102" s="10" t="s">
        <v>31</v>
      </c>
      <c r="D102" s="8">
        <v>31</v>
      </c>
      <c r="E102" s="11" t="s">
        <v>1407</v>
      </c>
      <c r="F102" s="35" t="s">
        <v>420</v>
      </c>
      <c r="G102" s="10" t="s">
        <v>150</v>
      </c>
      <c r="H102" s="13">
        <v>9</v>
      </c>
      <c r="I102" s="96">
        <v>1385</v>
      </c>
      <c r="J102" s="62">
        <v>1</v>
      </c>
      <c r="K102" s="13" t="s">
        <v>195</v>
      </c>
      <c r="L102" s="13">
        <v>0</v>
      </c>
      <c r="M102" s="13" t="s">
        <v>1239</v>
      </c>
      <c r="N102" s="13" t="s">
        <v>1221</v>
      </c>
      <c r="O102" s="10" t="s">
        <v>151</v>
      </c>
      <c r="P102" s="8" t="s">
        <v>152</v>
      </c>
      <c r="Q102" s="14">
        <v>39015</v>
      </c>
      <c r="R102" s="11"/>
    </row>
    <row r="103" spans="1:18" s="95" customFormat="1" ht="19.149999999999999" customHeight="1" x14ac:dyDescent="0.3">
      <c r="A103" s="24">
        <v>102</v>
      </c>
      <c r="B103" s="8" t="s">
        <v>196</v>
      </c>
      <c r="C103" s="8" t="s">
        <v>32</v>
      </c>
      <c r="D103" s="8">
        <v>32</v>
      </c>
      <c r="E103" s="11" t="s">
        <v>1408</v>
      </c>
      <c r="F103" s="32" t="s">
        <v>419</v>
      </c>
      <c r="G103" s="10" t="s">
        <v>150</v>
      </c>
      <c r="H103" s="13">
        <v>8</v>
      </c>
      <c r="I103" s="96">
        <v>1171</v>
      </c>
      <c r="J103" s="62">
        <v>0</v>
      </c>
      <c r="K103" s="13" t="s">
        <v>310</v>
      </c>
      <c r="L103" s="13">
        <v>0</v>
      </c>
      <c r="M103" s="13" t="s">
        <v>1239</v>
      </c>
      <c r="N103" s="13" t="s">
        <v>1216</v>
      </c>
      <c r="O103" s="10" t="s">
        <v>151</v>
      </c>
      <c r="P103" s="8" t="s">
        <v>152</v>
      </c>
      <c r="Q103" s="14">
        <v>39337</v>
      </c>
      <c r="R103" s="36"/>
    </row>
    <row r="104" spans="1:18" s="49" customFormat="1" ht="19.149999999999999" customHeight="1" x14ac:dyDescent="0.3">
      <c r="A104" s="8">
        <v>103</v>
      </c>
      <c r="B104" s="8" t="s">
        <v>415</v>
      </c>
      <c r="C104" s="8" t="s">
        <v>427</v>
      </c>
      <c r="D104" s="8">
        <v>33</v>
      </c>
      <c r="E104" s="16" t="s">
        <v>430</v>
      </c>
      <c r="F104" s="27" t="s">
        <v>431</v>
      </c>
      <c r="G104" s="8" t="s">
        <v>413</v>
      </c>
      <c r="H104" s="13">
        <v>9</v>
      </c>
      <c r="I104" s="96">
        <v>690</v>
      </c>
      <c r="J104" s="177">
        <v>9</v>
      </c>
      <c r="K104" s="174" t="s">
        <v>3464</v>
      </c>
      <c r="L104" s="13">
        <v>0</v>
      </c>
      <c r="M104" s="13" t="s">
        <v>1239</v>
      </c>
      <c r="N104" s="13" t="s">
        <v>1221</v>
      </c>
      <c r="O104" s="8" t="s">
        <v>157</v>
      </c>
      <c r="P104" s="8" t="s">
        <v>158</v>
      </c>
      <c r="Q104" s="14">
        <v>41393</v>
      </c>
      <c r="R104" s="30" t="s">
        <v>432</v>
      </c>
    </row>
    <row r="105" spans="1:18" s="2" customFormat="1" ht="19.149999999999999" customHeight="1" x14ac:dyDescent="0.3">
      <c r="A105" s="24">
        <v>104</v>
      </c>
      <c r="B105" s="8" t="s">
        <v>415</v>
      </c>
      <c r="C105" s="8" t="s">
        <v>427</v>
      </c>
      <c r="D105" s="8">
        <v>33</v>
      </c>
      <c r="E105" s="19" t="s">
        <v>1409</v>
      </c>
      <c r="F105" s="32" t="s">
        <v>428</v>
      </c>
      <c r="G105" s="8" t="s">
        <v>150</v>
      </c>
      <c r="H105" s="13">
        <v>7</v>
      </c>
      <c r="I105" s="96">
        <v>756</v>
      </c>
      <c r="J105" s="62">
        <v>0</v>
      </c>
      <c r="K105" s="13" t="s">
        <v>310</v>
      </c>
      <c r="L105" s="13">
        <v>0</v>
      </c>
      <c r="M105" s="13" t="s">
        <v>1239</v>
      </c>
      <c r="N105" s="13" t="s">
        <v>1221</v>
      </c>
      <c r="O105" s="10" t="s">
        <v>151</v>
      </c>
      <c r="P105" s="8" t="s">
        <v>152</v>
      </c>
      <c r="Q105" s="14">
        <v>37729</v>
      </c>
      <c r="R105" s="30" t="s">
        <v>429</v>
      </c>
    </row>
    <row r="106" spans="1:18" s="2" customFormat="1" ht="19.149999999999999" customHeight="1" x14ac:dyDescent="0.3">
      <c r="A106" s="8">
        <v>105</v>
      </c>
      <c r="B106" s="8" t="s">
        <v>196</v>
      </c>
      <c r="C106" s="8" t="s">
        <v>34</v>
      </c>
      <c r="D106" s="8">
        <v>34</v>
      </c>
      <c r="E106" s="19" t="s">
        <v>1410</v>
      </c>
      <c r="F106" s="32" t="s">
        <v>1099</v>
      </c>
      <c r="G106" s="8" t="s">
        <v>150</v>
      </c>
      <c r="H106" s="13">
        <v>10</v>
      </c>
      <c r="I106" s="96">
        <v>2152</v>
      </c>
      <c r="J106" s="62">
        <v>5</v>
      </c>
      <c r="K106" s="13" t="s">
        <v>1411</v>
      </c>
      <c r="L106" s="13">
        <v>0</v>
      </c>
      <c r="M106" s="13" t="s">
        <v>1239</v>
      </c>
      <c r="N106" s="13" t="s">
        <v>1216</v>
      </c>
      <c r="O106" s="10" t="s">
        <v>151</v>
      </c>
      <c r="P106" s="8" t="s">
        <v>152</v>
      </c>
      <c r="Q106" s="14">
        <v>39875</v>
      </c>
      <c r="R106" s="19"/>
    </row>
    <row r="107" spans="1:18" s="101" customFormat="1" ht="19.149999999999999" customHeight="1" x14ac:dyDescent="0.3">
      <c r="A107" s="24">
        <v>106</v>
      </c>
      <c r="B107" s="8" t="s">
        <v>196</v>
      </c>
      <c r="C107" s="8" t="s">
        <v>34</v>
      </c>
      <c r="D107" s="8">
        <v>34</v>
      </c>
      <c r="E107" s="16" t="s">
        <v>230</v>
      </c>
      <c r="F107" s="27" t="s">
        <v>1100</v>
      </c>
      <c r="G107" s="8" t="s">
        <v>150</v>
      </c>
      <c r="H107" s="13">
        <v>10</v>
      </c>
      <c r="I107" s="96">
        <v>1742</v>
      </c>
      <c r="J107" s="62">
        <v>2</v>
      </c>
      <c r="K107" s="13" t="s">
        <v>1271</v>
      </c>
      <c r="L107" s="13">
        <v>1</v>
      </c>
      <c r="M107" s="13" t="s">
        <v>840</v>
      </c>
      <c r="N107" s="13" t="s">
        <v>1221</v>
      </c>
      <c r="O107" s="23" t="s">
        <v>155</v>
      </c>
      <c r="P107" s="8" t="s">
        <v>156</v>
      </c>
      <c r="Q107" s="14">
        <v>39423</v>
      </c>
      <c r="R107" s="19"/>
    </row>
    <row r="108" spans="1:18" s="101" customFormat="1" ht="19.149999999999999" customHeight="1" x14ac:dyDescent="0.3">
      <c r="A108" s="8">
        <v>107</v>
      </c>
      <c r="B108" s="8" t="s">
        <v>196</v>
      </c>
      <c r="C108" s="8" t="s">
        <v>34</v>
      </c>
      <c r="D108" s="8">
        <v>34</v>
      </c>
      <c r="E108" s="16" t="s">
        <v>1412</v>
      </c>
      <c r="F108" s="27" t="s">
        <v>1414</v>
      </c>
      <c r="G108" s="8" t="s">
        <v>1228</v>
      </c>
      <c r="H108" s="13">
        <v>4</v>
      </c>
      <c r="I108" s="96">
        <v>873</v>
      </c>
      <c r="J108" s="62">
        <v>0</v>
      </c>
      <c r="K108" s="13" t="s">
        <v>1228</v>
      </c>
      <c r="L108" s="13">
        <v>3</v>
      </c>
      <c r="M108" s="13" t="s">
        <v>1415</v>
      </c>
      <c r="N108" s="13" t="s">
        <v>1221</v>
      </c>
      <c r="O108" s="8" t="s">
        <v>1416</v>
      </c>
      <c r="P108" s="8" t="s">
        <v>446</v>
      </c>
      <c r="Q108" s="14">
        <v>40858</v>
      </c>
      <c r="R108" s="92" t="s">
        <v>1417</v>
      </c>
    </row>
    <row r="109" spans="1:18" s="101" customFormat="1" ht="19.149999999999999" customHeight="1" x14ac:dyDescent="0.3">
      <c r="A109" s="24">
        <v>108</v>
      </c>
      <c r="B109" s="8" t="s">
        <v>415</v>
      </c>
      <c r="C109" s="8" t="s">
        <v>34</v>
      </c>
      <c r="D109" s="8">
        <v>34</v>
      </c>
      <c r="E109" s="19" t="s">
        <v>1418</v>
      </c>
      <c r="F109" s="32" t="s">
        <v>442</v>
      </c>
      <c r="G109" s="8" t="s">
        <v>160</v>
      </c>
      <c r="H109" s="13">
        <v>6</v>
      </c>
      <c r="I109" s="96">
        <v>437</v>
      </c>
      <c r="J109" s="62">
        <v>0</v>
      </c>
      <c r="K109" s="13" t="s">
        <v>310</v>
      </c>
      <c r="L109" s="13">
        <v>0</v>
      </c>
      <c r="M109" s="13" t="s">
        <v>1239</v>
      </c>
      <c r="N109" s="13" t="s">
        <v>1221</v>
      </c>
      <c r="O109" s="10" t="s">
        <v>151</v>
      </c>
      <c r="P109" s="8" t="s">
        <v>152</v>
      </c>
      <c r="Q109" s="14">
        <v>42299</v>
      </c>
      <c r="R109" s="19"/>
    </row>
    <row r="110" spans="1:18" s="101" customFormat="1" ht="19.149999999999999" customHeight="1" x14ac:dyDescent="0.3">
      <c r="A110" s="8">
        <v>109</v>
      </c>
      <c r="B110" s="8" t="s">
        <v>415</v>
      </c>
      <c r="C110" s="8" t="s">
        <v>34</v>
      </c>
      <c r="D110" s="8">
        <v>34</v>
      </c>
      <c r="E110" s="16" t="s">
        <v>1419</v>
      </c>
      <c r="F110" s="16" t="s">
        <v>444</v>
      </c>
      <c r="G110" s="8" t="s">
        <v>413</v>
      </c>
      <c r="H110" s="13">
        <v>10</v>
      </c>
      <c r="I110" s="96">
        <v>827</v>
      </c>
      <c r="J110" s="177">
        <v>10</v>
      </c>
      <c r="K110" s="174" t="s">
        <v>3508</v>
      </c>
      <c r="L110" s="13">
        <v>0</v>
      </c>
      <c r="M110" s="13" t="s">
        <v>1239</v>
      </c>
      <c r="N110" s="13" t="s">
        <v>1221</v>
      </c>
      <c r="O110" s="8" t="s">
        <v>155</v>
      </c>
      <c r="P110" s="8" t="s">
        <v>156</v>
      </c>
      <c r="Q110" s="14">
        <v>41639</v>
      </c>
      <c r="R110" s="30" t="s">
        <v>445</v>
      </c>
    </row>
    <row r="111" spans="1:18" s="95" customFormat="1" ht="19.149999999999999" customHeight="1" x14ac:dyDescent="0.3">
      <c r="A111" s="24">
        <v>110</v>
      </c>
      <c r="B111" s="8" t="s">
        <v>196</v>
      </c>
      <c r="C111" s="8" t="s">
        <v>35</v>
      </c>
      <c r="D111" s="8">
        <v>35</v>
      </c>
      <c r="E111" s="19" t="s">
        <v>1420</v>
      </c>
      <c r="F111" s="32" t="s">
        <v>1421</v>
      </c>
      <c r="G111" s="8" t="s">
        <v>160</v>
      </c>
      <c r="H111" s="13">
        <v>7</v>
      </c>
      <c r="I111" s="500">
        <v>750</v>
      </c>
      <c r="J111" s="62">
        <v>0</v>
      </c>
      <c r="K111" s="13" t="s">
        <v>1220</v>
      </c>
      <c r="L111" s="13">
        <v>0</v>
      </c>
      <c r="M111" s="13" t="s">
        <v>1239</v>
      </c>
      <c r="N111" s="13" t="s">
        <v>1221</v>
      </c>
      <c r="O111" s="10" t="s">
        <v>151</v>
      </c>
      <c r="P111" s="8" t="s">
        <v>152</v>
      </c>
      <c r="Q111" s="14">
        <v>42797</v>
      </c>
      <c r="R111" s="19"/>
    </row>
    <row r="112" spans="1:18" s="21" customFormat="1" ht="19.149999999999999" customHeight="1" x14ac:dyDescent="0.3">
      <c r="A112" s="8">
        <v>111</v>
      </c>
      <c r="B112" s="99" t="s">
        <v>3536</v>
      </c>
      <c r="C112" s="99" t="s">
        <v>3537</v>
      </c>
      <c r="D112" s="99">
        <v>35</v>
      </c>
      <c r="E112" s="56" t="s">
        <v>3538</v>
      </c>
      <c r="F112" s="56" t="s">
        <v>3539</v>
      </c>
      <c r="G112" s="99" t="s">
        <v>3540</v>
      </c>
      <c r="H112" s="88">
        <v>6</v>
      </c>
      <c r="I112" s="102">
        <v>676</v>
      </c>
      <c r="J112" s="71">
        <v>6</v>
      </c>
      <c r="K112" s="88" t="s">
        <v>3541</v>
      </c>
      <c r="L112" s="88">
        <v>0</v>
      </c>
      <c r="M112" s="88" t="s">
        <v>820</v>
      </c>
      <c r="N112" s="88" t="s">
        <v>884</v>
      </c>
      <c r="O112" s="8" t="s">
        <v>155</v>
      </c>
      <c r="P112" s="8" t="s">
        <v>156</v>
      </c>
      <c r="Q112" s="45">
        <v>45289</v>
      </c>
      <c r="R112" s="30"/>
    </row>
    <row r="113" spans="1:18" s="95" customFormat="1" ht="19.149999999999999" customHeight="1" x14ac:dyDescent="0.3">
      <c r="A113" s="24">
        <v>112</v>
      </c>
      <c r="B113" s="8" t="s">
        <v>196</v>
      </c>
      <c r="C113" s="8" t="s">
        <v>36</v>
      </c>
      <c r="D113" s="8">
        <v>36</v>
      </c>
      <c r="E113" s="19" t="s">
        <v>263</v>
      </c>
      <c r="F113" s="19" t="s">
        <v>410</v>
      </c>
      <c r="G113" s="8" t="s">
        <v>150</v>
      </c>
      <c r="H113" s="13">
        <v>7</v>
      </c>
      <c r="I113" s="96">
        <v>1065</v>
      </c>
      <c r="J113" s="62">
        <v>1</v>
      </c>
      <c r="K113" s="13" t="s">
        <v>1422</v>
      </c>
      <c r="L113" s="13">
        <v>0</v>
      </c>
      <c r="M113" s="13" t="s">
        <v>1239</v>
      </c>
      <c r="N113" s="13" t="s">
        <v>1221</v>
      </c>
      <c r="O113" s="8" t="s">
        <v>157</v>
      </c>
      <c r="P113" s="8" t="s">
        <v>158</v>
      </c>
      <c r="Q113" s="14">
        <v>42492</v>
      </c>
      <c r="R113" s="30" t="s">
        <v>411</v>
      </c>
    </row>
    <row r="114" spans="1:18" s="95" customFormat="1" ht="19.149999999999999" customHeight="1" x14ac:dyDescent="0.3">
      <c r="A114" s="8">
        <v>113</v>
      </c>
      <c r="B114" s="10" t="s">
        <v>196</v>
      </c>
      <c r="C114" s="10" t="s">
        <v>36</v>
      </c>
      <c r="D114" s="8">
        <v>36</v>
      </c>
      <c r="E114" s="11" t="s">
        <v>1423</v>
      </c>
      <c r="F114" s="35" t="s">
        <v>408</v>
      </c>
      <c r="G114" s="10" t="s">
        <v>150</v>
      </c>
      <c r="H114" s="13">
        <v>7</v>
      </c>
      <c r="I114" s="96">
        <v>1049</v>
      </c>
      <c r="J114" s="62">
        <v>0</v>
      </c>
      <c r="K114" s="13" t="s">
        <v>1239</v>
      </c>
      <c r="L114" s="13">
        <v>1</v>
      </c>
      <c r="M114" s="13" t="s">
        <v>1424</v>
      </c>
      <c r="N114" s="13" t="s">
        <v>1221</v>
      </c>
      <c r="O114" s="8" t="s">
        <v>155</v>
      </c>
      <c r="P114" s="8" t="s">
        <v>156</v>
      </c>
      <c r="Q114" s="14">
        <v>42005</v>
      </c>
      <c r="R114" s="3" t="s">
        <v>409</v>
      </c>
    </row>
    <row r="115" spans="1:18" s="95" customFormat="1" ht="19.149999999999999" customHeight="1" x14ac:dyDescent="0.3">
      <c r="A115" s="24">
        <v>114</v>
      </c>
      <c r="B115" s="24" t="s">
        <v>1400</v>
      </c>
      <c r="C115" s="24" t="s">
        <v>1425</v>
      </c>
      <c r="D115" s="24">
        <v>37</v>
      </c>
      <c r="E115" s="44" t="s">
        <v>1426</v>
      </c>
      <c r="F115" s="44" t="s">
        <v>1427</v>
      </c>
      <c r="G115" s="24" t="s">
        <v>1278</v>
      </c>
      <c r="H115" s="13">
        <v>7</v>
      </c>
      <c r="I115" s="13">
        <v>810</v>
      </c>
      <c r="J115" s="177">
        <v>2</v>
      </c>
      <c r="K115" s="174" t="s">
        <v>3500</v>
      </c>
      <c r="L115" s="13">
        <v>0</v>
      </c>
      <c r="M115" s="13" t="s">
        <v>1239</v>
      </c>
      <c r="N115" s="13" t="s">
        <v>1221</v>
      </c>
      <c r="O115" s="8" t="s">
        <v>155</v>
      </c>
      <c r="P115" s="8" t="s">
        <v>156</v>
      </c>
      <c r="Q115" s="14">
        <v>44378</v>
      </c>
      <c r="R115" s="24"/>
    </row>
    <row r="116" spans="1:18" s="95" customFormat="1" ht="19.149999999999999" customHeight="1" x14ac:dyDescent="0.3">
      <c r="A116" s="8">
        <v>115</v>
      </c>
      <c r="B116" s="8" t="s">
        <v>1400</v>
      </c>
      <c r="C116" s="8" t="s">
        <v>1425</v>
      </c>
      <c r="D116" s="8">
        <v>37</v>
      </c>
      <c r="E116" s="19" t="s">
        <v>1428</v>
      </c>
      <c r="F116" s="19" t="s">
        <v>1429</v>
      </c>
      <c r="G116" s="8" t="s">
        <v>1278</v>
      </c>
      <c r="H116" s="13">
        <v>6</v>
      </c>
      <c r="I116" s="96">
        <v>431</v>
      </c>
      <c r="J116" s="62">
        <v>0</v>
      </c>
      <c r="K116" s="13" t="s">
        <v>310</v>
      </c>
      <c r="L116" s="13">
        <v>0</v>
      </c>
      <c r="M116" s="13" t="s">
        <v>1239</v>
      </c>
      <c r="N116" s="13" t="s">
        <v>1221</v>
      </c>
      <c r="O116" s="10" t="s">
        <v>151</v>
      </c>
      <c r="P116" s="8" t="s">
        <v>152</v>
      </c>
      <c r="Q116" s="14">
        <v>44566</v>
      </c>
      <c r="R116" s="19"/>
    </row>
    <row r="117" spans="1:18" s="95" customFormat="1" ht="19.149999999999999" customHeight="1" x14ac:dyDescent="0.3">
      <c r="A117" s="24">
        <v>116</v>
      </c>
      <c r="B117" s="8" t="s">
        <v>196</v>
      </c>
      <c r="C117" s="8" t="s">
        <v>37</v>
      </c>
      <c r="D117" s="8">
        <v>38</v>
      </c>
      <c r="E117" s="19" t="s">
        <v>1430</v>
      </c>
      <c r="F117" s="32" t="s">
        <v>433</v>
      </c>
      <c r="G117" s="8" t="s">
        <v>318</v>
      </c>
      <c r="H117" s="13">
        <v>8</v>
      </c>
      <c r="I117" s="96">
        <v>1383</v>
      </c>
      <c r="J117" s="62">
        <v>2</v>
      </c>
      <c r="K117" s="13" t="s">
        <v>1431</v>
      </c>
      <c r="L117" s="13">
        <v>0</v>
      </c>
      <c r="M117" s="13" t="s">
        <v>1239</v>
      </c>
      <c r="N117" s="13" t="s">
        <v>1216</v>
      </c>
      <c r="O117" s="10" t="s">
        <v>151</v>
      </c>
      <c r="P117" s="8" t="s">
        <v>152</v>
      </c>
      <c r="Q117" s="14">
        <v>38004</v>
      </c>
      <c r="R117" s="30" t="s">
        <v>1432</v>
      </c>
    </row>
    <row r="118" spans="1:18" s="95" customFormat="1" ht="19.149999999999999" customHeight="1" x14ac:dyDescent="0.3">
      <c r="A118" s="8">
        <v>117</v>
      </c>
      <c r="B118" s="8" t="s">
        <v>196</v>
      </c>
      <c r="C118" s="8" t="s">
        <v>38</v>
      </c>
      <c r="D118" s="8">
        <v>40</v>
      </c>
      <c r="E118" s="16" t="s">
        <v>1433</v>
      </c>
      <c r="F118" s="27" t="s">
        <v>1434</v>
      </c>
      <c r="G118" s="8" t="s">
        <v>150</v>
      </c>
      <c r="H118" s="13">
        <v>7</v>
      </c>
      <c r="I118" s="96">
        <v>1319</v>
      </c>
      <c r="J118" s="62">
        <v>7</v>
      </c>
      <c r="K118" s="13" t="s">
        <v>1435</v>
      </c>
      <c r="L118" s="13">
        <v>0</v>
      </c>
      <c r="M118" s="13" t="s">
        <v>1239</v>
      </c>
      <c r="N118" s="13" t="s">
        <v>1221</v>
      </c>
      <c r="O118" s="8" t="s">
        <v>157</v>
      </c>
      <c r="P118" s="8" t="s">
        <v>158</v>
      </c>
      <c r="Q118" s="14">
        <v>44683</v>
      </c>
      <c r="R118" s="19" t="s">
        <v>1436</v>
      </c>
    </row>
    <row r="119" spans="1:18" s="95" customFormat="1" ht="19.149999999999999" customHeight="1" x14ac:dyDescent="0.3">
      <c r="A119" s="24">
        <v>118</v>
      </c>
      <c r="B119" s="8" t="s">
        <v>415</v>
      </c>
      <c r="C119" s="8" t="s">
        <v>416</v>
      </c>
      <c r="D119" s="8">
        <v>41</v>
      </c>
      <c r="E119" s="16" t="s">
        <v>417</v>
      </c>
      <c r="F119" s="16" t="s">
        <v>418</v>
      </c>
      <c r="G119" s="8" t="s">
        <v>150</v>
      </c>
      <c r="H119" s="13">
        <v>6</v>
      </c>
      <c r="I119" s="96">
        <v>1014</v>
      </c>
      <c r="J119" s="62">
        <v>0</v>
      </c>
      <c r="K119" s="13" t="s">
        <v>310</v>
      </c>
      <c r="L119" s="13">
        <v>0</v>
      </c>
      <c r="M119" s="13" t="s">
        <v>1239</v>
      </c>
      <c r="N119" s="13" t="s">
        <v>1221</v>
      </c>
      <c r="O119" s="8" t="s">
        <v>155</v>
      </c>
      <c r="P119" s="8" t="s">
        <v>156</v>
      </c>
      <c r="Q119" s="14">
        <v>41996</v>
      </c>
      <c r="R119" s="19"/>
    </row>
    <row r="120" spans="1:18" s="95" customFormat="1" ht="19.149999999999999" customHeight="1" x14ac:dyDescent="0.3">
      <c r="A120" s="8">
        <v>119</v>
      </c>
      <c r="B120" s="8" t="s">
        <v>196</v>
      </c>
      <c r="C120" s="8" t="s">
        <v>39</v>
      </c>
      <c r="D120" s="8">
        <v>41</v>
      </c>
      <c r="E120" s="16" t="s">
        <v>280</v>
      </c>
      <c r="F120" s="27" t="s">
        <v>414</v>
      </c>
      <c r="G120" s="8" t="s">
        <v>413</v>
      </c>
      <c r="H120" s="13">
        <v>6</v>
      </c>
      <c r="I120" s="96">
        <v>578</v>
      </c>
      <c r="J120" s="62">
        <v>0</v>
      </c>
      <c r="K120" s="13" t="s">
        <v>310</v>
      </c>
      <c r="L120" s="13">
        <v>0</v>
      </c>
      <c r="M120" s="13" t="s">
        <v>1239</v>
      </c>
      <c r="N120" s="13" t="s">
        <v>1221</v>
      </c>
      <c r="O120" s="8" t="s">
        <v>157</v>
      </c>
      <c r="P120" s="8" t="s">
        <v>158</v>
      </c>
      <c r="Q120" s="14">
        <v>43076</v>
      </c>
      <c r="R120" s="19"/>
    </row>
    <row r="121" spans="1:18" s="7" customFormat="1" ht="19.149999999999999" customHeight="1" x14ac:dyDescent="0.3">
      <c r="A121" s="24">
        <v>120</v>
      </c>
      <c r="B121" s="8" t="s">
        <v>196</v>
      </c>
      <c r="C121" s="8" t="s">
        <v>39</v>
      </c>
      <c r="D121" s="8">
        <v>41</v>
      </c>
      <c r="E121" s="19" t="s">
        <v>1437</v>
      </c>
      <c r="F121" s="19" t="s">
        <v>412</v>
      </c>
      <c r="G121" s="8" t="s">
        <v>160</v>
      </c>
      <c r="H121" s="13">
        <v>9</v>
      </c>
      <c r="I121" s="500">
        <v>627</v>
      </c>
      <c r="J121" s="62">
        <v>0</v>
      </c>
      <c r="K121" s="13" t="s">
        <v>310</v>
      </c>
      <c r="L121" s="13">
        <v>0</v>
      </c>
      <c r="M121" s="13" t="s">
        <v>1239</v>
      </c>
      <c r="N121" s="13" t="s">
        <v>1221</v>
      </c>
      <c r="O121" s="10" t="s">
        <v>151</v>
      </c>
      <c r="P121" s="8" t="s">
        <v>152</v>
      </c>
      <c r="Q121" s="14">
        <v>43092</v>
      </c>
      <c r="R121" s="19"/>
    </row>
    <row r="122" spans="1:18" s="7" customFormat="1" ht="19.149999999999999" customHeight="1" x14ac:dyDescent="0.3">
      <c r="A122" s="8">
        <v>121</v>
      </c>
      <c r="B122" s="8" t="s">
        <v>1438</v>
      </c>
      <c r="C122" s="8" t="s">
        <v>1439</v>
      </c>
      <c r="D122" s="8">
        <v>42</v>
      </c>
      <c r="E122" s="16" t="s">
        <v>1440</v>
      </c>
      <c r="F122" s="16" t="s">
        <v>1441</v>
      </c>
      <c r="G122" s="8" t="s">
        <v>1228</v>
      </c>
      <c r="H122" s="13">
        <v>1</v>
      </c>
      <c r="I122" s="96">
        <v>55</v>
      </c>
      <c r="J122" s="62">
        <v>0</v>
      </c>
      <c r="K122" s="13" t="s">
        <v>1228</v>
      </c>
      <c r="L122" s="13">
        <v>1</v>
      </c>
      <c r="M122" s="13" t="s">
        <v>1442</v>
      </c>
      <c r="N122" s="13" t="s">
        <v>1221</v>
      </c>
      <c r="O122" s="23" t="s">
        <v>204</v>
      </c>
      <c r="P122" s="24" t="s">
        <v>473</v>
      </c>
      <c r="Q122" s="14">
        <v>42040</v>
      </c>
      <c r="R122" s="31"/>
    </row>
    <row r="123" spans="1:18" s="7" customFormat="1" ht="19.149999999999999" customHeight="1" x14ac:dyDescent="0.3">
      <c r="A123" s="24">
        <v>122</v>
      </c>
      <c r="B123" s="8" t="s">
        <v>457</v>
      </c>
      <c r="C123" s="8" t="s">
        <v>4</v>
      </c>
      <c r="D123" s="8">
        <v>42</v>
      </c>
      <c r="E123" s="16" t="s">
        <v>1443</v>
      </c>
      <c r="F123" s="16" t="s">
        <v>472</v>
      </c>
      <c r="G123" s="8" t="s">
        <v>160</v>
      </c>
      <c r="H123" s="13">
        <v>9</v>
      </c>
      <c r="I123" s="96">
        <v>663</v>
      </c>
      <c r="J123" s="177">
        <v>9</v>
      </c>
      <c r="K123" s="174" t="s">
        <v>3509</v>
      </c>
      <c r="L123" s="13">
        <v>0</v>
      </c>
      <c r="M123" s="13" t="s">
        <v>1239</v>
      </c>
      <c r="N123" s="13" t="s">
        <v>1221</v>
      </c>
      <c r="O123" s="23" t="s">
        <v>155</v>
      </c>
      <c r="P123" s="8" t="s">
        <v>156</v>
      </c>
      <c r="Q123" s="14">
        <v>43215</v>
      </c>
      <c r="R123" s="31"/>
    </row>
    <row r="124" spans="1:18" s="7" customFormat="1" ht="19.149999999999999" customHeight="1" x14ac:dyDescent="0.3">
      <c r="A124" s="8">
        <v>123</v>
      </c>
      <c r="B124" s="8" t="s">
        <v>197</v>
      </c>
      <c r="C124" s="8" t="s">
        <v>4</v>
      </c>
      <c r="D124" s="8">
        <v>42</v>
      </c>
      <c r="E124" s="19" t="s">
        <v>1444</v>
      </c>
      <c r="F124" s="19" t="s">
        <v>470</v>
      </c>
      <c r="G124" s="8" t="s">
        <v>150</v>
      </c>
      <c r="H124" s="13">
        <v>6</v>
      </c>
      <c r="I124" s="96">
        <v>710</v>
      </c>
      <c r="J124" s="62">
        <v>0</v>
      </c>
      <c r="K124" s="13" t="s">
        <v>310</v>
      </c>
      <c r="L124" s="13">
        <v>0</v>
      </c>
      <c r="M124" s="13" t="s">
        <v>1239</v>
      </c>
      <c r="N124" s="13" t="s">
        <v>1221</v>
      </c>
      <c r="O124" s="10" t="s">
        <v>151</v>
      </c>
      <c r="P124" s="8" t="s">
        <v>152</v>
      </c>
      <c r="Q124" s="14">
        <v>40774</v>
      </c>
      <c r="R124" s="31"/>
    </row>
    <row r="125" spans="1:18" s="7" customFormat="1" ht="19.149999999999999" customHeight="1" x14ac:dyDescent="0.3">
      <c r="A125" s="24">
        <v>124</v>
      </c>
      <c r="B125" s="8" t="s">
        <v>197</v>
      </c>
      <c r="C125" s="8" t="s">
        <v>4</v>
      </c>
      <c r="D125" s="8">
        <v>42</v>
      </c>
      <c r="E125" s="16" t="s">
        <v>218</v>
      </c>
      <c r="F125" s="16" t="s">
        <v>471</v>
      </c>
      <c r="G125" s="8" t="s">
        <v>150</v>
      </c>
      <c r="H125" s="13">
        <v>9</v>
      </c>
      <c r="I125" s="96">
        <v>1412</v>
      </c>
      <c r="J125" s="62">
        <v>1</v>
      </c>
      <c r="K125" s="13" t="s">
        <v>892</v>
      </c>
      <c r="L125" s="174">
        <v>1</v>
      </c>
      <c r="M125" s="174" t="s">
        <v>3507</v>
      </c>
      <c r="N125" s="13" t="s">
        <v>1221</v>
      </c>
      <c r="O125" s="23" t="s">
        <v>155</v>
      </c>
      <c r="P125" s="8" t="s">
        <v>156</v>
      </c>
      <c r="Q125" s="14">
        <v>39586</v>
      </c>
      <c r="R125" s="31"/>
    </row>
    <row r="126" spans="1:18" s="7" customFormat="1" ht="19.149999999999999" customHeight="1" x14ac:dyDescent="0.3">
      <c r="A126" s="8">
        <v>125</v>
      </c>
      <c r="B126" s="8" t="s">
        <v>197</v>
      </c>
      <c r="C126" s="8" t="s">
        <v>4</v>
      </c>
      <c r="D126" s="8">
        <v>42</v>
      </c>
      <c r="E126" s="19" t="s">
        <v>1445</v>
      </c>
      <c r="F126" s="19" t="s">
        <v>469</v>
      </c>
      <c r="G126" s="8" t="s">
        <v>150</v>
      </c>
      <c r="H126" s="13">
        <v>5</v>
      </c>
      <c r="I126" s="193">
        <v>700</v>
      </c>
      <c r="J126" s="62">
        <v>1</v>
      </c>
      <c r="K126" s="13" t="s">
        <v>986</v>
      </c>
      <c r="L126" s="13">
        <v>0</v>
      </c>
      <c r="M126" s="13" t="s">
        <v>1239</v>
      </c>
      <c r="N126" s="13" t="s">
        <v>1221</v>
      </c>
      <c r="O126" s="10" t="s">
        <v>151</v>
      </c>
      <c r="P126" s="8" t="s">
        <v>152</v>
      </c>
      <c r="Q126" s="14">
        <v>41271</v>
      </c>
      <c r="R126" s="30" t="s">
        <v>1446</v>
      </c>
    </row>
    <row r="127" spans="1:18" s="7" customFormat="1" ht="19.149999999999999" customHeight="1" x14ac:dyDescent="0.3">
      <c r="A127" s="24">
        <v>126</v>
      </c>
      <c r="B127" s="10" t="s">
        <v>197</v>
      </c>
      <c r="C127" s="8" t="s">
        <v>4</v>
      </c>
      <c r="D127" s="8">
        <v>42</v>
      </c>
      <c r="E127" s="56" t="s">
        <v>1447</v>
      </c>
      <c r="F127" s="16" t="s">
        <v>468</v>
      </c>
      <c r="G127" s="8" t="s">
        <v>318</v>
      </c>
      <c r="H127" s="13">
        <v>7</v>
      </c>
      <c r="I127" s="96">
        <v>1171</v>
      </c>
      <c r="J127" s="62">
        <v>0</v>
      </c>
      <c r="K127" s="13" t="s">
        <v>310</v>
      </c>
      <c r="L127" s="13">
        <v>1</v>
      </c>
      <c r="M127" s="13" t="s">
        <v>1256</v>
      </c>
      <c r="N127" s="13" t="s">
        <v>1221</v>
      </c>
      <c r="O127" s="10" t="s">
        <v>151</v>
      </c>
      <c r="P127" s="8" t="s">
        <v>152</v>
      </c>
      <c r="Q127" s="14">
        <v>41663</v>
      </c>
      <c r="R127" s="30" t="s">
        <v>1448</v>
      </c>
    </row>
    <row r="128" spans="1:18" s="7" customFormat="1" ht="19.149999999999999" customHeight="1" x14ac:dyDescent="0.3">
      <c r="A128" s="8">
        <v>127</v>
      </c>
      <c r="B128" s="8" t="s">
        <v>197</v>
      </c>
      <c r="C128" s="8" t="s">
        <v>454</v>
      </c>
      <c r="D128" s="8">
        <v>43</v>
      </c>
      <c r="E128" s="16" t="s">
        <v>258</v>
      </c>
      <c r="F128" s="27" t="s">
        <v>1449</v>
      </c>
      <c r="G128" s="8" t="s">
        <v>150</v>
      </c>
      <c r="H128" s="13">
        <v>6</v>
      </c>
      <c r="I128" s="96">
        <v>901</v>
      </c>
      <c r="J128" s="62">
        <v>1</v>
      </c>
      <c r="K128" s="13" t="s">
        <v>1450</v>
      </c>
      <c r="L128" s="13">
        <v>0</v>
      </c>
      <c r="M128" s="13" t="s">
        <v>1239</v>
      </c>
      <c r="N128" s="13" t="s">
        <v>1221</v>
      </c>
      <c r="O128" s="8" t="s">
        <v>157</v>
      </c>
      <c r="P128" s="8" t="s">
        <v>158</v>
      </c>
      <c r="Q128" s="14">
        <v>42719</v>
      </c>
      <c r="R128" s="30" t="s">
        <v>456</v>
      </c>
    </row>
    <row r="129" spans="1:18" ht="19.149999999999999" customHeight="1" x14ac:dyDescent="0.3">
      <c r="A129" s="24">
        <v>128</v>
      </c>
      <c r="B129" s="10" t="s">
        <v>197</v>
      </c>
      <c r="C129" s="10" t="s">
        <v>29</v>
      </c>
      <c r="D129" s="8">
        <v>43</v>
      </c>
      <c r="E129" s="11" t="s">
        <v>1451</v>
      </c>
      <c r="F129" s="9" t="s">
        <v>452</v>
      </c>
      <c r="G129" s="10" t="s">
        <v>150</v>
      </c>
      <c r="H129" s="13">
        <v>6</v>
      </c>
      <c r="I129" s="96">
        <v>1394</v>
      </c>
      <c r="J129" s="62">
        <v>0</v>
      </c>
      <c r="K129" s="13" t="s">
        <v>1239</v>
      </c>
      <c r="L129" s="13">
        <v>0</v>
      </c>
      <c r="M129" s="13" t="s">
        <v>1239</v>
      </c>
      <c r="N129" s="13" t="s">
        <v>1221</v>
      </c>
      <c r="O129" s="8" t="s">
        <v>155</v>
      </c>
      <c r="P129" s="8" t="s">
        <v>156</v>
      </c>
      <c r="Q129" s="14">
        <v>40374</v>
      </c>
      <c r="R129" s="3" t="s">
        <v>453</v>
      </c>
    </row>
    <row r="130" spans="1:18" ht="19.149999999999999" customHeight="1" x14ac:dyDescent="0.3">
      <c r="A130" s="8">
        <v>129</v>
      </c>
      <c r="B130" s="8" t="s">
        <v>197</v>
      </c>
      <c r="C130" s="8" t="s">
        <v>29</v>
      </c>
      <c r="D130" s="8">
        <v>43</v>
      </c>
      <c r="E130" s="19" t="s">
        <v>1452</v>
      </c>
      <c r="F130" s="32" t="s">
        <v>451</v>
      </c>
      <c r="G130" s="8" t="s">
        <v>160</v>
      </c>
      <c r="H130" s="13">
        <v>7</v>
      </c>
      <c r="I130" s="96">
        <v>516</v>
      </c>
      <c r="J130" s="62">
        <v>7</v>
      </c>
      <c r="K130" s="13" t="s">
        <v>1453</v>
      </c>
      <c r="L130" s="13">
        <v>0</v>
      </c>
      <c r="M130" s="13" t="s">
        <v>1239</v>
      </c>
      <c r="N130" s="13" t="s">
        <v>1221</v>
      </c>
      <c r="O130" s="10" t="s">
        <v>151</v>
      </c>
      <c r="P130" s="8" t="s">
        <v>152</v>
      </c>
      <c r="Q130" s="14">
        <v>44580</v>
      </c>
      <c r="R130" s="30" t="s">
        <v>1454</v>
      </c>
    </row>
    <row r="131" spans="1:18" s="7" customFormat="1" ht="19.149999999999999" customHeight="1" x14ac:dyDescent="0.3">
      <c r="A131" s="24">
        <v>130</v>
      </c>
      <c r="B131" s="8" t="s">
        <v>457</v>
      </c>
      <c r="C131" s="8" t="s">
        <v>454</v>
      </c>
      <c r="D131" s="8">
        <v>43</v>
      </c>
      <c r="E131" s="16" t="s">
        <v>259</v>
      </c>
      <c r="F131" s="27" t="s">
        <v>458</v>
      </c>
      <c r="G131" s="8" t="s">
        <v>1264</v>
      </c>
      <c r="H131" s="13">
        <v>7</v>
      </c>
      <c r="I131" s="96">
        <v>630</v>
      </c>
      <c r="J131" s="62">
        <v>7</v>
      </c>
      <c r="K131" s="13" t="s">
        <v>1455</v>
      </c>
      <c r="L131" s="13">
        <v>0</v>
      </c>
      <c r="M131" s="13" t="s">
        <v>1239</v>
      </c>
      <c r="N131" s="13" t="s">
        <v>1221</v>
      </c>
      <c r="O131" s="8" t="s">
        <v>157</v>
      </c>
      <c r="P131" s="8" t="s">
        <v>158</v>
      </c>
      <c r="Q131" s="14">
        <v>43327</v>
      </c>
      <c r="R131" s="30" t="s">
        <v>1456</v>
      </c>
    </row>
    <row r="132" spans="1:18" s="7" customFormat="1" ht="19.149999999999999" customHeight="1" x14ac:dyDescent="0.3">
      <c r="A132" s="8">
        <v>131</v>
      </c>
      <c r="B132" s="10" t="s">
        <v>197</v>
      </c>
      <c r="C132" s="8" t="s">
        <v>28</v>
      </c>
      <c r="D132" s="8">
        <v>44</v>
      </c>
      <c r="E132" s="16" t="s">
        <v>214</v>
      </c>
      <c r="F132" s="16" t="s">
        <v>463</v>
      </c>
      <c r="G132" s="8" t="s">
        <v>150</v>
      </c>
      <c r="H132" s="13">
        <v>7</v>
      </c>
      <c r="I132" s="96">
        <v>1300</v>
      </c>
      <c r="J132" s="62">
        <v>0</v>
      </c>
      <c r="K132" s="13" t="s">
        <v>310</v>
      </c>
      <c r="L132" s="13">
        <v>0</v>
      </c>
      <c r="M132" s="13" t="s">
        <v>1239</v>
      </c>
      <c r="N132" s="13" t="s">
        <v>1221</v>
      </c>
      <c r="O132" s="23" t="s">
        <v>155</v>
      </c>
      <c r="P132" s="8" t="s">
        <v>156</v>
      </c>
      <c r="Q132" s="14">
        <v>41180</v>
      </c>
      <c r="R132" s="19"/>
    </row>
    <row r="133" spans="1:18" s="7" customFormat="1" ht="19.149999999999999" customHeight="1" x14ac:dyDescent="0.3">
      <c r="A133" s="24">
        <v>132</v>
      </c>
      <c r="B133" s="10" t="s">
        <v>197</v>
      </c>
      <c r="C133" s="10" t="s">
        <v>33</v>
      </c>
      <c r="D133" s="8">
        <v>46</v>
      </c>
      <c r="E133" s="11" t="s">
        <v>264</v>
      </c>
      <c r="F133" s="11" t="s">
        <v>462</v>
      </c>
      <c r="G133" s="10" t="s">
        <v>160</v>
      </c>
      <c r="H133" s="13">
        <v>6</v>
      </c>
      <c r="I133" s="193">
        <v>577</v>
      </c>
      <c r="J133" s="177">
        <v>4</v>
      </c>
      <c r="K133" s="174" t="s">
        <v>3467</v>
      </c>
      <c r="L133" s="13">
        <v>0</v>
      </c>
      <c r="M133" s="13" t="s">
        <v>1239</v>
      </c>
      <c r="N133" s="13" t="s">
        <v>1221</v>
      </c>
      <c r="O133" s="8" t="s">
        <v>157</v>
      </c>
      <c r="P133" s="8" t="s">
        <v>158</v>
      </c>
      <c r="Q133" s="14">
        <v>39341</v>
      </c>
      <c r="R133" s="3"/>
    </row>
    <row r="134" spans="1:18" s="7" customFormat="1" ht="19.149999999999999" customHeight="1" x14ac:dyDescent="0.3">
      <c r="A134" s="8">
        <v>133</v>
      </c>
      <c r="B134" s="24" t="s">
        <v>1458</v>
      </c>
      <c r="C134" s="24" t="s">
        <v>1459</v>
      </c>
      <c r="D134" s="24">
        <v>46</v>
      </c>
      <c r="E134" s="44" t="s">
        <v>1460</v>
      </c>
      <c r="F134" s="44" t="s">
        <v>1461</v>
      </c>
      <c r="G134" s="24" t="s">
        <v>1278</v>
      </c>
      <c r="H134" s="13">
        <v>6</v>
      </c>
      <c r="I134" s="13">
        <v>556</v>
      </c>
      <c r="J134" s="62">
        <v>0</v>
      </c>
      <c r="K134" s="13" t="s">
        <v>310</v>
      </c>
      <c r="L134" s="13">
        <v>0</v>
      </c>
      <c r="M134" s="13" t="s">
        <v>1239</v>
      </c>
      <c r="N134" s="13" t="s">
        <v>1221</v>
      </c>
      <c r="O134" s="10" t="s">
        <v>151</v>
      </c>
      <c r="P134" s="8" t="s">
        <v>152</v>
      </c>
      <c r="Q134" s="14">
        <v>44456</v>
      </c>
      <c r="R134" s="24"/>
    </row>
    <row r="135" spans="1:18" s="7" customFormat="1" ht="19.149999999999999" customHeight="1" x14ac:dyDescent="0.3">
      <c r="A135" s="24">
        <v>134</v>
      </c>
      <c r="B135" s="24" t="s">
        <v>1458</v>
      </c>
      <c r="C135" s="24" t="s">
        <v>1462</v>
      </c>
      <c r="D135" s="24">
        <v>46</v>
      </c>
      <c r="E135" s="44" t="s">
        <v>1463</v>
      </c>
      <c r="F135" s="44" t="s">
        <v>1464</v>
      </c>
      <c r="G135" s="24" t="s">
        <v>1264</v>
      </c>
      <c r="H135" s="13">
        <v>8</v>
      </c>
      <c r="I135" s="13">
        <v>1528</v>
      </c>
      <c r="J135" s="24">
        <v>2</v>
      </c>
      <c r="K135" s="24" t="s">
        <v>2750</v>
      </c>
      <c r="L135" s="13">
        <v>0</v>
      </c>
      <c r="M135" s="13" t="s">
        <v>1239</v>
      </c>
      <c r="N135" s="13" t="str">
        <f>N133</f>
        <v>N</v>
      </c>
      <c r="O135" s="13" t="str">
        <f>O133</f>
        <v>1544-0070</v>
      </c>
      <c r="P135" s="13" t="str">
        <f>P133</f>
        <v>www.megabox.co.kr</v>
      </c>
      <c r="Q135" s="14">
        <v>44925</v>
      </c>
      <c r="R135" s="44" t="s">
        <v>2775</v>
      </c>
    </row>
    <row r="136" spans="1:18" s="37" customFormat="1" ht="19.149999999999999" customHeight="1" x14ac:dyDescent="0.3">
      <c r="A136" s="8">
        <v>135</v>
      </c>
      <c r="B136" s="10" t="s">
        <v>197</v>
      </c>
      <c r="C136" s="8" t="s">
        <v>33</v>
      </c>
      <c r="D136" s="8">
        <v>46</v>
      </c>
      <c r="E136" s="16" t="s">
        <v>1465</v>
      </c>
      <c r="F136" s="16" t="s">
        <v>460</v>
      </c>
      <c r="G136" s="8" t="s">
        <v>413</v>
      </c>
      <c r="H136" s="13">
        <v>6</v>
      </c>
      <c r="I136" s="96">
        <v>484</v>
      </c>
      <c r="J136" s="177">
        <v>6</v>
      </c>
      <c r="K136" s="174" t="s">
        <v>3510</v>
      </c>
      <c r="L136" s="13">
        <v>0</v>
      </c>
      <c r="M136" s="13" t="s">
        <v>1239</v>
      </c>
      <c r="N136" s="13" t="s">
        <v>1221</v>
      </c>
      <c r="O136" s="8" t="s">
        <v>155</v>
      </c>
      <c r="P136" s="8" t="s">
        <v>156</v>
      </c>
      <c r="Q136" s="14">
        <v>41517</v>
      </c>
      <c r="R136" s="30" t="s">
        <v>461</v>
      </c>
    </row>
    <row r="137" spans="1:18" s="37" customFormat="1" ht="19.149999999999999" customHeight="1" x14ac:dyDescent="0.3">
      <c r="A137" s="24">
        <v>136</v>
      </c>
      <c r="B137" s="10" t="s">
        <v>197</v>
      </c>
      <c r="C137" s="10" t="s">
        <v>464</v>
      </c>
      <c r="D137" s="8">
        <v>47</v>
      </c>
      <c r="E137" s="19" t="s">
        <v>1466</v>
      </c>
      <c r="F137" s="19" t="s">
        <v>467</v>
      </c>
      <c r="G137" s="8" t="s">
        <v>150</v>
      </c>
      <c r="H137" s="13">
        <v>10</v>
      </c>
      <c r="I137" s="96">
        <v>1458</v>
      </c>
      <c r="J137" s="62">
        <v>1</v>
      </c>
      <c r="K137" s="13" t="s">
        <v>188</v>
      </c>
      <c r="L137" s="13">
        <v>0</v>
      </c>
      <c r="M137" s="13" t="s">
        <v>1239</v>
      </c>
      <c r="N137" s="13" t="s">
        <v>1221</v>
      </c>
      <c r="O137" s="10" t="s">
        <v>151</v>
      </c>
      <c r="P137" s="8" t="s">
        <v>152</v>
      </c>
      <c r="Q137" s="14">
        <v>40764</v>
      </c>
      <c r="R137" s="36"/>
    </row>
    <row r="138" spans="1:18" s="37" customFormat="1" ht="19.149999999999999" customHeight="1" x14ac:dyDescent="0.3">
      <c r="A138" s="8">
        <v>137</v>
      </c>
      <c r="B138" s="8" t="s">
        <v>457</v>
      </c>
      <c r="C138" s="8" t="s">
        <v>464</v>
      </c>
      <c r="D138" s="8">
        <v>47</v>
      </c>
      <c r="E138" s="19" t="s">
        <v>1467</v>
      </c>
      <c r="F138" s="19" t="s">
        <v>465</v>
      </c>
      <c r="G138" s="8" t="s">
        <v>150</v>
      </c>
      <c r="H138" s="13">
        <v>4</v>
      </c>
      <c r="I138" s="96">
        <v>804</v>
      </c>
      <c r="J138" s="62">
        <v>0</v>
      </c>
      <c r="K138" s="13" t="s">
        <v>310</v>
      </c>
      <c r="L138" s="13">
        <v>0</v>
      </c>
      <c r="M138" s="13" t="s">
        <v>1239</v>
      </c>
      <c r="N138" s="13" t="s">
        <v>1221</v>
      </c>
      <c r="O138" s="10" t="s">
        <v>151</v>
      </c>
      <c r="P138" s="8" t="s">
        <v>152</v>
      </c>
      <c r="Q138" s="14">
        <v>41417</v>
      </c>
      <c r="R138" s="89" t="s">
        <v>466</v>
      </c>
    </row>
    <row r="139" spans="1:18" s="37" customFormat="1" ht="19.149999999999999" customHeight="1" x14ac:dyDescent="0.3">
      <c r="A139" s="24">
        <v>138</v>
      </c>
      <c r="B139" s="99" t="s">
        <v>1458</v>
      </c>
      <c r="C139" s="99" t="s">
        <v>3066</v>
      </c>
      <c r="D139" s="99">
        <v>48</v>
      </c>
      <c r="E139" s="30" t="s">
        <v>3063</v>
      </c>
      <c r="F139" s="30" t="s">
        <v>3064</v>
      </c>
      <c r="G139" s="99" t="s">
        <v>1263</v>
      </c>
      <c r="H139" s="88">
        <v>7</v>
      </c>
      <c r="I139" s="102">
        <v>852</v>
      </c>
      <c r="J139" s="71">
        <v>1</v>
      </c>
      <c r="K139" s="88" t="s">
        <v>1516</v>
      </c>
      <c r="L139" s="88">
        <v>0</v>
      </c>
      <c r="M139" s="88" t="s">
        <v>820</v>
      </c>
      <c r="N139" s="88" t="s">
        <v>884</v>
      </c>
      <c r="O139" s="10" t="s">
        <v>151</v>
      </c>
      <c r="P139" s="8" t="s">
        <v>152</v>
      </c>
      <c r="Q139" s="45">
        <v>45119</v>
      </c>
      <c r="R139" s="93"/>
    </row>
    <row r="140" spans="1:18" s="37" customFormat="1" ht="19.149999999999999" customHeight="1" x14ac:dyDescent="0.3">
      <c r="A140" s="8">
        <v>139</v>
      </c>
      <c r="B140" s="10" t="s">
        <v>197</v>
      </c>
      <c r="C140" s="10" t="s">
        <v>41</v>
      </c>
      <c r="D140" s="8">
        <v>48</v>
      </c>
      <c r="E140" s="11" t="s">
        <v>229</v>
      </c>
      <c r="F140" s="9" t="s">
        <v>450</v>
      </c>
      <c r="G140" s="10" t="s">
        <v>150</v>
      </c>
      <c r="H140" s="13">
        <v>9</v>
      </c>
      <c r="I140" s="96">
        <v>1644</v>
      </c>
      <c r="J140" s="62">
        <v>0</v>
      </c>
      <c r="K140" s="13" t="s">
        <v>310</v>
      </c>
      <c r="L140" s="13">
        <v>0</v>
      </c>
      <c r="M140" s="13" t="s">
        <v>1239</v>
      </c>
      <c r="N140" s="13" t="s">
        <v>1221</v>
      </c>
      <c r="O140" s="23" t="s">
        <v>155</v>
      </c>
      <c r="P140" s="8" t="s">
        <v>156</v>
      </c>
      <c r="Q140" s="14">
        <v>39346</v>
      </c>
      <c r="R140" s="11"/>
    </row>
    <row r="141" spans="1:18" s="37" customFormat="1" ht="19.149999999999999" customHeight="1" x14ac:dyDescent="0.3">
      <c r="A141" s="24">
        <v>140</v>
      </c>
      <c r="B141" s="8" t="s">
        <v>197</v>
      </c>
      <c r="C141" s="8" t="s">
        <v>41</v>
      </c>
      <c r="D141" s="8">
        <v>48</v>
      </c>
      <c r="E141" s="16" t="s">
        <v>448</v>
      </c>
      <c r="F141" s="16" t="s">
        <v>449</v>
      </c>
      <c r="G141" s="8" t="s">
        <v>318</v>
      </c>
      <c r="H141" s="13">
        <v>7</v>
      </c>
      <c r="I141" s="193">
        <v>1280</v>
      </c>
      <c r="J141" s="62">
        <v>1</v>
      </c>
      <c r="K141" s="13" t="s">
        <v>1073</v>
      </c>
      <c r="L141" s="13">
        <v>0</v>
      </c>
      <c r="M141" s="13" t="s">
        <v>1239</v>
      </c>
      <c r="N141" s="13" t="s">
        <v>1221</v>
      </c>
      <c r="O141" s="8" t="s">
        <v>155</v>
      </c>
      <c r="P141" s="8" t="s">
        <v>156</v>
      </c>
      <c r="Q141" s="14">
        <v>42355</v>
      </c>
      <c r="R141" s="19"/>
    </row>
    <row r="142" spans="1:18" s="37" customFormat="1" ht="19.149999999999999" customHeight="1" x14ac:dyDescent="0.3">
      <c r="A142" s="8">
        <v>141</v>
      </c>
      <c r="B142" s="8" t="s">
        <v>197</v>
      </c>
      <c r="C142" s="8" t="s">
        <v>41</v>
      </c>
      <c r="D142" s="8">
        <v>48</v>
      </c>
      <c r="E142" s="19" t="s">
        <v>1468</v>
      </c>
      <c r="F142" s="32" t="s">
        <v>447</v>
      </c>
      <c r="G142" s="8" t="s">
        <v>150</v>
      </c>
      <c r="H142" s="13">
        <v>6</v>
      </c>
      <c r="I142" s="96">
        <v>1042</v>
      </c>
      <c r="J142" s="62">
        <v>1</v>
      </c>
      <c r="K142" s="13" t="s">
        <v>195</v>
      </c>
      <c r="L142" s="13">
        <v>0</v>
      </c>
      <c r="M142" s="13" t="s">
        <v>1239</v>
      </c>
      <c r="N142" s="13" t="s">
        <v>1221</v>
      </c>
      <c r="O142" s="10" t="s">
        <v>151</v>
      </c>
      <c r="P142" s="8" t="s">
        <v>152</v>
      </c>
      <c r="Q142" s="14">
        <v>42703</v>
      </c>
      <c r="R142" s="19"/>
    </row>
    <row r="143" spans="1:18" s="7" customFormat="1" ht="19.149999999999999" customHeight="1" x14ac:dyDescent="0.3">
      <c r="A143" s="24">
        <v>142</v>
      </c>
      <c r="B143" s="10" t="s">
        <v>1458</v>
      </c>
      <c r="C143" s="10" t="s">
        <v>1469</v>
      </c>
      <c r="D143" s="8">
        <v>49</v>
      </c>
      <c r="E143" s="11" t="s">
        <v>1470</v>
      </c>
      <c r="F143" s="9" t="s">
        <v>1472</v>
      </c>
      <c r="G143" s="10" t="s">
        <v>1278</v>
      </c>
      <c r="H143" s="13">
        <v>6</v>
      </c>
      <c r="I143" s="96">
        <v>734</v>
      </c>
      <c r="J143" s="177">
        <v>2</v>
      </c>
      <c r="K143" s="174" t="s">
        <v>1279</v>
      </c>
      <c r="L143" s="13">
        <v>0</v>
      </c>
      <c r="M143" s="13" t="s">
        <v>1239</v>
      </c>
      <c r="N143" s="13" t="s">
        <v>1221</v>
      </c>
      <c r="O143" s="23" t="s">
        <v>155</v>
      </c>
      <c r="P143" s="8" t="s">
        <v>156</v>
      </c>
      <c r="Q143" s="14">
        <v>43628</v>
      </c>
      <c r="R143" s="11"/>
    </row>
    <row r="144" spans="1:18" s="22" customFormat="1" ht="19.149999999999999" customHeight="1" x14ac:dyDescent="0.3">
      <c r="A144" s="8">
        <v>143</v>
      </c>
      <c r="B144" s="10" t="s">
        <v>194</v>
      </c>
      <c r="C144" s="10" t="s">
        <v>4</v>
      </c>
      <c r="D144" s="8">
        <v>50</v>
      </c>
      <c r="E144" s="11" t="s">
        <v>498</v>
      </c>
      <c r="F144" s="11" t="s">
        <v>1473</v>
      </c>
      <c r="G144" s="10" t="s">
        <v>310</v>
      </c>
      <c r="H144" s="13">
        <v>5</v>
      </c>
      <c r="I144" s="96">
        <v>809</v>
      </c>
      <c r="J144" s="62">
        <v>0</v>
      </c>
      <c r="K144" s="13" t="s">
        <v>310</v>
      </c>
      <c r="L144" s="13">
        <v>0</v>
      </c>
      <c r="M144" s="13" t="s">
        <v>1239</v>
      </c>
      <c r="N144" s="13" t="s">
        <v>1221</v>
      </c>
      <c r="O144" s="10" t="s">
        <v>295</v>
      </c>
      <c r="P144" s="8" t="s">
        <v>499</v>
      </c>
      <c r="Q144" s="14">
        <v>38002</v>
      </c>
      <c r="R144" s="3"/>
    </row>
    <row r="145" spans="1:18" s="7" customFormat="1" ht="19.149999999999999" customHeight="1" x14ac:dyDescent="0.3">
      <c r="A145" s="24">
        <v>144</v>
      </c>
      <c r="B145" s="8" t="s">
        <v>194</v>
      </c>
      <c r="C145" s="8" t="s">
        <v>4</v>
      </c>
      <c r="D145" s="8">
        <v>50</v>
      </c>
      <c r="E145" s="16" t="s">
        <v>274</v>
      </c>
      <c r="F145" s="16" t="s">
        <v>497</v>
      </c>
      <c r="G145" s="8" t="s">
        <v>160</v>
      </c>
      <c r="H145" s="13">
        <v>6</v>
      </c>
      <c r="I145" s="96">
        <v>677</v>
      </c>
      <c r="J145" s="62">
        <v>0</v>
      </c>
      <c r="K145" s="13" t="s">
        <v>310</v>
      </c>
      <c r="L145" s="13">
        <v>0</v>
      </c>
      <c r="M145" s="13" t="s">
        <v>1239</v>
      </c>
      <c r="N145" s="13" t="s">
        <v>1221</v>
      </c>
      <c r="O145" s="8" t="s">
        <v>157</v>
      </c>
      <c r="P145" s="8" t="s">
        <v>158</v>
      </c>
      <c r="Q145" s="14">
        <v>43391</v>
      </c>
      <c r="R145" s="19"/>
    </row>
    <row r="146" spans="1:18" s="21" customFormat="1" ht="19.149999999999999" customHeight="1" x14ac:dyDescent="0.3">
      <c r="A146" s="8">
        <v>145</v>
      </c>
      <c r="B146" s="8" t="s">
        <v>1474</v>
      </c>
      <c r="C146" s="8" t="s">
        <v>1476</v>
      </c>
      <c r="D146" s="8">
        <v>50</v>
      </c>
      <c r="E146" s="16" t="s">
        <v>1477</v>
      </c>
      <c r="F146" s="16" t="s">
        <v>1478</v>
      </c>
      <c r="G146" s="8" t="s">
        <v>1278</v>
      </c>
      <c r="H146" s="13">
        <v>3</v>
      </c>
      <c r="I146" s="96">
        <v>270</v>
      </c>
      <c r="J146" s="62">
        <v>0</v>
      </c>
      <c r="K146" s="13" t="s">
        <v>1239</v>
      </c>
      <c r="L146" s="13">
        <v>0</v>
      </c>
      <c r="M146" s="13" t="s">
        <v>1239</v>
      </c>
      <c r="N146" s="13" t="s">
        <v>1221</v>
      </c>
      <c r="O146" s="23" t="s">
        <v>155</v>
      </c>
      <c r="P146" s="8" t="s">
        <v>156</v>
      </c>
      <c r="Q146" s="14">
        <v>43670</v>
      </c>
      <c r="R146" s="19"/>
    </row>
    <row r="147" spans="1:18" s="21" customFormat="1" ht="19.149999999999999" customHeight="1" x14ac:dyDescent="0.3">
      <c r="A147" s="24">
        <v>146</v>
      </c>
      <c r="B147" s="8" t="s">
        <v>1479</v>
      </c>
      <c r="C147" s="8" t="s">
        <v>1480</v>
      </c>
      <c r="D147" s="8">
        <v>51</v>
      </c>
      <c r="E147" s="19" t="s">
        <v>1481</v>
      </c>
      <c r="F147" s="19" t="s">
        <v>1482</v>
      </c>
      <c r="G147" s="8" t="s">
        <v>1228</v>
      </c>
      <c r="H147" s="13">
        <v>1</v>
      </c>
      <c r="I147" s="96">
        <v>253</v>
      </c>
      <c r="J147" s="62">
        <v>0</v>
      </c>
      <c r="K147" s="13" t="s">
        <v>1228</v>
      </c>
      <c r="L147" s="13">
        <v>1</v>
      </c>
      <c r="M147" s="13" t="s">
        <v>1234</v>
      </c>
      <c r="N147" s="13" t="s">
        <v>1221</v>
      </c>
      <c r="O147" s="10" t="s">
        <v>1483</v>
      </c>
      <c r="P147" s="8" t="s">
        <v>834</v>
      </c>
      <c r="Q147" s="14">
        <v>41549</v>
      </c>
      <c r="R147" s="19" t="s">
        <v>1484</v>
      </c>
    </row>
    <row r="148" spans="1:18" s="7" customFormat="1" ht="19.149999999999999" customHeight="1" x14ac:dyDescent="0.3">
      <c r="A148" s="8">
        <v>147</v>
      </c>
      <c r="B148" s="63" t="s">
        <v>1474</v>
      </c>
      <c r="C148" s="63" t="s">
        <v>1485</v>
      </c>
      <c r="D148" s="99">
        <v>52</v>
      </c>
      <c r="E148" s="3" t="s">
        <v>3082</v>
      </c>
      <c r="F148" s="3" t="s">
        <v>3084</v>
      </c>
      <c r="G148" s="63" t="s">
        <v>1277</v>
      </c>
      <c r="H148" s="88">
        <v>5</v>
      </c>
      <c r="I148" s="102">
        <v>373</v>
      </c>
      <c r="J148" s="71">
        <v>0</v>
      </c>
      <c r="K148" s="88" t="s">
        <v>820</v>
      </c>
      <c r="L148" s="88">
        <v>0</v>
      </c>
      <c r="M148" s="88" t="s">
        <v>820</v>
      </c>
      <c r="N148" s="88" t="s">
        <v>884</v>
      </c>
      <c r="O148" s="10" t="s">
        <v>151</v>
      </c>
      <c r="P148" s="8" t="s">
        <v>152</v>
      </c>
      <c r="Q148" s="45">
        <v>44946</v>
      </c>
      <c r="R148" s="30"/>
    </row>
    <row r="149" spans="1:18" s="7" customFormat="1" ht="19.149999999999999" customHeight="1" x14ac:dyDescent="0.3">
      <c r="A149" s="24">
        <v>148</v>
      </c>
      <c r="B149" s="10" t="s">
        <v>1474</v>
      </c>
      <c r="C149" s="10" t="s">
        <v>1485</v>
      </c>
      <c r="D149" s="8">
        <v>52</v>
      </c>
      <c r="E149" s="11" t="s">
        <v>1486</v>
      </c>
      <c r="F149" s="11" t="s">
        <v>1487</v>
      </c>
      <c r="G149" s="10" t="s">
        <v>1264</v>
      </c>
      <c r="H149" s="13">
        <v>6</v>
      </c>
      <c r="I149" s="96">
        <v>1012</v>
      </c>
      <c r="J149" s="62">
        <v>0</v>
      </c>
      <c r="K149" s="13" t="s">
        <v>1239</v>
      </c>
      <c r="L149" s="13">
        <v>0</v>
      </c>
      <c r="M149" s="13" t="s">
        <v>1239</v>
      </c>
      <c r="N149" s="13" t="s">
        <v>1221</v>
      </c>
      <c r="O149" s="10" t="s">
        <v>151</v>
      </c>
      <c r="P149" s="8" t="s">
        <v>152</v>
      </c>
      <c r="Q149" s="14">
        <v>44022</v>
      </c>
      <c r="R149" s="25"/>
    </row>
    <row r="150" spans="1:18" s="7" customFormat="1" ht="19.149999999999999" customHeight="1" x14ac:dyDescent="0.3">
      <c r="A150" s="8">
        <v>149</v>
      </c>
      <c r="B150" s="10" t="s">
        <v>194</v>
      </c>
      <c r="C150" s="10" t="s">
        <v>1485</v>
      </c>
      <c r="D150" s="8">
        <v>52</v>
      </c>
      <c r="E150" s="11" t="s">
        <v>476</v>
      </c>
      <c r="F150" s="11" t="s">
        <v>1488</v>
      </c>
      <c r="G150" s="10" t="s">
        <v>310</v>
      </c>
      <c r="H150" s="13">
        <v>4</v>
      </c>
      <c r="I150" s="96">
        <v>496</v>
      </c>
      <c r="J150" s="62">
        <v>0</v>
      </c>
      <c r="K150" s="13" t="s">
        <v>310</v>
      </c>
      <c r="L150" s="13">
        <v>4</v>
      </c>
      <c r="M150" s="13" t="s">
        <v>1489</v>
      </c>
      <c r="N150" s="13" t="s">
        <v>1221</v>
      </c>
      <c r="O150" s="10" t="s">
        <v>297</v>
      </c>
      <c r="P150" s="8" t="s">
        <v>477</v>
      </c>
      <c r="Q150" s="14">
        <v>39203</v>
      </c>
      <c r="R150" s="91" t="s">
        <v>1490</v>
      </c>
    </row>
    <row r="151" spans="1:18" s="7" customFormat="1" ht="19.149999999999999" customHeight="1" x14ac:dyDescent="0.3">
      <c r="A151" s="24">
        <v>150</v>
      </c>
      <c r="B151" s="24" t="s">
        <v>1474</v>
      </c>
      <c r="C151" s="24" t="s">
        <v>1491</v>
      </c>
      <c r="D151" s="24">
        <v>52</v>
      </c>
      <c r="E151" s="44" t="s">
        <v>1492</v>
      </c>
      <c r="F151" s="44" t="s">
        <v>1493</v>
      </c>
      <c r="G151" s="24" t="s">
        <v>1278</v>
      </c>
      <c r="H151" s="13">
        <v>6</v>
      </c>
      <c r="I151" s="13">
        <v>536</v>
      </c>
      <c r="J151" s="24">
        <v>0</v>
      </c>
      <c r="K151" s="13" t="s">
        <v>310</v>
      </c>
      <c r="L151" s="13">
        <v>0</v>
      </c>
      <c r="M151" s="13" t="s">
        <v>1239</v>
      </c>
      <c r="N151" s="13" t="s">
        <v>1221</v>
      </c>
      <c r="O151" s="10" t="s">
        <v>151</v>
      </c>
      <c r="P151" s="8" t="s">
        <v>152</v>
      </c>
      <c r="Q151" s="14">
        <v>44371</v>
      </c>
      <c r="R151" s="24"/>
    </row>
    <row r="152" spans="1:18" s="21" customFormat="1" ht="19.149999999999999" customHeight="1" x14ac:dyDescent="0.3">
      <c r="A152" s="8">
        <v>151</v>
      </c>
      <c r="B152" s="8" t="s">
        <v>194</v>
      </c>
      <c r="C152" s="8" t="s">
        <v>1485</v>
      </c>
      <c r="D152" s="8">
        <v>52</v>
      </c>
      <c r="E152" s="19" t="s">
        <v>244</v>
      </c>
      <c r="F152" s="19" t="s">
        <v>1494</v>
      </c>
      <c r="G152" s="8" t="s">
        <v>150</v>
      </c>
      <c r="H152" s="13">
        <v>4</v>
      </c>
      <c r="I152" s="96">
        <v>538</v>
      </c>
      <c r="J152" s="62">
        <v>0</v>
      </c>
      <c r="K152" s="13" t="s">
        <v>310</v>
      </c>
      <c r="L152" s="13">
        <v>0</v>
      </c>
      <c r="M152" s="13" t="s">
        <v>1239</v>
      </c>
      <c r="N152" s="13" t="s">
        <v>1221</v>
      </c>
      <c r="O152" s="23" t="s">
        <v>155</v>
      </c>
      <c r="P152" s="8" t="s">
        <v>156</v>
      </c>
      <c r="Q152" s="14">
        <v>43064</v>
      </c>
      <c r="R152" s="30" t="s">
        <v>475</v>
      </c>
    </row>
    <row r="153" spans="1:18" s="21" customFormat="1" ht="19.149999999999999" customHeight="1" x14ac:dyDescent="0.3">
      <c r="A153" s="24">
        <v>152</v>
      </c>
      <c r="B153" s="8" t="s">
        <v>194</v>
      </c>
      <c r="C153" s="8" t="s">
        <v>1485</v>
      </c>
      <c r="D153" s="8">
        <v>52</v>
      </c>
      <c r="E153" s="19" t="s">
        <v>1495</v>
      </c>
      <c r="F153" s="19" t="s">
        <v>1496</v>
      </c>
      <c r="G153" s="8" t="s">
        <v>1278</v>
      </c>
      <c r="H153" s="13">
        <v>9</v>
      </c>
      <c r="I153" s="96">
        <v>1004</v>
      </c>
      <c r="J153" s="62">
        <v>0</v>
      </c>
      <c r="K153" s="13" t="s">
        <v>310</v>
      </c>
      <c r="L153" s="13">
        <v>0</v>
      </c>
      <c r="M153" s="13" t="s">
        <v>1239</v>
      </c>
      <c r="N153" s="13" t="s">
        <v>1221</v>
      </c>
      <c r="O153" s="10" t="s">
        <v>151</v>
      </c>
      <c r="P153" s="8" t="s">
        <v>152</v>
      </c>
      <c r="Q153" s="14">
        <v>38414</v>
      </c>
      <c r="R153" s="30" t="s">
        <v>1497</v>
      </c>
    </row>
    <row r="154" spans="1:18" s="21" customFormat="1" ht="19.149999999999999" customHeight="1" x14ac:dyDescent="0.3">
      <c r="A154" s="8">
        <v>153</v>
      </c>
      <c r="B154" s="8" t="s">
        <v>1474</v>
      </c>
      <c r="C154" s="8" t="s">
        <v>1498</v>
      </c>
      <c r="D154" s="8">
        <v>53</v>
      </c>
      <c r="E154" s="30" t="s">
        <v>1499</v>
      </c>
      <c r="F154" s="19" t="s">
        <v>493</v>
      </c>
      <c r="G154" s="8" t="s">
        <v>150</v>
      </c>
      <c r="H154" s="62">
        <v>9</v>
      </c>
      <c r="I154" s="96">
        <v>1498</v>
      </c>
      <c r="J154" s="62">
        <v>0</v>
      </c>
      <c r="K154" s="13" t="s">
        <v>310</v>
      </c>
      <c r="L154" s="13">
        <v>0</v>
      </c>
      <c r="M154" s="13" t="s">
        <v>1239</v>
      </c>
      <c r="N154" s="13" t="s">
        <v>1221</v>
      </c>
      <c r="O154" s="10" t="s">
        <v>151</v>
      </c>
      <c r="P154" s="8" t="s">
        <v>152</v>
      </c>
      <c r="Q154" s="14">
        <v>42930</v>
      </c>
      <c r="R154" s="30" t="s">
        <v>1500</v>
      </c>
    </row>
    <row r="155" spans="1:18" s="37" customFormat="1" ht="19.149999999999999" customHeight="1" x14ac:dyDescent="0.3">
      <c r="A155" s="24">
        <v>154</v>
      </c>
      <c r="B155" s="8" t="s">
        <v>194</v>
      </c>
      <c r="C155" s="8" t="s">
        <v>43</v>
      </c>
      <c r="D155" s="8">
        <v>53</v>
      </c>
      <c r="E155" s="16" t="s">
        <v>495</v>
      </c>
      <c r="F155" s="16" t="s">
        <v>496</v>
      </c>
      <c r="G155" s="8" t="s">
        <v>150</v>
      </c>
      <c r="H155" s="13">
        <v>8</v>
      </c>
      <c r="I155" s="96">
        <v>1542</v>
      </c>
      <c r="J155" s="62">
        <v>2</v>
      </c>
      <c r="K155" s="174" t="s">
        <v>3202</v>
      </c>
      <c r="L155" s="13">
        <v>0</v>
      </c>
      <c r="M155" s="13" t="s">
        <v>1239</v>
      </c>
      <c r="N155" s="13" t="s">
        <v>1221</v>
      </c>
      <c r="O155" s="8" t="s">
        <v>157</v>
      </c>
      <c r="P155" s="8" t="s">
        <v>158</v>
      </c>
      <c r="Q155" s="14">
        <v>42853</v>
      </c>
      <c r="R155" s="19"/>
    </row>
    <row r="156" spans="1:18" s="7" customFormat="1" ht="19.149999999999999" customHeight="1" x14ac:dyDescent="0.3">
      <c r="A156" s="8">
        <v>155</v>
      </c>
      <c r="B156" s="8" t="s">
        <v>194</v>
      </c>
      <c r="C156" s="8" t="s">
        <v>43</v>
      </c>
      <c r="D156" s="8">
        <v>53</v>
      </c>
      <c r="E156" s="19" t="s">
        <v>1501</v>
      </c>
      <c r="F156" s="19" t="s">
        <v>494</v>
      </c>
      <c r="G156" s="8" t="s">
        <v>150</v>
      </c>
      <c r="H156" s="13">
        <v>6</v>
      </c>
      <c r="I156" s="96">
        <v>1213</v>
      </c>
      <c r="J156" s="62">
        <v>0</v>
      </c>
      <c r="K156" s="13" t="s">
        <v>310</v>
      </c>
      <c r="L156" s="13">
        <v>0</v>
      </c>
      <c r="M156" s="13" t="s">
        <v>1239</v>
      </c>
      <c r="N156" s="13" t="s">
        <v>1221</v>
      </c>
      <c r="O156" s="10" t="s">
        <v>151</v>
      </c>
      <c r="P156" s="8" t="s">
        <v>152</v>
      </c>
      <c r="Q156" s="14">
        <v>41187</v>
      </c>
      <c r="R156" s="19"/>
    </row>
    <row r="157" spans="1:18" s="7" customFormat="1" ht="19.149999999999999" customHeight="1" x14ac:dyDescent="0.3">
      <c r="A157" s="24">
        <v>156</v>
      </c>
      <c r="B157" s="8" t="s">
        <v>1474</v>
      </c>
      <c r="C157" s="8" t="s">
        <v>1498</v>
      </c>
      <c r="D157" s="8">
        <v>53</v>
      </c>
      <c r="E157" s="16" t="s">
        <v>1502</v>
      </c>
      <c r="F157" s="16" t="s">
        <v>1503</v>
      </c>
      <c r="G157" s="8" t="s">
        <v>1278</v>
      </c>
      <c r="H157" s="13">
        <v>7</v>
      </c>
      <c r="I157" s="102">
        <v>694</v>
      </c>
      <c r="J157" s="62">
        <v>0</v>
      </c>
      <c r="K157" s="13" t="s">
        <v>310</v>
      </c>
      <c r="L157" s="13">
        <v>0</v>
      </c>
      <c r="M157" s="13" t="s">
        <v>1239</v>
      </c>
      <c r="N157" s="13" t="s">
        <v>1221</v>
      </c>
      <c r="O157" s="10" t="s">
        <v>151</v>
      </c>
      <c r="P157" s="8" t="s">
        <v>152</v>
      </c>
      <c r="Q157" s="14">
        <v>44168</v>
      </c>
      <c r="R157" s="19" t="s">
        <v>1504</v>
      </c>
    </row>
    <row r="158" spans="1:18" s="7" customFormat="1" ht="19.149999999999999" customHeight="1" x14ac:dyDescent="0.3">
      <c r="A158" s="8">
        <v>157</v>
      </c>
      <c r="B158" s="10" t="s">
        <v>194</v>
      </c>
      <c r="C158" s="10" t="s">
        <v>480</v>
      </c>
      <c r="D158" s="8">
        <v>54</v>
      </c>
      <c r="E158" s="11" t="s">
        <v>481</v>
      </c>
      <c r="F158" s="11" t="s">
        <v>482</v>
      </c>
      <c r="G158" s="10" t="s">
        <v>160</v>
      </c>
      <c r="H158" s="13">
        <v>8</v>
      </c>
      <c r="I158" s="96">
        <v>1189</v>
      </c>
      <c r="J158" s="62">
        <v>1</v>
      </c>
      <c r="K158" s="13" t="s">
        <v>369</v>
      </c>
      <c r="L158" s="13">
        <v>0</v>
      </c>
      <c r="M158" s="13" t="s">
        <v>1239</v>
      </c>
      <c r="N158" s="13" t="s">
        <v>1221</v>
      </c>
      <c r="O158" s="8" t="s">
        <v>157</v>
      </c>
      <c r="P158" s="8" t="s">
        <v>158</v>
      </c>
      <c r="Q158" s="14">
        <v>42285</v>
      </c>
      <c r="R158" s="3"/>
    </row>
    <row r="159" spans="1:18" s="7" customFormat="1" ht="19.149999999999999" customHeight="1" x14ac:dyDescent="0.3">
      <c r="A159" s="24">
        <v>158</v>
      </c>
      <c r="B159" s="8" t="s">
        <v>194</v>
      </c>
      <c r="C159" s="8" t="s">
        <v>44</v>
      </c>
      <c r="D159" s="8">
        <v>54</v>
      </c>
      <c r="E159" s="19" t="s">
        <v>1505</v>
      </c>
      <c r="F159" s="19" t="s">
        <v>479</v>
      </c>
      <c r="G159" s="172" t="s">
        <v>3518</v>
      </c>
      <c r="H159" s="13">
        <v>5</v>
      </c>
      <c r="I159" s="500">
        <v>477</v>
      </c>
      <c r="J159" s="62">
        <v>0</v>
      </c>
      <c r="K159" s="13" t="s">
        <v>310</v>
      </c>
      <c r="L159" s="13">
        <v>0</v>
      </c>
      <c r="M159" s="13" t="s">
        <v>1239</v>
      </c>
      <c r="N159" s="13" t="s">
        <v>1221</v>
      </c>
      <c r="O159" s="10" t="s">
        <v>151</v>
      </c>
      <c r="P159" s="8" t="s">
        <v>152</v>
      </c>
      <c r="Q159" s="14">
        <v>40438</v>
      </c>
      <c r="R159" s="114" t="s">
        <v>3519</v>
      </c>
    </row>
    <row r="160" spans="1:18" s="7" customFormat="1" ht="19.149999999999999" customHeight="1" x14ac:dyDescent="0.3">
      <c r="A160" s="8">
        <v>159</v>
      </c>
      <c r="B160" s="8" t="s">
        <v>194</v>
      </c>
      <c r="C160" s="8" t="s">
        <v>44</v>
      </c>
      <c r="D160" s="8">
        <v>54</v>
      </c>
      <c r="E160" s="19" t="s">
        <v>1506</v>
      </c>
      <c r="F160" s="19" t="s">
        <v>1104</v>
      </c>
      <c r="G160" s="8" t="s">
        <v>150</v>
      </c>
      <c r="H160" s="13">
        <v>14</v>
      </c>
      <c r="I160" s="500">
        <v>2788</v>
      </c>
      <c r="J160" s="62">
        <v>3</v>
      </c>
      <c r="K160" s="13" t="s">
        <v>1171</v>
      </c>
      <c r="L160" s="13">
        <v>1</v>
      </c>
      <c r="M160" s="13" t="s">
        <v>394</v>
      </c>
      <c r="N160" s="13" t="s">
        <v>1221</v>
      </c>
      <c r="O160" s="10" t="s">
        <v>151</v>
      </c>
      <c r="P160" s="8" t="s">
        <v>152</v>
      </c>
      <c r="Q160" s="14">
        <v>36512</v>
      </c>
      <c r="R160" s="19" t="s">
        <v>1507</v>
      </c>
    </row>
    <row r="161" spans="1:18" s="7" customFormat="1" ht="19.149999999999999" customHeight="1" x14ac:dyDescent="0.3">
      <c r="A161" s="24">
        <v>160</v>
      </c>
      <c r="B161" s="8" t="s">
        <v>484</v>
      </c>
      <c r="C161" s="8" t="s">
        <v>45</v>
      </c>
      <c r="D161" s="8">
        <v>55</v>
      </c>
      <c r="E161" s="16" t="s">
        <v>401</v>
      </c>
      <c r="F161" s="19" t="s">
        <v>1508</v>
      </c>
      <c r="G161" s="8" t="s">
        <v>310</v>
      </c>
      <c r="H161" s="13">
        <v>2</v>
      </c>
      <c r="I161" s="96">
        <v>245</v>
      </c>
      <c r="J161" s="62">
        <v>0</v>
      </c>
      <c r="K161" s="13" t="s">
        <v>310</v>
      </c>
      <c r="L161" s="13">
        <v>0</v>
      </c>
      <c r="M161" s="13" t="s">
        <v>1239</v>
      </c>
      <c r="N161" s="13" t="s">
        <v>1221</v>
      </c>
      <c r="O161" s="8" t="s">
        <v>1509</v>
      </c>
      <c r="P161" s="10" t="s">
        <v>1510</v>
      </c>
      <c r="Q161" s="14">
        <v>26846</v>
      </c>
      <c r="R161" s="11"/>
    </row>
    <row r="162" spans="1:18" s="7" customFormat="1" ht="19.149999999999999" customHeight="1" x14ac:dyDescent="0.3">
      <c r="A162" s="8">
        <v>161</v>
      </c>
      <c r="B162" s="8" t="s">
        <v>194</v>
      </c>
      <c r="C162" s="8" t="s">
        <v>45</v>
      </c>
      <c r="D162" s="8">
        <v>55</v>
      </c>
      <c r="E162" s="16" t="s">
        <v>224</v>
      </c>
      <c r="F162" s="16" t="s">
        <v>486</v>
      </c>
      <c r="G162" s="8" t="s">
        <v>150</v>
      </c>
      <c r="H162" s="13">
        <v>9</v>
      </c>
      <c r="I162" s="96">
        <v>1290</v>
      </c>
      <c r="J162" s="62">
        <v>0</v>
      </c>
      <c r="K162" s="13" t="s">
        <v>310</v>
      </c>
      <c r="L162" s="13">
        <v>0</v>
      </c>
      <c r="M162" s="13" t="s">
        <v>1239</v>
      </c>
      <c r="N162" s="13" t="s">
        <v>1221</v>
      </c>
      <c r="O162" s="8" t="s">
        <v>155</v>
      </c>
      <c r="P162" s="8" t="s">
        <v>156</v>
      </c>
      <c r="Q162" s="14">
        <v>39695</v>
      </c>
      <c r="R162" s="19"/>
    </row>
    <row r="163" spans="1:18" s="7" customFormat="1" ht="19.149999999999999" customHeight="1" x14ac:dyDescent="0.3">
      <c r="A163" s="24">
        <v>162</v>
      </c>
      <c r="B163" s="8" t="s">
        <v>194</v>
      </c>
      <c r="C163" s="8" t="s">
        <v>45</v>
      </c>
      <c r="D163" s="8">
        <v>55</v>
      </c>
      <c r="E163" s="16" t="s">
        <v>223</v>
      </c>
      <c r="F163" s="16" t="s">
        <v>485</v>
      </c>
      <c r="G163" s="8" t="s">
        <v>150</v>
      </c>
      <c r="H163" s="13">
        <v>9</v>
      </c>
      <c r="I163" s="96">
        <v>1523</v>
      </c>
      <c r="J163" s="62">
        <v>0</v>
      </c>
      <c r="K163" s="13" t="s">
        <v>1239</v>
      </c>
      <c r="L163" s="13">
        <v>1</v>
      </c>
      <c r="M163" s="13" t="s">
        <v>1303</v>
      </c>
      <c r="N163" s="13" t="s">
        <v>1221</v>
      </c>
      <c r="O163" s="23" t="s">
        <v>155</v>
      </c>
      <c r="P163" s="8" t="s">
        <v>156</v>
      </c>
      <c r="Q163" s="14">
        <v>38777</v>
      </c>
      <c r="R163" s="19"/>
    </row>
    <row r="164" spans="1:18" s="7" customFormat="1" ht="19.149999999999999" customHeight="1" x14ac:dyDescent="0.3">
      <c r="A164" s="8">
        <v>163</v>
      </c>
      <c r="B164" s="8" t="s">
        <v>194</v>
      </c>
      <c r="C164" s="8" t="s">
        <v>45</v>
      </c>
      <c r="D164" s="8">
        <v>55</v>
      </c>
      <c r="E164" s="19" t="s">
        <v>1511</v>
      </c>
      <c r="F164" s="19" t="s">
        <v>483</v>
      </c>
      <c r="G164" s="8" t="s">
        <v>160</v>
      </c>
      <c r="H164" s="13">
        <v>10</v>
      </c>
      <c r="I164" s="96">
        <v>1552</v>
      </c>
      <c r="J164" s="62">
        <v>0</v>
      </c>
      <c r="K164" s="13" t="s">
        <v>310</v>
      </c>
      <c r="L164" s="13">
        <v>0</v>
      </c>
      <c r="M164" s="13" t="s">
        <v>1239</v>
      </c>
      <c r="N164" s="13" t="s">
        <v>1216</v>
      </c>
      <c r="O164" s="10" t="s">
        <v>151</v>
      </c>
      <c r="P164" s="8" t="s">
        <v>152</v>
      </c>
      <c r="Q164" s="14">
        <v>38157</v>
      </c>
      <c r="R164" s="19"/>
    </row>
    <row r="165" spans="1:18" s="7" customFormat="1" ht="19.149999999999999" customHeight="1" x14ac:dyDescent="0.3">
      <c r="A165" s="24">
        <v>164</v>
      </c>
      <c r="B165" s="8" t="s">
        <v>1474</v>
      </c>
      <c r="C165" s="8" t="s">
        <v>1512</v>
      </c>
      <c r="D165" s="8">
        <v>55</v>
      </c>
      <c r="E165" s="16" t="s">
        <v>1513</v>
      </c>
      <c r="F165" s="16" t="s">
        <v>1514</v>
      </c>
      <c r="G165" s="8" t="s">
        <v>1264</v>
      </c>
      <c r="H165" s="13">
        <v>7</v>
      </c>
      <c r="I165" s="96">
        <v>1034</v>
      </c>
      <c r="J165" s="62">
        <v>2</v>
      </c>
      <c r="K165" s="13" t="s">
        <v>1279</v>
      </c>
      <c r="L165" s="13">
        <v>0</v>
      </c>
      <c r="M165" s="13" t="s">
        <v>1239</v>
      </c>
      <c r="N165" s="13" t="s">
        <v>1221</v>
      </c>
      <c r="O165" s="23" t="s">
        <v>155</v>
      </c>
      <c r="P165" s="8" t="s">
        <v>156</v>
      </c>
      <c r="Q165" s="14">
        <v>44681</v>
      </c>
      <c r="R165" s="19"/>
    </row>
    <row r="166" spans="1:18" s="7" customFormat="1" ht="19.149999999999999" customHeight="1" x14ac:dyDescent="0.3">
      <c r="A166" s="8">
        <v>165</v>
      </c>
      <c r="B166" s="10" t="s">
        <v>194</v>
      </c>
      <c r="C166" s="10" t="s">
        <v>46</v>
      </c>
      <c r="D166" s="8">
        <v>56</v>
      </c>
      <c r="E166" s="11" t="s">
        <v>1515</v>
      </c>
      <c r="F166" s="11" t="s">
        <v>1105</v>
      </c>
      <c r="G166" s="10" t="s">
        <v>150</v>
      </c>
      <c r="H166" s="13">
        <v>8</v>
      </c>
      <c r="I166" s="96">
        <v>1257</v>
      </c>
      <c r="J166" s="62">
        <v>1</v>
      </c>
      <c r="K166" s="13" t="s">
        <v>1516</v>
      </c>
      <c r="L166" s="13">
        <v>0</v>
      </c>
      <c r="M166" s="13" t="s">
        <v>1239</v>
      </c>
      <c r="N166" s="13" t="s">
        <v>1221</v>
      </c>
      <c r="O166" s="10" t="s">
        <v>151</v>
      </c>
      <c r="P166" s="8" t="s">
        <v>152</v>
      </c>
      <c r="Q166" s="14">
        <v>38985</v>
      </c>
      <c r="R166" s="11"/>
    </row>
    <row r="167" spans="1:18" s="7" customFormat="1" ht="19.149999999999999" customHeight="1" x14ac:dyDescent="0.3">
      <c r="A167" s="24">
        <v>166</v>
      </c>
      <c r="B167" s="99" t="s">
        <v>1474</v>
      </c>
      <c r="C167" s="99" t="s">
        <v>1554</v>
      </c>
      <c r="D167" s="99">
        <v>57</v>
      </c>
      <c r="E167" s="56" t="s">
        <v>3093</v>
      </c>
      <c r="F167" s="56" t="s">
        <v>3095</v>
      </c>
      <c r="G167" s="99" t="s">
        <v>1263</v>
      </c>
      <c r="H167" s="88">
        <v>4</v>
      </c>
      <c r="I167" s="102">
        <v>515</v>
      </c>
      <c r="J167" s="71">
        <v>0</v>
      </c>
      <c r="K167" s="88" t="s">
        <v>820</v>
      </c>
      <c r="L167" s="88">
        <v>0</v>
      </c>
      <c r="M167" s="88" t="s">
        <v>820</v>
      </c>
      <c r="N167" s="88" t="s">
        <v>884</v>
      </c>
      <c r="O167" s="10" t="s">
        <v>151</v>
      </c>
      <c r="P167" s="8" t="s">
        <v>152</v>
      </c>
      <c r="Q167" s="45">
        <v>45044</v>
      </c>
      <c r="R167" s="30"/>
    </row>
    <row r="168" spans="1:18" s="7" customFormat="1" ht="19.149999999999999" customHeight="1" x14ac:dyDescent="0.3">
      <c r="A168" s="8">
        <v>167</v>
      </c>
      <c r="B168" s="10" t="s">
        <v>194</v>
      </c>
      <c r="C168" s="10" t="s">
        <v>489</v>
      </c>
      <c r="D168" s="8">
        <v>57</v>
      </c>
      <c r="E168" s="11" t="s">
        <v>243</v>
      </c>
      <c r="F168" s="9" t="s">
        <v>490</v>
      </c>
      <c r="G168" s="10" t="s">
        <v>150</v>
      </c>
      <c r="H168" s="13">
        <v>6</v>
      </c>
      <c r="I168" s="96">
        <v>1155</v>
      </c>
      <c r="J168" s="62">
        <v>0</v>
      </c>
      <c r="K168" s="13" t="s">
        <v>310</v>
      </c>
      <c r="L168" s="13">
        <v>0</v>
      </c>
      <c r="M168" s="13" t="s">
        <v>1239</v>
      </c>
      <c r="N168" s="13" t="s">
        <v>1221</v>
      </c>
      <c r="O168" s="23" t="s">
        <v>155</v>
      </c>
      <c r="P168" s="8" t="s">
        <v>156</v>
      </c>
      <c r="Q168" s="14">
        <v>42727</v>
      </c>
      <c r="R168" s="11"/>
    </row>
    <row r="169" spans="1:18" s="7" customFormat="1" ht="19.149999999999999" customHeight="1" x14ac:dyDescent="0.3">
      <c r="A169" s="24">
        <v>168</v>
      </c>
      <c r="B169" s="10" t="s">
        <v>194</v>
      </c>
      <c r="C169" s="10" t="s">
        <v>489</v>
      </c>
      <c r="D169" s="8">
        <v>57</v>
      </c>
      <c r="E169" s="11" t="s">
        <v>491</v>
      </c>
      <c r="F169" s="11" t="s">
        <v>492</v>
      </c>
      <c r="G169" s="10" t="s">
        <v>413</v>
      </c>
      <c r="H169" s="13">
        <v>5</v>
      </c>
      <c r="I169" s="96">
        <v>771</v>
      </c>
      <c r="J169" s="62">
        <v>1</v>
      </c>
      <c r="K169" s="13" t="s">
        <v>369</v>
      </c>
      <c r="L169" s="13">
        <v>0</v>
      </c>
      <c r="M169" s="13" t="s">
        <v>1239</v>
      </c>
      <c r="N169" s="13" t="s">
        <v>1221</v>
      </c>
      <c r="O169" s="8" t="s">
        <v>157</v>
      </c>
      <c r="P169" s="8" t="s">
        <v>158</v>
      </c>
      <c r="Q169" s="14">
        <v>42268</v>
      </c>
      <c r="R169" s="3"/>
    </row>
    <row r="170" spans="1:18" s="7" customFormat="1" ht="19.149999999999999" customHeight="1" x14ac:dyDescent="0.3">
      <c r="A170" s="8">
        <v>169</v>
      </c>
      <c r="B170" s="99" t="s">
        <v>3185</v>
      </c>
      <c r="C170" s="99" t="s">
        <v>3186</v>
      </c>
      <c r="D170" s="99">
        <v>57</v>
      </c>
      <c r="E170" s="56" t="s">
        <v>3184</v>
      </c>
      <c r="F170" s="56" t="s">
        <v>3187</v>
      </c>
      <c r="G170" s="99" t="s">
        <v>3157</v>
      </c>
      <c r="H170" s="88">
        <v>7</v>
      </c>
      <c r="I170" s="102">
        <v>506</v>
      </c>
      <c r="J170" s="179">
        <v>7</v>
      </c>
      <c r="K170" s="180" t="s">
        <v>3192</v>
      </c>
      <c r="L170" s="180">
        <v>0</v>
      </c>
      <c r="M170" s="180" t="s">
        <v>820</v>
      </c>
      <c r="N170" s="88" t="s">
        <v>884</v>
      </c>
      <c r="O170" s="8" t="s">
        <v>185</v>
      </c>
      <c r="P170" s="24" t="s">
        <v>186</v>
      </c>
      <c r="Q170" s="45">
        <v>44938</v>
      </c>
      <c r="R170" s="56"/>
    </row>
    <row r="171" spans="1:18" s="21" customFormat="1" ht="19.149999999999999" customHeight="1" x14ac:dyDescent="0.3">
      <c r="A171" s="24">
        <v>170</v>
      </c>
      <c r="B171" s="8" t="s">
        <v>194</v>
      </c>
      <c r="C171" s="8" t="s">
        <v>28</v>
      </c>
      <c r="D171" s="8">
        <v>57</v>
      </c>
      <c r="E171" s="19" t="s">
        <v>1517</v>
      </c>
      <c r="F171" s="19" t="s">
        <v>487</v>
      </c>
      <c r="G171" s="8" t="s">
        <v>160</v>
      </c>
      <c r="H171" s="13">
        <v>7</v>
      </c>
      <c r="I171" s="500">
        <v>1046</v>
      </c>
      <c r="J171" s="62">
        <v>0</v>
      </c>
      <c r="K171" s="13" t="s">
        <v>1239</v>
      </c>
      <c r="L171" s="13">
        <v>0</v>
      </c>
      <c r="M171" s="13" t="s">
        <v>1239</v>
      </c>
      <c r="N171" s="13" t="s">
        <v>1221</v>
      </c>
      <c r="O171" s="10" t="s">
        <v>151</v>
      </c>
      <c r="P171" s="8" t="s">
        <v>152</v>
      </c>
      <c r="Q171" s="14">
        <v>43231</v>
      </c>
      <c r="R171" s="19"/>
    </row>
    <row r="172" spans="1:18" s="21" customFormat="1" ht="19.149999999999999" customHeight="1" x14ac:dyDescent="0.3">
      <c r="A172" s="8">
        <v>171</v>
      </c>
      <c r="B172" s="10" t="s">
        <v>194</v>
      </c>
      <c r="C172" s="10" t="s">
        <v>28</v>
      </c>
      <c r="D172" s="8">
        <v>57</v>
      </c>
      <c r="E172" s="11" t="s">
        <v>285</v>
      </c>
      <c r="F172" s="11" t="s">
        <v>488</v>
      </c>
      <c r="G172" s="10" t="s">
        <v>160</v>
      </c>
      <c r="H172" s="13">
        <v>7</v>
      </c>
      <c r="I172" s="96">
        <v>784</v>
      </c>
      <c r="J172" s="62">
        <v>2</v>
      </c>
      <c r="K172" s="13" t="s">
        <v>1315</v>
      </c>
      <c r="L172" s="13">
        <v>0</v>
      </c>
      <c r="M172" s="13" t="s">
        <v>1239</v>
      </c>
      <c r="N172" s="13" t="s">
        <v>1221</v>
      </c>
      <c r="O172" s="8" t="s">
        <v>157</v>
      </c>
      <c r="P172" s="8" t="s">
        <v>158</v>
      </c>
      <c r="Q172" s="14">
        <v>43033</v>
      </c>
      <c r="R172" s="3"/>
    </row>
    <row r="173" spans="1:18" s="7" customFormat="1" ht="19.149999999999999" customHeight="1" x14ac:dyDescent="0.3">
      <c r="A173" s="24">
        <v>172</v>
      </c>
      <c r="B173" s="10" t="s">
        <v>1479</v>
      </c>
      <c r="C173" s="10" t="s">
        <v>1518</v>
      </c>
      <c r="D173" s="8">
        <v>58</v>
      </c>
      <c r="E173" s="3" t="s">
        <v>1519</v>
      </c>
      <c r="F173" s="11" t="s">
        <v>1520</v>
      </c>
      <c r="G173" s="10" t="s">
        <v>1228</v>
      </c>
      <c r="H173" s="62">
        <v>1</v>
      </c>
      <c r="I173" s="96">
        <v>89</v>
      </c>
      <c r="J173" s="62">
        <v>0</v>
      </c>
      <c r="K173" s="13" t="s">
        <v>1239</v>
      </c>
      <c r="L173" s="13">
        <v>0</v>
      </c>
      <c r="M173" s="13" t="s">
        <v>1239</v>
      </c>
      <c r="N173" s="13" t="s">
        <v>1521</v>
      </c>
      <c r="O173" s="10" t="s">
        <v>1522</v>
      </c>
      <c r="P173" s="24" t="s">
        <v>1523</v>
      </c>
      <c r="Q173" s="14">
        <v>42041</v>
      </c>
      <c r="R173" s="3" t="s">
        <v>1524</v>
      </c>
    </row>
    <row r="174" spans="1:18" s="7" customFormat="1" ht="19.149999999999999" customHeight="1" x14ac:dyDescent="0.3">
      <c r="A174" s="8">
        <v>173</v>
      </c>
      <c r="B174" s="8" t="s">
        <v>74</v>
      </c>
      <c r="C174" s="8" t="s">
        <v>29</v>
      </c>
      <c r="D174" s="8">
        <v>60</v>
      </c>
      <c r="E174" s="16" t="s">
        <v>511</v>
      </c>
      <c r="F174" s="16" t="s">
        <v>512</v>
      </c>
      <c r="G174" s="8" t="s">
        <v>150</v>
      </c>
      <c r="H174" s="13">
        <v>6</v>
      </c>
      <c r="I174" s="96">
        <v>1024</v>
      </c>
      <c r="J174" s="62">
        <v>1</v>
      </c>
      <c r="K174" s="13" t="s">
        <v>892</v>
      </c>
      <c r="L174" s="13">
        <v>0</v>
      </c>
      <c r="M174" s="13" t="s">
        <v>1239</v>
      </c>
      <c r="N174" s="13" t="s">
        <v>1221</v>
      </c>
      <c r="O174" s="23" t="s">
        <v>155</v>
      </c>
      <c r="P174" s="8" t="s">
        <v>156</v>
      </c>
      <c r="Q174" s="14">
        <v>36708</v>
      </c>
      <c r="R174" s="19"/>
    </row>
    <row r="175" spans="1:18" s="7" customFormat="1" ht="19.149999999999999" customHeight="1" x14ac:dyDescent="0.3">
      <c r="A175" s="24">
        <v>174</v>
      </c>
      <c r="B175" s="8" t="s">
        <v>74</v>
      </c>
      <c r="C175" s="8" t="s">
        <v>29</v>
      </c>
      <c r="D175" s="8">
        <v>60</v>
      </c>
      <c r="E175" s="16" t="s">
        <v>1525</v>
      </c>
      <c r="F175" s="16" t="s">
        <v>1526</v>
      </c>
      <c r="G175" s="8" t="s">
        <v>310</v>
      </c>
      <c r="H175" s="13">
        <v>1</v>
      </c>
      <c r="I175" s="96">
        <v>105</v>
      </c>
      <c r="J175" s="62">
        <v>0</v>
      </c>
      <c r="K175" s="13" t="s">
        <v>310</v>
      </c>
      <c r="L175" s="13">
        <v>1</v>
      </c>
      <c r="M175" s="13" t="s">
        <v>1234</v>
      </c>
      <c r="N175" s="13" t="s">
        <v>1221</v>
      </c>
      <c r="O175" s="8" t="s">
        <v>1527</v>
      </c>
      <c r="P175" s="24" t="s">
        <v>1528</v>
      </c>
      <c r="Q175" s="14">
        <v>43201</v>
      </c>
      <c r="R175" s="19"/>
    </row>
    <row r="176" spans="1:18" s="21" customFormat="1" ht="19.149999999999999" customHeight="1" x14ac:dyDescent="0.3">
      <c r="A176" s="8">
        <v>175</v>
      </c>
      <c r="B176" s="10" t="s">
        <v>74</v>
      </c>
      <c r="C176" s="10" t="s">
        <v>29</v>
      </c>
      <c r="D176" s="8">
        <v>60</v>
      </c>
      <c r="E176" s="596" t="s">
        <v>1529</v>
      </c>
      <c r="F176" s="11" t="s">
        <v>1530</v>
      </c>
      <c r="G176" s="10" t="s">
        <v>150</v>
      </c>
      <c r="H176" s="13">
        <v>9</v>
      </c>
      <c r="I176" s="96">
        <v>955</v>
      </c>
      <c r="J176" s="62">
        <v>1</v>
      </c>
      <c r="K176" s="13" t="s">
        <v>986</v>
      </c>
      <c r="L176" s="13">
        <v>0</v>
      </c>
      <c r="M176" s="13" t="s">
        <v>1239</v>
      </c>
      <c r="N176" s="13" t="s">
        <v>1221</v>
      </c>
      <c r="O176" s="10" t="s">
        <v>151</v>
      </c>
      <c r="P176" s="8" t="s">
        <v>152</v>
      </c>
      <c r="Q176" s="14">
        <v>43581</v>
      </c>
      <c r="R176" s="3" t="s">
        <v>1531</v>
      </c>
    </row>
    <row r="177" spans="1:18" s="7" customFormat="1" ht="19.149999999999999" customHeight="1" x14ac:dyDescent="0.3">
      <c r="A177" s="24">
        <v>176</v>
      </c>
      <c r="B177" s="10" t="s">
        <v>508</v>
      </c>
      <c r="C177" s="10" t="s">
        <v>29</v>
      </c>
      <c r="D177" s="8">
        <v>60</v>
      </c>
      <c r="E177" s="11" t="s">
        <v>1532</v>
      </c>
      <c r="F177" s="11" t="s">
        <v>509</v>
      </c>
      <c r="G177" s="10" t="s">
        <v>160</v>
      </c>
      <c r="H177" s="13">
        <v>5</v>
      </c>
      <c r="I177" s="500">
        <v>652</v>
      </c>
      <c r="J177" s="62">
        <v>0</v>
      </c>
      <c r="K177" s="13" t="s">
        <v>310</v>
      </c>
      <c r="L177" s="13">
        <v>0</v>
      </c>
      <c r="M177" s="13" t="s">
        <v>1239</v>
      </c>
      <c r="N177" s="13" t="s">
        <v>1221</v>
      </c>
      <c r="O177" s="10" t="s">
        <v>151</v>
      </c>
      <c r="P177" s="8" t="s">
        <v>152</v>
      </c>
      <c r="Q177" s="14">
        <v>42761</v>
      </c>
      <c r="R177" s="11"/>
    </row>
    <row r="178" spans="1:18" s="7" customFormat="1" ht="19.149999999999999" customHeight="1" x14ac:dyDescent="0.3">
      <c r="A178" s="8">
        <v>177</v>
      </c>
      <c r="B178" s="8" t="s">
        <v>74</v>
      </c>
      <c r="C178" s="8" t="s">
        <v>29</v>
      </c>
      <c r="D178" s="8">
        <v>60</v>
      </c>
      <c r="E178" s="16" t="s">
        <v>201</v>
      </c>
      <c r="F178" s="16" t="s">
        <v>1533</v>
      </c>
      <c r="G178" s="8" t="s">
        <v>310</v>
      </c>
      <c r="H178" s="13">
        <v>1</v>
      </c>
      <c r="I178" s="96">
        <v>856</v>
      </c>
      <c r="J178" s="62">
        <v>0</v>
      </c>
      <c r="K178" s="13" t="s">
        <v>310</v>
      </c>
      <c r="L178" s="13">
        <v>1</v>
      </c>
      <c r="M178" s="13" t="s">
        <v>1234</v>
      </c>
      <c r="N178" s="13" t="s">
        <v>1221</v>
      </c>
      <c r="O178" s="8" t="s">
        <v>1534</v>
      </c>
      <c r="P178" s="8" t="s">
        <v>510</v>
      </c>
      <c r="Q178" s="14">
        <v>13058</v>
      </c>
      <c r="R178" s="19"/>
    </row>
    <row r="179" spans="1:18" s="7" customFormat="1" ht="19.149999999999999" customHeight="1" x14ac:dyDescent="0.3">
      <c r="A179" s="24">
        <v>178</v>
      </c>
      <c r="B179" s="8" t="s">
        <v>508</v>
      </c>
      <c r="C179" s="8" t="s">
        <v>454</v>
      </c>
      <c r="D179" s="8">
        <v>60</v>
      </c>
      <c r="E179" s="16" t="s">
        <v>513</v>
      </c>
      <c r="F179" s="16" t="s">
        <v>514</v>
      </c>
      <c r="G179" s="8" t="s">
        <v>413</v>
      </c>
      <c r="H179" s="13">
        <v>9</v>
      </c>
      <c r="I179" s="96">
        <v>693</v>
      </c>
      <c r="J179" s="177">
        <v>9</v>
      </c>
      <c r="K179" s="174" t="s">
        <v>3505</v>
      </c>
      <c r="L179" s="13">
        <v>0</v>
      </c>
      <c r="M179" s="13" t="s">
        <v>1239</v>
      </c>
      <c r="N179" s="13" t="s">
        <v>1221</v>
      </c>
      <c r="O179" s="8" t="s">
        <v>155</v>
      </c>
      <c r="P179" s="8" t="s">
        <v>156</v>
      </c>
      <c r="Q179" s="14">
        <v>41627</v>
      </c>
      <c r="R179" s="19"/>
    </row>
    <row r="180" spans="1:18" s="7" customFormat="1" ht="19.149999999999999" customHeight="1" x14ac:dyDescent="0.3">
      <c r="A180" s="8">
        <v>179</v>
      </c>
      <c r="B180" s="8" t="s">
        <v>74</v>
      </c>
      <c r="C180" s="8" t="s">
        <v>28</v>
      </c>
      <c r="D180" s="8">
        <v>61</v>
      </c>
      <c r="E180" s="19" t="s">
        <v>1535</v>
      </c>
      <c r="F180" s="19" t="s">
        <v>1109</v>
      </c>
      <c r="G180" s="8" t="s">
        <v>150</v>
      </c>
      <c r="H180" s="13">
        <v>11</v>
      </c>
      <c r="I180" s="96">
        <v>1992</v>
      </c>
      <c r="J180" s="62">
        <v>3</v>
      </c>
      <c r="K180" s="13" t="s">
        <v>1536</v>
      </c>
      <c r="L180" s="13">
        <v>1</v>
      </c>
      <c r="M180" s="13" t="s">
        <v>394</v>
      </c>
      <c r="N180" s="13" t="s">
        <v>1221</v>
      </c>
      <c r="O180" s="10" t="s">
        <v>151</v>
      </c>
      <c r="P180" s="8" t="s">
        <v>152</v>
      </c>
      <c r="Q180" s="14">
        <v>39954</v>
      </c>
      <c r="R180" s="19"/>
    </row>
    <row r="181" spans="1:18" s="7" customFormat="1" ht="19.149999999999999" customHeight="1" x14ac:dyDescent="0.3">
      <c r="A181" s="24">
        <v>180</v>
      </c>
      <c r="B181" s="8" t="s">
        <v>74</v>
      </c>
      <c r="C181" s="8" t="s">
        <v>28</v>
      </c>
      <c r="D181" s="8">
        <v>61</v>
      </c>
      <c r="E181" s="16" t="s">
        <v>519</v>
      </c>
      <c r="F181" s="16" t="s">
        <v>520</v>
      </c>
      <c r="G181" s="8" t="s">
        <v>160</v>
      </c>
      <c r="H181" s="13">
        <v>10</v>
      </c>
      <c r="I181" s="96">
        <v>837</v>
      </c>
      <c r="J181" s="62">
        <v>10</v>
      </c>
      <c r="K181" s="13" t="s">
        <v>1537</v>
      </c>
      <c r="L181" s="13">
        <v>0</v>
      </c>
      <c r="M181" s="13" t="s">
        <v>1239</v>
      </c>
      <c r="N181" s="13" t="s">
        <v>1221</v>
      </c>
      <c r="O181" s="8" t="s">
        <v>157</v>
      </c>
      <c r="P181" s="8" t="s">
        <v>158</v>
      </c>
      <c r="Q181" s="14">
        <v>40330</v>
      </c>
      <c r="R181" s="30" t="s">
        <v>521</v>
      </c>
    </row>
    <row r="182" spans="1:18" s="47" customFormat="1" ht="19.149999999999999" customHeight="1" x14ac:dyDescent="0.3">
      <c r="A182" s="8">
        <v>181</v>
      </c>
      <c r="B182" s="10" t="s">
        <v>508</v>
      </c>
      <c r="C182" s="10" t="s">
        <v>28</v>
      </c>
      <c r="D182" s="8">
        <v>61</v>
      </c>
      <c r="E182" s="11" t="s">
        <v>1538</v>
      </c>
      <c r="F182" s="9" t="s">
        <v>1068</v>
      </c>
      <c r="G182" s="10" t="s">
        <v>318</v>
      </c>
      <c r="H182" s="13">
        <v>10</v>
      </c>
      <c r="I182" s="96">
        <v>1610</v>
      </c>
      <c r="J182" s="62">
        <v>0</v>
      </c>
      <c r="K182" s="23" t="s">
        <v>1239</v>
      </c>
      <c r="L182" s="13">
        <v>0</v>
      </c>
      <c r="M182" s="13" t="s">
        <v>1239</v>
      </c>
      <c r="N182" s="13" t="s">
        <v>1221</v>
      </c>
      <c r="O182" s="10" t="s">
        <v>151</v>
      </c>
      <c r="P182" s="8" t="s">
        <v>152</v>
      </c>
      <c r="Q182" s="14">
        <v>41795</v>
      </c>
      <c r="R182" s="30" t="s">
        <v>517</v>
      </c>
    </row>
    <row r="183" spans="1:18" s="7" customFormat="1" ht="19.149999999999999" customHeight="1" x14ac:dyDescent="0.3">
      <c r="A183" s="24">
        <v>182</v>
      </c>
      <c r="B183" s="8" t="s">
        <v>508</v>
      </c>
      <c r="C183" s="8" t="s">
        <v>427</v>
      </c>
      <c r="D183" s="8">
        <v>63</v>
      </c>
      <c r="E183" s="19" t="s">
        <v>1539</v>
      </c>
      <c r="F183" s="19" t="s">
        <v>516</v>
      </c>
      <c r="G183" s="8" t="s">
        <v>150</v>
      </c>
      <c r="H183" s="13">
        <v>10</v>
      </c>
      <c r="I183" s="96">
        <v>1465</v>
      </c>
      <c r="J183" s="62">
        <v>0</v>
      </c>
      <c r="K183" s="13" t="s">
        <v>310</v>
      </c>
      <c r="L183" s="13">
        <v>0</v>
      </c>
      <c r="M183" s="13" t="s">
        <v>1239</v>
      </c>
      <c r="N183" s="13" t="s">
        <v>1221</v>
      </c>
      <c r="O183" s="10" t="s">
        <v>151</v>
      </c>
      <c r="P183" s="8" t="s">
        <v>152</v>
      </c>
      <c r="Q183" s="14">
        <v>41529</v>
      </c>
      <c r="R183" s="19"/>
    </row>
    <row r="184" spans="1:18" s="21" customFormat="1" ht="19.149999999999999" customHeight="1" x14ac:dyDescent="0.3">
      <c r="A184" s="8">
        <v>183</v>
      </c>
      <c r="B184" s="10" t="s">
        <v>74</v>
      </c>
      <c r="C184" s="10" t="s">
        <v>33</v>
      </c>
      <c r="D184" s="8">
        <v>63</v>
      </c>
      <c r="E184" s="11" t="s">
        <v>279</v>
      </c>
      <c r="F184" s="11" t="s">
        <v>515</v>
      </c>
      <c r="G184" s="8" t="s">
        <v>160</v>
      </c>
      <c r="H184" s="13">
        <v>7</v>
      </c>
      <c r="I184" s="96">
        <v>958</v>
      </c>
      <c r="J184" s="62">
        <v>0</v>
      </c>
      <c r="K184" s="13" t="s">
        <v>310</v>
      </c>
      <c r="L184" s="13">
        <v>0</v>
      </c>
      <c r="M184" s="13" t="s">
        <v>1239</v>
      </c>
      <c r="N184" s="13" t="s">
        <v>1221</v>
      </c>
      <c r="O184" s="8" t="s">
        <v>157</v>
      </c>
      <c r="P184" s="8" t="s">
        <v>158</v>
      </c>
      <c r="Q184" s="14">
        <v>39051</v>
      </c>
      <c r="R184" s="11"/>
    </row>
    <row r="185" spans="1:18" s="21" customFormat="1" ht="19.149999999999999" customHeight="1" x14ac:dyDescent="0.3">
      <c r="A185" s="24">
        <v>184</v>
      </c>
      <c r="B185" s="10" t="s">
        <v>74</v>
      </c>
      <c r="C185" s="10" t="s">
        <v>47</v>
      </c>
      <c r="D185" s="8">
        <v>64</v>
      </c>
      <c r="E185" s="3" t="s">
        <v>206</v>
      </c>
      <c r="F185" s="9" t="s">
        <v>502</v>
      </c>
      <c r="G185" s="10" t="s">
        <v>160</v>
      </c>
      <c r="H185" s="13">
        <v>8</v>
      </c>
      <c r="I185" s="96">
        <v>733</v>
      </c>
      <c r="J185" s="62">
        <v>7</v>
      </c>
      <c r="K185" s="13" t="s">
        <v>1540</v>
      </c>
      <c r="L185" s="13">
        <v>0</v>
      </c>
      <c r="M185" s="13" t="s">
        <v>1239</v>
      </c>
      <c r="N185" s="13" t="s">
        <v>1221</v>
      </c>
      <c r="O185" s="8" t="s">
        <v>155</v>
      </c>
      <c r="P185" s="8" t="s">
        <v>156</v>
      </c>
      <c r="Q185" s="14">
        <v>43209</v>
      </c>
      <c r="R185" s="3" t="s">
        <v>1541</v>
      </c>
    </row>
    <row r="186" spans="1:18" s="7" customFormat="1" ht="19.149999999999999" customHeight="1" x14ac:dyDescent="0.3">
      <c r="A186" s="8">
        <v>185</v>
      </c>
      <c r="B186" s="8" t="s">
        <v>74</v>
      </c>
      <c r="C186" s="8" t="s">
        <v>47</v>
      </c>
      <c r="D186" s="8">
        <v>64</v>
      </c>
      <c r="E186" s="16" t="s">
        <v>284</v>
      </c>
      <c r="F186" s="19" t="s">
        <v>507</v>
      </c>
      <c r="G186" s="8" t="s">
        <v>160</v>
      </c>
      <c r="H186" s="13">
        <v>9</v>
      </c>
      <c r="I186" s="96">
        <v>1157</v>
      </c>
      <c r="J186" s="62">
        <v>0</v>
      </c>
      <c r="K186" s="13" t="s">
        <v>310</v>
      </c>
      <c r="L186" s="13">
        <v>0</v>
      </c>
      <c r="M186" s="13" t="s">
        <v>1239</v>
      </c>
      <c r="N186" s="13" t="s">
        <v>1221</v>
      </c>
      <c r="O186" s="8" t="s">
        <v>157</v>
      </c>
      <c r="P186" s="8" t="s">
        <v>158</v>
      </c>
      <c r="Q186" s="14">
        <v>40923</v>
      </c>
      <c r="R186" s="19"/>
    </row>
    <row r="187" spans="1:18" s="7" customFormat="1" ht="19.149999999999999" customHeight="1" x14ac:dyDescent="0.3">
      <c r="A187" s="24">
        <v>186</v>
      </c>
      <c r="B187" s="10" t="s">
        <v>74</v>
      </c>
      <c r="C187" s="10" t="s">
        <v>47</v>
      </c>
      <c r="D187" s="8">
        <v>64</v>
      </c>
      <c r="E187" s="11" t="s">
        <v>1542</v>
      </c>
      <c r="F187" s="11" t="s">
        <v>501</v>
      </c>
      <c r="G187" s="10" t="s">
        <v>150</v>
      </c>
      <c r="H187" s="13">
        <v>6</v>
      </c>
      <c r="I187" s="96">
        <v>835</v>
      </c>
      <c r="J187" s="62">
        <v>0</v>
      </c>
      <c r="K187" s="13" t="s">
        <v>310</v>
      </c>
      <c r="L187" s="13">
        <v>0</v>
      </c>
      <c r="M187" s="13" t="s">
        <v>1239</v>
      </c>
      <c r="N187" s="13" t="s">
        <v>1221</v>
      </c>
      <c r="O187" s="10" t="s">
        <v>151</v>
      </c>
      <c r="P187" s="8" t="s">
        <v>152</v>
      </c>
      <c r="Q187" s="14">
        <v>43363</v>
      </c>
      <c r="R187" s="11"/>
    </row>
    <row r="188" spans="1:18" s="7" customFormat="1" ht="19.149999999999999" customHeight="1" x14ac:dyDescent="0.3">
      <c r="A188" s="8">
        <v>187</v>
      </c>
      <c r="B188" s="10" t="s">
        <v>74</v>
      </c>
      <c r="C188" s="10" t="s">
        <v>47</v>
      </c>
      <c r="D188" s="8">
        <v>64</v>
      </c>
      <c r="E188" s="11" t="s">
        <v>1543</v>
      </c>
      <c r="F188" s="11" t="s">
        <v>500</v>
      </c>
      <c r="G188" s="10" t="s">
        <v>150</v>
      </c>
      <c r="H188" s="13">
        <v>9</v>
      </c>
      <c r="I188" s="96">
        <v>1219</v>
      </c>
      <c r="J188" s="62">
        <v>1</v>
      </c>
      <c r="K188" s="13" t="s">
        <v>188</v>
      </c>
      <c r="L188" s="13">
        <v>0</v>
      </c>
      <c r="M188" s="13" t="s">
        <v>1239</v>
      </c>
      <c r="N188" s="13" t="s">
        <v>1221</v>
      </c>
      <c r="O188" s="10" t="s">
        <v>151</v>
      </c>
      <c r="P188" s="8" t="s">
        <v>152</v>
      </c>
      <c r="Q188" s="14">
        <v>38729</v>
      </c>
      <c r="R188" s="11"/>
    </row>
    <row r="189" spans="1:18" s="7" customFormat="1" ht="19.149999999999999" customHeight="1" x14ac:dyDescent="0.3">
      <c r="A189" s="24">
        <v>188</v>
      </c>
      <c r="B189" s="10" t="s">
        <v>74</v>
      </c>
      <c r="C189" s="10" t="s">
        <v>47</v>
      </c>
      <c r="D189" s="8">
        <v>64</v>
      </c>
      <c r="E189" s="11" t="s">
        <v>232</v>
      </c>
      <c r="F189" s="9" t="s">
        <v>503</v>
      </c>
      <c r="G189" s="10" t="s">
        <v>150</v>
      </c>
      <c r="H189" s="13">
        <v>7</v>
      </c>
      <c r="I189" s="96">
        <v>1397</v>
      </c>
      <c r="J189" s="62">
        <v>1</v>
      </c>
      <c r="K189" s="13" t="s">
        <v>1071</v>
      </c>
      <c r="L189" s="13">
        <v>0</v>
      </c>
      <c r="M189" s="13" t="s">
        <v>1239</v>
      </c>
      <c r="N189" s="13" t="s">
        <v>1221</v>
      </c>
      <c r="O189" s="8" t="s">
        <v>155</v>
      </c>
      <c r="P189" s="8" t="s">
        <v>156</v>
      </c>
      <c r="Q189" s="14">
        <v>40963</v>
      </c>
      <c r="R189" s="11"/>
    </row>
    <row r="190" spans="1:18" s="7" customFormat="1" ht="19.149999999999999" customHeight="1" x14ac:dyDescent="0.3">
      <c r="A190" s="8">
        <v>189</v>
      </c>
      <c r="B190" s="8" t="s">
        <v>74</v>
      </c>
      <c r="C190" s="8" t="s">
        <v>47</v>
      </c>
      <c r="D190" s="8">
        <v>64</v>
      </c>
      <c r="E190" s="16" t="s">
        <v>504</v>
      </c>
      <c r="F190" s="19" t="s">
        <v>505</v>
      </c>
      <c r="G190" s="8" t="s">
        <v>160</v>
      </c>
      <c r="H190" s="13">
        <v>10</v>
      </c>
      <c r="I190" s="96">
        <v>918</v>
      </c>
      <c r="J190" s="62">
        <v>10</v>
      </c>
      <c r="K190" s="13" t="s">
        <v>1537</v>
      </c>
      <c r="L190" s="13">
        <v>0</v>
      </c>
      <c r="M190" s="13" t="s">
        <v>1239</v>
      </c>
      <c r="N190" s="13" t="s">
        <v>1221</v>
      </c>
      <c r="O190" s="8" t="s">
        <v>157</v>
      </c>
      <c r="P190" s="8" t="s">
        <v>158</v>
      </c>
      <c r="Q190" s="14">
        <v>38596</v>
      </c>
      <c r="R190" s="30" t="s">
        <v>506</v>
      </c>
    </row>
    <row r="191" spans="1:18" s="7" customFormat="1" ht="19.149999999999999" customHeight="1" x14ac:dyDescent="0.3">
      <c r="A191" s="24">
        <v>190</v>
      </c>
      <c r="B191" s="8" t="s">
        <v>198</v>
      </c>
      <c r="C191" s="8" t="s">
        <v>29</v>
      </c>
      <c r="D191" s="8">
        <v>65</v>
      </c>
      <c r="E191" s="19" t="s">
        <v>1544</v>
      </c>
      <c r="F191" s="19" t="s">
        <v>522</v>
      </c>
      <c r="G191" s="8" t="s">
        <v>150</v>
      </c>
      <c r="H191" s="13">
        <v>7</v>
      </c>
      <c r="I191" s="193">
        <v>1410</v>
      </c>
      <c r="J191" s="177">
        <v>3</v>
      </c>
      <c r="K191" s="174" t="s">
        <v>3531</v>
      </c>
      <c r="L191" s="13">
        <v>0</v>
      </c>
      <c r="M191" s="13" t="s">
        <v>1239</v>
      </c>
      <c r="N191" s="13" t="s">
        <v>1221</v>
      </c>
      <c r="O191" s="10" t="s">
        <v>151</v>
      </c>
      <c r="P191" s="8" t="s">
        <v>152</v>
      </c>
      <c r="Q191" s="14">
        <v>40899</v>
      </c>
      <c r="R191" s="19" t="s">
        <v>3532</v>
      </c>
    </row>
    <row r="192" spans="1:18" s="7" customFormat="1" ht="19.149999999999999" customHeight="1" x14ac:dyDescent="0.3">
      <c r="A192" s="8">
        <v>191</v>
      </c>
      <c r="B192" s="8" t="s">
        <v>524</v>
      </c>
      <c r="C192" s="8" t="s">
        <v>454</v>
      </c>
      <c r="D192" s="8">
        <v>65</v>
      </c>
      <c r="E192" s="19" t="s">
        <v>1545</v>
      </c>
      <c r="F192" s="19" t="s">
        <v>525</v>
      </c>
      <c r="G192" s="8" t="s">
        <v>150</v>
      </c>
      <c r="H192" s="13">
        <v>7</v>
      </c>
      <c r="I192" s="96">
        <v>1163</v>
      </c>
      <c r="J192" s="62">
        <v>0</v>
      </c>
      <c r="K192" s="13" t="s">
        <v>310</v>
      </c>
      <c r="L192" s="13">
        <v>0</v>
      </c>
      <c r="M192" s="13" t="s">
        <v>1239</v>
      </c>
      <c r="N192" s="13" t="s">
        <v>1221</v>
      </c>
      <c r="O192" s="10" t="s">
        <v>151</v>
      </c>
      <c r="P192" s="8" t="s">
        <v>152</v>
      </c>
      <c r="Q192" s="14">
        <v>41340</v>
      </c>
      <c r="R192" s="30" t="s">
        <v>526</v>
      </c>
    </row>
    <row r="193" spans="1:18" s="7" customFormat="1" ht="19.149999999999999" customHeight="1" x14ac:dyDescent="0.3">
      <c r="A193" s="24">
        <v>192</v>
      </c>
      <c r="B193" s="99" t="s">
        <v>198</v>
      </c>
      <c r="C193" s="99" t="s">
        <v>29</v>
      </c>
      <c r="D193" s="99">
        <v>65</v>
      </c>
      <c r="E193" s="56" t="s">
        <v>2728</v>
      </c>
      <c r="F193" s="56" t="s">
        <v>2729</v>
      </c>
      <c r="G193" s="99" t="s">
        <v>310</v>
      </c>
      <c r="H193" s="88">
        <v>1</v>
      </c>
      <c r="I193" s="102">
        <v>138</v>
      </c>
      <c r="J193" s="71">
        <v>0</v>
      </c>
      <c r="K193" s="88" t="s">
        <v>310</v>
      </c>
      <c r="L193" s="88">
        <v>1</v>
      </c>
      <c r="M193" s="88" t="s">
        <v>2375</v>
      </c>
      <c r="N193" s="88" t="s">
        <v>2372</v>
      </c>
      <c r="O193" s="99" t="s">
        <v>2730</v>
      </c>
      <c r="P193" s="99" t="s">
        <v>523</v>
      </c>
      <c r="Q193" s="45">
        <v>38808</v>
      </c>
      <c r="R193" s="3" t="s">
        <v>2731</v>
      </c>
    </row>
    <row r="194" spans="1:18" s="7" customFormat="1" ht="19.149999999999999" customHeight="1" x14ac:dyDescent="0.3">
      <c r="A194" s="8">
        <v>193</v>
      </c>
      <c r="B194" s="8" t="s">
        <v>198</v>
      </c>
      <c r="C194" s="8" t="s">
        <v>4</v>
      </c>
      <c r="D194" s="8">
        <v>66</v>
      </c>
      <c r="E194" s="19" t="s">
        <v>1546</v>
      </c>
      <c r="F194" s="19" t="s">
        <v>1115</v>
      </c>
      <c r="G194" s="8" t="s">
        <v>150</v>
      </c>
      <c r="H194" s="13">
        <v>9</v>
      </c>
      <c r="I194" s="96">
        <v>1880</v>
      </c>
      <c r="J194" s="62">
        <v>3</v>
      </c>
      <c r="K194" s="13" t="s">
        <v>1171</v>
      </c>
      <c r="L194" s="13">
        <v>1</v>
      </c>
      <c r="M194" s="13" t="s">
        <v>394</v>
      </c>
      <c r="N194" s="13" t="s">
        <v>1221</v>
      </c>
      <c r="O194" s="10" t="s">
        <v>151</v>
      </c>
      <c r="P194" s="8" t="s">
        <v>152</v>
      </c>
      <c r="Q194" s="14">
        <v>37121</v>
      </c>
      <c r="R194" s="19"/>
    </row>
    <row r="195" spans="1:18" s="7" customFormat="1" ht="19.149999999999999" customHeight="1" x14ac:dyDescent="0.3">
      <c r="A195" s="24">
        <v>194</v>
      </c>
      <c r="B195" s="8" t="s">
        <v>1547</v>
      </c>
      <c r="C195" s="8" t="s">
        <v>1475</v>
      </c>
      <c r="D195" s="8">
        <v>66</v>
      </c>
      <c r="E195" s="19" t="s">
        <v>1548</v>
      </c>
      <c r="F195" s="19" t="s">
        <v>1549</v>
      </c>
      <c r="G195" s="8" t="s">
        <v>1239</v>
      </c>
      <c r="H195" s="13">
        <v>1</v>
      </c>
      <c r="I195" s="96">
        <v>72</v>
      </c>
      <c r="J195" s="62">
        <v>0</v>
      </c>
      <c r="K195" s="13" t="s">
        <v>1239</v>
      </c>
      <c r="L195" s="13">
        <v>0</v>
      </c>
      <c r="M195" s="13" t="s">
        <v>1239</v>
      </c>
      <c r="N195" s="13" t="s">
        <v>1221</v>
      </c>
      <c r="O195" s="8" t="s">
        <v>1550</v>
      </c>
      <c r="P195" s="8" t="s">
        <v>1181</v>
      </c>
      <c r="Q195" s="14">
        <v>43944</v>
      </c>
      <c r="R195" s="30" t="s">
        <v>1551</v>
      </c>
    </row>
    <row r="196" spans="1:18" s="7" customFormat="1" ht="19.149999999999999" customHeight="1" x14ac:dyDescent="0.3">
      <c r="A196" s="8">
        <v>195</v>
      </c>
      <c r="B196" s="8" t="s">
        <v>1547</v>
      </c>
      <c r="C196" s="8" t="s">
        <v>1475</v>
      </c>
      <c r="D196" s="8">
        <v>66</v>
      </c>
      <c r="E196" s="19" t="s">
        <v>1552</v>
      </c>
      <c r="F196" s="19" t="s">
        <v>1553</v>
      </c>
      <c r="G196" s="8" t="s">
        <v>1264</v>
      </c>
      <c r="H196" s="13">
        <v>8</v>
      </c>
      <c r="I196" s="96">
        <v>1124</v>
      </c>
      <c r="J196" s="62">
        <v>0</v>
      </c>
      <c r="K196" s="13" t="s">
        <v>1239</v>
      </c>
      <c r="L196" s="13">
        <v>0</v>
      </c>
      <c r="M196" s="13" t="s">
        <v>1239</v>
      </c>
      <c r="N196" s="13" t="s">
        <v>1221</v>
      </c>
      <c r="O196" s="8" t="s">
        <v>157</v>
      </c>
      <c r="P196" s="8" t="s">
        <v>158</v>
      </c>
      <c r="Q196" s="14">
        <v>43570</v>
      </c>
      <c r="R196" s="19"/>
    </row>
    <row r="197" spans="1:18" s="7" customFormat="1" ht="19.149999999999999" customHeight="1" x14ac:dyDescent="0.3">
      <c r="A197" s="24">
        <v>196</v>
      </c>
      <c r="B197" s="8" t="s">
        <v>198</v>
      </c>
      <c r="C197" s="8" t="s">
        <v>28</v>
      </c>
      <c r="D197" s="8">
        <v>67</v>
      </c>
      <c r="E197" s="16" t="s">
        <v>528</v>
      </c>
      <c r="F197" s="16" t="s">
        <v>529</v>
      </c>
      <c r="G197" s="8" t="s">
        <v>150</v>
      </c>
      <c r="H197" s="13">
        <v>8</v>
      </c>
      <c r="I197" s="96">
        <v>1144</v>
      </c>
      <c r="J197" s="62">
        <v>0</v>
      </c>
      <c r="K197" s="13" t="s">
        <v>310</v>
      </c>
      <c r="L197" s="13">
        <v>0</v>
      </c>
      <c r="M197" s="13" t="s">
        <v>1239</v>
      </c>
      <c r="N197" s="13" t="s">
        <v>1221</v>
      </c>
      <c r="O197" s="8" t="s">
        <v>155</v>
      </c>
      <c r="P197" s="8" t="s">
        <v>156</v>
      </c>
      <c r="Q197" s="14">
        <v>36651</v>
      </c>
      <c r="R197" s="19"/>
    </row>
    <row r="198" spans="1:18" s="7" customFormat="1" ht="19.149999999999999" customHeight="1" x14ac:dyDescent="0.3">
      <c r="A198" s="8">
        <v>197</v>
      </c>
      <c r="B198" s="8" t="s">
        <v>198</v>
      </c>
      <c r="C198" s="8" t="s">
        <v>28</v>
      </c>
      <c r="D198" s="8">
        <v>67</v>
      </c>
      <c r="E198" s="16" t="s">
        <v>216</v>
      </c>
      <c r="F198" s="16" t="s">
        <v>530</v>
      </c>
      <c r="G198" s="8" t="s">
        <v>150</v>
      </c>
      <c r="H198" s="13">
        <v>7</v>
      </c>
      <c r="I198" s="96">
        <v>859</v>
      </c>
      <c r="J198" s="62">
        <v>2</v>
      </c>
      <c r="K198" s="13" t="s">
        <v>1279</v>
      </c>
      <c r="L198" s="13">
        <v>0</v>
      </c>
      <c r="M198" s="13" t="s">
        <v>1239</v>
      </c>
      <c r="N198" s="13" t="s">
        <v>1221</v>
      </c>
      <c r="O198" s="8" t="s">
        <v>155</v>
      </c>
      <c r="P198" s="8" t="s">
        <v>156</v>
      </c>
      <c r="Q198" s="14">
        <v>43300</v>
      </c>
      <c r="R198" s="19"/>
    </row>
    <row r="199" spans="1:18" s="7" customFormat="1" ht="19.149999999999999" customHeight="1" x14ac:dyDescent="0.3">
      <c r="A199" s="24">
        <v>198</v>
      </c>
      <c r="B199" s="8" t="s">
        <v>524</v>
      </c>
      <c r="C199" s="8" t="s">
        <v>489</v>
      </c>
      <c r="D199" s="8">
        <v>67</v>
      </c>
      <c r="E199" s="16" t="s">
        <v>532</v>
      </c>
      <c r="F199" s="16" t="s">
        <v>533</v>
      </c>
      <c r="G199" s="8" t="s">
        <v>318</v>
      </c>
      <c r="H199" s="13">
        <v>10</v>
      </c>
      <c r="I199" s="96">
        <v>1669</v>
      </c>
      <c r="J199" s="62">
        <v>0</v>
      </c>
      <c r="K199" s="13" t="s">
        <v>310</v>
      </c>
      <c r="L199" s="13">
        <v>0</v>
      </c>
      <c r="M199" s="13" t="s">
        <v>1239</v>
      </c>
      <c r="N199" s="13" t="s">
        <v>1221</v>
      </c>
      <c r="O199" s="8" t="s">
        <v>155</v>
      </c>
      <c r="P199" s="8" t="s">
        <v>156</v>
      </c>
      <c r="Q199" s="14">
        <v>41790</v>
      </c>
      <c r="R199" s="30" t="s">
        <v>534</v>
      </c>
    </row>
    <row r="200" spans="1:18" s="7" customFormat="1" ht="19.149999999999999" customHeight="1" x14ac:dyDescent="0.3">
      <c r="A200" s="8">
        <v>199</v>
      </c>
      <c r="B200" s="8" t="s">
        <v>1547</v>
      </c>
      <c r="C200" s="8" t="s">
        <v>1554</v>
      </c>
      <c r="D200" s="8">
        <v>67</v>
      </c>
      <c r="E200" s="19" t="s">
        <v>1555</v>
      </c>
      <c r="F200" s="19" t="s">
        <v>1556</v>
      </c>
      <c r="G200" s="8" t="s">
        <v>1356</v>
      </c>
      <c r="H200" s="13">
        <v>5</v>
      </c>
      <c r="I200" s="96">
        <v>1016</v>
      </c>
      <c r="J200" s="62">
        <v>0</v>
      </c>
      <c r="K200" s="13" t="s">
        <v>310</v>
      </c>
      <c r="L200" s="13">
        <v>0</v>
      </c>
      <c r="M200" s="13" t="s">
        <v>1239</v>
      </c>
      <c r="N200" s="13" t="s">
        <v>1221</v>
      </c>
      <c r="O200" s="10" t="s">
        <v>151</v>
      </c>
      <c r="P200" s="8" t="s">
        <v>152</v>
      </c>
      <c r="Q200" s="14">
        <v>43707</v>
      </c>
      <c r="R200" s="19"/>
    </row>
    <row r="201" spans="1:18" s="7" customFormat="1" ht="19.149999999999999" customHeight="1" x14ac:dyDescent="0.3">
      <c r="A201" s="24">
        <v>200</v>
      </c>
      <c r="B201" s="8" t="s">
        <v>198</v>
      </c>
      <c r="C201" s="8" t="s">
        <v>28</v>
      </c>
      <c r="D201" s="8">
        <v>67</v>
      </c>
      <c r="E201" s="16" t="s">
        <v>260</v>
      </c>
      <c r="F201" s="27" t="s">
        <v>531</v>
      </c>
      <c r="G201" s="8" t="s">
        <v>150</v>
      </c>
      <c r="H201" s="13">
        <v>8</v>
      </c>
      <c r="I201" s="96">
        <v>1333</v>
      </c>
      <c r="J201" s="62">
        <v>4</v>
      </c>
      <c r="K201" s="13" t="s">
        <v>1557</v>
      </c>
      <c r="L201" s="13">
        <v>0</v>
      </c>
      <c r="M201" s="13" t="s">
        <v>1239</v>
      </c>
      <c r="N201" s="13" t="s">
        <v>1221</v>
      </c>
      <c r="O201" s="8" t="s">
        <v>157</v>
      </c>
      <c r="P201" s="8" t="s">
        <v>158</v>
      </c>
      <c r="Q201" s="14">
        <v>38306</v>
      </c>
      <c r="R201" s="19"/>
    </row>
    <row r="202" spans="1:18" s="7" customFormat="1" ht="19.149999999999999" customHeight="1" x14ac:dyDescent="0.3">
      <c r="A202" s="8">
        <v>201</v>
      </c>
      <c r="B202" s="8" t="s">
        <v>198</v>
      </c>
      <c r="C202" s="8" t="s">
        <v>28</v>
      </c>
      <c r="D202" s="8">
        <v>67</v>
      </c>
      <c r="E202" s="19" t="s">
        <v>1558</v>
      </c>
      <c r="F202" s="19" t="s">
        <v>527</v>
      </c>
      <c r="G202" s="8" t="s">
        <v>150</v>
      </c>
      <c r="H202" s="13">
        <v>6</v>
      </c>
      <c r="I202" s="96">
        <v>970</v>
      </c>
      <c r="J202" s="62">
        <v>1</v>
      </c>
      <c r="K202" s="13" t="s">
        <v>195</v>
      </c>
      <c r="L202" s="13">
        <v>0</v>
      </c>
      <c r="M202" s="13" t="s">
        <v>1239</v>
      </c>
      <c r="N202" s="13" t="s">
        <v>1221</v>
      </c>
      <c r="O202" s="10" t="s">
        <v>151</v>
      </c>
      <c r="P202" s="8" t="s">
        <v>152</v>
      </c>
      <c r="Q202" s="14">
        <v>42516</v>
      </c>
      <c r="R202" s="19"/>
    </row>
    <row r="203" spans="1:18" s="21" customFormat="1" ht="19.149999999999999" customHeight="1" x14ac:dyDescent="0.3">
      <c r="A203" s="24">
        <v>202</v>
      </c>
      <c r="B203" s="8" t="s">
        <v>1547</v>
      </c>
      <c r="C203" s="8" t="s">
        <v>1554</v>
      </c>
      <c r="D203" s="8">
        <v>67</v>
      </c>
      <c r="E203" s="16" t="s">
        <v>1559</v>
      </c>
      <c r="F203" s="16" t="s">
        <v>1560</v>
      </c>
      <c r="G203" s="8" t="s">
        <v>1264</v>
      </c>
      <c r="H203" s="13">
        <v>7</v>
      </c>
      <c r="I203" s="96">
        <v>1067</v>
      </c>
      <c r="J203" s="62">
        <v>2</v>
      </c>
      <c r="K203" s="13" t="s">
        <v>1279</v>
      </c>
      <c r="L203" s="13">
        <v>0</v>
      </c>
      <c r="M203" s="13" t="s">
        <v>1239</v>
      </c>
      <c r="N203" s="13" t="s">
        <v>1221</v>
      </c>
      <c r="O203" s="8" t="s">
        <v>155</v>
      </c>
      <c r="P203" s="8" t="s">
        <v>156</v>
      </c>
      <c r="Q203" s="14">
        <v>43790</v>
      </c>
      <c r="R203" s="19"/>
    </row>
    <row r="204" spans="1:18" s="21" customFormat="1" ht="19.149999999999999" customHeight="1" x14ac:dyDescent="0.3">
      <c r="A204" s="8">
        <v>203</v>
      </c>
      <c r="B204" s="8" t="s">
        <v>198</v>
      </c>
      <c r="C204" s="8" t="s">
        <v>535</v>
      </c>
      <c r="D204" s="8">
        <v>68</v>
      </c>
      <c r="E204" s="19" t="s">
        <v>1561</v>
      </c>
      <c r="F204" s="19" t="s">
        <v>538</v>
      </c>
      <c r="G204" s="8" t="s">
        <v>1264</v>
      </c>
      <c r="H204" s="13">
        <v>5</v>
      </c>
      <c r="I204" s="96">
        <v>923</v>
      </c>
      <c r="J204" s="62">
        <v>0</v>
      </c>
      <c r="K204" s="13" t="s">
        <v>310</v>
      </c>
      <c r="L204" s="13">
        <v>0</v>
      </c>
      <c r="M204" s="13" t="s">
        <v>1239</v>
      </c>
      <c r="N204" s="13" t="s">
        <v>1221</v>
      </c>
      <c r="O204" s="8" t="s">
        <v>157</v>
      </c>
      <c r="P204" s="8" t="s">
        <v>158</v>
      </c>
      <c r="Q204" s="14">
        <v>42079</v>
      </c>
      <c r="R204" s="30" t="s">
        <v>1562</v>
      </c>
    </row>
    <row r="205" spans="1:18" s="21" customFormat="1" ht="19.149999999999999" customHeight="1" x14ac:dyDescent="0.3">
      <c r="A205" s="24">
        <v>204</v>
      </c>
      <c r="B205" s="8" t="s">
        <v>524</v>
      </c>
      <c r="C205" s="8" t="s">
        <v>535</v>
      </c>
      <c r="D205" s="8">
        <v>68</v>
      </c>
      <c r="E205" s="19" t="s">
        <v>1563</v>
      </c>
      <c r="F205" s="19" t="s">
        <v>536</v>
      </c>
      <c r="G205" s="8" t="s">
        <v>413</v>
      </c>
      <c r="H205" s="13">
        <v>5</v>
      </c>
      <c r="I205" s="96">
        <v>968</v>
      </c>
      <c r="J205" s="62">
        <v>0</v>
      </c>
      <c r="K205" s="13" t="s">
        <v>310</v>
      </c>
      <c r="L205" s="13">
        <v>0</v>
      </c>
      <c r="M205" s="13" t="s">
        <v>1239</v>
      </c>
      <c r="N205" s="13" t="s">
        <v>1221</v>
      </c>
      <c r="O205" s="10" t="s">
        <v>151</v>
      </c>
      <c r="P205" s="8" t="s">
        <v>152</v>
      </c>
      <c r="Q205" s="14">
        <v>41948</v>
      </c>
      <c r="R205" s="30" t="s">
        <v>537</v>
      </c>
    </row>
    <row r="206" spans="1:18" s="21" customFormat="1" ht="19.149999999999999" customHeight="1" x14ac:dyDescent="0.3">
      <c r="A206" s="8">
        <v>205</v>
      </c>
      <c r="B206" s="24" t="s">
        <v>1547</v>
      </c>
      <c r="C206" s="24" t="s">
        <v>1564</v>
      </c>
      <c r="D206" s="24">
        <v>68</v>
      </c>
      <c r="E206" s="44" t="s">
        <v>1565</v>
      </c>
      <c r="F206" s="44" t="s">
        <v>1566</v>
      </c>
      <c r="G206" s="24" t="s">
        <v>1264</v>
      </c>
      <c r="H206" s="13">
        <v>7</v>
      </c>
      <c r="I206" s="13">
        <v>976</v>
      </c>
      <c r="J206" s="24">
        <v>7</v>
      </c>
      <c r="K206" s="24" t="s">
        <v>1567</v>
      </c>
      <c r="L206" s="13">
        <v>0</v>
      </c>
      <c r="M206" s="13" t="s">
        <v>1239</v>
      </c>
      <c r="N206" s="13" t="s">
        <v>1221</v>
      </c>
      <c r="O206" s="8" t="s">
        <v>157</v>
      </c>
      <c r="P206" s="8" t="s">
        <v>158</v>
      </c>
      <c r="Q206" s="14">
        <v>44433</v>
      </c>
      <c r="R206" s="24"/>
    </row>
    <row r="207" spans="1:18" s="21" customFormat="1" ht="19.149999999999999" customHeight="1" x14ac:dyDescent="0.3">
      <c r="A207" s="24">
        <v>206</v>
      </c>
      <c r="B207" s="8" t="s">
        <v>1547</v>
      </c>
      <c r="C207" s="8" t="s">
        <v>1568</v>
      </c>
      <c r="D207" s="8">
        <v>68</v>
      </c>
      <c r="E207" s="16" t="s">
        <v>1569</v>
      </c>
      <c r="F207" s="27" t="s">
        <v>1570</v>
      </c>
      <c r="G207" s="8" t="s">
        <v>1264</v>
      </c>
      <c r="H207" s="13">
        <v>7</v>
      </c>
      <c r="I207" s="96">
        <v>1177</v>
      </c>
      <c r="J207" s="62">
        <v>1</v>
      </c>
      <c r="K207" s="174" t="s">
        <v>3198</v>
      </c>
      <c r="L207" s="13">
        <v>0</v>
      </c>
      <c r="M207" s="13" t="s">
        <v>1239</v>
      </c>
      <c r="N207" s="13" t="s">
        <v>1221</v>
      </c>
      <c r="O207" s="8" t="s">
        <v>157</v>
      </c>
      <c r="P207" s="8" t="s">
        <v>158</v>
      </c>
      <c r="Q207" s="14">
        <v>44006</v>
      </c>
      <c r="R207" s="19"/>
    </row>
    <row r="208" spans="1:18" s="21" customFormat="1" ht="19.149999999999999" customHeight="1" x14ac:dyDescent="0.3">
      <c r="A208" s="8">
        <v>207</v>
      </c>
      <c r="B208" s="99" t="s">
        <v>3575</v>
      </c>
      <c r="C208" s="99" t="s">
        <v>3576</v>
      </c>
      <c r="D208" s="99">
        <v>69</v>
      </c>
      <c r="E208" s="30" t="s">
        <v>3577</v>
      </c>
      <c r="F208" s="30" t="s">
        <v>3578</v>
      </c>
      <c r="G208" s="99" t="s">
        <v>2373</v>
      </c>
      <c r="H208" s="88">
        <v>1</v>
      </c>
      <c r="I208" s="102">
        <v>58</v>
      </c>
      <c r="J208" s="71">
        <v>0</v>
      </c>
      <c r="K208" s="88" t="s">
        <v>2373</v>
      </c>
      <c r="L208" s="180">
        <v>0</v>
      </c>
      <c r="M208" s="180" t="s">
        <v>2373</v>
      </c>
      <c r="N208" s="88" t="s">
        <v>2372</v>
      </c>
      <c r="O208" s="99" t="s">
        <v>3579</v>
      </c>
      <c r="P208" s="99" t="s">
        <v>3580</v>
      </c>
      <c r="Q208" s="45">
        <v>45077</v>
      </c>
      <c r="R208" s="30" t="s">
        <v>3581</v>
      </c>
    </row>
    <row r="209" spans="1:18" s="21" customFormat="1" ht="19.149999999999999" customHeight="1" x14ac:dyDescent="0.3">
      <c r="A209" s="24">
        <v>208</v>
      </c>
      <c r="B209" s="8" t="s">
        <v>546</v>
      </c>
      <c r="C209" s="8" t="s">
        <v>438</v>
      </c>
      <c r="D209" s="8">
        <v>70</v>
      </c>
      <c r="E209" s="16" t="s">
        <v>547</v>
      </c>
      <c r="F209" s="16" t="s">
        <v>548</v>
      </c>
      <c r="G209" s="8" t="s">
        <v>318</v>
      </c>
      <c r="H209" s="13">
        <v>7</v>
      </c>
      <c r="I209" s="96">
        <v>1123</v>
      </c>
      <c r="J209" s="62">
        <v>0</v>
      </c>
      <c r="K209" s="13" t="s">
        <v>310</v>
      </c>
      <c r="L209" s="13">
        <v>0</v>
      </c>
      <c r="M209" s="13" t="s">
        <v>1239</v>
      </c>
      <c r="N209" s="13" t="s">
        <v>1221</v>
      </c>
      <c r="O209" s="23" t="s">
        <v>155</v>
      </c>
      <c r="P209" s="8" t="s">
        <v>156</v>
      </c>
      <c r="Q209" s="14">
        <v>41718</v>
      </c>
      <c r="R209" s="30" t="s">
        <v>549</v>
      </c>
    </row>
    <row r="210" spans="1:18" s="7" customFormat="1" ht="19.149999999999999" customHeight="1" x14ac:dyDescent="0.3">
      <c r="A210" s="8">
        <v>209</v>
      </c>
      <c r="B210" s="8" t="s">
        <v>199</v>
      </c>
      <c r="C210" s="8" t="s">
        <v>4</v>
      </c>
      <c r="D210" s="8">
        <v>70</v>
      </c>
      <c r="E210" s="16" t="s">
        <v>276</v>
      </c>
      <c r="F210" s="16" t="s">
        <v>545</v>
      </c>
      <c r="G210" s="172" t="s">
        <v>3477</v>
      </c>
      <c r="H210" s="13">
        <v>8</v>
      </c>
      <c r="I210" s="193">
        <v>813</v>
      </c>
      <c r="J210" s="177">
        <v>6</v>
      </c>
      <c r="K210" s="174" t="s">
        <v>3478</v>
      </c>
      <c r="L210" s="13">
        <v>0</v>
      </c>
      <c r="M210" s="13" t="s">
        <v>1239</v>
      </c>
      <c r="N210" s="13" t="s">
        <v>1221</v>
      </c>
      <c r="O210" s="8" t="s">
        <v>157</v>
      </c>
      <c r="P210" s="8" t="s">
        <v>158</v>
      </c>
      <c r="Q210" s="14">
        <v>38344</v>
      </c>
      <c r="R210" s="19" t="s">
        <v>3514</v>
      </c>
    </row>
    <row r="211" spans="1:18" s="21" customFormat="1" ht="19.149999999999999" customHeight="1" x14ac:dyDescent="0.3">
      <c r="A211" s="24">
        <v>210</v>
      </c>
      <c r="B211" s="8" t="s">
        <v>199</v>
      </c>
      <c r="C211" s="8" t="s">
        <v>32</v>
      </c>
      <c r="D211" s="8">
        <v>71</v>
      </c>
      <c r="E211" s="16" t="s">
        <v>541</v>
      </c>
      <c r="F211" s="16" t="s">
        <v>1116</v>
      </c>
      <c r="G211" s="8" t="s">
        <v>150</v>
      </c>
      <c r="H211" s="13">
        <v>9</v>
      </c>
      <c r="I211" s="96">
        <v>1480</v>
      </c>
      <c r="J211" s="62">
        <v>1</v>
      </c>
      <c r="K211" s="13" t="s">
        <v>1302</v>
      </c>
      <c r="L211" s="13">
        <v>0</v>
      </c>
      <c r="M211" s="13" t="s">
        <v>1239</v>
      </c>
      <c r="N211" s="13" t="s">
        <v>1221</v>
      </c>
      <c r="O211" s="23" t="s">
        <v>155</v>
      </c>
      <c r="P211" s="8" t="s">
        <v>156</v>
      </c>
      <c r="Q211" s="14">
        <v>37127</v>
      </c>
      <c r="R211" s="19"/>
    </row>
    <row r="212" spans="1:18" s="7" customFormat="1" ht="19.149999999999999" customHeight="1" x14ac:dyDescent="0.3">
      <c r="A212" s="8">
        <v>211</v>
      </c>
      <c r="B212" s="8" t="s">
        <v>199</v>
      </c>
      <c r="C212" s="8" t="s">
        <v>32</v>
      </c>
      <c r="D212" s="8">
        <v>71</v>
      </c>
      <c r="E212" s="19" t="s">
        <v>1571</v>
      </c>
      <c r="F212" s="19" t="s">
        <v>1117</v>
      </c>
      <c r="G212" s="8" t="s">
        <v>318</v>
      </c>
      <c r="H212" s="13">
        <v>11</v>
      </c>
      <c r="I212" s="96">
        <v>2487</v>
      </c>
      <c r="J212" s="62">
        <v>4</v>
      </c>
      <c r="K212" s="13" t="s">
        <v>1572</v>
      </c>
      <c r="L212" s="13">
        <v>0</v>
      </c>
      <c r="M212" s="13" t="s">
        <v>1239</v>
      </c>
      <c r="N212" s="13" t="s">
        <v>1221</v>
      </c>
      <c r="O212" s="10" t="s">
        <v>151</v>
      </c>
      <c r="P212" s="8" t="s">
        <v>152</v>
      </c>
      <c r="Q212" s="14">
        <v>41395</v>
      </c>
      <c r="R212" s="31"/>
    </row>
    <row r="213" spans="1:18" s="7" customFormat="1" ht="19.149999999999999" customHeight="1" x14ac:dyDescent="0.3">
      <c r="A213" s="24">
        <v>212</v>
      </c>
      <c r="B213" s="8" t="s">
        <v>1573</v>
      </c>
      <c r="C213" s="8" t="s">
        <v>1574</v>
      </c>
      <c r="D213" s="8">
        <v>72</v>
      </c>
      <c r="E213" s="19" t="s">
        <v>1575</v>
      </c>
      <c r="F213" s="19" t="s">
        <v>1576</v>
      </c>
      <c r="G213" s="8" t="s">
        <v>1278</v>
      </c>
      <c r="H213" s="13">
        <v>6</v>
      </c>
      <c r="I213" s="96">
        <v>412</v>
      </c>
      <c r="J213" s="62">
        <v>0</v>
      </c>
      <c r="K213" s="13" t="s">
        <v>310</v>
      </c>
      <c r="L213" s="13">
        <v>0</v>
      </c>
      <c r="M213" s="13" t="s">
        <v>1239</v>
      </c>
      <c r="N213" s="13" t="s">
        <v>1221</v>
      </c>
      <c r="O213" s="10" t="s">
        <v>151</v>
      </c>
      <c r="P213" s="8" t="s">
        <v>152</v>
      </c>
      <c r="Q213" s="14">
        <v>44574</v>
      </c>
      <c r="R213" s="30"/>
    </row>
    <row r="214" spans="1:18" s="7" customFormat="1" ht="19.149999999999999" customHeight="1" x14ac:dyDescent="0.3">
      <c r="A214" s="8">
        <v>213</v>
      </c>
      <c r="B214" s="8" t="s">
        <v>199</v>
      </c>
      <c r="C214" s="8" t="s">
        <v>29</v>
      </c>
      <c r="D214" s="8">
        <v>72</v>
      </c>
      <c r="E214" s="56" t="s">
        <v>1577</v>
      </c>
      <c r="F214" s="16" t="s">
        <v>1578</v>
      </c>
      <c r="G214" s="8" t="s">
        <v>310</v>
      </c>
      <c r="H214" s="13">
        <v>2</v>
      </c>
      <c r="I214" s="193">
        <v>132</v>
      </c>
      <c r="J214" s="62">
        <v>0</v>
      </c>
      <c r="K214" s="13" t="s">
        <v>1228</v>
      </c>
      <c r="L214" s="13">
        <v>0</v>
      </c>
      <c r="M214" s="13" t="s">
        <v>1239</v>
      </c>
      <c r="N214" s="13" t="s">
        <v>1221</v>
      </c>
      <c r="O214" s="8" t="s">
        <v>1579</v>
      </c>
      <c r="P214" s="24" t="s">
        <v>833</v>
      </c>
      <c r="Q214" s="14" t="s">
        <v>543</v>
      </c>
      <c r="R214" s="30" t="s">
        <v>1580</v>
      </c>
    </row>
    <row r="215" spans="1:18" s="7" customFormat="1" ht="19.149999999999999" customHeight="1" x14ac:dyDescent="0.3">
      <c r="A215" s="24">
        <v>214</v>
      </c>
      <c r="B215" s="8" t="s">
        <v>1573</v>
      </c>
      <c r="C215" s="8" t="s">
        <v>1459</v>
      </c>
      <c r="D215" s="8">
        <v>73</v>
      </c>
      <c r="E215" s="19" t="s">
        <v>1581</v>
      </c>
      <c r="F215" s="19" t="s">
        <v>1582</v>
      </c>
      <c r="G215" s="8" t="s">
        <v>1264</v>
      </c>
      <c r="H215" s="13">
        <v>4</v>
      </c>
      <c r="I215" s="96">
        <v>363</v>
      </c>
      <c r="J215" s="62">
        <v>0</v>
      </c>
      <c r="K215" s="13" t="s">
        <v>310</v>
      </c>
      <c r="L215" s="13">
        <v>0</v>
      </c>
      <c r="M215" s="13" t="s">
        <v>1239</v>
      </c>
      <c r="N215" s="13" t="s">
        <v>1221</v>
      </c>
      <c r="O215" s="10" t="s">
        <v>151</v>
      </c>
      <c r="P215" s="8" t="s">
        <v>152</v>
      </c>
      <c r="Q215" s="14">
        <v>43797</v>
      </c>
      <c r="R215" s="31"/>
    </row>
    <row r="216" spans="1:18" s="7" customFormat="1" ht="19.149999999999999" customHeight="1" x14ac:dyDescent="0.3">
      <c r="A216" s="8">
        <v>215</v>
      </c>
      <c r="B216" s="8" t="s">
        <v>199</v>
      </c>
      <c r="C216" s="8" t="s">
        <v>33</v>
      </c>
      <c r="D216" s="8">
        <v>73</v>
      </c>
      <c r="E216" s="19" t="s">
        <v>1583</v>
      </c>
      <c r="F216" s="19" t="s">
        <v>544</v>
      </c>
      <c r="G216" s="8" t="s">
        <v>150</v>
      </c>
      <c r="H216" s="13">
        <v>7</v>
      </c>
      <c r="I216" s="96">
        <v>1066</v>
      </c>
      <c r="J216" s="62">
        <v>1</v>
      </c>
      <c r="K216" s="13" t="s">
        <v>1354</v>
      </c>
      <c r="L216" s="13">
        <v>0</v>
      </c>
      <c r="M216" s="13" t="s">
        <v>1239</v>
      </c>
      <c r="N216" s="13" t="s">
        <v>1221</v>
      </c>
      <c r="O216" s="10" t="s">
        <v>151</v>
      </c>
      <c r="P216" s="8" t="s">
        <v>152</v>
      </c>
      <c r="Q216" s="14">
        <v>43434</v>
      </c>
      <c r="R216" s="31"/>
    </row>
    <row r="217" spans="1:18" s="21" customFormat="1" ht="19.149999999999999" customHeight="1" x14ac:dyDescent="0.3">
      <c r="A217" s="24">
        <v>216</v>
      </c>
      <c r="B217" s="8" t="s">
        <v>1584</v>
      </c>
      <c r="C217" s="8" t="s">
        <v>1585</v>
      </c>
      <c r="D217" s="8">
        <v>74</v>
      </c>
      <c r="E217" s="19" t="s">
        <v>1586</v>
      </c>
      <c r="F217" s="19" t="s">
        <v>1587</v>
      </c>
      <c r="G217" s="8" t="s">
        <v>1228</v>
      </c>
      <c r="H217" s="13">
        <v>2</v>
      </c>
      <c r="I217" s="96">
        <v>301</v>
      </c>
      <c r="J217" s="62">
        <v>0</v>
      </c>
      <c r="K217" s="13" t="s">
        <v>1228</v>
      </c>
      <c r="L217" s="13">
        <v>0</v>
      </c>
      <c r="M217" s="13" t="s">
        <v>1239</v>
      </c>
      <c r="N217" s="13" t="s">
        <v>1521</v>
      </c>
      <c r="O217" s="10" t="s">
        <v>1588</v>
      </c>
      <c r="P217" s="24" t="s">
        <v>294</v>
      </c>
      <c r="Q217" s="14">
        <v>42285</v>
      </c>
      <c r="R217" s="31" t="s">
        <v>1589</v>
      </c>
    </row>
    <row r="218" spans="1:18" s="21" customFormat="1" ht="19.149999999999999" customHeight="1" x14ac:dyDescent="0.3">
      <c r="A218" s="8">
        <v>217</v>
      </c>
      <c r="B218" s="8" t="s">
        <v>1590</v>
      </c>
      <c r="C218" s="8" t="s">
        <v>1590</v>
      </c>
      <c r="D218" s="8">
        <v>75</v>
      </c>
      <c r="E218" s="19" t="s">
        <v>1591</v>
      </c>
      <c r="F218" s="19" t="s">
        <v>1592</v>
      </c>
      <c r="G218" s="8" t="s">
        <v>1264</v>
      </c>
      <c r="H218" s="13">
        <v>5</v>
      </c>
      <c r="I218" s="96">
        <v>759</v>
      </c>
      <c r="J218" s="62">
        <v>0</v>
      </c>
      <c r="K218" s="13" t="s">
        <v>1239</v>
      </c>
      <c r="L218" s="13">
        <v>0</v>
      </c>
      <c r="M218" s="13" t="s">
        <v>1239</v>
      </c>
      <c r="N218" s="13" t="s">
        <v>1221</v>
      </c>
      <c r="O218" s="8" t="s">
        <v>157</v>
      </c>
      <c r="P218" s="8" t="s">
        <v>158</v>
      </c>
      <c r="Q218" s="14">
        <v>43850</v>
      </c>
      <c r="R218" s="31"/>
    </row>
    <row r="219" spans="1:18" s="21" customFormat="1" ht="19.149999999999999" customHeight="1" x14ac:dyDescent="0.3">
      <c r="A219" s="24">
        <v>218</v>
      </c>
      <c r="B219" s="8" t="s">
        <v>550</v>
      </c>
      <c r="C219" s="8" t="s">
        <v>50</v>
      </c>
      <c r="D219" s="8">
        <v>75</v>
      </c>
      <c r="E219" s="19" t="s">
        <v>1593</v>
      </c>
      <c r="F219" s="19" t="s">
        <v>551</v>
      </c>
      <c r="G219" s="8" t="s">
        <v>150</v>
      </c>
      <c r="H219" s="13">
        <v>7</v>
      </c>
      <c r="I219" s="96">
        <v>1094</v>
      </c>
      <c r="J219" s="62">
        <v>1</v>
      </c>
      <c r="K219" s="13" t="s">
        <v>1354</v>
      </c>
      <c r="L219" s="13">
        <v>0</v>
      </c>
      <c r="M219" s="13" t="s">
        <v>1239</v>
      </c>
      <c r="N219" s="13" t="s">
        <v>1221</v>
      </c>
      <c r="O219" s="10" t="s">
        <v>151</v>
      </c>
      <c r="P219" s="8" t="s">
        <v>152</v>
      </c>
      <c r="Q219" s="14">
        <v>42338</v>
      </c>
      <c r="R219" s="31"/>
    </row>
    <row r="220" spans="1:18" s="15" customFormat="1" ht="19.149999999999999" customHeight="1" x14ac:dyDescent="0.3">
      <c r="A220" s="8">
        <v>219</v>
      </c>
      <c r="B220" s="8" t="s">
        <v>50</v>
      </c>
      <c r="C220" s="8" t="s">
        <v>1597</v>
      </c>
      <c r="D220" s="8">
        <v>75</v>
      </c>
      <c r="E220" s="16" t="s">
        <v>1598</v>
      </c>
      <c r="F220" s="16" t="s">
        <v>552</v>
      </c>
      <c r="G220" s="8" t="s">
        <v>160</v>
      </c>
      <c r="H220" s="13">
        <v>5</v>
      </c>
      <c r="I220" s="96">
        <v>749</v>
      </c>
      <c r="J220" s="62">
        <v>0</v>
      </c>
      <c r="K220" s="13" t="s">
        <v>310</v>
      </c>
      <c r="L220" s="13">
        <v>0</v>
      </c>
      <c r="M220" s="13" t="s">
        <v>1239</v>
      </c>
      <c r="N220" s="13" t="s">
        <v>1221</v>
      </c>
      <c r="O220" s="8" t="s">
        <v>157</v>
      </c>
      <c r="P220" s="8" t="s">
        <v>158</v>
      </c>
      <c r="Q220" s="14">
        <v>40611</v>
      </c>
      <c r="R220" s="56" t="s">
        <v>553</v>
      </c>
    </row>
    <row r="221" spans="1:18" s="15" customFormat="1" ht="19.149999999999999" customHeight="1" x14ac:dyDescent="0.3">
      <c r="A221" s="24">
        <v>220</v>
      </c>
      <c r="B221" s="8" t="s">
        <v>51</v>
      </c>
      <c r="C221" s="8" t="s">
        <v>52</v>
      </c>
      <c r="D221" s="8">
        <v>76</v>
      </c>
      <c r="E221" s="16" t="s">
        <v>269</v>
      </c>
      <c r="F221" s="16" t="s">
        <v>600</v>
      </c>
      <c r="G221" s="8" t="s">
        <v>1278</v>
      </c>
      <c r="H221" s="13">
        <v>5</v>
      </c>
      <c r="I221" s="96">
        <v>1129</v>
      </c>
      <c r="J221" s="62">
        <v>0</v>
      </c>
      <c r="K221" s="13" t="s">
        <v>310</v>
      </c>
      <c r="L221" s="13">
        <v>0</v>
      </c>
      <c r="M221" s="13" t="s">
        <v>1239</v>
      </c>
      <c r="N221" s="13" t="s">
        <v>1221</v>
      </c>
      <c r="O221" s="8" t="s">
        <v>157</v>
      </c>
      <c r="P221" s="8" t="s">
        <v>158</v>
      </c>
      <c r="Q221" s="14">
        <v>37205</v>
      </c>
      <c r="R221" s="11" t="s">
        <v>1599</v>
      </c>
    </row>
    <row r="222" spans="1:18" s="7" customFormat="1" ht="19.149999999999999" customHeight="1" x14ac:dyDescent="0.3">
      <c r="A222" s="8">
        <v>221</v>
      </c>
      <c r="B222" s="8" t="s">
        <v>1600</v>
      </c>
      <c r="C222" s="8" t="s">
        <v>1601</v>
      </c>
      <c r="D222" s="8">
        <v>76</v>
      </c>
      <c r="E222" s="16" t="s">
        <v>1602</v>
      </c>
      <c r="F222" s="16" t="s">
        <v>1603</v>
      </c>
      <c r="G222" s="8" t="s">
        <v>1264</v>
      </c>
      <c r="H222" s="13">
        <v>6</v>
      </c>
      <c r="I222" s="96">
        <v>791</v>
      </c>
      <c r="J222" s="62">
        <v>0</v>
      </c>
      <c r="K222" s="13" t="s">
        <v>1239</v>
      </c>
      <c r="L222" s="13">
        <v>0</v>
      </c>
      <c r="M222" s="13" t="s">
        <v>1239</v>
      </c>
      <c r="N222" s="13" t="s">
        <v>1221</v>
      </c>
      <c r="O222" s="8" t="s">
        <v>1604</v>
      </c>
      <c r="P222" s="8" t="s">
        <v>156</v>
      </c>
      <c r="Q222" s="14">
        <v>43662</v>
      </c>
      <c r="R222" s="11"/>
    </row>
    <row r="223" spans="1:18" s="7" customFormat="1" ht="19.149999999999999" customHeight="1" x14ac:dyDescent="0.3">
      <c r="A223" s="24">
        <v>222</v>
      </c>
      <c r="B223" s="8" t="s">
        <v>573</v>
      </c>
      <c r="C223" s="8" t="s">
        <v>604</v>
      </c>
      <c r="D223" s="8">
        <v>76</v>
      </c>
      <c r="E223" s="16" t="s">
        <v>233</v>
      </c>
      <c r="F223" s="16" t="s">
        <v>607</v>
      </c>
      <c r="G223" s="8" t="s">
        <v>318</v>
      </c>
      <c r="H223" s="13">
        <v>8</v>
      </c>
      <c r="I223" s="96">
        <v>1895</v>
      </c>
      <c r="J223" s="62">
        <v>3</v>
      </c>
      <c r="K223" s="13" t="s">
        <v>1605</v>
      </c>
      <c r="L223" s="13">
        <v>0</v>
      </c>
      <c r="M223" s="13" t="s">
        <v>1239</v>
      </c>
      <c r="N223" s="13" t="s">
        <v>1221</v>
      </c>
      <c r="O223" s="23" t="s">
        <v>155</v>
      </c>
      <c r="P223" s="8" t="s">
        <v>156</v>
      </c>
      <c r="Q223" s="14">
        <v>41960</v>
      </c>
      <c r="R223" s="11"/>
    </row>
    <row r="224" spans="1:18" s="7" customFormat="1" ht="19.149999999999999" customHeight="1" x14ac:dyDescent="0.3">
      <c r="A224" s="8">
        <v>223</v>
      </c>
      <c r="B224" s="8" t="s">
        <v>573</v>
      </c>
      <c r="C224" s="8" t="s">
        <v>52</v>
      </c>
      <c r="D224" s="8">
        <v>76</v>
      </c>
      <c r="E224" s="16" t="s">
        <v>1606</v>
      </c>
      <c r="F224" s="16" t="s">
        <v>1607</v>
      </c>
      <c r="G224" s="8" t="s">
        <v>1278</v>
      </c>
      <c r="H224" s="13">
        <v>5</v>
      </c>
      <c r="I224" s="96">
        <v>459</v>
      </c>
      <c r="J224" s="62">
        <v>5</v>
      </c>
      <c r="K224" s="13" t="s">
        <v>1608</v>
      </c>
      <c r="L224" s="13">
        <v>0</v>
      </c>
      <c r="M224" s="13" t="s">
        <v>1239</v>
      </c>
      <c r="N224" s="13" t="s">
        <v>1221</v>
      </c>
      <c r="O224" s="8" t="s">
        <v>157</v>
      </c>
      <c r="P224" s="8" t="s">
        <v>158</v>
      </c>
      <c r="Q224" s="14">
        <v>44706</v>
      </c>
      <c r="R224" s="11"/>
    </row>
    <row r="225" spans="1:18" s="37" customFormat="1" ht="19.149999999999999" customHeight="1" x14ac:dyDescent="0.3">
      <c r="A225" s="24">
        <v>224</v>
      </c>
      <c r="B225" s="8" t="s">
        <v>1600</v>
      </c>
      <c r="C225" s="8" t="s">
        <v>1601</v>
      </c>
      <c r="D225" s="8">
        <v>76</v>
      </c>
      <c r="E225" s="19" t="s">
        <v>1609</v>
      </c>
      <c r="F225" s="19" t="s">
        <v>1610</v>
      </c>
      <c r="G225" s="8" t="s">
        <v>1264</v>
      </c>
      <c r="H225" s="13">
        <v>6</v>
      </c>
      <c r="I225" s="96">
        <v>1478</v>
      </c>
      <c r="J225" s="62">
        <v>2</v>
      </c>
      <c r="K225" s="13" t="s">
        <v>1611</v>
      </c>
      <c r="L225" s="13">
        <v>0</v>
      </c>
      <c r="M225" s="13" t="s">
        <v>1239</v>
      </c>
      <c r="N225" s="13" t="s">
        <v>1221</v>
      </c>
      <c r="O225" s="10" t="s">
        <v>151</v>
      </c>
      <c r="P225" s="8" t="s">
        <v>152</v>
      </c>
      <c r="Q225" s="14">
        <v>43910</v>
      </c>
      <c r="R225" s="19"/>
    </row>
    <row r="226" spans="1:18" s="95" customFormat="1" ht="19.149999999999999" customHeight="1" x14ac:dyDescent="0.3">
      <c r="A226" s="8">
        <v>225</v>
      </c>
      <c r="B226" s="8" t="s">
        <v>51</v>
      </c>
      <c r="C226" s="8" t="s">
        <v>604</v>
      </c>
      <c r="D226" s="8">
        <v>76</v>
      </c>
      <c r="E226" s="16" t="s">
        <v>605</v>
      </c>
      <c r="F226" s="16" t="s">
        <v>606</v>
      </c>
      <c r="G226" s="8" t="s">
        <v>318</v>
      </c>
      <c r="H226" s="13">
        <v>6</v>
      </c>
      <c r="I226" s="96">
        <v>889</v>
      </c>
      <c r="J226" s="62">
        <v>0</v>
      </c>
      <c r="K226" s="13" t="s">
        <v>310</v>
      </c>
      <c r="L226" s="13">
        <v>0</v>
      </c>
      <c r="M226" s="13" t="s">
        <v>1239</v>
      </c>
      <c r="N226" s="13" t="s">
        <v>1221</v>
      </c>
      <c r="O226" s="23" t="s">
        <v>155</v>
      </c>
      <c r="P226" s="8" t="s">
        <v>156</v>
      </c>
      <c r="Q226" s="14">
        <v>42251</v>
      </c>
      <c r="R226" s="11"/>
    </row>
    <row r="227" spans="1:18" s="95" customFormat="1" ht="19.149999999999999" customHeight="1" x14ac:dyDescent="0.3">
      <c r="A227" s="24">
        <v>226</v>
      </c>
      <c r="B227" s="8" t="s">
        <v>51</v>
      </c>
      <c r="C227" s="8" t="s">
        <v>52</v>
      </c>
      <c r="D227" s="8">
        <v>76</v>
      </c>
      <c r="E227" s="16" t="s">
        <v>275</v>
      </c>
      <c r="F227" s="16" t="s">
        <v>1118</v>
      </c>
      <c r="G227" s="8" t="s">
        <v>150</v>
      </c>
      <c r="H227" s="13">
        <v>11</v>
      </c>
      <c r="I227" s="96">
        <v>1819</v>
      </c>
      <c r="J227" s="62">
        <v>3</v>
      </c>
      <c r="K227" s="174" t="s">
        <v>3203</v>
      </c>
      <c r="L227" s="13">
        <v>0</v>
      </c>
      <c r="M227" s="13" t="s">
        <v>1239</v>
      </c>
      <c r="N227" s="13" t="s">
        <v>1221</v>
      </c>
      <c r="O227" s="8" t="s">
        <v>157</v>
      </c>
      <c r="P227" s="8" t="s">
        <v>158</v>
      </c>
      <c r="Q227" s="14">
        <v>39534</v>
      </c>
      <c r="R227" s="19" t="s">
        <v>1612</v>
      </c>
    </row>
    <row r="228" spans="1:18" s="95" customFormat="1" ht="19.149999999999999" customHeight="1" x14ac:dyDescent="0.3">
      <c r="A228" s="8">
        <v>227</v>
      </c>
      <c r="B228" s="10" t="s">
        <v>51</v>
      </c>
      <c r="C228" s="10" t="s">
        <v>52</v>
      </c>
      <c r="D228" s="8">
        <v>76</v>
      </c>
      <c r="E228" s="11" t="s">
        <v>1613</v>
      </c>
      <c r="F228" s="11" t="s">
        <v>599</v>
      </c>
      <c r="G228" s="10" t="s">
        <v>150</v>
      </c>
      <c r="H228" s="13">
        <v>8</v>
      </c>
      <c r="I228" s="96">
        <v>1268</v>
      </c>
      <c r="J228" s="62">
        <v>0</v>
      </c>
      <c r="K228" s="13" t="s">
        <v>310</v>
      </c>
      <c r="L228" s="13">
        <v>0</v>
      </c>
      <c r="M228" s="13" t="s">
        <v>1239</v>
      </c>
      <c r="N228" s="13" t="s">
        <v>1221</v>
      </c>
      <c r="O228" s="10" t="s">
        <v>151</v>
      </c>
      <c r="P228" s="8" t="s">
        <v>152</v>
      </c>
      <c r="Q228" s="14">
        <v>38981</v>
      </c>
      <c r="R228" s="11"/>
    </row>
    <row r="229" spans="1:18" s="20" customFormat="1" ht="19.149999999999999" customHeight="1" x14ac:dyDescent="0.25">
      <c r="A229" s="24">
        <v>228</v>
      </c>
      <c r="B229" s="8" t="s">
        <v>1600</v>
      </c>
      <c r="C229" s="8" t="s">
        <v>1601</v>
      </c>
      <c r="D229" s="8">
        <v>76</v>
      </c>
      <c r="E229" s="19" t="s">
        <v>1614</v>
      </c>
      <c r="F229" s="19" t="s">
        <v>1615</v>
      </c>
      <c r="G229" s="8" t="s">
        <v>1264</v>
      </c>
      <c r="H229" s="13">
        <v>5</v>
      </c>
      <c r="I229" s="96">
        <v>640</v>
      </c>
      <c r="J229" s="62">
        <v>0</v>
      </c>
      <c r="K229" s="13" t="s">
        <v>1239</v>
      </c>
      <c r="L229" s="13">
        <v>0</v>
      </c>
      <c r="M229" s="13" t="s">
        <v>1239</v>
      </c>
      <c r="N229" s="13" t="s">
        <v>1221</v>
      </c>
      <c r="O229" s="23" t="s">
        <v>155</v>
      </c>
      <c r="P229" s="8" t="s">
        <v>156</v>
      </c>
      <c r="Q229" s="14">
        <v>44000</v>
      </c>
      <c r="R229" s="19"/>
    </row>
    <row r="230" spans="1:18" s="21" customFormat="1" ht="19.149999999999999" customHeight="1" x14ac:dyDescent="0.3">
      <c r="A230" s="8">
        <v>229</v>
      </c>
      <c r="B230" s="10" t="s">
        <v>51</v>
      </c>
      <c r="C230" s="10" t="s">
        <v>52</v>
      </c>
      <c r="D230" s="8">
        <v>76</v>
      </c>
      <c r="E230" s="11" t="s">
        <v>1616</v>
      </c>
      <c r="F230" s="11" t="s">
        <v>1119</v>
      </c>
      <c r="G230" s="10" t="s">
        <v>150</v>
      </c>
      <c r="H230" s="13">
        <v>8</v>
      </c>
      <c r="I230" s="96">
        <v>1251</v>
      </c>
      <c r="J230" s="62">
        <v>2</v>
      </c>
      <c r="K230" s="13" t="s">
        <v>1070</v>
      </c>
      <c r="L230" s="13">
        <v>0</v>
      </c>
      <c r="M230" s="13" t="s">
        <v>1239</v>
      </c>
      <c r="N230" s="13" t="s">
        <v>1221</v>
      </c>
      <c r="O230" s="10" t="s">
        <v>151</v>
      </c>
      <c r="P230" s="8" t="s">
        <v>152</v>
      </c>
      <c r="Q230" s="14">
        <v>38981</v>
      </c>
      <c r="R230" s="11"/>
    </row>
    <row r="231" spans="1:18" s="7" customFormat="1" ht="19.149999999999999" customHeight="1" x14ac:dyDescent="0.3">
      <c r="A231" s="24">
        <v>230</v>
      </c>
      <c r="B231" s="99" t="s">
        <v>1600</v>
      </c>
      <c r="C231" s="99" t="s">
        <v>1601</v>
      </c>
      <c r="D231" s="99">
        <v>76</v>
      </c>
      <c r="E231" s="30" t="s">
        <v>3115</v>
      </c>
      <c r="F231" s="19" t="s">
        <v>1120</v>
      </c>
      <c r="G231" s="99" t="s">
        <v>1263</v>
      </c>
      <c r="H231" s="88">
        <v>8</v>
      </c>
      <c r="I231" s="495">
        <v>1920</v>
      </c>
      <c r="J231" s="71">
        <v>8</v>
      </c>
      <c r="K231" s="88" t="s">
        <v>3123</v>
      </c>
      <c r="L231" s="13">
        <v>0</v>
      </c>
      <c r="M231" s="13" t="s">
        <v>820</v>
      </c>
      <c r="N231" s="13" t="s">
        <v>884</v>
      </c>
      <c r="O231" s="8" t="s">
        <v>157</v>
      </c>
      <c r="P231" s="8" t="s">
        <v>158</v>
      </c>
      <c r="Q231" s="45">
        <v>45149</v>
      </c>
      <c r="R231" s="3" t="s">
        <v>3118</v>
      </c>
    </row>
    <row r="232" spans="1:18" s="21" customFormat="1" ht="19.149999999999999" customHeight="1" x14ac:dyDescent="0.3">
      <c r="A232" s="8">
        <v>231</v>
      </c>
      <c r="B232" s="8" t="s">
        <v>573</v>
      </c>
      <c r="C232" s="8" t="s">
        <v>52</v>
      </c>
      <c r="D232" s="8">
        <v>76</v>
      </c>
      <c r="E232" s="16" t="s">
        <v>601</v>
      </c>
      <c r="F232" s="16" t="s">
        <v>602</v>
      </c>
      <c r="G232" s="8" t="s">
        <v>413</v>
      </c>
      <c r="H232" s="13">
        <v>4</v>
      </c>
      <c r="I232" s="96">
        <v>248</v>
      </c>
      <c r="J232" s="62">
        <v>4</v>
      </c>
      <c r="K232" s="13" t="s">
        <v>1557</v>
      </c>
      <c r="L232" s="13">
        <v>0</v>
      </c>
      <c r="M232" s="13" t="s">
        <v>1239</v>
      </c>
      <c r="N232" s="13" t="s">
        <v>1221</v>
      </c>
      <c r="O232" s="8" t="s">
        <v>157</v>
      </c>
      <c r="P232" s="8" t="s">
        <v>158</v>
      </c>
      <c r="Q232" s="14">
        <v>41629</v>
      </c>
      <c r="R232" s="11"/>
    </row>
    <row r="233" spans="1:18" s="22" customFormat="1" ht="19.149999999999999" customHeight="1" x14ac:dyDescent="0.3">
      <c r="A233" s="24">
        <v>232</v>
      </c>
      <c r="B233" s="99" t="s">
        <v>1600</v>
      </c>
      <c r="C233" s="99" t="s">
        <v>1601</v>
      </c>
      <c r="D233" s="99">
        <v>76</v>
      </c>
      <c r="E233" s="56" t="s">
        <v>3116</v>
      </c>
      <c r="F233" s="56" t="s">
        <v>3124</v>
      </c>
      <c r="G233" s="99" t="s">
        <v>1263</v>
      </c>
      <c r="H233" s="88">
        <v>7</v>
      </c>
      <c r="I233" s="102">
        <v>577</v>
      </c>
      <c r="J233" s="179">
        <v>7</v>
      </c>
      <c r="K233" s="180" t="s">
        <v>3475</v>
      </c>
      <c r="L233" s="88">
        <v>0</v>
      </c>
      <c r="M233" s="88" t="s">
        <v>820</v>
      </c>
      <c r="N233" s="88" t="s">
        <v>884</v>
      </c>
      <c r="O233" s="8" t="s">
        <v>157</v>
      </c>
      <c r="P233" s="8" t="s">
        <v>158</v>
      </c>
      <c r="Q233" s="496">
        <v>45275</v>
      </c>
      <c r="R233" s="90"/>
    </row>
    <row r="234" spans="1:18" s="21" customFormat="1" ht="19.149999999999999" customHeight="1" x14ac:dyDescent="0.3">
      <c r="A234" s="8">
        <v>233</v>
      </c>
      <c r="B234" s="8" t="s">
        <v>51</v>
      </c>
      <c r="C234" s="8" t="s">
        <v>596</v>
      </c>
      <c r="D234" s="8">
        <v>81</v>
      </c>
      <c r="E234" s="19" t="s">
        <v>1618</v>
      </c>
      <c r="F234" s="19" t="s">
        <v>597</v>
      </c>
      <c r="G234" s="8" t="s">
        <v>150</v>
      </c>
      <c r="H234" s="13">
        <v>4</v>
      </c>
      <c r="I234" s="96">
        <v>455</v>
      </c>
      <c r="J234" s="62">
        <v>0</v>
      </c>
      <c r="K234" s="13" t="s">
        <v>310</v>
      </c>
      <c r="L234" s="13">
        <v>0</v>
      </c>
      <c r="M234" s="13" t="s">
        <v>1239</v>
      </c>
      <c r="N234" s="13" t="s">
        <v>1221</v>
      </c>
      <c r="O234" s="10" t="s">
        <v>151</v>
      </c>
      <c r="P234" s="8" t="s">
        <v>152</v>
      </c>
      <c r="Q234" s="14">
        <v>41865</v>
      </c>
      <c r="R234" s="19"/>
    </row>
    <row r="235" spans="1:18" s="21" customFormat="1" ht="19.149999999999999" customHeight="1" x14ac:dyDescent="0.3">
      <c r="A235" s="24">
        <v>234</v>
      </c>
      <c r="B235" s="8" t="s">
        <v>51</v>
      </c>
      <c r="C235" s="8" t="s">
        <v>53</v>
      </c>
      <c r="D235" s="8">
        <v>81</v>
      </c>
      <c r="E235" s="19" t="s">
        <v>1619</v>
      </c>
      <c r="F235" s="19" t="s">
        <v>590</v>
      </c>
      <c r="G235" s="8" t="s">
        <v>150</v>
      </c>
      <c r="H235" s="13">
        <v>8</v>
      </c>
      <c r="I235" s="96">
        <v>1326</v>
      </c>
      <c r="J235" s="62">
        <v>0</v>
      </c>
      <c r="K235" s="13" t="s">
        <v>310</v>
      </c>
      <c r="L235" s="13">
        <v>0</v>
      </c>
      <c r="M235" s="13" t="s">
        <v>1239</v>
      </c>
      <c r="N235" s="13" t="s">
        <v>1221</v>
      </c>
      <c r="O235" s="10" t="s">
        <v>151</v>
      </c>
      <c r="P235" s="8" t="s">
        <v>152</v>
      </c>
      <c r="Q235" s="14">
        <v>36617</v>
      </c>
      <c r="R235" s="19"/>
    </row>
    <row r="236" spans="1:18" s="21" customFormat="1" ht="19.149999999999999" customHeight="1" x14ac:dyDescent="0.3">
      <c r="A236" s="8">
        <v>235</v>
      </c>
      <c r="B236" s="99" t="s">
        <v>51</v>
      </c>
      <c r="C236" s="99" t="s">
        <v>53</v>
      </c>
      <c r="D236" s="99">
        <v>81</v>
      </c>
      <c r="E236" s="30" t="s">
        <v>2777</v>
      </c>
      <c r="F236" s="30" t="s">
        <v>1121</v>
      </c>
      <c r="G236" s="99" t="s">
        <v>150</v>
      </c>
      <c r="H236" s="88">
        <v>10</v>
      </c>
      <c r="I236" s="102">
        <v>1570</v>
      </c>
      <c r="J236" s="71">
        <v>2</v>
      </c>
      <c r="K236" s="88" t="s">
        <v>2735</v>
      </c>
      <c r="L236" s="88">
        <v>1</v>
      </c>
      <c r="M236" s="88" t="s">
        <v>394</v>
      </c>
      <c r="N236" s="88" t="s">
        <v>884</v>
      </c>
      <c r="O236" s="63" t="s">
        <v>151</v>
      </c>
      <c r="P236" s="99" t="s">
        <v>152</v>
      </c>
      <c r="Q236" s="45">
        <v>36617</v>
      </c>
      <c r="R236" s="164" t="s">
        <v>3050</v>
      </c>
    </row>
    <row r="237" spans="1:18" s="21" customFormat="1" ht="19.149999999999999" customHeight="1" x14ac:dyDescent="0.3">
      <c r="A237" s="24">
        <v>236</v>
      </c>
      <c r="B237" s="8" t="s">
        <v>51</v>
      </c>
      <c r="C237" s="8" t="s">
        <v>53</v>
      </c>
      <c r="D237" s="8">
        <v>81</v>
      </c>
      <c r="E237" s="19" t="s">
        <v>1620</v>
      </c>
      <c r="F237" s="19" t="s">
        <v>591</v>
      </c>
      <c r="G237" s="8" t="s">
        <v>150</v>
      </c>
      <c r="H237" s="13">
        <v>7</v>
      </c>
      <c r="I237" s="96">
        <v>1282</v>
      </c>
      <c r="J237" s="62">
        <v>4</v>
      </c>
      <c r="K237" s="13" t="s">
        <v>1621</v>
      </c>
      <c r="L237" s="13">
        <v>0</v>
      </c>
      <c r="M237" s="13" t="s">
        <v>1239</v>
      </c>
      <c r="N237" s="13" t="s">
        <v>1221</v>
      </c>
      <c r="O237" s="10" t="s">
        <v>151</v>
      </c>
      <c r="P237" s="8" t="s">
        <v>152</v>
      </c>
      <c r="Q237" s="14">
        <v>42236</v>
      </c>
      <c r="R237" s="19" t="s">
        <v>1622</v>
      </c>
    </row>
    <row r="238" spans="1:18" s="21" customFormat="1" ht="19.149999999999999" customHeight="1" x14ac:dyDescent="0.3">
      <c r="A238" s="8">
        <v>237</v>
      </c>
      <c r="B238" s="8" t="s">
        <v>51</v>
      </c>
      <c r="C238" s="8" t="s">
        <v>53</v>
      </c>
      <c r="D238" s="8">
        <v>81</v>
      </c>
      <c r="E238" s="16" t="s">
        <v>265</v>
      </c>
      <c r="F238" s="16" t="s">
        <v>595</v>
      </c>
      <c r="G238" s="8" t="s">
        <v>150</v>
      </c>
      <c r="H238" s="13">
        <v>6</v>
      </c>
      <c r="I238" s="96">
        <v>785</v>
      </c>
      <c r="J238" s="62">
        <v>1</v>
      </c>
      <c r="K238" s="13" t="s">
        <v>266</v>
      </c>
      <c r="L238" s="13">
        <v>0</v>
      </c>
      <c r="M238" s="13" t="s">
        <v>1239</v>
      </c>
      <c r="N238" s="13" t="s">
        <v>1221</v>
      </c>
      <c r="O238" s="8" t="s">
        <v>157</v>
      </c>
      <c r="P238" s="8" t="s">
        <v>158</v>
      </c>
      <c r="Q238" s="14">
        <v>37100</v>
      </c>
      <c r="R238" s="30" t="s">
        <v>1623</v>
      </c>
    </row>
    <row r="239" spans="1:18" s="7" customFormat="1" ht="19.149999999999999" customHeight="1" x14ac:dyDescent="0.3">
      <c r="A239" s="24">
        <v>238</v>
      </c>
      <c r="B239" s="8" t="s">
        <v>51</v>
      </c>
      <c r="C239" s="8" t="s">
        <v>53</v>
      </c>
      <c r="D239" s="8">
        <v>81</v>
      </c>
      <c r="E239" s="16" t="s">
        <v>228</v>
      </c>
      <c r="F239" s="16" t="s">
        <v>593</v>
      </c>
      <c r="G239" s="8" t="s">
        <v>150</v>
      </c>
      <c r="H239" s="13">
        <v>9</v>
      </c>
      <c r="I239" s="96">
        <v>1234</v>
      </c>
      <c r="J239" s="62">
        <v>2</v>
      </c>
      <c r="K239" s="13" t="s">
        <v>1279</v>
      </c>
      <c r="L239" s="13">
        <v>0</v>
      </c>
      <c r="M239" s="13" t="s">
        <v>1239</v>
      </c>
      <c r="N239" s="13" t="s">
        <v>1221</v>
      </c>
      <c r="O239" s="23" t="s">
        <v>155</v>
      </c>
      <c r="P239" s="8" t="s">
        <v>156</v>
      </c>
      <c r="Q239" s="14">
        <v>43461</v>
      </c>
      <c r="R239" s="11"/>
    </row>
    <row r="240" spans="1:18" s="7" customFormat="1" ht="19.149999999999999" customHeight="1" x14ac:dyDescent="0.3">
      <c r="A240" s="8">
        <v>239</v>
      </c>
      <c r="B240" s="8" t="s">
        <v>51</v>
      </c>
      <c r="C240" s="8" t="s">
        <v>53</v>
      </c>
      <c r="D240" s="8">
        <v>81</v>
      </c>
      <c r="E240" s="16" t="s">
        <v>241</v>
      </c>
      <c r="F240" s="16" t="s">
        <v>594</v>
      </c>
      <c r="G240" s="8" t="s">
        <v>150</v>
      </c>
      <c r="H240" s="13">
        <v>7</v>
      </c>
      <c r="I240" s="193">
        <v>1002</v>
      </c>
      <c r="J240" s="62">
        <v>0</v>
      </c>
      <c r="K240" s="13" t="s">
        <v>310</v>
      </c>
      <c r="L240" s="13">
        <v>0</v>
      </c>
      <c r="M240" s="13" t="s">
        <v>1239</v>
      </c>
      <c r="N240" s="13" t="s">
        <v>1221</v>
      </c>
      <c r="O240" s="23" t="s">
        <v>155</v>
      </c>
      <c r="P240" s="8" t="s">
        <v>156</v>
      </c>
      <c r="Q240" s="14">
        <v>42979</v>
      </c>
      <c r="R240" s="11"/>
    </row>
    <row r="241" spans="1:18" s="21" customFormat="1" ht="19.149999999999999" customHeight="1" x14ac:dyDescent="0.3">
      <c r="A241" s="24">
        <v>240</v>
      </c>
      <c r="B241" s="8" t="s">
        <v>51</v>
      </c>
      <c r="C241" s="8" t="s">
        <v>53</v>
      </c>
      <c r="D241" s="8">
        <v>81</v>
      </c>
      <c r="E241" s="16" t="s">
        <v>1624</v>
      </c>
      <c r="F241" s="16" t="s">
        <v>592</v>
      </c>
      <c r="G241" s="8" t="s">
        <v>160</v>
      </c>
      <c r="H241" s="13">
        <v>6</v>
      </c>
      <c r="I241" s="96">
        <v>714</v>
      </c>
      <c r="J241" s="62">
        <v>0</v>
      </c>
      <c r="K241" s="13" t="s">
        <v>310</v>
      </c>
      <c r="L241" s="13">
        <v>0</v>
      </c>
      <c r="M241" s="13" t="s">
        <v>1239</v>
      </c>
      <c r="N241" s="13" t="s">
        <v>1221</v>
      </c>
      <c r="O241" s="10" t="s">
        <v>151</v>
      </c>
      <c r="P241" s="8" t="s">
        <v>152</v>
      </c>
      <c r="Q241" s="14">
        <v>38715</v>
      </c>
      <c r="R241" s="30" t="s">
        <v>1625</v>
      </c>
    </row>
    <row r="242" spans="1:18" s="21" customFormat="1" ht="19.149999999999999" customHeight="1" x14ac:dyDescent="0.3">
      <c r="A242" s="8">
        <v>241</v>
      </c>
      <c r="B242" s="24" t="s">
        <v>1600</v>
      </c>
      <c r="C242" s="24" t="s">
        <v>1626</v>
      </c>
      <c r="D242" s="24">
        <v>82</v>
      </c>
      <c r="E242" s="44" t="s">
        <v>1627</v>
      </c>
      <c r="F242" s="44" t="s">
        <v>1628</v>
      </c>
      <c r="G242" s="24" t="s">
        <v>1264</v>
      </c>
      <c r="H242" s="13">
        <v>7</v>
      </c>
      <c r="I242" s="13">
        <v>1087</v>
      </c>
      <c r="J242" s="62">
        <v>2</v>
      </c>
      <c r="K242" s="24" t="s">
        <v>1279</v>
      </c>
      <c r="L242" s="13">
        <v>0</v>
      </c>
      <c r="M242" s="13" t="s">
        <v>1239</v>
      </c>
      <c r="N242" s="13" t="s">
        <v>1221</v>
      </c>
      <c r="O242" s="8" t="s">
        <v>155</v>
      </c>
      <c r="P242" s="8" t="s">
        <v>156</v>
      </c>
      <c r="Q242" s="14">
        <v>44359</v>
      </c>
      <c r="R242" s="24"/>
    </row>
    <row r="243" spans="1:18" s="21" customFormat="1" ht="19.149999999999999" customHeight="1" x14ac:dyDescent="0.3">
      <c r="A243" s="24">
        <v>242</v>
      </c>
      <c r="B243" s="10" t="s">
        <v>51</v>
      </c>
      <c r="C243" s="10" t="s">
        <v>54</v>
      </c>
      <c r="D243" s="8">
        <v>85</v>
      </c>
      <c r="E243" s="11" t="s">
        <v>242</v>
      </c>
      <c r="F243" s="9" t="s">
        <v>645</v>
      </c>
      <c r="G243" s="10" t="s">
        <v>150</v>
      </c>
      <c r="H243" s="13">
        <v>7</v>
      </c>
      <c r="I243" s="96">
        <v>902</v>
      </c>
      <c r="J243" s="62">
        <v>0</v>
      </c>
      <c r="K243" s="13" t="s">
        <v>310</v>
      </c>
      <c r="L243" s="13">
        <v>0</v>
      </c>
      <c r="M243" s="13" t="s">
        <v>1239</v>
      </c>
      <c r="N243" s="13" t="s">
        <v>1221</v>
      </c>
      <c r="O243" s="8" t="s">
        <v>155</v>
      </c>
      <c r="P243" s="8" t="s">
        <v>156</v>
      </c>
      <c r="Q243" s="14">
        <v>42601</v>
      </c>
      <c r="R243" s="11"/>
    </row>
    <row r="244" spans="1:18" s="21" customFormat="1" ht="19.149999999999999" customHeight="1" x14ac:dyDescent="0.3">
      <c r="A244" s="8">
        <v>243</v>
      </c>
      <c r="B244" s="8" t="s">
        <v>51</v>
      </c>
      <c r="C244" s="8" t="s">
        <v>54</v>
      </c>
      <c r="D244" s="8">
        <v>85</v>
      </c>
      <c r="E244" s="19" t="s">
        <v>1629</v>
      </c>
      <c r="F244" s="19" t="s">
        <v>644</v>
      </c>
      <c r="G244" s="8" t="s">
        <v>150</v>
      </c>
      <c r="H244" s="13">
        <v>9</v>
      </c>
      <c r="I244" s="96">
        <v>1362</v>
      </c>
      <c r="J244" s="62">
        <v>0</v>
      </c>
      <c r="K244" s="13" t="s">
        <v>310</v>
      </c>
      <c r="L244" s="13">
        <v>0</v>
      </c>
      <c r="M244" s="13" t="s">
        <v>1239</v>
      </c>
      <c r="N244" s="13" t="s">
        <v>1221</v>
      </c>
      <c r="O244" s="10" t="s">
        <v>151</v>
      </c>
      <c r="P244" s="8" t="s">
        <v>152</v>
      </c>
      <c r="Q244" s="14">
        <v>41662</v>
      </c>
      <c r="R244" s="11"/>
    </row>
    <row r="245" spans="1:18" s="21" customFormat="1" ht="19.149999999999999" customHeight="1" x14ac:dyDescent="0.3">
      <c r="A245" s="24">
        <v>244</v>
      </c>
      <c r="B245" s="10" t="s">
        <v>51</v>
      </c>
      <c r="C245" s="10" t="s">
        <v>54</v>
      </c>
      <c r="D245" s="8">
        <v>85</v>
      </c>
      <c r="E245" s="11" t="s">
        <v>646</v>
      </c>
      <c r="F245" s="11" t="s">
        <v>647</v>
      </c>
      <c r="G245" s="10" t="s">
        <v>150</v>
      </c>
      <c r="H245" s="13">
        <v>6</v>
      </c>
      <c r="I245" s="96">
        <v>1098</v>
      </c>
      <c r="J245" s="62">
        <v>0</v>
      </c>
      <c r="K245" s="13" t="s">
        <v>310</v>
      </c>
      <c r="L245" s="13">
        <v>0</v>
      </c>
      <c r="M245" s="13" t="s">
        <v>1239</v>
      </c>
      <c r="N245" s="13" t="s">
        <v>1221</v>
      </c>
      <c r="O245" s="10" t="s">
        <v>1630</v>
      </c>
      <c r="P245" s="8" t="s">
        <v>158</v>
      </c>
      <c r="Q245" s="14">
        <v>42505</v>
      </c>
      <c r="R245" s="11"/>
    </row>
    <row r="246" spans="1:18" s="21" customFormat="1" ht="19.149999999999999" customHeight="1" x14ac:dyDescent="0.3">
      <c r="A246" s="8">
        <v>245</v>
      </c>
      <c r="B246" s="8" t="s">
        <v>51</v>
      </c>
      <c r="C246" s="8" t="s">
        <v>54</v>
      </c>
      <c r="D246" s="8">
        <v>85</v>
      </c>
      <c r="E246" s="19" t="s">
        <v>1631</v>
      </c>
      <c r="F246" s="19" t="s">
        <v>1122</v>
      </c>
      <c r="G246" s="8" t="s">
        <v>150</v>
      </c>
      <c r="H246" s="13">
        <v>8</v>
      </c>
      <c r="I246" s="96">
        <v>1523</v>
      </c>
      <c r="J246" s="62">
        <v>2</v>
      </c>
      <c r="K246" s="13" t="s">
        <v>728</v>
      </c>
      <c r="L246" s="13">
        <v>0</v>
      </c>
      <c r="M246" s="13" t="s">
        <v>1239</v>
      </c>
      <c r="N246" s="13" t="s">
        <v>1221</v>
      </c>
      <c r="O246" s="10" t="s">
        <v>151</v>
      </c>
      <c r="P246" s="8" t="s">
        <v>152</v>
      </c>
      <c r="Q246" s="14">
        <v>41019</v>
      </c>
      <c r="R246" s="11"/>
    </row>
    <row r="247" spans="1:18" s="21" customFormat="1" ht="19.149999999999999" customHeight="1" x14ac:dyDescent="0.3">
      <c r="A247" s="24">
        <v>246</v>
      </c>
      <c r="B247" s="8" t="s">
        <v>51</v>
      </c>
      <c r="C247" s="8" t="s">
        <v>55</v>
      </c>
      <c r="D247" s="8">
        <v>86</v>
      </c>
      <c r="E247" s="11" t="s">
        <v>1632</v>
      </c>
      <c r="F247" s="19" t="s">
        <v>625</v>
      </c>
      <c r="G247" s="8" t="s">
        <v>150</v>
      </c>
      <c r="H247" s="13">
        <v>10</v>
      </c>
      <c r="I247" s="96">
        <v>1391</v>
      </c>
      <c r="J247" s="62">
        <v>0</v>
      </c>
      <c r="K247" s="13" t="s">
        <v>1239</v>
      </c>
      <c r="L247" s="13">
        <v>0</v>
      </c>
      <c r="M247" s="13" t="s">
        <v>2744</v>
      </c>
      <c r="N247" s="13" t="s">
        <v>1221</v>
      </c>
      <c r="O247" s="10" t="s">
        <v>151</v>
      </c>
      <c r="P247" s="8" t="s">
        <v>152</v>
      </c>
      <c r="Q247" s="14">
        <v>40380</v>
      </c>
      <c r="R247" s="25" t="s">
        <v>2746</v>
      </c>
    </row>
    <row r="248" spans="1:18" s="21" customFormat="1" ht="19.149999999999999" customHeight="1" x14ac:dyDescent="0.3">
      <c r="A248" s="8">
        <v>247</v>
      </c>
      <c r="B248" s="8" t="s">
        <v>573</v>
      </c>
      <c r="C248" s="8" t="s">
        <v>631</v>
      </c>
      <c r="D248" s="8">
        <v>86</v>
      </c>
      <c r="E248" s="19" t="s">
        <v>1633</v>
      </c>
      <c r="F248" s="19" t="s">
        <v>632</v>
      </c>
      <c r="G248" s="8" t="s">
        <v>413</v>
      </c>
      <c r="H248" s="13">
        <v>6</v>
      </c>
      <c r="I248" s="193">
        <v>362</v>
      </c>
      <c r="J248" s="62">
        <v>0</v>
      </c>
      <c r="K248" s="13" t="s">
        <v>310</v>
      </c>
      <c r="L248" s="13">
        <v>0</v>
      </c>
      <c r="M248" s="13" t="s">
        <v>1239</v>
      </c>
      <c r="N248" s="13" t="s">
        <v>1221</v>
      </c>
      <c r="O248" s="10" t="s">
        <v>151</v>
      </c>
      <c r="P248" s="8" t="s">
        <v>152</v>
      </c>
      <c r="Q248" s="14">
        <v>41410</v>
      </c>
      <c r="R248" s="507" t="s">
        <v>3681</v>
      </c>
    </row>
    <row r="249" spans="1:18" s="21" customFormat="1" ht="19.149999999999999" customHeight="1" x14ac:dyDescent="0.3">
      <c r="A249" s="24">
        <v>248</v>
      </c>
      <c r="B249" s="8" t="s">
        <v>51</v>
      </c>
      <c r="C249" s="8" t="s">
        <v>55</v>
      </c>
      <c r="D249" s="8">
        <v>86</v>
      </c>
      <c r="E249" s="16" t="s">
        <v>629</v>
      </c>
      <c r="F249" s="16" t="s">
        <v>1123</v>
      </c>
      <c r="G249" s="8" t="s">
        <v>150</v>
      </c>
      <c r="H249" s="13">
        <v>8</v>
      </c>
      <c r="I249" s="96">
        <v>1522</v>
      </c>
      <c r="J249" s="62">
        <v>2</v>
      </c>
      <c r="K249" s="13" t="s">
        <v>1360</v>
      </c>
      <c r="L249" s="13">
        <v>0</v>
      </c>
      <c r="M249" s="13" t="s">
        <v>1239</v>
      </c>
      <c r="N249" s="13" t="s">
        <v>1221</v>
      </c>
      <c r="O249" s="23" t="s">
        <v>155</v>
      </c>
      <c r="P249" s="8" t="s">
        <v>156</v>
      </c>
      <c r="Q249" s="14">
        <v>40997</v>
      </c>
      <c r="R249" s="11"/>
    </row>
    <row r="250" spans="1:18" s="21" customFormat="1" ht="19.149999999999999" customHeight="1" x14ac:dyDescent="0.3">
      <c r="A250" s="8">
        <v>249</v>
      </c>
      <c r="B250" s="8" t="s">
        <v>573</v>
      </c>
      <c r="C250" s="8" t="s">
        <v>631</v>
      </c>
      <c r="D250" s="8">
        <v>86</v>
      </c>
      <c r="E250" s="16" t="s">
        <v>633</v>
      </c>
      <c r="F250" s="16" t="s">
        <v>634</v>
      </c>
      <c r="G250" s="8" t="s">
        <v>1278</v>
      </c>
      <c r="H250" s="13">
        <v>6</v>
      </c>
      <c r="I250" s="96">
        <v>916</v>
      </c>
      <c r="J250" s="62">
        <v>0</v>
      </c>
      <c r="K250" s="13" t="s">
        <v>310</v>
      </c>
      <c r="L250" s="13">
        <v>0</v>
      </c>
      <c r="M250" s="13" t="s">
        <v>1239</v>
      </c>
      <c r="N250" s="13" t="s">
        <v>1221</v>
      </c>
      <c r="O250" s="8" t="s">
        <v>155</v>
      </c>
      <c r="P250" s="8" t="s">
        <v>156</v>
      </c>
      <c r="Q250" s="14">
        <v>41565</v>
      </c>
      <c r="R250" s="30" t="s">
        <v>1634</v>
      </c>
    </row>
    <row r="251" spans="1:18" s="21" customFormat="1" ht="19.149999999999999" customHeight="1" x14ac:dyDescent="0.3">
      <c r="A251" s="24">
        <v>250</v>
      </c>
      <c r="B251" s="8" t="s">
        <v>51</v>
      </c>
      <c r="C251" s="8" t="s">
        <v>55</v>
      </c>
      <c r="D251" s="8">
        <v>86</v>
      </c>
      <c r="E251" s="16" t="s">
        <v>236</v>
      </c>
      <c r="F251" s="16" t="s">
        <v>626</v>
      </c>
      <c r="G251" s="8" t="s">
        <v>150</v>
      </c>
      <c r="H251" s="13">
        <v>7</v>
      </c>
      <c r="I251" s="193">
        <v>1116</v>
      </c>
      <c r="J251" s="62">
        <v>0</v>
      </c>
      <c r="K251" s="13" t="s">
        <v>1239</v>
      </c>
      <c r="L251" s="13">
        <v>0</v>
      </c>
      <c r="M251" s="13" t="s">
        <v>1239</v>
      </c>
      <c r="N251" s="13" t="s">
        <v>1221</v>
      </c>
      <c r="O251" s="8" t="s">
        <v>155</v>
      </c>
      <c r="P251" s="8" t="s">
        <v>156</v>
      </c>
      <c r="Q251" s="14">
        <v>37386</v>
      </c>
      <c r="R251" s="19"/>
    </row>
    <row r="252" spans="1:18" s="21" customFormat="1" ht="19.149999999999999" customHeight="1" x14ac:dyDescent="0.3">
      <c r="A252" s="8">
        <v>251</v>
      </c>
      <c r="B252" s="8" t="s">
        <v>51</v>
      </c>
      <c r="C252" s="8" t="s">
        <v>55</v>
      </c>
      <c r="D252" s="8">
        <v>86</v>
      </c>
      <c r="E252" s="16" t="s">
        <v>237</v>
      </c>
      <c r="F252" s="16" t="s">
        <v>627</v>
      </c>
      <c r="G252" s="8" t="s">
        <v>150</v>
      </c>
      <c r="H252" s="13">
        <v>8</v>
      </c>
      <c r="I252" s="96">
        <v>858</v>
      </c>
      <c r="J252" s="62">
        <v>0</v>
      </c>
      <c r="K252" s="13" t="s">
        <v>310</v>
      </c>
      <c r="L252" s="13">
        <v>0</v>
      </c>
      <c r="M252" s="13" t="s">
        <v>1239</v>
      </c>
      <c r="N252" s="13" t="s">
        <v>1221</v>
      </c>
      <c r="O252" s="8" t="s">
        <v>155</v>
      </c>
      <c r="P252" s="8" t="s">
        <v>156</v>
      </c>
      <c r="Q252" s="14">
        <v>42493</v>
      </c>
      <c r="R252" s="30" t="s">
        <v>628</v>
      </c>
    </row>
    <row r="253" spans="1:18" s="21" customFormat="1" ht="19.149999999999999" customHeight="1" x14ac:dyDescent="0.3">
      <c r="A253" s="24">
        <v>252</v>
      </c>
      <c r="B253" s="8" t="s">
        <v>51</v>
      </c>
      <c r="C253" s="8" t="s">
        <v>56</v>
      </c>
      <c r="D253" s="8">
        <v>89</v>
      </c>
      <c r="E253" s="19" t="s">
        <v>1635</v>
      </c>
      <c r="F253" s="19" t="s">
        <v>1636</v>
      </c>
      <c r="G253" s="8" t="s">
        <v>1278</v>
      </c>
      <c r="H253" s="13">
        <v>6</v>
      </c>
      <c r="I253" s="96">
        <v>451</v>
      </c>
      <c r="J253" s="62">
        <v>0</v>
      </c>
      <c r="K253" s="13" t="s">
        <v>1239</v>
      </c>
      <c r="L253" s="13">
        <v>0</v>
      </c>
      <c r="M253" s="13" t="s">
        <v>1239</v>
      </c>
      <c r="N253" s="13" t="s">
        <v>1221</v>
      </c>
      <c r="O253" s="10" t="s">
        <v>151</v>
      </c>
      <c r="P253" s="8" t="s">
        <v>152</v>
      </c>
      <c r="Q253" s="14">
        <v>38714</v>
      </c>
      <c r="R253" s="19"/>
    </row>
    <row r="254" spans="1:18" s="21" customFormat="1" ht="19.149999999999999" customHeight="1" x14ac:dyDescent="0.3">
      <c r="A254" s="8">
        <v>253</v>
      </c>
      <c r="B254" s="8" t="s">
        <v>51</v>
      </c>
      <c r="C254" s="8" t="s">
        <v>56</v>
      </c>
      <c r="D254" s="8">
        <v>89</v>
      </c>
      <c r="E254" s="19" t="s">
        <v>1639</v>
      </c>
      <c r="F254" s="19" t="s">
        <v>1125</v>
      </c>
      <c r="G254" s="8" t="s">
        <v>150</v>
      </c>
      <c r="H254" s="13">
        <v>8</v>
      </c>
      <c r="I254" s="96">
        <v>1326</v>
      </c>
      <c r="J254" s="62">
        <v>3</v>
      </c>
      <c r="K254" s="13" t="s">
        <v>1173</v>
      </c>
      <c r="L254" s="13">
        <v>0</v>
      </c>
      <c r="M254" s="13" t="s">
        <v>1239</v>
      </c>
      <c r="N254" s="13" t="s">
        <v>1221</v>
      </c>
      <c r="O254" s="10" t="s">
        <v>151</v>
      </c>
      <c r="P254" s="8" t="s">
        <v>152</v>
      </c>
      <c r="Q254" s="14">
        <v>37855</v>
      </c>
      <c r="R254" s="19"/>
    </row>
    <row r="255" spans="1:18" s="21" customFormat="1" ht="19.149999999999999" customHeight="1" x14ac:dyDescent="0.3">
      <c r="A255" s="24">
        <v>254</v>
      </c>
      <c r="B255" s="8" t="s">
        <v>1637</v>
      </c>
      <c r="C255" s="8" t="s">
        <v>1638</v>
      </c>
      <c r="D255" s="8">
        <v>89</v>
      </c>
      <c r="E255" s="16" t="s">
        <v>1640</v>
      </c>
      <c r="F255" s="19" t="s">
        <v>1641</v>
      </c>
      <c r="G255" s="8" t="s">
        <v>1228</v>
      </c>
      <c r="H255" s="13">
        <v>1</v>
      </c>
      <c r="I255" s="96">
        <v>70</v>
      </c>
      <c r="J255" s="62">
        <v>0</v>
      </c>
      <c r="K255" s="13" t="s">
        <v>1228</v>
      </c>
      <c r="L255" s="13">
        <v>1</v>
      </c>
      <c r="M255" s="13" t="s">
        <v>1234</v>
      </c>
      <c r="N255" s="13" t="s">
        <v>1221</v>
      </c>
      <c r="O255" s="40" t="s">
        <v>1642</v>
      </c>
      <c r="P255" s="24" t="s">
        <v>1643</v>
      </c>
      <c r="Q255" s="14">
        <v>43451</v>
      </c>
      <c r="R255" s="19"/>
    </row>
    <row r="256" spans="1:18" s="21" customFormat="1" ht="19.149999999999999" customHeight="1" x14ac:dyDescent="0.3">
      <c r="A256" s="8">
        <v>255</v>
      </c>
      <c r="B256" s="10" t="s">
        <v>51</v>
      </c>
      <c r="C256" s="10" t="s">
        <v>56</v>
      </c>
      <c r="D256" s="8">
        <v>89</v>
      </c>
      <c r="E256" s="11" t="s">
        <v>222</v>
      </c>
      <c r="F256" s="9" t="s">
        <v>1644</v>
      </c>
      <c r="G256" s="10" t="s">
        <v>150</v>
      </c>
      <c r="H256" s="13">
        <v>8</v>
      </c>
      <c r="I256" s="96">
        <v>1297</v>
      </c>
      <c r="J256" s="62">
        <v>0</v>
      </c>
      <c r="K256" s="13" t="s">
        <v>310</v>
      </c>
      <c r="L256" s="13">
        <v>0</v>
      </c>
      <c r="M256" s="13" t="s">
        <v>1239</v>
      </c>
      <c r="N256" s="13" t="s">
        <v>1221</v>
      </c>
      <c r="O256" s="8" t="s">
        <v>155</v>
      </c>
      <c r="P256" s="8" t="s">
        <v>156</v>
      </c>
      <c r="Q256" s="14">
        <v>40619</v>
      </c>
      <c r="R256" s="31"/>
    </row>
    <row r="257" spans="1:18" s="21" customFormat="1" ht="19.149999999999999" customHeight="1" x14ac:dyDescent="0.3">
      <c r="A257" s="24">
        <v>256</v>
      </c>
      <c r="B257" s="8" t="s">
        <v>51</v>
      </c>
      <c r="C257" s="8" t="s">
        <v>589</v>
      </c>
      <c r="D257" s="8">
        <v>89</v>
      </c>
      <c r="E257" s="19" t="s">
        <v>1645</v>
      </c>
      <c r="F257" s="19" t="s">
        <v>1646</v>
      </c>
      <c r="G257" s="8" t="s">
        <v>150</v>
      </c>
      <c r="H257" s="13">
        <v>8</v>
      </c>
      <c r="I257" s="96">
        <v>1119</v>
      </c>
      <c r="J257" s="62">
        <v>0</v>
      </c>
      <c r="K257" s="13" t="s">
        <v>1239</v>
      </c>
      <c r="L257" s="13">
        <v>0</v>
      </c>
      <c r="M257" s="13" t="s">
        <v>1239</v>
      </c>
      <c r="N257" s="13" t="s">
        <v>1221</v>
      </c>
      <c r="O257" s="10" t="s">
        <v>151</v>
      </c>
      <c r="P257" s="8" t="s">
        <v>152</v>
      </c>
      <c r="Q257" s="14">
        <v>41795</v>
      </c>
      <c r="R257" s="30" t="s">
        <v>1647</v>
      </c>
    </row>
    <row r="258" spans="1:18" s="21" customFormat="1" ht="19.149999999999999" customHeight="1" x14ac:dyDescent="0.3">
      <c r="A258" s="8">
        <v>257</v>
      </c>
      <c r="B258" s="10" t="s">
        <v>51</v>
      </c>
      <c r="C258" s="10" t="s">
        <v>56</v>
      </c>
      <c r="D258" s="8">
        <v>89</v>
      </c>
      <c r="E258" s="11" t="s">
        <v>587</v>
      </c>
      <c r="F258" s="9" t="s">
        <v>1648</v>
      </c>
      <c r="G258" s="10" t="s">
        <v>413</v>
      </c>
      <c r="H258" s="13">
        <v>9</v>
      </c>
      <c r="I258" s="96">
        <v>806</v>
      </c>
      <c r="J258" s="62">
        <v>0</v>
      </c>
      <c r="K258" s="13" t="s">
        <v>310</v>
      </c>
      <c r="L258" s="13">
        <v>0</v>
      </c>
      <c r="M258" s="13" t="s">
        <v>1239</v>
      </c>
      <c r="N258" s="13" t="s">
        <v>1221</v>
      </c>
      <c r="O258" s="23" t="s">
        <v>155</v>
      </c>
      <c r="P258" s="8" t="s">
        <v>156</v>
      </c>
      <c r="Q258" s="14">
        <v>41312</v>
      </c>
      <c r="R258" s="89" t="s">
        <v>588</v>
      </c>
    </row>
    <row r="259" spans="1:18" s="21" customFormat="1" ht="19.149999999999999" customHeight="1" x14ac:dyDescent="0.3">
      <c r="A259" s="24">
        <v>258</v>
      </c>
      <c r="B259" s="8" t="s">
        <v>51</v>
      </c>
      <c r="C259" s="8" t="s">
        <v>56</v>
      </c>
      <c r="D259" s="8">
        <v>89</v>
      </c>
      <c r="E259" s="19" t="s">
        <v>1649</v>
      </c>
      <c r="F259" s="19" t="s">
        <v>1650</v>
      </c>
      <c r="G259" s="8" t="s">
        <v>150</v>
      </c>
      <c r="H259" s="13">
        <v>11</v>
      </c>
      <c r="I259" s="96">
        <v>1773</v>
      </c>
      <c r="J259" s="62">
        <v>1</v>
      </c>
      <c r="K259" s="13" t="s">
        <v>187</v>
      </c>
      <c r="L259" s="13">
        <v>0</v>
      </c>
      <c r="M259" s="13" t="s">
        <v>2744</v>
      </c>
      <c r="N259" s="13" t="s">
        <v>1221</v>
      </c>
      <c r="O259" s="10" t="s">
        <v>151</v>
      </c>
      <c r="P259" s="8" t="s">
        <v>152</v>
      </c>
      <c r="Q259" s="14">
        <v>39337</v>
      </c>
      <c r="R259" s="30" t="s">
        <v>2745</v>
      </c>
    </row>
    <row r="260" spans="1:18" s="21" customFormat="1" ht="19.149999999999999" customHeight="1" x14ac:dyDescent="0.3">
      <c r="A260" s="8">
        <v>259</v>
      </c>
      <c r="B260" s="8" t="s">
        <v>1600</v>
      </c>
      <c r="C260" s="8" t="s">
        <v>1651</v>
      </c>
      <c r="D260" s="8">
        <v>89</v>
      </c>
      <c r="E260" s="19" t="s">
        <v>1652</v>
      </c>
      <c r="F260" s="19" t="s">
        <v>1653</v>
      </c>
      <c r="G260" s="8" t="s">
        <v>1278</v>
      </c>
      <c r="H260" s="13">
        <v>6</v>
      </c>
      <c r="I260" s="96">
        <v>634</v>
      </c>
      <c r="J260" s="62">
        <v>0</v>
      </c>
      <c r="K260" s="13" t="s">
        <v>1239</v>
      </c>
      <c r="L260" s="13">
        <v>0</v>
      </c>
      <c r="M260" s="13" t="s">
        <v>1239</v>
      </c>
      <c r="N260" s="13" t="s">
        <v>1221</v>
      </c>
      <c r="O260" s="10" t="s">
        <v>151</v>
      </c>
      <c r="P260" s="8" t="s">
        <v>152</v>
      </c>
      <c r="Q260" s="14">
        <v>43915</v>
      </c>
      <c r="R260" s="19"/>
    </row>
    <row r="261" spans="1:18" s="21" customFormat="1" ht="19.149999999999999" customHeight="1" x14ac:dyDescent="0.3">
      <c r="A261" s="24">
        <v>260</v>
      </c>
      <c r="B261" s="8" t="s">
        <v>1600</v>
      </c>
      <c r="C261" s="8" t="s">
        <v>1651</v>
      </c>
      <c r="D261" s="8">
        <v>89</v>
      </c>
      <c r="E261" s="19" t="s">
        <v>1654</v>
      </c>
      <c r="F261" s="19" t="s">
        <v>1655</v>
      </c>
      <c r="G261" s="8" t="s">
        <v>1264</v>
      </c>
      <c r="H261" s="13">
        <v>5</v>
      </c>
      <c r="I261" s="96">
        <v>829</v>
      </c>
      <c r="J261" s="62">
        <v>0</v>
      </c>
      <c r="K261" s="13" t="s">
        <v>1239</v>
      </c>
      <c r="L261" s="13">
        <v>0</v>
      </c>
      <c r="M261" s="13" t="s">
        <v>1239</v>
      </c>
      <c r="N261" s="13" t="s">
        <v>1221</v>
      </c>
      <c r="O261" s="8" t="s">
        <v>157</v>
      </c>
      <c r="P261" s="8" t="s">
        <v>158</v>
      </c>
      <c r="Q261" s="14">
        <v>43711</v>
      </c>
      <c r="R261" s="19"/>
    </row>
    <row r="262" spans="1:18" s="21" customFormat="1" ht="19.149999999999999" customHeight="1" x14ac:dyDescent="0.3">
      <c r="A262" s="8">
        <v>261</v>
      </c>
      <c r="B262" s="24" t="s">
        <v>1600</v>
      </c>
      <c r="C262" s="24" t="s">
        <v>1656</v>
      </c>
      <c r="D262" s="24">
        <v>90</v>
      </c>
      <c r="E262" s="44" t="s">
        <v>1657</v>
      </c>
      <c r="F262" s="44" t="s">
        <v>1658</v>
      </c>
      <c r="G262" s="493" t="s">
        <v>3447</v>
      </c>
      <c r="H262" s="174">
        <v>6</v>
      </c>
      <c r="I262" s="494">
        <v>474</v>
      </c>
      <c r="J262" s="177">
        <v>6</v>
      </c>
      <c r="K262" s="174" t="s">
        <v>1596</v>
      </c>
      <c r="L262" s="13">
        <v>0</v>
      </c>
      <c r="M262" s="13" t="s">
        <v>1239</v>
      </c>
      <c r="N262" s="13" t="s">
        <v>1221</v>
      </c>
      <c r="O262" s="8" t="s">
        <v>157</v>
      </c>
      <c r="P262" s="8" t="s">
        <v>158</v>
      </c>
      <c r="Q262" s="14">
        <v>44747</v>
      </c>
      <c r="R262" s="44" t="s">
        <v>3514</v>
      </c>
    </row>
    <row r="263" spans="1:18" s="21" customFormat="1" ht="19.149999999999999" customHeight="1" x14ac:dyDescent="0.3">
      <c r="A263" s="24">
        <v>262</v>
      </c>
      <c r="B263" s="24" t="s">
        <v>1600</v>
      </c>
      <c r="C263" s="24" t="s">
        <v>1656</v>
      </c>
      <c r="D263" s="24">
        <v>90</v>
      </c>
      <c r="E263" s="44" t="s">
        <v>1659</v>
      </c>
      <c r="F263" s="44" t="s">
        <v>1660</v>
      </c>
      <c r="G263" s="24" t="s">
        <v>1264</v>
      </c>
      <c r="H263" s="13">
        <v>6</v>
      </c>
      <c r="I263" s="13">
        <v>795</v>
      </c>
      <c r="J263" s="62">
        <v>6</v>
      </c>
      <c r="K263" s="13" t="s">
        <v>1596</v>
      </c>
      <c r="L263" s="13">
        <v>0</v>
      </c>
      <c r="M263" s="13" t="s">
        <v>1239</v>
      </c>
      <c r="N263" s="13" t="s">
        <v>1221</v>
      </c>
      <c r="O263" s="8" t="s">
        <v>157</v>
      </c>
      <c r="P263" s="8" t="s">
        <v>158</v>
      </c>
      <c r="Q263" s="14">
        <v>44496</v>
      </c>
      <c r="R263" s="24"/>
    </row>
    <row r="264" spans="1:18" s="21" customFormat="1" ht="19.149999999999999" customHeight="1" x14ac:dyDescent="0.3">
      <c r="A264" s="8">
        <v>263</v>
      </c>
      <c r="B264" s="8" t="s">
        <v>51</v>
      </c>
      <c r="C264" s="8" t="s">
        <v>564</v>
      </c>
      <c r="D264" s="8">
        <v>90</v>
      </c>
      <c r="E264" s="27" t="s">
        <v>565</v>
      </c>
      <c r="F264" s="16" t="s">
        <v>566</v>
      </c>
      <c r="G264" s="23" t="s">
        <v>318</v>
      </c>
      <c r="H264" s="13">
        <v>6</v>
      </c>
      <c r="I264" s="96">
        <v>1042</v>
      </c>
      <c r="J264" s="62">
        <v>0</v>
      </c>
      <c r="K264" s="13" t="s">
        <v>310</v>
      </c>
      <c r="L264" s="13">
        <v>0</v>
      </c>
      <c r="M264" s="13" t="s">
        <v>1239</v>
      </c>
      <c r="N264" s="13" t="s">
        <v>1221</v>
      </c>
      <c r="O264" s="8" t="s">
        <v>155</v>
      </c>
      <c r="P264" s="8" t="s">
        <v>156</v>
      </c>
      <c r="Q264" s="14">
        <v>42012</v>
      </c>
      <c r="R264" s="11"/>
    </row>
    <row r="265" spans="1:18" s="21" customFormat="1" ht="19.149999999999999" customHeight="1" x14ac:dyDescent="0.3">
      <c r="A265" s="24">
        <v>264</v>
      </c>
      <c r="B265" s="8" t="s">
        <v>51</v>
      </c>
      <c r="C265" s="8" t="s">
        <v>564</v>
      </c>
      <c r="D265" s="8">
        <v>90</v>
      </c>
      <c r="E265" s="27" t="s">
        <v>567</v>
      </c>
      <c r="F265" s="16" t="s">
        <v>1067</v>
      </c>
      <c r="G265" s="23" t="s">
        <v>318</v>
      </c>
      <c r="H265" s="13">
        <v>7</v>
      </c>
      <c r="I265" s="96">
        <v>1216</v>
      </c>
      <c r="J265" s="62">
        <v>1</v>
      </c>
      <c r="K265" s="13" t="s">
        <v>1074</v>
      </c>
      <c r="L265" s="13">
        <v>0</v>
      </c>
      <c r="M265" s="13" t="s">
        <v>1239</v>
      </c>
      <c r="N265" s="13" t="s">
        <v>1221</v>
      </c>
      <c r="O265" s="23" t="s">
        <v>155</v>
      </c>
      <c r="P265" s="8" t="s">
        <v>156</v>
      </c>
      <c r="Q265" s="14">
        <v>41978</v>
      </c>
      <c r="R265" s="11" t="s">
        <v>1661</v>
      </c>
    </row>
    <row r="266" spans="1:18" s="21" customFormat="1" ht="19.149999999999999" customHeight="1" x14ac:dyDescent="0.3">
      <c r="A266" s="8">
        <v>265</v>
      </c>
      <c r="B266" s="8" t="s">
        <v>1600</v>
      </c>
      <c r="C266" s="8" t="s">
        <v>1656</v>
      </c>
      <c r="D266" s="8">
        <v>90</v>
      </c>
      <c r="E266" s="19" t="s">
        <v>1662</v>
      </c>
      <c r="F266" s="19" t="s">
        <v>1663</v>
      </c>
      <c r="G266" s="8" t="s">
        <v>1278</v>
      </c>
      <c r="H266" s="13">
        <v>5</v>
      </c>
      <c r="I266" s="96">
        <v>374</v>
      </c>
      <c r="J266" s="62">
        <v>0</v>
      </c>
      <c r="K266" s="13" t="s">
        <v>1239</v>
      </c>
      <c r="L266" s="13">
        <v>0</v>
      </c>
      <c r="M266" s="13" t="s">
        <v>1239</v>
      </c>
      <c r="N266" s="13" t="s">
        <v>1221</v>
      </c>
      <c r="O266" s="10" t="s">
        <v>151</v>
      </c>
      <c r="P266" s="8" t="s">
        <v>152</v>
      </c>
      <c r="Q266" s="14">
        <v>44684</v>
      </c>
      <c r="R266" s="30"/>
    </row>
    <row r="267" spans="1:18" s="21" customFormat="1" ht="19.149999999999999" customHeight="1" x14ac:dyDescent="0.3">
      <c r="A267" s="24">
        <v>266</v>
      </c>
      <c r="B267" s="8" t="s">
        <v>51</v>
      </c>
      <c r="C267" s="8" t="s">
        <v>58</v>
      </c>
      <c r="D267" s="8">
        <v>91</v>
      </c>
      <c r="E267" s="56" t="s">
        <v>1667</v>
      </c>
      <c r="F267" s="16" t="s">
        <v>658</v>
      </c>
      <c r="G267" s="8" t="s">
        <v>160</v>
      </c>
      <c r="H267" s="13">
        <v>5</v>
      </c>
      <c r="I267" s="96">
        <v>333</v>
      </c>
      <c r="J267" s="62">
        <v>0</v>
      </c>
      <c r="K267" s="42" t="s">
        <v>310</v>
      </c>
      <c r="L267" s="13">
        <v>0</v>
      </c>
      <c r="M267" s="13" t="s">
        <v>1239</v>
      </c>
      <c r="N267" s="13" t="s">
        <v>1221</v>
      </c>
      <c r="O267" s="23" t="s">
        <v>155</v>
      </c>
      <c r="P267" s="8" t="s">
        <v>156</v>
      </c>
      <c r="Q267" s="14">
        <v>41730</v>
      </c>
      <c r="R267" s="30" t="s">
        <v>1668</v>
      </c>
    </row>
    <row r="268" spans="1:18" s="21" customFormat="1" ht="19.149999999999999" customHeight="1" x14ac:dyDescent="0.3">
      <c r="A268" s="8">
        <v>267</v>
      </c>
      <c r="B268" s="8" t="s">
        <v>1600</v>
      </c>
      <c r="C268" s="8" t="s">
        <v>1669</v>
      </c>
      <c r="D268" s="8">
        <v>91</v>
      </c>
      <c r="E268" s="16" t="s">
        <v>1670</v>
      </c>
      <c r="F268" s="16" t="s">
        <v>1671</v>
      </c>
      <c r="G268" s="8" t="s">
        <v>1278</v>
      </c>
      <c r="H268" s="13">
        <v>8</v>
      </c>
      <c r="I268" s="96">
        <v>516</v>
      </c>
      <c r="J268" s="62">
        <v>0</v>
      </c>
      <c r="K268" s="42" t="s">
        <v>310</v>
      </c>
      <c r="L268" s="13">
        <v>0</v>
      </c>
      <c r="M268" s="13" t="s">
        <v>1239</v>
      </c>
      <c r="N268" s="13" t="s">
        <v>1221</v>
      </c>
      <c r="O268" s="10" t="s">
        <v>151</v>
      </c>
      <c r="P268" s="8" t="s">
        <v>152</v>
      </c>
      <c r="Q268" s="14">
        <v>44575</v>
      </c>
      <c r="R268" s="31"/>
    </row>
    <row r="269" spans="1:18" s="21" customFormat="1" ht="19.149999999999999" customHeight="1" x14ac:dyDescent="0.3">
      <c r="A269" s="24">
        <v>268</v>
      </c>
      <c r="B269" s="8" t="s">
        <v>51</v>
      </c>
      <c r="C269" s="8" t="s">
        <v>58</v>
      </c>
      <c r="D269" s="8">
        <v>91</v>
      </c>
      <c r="E269" s="16" t="s">
        <v>231</v>
      </c>
      <c r="F269" s="16" t="s">
        <v>660</v>
      </c>
      <c r="G269" s="8" t="s">
        <v>150</v>
      </c>
      <c r="H269" s="13">
        <v>5</v>
      </c>
      <c r="I269" s="96">
        <v>932</v>
      </c>
      <c r="J269" s="62">
        <v>0</v>
      </c>
      <c r="K269" s="42" t="s">
        <v>310</v>
      </c>
      <c r="L269" s="13">
        <v>0</v>
      </c>
      <c r="M269" s="13" t="s">
        <v>1239</v>
      </c>
      <c r="N269" s="13" t="s">
        <v>1221</v>
      </c>
      <c r="O269" s="8" t="s">
        <v>155</v>
      </c>
      <c r="P269" s="8" t="s">
        <v>156</v>
      </c>
      <c r="Q269" s="14">
        <v>39697</v>
      </c>
      <c r="R269" s="31"/>
    </row>
    <row r="270" spans="1:18" s="21" customFormat="1" ht="19.149999999999999" customHeight="1" x14ac:dyDescent="0.3">
      <c r="A270" s="8">
        <v>269</v>
      </c>
      <c r="B270" s="8" t="s">
        <v>51</v>
      </c>
      <c r="C270" s="8" t="s">
        <v>58</v>
      </c>
      <c r="D270" s="8">
        <v>91</v>
      </c>
      <c r="E270" s="16" t="s">
        <v>1672</v>
      </c>
      <c r="F270" s="16" t="s">
        <v>659</v>
      </c>
      <c r="G270" s="8" t="s">
        <v>150</v>
      </c>
      <c r="H270" s="13">
        <v>6</v>
      </c>
      <c r="I270" s="96">
        <v>750</v>
      </c>
      <c r="J270" s="62">
        <v>0</v>
      </c>
      <c r="K270" s="42" t="s">
        <v>310</v>
      </c>
      <c r="L270" s="13">
        <v>0</v>
      </c>
      <c r="M270" s="13" t="s">
        <v>1239</v>
      </c>
      <c r="N270" s="13" t="s">
        <v>1221</v>
      </c>
      <c r="O270" s="10" t="s">
        <v>151</v>
      </c>
      <c r="P270" s="8" t="s">
        <v>152</v>
      </c>
      <c r="Q270" s="14">
        <v>42788</v>
      </c>
      <c r="R270" s="31"/>
    </row>
    <row r="271" spans="1:18" s="21" customFormat="1" ht="19.149999999999999" customHeight="1" x14ac:dyDescent="0.3">
      <c r="A271" s="24">
        <v>270</v>
      </c>
      <c r="B271" s="8" t="s">
        <v>51</v>
      </c>
      <c r="C271" s="8" t="s">
        <v>58</v>
      </c>
      <c r="D271" s="8">
        <v>91</v>
      </c>
      <c r="E271" s="19" t="s">
        <v>1673</v>
      </c>
      <c r="F271" s="19" t="s">
        <v>1126</v>
      </c>
      <c r="G271" s="8" t="s">
        <v>150</v>
      </c>
      <c r="H271" s="13">
        <v>8</v>
      </c>
      <c r="I271" s="193">
        <v>1315</v>
      </c>
      <c r="J271" s="177">
        <v>3</v>
      </c>
      <c r="K271" s="174" t="s">
        <v>3528</v>
      </c>
      <c r="L271" s="13">
        <v>0</v>
      </c>
      <c r="M271" s="13" t="s">
        <v>1239</v>
      </c>
      <c r="N271" s="13" t="s">
        <v>1221</v>
      </c>
      <c r="O271" s="10" t="s">
        <v>151</v>
      </c>
      <c r="P271" s="8" t="s">
        <v>152</v>
      </c>
      <c r="Q271" s="14">
        <v>39927</v>
      </c>
      <c r="R271" s="3" t="s">
        <v>3529</v>
      </c>
    </row>
    <row r="272" spans="1:18" s="21" customFormat="1" ht="19.149999999999999" customHeight="1" x14ac:dyDescent="0.3">
      <c r="A272" s="8">
        <v>271</v>
      </c>
      <c r="B272" s="8" t="s">
        <v>51</v>
      </c>
      <c r="C272" s="8" t="s">
        <v>59</v>
      </c>
      <c r="D272" s="8">
        <v>92</v>
      </c>
      <c r="E272" s="16" t="s">
        <v>1674</v>
      </c>
      <c r="F272" s="16" t="s">
        <v>1675</v>
      </c>
      <c r="G272" s="8" t="s">
        <v>310</v>
      </c>
      <c r="H272" s="13">
        <v>1</v>
      </c>
      <c r="I272" s="96">
        <v>283</v>
      </c>
      <c r="J272" s="62">
        <v>0</v>
      </c>
      <c r="K272" s="13" t="s">
        <v>310</v>
      </c>
      <c r="L272" s="13">
        <v>0</v>
      </c>
      <c r="M272" s="13" t="s">
        <v>1239</v>
      </c>
      <c r="N272" s="13" t="s">
        <v>1221</v>
      </c>
      <c r="O272" s="8" t="s">
        <v>1676</v>
      </c>
      <c r="P272" s="10" t="s">
        <v>1677</v>
      </c>
      <c r="Q272" s="14">
        <v>31594</v>
      </c>
      <c r="R272" s="30" t="s">
        <v>1678</v>
      </c>
    </row>
    <row r="273" spans="1:18" s="21" customFormat="1" ht="19.149999999999999" customHeight="1" x14ac:dyDescent="0.3">
      <c r="A273" s="24">
        <v>272</v>
      </c>
      <c r="B273" s="8" t="s">
        <v>51</v>
      </c>
      <c r="C273" s="8" t="s">
        <v>59</v>
      </c>
      <c r="D273" s="8">
        <v>92</v>
      </c>
      <c r="E273" s="16" t="s">
        <v>290</v>
      </c>
      <c r="F273" s="19" t="s">
        <v>1679</v>
      </c>
      <c r="G273" s="8" t="s">
        <v>310</v>
      </c>
      <c r="H273" s="13">
        <v>2</v>
      </c>
      <c r="I273" s="96">
        <v>292</v>
      </c>
      <c r="J273" s="62">
        <v>0</v>
      </c>
      <c r="K273" s="13" t="s">
        <v>310</v>
      </c>
      <c r="L273" s="13">
        <v>0</v>
      </c>
      <c r="M273" s="13" t="s">
        <v>1239</v>
      </c>
      <c r="N273" s="13" t="s">
        <v>1221</v>
      </c>
      <c r="O273" s="40" t="s">
        <v>1680</v>
      </c>
      <c r="P273" s="10" t="s">
        <v>1681</v>
      </c>
      <c r="Q273" s="14">
        <v>26299</v>
      </c>
      <c r="R273" s="19"/>
    </row>
    <row r="274" spans="1:18" s="21" customFormat="1" ht="19.149999999999999" customHeight="1" x14ac:dyDescent="0.3">
      <c r="A274" s="8">
        <v>273</v>
      </c>
      <c r="B274" s="99" t="s">
        <v>1600</v>
      </c>
      <c r="C274" s="99" t="s">
        <v>3030</v>
      </c>
      <c r="D274" s="99">
        <v>92</v>
      </c>
      <c r="E274" s="56" t="s">
        <v>3028</v>
      </c>
      <c r="F274" s="56" t="s">
        <v>3029</v>
      </c>
      <c r="G274" s="99" t="s">
        <v>1277</v>
      </c>
      <c r="H274" s="88">
        <v>4</v>
      </c>
      <c r="I274" s="102">
        <v>346</v>
      </c>
      <c r="J274" s="71">
        <v>0</v>
      </c>
      <c r="K274" s="88" t="s">
        <v>820</v>
      </c>
      <c r="L274" s="88">
        <v>0</v>
      </c>
      <c r="M274" s="88" t="s">
        <v>820</v>
      </c>
      <c r="N274" s="88" t="s">
        <v>884</v>
      </c>
      <c r="O274" s="10" t="s">
        <v>151</v>
      </c>
      <c r="P274" s="8" t="s">
        <v>152</v>
      </c>
      <c r="Q274" s="45">
        <v>45147</v>
      </c>
      <c r="R274" s="3"/>
    </row>
    <row r="275" spans="1:18" s="95" customFormat="1" ht="19.149999999999999" customHeight="1" x14ac:dyDescent="0.3">
      <c r="A275" s="24">
        <v>274</v>
      </c>
      <c r="B275" s="8" t="s">
        <v>51</v>
      </c>
      <c r="C275" s="8" t="s">
        <v>60</v>
      </c>
      <c r="D275" s="8">
        <v>93</v>
      </c>
      <c r="E275" s="16" t="s">
        <v>271</v>
      </c>
      <c r="F275" s="16" t="s">
        <v>620</v>
      </c>
      <c r="G275" s="8" t="s">
        <v>160</v>
      </c>
      <c r="H275" s="13">
        <v>6</v>
      </c>
      <c r="I275" s="96">
        <v>371</v>
      </c>
      <c r="J275" s="62">
        <v>0</v>
      </c>
      <c r="K275" s="13" t="s">
        <v>2972</v>
      </c>
      <c r="L275" s="13">
        <v>0</v>
      </c>
      <c r="M275" s="13" t="s">
        <v>1239</v>
      </c>
      <c r="N275" s="13" t="s">
        <v>1221</v>
      </c>
      <c r="O275" s="8" t="s">
        <v>157</v>
      </c>
      <c r="P275" s="8" t="s">
        <v>158</v>
      </c>
      <c r="Q275" s="14">
        <v>42206</v>
      </c>
      <c r="R275" s="30" t="s">
        <v>621</v>
      </c>
    </row>
    <row r="276" spans="1:18" s="21" customFormat="1" ht="19.149999999999999" customHeight="1" x14ac:dyDescent="0.3">
      <c r="A276" s="8">
        <v>275</v>
      </c>
      <c r="B276" s="8" t="s">
        <v>51</v>
      </c>
      <c r="C276" s="8" t="s">
        <v>60</v>
      </c>
      <c r="D276" s="8">
        <v>93</v>
      </c>
      <c r="E276" s="16" t="s">
        <v>614</v>
      </c>
      <c r="F276" s="16" t="s">
        <v>615</v>
      </c>
      <c r="G276" s="8" t="s">
        <v>150</v>
      </c>
      <c r="H276" s="13">
        <v>9</v>
      </c>
      <c r="I276" s="96">
        <v>1429</v>
      </c>
      <c r="J276" s="62">
        <v>0</v>
      </c>
      <c r="K276" s="13" t="s">
        <v>310</v>
      </c>
      <c r="L276" s="13">
        <v>0</v>
      </c>
      <c r="M276" s="13" t="s">
        <v>1239</v>
      </c>
      <c r="N276" s="13" t="s">
        <v>1221</v>
      </c>
      <c r="O276" s="23" t="s">
        <v>155</v>
      </c>
      <c r="P276" s="8" t="s">
        <v>156</v>
      </c>
      <c r="Q276" s="14">
        <v>39114</v>
      </c>
      <c r="R276" s="19"/>
    </row>
    <row r="277" spans="1:18" s="21" customFormat="1" ht="19.149999999999999" customHeight="1" x14ac:dyDescent="0.3">
      <c r="A277" s="24">
        <v>276</v>
      </c>
      <c r="B277" s="8" t="s">
        <v>51</v>
      </c>
      <c r="C277" s="8" t="s">
        <v>60</v>
      </c>
      <c r="D277" s="8">
        <v>93</v>
      </c>
      <c r="E277" s="16" t="s">
        <v>617</v>
      </c>
      <c r="F277" s="16" t="s">
        <v>618</v>
      </c>
      <c r="G277" s="8" t="s">
        <v>150</v>
      </c>
      <c r="H277" s="13">
        <v>7</v>
      </c>
      <c r="I277" s="96">
        <v>1788</v>
      </c>
      <c r="J277" s="62">
        <v>0</v>
      </c>
      <c r="K277" s="13" t="s">
        <v>310</v>
      </c>
      <c r="L277" s="13">
        <v>0</v>
      </c>
      <c r="M277" s="13" t="s">
        <v>1239</v>
      </c>
      <c r="N277" s="13" t="s">
        <v>1221</v>
      </c>
      <c r="O277" s="23" t="s">
        <v>155</v>
      </c>
      <c r="P277" s="8" t="s">
        <v>156</v>
      </c>
      <c r="Q277" s="14">
        <v>42202</v>
      </c>
      <c r="R277" s="30" t="s">
        <v>619</v>
      </c>
    </row>
    <row r="278" spans="1:18" s="21" customFormat="1" ht="19.149999999999999" customHeight="1" x14ac:dyDescent="0.3">
      <c r="A278" s="8">
        <v>277</v>
      </c>
      <c r="B278" s="8" t="s">
        <v>51</v>
      </c>
      <c r="C278" s="8" t="s">
        <v>60</v>
      </c>
      <c r="D278" s="8">
        <v>93</v>
      </c>
      <c r="E278" s="19" t="s">
        <v>1682</v>
      </c>
      <c r="F278" s="19" t="s">
        <v>1140</v>
      </c>
      <c r="G278" s="8" t="s">
        <v>150</v>
      </c>
      <c r="H278" s="13">
        <v>8</v>
      </c>
      <c r="I278" s="96">
        <v>1608</v>
      </c>
      <c r="J278" s="62">
        <v>2</v>
      </c>
      <c r="K278" s="13" t="s">
        <v>1172</v>
      </c>
      <c r="L278" s="13">
        <v>0</v>
      </c>
      <c r="M278" s="13" t="s">
        <v>1239</v>
      </c>
      <c r="N278" s="13" t="s">
        <v>1221</v>
      </c>
      <c r="O278" s="10" t="s">
        <v>151</v>
      </c>
      <c r="P278" s="8" t="s">
        <v>152</v>
      </c>
      <c r="Q278" s="14">
        <v>39590</v>
      </c>
      <c r="R278" s="36"/>
    </row>
    <row r="279" spans="1:18" s="21" customFormat="1" ht="19.149999999999999" customHeight="1" x14ac:dyDescent="0.3">
      <c r="A279" s="24">
        <v>278</v>
      </c>
      <c r="B279" s="8" t="s">
        <v>1683</v>
      </c>
      <c r="C279" s="8" t="s">
        <v>1684</v>
      </c>
      <c r="D279" s="8">
        <v>93</v>
      </c>
      <c r="E279" s="19" t="s">
        <v>1685</v>
      </c>
      <c r="F279" s="19" t="s">
        <v>1686</v>
      </c>
      <c r="G279" s="8" t="s">
        <v>1228</v>
      </c>
      <c r="H279" s="13">
        <v>1</v>
      </c>
      <c r="I279" s="96">
        <v>199</v>
      </c>
      <c r="J279" s="62">
        <v>0</v>
      </c>
      <c r="K279" s="13" t="s">
        <v>1228</v>
      </c>
      <c r="L279" s="13">
        <v>1</v>
      </c>
      <c r="M279" s="13" t="s">
        <v>1687</v>
      </c>
      <c r="N279" s="13" t="s">
        <v>1221</v>
      </c>
      <c r="O279" s="10" t="s">
        <v>1688</v>
      </c>
      <c r="P279" s="113" t="s">
        <v>1689</v>
      </c>
      <c r="Q279" s="14">
        <v>41274</v>
      </c>
      <c r="R279" s="36" t="s">
        <v>1690</v>
      </c>
    </row>
    <row r="280" spans="1:18" s="21" customFormat="1" ht="19.149999999999999" customHeight="1" x14ac:dyDescent="0.3">
      <c r="A280" s="8">
        <v>279</v>
      </c>
      <c r="B280" s="8" t="s">
        <v>51</v>
      </c>
      <c r="C280" s="8" t="s">
        <v>60</v>
      </c>
      <c r="D280" s="8">
        <v>93</v>
      </c>
      <c r="E280" s="16" t="s">
        <v>1691</v>
      </c>
      <c r="F280" s="16" t="s">
        <v>616</v>
      </c>
      <c r="G280" s="8" t="s">
        <v>150</v>
      </c>
      <c r="H280" s="13">
        <v>8</v>
      </c>
      <c r="I280" s="96">
        <v>1607</v>
      </c>
      <c r="J280" s="62">
        <v>1</v>
      </c>
      <c r="K280" s="13" t="s">
        <v>892</v>
      </c>
      <c r="L280" s="13">
        <v>0</v>
      </c>
      <c r="M280" s="13" t="s">
        <v>1239</v>
      </c>
      <c r="N280" s="13" t="s">
        <v>1221</v>
      </c>
      <c r="O280" s="8" t="s">
        <v>155</v>
      </c>
      <c r="P280" s="8" t="s">
        <v>156</v>
      </c>
      <c r="Q280" s="14">
        <v>38603</v>
      </c>
      <c r="R280" s="11"/>
    </row>
    <row r="281" spans="1:18" s="21" customFormat="1" ht="19.149999999999999" customHeight="1" x14ac:dyDescent="0.3">
      <c r="A281" s="24">
        <v>280</v>
      </c>
      <c r="B281" s="8" t="s">
        <v>51</v>
      </c>
      <c r="C281" s="8" t="s">
        <v>61</v>
      </c>
      <c r="D281" s="8">
        <v>96</v>
      </c>
      <c r="E281" s="27" t="s">
        <v>252</v>
      </c>
      <c r="F281" s="16" t="s">
        <v>559</v>
      </c>
      <c r="G281" s="23" t="s">
        <v>150</v>
      </c>
      <c r="H281" s="13">
        <v>9</v>
      </c>
      <c r="I281" s="96">
        <v>1214</v>
      </c>
      <c r="J281" s="62">
        <v>1</v>
      </c>
      <c r="K281" s="174" t="s">
        <v>3197</v>
      </c>
      <c r="L281" s="13">
        <v>0</v>
      </c>
      <c r="M281" s="13" t="s">
        <v>1239</v>
      </c>
      <c r="N281" s="13" t="s">
        <v>1221</v>
      </c>
      <c r="O281" s="8" t="s">
        <v>157</v>
      </c>
      <c r="P281" s="8" t="s">
        <v>158</v>
      </c>
      <c r="Q281" s="14">
        <v>42964</v>
      </c>
      <c r="R281" s="11"/>
    </row>
    <row r="282" spans="1:18" s="21" customFormat="1" ht="19.149999999999999" customHeight="1" x14ac:dyDescent="0.3">
      <c r="A282" s="8">
        <v>281</v>
      </c>
      <c r="B282" s="8" t="s">
        <v>1600</v>
      </c>
      <c r="C282" s="8" t="s">
        <v>1692</v>
      </c>
      <c r="D282" s="8">
        <v>96</v>
      </c>
      <c r="E282" s="19" t="s">
        <v>1693</v>
      </c>
      <c r="F282" s="19" t="s">
        <v>1694</v>
      </c>
      <c r="G282" s="8" t="s">
        <v>1264</v>
      </c>
      <c r="H282" s="13">
        <v>6</v>
      </c>
      <c r="I282" s="96">
        <v>658</v>
      </c>
      <c r="J282" s="62">
        <v>0</v>
      </c>
      <c r="K282" s="13" t="s">
        <v>1239</v>
      </c>
      <c r="L282" s="13">
        <v>0</v>
      </c>
      <c r="M282" s="13" t="s">
        <v>1239</v>
      </c>
      <c r="N282" s="13" t="s">
        <v>1221</v>
      </c>
      <c r="O282" s="10" t="s">
        <v>151</v>
      </c>
      <c r="P282" s="8" t="s">
        <v>152</v>
      </c>
      <c r="Q282" s="14">
        <v>44022</v>
      </c>
      <c r="R282" s="31"/>
    </row>
    <row r="283" spans="1:18" s="21" customFormat="1" ht="19.149999999999999" customHeight="1" x14ac:dyDescent="0.3">
      <c r="A283" s="24">
        <v>282</v>
      </c>
      <c r="B283" s="8" t="s">
        <v>51</v>
      </c>
      <c r="C283" s="8" t="s">
        <v>61</v>
      </c>
      <c r="D283" s="8">
        <v>96</v>
      </c>
      <c r="E283" s="19" t="s">
        <v>1695</v>
      </c>
      <c r="F283" s="19" t="s">
        <v>555</v>
      </c>
      <c r="G283" s="8" t="s">
        <v>413</v>
      </c>
      <c r="H283" s="13">
        <v>8</v>
      </c>
      <c r="I283" s="96">
        <v>886</v>
      </c>
      <c r="J283" s="62">
        <v>0</v>
      </c>
      <c r="K283" s="13" t="s">
        <v>310</v>
      </c>
      <c r="L283" s="13">
        <v>0</v>
      </c>
      <c r="M283" s="13" t="s">
        <v>1239</v>
      </c>
      <c r="N283" s="13" t="s">
        <v>1221</v>
      </c>
      <c r="O283" s="10" t="s">
        <v>151</v>
      </c>
      <c r="P283" s="8" t="s">
        <v>152</v>
      </c>
      <c r="Q283" s="14">
        <v>41164</v>
      </c>
      <c r="R283" s="31"/>
    </row>
    <row r="284" spans="1:18" s="21" customFormat="1" ht="19.149999999999999" customHeight="1" x14ac:dyDescent="0.3">
      <c r="A284" s="8">
        <v>283</v>
      </c>
      <c r="B284" s="8" t="s">
        <v>51</v>
      </c>
      <c r="C284" s="8" t="s">
        <v>61</v>
      </c>
      <c r="D284" s="8">
        <v>96</v>
      </c>
      <c r="E284" s="16" t="s">
        <v>3109</v>
      </c>
      <c r="F284" s="16" t="s">
        <v>561</v>
      </c>
      <c r="G284" s="8" t="s">
        <v>150</v>
      </c>
      <c r="H284" s="13">
        <v>5</v>
      </c>
      <c r="I284" s="96">
        <v>749</v>
      </c>
      <c r="J284" s="62">
        <v>5</v>
      </c>
      <c r="K284" s="175" t="s">
        <v>3112</v>
      </c>
      <c r="L284" s="13">
        <v>0</v>
      </c>
      <c r="M284" s="13" t="s">
        <v>1239</v>
      </c>
      <c r="N284" s="13" t="s">
        <v>1221</v>
      </c>
      <c r="O284" s="8" t="s">
        <v>157</v>
      </c>
      <c r="P284" s="8" t="s">
        <v>158</v>
      </c>
      <c r="Q284" s="14">
        <v>42606</v>
      </c>
      <c r="R284" s="19" t="s">
        <v>3114</v>
      </c>
    </row>
    <row r="285" spans="1:18" s="21" customFormat="1" ht="19.149999999999999" customHeight="1" x14ac:dyDescent="0.3">
      <c r="A285" s="24">
        <v>284</v>
      </c>
      <c r="B285" s="8" t="s">
        <v>51</v>
      </c>
      <c r="C285" s="8" t="s">
        <v>61</v>
      </c>
      <c r="D285" s="8">
        <v>96</v>
      </c>
      <c r="E285" s="27" t="s">
        <v>220</v>
      </c>
      <c r="F285" s="16" t="s">
        <v>556</v>
      </c>
      <c r="G285" s="23" t="s">
        <v>1278</v>
      </c>
      <c r="H285" s="13">
        <v>8</v>
      </c>
      <c r="I285" s="96">
        <v>745</v>
      </c>
      <c r="J285" s="62">
        <v>8</v>
      </c>
      <c r="K285" s="13" t="s">
        <v>1696</v>
      </c>
      <c r="L285" s="13">
        <v>0</v>
      </c>
      <c r="M285" s="13" t="s">
        <v>1239</v>
      </c>
      <c r="N285" s="13" t="s">
        <v>1221</v>
      </c>
      <c r="O285" s="8" t="s">
        <v>155</v>
      </c>
      <c r="P285" s="8" t="s">
        <v>156</v>
      </c>
      <c r="Q285" s="14">
        <v>37819</v>
      </c>
      <c r="R285" s="11" t="s">
        <v>1697</v>
      </c>
    </row>
    <row r="286" spans="1:18" s="21" customFormat="1" ht="19.149999999999999" customHeight="1" x14ac:dyDescent="0.3">
      <c r="A286" s="8">
        <v>285</v>
      </c>
      <c r="B286" s="8" t="s">
        <v>51</v>
      </c>
      <c r="C286" s="8" t="s">
        <v>61</v>
      </c>
      <c r="D286" s="8">
        <v>96</v>
      </c>
      <c r="E286" s="19" t="s">
        <v>1698</v>
      </c>
      <c r="F286" s="19" t="s">
        <v>1128</v>
      </c>
      <c r="G286" s="8" t="s">
        <v>150</v>
      </c>
      <c r="H286" s="13">
        <v>9</v>
      </c>
      <c r="I286" s="96">
        <v>1704</v>
      </c>
      <c r="J286" s="62">
        <v>4</v>
      </c>
      <c r="K286" s="13" t="s">
        <v>1699</v>
      </c>
      <c r="L286" s="13">
        <v>0</v>
      </c>
      <c r="M286" s="13" t="s">
        <v>1239</v>
      </c>
      <c r="N286" s="13" t="s">
        <v>1221</v>
      </c>
      <c r="O286" s="10" t="s">
        <v>151</v>
      </c>
      <c r="P286" s="8" t="s">
        <v>152</v>
      </c>
      <c r="Q286" s="14">
        <v>39170</v>
      </c>
      <c r="R286" s="43"/>
    </row>
    <row r="287" spans="1:18" s="21" customFormat="1" ht="19.149999999999999" customHeight="1" x14ac:dyDescent="0.3">
      <c r="A287" s="24">
        <v>286</v>
      </c>
      <c r="B287" s="99" t="s">
        <v>1600</v>
      </c>
      <c r="C287" s="99" t="s">
        <v>1692</v>
      </c>
      <c r="D287" s="99">
        <v>96</v>
      </c>
      <c r="E287" s="30" t="s">
        <v>2999</v>
      </c>
      <c r="F287" s="30" t="s">
        <v>3000</v>
      </c>
      <c r="G287" s="99" t="s">
        <v>1263</v>
      </c>
      <c r="H287" s="88">
        <v>7</v>
      </c>
      <c r="I287" s="102">
        <v>1130</v>
      </c>
      <c r="J287" s="71">
        <v>0</v>
      </c>
      <c r="K287" s="88" t="s">
        <v>820</v>
      </c>
      <c r="L287" s="88">
        <v>0</v>
      </c>
      <c r="M287" s="88" t="s">
        <v>820</v>
      </c>
      <c r="N287" s="88" t="s">
        <v>884</v>
      </c>
      <c r="O287" s="10" t="s">
        <v>151</v>
      </c>
      <c r="P287" s="8" t="s">
        <v>152</v>
      </c>
      <c r="Q287" s="45">
        <v>45044</v>
      </c>
      <c r="R287" s="30" t="s">
        <v>3152</v>
      </c>
    </row>
    <row r="288" spans="1:18" s="21" customFormat="1" ht="19.149999999999999" customHeight="1" x14ac:dyDescent="0.3">
      <c r="A288" s="8">
        <v>287</v>
      </c>
      <c r="B288" s="8" t="s">
        <v>51</v>
      </c>
      <c r="C288" s="8" t="s">
        <v>61</v>
      </c>
      <c r="D288" s="8">
        <v>96</v>
      </c>
      <c r="E288" s="27" t="s">
        <v>557</v>
      </c>
      <c r="F288" s="16" t="s">
        <v>558</v>
      </c>
      <c r="G288" s="23" t="s">
        <v>1278</v>
      </c>
      <c r="H288" s="13">
        <v>6</v>
      </c>
      <c r="I288" s="193">
        <v>465</v>
      </c>
      <c r="J288" s="62">
        <v>5</v>
      </c>
      <c r="K288" s="13" t="s">
        <v>1700</v>
      </c>
      <c r="L288" s="13">
        <v>0</v>
      </c>
      <c r="M288" s="13" t="s">
        <v>1239</v>
      </c>
      <c r="N288" s="13" t="s">
        <v>1221</v>
      </c>
      <c r="O288" s="23" t="s">
        <v>155</v>
      </c>
      <c r="P288" s="8" t="s">
        <v>156</v>
      </c>
      <c r="Q288" s="14">
        <v>40847</v>
      </c>
      <c r="R288" s="11" t="s">
        <v>2776</v>
      </c>
    </row>
    <row r="289" spans="1:18" s="21" customFormat="1" ht="19.149999999999999" customHeight="1" x14ac:dyDescent="0.3">
      <c r="A289" s="24">
        <v>288</v>
      </c>
      <c r="B289" s="8" t="s">
        <v>1600</v>
      </c>
      <c r="C289" s="8" t="s">
        <v>1692</v>
      </c>
      <c r="D289" s="8">
        <v>96</v>
      </c>
      <c r="E289" s="19" t="s">
        <v>1701</v>
      </c>
      <c r="F289" s="19" t="s">
        <v>1702</v>
      </c>
      <c r="G289" s="8" t="s">
        <v>1239</v>
      </c>
      <c r="H289" s="13">
        <v>1</v>
      </c>
      <c r="I289" s="96">
        <v>16</v>
      </c>
      <c r="J289" s="71">
        <v>0</v>
      </c>
      <c r="K289" s="88" t="s">
        <v>310</v>
      </c>
      <c r="L289" s="88">
        <v>0</v>
      </c>
      <c r="M289" s="88" t="s">
        <v>1239</v>
      </c>
      <c r="N289" s="88" t="s">
        <v>1221</v>
      </c>
      <c r="O289" s="10" t="s">
        <v>1703</v>
      </c>
      <c r="P289" s="100" t="s">
        <v>1704</v>
      </c>
      <c r="Q289" s="14">
        <v>44832</v>
      </c>
      <c r="R289" s="36"/>
    </row>
    <row r="290" spans="1:18" s="21" customFormat="1" ht="19.149999999999999" customHeight="1" x14ac:dyDescent="0.3">
      <c r="A290" s="8">
        <v>289</v>
      </c>
      <c r="B290" s="8" t="s">
        <v>51</v>
      </c>
      <c r="C290" s="8" t="s">
        <v>61</v>
      </c>
      <c r="D290" s="8">
        <v>96</v>
      </c>
      <c r="E290" s="16" t="s">
        <v>286</v>
      </c>
      <c r="F290" s="16" t="s">
        <v>1129</v>
      </c>
      <c r="G290" s="8" t="s">
        <v>150</v>
      </c>
      <c r="H290" s="13">
        <v>8</v>
      </c>
      <c r="I290" s="96">
        <v>1720</v>
      </c>
      <c r="J290" s="62">
        <v>3</v>
      </c>
      <c r="K290" s="13" t="s">
        <v>1705</v>
      </c>
      <c r="L290" s="13">
        <v>0</v>
      </c>
      <c r="M290" s="13" t="s">
        <v>1239</v>
      </c>
      <c r="N290" s="13" t="s">
        <v>1221</v>
      </c>
      <c r="O290" s="8" t="s">
        <v>157</v>
      </c>
      <c r="P290" s="8" t="s">
        <v>158</v>
      </c>
      <c r="Q290" s="14">
        <v>40430</v>
      </c>
      <c r="R290" s="43"/>
    </row>
    <row r="291" spans="1:18" s="21" customFormat="1" ht="19.149999999999999" customHeight="1" x14ac:dyDescent="0.3">
      <c r="A291" s="24">
        <v>290</v>
      </c>
      <c r="B291" s="99" t="s">
        <v>1600</v>
      </c>
      <c r="C291" s="99" t="s">
        <v>3012</v>
      </c>
      <c r="D291" s="99">
        <v>101</v>
      </c>
      <c r="E291" s="56" t="s">
        <v>3013</v>
      </c>
      <c r="F291" s="56" t="s">
        <v>3015</v>
      </c>
      <c r="G291" s="99" t="s">
        <v>1277</v>
      </c>
      <c r="H291" s="88">
        <v>6</v>
      </c>
      <c r="I291" s="102">
        <v>492</v>
      </c>
      <c r="J291" s="71">
        <v>0</v>
      </c>
      <c r="K291" s="88" t="s">
        <v>820</v>
      </c>
      <c r="L291" s="88">
        <v>0</v>
      </c>
      <c r="M291" s="88" t="s">
        <v>820</v>
      </c>
      <c r="N291" s="88" t="s">
        <v>884</v>
      </c>
      <c r="O291" s="10" t="s">
        <v>151</v>
      </c>
      <c r="P291" s="8" t="s">
        <v>152</v>
      </c>
      <c r="Q291" s="45">
        <v>45121</v>
      </c>
      <c r="R291" s="30"/>
    </row>
    <row r="292" spans="1:18" s="21" customFormat="1" ht="19.149999999999999" customHeight="1" x14ac:dyDescent="0.3">
      <c r="A292" s="8">
        <v>291</v>
      </c>
      <c r="B292" s="10" t="s">
        <v>51</v>
      </c>
      <c r="C292" s="10" t="s">
        <v>62</v>
      </c>
      <c r="D292" s="8">
        <v>101</v>
      </c>
      <c r="E292" s="11" t="s">
        <v>1706</v>
      </c>
      <c r="F292" s="11" t="s">
        <v>571</v>
      </c>
      <c r="G292" s="10" t="s">
        <v>150</v>
      </c>
      <c r="H292" s="13">
        <v>7</v>
      </c>
      <c r="I292" s="96">
        <v>1165</v>
      </c>
      <c r="J292" s="62">
        <v>0</v>
      </c>
      <c r="K292" s="13" t="s">
        <v>310</v>
      </c>
      <c r="L292" s="13">
        <v>0</v>
      </c>
      <c r="M292" s="13" t="s">
        <v>1239</v>
      </c>
      <c r="N292" s="13" t="s">
        <v>1221</v>
      </c>
      <c r="O292" s="10" t="s">
        <v>151</v>
      </c>
      <c r="P292" s="8" t="s">
        <v>152</v>
      </c>
      <c r="Q292" s="14">
        <v>42579</v>
      </c>
      <c r="R292" s="30" t="s">
        <v>572</v>
      </c>
    </row>
    <row r="293" spans="1:18" s="21" customFormat="1" ht="19.149999999999999" customHeight="1" x14ac:dyDescent="0.3">
      <c r="A293" s="24">
        <v>292</v>
      </c>
      <c r="B293" s="8" t="s">
        <v>573</v>
      </c>
      <c r="C293" s="8" t="s">
        <v>62</v>
      </c>
      <c r="D293" s="8">
        <v>101</v>
      </c>
      <c r="E293" s="11" t="s">
        <v>208</v>
      </c>
      <c r="F293" s="16" t="s">
        <v>574</v>
      </c>
      <c r="G293" s="10" t="s">
        <v>318</v>
      </c>
      <c r="H293" s="13">
        <v>7</v>
      </c>
      <c r="I293" s="96">
        <v>1115</v>
      </c>
      <c r="J293" s="62">
        <v>0</v>
      </c>
      <c r="K293" s="13" t="s">
        <v>310</v>
      </c>
      <c r="L293" s="13">
        <v>0</v>
      </c>
      <c r="M293" s="13" t="s">
        <v>1239</v>
      </c>
      <c r="N293" s="13" t="s">
        <v>1221</v>
      </c>
      <c r="O293" s="23" t="s">
        <v>155</v>
      </c>
      <c r="P293" s="8" t="s">
        <v>156</v>
      </c>
      <c r="Q293" s="14">
        <v>41997</v>
      </c>
      <c r="R293" s="19"/>
    </row>
    <row r="294" spans="1:18" s="21" customFormat="1" ht="19.149999999999999" customHeight="1" x14ac:dyDescent="0.3">
      <c r="A294" s="8">
        <v>293</v>
      </c>
      <c r="B294" s="8" t="s">
        <v>3712</v>
      </c>
      <c r="C294" s="8" t="s">
        <v>3713</v>
      </c>
      <c r="D294" s="8">
        <v>102</v>
      </c>
      <c r="E294" s="600" t="s">
        <v>3714</v>
      </c>
      <c r="F294" s="16" t="s">
        <v>3715</v>
      </c>
      <c r="G294" s="601" t="s">
        <v>3716</v>
      </c>
      <c r="H294" s="602">
        <v>6</v>
      </c>
      <c r="I294" s="603">
        <v>348</v>
      </c>
      <c r="J294" s="604">
        <v>6</v>
      </c>
      <c r="K294" s="605" t="s">
        <v>3717</v>
      </c>
      <c r="L294" s="13">
        <v>0</v>
      </c>
      <c r="M294" s="13" t="s">
        <v>820</v>
      </c>
      <c r="N294" s="88" t="s">
        <v>884</v>
      </c>
      <c r="O294" s="8" t="s">
        <v>185</v>
      </c>
      <c r="P294" s="24" t="s">
        <v>186</v>
      </c>
      <c r="Q294" s="14">
        <v>45289</v>
      </c>
      <c r="R294" s="19"/>
    </row>
    <row r="295" spans="1:18" s="21" customFormat="1" ht="19.149999999999999" customHeight="1" x14ac:dyDescent="0.3">
      <c r="A295" s="24">
        <v>294</v>
      </c>
      <c r="B295" s="99" t="s">
        <v>1600</v>
      </c>
      <c r="C295" s="99" t="s">
        <v>1707</v>
      </c>
      <c r="D295" s="99">
        <v>102</v>
      </c>
      <c r="E295" s="30" t="s">
        <v>3019</v>
      </c>
      <c r="F295" s="30" t="s">
        <v>3022</v>
      </c>
      <c r="G295" s="99" t="s">
        <v>1277</v>
      </c>
      <c r="H295" s="88">
        <v>7</v>
      </c>
      <c r="I295" s="102">
        <v>538</v>
      </c>
      <c r="J295" s="71">
        <v>0</v>
      </c>
      <c r="K295" s="88" t="s">
        <v>820</v>
      </c>
      <c r="L295" s="88">
        <v>0</v>
      </c>
      <c r="M295" s="88" t="s">
        <v>820</v>
      </c>
      <c r="N295" s="88" t="s">
        <v>884</v>
      </c>
      <c r="O295" s="10" t="s">
        <v>151</v>
      </c>
      <c r="P295" s="8" t="s">
        <v>152</v>
      </c>
      <c r="Q295" s="45">
        <v>45049</v>
      </c>
      <c r="R295" s="30"/>
    </row>
    <row r="296" spans="1:18" s="21" customFormat="1" ht="19.149999999999999" customHeight="1" x14ac:dyDescent="0.3">
      <c r="A296" s="8">
        <v>295</v>
      </c>
      <c r="B296" s="8" t="s">
        <v>51</v>
      </c>
      <c r="C296" s="8" t="s">
        <v>63</v>
      </c>
      <c r="D296" s="8">
        <v>102</v>
      </c>
      <c r="E296" s="27" t="s">
        <v>256</v>
      </c>
      <c r="F296" s="16" t="s">
        <v>581</v>
      </c>
      <c r="G296" s="23" t="s">
        <v>160</v>
      </c>
      <c r="H296" s="13">
        <v>8</v>
      </c>
      <c r="I296" s="96">
        <v>738</v>
      </c>
      <c r="J296" s="177">
        <v>5</v>
      </c>
      <c r="K296" s="174" t="s">
        <v>1608</v>
      </c>
      <c r="L296" s="13">
        <v>0</v>
      </c>
      <c r="M296" s="13" t="s">
        <v>1239</v>
      </c>
      <c r="N296" s="13" t="s">
        <v>1221</v>
      </c>
      <c r="O296" s="8" t="s">
        <v>157</v>
      </c>
      <c r="P296" s="8" t="s">
        <v>158</v>
      </c>
      <c r="Q296" s="14">
        <v>40617</v>
      </c>
      <c r="R296" s="11"/>
    </row>
    <row r="297" spans="1:18" s="21" customFormat="1" ht="19.149999999999999" customHeight="1" x14ac:dyDescent="0.3">
      <c r="A297" s="24">
        <v>296</v>
      </c>
      <c r="B297" s="10" t="s">
        <v>1600</v>
      </c>
      <c r="C297" s="10" t="s">
        <v>1707</v>
      </c>
      <c r="D297" s="8">
        <v>102</v>
      </c>
      <c r="E297" s="11" t="s">
        <v>1708</v>
      </c>
      <c r="F297" s="11" t="s">
        <v>1709</v>
      </c>
      <c r="G297" s="10" t="s">
        <v>1278</v>
      </c>
      <c r="H297" s="13">
        <v>10</v>
      </c>
      <c r="I297" s="96">
        <v>862</v>
      </c>
      <c r="J297" s="62">
        <v>0</v>
      </c>
      <c r="K297" s="13" t="s">
        <v>310</v>
      </c>
      <c r="L297" s="13">
        <v>0</v>
      </c>
      <c r="M297" s="13" t="s">
        <v>1239</v>
      </c>
      <c r="N297" s="13" t="s">
        <v>1221</v>
      </c>
      <c r="O297" s="10" t="s">
        <v>151</v>
      </c>
      <c r="P297" s="8" t="s">
        <v>152</v>
      </c>
      <c r="Q297" s="14">
        <v>44874</v>
      </c>
      <c r="R297" s="30"/>
    </row>
    <row r="298" spans="1:18" s="21" customFormat="1" ht="19.149999999999999" customHeight="1" x14ac:dyDescent="0.3">
      <c r="A298" s="8">
        <v>297</v>
      </c>
      <c r="B298" s="8" t="s">
        <v>1600</v>
      </c>
      <c r="C298" s="8" t="s">
        <v>1707</v>
      </c>
      <c r="D298" s="8">
        <v>102</v>
      </c>
      <c r="E298" s="27" t="s">
        <v>1710</v>
      </c>
      <c r="F298" s="16" t="s">
        <v>1711</v>
      </c>
      <c r="G298" s="23" t="s">
        <v>1264</v>
      </c>
      <c r="H298" s="13">
        <v>8</v>
      </c>
      <c r="I298" s="96">
        <v>1215</v>
      </c>
      <c r="J298" s="62">
        <v>2</v>
      </c>
      <c r="K298" s="13" t="s">
        <v>1712</v>
      </c>
      <c r="L298" s="13">
        <v>0</v>
      </c>
      <c r="M298" s="13" t="s">
        <v>1239</v>
      </c>
      <c r="N298" s="13" t="s">
        <v>1221</v>
      </c>
      <c r="O298" s="8" t="s">
        <v>157</v>
      </c>
      <c r="P298" s="8" t="s">
        <v>158</v>
      </c>
      <c r="Q298" s="14">
        <v>44141</v>
      </c>
      <c r="R298" s="11"/>
    </row>
    <row r="299" spans="1:18" s="21" customFormat="1" ht="19.149999999999999" customHeight="1" x14ac:dyDescent="0.3">
      <c r="A299" s="24">
        <v>298</v>
      </c>
      <c r="B299" s="8" t="s">
        <v>573</v>
      </c>
      <c r="C299" s="8" t="s">
        <v>63</v>
      </c>
      <c r="D299" s="8">
        <v>102</v>
      </c>
      <c r="E299" s="27" t="s">
        <v>582</v>
      </c>
      <c r="F299" s="16" t="s">
        <v>583</v>
      </c>
      <c r="G299" s="23" t="s">
        <v>413</v>
      </c>
      <c r="H299" s="13">
        <v>6</v>
      </c>
      <c r="I299" s="96">
        <v>454</v>
      </c>
      <c r="J299" s="62">
        <v>0</v>
      </c>
      <c r="K299" s="13" t="s">
        <v>310</v>
      </c>
      <c r="L299" s="13">
        <v>0</v>
      </c>
      <c r="M299" s="13" t="s">
        <v>1239</v>
      </c>
      <c r="N299" s="13" t="s">
        <v>1221</v>
      </c>
      <c r="O299" s="8" t="s">
        <v>157</v>
      </c>
      <c r="P299" s="8" t="s">
        <v>158</v>
      </c>
      <c r="Q299" s="14">
        <v>41996</v>
      </c>
      <c r="R299" s="11"/>
    </row>
    <row r="300" spans="1:18" s="21" customFormat="1" ht="19.149999999999999" customHeight="1" x14ac:dyDescent="0.3">
      <c r="A300" s="8">
        <v>299</v>
      </c>
      <c r="B300" s="24" t="s">
        <v>1600</v>
      </c>
      <c r="C300" s="24" t="s">
        <v>1707</v>
      </c>
      <c r="D300" s="24">
        <v>102</v>
      </c>
      <c r="E300" s="44" t="s">
        <v>1713</v>
      </c>
      <c r="F300" s="44" t="s">
        <v>1714</v>
      </c>
      <c r="G300" s="24" t="s">
        <v>1264</v>
      </c>
      <c r="H300" s="13">
        <v>5</v>
      </c>
      <c r="I300" s="13">
        <v>775</v>
      </c>
      <c r="J300" s="62">
        <v>0</v>
      </c>
      <c r="K300" s="13" t="s">
        <v>310</v>
      </c>
      <c r="L300" s="13">
        <v>0</v>
      </c>
      <c r="M300" s="13" t="s">
        <v>1239</v>
      </c>
      <c r="N300" s="13" t="s">
        <v>1221</v>
      </c>
      <c r="O300" s="8" t="s">
        <v>155</v>
      </c>
      <c r="P300" s="8" t="s">
        <v>156</v>
      </c>
      <c r="Q300" s="14">
        <v>44317</v>
      </c>
      <c r="R300" s="24"/>
    </row>
    <row r="301" spans="1:18" s="21" customFormat="1" ht="19.149999999999999" customHeight="1" x14ac:dyDescent="0.3">
      <c r="A301" s="24">
        <v>300</v>
      </c>
      <c r="B301" s="10" t="s">
        <v>51</v>
      </c>
      <c r="C301" s="10" t="s">
        <v>63</v>
      </c>
      <c r="D301" s="8">
        <v>102</v>
      </c>
      <c r="E301" s="11" t="s">
        <v>246</v>
      </c>
      <c r="F301" s="9" t="s">
        <v>1715</v>
      </c>
      <c r="G301" s="10" t="s">
        <v>150</v>
      </c>
      <c r="H301" s="13">
        <v>3</v>
      </c>
      <c r="I301" s="96">
        <v>328</v>
      </c>
      <c r="J301" s="62">
        <v>0</v>
      </c>
      <c r="K301" s="13" t="s">
        <v>310</v>
      </c>
      <c r="L301" s="13">
        <v>0</v>
      </c>
      <c r="M301" s="13" t="s">
        <v>1239</v>
      </c>
      <c r="N301" s="13" t="s">
        <v>1221</v>
      </c>
      <c r="O301" s="23" t="s">
        <v>155</v>
      </c>
      <c r="P301" s="8" t="s">
        <v>156</v>
      </c>
      <c r="Q301" s="14">
        <v>40534</v>
      </c>
      <c r="R301" s="31"/>
    </row>
    <row r="302" spans="1:18" s="21" customFormat="1" ht="19.149999999999999" customHeight="1" x14ac:dyDescent="0.3">
      <c r="A302" s="8">
        <v>301</v>
      </c>
      <c r="B302" s="8" t="s">
        <v>573</v>
      </c>
      <c r="C302" s="8" t="s">
        <v>584</v>
      </c>
      <c r="D302" s="8">
        <v>102</v>
      </c>
      <c r="E302" s="16" t="s">
        <v>585</v>
      </c>
      <c r="F302" s="16" t="s">
        <v>586</v>
      </c>
      <c r="G302" s="8" t="s">
        <v>318</v>
      </c>
      <c r="H302" s="13">
        <v>2</v>
      </c>
      <c r="I302" s="96">
        <v>172</v>
      </c>
      <c r="J302" s="62">
        <v>0</v>
      </c>
      <c r="K302" s="13" t="s">
        <v>310</v>
      </c>
      <c r="L302" s="13">
        <v>0</v>
      </c>
      <c r="M302" s="13" t="s">
        <v>1239</v>
      </c>
      <c r="N302" s="13" t="s">
        <v>1221</v>
      </c>
      <c r="O302" s="8" t="s">
        <v>155</v>
      </c>
      <c r="P302" s="8" t="s">
        <v>156</v>
      </c>
      <c r="Q302" s="14">
        <v>41452</v>
      </c>
      <c r="R302" s="19"/>
    </row>
    <row r="303" spans="1:18" s="21" customFormat="1" ht="19.149999999999999" customHeight="1" x14ac:dyDescent="0.3">
      <c r="A303" s="24">
        <v>302</v>
      </c>
      <c r="B303" s="10" t="s">
        <v>51</v>
      </c>
      <c r="C303" s="10" t="s">
        <v>64</v>
      </c>
      <c r="D303" s="8">
        <v>103</v>
      </c>
      <c r="E303" s="11" t="s">
        <v>1716</v>
      </c>
      <c r="F303" s="11" t="s">
        <v>1717</v>
      </c>
      <c r="G303" s="10" t="s">
        <v>160</v>
      </c>
      <c r="H303" s="13">
        <v>5</v>
      </c>
      <c r="I303" s="96">
        <v>375</v>
      </c>
      <c r="J303" s="62">
        <v>5</v>
      </c>
      <c r="K303" s="13" t="s">
        <v>1700</v>
      </c>
      <c r="L303" s="13">
        <v>0</v>
      </c>
      <c r="M303" s="13" t="s">
        <v>1239</v>
      </c>
      <c r="N303" s="13" t="s">
        <v>1221</v>
      </c>
      <c r="O303" s="23" t="s">
        <v>155</v>
      </c>
      <c r="P303" s="8" t="s">
        <v>156</v>
      </c>
      <c r="Q303" s="14">
        <v>43800</v>
      </c>
      <c r="R303" s="3" t="s">
        <v>1718</v>
      </c>
    </row>
    <row r="304" spans="1:18" s="21" customFormat="1" ht="19.149999999999999" customHeight="1" x14ac:dyDescent="0.3">
      <c r="A304" s="8">
        <v>303</v>
      </c>
      <c r="B304" s="8" t="s">
        <v>1600</v>
      </c>
      <c r="C304" s="8" t="s">
        <v>1719</v>
      </c>
      <c r="D304" s="8">
        <v>103</v>
      </c>
      <c r="E304" s="16" t="s">
        <v>1720</v>
      </c>
      <c r="F304" s="16" t="s">
        <v>1721</v>
      </c>
      <c r="G304" s="8" t="s">
        <v>1278</v>
      </c>
      <c r="H304" s="13">
        <v>8</v>
      </c>
      <c r="I304" s="96">
        <v>552</v>
      </c>
      <c r="J304" s="62">
        <v>0</v>
      </c>
      <c r="K304" s="13" t="s">
        <v>1239</v>
      </c>
      <c r="L304" s="13">
        <v>0</v>
      </c>
      <c r="M304" s="13" t="s">
        <v>1239</v>
      </c>
      <c r="N304" s="13" t="s">
        <v>1221</v>
      </c>
      <c r="O304" s="10" t="s">
        <v>151</v>
      </c>
      <c r="P304" s="8" t="s">
        <v>152</v>
      </c>
      <c r="Q304" s="14">
        <v>43790</v>
      </c>
      <c r="R304" s="19"/>
    </row>
    <row r="305" spans="1:18" s="21" customFormat="1" ht="19.149999999999999" customHeight="1" x14ac:dyDescent="0.3">
      <c r="A305" s="24">
        <v>304</v>
      </c>
      <c r="B305" s="8" t="s">
        <v>51</v>
      </c>
      <c r="C305" s="8" t="s">
        <v>64</v>
      </c>
      <c r="D305" s="8">
        <v>103</v>
      </c>
      <c r="E305" s="16" t="s">
        <v>1722</v>
      </c>
      <c r="F305" s="16" t="s">
        <v>1723</v>
      </c>
      <c r="G305" s="8" t="s">
        <v>160</v>
      </c>
      <c r="H305" s="13">
        <v>6</v>
      </c>
      <c r="I305" s="96">
        <v>363</v>
      </c>
      <c r="J305" s="62">
        <v>0</v>
      </c>
      <c r="K305" s="13" t="s">
        <v>310</v>
      </c>
      <c r="L305" s="13">
        <v>0</v>
      </c>
      <c r="M305" s="13" t="s">
        <v>1239</v>
      </c>
      <c r="N305" s="13" t="s">
        <v>1221</v>
      </c>
      <c r="O305" s="10" t="s">
        <v>151</v>
      </c>
      <c r="P305" s="8" t="s">
        <v>152</v>
      </c>
      <c r="Q305" s="14">
        <v>43803</v>
      </c>
      <c r="R305" s="30" t="s">
        <v>1724</v>
      </c>
    </row>
    <row r="306" spans="1:18" s="21" customFormat="1" ht="19.149999999999999" customHeight="1" x14ac:dyDescent="0.3">
      <c r="A306" s="8">
        <v>305</v>
      </c>
      <c r="B306" s="8" t="s">
        <v>51</v>
      </c>
      <c r="C306" s="8" t="s">
        <v>65</v>
      </c>
      <c r="D306" s="8">
        <v>104</v>
      </c>
      <c r="E306" s="16" t="s">
        <v>234</v>
      </c>
      <c r="F306" s="16" t="s">
        <v>610</v>
      </c>
      <c r="G306" s="8" t="s">
        <v>1278</v>
      </c>
      <c r="H306" s="13">
        <v>8</v>
      </c>
      <c r="I306" s="96">
        <v>524</v>
      </c>
      <c r="J306" s="62">
        <v>8</v>
      </c>
      <c r="K306" s="13" t="s">
        <v>1696</v>
      </c>
      <c r="L306" s="13">
        <v>0</v>
      </c>
      <c r="M306" s="13" t="s">
        <v>1239</v>
      </c>
      <c r="N306" s="13" t="s">
        <v>1221</v>
      </c>
      <c r="O306" s="8" t="s">
        <v>155</v>
      </c>
      <c r="P306" s="8" t="s">
        <v>156</v>
      </c>
      <c r="Q306" s="14">
        <v>40488</v>
      </c>
      <c r="R306" s="19" t="s">
        <v>1725</v>
      </c>
    </row>
    <row r="307" spans="1:18" s="33" customFormat="1" ht="19.149999999999999" customHeight="1" x14ac:dyDescent="0.3">
      <c r="A307" s="24">
        <v>306</v>
      </c>
      <c r="B307" s="8" t="s">
        <v>51</v>
      </c>
      <c r="C307" s="8" t="s">
        <v>65</v>
      </c>
      <c r="D307" s="8">
        <v>104</v>
      </c>
      <c r="E307" s="16" t="s">
        <v>611</v>
      </c>
      <c r="F307" s="16" t="s">
        <v>612</v>
      </c>
      <c r="G307" s="8" t="s">
        <v>160</v>
      </c>
      <c r="H307" s="13">
        <v>6</v>
      </c>
      <c r="I307" s="96">
        <v>1227</v>
      </c>
      <c r="J307" s="62">
        <v>1</v>
      </c>
      <c r="K307" s="13" t="s">
        <v>369</v>
      </c>
      <c r="L307" s="13">
        <v>0</v>
      </c>
      <c r="M307" s="13" t="s">
        <v>1239</v>
      </c>
      <c r="N307" s="13" t="s">
        <v>1221</v>
      </c>
      <c r="O307" s="8" t="s">
        <v>157</v>
      </c>
      <c r="P307" s="8" t="s">
        <v>158</v>
      </c>
      <c r="Q307" s="14">
        <v>42901</v>
      </c>
      <c r="R307" s="19"/>
    </row>
    <row r="308" spans="1:18" s="21" customFormat="1" ht="19.149999999999999" customHeight="1" x14ac:dyDescent="0.3">
      <c r="A308" s="8">
        <v>307</v>
      </c>
      <c r="B308" s="8" t="s">
        <v>51</v>
      </c>
      <c r="C308" s="8" t="s">
        <v>65</v>
      </c>
      <c r="D308" s="8">
        <v>104</v>
      </c>
      <c r="E308" s="19" t="s">
        <v>1726</v>
      </c>
      <c r="F308" s="19" t="s">
        <v>609</v>
      </c>
      <c r="G308" s="8" t="s">
        <v>160</v>
      </c>
      <c r="H308" s="13">
        <v>4</v>
      </c>
      <c r="I308" s="96">
        <v>462</v>
      </c>
      <c r="J308" s="62">
        <v>0</v>
      </c>
      <c r="K308" s="13" t="s">
        <v>310</v>
      </c>
      <c r="L308" s="13">
        <v>0</v>
      </c>
      <c r="M308" s="13" t="s">
        <v>1239</v>
      </c>
      <c r="N308" s="13" t="s">
        <v>1221</v>
      </c>
      <c r="O308" s="10" t="s">
        <v>151</v>
      </c>
      <c r="P308" s="8" t="s">
        <v>152</v>
      </c>
      <c r="Q308" s="14">
        <v>39506</v>
      </c>
      <c r="R308" s="19"/>
    </row>
    <row r="309" spans="1:18" s="21" customFormat="1" ht="19.149999999999999" customHeight="1" x14ac:dyDescent="0.3">
      <c r="A309" s="24">
        <v>308</v>
      </c>
      <c r="B309" s="8" t="s">
        <v>51</v>
      </c>
      <c r="C309" s="8" t="s">
        <v>65</v>
      </c>
      <c r="D309" s="8">
        <v>104</v>
      </c>
      <c r="E309" s="19" t="s">
        <v>1727</v>
      </c>
      <c r="F309" s="19" t="s">
        <v>608</v>
      </c>
      <c r="G309" s="8" t="s">
        <v>150</v>
      </c>
      <c r="H309" s="13">
        <v>6</v>
      </c>
      <c r="I309" s="96">
        <v>853</v>
      </c>
      <c r="J309" s="62">
        <v>0</v>
      </c>
      <c r="K309" s="13" t="s">
        <v>310</v>
      </c>
      <c r="L309" s="13">
        <v>0</v>
      </c>
      <c r="M309" s="13" t="s">
        <v>1239</v>
      </c>
      <c r="N309" s="13" t="s">
        <v>1221</v>
      </c>
      <c r="O309" s="10" t="s">
        <v>151</v>
      </c>
      <c r="P309" s="8" t="s">
        <v>152</v>
      </c>
      <c r="Q309" s="14">
        <v>43098</v>
      </c>
      <c r="R309" s="19"/>
    </row>
    <row r="310" spans="1:18" s="21" customFormat="1" ht="19.149999999999999" customHeight="1" x14ac:dyDescent="0.3">
      <c r="A310" s="8">
        <v>309</v>
      </c>
      <c r="B310" s="8" t="s">
        <v>1600</v>
      </c>
      <c r="C310" s="8" t="s">
        <v>1728</v>
      </c>
      <c r="D310" s="8">
        <v>104</v>
      </c>
      <c r="E310" s="56" t="s">
        <v>1729</v>
      </c>
      <c r="F310" s="16" t="s">
        <v>1199</v>
      </c>
      <c r="G310" s="8" t="s">
        <v>1264</v>
      </c>
      <c r="H310" s="13">
        <v>5</v>
      </c>
      <c r="I310" s="96">
        <v>652</v>
      </c>
      <c r="J310" s="62">
        <v>2</v>
      </c>
      <c r="K310" s="8" t="s">
        <v>1279</v>
      </c>
      <c r="L310" s="13">
        <v>0</v>
      </c>
      <c r="M310" s="13" t="s">
        <v>1239</v>
      </c>
      <c r="N310" s="13" t="s">
        <v>1221</v>
      </c>
      <c r="O310" s="23" t="s">
        <v>155</v>
      </c>
      <c r="P310" s="8" t="s">
        <v>156</v>
      </c>
      <c r="Q310" s="14">
        <v>44545</v>
      </c>
      <c r="R310" s="30"/>
    </row>
    <row r="311" spans="1:18" s="21" customFormat="1" ht="19.149999999999999" customHeight="1" x14ac:dyDescent="0.3">
      <c r="A311" s="24">
        <v>310</v>
      </c>
      <c r="B311" s="8" t="s">
        <v>1600</v>
      </c>
      <c r="C311" s="8" t="s">
        <v>1728</v>
      </c>
      <c r="D311" s="8">
        <v>104</v>
      </c>
      <c r="E311" s="16" t="s">
        <v>1730</v>
      </c>
      <c r="F311" s="16" t="s">
        <v>1731</v>
      </c>
      <c r="G311" s="8" t="s">
        <v>1278</v>
      </c>
      <c r="H311" s="13">
        <v>5</v>
      </c>
      <c r="I311" s="96">
        <v>448</v>
      </c>
      <c r="J311" s="62">
        <v>0</v>
      </c>
      <c r="K311" s="13" t="s">
        <v>310</v>
      </c>
      <c r="L311" s="13">
        <v>0</v>
      </c>
      <c r="M311" s="13" t="s">
        <v>1239</v>
      </c>
      <c r="N311" s="13" t="s">
        <v>1221</v>
      </c>
      <c r="O311" s="10" t="s">
        <v>151</v>
      </c>
      <c r="P311" s="8" t="s">
        <v>152</v>
      </c>
      <c r="Q311" s="14">
        <v>44022</v>
      </c>
      <c r="R311" s="19" t="s">
        <v>1732</v>
      </c>
    </row>
    <row r="312" spans="1:18" s="21" customFormat="1" ht="19.149999999999999" customHeight="1" x14ac:dyDescent="0.3">
      <c r="A312" s="8">
        <v>311</v>
      </c>
      <c r="B312" s="10" t="s">
        <v>51</v>
      </c>
      <c r="C312" s="10" t="s">
        <v>66</v>
      </c>
      <c r="D312" s="8">
        <v>105</v>
      </c>
      <c r="E312" s="11" t="s">
        <v>1733</v>
      </c>
      <c r="F312" s="11" t="s">
        <v>575</v>
      </c>
      <c r="G312" s="10" t="s">
        <v>160</v>
      </c>
      <c r="H312" s="13">
        <v>6</v>
      </c>
      <c r="I312" s="500">
        <v>621</v>
      </c>
      <c r="J312" s="62">
        <v>0</v>
      </c>
      <c r="K312" s="13" t="s">
        <v>310</v>
      </c>
      <c r="L312" s="13">
        <v>0</v>
      </c>
      <c r="M312" s="13" t="s">
        <v>1239</v>
      </c>
      <c r="N312" s="13" t="s">
        <v>1221</v>
      </c>
      <c r="O312" s="10" t="s">
        <v>151</v>
      </c>
      <c r="P312" s="8" t="s">
        <v>152</v>
      </c>
      <c r="Q312" s="14">
        <v>42726</v>
      </c>
      <c r="R312" s="30" t="s">
        <v>576</v>
      </c>
    </row>
    <row r="313" spans="1:18" s="21" customFormat="1" ht="19.149999999999999" customHeight="1" x14ac:dyDescent="0.3">
      <c r="A313" s="24">
        <v>312</v>
      </c>
      <c r="B313" s="10" t="s">
        <v>51</v>
      </c>
      <c r="C313" s="10" t="s">
        <v>66</v>
      </c>
      <c r="D313" s="8">
        <v>105</v>
      </c>
      <c r="E313" s="11" t="s">
        <v>225</v>
      </c>
      <c r="F313" s="9" t="s">
        <v>577</v>
      </c>
      <c r="G313" s="10" t="s">
        <v>150</v>
      </c>
      <c r="H313" s="13">
        <v>7</v>
      </c>
      <c r="I313" s="96">
        <v>980</v>
      </c>
      <c r="J313" s="62">
        <v>0</v>
      </c>
      <c r="K313" s="13" t="s">
        <v>310</v>
      </c>
      <c r="L313" s="13">
        <v>0</v>
      </c>
      <c r="M313" s="13" t="s">
        <v>1239</v>
      </c>
      <c r="N313" s="13" t="s">
        <v>1221</v>
      </c>
      <c r="O313" s="8" t="s">
        <v>155</v>
      </c>
      <c r="P313" s="8" t="s">
        <v>156</v>
      </c>
      <c r="Q313" s="14">
        <v>42492</v>
      </c>
      <c r="R313" s="25"/>
    </row>
    <row r="314" spans="1:18" s="21" customFormat="1" ht="19.149999999999999" customHeight="1" x14ac:dyDescent="0.3">
      <c r="A314" s="8">
        <v>313</v>
      </c>
      <c r="B314" s="8" t="s">
        <v>1600</v>
      </c>
      <c r="C314" s="8" t="s">
        <v>1734</v>
      </c>
      <c r="D314" s="8">
        <v>105</v>
      </c>
      <c r="E314" s="16" t="s">
        <v>1735</v>
      </c>
      <c r="F314" s="16" t="s">
        <v>1736</v>
      </c>
      <c r="G314" s="8" t="s">
        <v>1264</v>
      </c>
      <c r="H314" s="13">
        <v>7</v>
      </c>
      <c r="I314" s="96">
        <v>613</v>
      </c>
      <c r="J314" s="62">
        <v>7</v>
      </c>
      <c r="K314" s="13" t="s">
        <v>1435</v>
      </c>
      <c r="L314" s="13">
        <v>0</v>
      </c>
      <c r="M314" s="13" t="s">
        <v>1239</v>
      </c>
      <c r="N314" s="13" t="s">
        <v>1221</v>
      </c>
      <c r="O314" s="8" t="s">
        <v>157</v>
      </c>
      <c r="P314" s="8" t="s">
        <v>158</v>
      </c>
      <c r="Q314" s="14">
        <v>44755</v>
      </c>
      <c r="R314" s="19"/>
    </row>
    <row r="315" spans="1:18" s="21" customFormat="1" ht="19.149999999999999" customHeight="1" x14ac:dyDescent="0.3">
      <c r="A315" s="24">
        <v>314</v>
      </c>
      <c r="B315" s="8" t="s">
        <v>1600</v>
      </c>
      <c r="C315" s="8" t="s">
        <v>1737</v>
      </c>
      <c r="D315" s="8">
        <v>107</v>
      </c>
      <c r="E315" s="16" t="s">
        <v>1738</v>
      </c>
      <c r="F315" s="16" t="s">
        <v>1739</v>
      </c>
      <c r="G315" s="8" t="s">
        <v>1278</v>
      </c>
      <c r="H315" s="13">
        <v>7</v>
      </c>
      <c r="I315" s="96">
        <v>875</v>
      </c>
      <c r="J315" s="62">
        <v>0</v>
      </c>
      <c r="K315" s="42" t="s">
        <v>310</v>
      </c>
      <c r="L315" s="13">
        <v>0</v>
      </c>
      <c r="M315" s="13" t="s">
        <v>1239</v>
      </c>
      <c r="N315" s="13" t="s">
        <v>1221</v>
      </c>
      <c r="O315" s="10" t="s">
        <v>151</v>
      </c>
      <c r="P315" s="8" t="s">
        <v>152</v>
      </c>
      <c r="Q315" s="14">
        <v>44175</v>
      </c>
      <c r="R315" s="31"/>
    </row>
    <row r="316" spans="1:18" s="21" customFormat="1" ht="19.149999999999999" customHeight="1" x14ac:dyDescent="0.3">
      <c r="A316" s="8">
        <v>315</v>
      </c>
      <c r="B316" s="8" t="s">
        <v>51</v>
      </c>
      <c r="C316" s="8" t="s">
        <v>67</v>
      </c>
      <c r="D316" s="8">
        <v>107</v>
      </c>
      <c r="E316" s="16" t="s">
        <v>662</v>
      </c>
      <c r="F316" s="16" t="s">
        <v>663</v>
      </c>
      <c r="G316" s="8" t="s">
        <v>160</v>
      </c>
      <c r="H316" s="13">
        <v>5</v>
      </c>
      <c r="I316" s="96">
        <v>250</v>
      </c>
      <c r="J316" s="62">
        <v>0</v>
      </c>
      <c r="K316" s="13" t="s">
        <v>310</v>
      </c>
      <c r="L316" s="13">
        <v>0</v>
      </c>
      <c r="M316" s="13" t="s">
        <v>1239</v>
      </c>
      <c r="N316" s="13" t="s">
        <v>1221</v>
      </c>
      <c r="O316" s="8" t="s">
        <v>157</v>
      </c>
      <c r="P316" s="8" t="s">
        <v>158</v>
      </c>
      <c r="Q316" s="14">
        <v>43245</v>
      </c>
      <c r="R316" s="11" t="s">
        <v>1740</v>
      </c>
    </row>
    <row r="317" spans="1:18" s="21" customFormat="1" ht="19.149999999999999" customHeight="1" x14ac:dyDescent="0.3">
      <c r="A317" s="24">
        <v>316</v>
      </c>
      <c r="B317" s="24" t="s">
        <v>1600</v>
      </c>
      <c r="C317" s="24" t="s">
        <v>1737</v>
      </c>
      <c r="D317" s="24">
        <v>107</v>
      </c>
      <c r="E317" s="44" t="s">
        <v>1741</v>
      </c>
      <c r="F317" s="44" t="s">
        <v>1742</v>
      </c>
      <c r="G317" s="24" t="s">
        <v>1278</v>
      </c>
      <c r="H317" s="13">
        <v>8</v>
      </c>
      <c r="I317" s="13">
        <v>890</v>
      </c>
      <c r="J317" s="62">
        <v>6</v>
      </c>
      <c r="K317" s="13" t="s">
        <v>1357</v>
      </c>
      <c r="L317" s="13">
        <v>0</v>
      </c>
      <c r="M317" s="13" t="s">
        <v>1239</v>
      </c>
      <c r="N317" s="13" t="s">
        <v>1221</v>
      </c>
      <c r="O317" s="8" t="s">
        <v>155</v>
      </c>
      <c r="P317" s="8" t="s">
        <v>156</v>
      </c>
      <c r="Q317" s="14">
        <v>44426</v>
      </c>
      <c r="R317" s="24"/>
    </row>
    <row r="318" spans="1:18" s="21" customFormat="1" ht="19.149999999999999" customHeight="1" x14ac:dyDescent="0.3">
      <c r="A318" s="8">
        <v>317</v>
      </c>
      <c r="B318" s="8" t="s">
        <v>51</v>
      </c>
      <c r="C318" s="8" t="s">
        <v>67</v>
      </c>
      <c r="D318" s="8">
        <v>107</v>
      </c>
      <c r="E318" s="16" t="s">
        <v>288</v>
      </c>
      <c r="F318" s="16" t="s">
        <v>664</v>
      </c>
      <c r="G318" s="8" t="s">
        <v>150</v>
      </c>
      <c r="H318" s="13">
        <v>11</v>
      </c>
      <c r="I318" s="96">
        <v>1523</v>
      </c>
      <c r="J318" s="62">
        <v>5</v>
      </c>
      <c r="K318" s="174" t="s">
        <v>3205</v>
      </c>
      <c r="L318" s="13">
        <v>0</v>
      </c>
      <c r="M318" s="13" t="s">
        <v>1239</v>
      </c>
      <c r="N318" s="13" t="s">
        <v>1221</v>
      </c>
      <c r="O318" s="8" t="s">
        <v>157</v>
      </c>
      <c r="P318" s="8" t="s">
        <v>158</v>
      </c>
      <c r="Q318" s="14">
        <v>42622</v>
      </c>
      <c r="R318" s="11"/>
    </row>
    <row r="319" spans="1:18" s="21" customFormat="1" ht="19.149999999999999" customHeight="1" x14ac:dyDescent="0.3">
      <c r="A319" s="24">
        <v>318</v>
      </c>
      <c r="B319" s="8" t="s">
        <v>51</v>
      </c>
      <c r="C319" s="8" t="s">
        <v>67</v>
      </c>
      <c r="D319" s="8">
        <v>107</v>
      </c>
      <c r="E319" s="16" t="s">
        <v>1743</v>
      </c>
      <c r="F319" s="16" t="s">
        <v>661</v>
      </c>
      <c r="G319" s="8" t="s">
        <v>150</v>
      </c>
      <c r="H319" s="13">
        <v>6</v>
      </c>
      <c r="I319" s="96">
        <v>881</v>
      </c>
      <c r="J319" s="62">
        <v>0</v>
      </c>
      <c r="K319" s="42" t="s">
        <v>310</v>
      </c>
      <c r="L319" s="13">
        <v>0</v>
      </c>
      <c r="M319" s="13" t="s">
        <v>1239</v>
      </c>
      <c r="N319" s="13" t="s">
        <v>1221</v>
      </c>
      <c r="O319" s="10" t="s">
        <v>151</v>
      </c>
      <c r="P319" s="8" t="s">
        <v>152</v>
      </c>
      <c r="Q319" s="14">
        <v>43448</v>
      </c>
      <c r="R319" s="31"/>
    </row>
    <row r="320" spans="1:18" s="21" customFormat="1" ht="19.149999999999999" customHeight="1" x14ac:dyDescent="0.3">
      <c r="A320" s="8">
        <v>319</v>
      </c>
      <c r="B320" s="8" t="s">
        <v>1600</v>
      </c>
      <c r="C320" s="8" t="s">
        <v>1744</v>
      </c>
      <c r="D320" s="8">
        <v>108</v>
      </c>
      <c r="E320" s="16" t="s">
        <v>1745</v>
      </c>
      <c r="F320" s="16" t="s">
        <v>1746</v>
      </c>
      <c r="G320" s="8" t="s">
        <v>1278</v>
      </c>
      <c r="H320" s="13">
        <v>6</v>
      </c>
      <c r="I320" s="96">
        <v>611</v>
      </c>
      <c r="J320" s="62">
        <v>2</v>
      </c>
      <c r="K320" s="13" t="s">
        <v>1315</v>
      </c>
      <c r="L320" s="13">
        <v>0</v>
      </c>
      <c r="M320" s="13" t="s">
        <v>1239</v>
      </c>
      <c r="N320" s="13" t="s">
        <v>1221</v>
      </c>
      <c r="O320" s="10" t="s">
        <v>1630</v>
      </c>
      <c r="P320" s="8" t="s">
        <v>158</v>
      </c>
      <c r="Q320" s="14">
        <v>43475</v>
      </c>
      <c r="R320" s="30" t="s">
        <v>1747</v>
      </c>
    </row>
    <row r="321" spans="1:18" s="21" customFormat="1" ht="19.149999999999999" customHeight="1" x14ac:dyDescent="0.3">
      <c r="A321" s="24">
        <v>320</v>
      </c>
      <c r="B321" s="8" t="s">
        <v>51</v>
      </c>
      <c r="C321" s="8" t="s">
        <v>68</v>
      </c>
      <c r="D321" s="8">
        <v>108</v>
      </c>
      <c r="E321" s="16" t="s">
        <v>239</v>
      </c>
      <c r="F321" s="16" t="s">
        <v>642</v>
      </c>
      <c r="G321" s="8" t="s">
        <v>150</v>
      </c>
      <c r="H321" s="13">
        <v>7</v>
      </c>
      <c r="I321" s="96">
        <v>1091</v>
      </c>
      <c r="J321" s="62">
        <v>0</v>
      </c>
      <c r="K321" s="13" t="s">
        <v>310</v>
      </c>
      <c r="L321" s="13">
        <v>0</v>
      </c>
      <c r="M321" s="13" t="s">
        <v>1239</v>
      </c>
      <c r="N321" s="13" t="s">
        <v>1221</v>
      </c>
      <c r="O321" s="23" t="s">
        <v>155</v>
      </c>
      <c r="P321" s="8" t="s">
        <v>156</v>
      </c>
      <c r="Q321" s="14">
        <v>43355</v>
      </c>
      <c r="R321" s="19"/>
    </row>
    <row r="322" spans="1:18" s="21" customFormat="1" ht="19.149999999999999" customHeight="1" x14ac:dyDescent="0.3">
      <c r="A322" s="8">
        <v>321</v>
      </c>
      <c r="B322" s="8" t="s">
        <v>51</v>
      </c>
      <c r="C322" s="8" t="s">
        <v>68</v>
      </c>
      <c r="D322" s="8">
        <v>108</v>
      </c>
      <c r="E322" s="19" t="s">
        <v>1748</v>
      </c>
      <c r="F322" s="19" t="s">
        <v>639</v>
      </c>
      <c r="G322" s="8" t="s">
        <v>160</v>
      </c>
      <c r="H322" s="13">
        <v>8</v>
      </c>
      <c r="I322" s="96">
        <v>1144</v>
      </c>
      <c r="J322" s="62">
        <v>0</v>
      </c>
      <c r="K322" s="13" t="s">
        <v>310</v>
      </c>
      <c r="L322" s="13">
        <v>0</v>
      </c>
      <c r="M322" s="13" t="s">
        <v>1239</v>
      </c>
      <c r="N322" s="13" t="s">
        <v>1221</v>
      </c>
      <c r="O322" s="10" t="s">
        <v>151</v>
      </c>
      <c r="P322" s="8" t="s">
        <v>152</v>
      </c>
      <c r="Q322" s="14">
        <v>40681</v>
      </c>
      <c r="R322" s="36"/>
    </row>
    <row r="323" spans="1:18" s="21" customFormat="1" ht="19.149999999999999" customHeight="1" x14ac:dyDescent="0.3">
      <c r="A323" s="24">
        <v>322</v>
      </c>
      <c r="B323" s="8" t="s">
        <v>1749</v>
      </c>
      <c r="C323" s="8" t="s">
        <v>1744</v>
      </c>
      <c r="D323" s="8">
        <v>108</v>
      </c>
      <c r="E323" s="16" t="s">
        <v>1750</v>
      </c>
      <c r="F323" s="16" t="s">
        <v>1751</v>
      </c>
      <c r="G323" s="8" t="s">
        <v>1264</v>
      </c>
      <c r="H323" s="13">
        <v>6</v>
      </c>
      <c r="I323" s="96">
        <v>254</v>
      </c>
      <c r="J323" s="62">
        <v>6</v>
      </c>
      <c r="K323" s="13" t="s">
        <v>1596</v>
      </c>
      <c r="L323" s="13">
        <v>0</v>
      </c>
      <c r="M323" s="13" t="s">
        <v>1239</v>
      </c>
      <c r="N323" s="13" t="s">
        <v>1221</v>
      </c>
      <c r="O323" s="10" t="s">
        <v>1630</v>
      </c>
      <c r="P323" s="8" t="s">
        <v>158</v>
      </c>
      <c r="Q323" s="14">
        <v>43962</v>
      </c>
      <c r="R323" s="19"/>
    </row>
    <row r="324" spans="1:18" s="21" customFormat="1" ht="19.149999999999999" customHeight="1" x14ac:dyDescent="0.3">
      <c r="A324" s="8">
        <v>323</v>
      </c>
      <c r="B324" s="8" t="s">
        <v>51</v>
      </c>
      <c r="C324" s="8" t="s">
        <v>68</v>
      </c>
      <c r="D324" s="8">
        <v>108</v>
      </c>
      <c r="E324" s="19" t="s">
        <v>1752</v>
      </c>
      <c r="F324" s="19" t="s">
        <v>638</v>
      </c>
      <c r="G324" s="8" t="s">
        <v>160</v>
      </c>
      <c r="H324" s="13">
        <v>4</v>
      </c>
      <c r="I324" s="96">
        <v>406</v>
      </c>
      <c r="J324" s="62">
        <v>0</v>
      </c>
      <c r="K324" s="13" t="s">
        <v>310</v>
      </c>
      <c r="L324" s="13">
        <v>0</v>
      </c>
      <c r="M324" s="13" t="s">
        <v>1239</v>
      </c>
      <c r="N324" s="13" t="s">
        <v>1221</v>
      </c>
      <c r="O324" s="10" t="s">
        <v>151</v>
      </c>
      <c r="P324" s="8" t="s">
        <v>152</v>
      </c>
      <c r="Q324" s="14">
        <v>43333</v>
      </c>
      <c r="R324" s="36"/>
    </row>
    <row r="325" spans="1:18" s="21" customFormat="1" ht="19.149999999999999" customHeight="1" x14ac:dyDescent="0.3">
      <c r="A325" s="24">
        <v>324</v>
      </c>
      <c r="B325" s="8" t="s">
        <v>1600</v>
      </c>
      <c r="C325" s="8" t="s">
        <v>1744</v>
      </c>
      <c r="D325" s="8">
        <v>108</v>
      </c>
      <c r="E325" s="19" t="s">
        <v>1753</v>
      </c>
      <c r="F325" s="19" t="s">
        <v>1754</v>
      </c>
      <c r="G325" s="8" t="s">
        <v>1264</v>
      </c>
      <c r="H325" s="13">
        <v>8</v>
      </c>
      <c r="I325" s="96">
        <v>1331</v>
      </c>
      <c r="J325" s="62">
        <v>4</v>
      </c>
      <c r="K325" s="13" t="s">
        <v>1755</v>
      </c>
      <c r="L325" s="13">
        <v>0</v>
      </c>
      <c r="M325" s="13" t="s">
        <v>1239</v>
      </c>
      <c r="N325" s="13" t="s">
        <v>1221</v>
      </c>
      <c r="O325" s="23" t="s">
        <v>155</v>
      </c>
      <c r="P325" s="8" t="s">
        <v>156</v>
      </c>
      <c r="Q325" s="14">
        <v>43706</v>
      </c>
      <c r="R325" s="36"/>
    </row>
    <row r="326" spans="1:18" s="21" customFormat="1" ht="19.149999999999999" customHeight="1" x14ac:dyDescent="0.3">
      <c r="A326" s="8">
        <v>325</v>
      </c>
      <c r="B326" s="99" t="s">
        <v>51</v>
      </c>
      <c r="C326" s="99" t="s">
        <v>68</v>
      </c>
      <c r="D326" s="99">
        <v>108</v>
      </c>
      <c r="E326" s="30" t="s">
        <v>3193</v>
      </c>
      <c r="F326" s="30" t="s">
        <v>1130</v>
      </c>
      <c r="G326" s="99" t="s">
        <v>150</v>
      </c>
      <c r="H326" s="88">
        <v>6</v>
      </c>
      <c r="I326" s="102">
        <v>666</v>
      </c>
      <c r="J326" s="71">
        <v>5</v>
      </c>
      <c r="K326" s="88" t="s">
        <v>3049</v>
      </c>
      <c r="L326" s="88">
        <v>0</v>
      </c>
      <c r="M326" s="88" t="s">
        <v>820</v>
      </c>
      <c r="N326" s="88" t="s">
        <v>884</v>
      </c>
      <c r="O326" s="63" t="s">
        <v>151</v>
      </c>
      <c r="P326" s="99" t="s">
        <v>152</v>
      </c>
      <c r="Q326" s="45">
        <v>39163</v>
      </c>
      <c r="R326" s="578" t="s">
        <v>3040</v>
      </c>
    </row>
    <row r="327" spans="1:18" s="21" customFormat="1" ht="19.149999999999999" customHeight="1" x14ac:dyDescent="0.3">
      <c r="A327" s="24">
        <v>326</v>
      </c>
      <c r="B327" s="8" t="s">
        <v>51</v>
      </c>
      <c r="C327" s="8" t="s">
        <v>68</v>
      </c>
      <c r="D327" s="8">
        <v>108</v>
      </c>
      <c r="E327" s="19" t="s">
        <v>1756</v>
      </c>
      <c r="F327" s="19" t="s">
        <v>640</v>
      </c>
      <c r="G327" s="8" t="s">
        <v>160</v>
      </c>
      <c r="H327" s="13">
        <v>8</v>
      </c>
      <c r="I327" s="96">
        <v>671</v>
      </c>
      <c r="J327" s="62">
        <v>0</v>
      </c>
      <c r="K327" s="13" t="s">
        <v>1239</v>
      </c>
      <c r="L327" s="13">
        <v>0</v>
      </c>
      <c r="M327" s="13" t="s">
        <v>1239</v>
      </c>
      <c r="N327" s="13" t="s">
        <v>1221</v>
      </c>
      <c r="O327" s="10" t="s">
        <v>151</v>
      </c>
      <c r="P327" s="8" t="s">
        <v>152</v>
      </c>
      <c r="Q327" s="14">
        <v>43090</v>
      </c>
      <c r="R327" s="93" t="s">
        <v>641</v>
      </c>
    </row>
    <row r="328" spans="1:18" s="21" customFormat="1" ht="19.149999999999999" customHeight="1" x14ac:dyDescent="0.3">
      <c r="A328" s="8">
        <v>327</v>
      </c>
      <c r="B328" s="8" t="s">
        <v>1600</v>
      </c>
      <c r="C328" s="8" t="s">
        <v>1744</v>
      </c>
      <c r="D328" s="8">
        <v>108</v>
      </c>
      <c r="E328" s="19" t="s">
        <v>1757</v>
      </c>
      <c r="F328" s="19" t="s">
        <v>1758</v>
      </c>
      <c r="G328" s="8" t="s">
        <v>1264</v>
      </c>
      <c r="H328" s="13">
        <v>7</v>
      </c>
      <c r="I328" s="96">
        <v>1002</v>
      </c>
      <c r="J328" s="62">
        <v>3</v>
      </c>
      <c r="K328" s="13" t="s">
        <v>1759</v>
      </c>
      <c r="L328" s="13">
        <v>0</v>
      </c>
      <c r="M328" s="13" t="s">
        <v>1239</v>
      </c>
      <c r="N328" s="13" t="s">
        <v>1221</v>
      </c>
      <c r="O328" s="23" t="s">
        <v>155</v>
      </c>
      <c r="P328" s="8" t="s">
        <v>156</v>
      </c>
      <c r="Q328" s="14">
        <v>43481</v>
      </c>
      <c r="R328" s="36"/>
    </row>
    <row r="329" spans="1:18" s="21" customFormat="1" ht="19.149999999999999" customHeight="1" x14ac:dyDescent="0.3">
      <c r="A329" s="24">
        <v>328</v>
      </c>
      <c r="B329" s="24" t="s">
        <v>1600</v>
      </c>
      <c r="C329" s="24" t="s">
        <v>1744</v>
      </c>
      <c r="D329" s="24">
        <v>110</v>
      </c>
      <c r="E329" s="44" t="s">
        <v>1760</v>
      </c>
      <c r="F329" s="44" t="s">
        <v>1761</v>
      </c>
      <c r="G329" s="24" t="s">
        <v>1278</v>
      </c>
      <c r="H329" s="13">
        <v>6</v>
      </c>
      <c r="I329" s="13">
        <v>744</v>
      </c>
      <c r="J329" s="62">
        <v>0</v>
      </c>
      <c r="K329" s="13" t="s">
        <v>310</v>
      </c>
      <c r="L329" s="13">
        <v>0</v>
      </c>
      <c r="M329" s="13" t="s">
        <v>1239</v>
      </c>
      <c r="N329" s="13" t="s">
        <v>1221</v>
      </c>
      <c r="O329" s="10" t="s">
        <v>151</v>
      </c>
      <c r="P329" s="8" t="s">
        <v>152</v>
      </c>
      <c r="Q329" s="14">
        <v>44454</v>
      </c>
      <c r="R329" s="24"/>
    </row>
    <row r="330" spans="1:18" s="21" customFormat="1" ht="19.149999999999999" customHeight="1" x14ac:dyDescent="0.3">
      <c r="A330" s="8">
        <v>329</v>
      </c>
      <c r="B330" s="8" t="s">
        <v>1749</v>
      </c>
      <c r="C330" s="8" t="s">
        <v>1762</v>
      </c>
      <c r="D330" s="8">
        <v>112</v>
      </c>
      <c r="E330" s="16" t="s">
        <v>1763</v>
      </c>
      <c r="F330" s="16" t="s">
        <v>1764</v>
      </c>
      <c r="G330" s="8" t="s">
        <v>1278</v>
      </c>
      <c r="H330" s="13">
        <v>5</v>
      </c>
      <c r="I330" s="96">
        <v>414</v>
      </c>
      <c r="J330" s="62">
        <v>0</v>
      </c>
      <c r="K330" s="13" t="s">
        <v>310</v>
      </c>
      <c r="L330" s="13">
        <v>0</v>
      </c>
      <c r="M330" s="13" t="s">
        <v>1239</v>
      </c>
      <c r="N330" s="13" t="s">
        <v>1221</v>
      </c>
      <c r="O330" s="10" t="s">
        <v>151</v>
      </c>
      <c r="P330" s="8" t="s">
        <v>152</v>
      </c>
      <c r="Q330" s="14">
        <v>44043</v>
      </c>
      <c r="R330" s="19"/>
    </row>
    <row r="331" spans="1:18" s="7" customFormat="1" ht="19.149999999999999" customHeight="1" x14ac:dyDescent="0.3">
      <c r="A331" s="24">
        <v>330</v>
      </c>
      <c r="B331" s="8" t="s">
        <v>51</v>
      </c>
      <c r="C331" s="8" t="s">
        <v>69</v>
      </c>
      <c r="D331" s="8">
        <v>112</v>
      </c>
      <c r="E331" s="16" t="s">
        <v>652</v>
      </c>
      <c r="F331" s="16" t="s">
        <v>653</v>
      </c>
      <c r="G331" s="8" t="s">
        <v>160</v>
      </c>
      <c r="H331" s="13">
        <v>7</v>
      </c>
      <c r="I331" s="96">
        <v>882</v>
      </c>
      <c r="J331" s="62">
        <v>0</v>
      </c>
      <c r="K331" s="13" t="s">
        <v>2973</v>
      </c>
      <c r="L331" s="13">
        <v>0</v>
      </c>
      <c r="M331" s="13" t="s">
        <v>1239</v>
      </c>
      <c r="N331" s="13" t="s">
        <v>1221</v>
      </c>
      <c r="O331" s="8" t="s">
        <v>157</v>
      </c>
      <c r="P331" s="8" t="s">
        <v>158</v>
      </c>
      <c r="Q331" s="14">
        <v>42726</v>
      </c>
      <c r="R331" s="19"/>
    </row>
    <row r="332" spans="1:18" s="7" customFormat="1" ht="19.149999999999999" customHeight="1" x14ac:dyDescent="0.3">
      <c r="A332" s="8">
        <v>331</v>
      </c>
      <c r="B332" s="8" t="s">
        <v>51</v>
      </c>
      <c r="C332" s="8" t="s">
        <v>69</v>
      </c>
      <c r="D332" s="8">
        <v>112</v>
      </c>
      <c r="E332" s="16" t="s">
        <v>287</v>
      </c>
      <c r="F332" s="16" t="s">
        <v>654</v>
      </c>
      <c r="G332" s="8" t="s">
        <v>150</v>
      </c>
      <c r="H332" s="13">
        <v>9</v>
      </c>
      <c r="I332" s="96">
        <v>1653</v>
      </c>
      <c r="J332" s="62">
        <v>0</v>
      </c>
      <c r="K332" s="13" t="s">
        <v>310</v>
      </c>
      <c r="L332" s="13">
        <v>0</v>
      </c>
      <c r="M332" s="13" t="s">
        <v>1239</v>
      </c>
      <c r="N332" s="13" t="s">
        <v>1221</v>
      </c>
      <c r="O332" s="8" t="s">
        <v>157</v>
      </c>
      <c r="P332" s="8" t="s">
        <v>158</v>
      </c>
      <c r="Q332" s="14">
        <v>38183</v>
      </c>
      <c r="R332" s="30" t="s">
        <v>1765</v>
      </c>
    </row>
    <row r="333" spans="1:18" s="7" customFormat="1" ht="19.149999999999999" customHeight="1" x14ac:dyDescent="0.3">
      <c r="A333" s="24">
        <v>332</v>
      </c>
      <c r="B333" s="117" t="s">
        <v>3155</v>
      </c>
      <c r="C333" s="117" t="s">
        <v>3156</v>
      </c>
      <c r="D333" s="117">
        <v>112</v>
      </c>
      <c r="E333" s="164" t="s">
        <v>3154</v>
      </c>
      <c r="F333" s="164" t="s">
        <v>3158</v>
      </c>
      <c r="G333" s="117" t="s">
        <v>3157</v>
      </c>
      <c r="H333" s="88">
        <v>7</v>
      </c>
      <c r="I333" s="88">
        <v>924</v>
      </c>
      <c r="J333" s="178">
        <v>4</v>
      </c>
      <c r="K333" s="178" t="s">
        <v>3169</v>
      </c>
      <c r="L333" s="88">
        <v>0</v>
      </c>
      <c r="M333" s="88" t="s">
        <v>820</v>
      </c>
      <c r="N333" s="88" t="s">
        <v>884</v>
      </c>
      <c r="O333" s="8" t="s">
        <v>155</v>
      </c>
      <c r="P333" s="8" t="s">
        <v>156</v>
      </c>
      <c r="Q333" s="45">
        <v>45136</v>
      </c>
      <c r="R333" s="164"/>
    </row>
    <row r="334" spans="1:18" s="7" customFormat="1" ht="19.149999999999999" customHeight="1" x14ac:dyDescent="0.3">
      <c r="A334" s="8">
        <v>333</v>
      </c>
      <c r="B334" s="8" t="s">
        <v>51</v>
      </c>
      <c r="C334" s="8" t="s">
        <v>655</v>
      </c>
      <c r="D334" s="8">
        <v>112</v>
      </c>
      <c r="E334" s="19" t="s">
        <v>1766</v>
      </c>
      <c r="F334" s="19" t="s">
        <v>656</v>
      </c>
      <c r="G334" s="8" t="s">
        <v>150</v>
      </c>
      <c r="H334" s="13">
        <v>3</v>
      </c>
      <c r="I334" s="96">
        <v>341</v>
      </c>
      <c r="J334" s="62">
        <v>0</v>
      </c>
      <c r="K334" s="13" t="s">
        <v>310</v>
      </c>
      <c r="L334" s="13">
        <v>0</v>
      </c>
      <c r="M334" s="13" t="s">
        <v>1239</v>
      </c>
      <c r="N334" s="13" t="s">
        <v>1221</v>
      </c>
      <c r="O334" s="10" t="s">
        <v>151</v>
      </c>
      <c r="P334" s="8" t="s">
        <v>152</v>
      </c>
      <c r="Q334" s="14">
        <v>41843</v>
      </c>
      <c r="R334" s="11"/>
    </row>
    <row r="335" spans="1:18" s="7" customFormat="1" ht="19.149999999999999" customHeight="1" x14ac:dyDescent="0.3">
      <c r="A335" s="24">
        <v>334</v>
      </c>
      <c r="B335" s="8" t="s">
        <v>573</v>
      </c>
      <c r="C335" s="8" t="s">
        <v>69</v>
      </c>
      <c r="D335" s="8">
        <v>112</v>
      </c>
      <c r="E335" s="16" t="s">
        <v>650</v>
      </c>
      <c r="F335" s="16" t="s">
        <v>651</v>
      </c>
      <c r="G335" s="8" t="s">
        <v>413</v>
      </c>
      <c r="H335" s="13">
        <v>7</v>
      </c>
      <c r="I335" s="96">
        <v>921</v>
      </c>
      <c r="J335" s="62">
        <v>1</v>
      </c>
      <c r="K335" s="13" t="s">
        <v>1422</v>
      </c>
      <c r="L335" s="13">
        <v>0</v>
      </c>
      <c r="M335" s="13" t="s">
        <v>1239</v>
      </c>
      <c r="N335" s="13" t="s">
        <v>1221</v>
      </c>
      <c r="O335" s="8" t="s">
        <v>157</v>
      </c>
      <c r="P335" s="8" t="s">
        <v>158</v>
      </c>
      <c r="Q335" s="14">
        <v>41996</v>
      </c>
      <c r="R335" s="30" t="s">
        <v>1767</v>
      </c>
    </row>
    <row r="336" spans="1:18" s="7" customFormat="1" ht="19.149999999999999" customHeight="1" x14ac:dyDescent="0.3">
      <c r="A336" s="8">
        <v>335</v>
      </c>
      <c r="B336" s="10" t="s">
        <v>51</v>
      </c>
      <c r="C336" s="10" t="s">
        <v>69</v>
      </c>
      <c r="D336" s="8">
        <v>112</v>
      </c>
      <c r="E336" s="11" t="s">
        <v>249</v>
      </c>
      <c r="F336" s="9" t="s">
        <v>1768</v>
      </c>
      <c r="G336" s="10" t="s">
        <v>150</v>
      </c>
      <c r="H336" s="13">
        <v>7</v>
      </c>
      <c r="I336" s="96">
        <v>1238</v>
      </c>
      <c r="J336" s="62">
        <v>1</v>
      </c>
      <c r="K336" s="13" t="s">
        <v>1074</v>
      </c>
      <c r="L336" s="13">
        <v>0</v>
      </c>
      <c r="M336" s="13" t="s">
        <v>1239</v>
      </c>
      <c r="N336" s="13" t="s">
        <v>1221</v>
      </c>
      <c r="O336" s="23" t="s">
        <v>155</v>
      </c>
      <c r="P336" s="8" t="s">
        <v>156</v>
      </c>
      <c r="Q336" s="14">
        <v>42726</v>
      </c>
      <c r="R336" s="11"/>
    </row>
    <row r="337" spans="1:18" s="7" customFormat="1" ht="19.149999999999999" customHeight="1" x14ac:dyDescent="0.3">
      <c r="A337" s="24">
        <v>336</v>
      </c>
      <c r="B337" s="8" t="s">
        <v>1637</v>
      </c>
      <c r="C337" s="8" t="s">
        <v>1769</v>
      </c>
      <c r="D337" s="8">
        <v>112</v>
      </c>
      <c r="E337" s="19" t="s">
        <v>1770</v>
      </c>
      <c r="F337" s="19" t="s">
        <v>1771</v>
      </c>
      <c r="G337" s="8" t="s">
        <v>1228</v>
      </c>
      <c r="H337" s="13">
        <v>1</v>
      </c>
      <c r="I337" s="96">
        <v>30</v>
      </c>
      <c r="J337" s="62">
        <v>0</v>
      </c>
      <c r="K337" s="13" t="s">
        <v>1228</v>
      </c>
      <c r="L337" s="13">
        <v>1</v>
      </c>
      <c r="M337" s="13" t="s">
        <v>1234</v>
      </c>
      <c r="N337" s="13" t="s">
        <v>1221</v>
      </c>
      <c r="O337" s="10" t="s">
        <v>1772</v>
      </c>
      <c r="P337" s="8" t="s">
        <v>299</v>
      </c>
      <c r="Q337" s="14">
        <v>42543</v>
      </c>
      <c r="R337" s="11"/>
    </row>
    <row r="338" spans="1:18" s="7" customFormat="1" ht="19.149999999999999" customHeight="1" x14ac:dyDescent="0.3">
      <c r="A338" s="8">
        <v>337</v>
      </c>
      <c r="B338" s="8" t="s">
        <v>51</v>
      </c>
      <c r="C338" s="8" t="s">
        <v>648</v>
      </c>
      <c r="D338" s="8">
        <v>113</v>
      </c>
      <c r="E338" s="19" t="s">
        <v>1773</v>
      </c>
      <c r="F338" s="19" t="s">
        <v>649</v>
      </c>
      <c r="G338" s="8" t="s">
        <v>413</v>
      </c>
      <c r="H338" s="13">
        <v>10</v>
      </c>
      <c r="I338" s="96">
        <v>1143</v>
      </c>
      <c r="J338" s="62">
        <v>0</v>
      </c>
      <c r="K338" s="13" t="s">
        <v>1239</v>
      </c>
      <c r="L338" s="13">
        <v>0</v>
      </c>
      <c r="M338" s="13" t="s">
        <v>1239</v>
      </c>
      <c r="N338" s="13" t="s">
        <v>1221</v>
      </c>
      <c r="O338" s="10" t="s">
        <v>151</v>
      </c>
      <c r="P338" s="8" t="s">
        <v>152</v>
      </c>
      <c r="Q338" s="14">
        <v>42009</v>
      </c>
      <c r="R338" s="11"/>
    </row>
    <row r="339" spans="1:18" s="7" customFormat="1" ht="19.149999999999999" customHeight="1" x14ac:dyDescent="0.3">
      <c r="A339" s="24">
        <v>338</v>
      </c>
      <c r="B339" s="8" t="s">
        <v>1600</v>
      </c>
      <c r="C339" s="8" t="s">
        <v>1774</v>
      </c>
      <c r="D339" s="8">
        <v>114</v>
      </c>
      <c r="E339" s="16" t="s">
        <v>1775</v>
      </c>
      <c r="F339" s="16" t="s">
        <v>1776</v>
      </c>
      <c r="G339" s="8" t="s">
        <v>1264</v>
      </c>
      <c r="H339" s="13">
        <v>7</v>
      </c>
      <c r="I339" s="96">
        <v>1256</v>
      </c>
      <c r="J339" s="71">
        <v>1</v>
      </c>
      <c r="K339" s="88" t="s">
        <v>1777</v>
      </c>
      <c r="L339" s="13">
        <v>0</v>
      </c>
      <c r="M339" s="13" t="s">
        <v>1239</v>
      </c>
      <c r="N339" s="13" t="s">
        <v>1221</v>
      </c>
      <c r="O339" s="8" t="s">
        <v>157</v>
      </c>
      <c r="P339" s="8" t="s">
        <v>158</v>
      </c>
      <c r="Q339" s="14">
        <v>44109</v>
      </c>
      <c r="R339" s="19"/>
    </row>
    <row r="340" spans="1:18" s="7" customFormat="1" ht="19.149999999999999" customHeight="1" x14ac:dyDescent="0.3">
      <c r="A340" s="8">
        <v>339</v>
      </c>
      <c r="B340" s="8" t="s">
        <v>573</v>
      </c>
      <c r="C340" s="8" t="s">
        <v>623</v>
      </c>
      <c r="D340" s="8">
        <v>114</v>
      </c>
      <c r="E340" s="16" t="s">
        <v>235</v>
      </c>
      <c r="F340" s="16" t="s">
        <v>624</v>
      </c>
      <c r="G340" s="8" t="s">
        <v>1278</v>
      </c>
      <c r="H340" s="13">
        <v>2</v>
      </c>
      <c r="I340" s="96">
        <v>164</v>
      </c>
      <c r="J340" s="62">
        <v>0</v>
      </c>
      <c r="K340" s="13" t="s">
        <v>310</v>
      </c>
      <c r="L340" s="13">
        <v>0</v>
      </c>
      <c r="M340" s="13" t="s">
        <v>1239</v>
      </c>
      <c r="N340" s="13" t="s">
        <v>1221</v>
      </c>
      <c r="O340" s="23" t="s">
        <v>155</v>
      </c>
      <c r="P340" s="8" t="s">
        <v>156</v>
      </c>
      <c r="Q340" s="14">
        <v>41474</v>
      </c>
      <c r="R340" s="19" t="s">
        <v>1778</v>
      </c>
    </row>
    <row r="341" spans="1:18" s="7" customFormat="1" ht="19.149999999999999" customHeight="1" x14ac:dyDescent="0.3">
      <c r="A341" s="24">
        <v>340</v>
      </c>
      <c r="B341" s="8" t="s">
        <v>51</v>
      </c>
      <c r="C341" s="8" t="s">
        <v>71</v>
      </c>
      <c r="D341" s="8">
        <v>114</v>
      </c>
      <c r="E341" s="19" t="s">
        <v>1779</v>
      </c>
      <c r="F341" s="19" t="s">
        <v>622</v>
      </c>
      <c r="G341" s="8" t="s">
        <v>160</v>
      </c>
      <c r="H341" s="13">
        <v>8</v>
      </c>
      <c r="I341" s="96">
        <v>1001</v>
      </c>
      <c r="J341" s="62">
        <v>0</v>
      </c>
      <c r="K341" s="13" t="s">
        <v>310</v>
      </c>
      <c r="L341" s="13">
        <v>0</v>
      </c>
      <c r="M341" s="13" t="s">
        <v>1239</v>
      </c>
      <c r="N341" s="13" t="s">
        <v>1221</v>
      </c>
      <c r="O341" s="10" t="s">
        <v>151</v>
      </c>
      <c r="P341" s="8" t="s">
        <v>152</v>
      </c>
      <c r="Q341" s="14">
        <v>43248</v>
      </c>
      <c r="R341" s="36"/>
    </row>
    <row r="342" spans="1:18" s="37" customFormat="1" ht="19.149999999999999" customHeight="1" x14ac:dyDescent="0.3">
      <c r="A342" s="8">
        <v>341</v>
      </c>
      <c r="B342" s="8" t="s">
        <v>51</v>
      </c>
      <c r="C342" s="8" t="s">
        <v>578</v>
      </c>
      <c r="D342" s="8">
        <v>115</v>
      </c>
      <c r="E342" s="27" t="s">
        <v>1780</v>
      </c>
      <c r="F342" s="16" t="s">
        <v>1781</v>
      </c>
      <c r="G342" s="23" t="s">
        <v>413</v>
      </c>
      <c r="H342" s="13">
        <v>4</v>
      </c>
      <c r="I342" s="96">
        <v>478</v>
      </c>
      <c r="J342" s="62">
        <v>0</v>
      </c>
      <c r="K342" s="13" t="s">
        <v>310</v>
      </c>
      <c r="L342" s="13">
        <v>0</v>
      </c>
      <c r="M342" s="13" t="s">
        <v>1239</v>
      </c>
      <c r="N342" s="13" t="s">
        <v>1221</v>
      </c>
      <c r="O342" s="10" t="s">
        <v>151</v>
      </c>
      <c r="P342" s="8" t="s">
        <v>152</v>
      </c>
      <c r="Q342" s="14">
        <v>43614</v>
      </c>
      <c r="R342" s="3" t="s">
        <v>1782</v>
      </c>
    </row>
    <row r="343" spans="1:18" s="37" customFormat="1" ht="19.149999999999999" customHeight="1" x14ac:dyDescent="0.3">
      <c r="A343" s="24">
        <v>342</v>
      </c>
      <c r="B343" s="8" t="s">
        <v>573</v>
      </c>
      <c r="C343" s="8" t="s">
        <v>1783</v>
      </c>
      <c r="D343" s="8">
        <v>115</v>
      </c>
      <c r="E343" s="19" t="s">
        <v>1784</v>
      </c>
      <c r="F343" s="19" t="s">
        <v>579</v>
      </c>
      <c r="G343" s="8" t="s">
        <v>318</v>
      </c>
      <c r="H343" s="13">
        <v>4</v>
      </c>
      <c r="I343" s="96">
        <v>424</v>
      </c>
      <c r="J343" s="62">
        <v>0</v>
      </c>
      <c r="K343" s="13" t="s">
        <v>310</v>
      </c>
      <c r="L343" s="13">
        <v>0</v>
      </c>
      <c r="M343" s="13" t="s">
        <v>1239</v>
      </c>
      <c r="N343" s="13" t="s">
        <v>1221</v>
      </c>
      <c r="O343" s="10" t="s">
        <v>151</v>
      </c>
      <c r="P343" s="8" t="s">
        <v>152</v>
      </c>
      <c r="Q343" s="14">
        <v>41943</v>
      </c>
      <c r="R343" s="43"/>
    </row>
    <row r="344" spans="1:18" s="37" customFormat="1" ht="19.149999999999999" customHeight="1" x14ac:dyDescent="0.3">
      <c r="A344" s="8">
        <v>343</v>
      </c>
      <c r="B344" s="8" t="s">
        <v>573</v>
      </c>
      <c r="C344" s="8" t="s">
        <v>578</v>
      </c>
      <c r="D344" s="8">
        <v>115</v>
      </c>
      <c r="E344" s="27" t="s">
        <v>255</v>
      </c>
      <c r="F344" s="16" t="s">
        <v>580</v>
      </c>
      <c r="G344" s="23" t="s">
        <v>318</v>
      </c>
      <c r="H344" s="13">
        <v>5</v>
      </c>
      <c r="I344" s="96">
        <v>712</v>
      </c>
      <c r="J344" s="62">
        <v>0</v>
      </c>
      <c r="K344" s="13" t="s">
        <v>310</v>
      </c>
      <c r="L344" s="13">
        <v>0</v>
      </c>
      <c r="M344" s="13" t="s">
        <v>1239</v>
      </c>
      <c r="N344" s="13" t="s">
        <v>1221</v>
      </c>
      <c r="O344" s="8" t="s">
        <v>157</v>
      </c>
      <c r="P344" s="8" t="s">
        <v>158</v>
      </c>
      <c r="Q344" s="14">
        <v>43362</v>
      </c>
      <c r="R344" s="11"/>
    </row>
    <row r="345" spans="1:18" s="7" customFormat="1" ht="19.149999999999999" customHeight="1" x14ac:dyDescent="0.3">
      <c r="A345" s="24">
        <v>344</v>
      </c>
      <c r="B345" s="99" t="s">
        <v>3557</v>
      </c>
      <c r="C345" s="99" t="s">
        <v>3558</v>
      </c>
      <c r="D345" s="99">
        <v>115</v>
      </c>
      <c r="E345" s="56" t="s">
        <v>3559</v>
      </c>
      <c r="F345" s="56" t="s">
        <v>3560</v>
      </c>
      <c r="G345" s="99" t="s">
        <v>2373</v>
      </c>
      <c r="H345" s="88">
        <v>2</v>
      </c>
      <c r="I345" s="102">
        <v>110</v>
      </c>
      <c r="J345" s="71">
        <v>0</v>
      </c>
      <c r="K345" s="88" t="s">
        <v>2373</v>
      </c>
      <c r="L345" s="88">
        <v>0</v>
      </c>
      <c r="M345" s="88" t="s">
        <v>3561</v>
      </c>
      <c r="N345" s="88" t="s">
        <v>3562</v>
      </c>
      <c r="O345" s="99" t="s">
        <v>3563</v>
      </c>
      <c r="P345" s="99" t="s">
        <v>3564</v>
      </c>
      <c r="Q345" s="45">
        <v>45233</v>
      </c>
      <c r="R345" s="30"/>
    </row>
    <row r="346" spans="1:18" s="7" customFormat="1" ht="19.149999999999999" customHeight="1" x14ac:dyDescent="0.3">
      <c r="A346" s="8">
        <v>345</v>
      </c>
      <c r="B346" s="24" t="s">
        <v>1600</v>
      </c>
      <c r="C346" s="24" t="s">
        <v>1783</v>
      </c>
      <c r="D346" s="24">
        <v>115</v>
      </c>
      <c r="E346" s="44" t="s">
        <v>1785</v>
      </c>
      <c r="F346" s="44" t="s">
        <v>1786</v>
      </c>
      <c r="G346" s="24" t="s">
        <v>1264</v>
      </c>
      <c r="H346" s="13">
        <v>6</v>
      </c>
      <c r="I346" s="13">
        <v>806</v>
      </c>
      <c r="J346" s="62">
        <v>0</v>
      </c>
      <c r="K346" s="13" t="s">
        <v>310</v>
      </c>
      <c r="L346" s="13">
        <v>0</v>
      </c>
      <c r="M346" s="13" t="s">
        <v>1239</v>
      </c>
      <c r="N346" s="13" t="s">
        <v>1221</v>
      </c>
      <c r="O346" s="10" t="s">
        <v>151</v>
      </c>
      <c r="P346" s="8" t="s">
        <v>152</v>
      </c>
      <c r="Q346" s="14">
        <v>44314</v>
      </c>
      <c r="R346" s="24"/>
    </row>
    <row r="347" spans="1:18" s="37" customFormat="1" ht="19.149999999999999" customHeight="1" x14ac:dyDescent="0.3">
      <c r="A347" s="24">
        <v>346</v>
      </c>
      <c r="B347" s="8" t="s">
        <v>1600</v>
      </c>
      <c r="C347" s="10" t="s">
        <v>1787</v>
      </c>
      <c r="D347" s="8">
        <v>116</v>
      </c>
      <c r="E347" s="19" t="s">
        <v>1788</v>
      </c>
      <c r="F347" s="19" t="s">
        <v>1789</v>
      </c>
      <c r="G347" s="8" t="s">
        <v>1264</v>
      </c>
      <c r="H347" s="13">
        <v>6</v>
      </c>
      <c r="I347" s="96">
        <v>640</v>
      </c>
      <c r="J347" s="62">
        <v>0</v>
      </c>
      <c r="K347" s="13" t="s">
        <v>1239</v>
      </c>
      <c r="L347" s="13">
        <v>0</v>
      </c>
      <c r="M347" s="13" t="s">
        <v>1220</v>
      </c>
      <c r="N347" s="13" t="s">
        <v>1221</v>
      </c>
      <c r="O347" s="10" t="s">
        <v>151</v>
      </c>
      <c r="P347" s="8" t="s">
        <v>152</v>
      </c>
      <c r="Q347" s="14">
        <v>43846</v>
      </c>
      <c r="R347" s="11"/>
    </row>
    <row r="348" spans="1:18" s="7" customFormat="1" ht="19.149999999999999" customHeight="1" x14ac:dyDescent="0.3">
      <c r="A348" s="8">
        <v>347</v>
      </c>
      <c r="B348" s="8" t="s">
        <v>51</v>
      </c>
      <c r="C348" s="10" t="s">
        <v>73</v>
      </c>
      <c r="D348" s="8">
        <v>116</v>
      </c>
      <c r="E348" s="19" t="s">
        <v>1790</v>
      </c>
      <c r="F348" s="19" t="s">
        <v>666</v>
      </c>
      <c r="G348" s="8" t="s">
        <v>150</v>
      </c>
      <c r="H348" s="13">
        <v>7</v>
      </c>
      <c r="I348" s="96">
        <v>1026</v>
      </c>
      <c r="J348" s="62">
        <v>2</v>
      </c>
      <c r="K348" s="13" t="s">
        <v>1172</v>
      </c>
      <c r="L348" s="13">
        <v>0</v>
      </c>
      <c r="M348" s="13" t="s">
        <v>1239</v>
      </c>
      <c r="N348" s="13" t="s">
        <v>1221</v>
      </c>
      <c r="O348" s="10" t="s">
        <v>151</v>
      </c>
      <c r="P348" s="8" t="s">
        <v>152</v>
      </c>
      <c r="Q348" s="14">
        <v>43187</v>
      </c>
      <c r="R348" s="11"/>
    </row>
    <row r="349" spans="1:18" s="7" customFormat="1" ht="19.149999999999999" customHeight="1" x14ac:dyDescent="0.3">
      <c r="A349" s="24">
        <v>348</v>
      </c>
      <c r="B349" s="99" t="s">
        <v>1600</v>
      </c>
      <c r="C349" s="99" t="s">
        <v>1787</v>
      </c>
      <c r="D349" s="99">
        <v>116</v>
      </c>
      <c r="E349" s="56" t="s">
        <v>3051</v>
      </c>
      <c r="F349" s="56" t="s">
        <v>3053</v>
      </c>
      <c r="G349" s="99" t="s">
        <v>2441</v>
      </c>
      <c r="H349" s="88">
        <v>7</v>
      </c>
      <c r="I349" s="102">
        <v>517</v>
      </c>
      <c r="J349" s="71">
        <v>0</v>
      </c>
      <c r="K349" s="88" t="s">
        <v>820</v>
      </c>
      <c r="L349" s="88">
        <v>0</v>
      </c>
      <c r="M349" s="88" t="s">
        <v>820</v>
      </c>
      <c r="N349" s="88" t="s">
        <v>884</v>
      </c>
      <c r="O349" s="10" t="s">
        <v>151</v>
      </c>
      <c r="P349" s="8" t="s">
        <v>152</v>
      </c>
      <c r="Q349" s="45">
        <v>45066</v>
      </c>
      <c r="R349" s="89"/>
    </row>
    <row r="350" spans="1:18" s="38" customFormat="1" ht="19.149999999999999" customHeight="1" x14ac:dyDescent="0.3">
      <c r="A350" s="8">
        <v>349</v>
      </c>
      <c r="B350" s="8" t="s">
        <v>1600</v>
      </c>
      <c r="C350" s="8" t="s">
        <v>1787</v>
      </c>
      <c r="D350" s="8">
        <v>116</v>
      </c>
      <c r="E350" s="19" t="s">
        <v>1791</v>
      </c>
      <c r="F350" s="19" t="s">
        <v>1792</v>
      </c>
      <c r="G350" s="8" t="s">
        <v>1239</v>
      </c>
      <c r="H350" s="13">
        <v>1</v>
      </c>
      <c r="I350" s="96">
        <v>40</v>
      </c>
      <c r="J350" s="62">
        <v>0</v>
      </c>
      <c r="K350" s="13" t="s">
        <v>310</v>
      </c>
      <c r="L350" s="13">
        <v>0</v>
      </c>
      <c r="M350" s="13" t="s">
        <v>1239</v>
      </c>
      <c r="N350" s="13" t="s">
        <v>1221</v>
      </c>
      <c r="O350" s="10" t="s">
        <v>1793</v>
      </c>
      <c r="P350" s="8" t="s">
        <v>1794</v>
      </c>
      <c r="Q350" s="14">
        <v>44631</v>
      </c>
      <c r="R350" s="11"/>
    </row>
    <row r="351" spans="1:18" s="7" customFormat="1" ht="19.149999999999999" customHeight="1" x14ac:dyDescent="0.3">
      <c r="A351" s="24">
        <v>350</v>
      </c>
      <c r="B351" s="24" t="s">
        <v>1600</v>
      </c>
      <c r="C351" s="24" t="s">
        <v>1787</v>
      </c>
      <c r="D351" s="24">
        <v>116</v>
      </c>
      <c r="E351" s="44" t="s">
        <v>1795</v>
      </c>
      <c r="F351" s="44" t="s">
        <v>1796</v>
      </c>
      <c r="G351" s="24" t="s">
        <v>1264</v>
      </c>
      <c r="H351" s="13">
        <v>7</v>
      </c>
      <c r="I351" s="13">
        <v>1157</v>
      </c>
      <c r="J351" s="24">
        <v>3</v>
      </c>
      <c r="K351" s="24" t="s">
        <v>1797</v>
      </c>
      <c r="L351" s="13">
        <v>0</v>
      </c>
      <c r="M351" s="13" t="s">
        <v>1239</v>
      </c>
      <c r="N351" s="13" t="s">
        <v>1221</v>
      </c>
      <c r="O351" s="8" t="s">
        <v>155</v>
      </c>
      <c r="P351" s="8" t="s">
        <v>156</v>
      </c>
      <c r="Q351" s="14">
        <v>44426</v>
      </c>
      <c r="R351" s="44" t="s">
        <v>1798</v>
      </c>
    </row>
    <row r="352" spans="1:18" s="7" customFormat="1" ht="19.149999999999999" customHeight="1" x14ac:dyDescent="0.3">
      <c r="A352" s="8">
        <v>351</v>
      </c>
      <c r="B352" s="117" t="s">
        <v>3177</v>
      </c>
      <c r="C352" s="117" t="s">
        <v>3178</v>
      </c>
      <c r="D352" s="117">
        <v>116</v>
      </c>
      <c r="E352" s="164" t="s">
        <v>3176</v>
      </c>
      <c r="F352" s="164" t="s">
        <v>3684</v>
      </c>
      <c r="G352" s="117" t="s">
        <v>3157</v>
      </c>
      <c r="H352" s="88">
        <v>5</v>
      </c>
      <c r="I352" s="88">
        <v>270</v>
      </c>
      <c r="J352" s="179">
        <v>4</v>
      </c>
      <c r="K352" s="180" t="s">
        <v>3183</v>
      </c>
      <c r="L352" s="180">
        <v>0</v>
      </c>
      <c r="M352" s="180" t="s">
        <v>820</v>
      </c>
      <c r="N352" s="88" t="s">
        <v>884</v>
      </c>
      <c r="O352" s="8" t="s">
        <v>185</v>
      </c>
      <c r="P352" s="24" t="s">
        <v>186</v>
      </c>
      <c r="Q352" s="45">
        <v>45247</v>
      </c>
      <c r="R352" s="117"/>
    </row>
    <row r="353" spans="1:18" s="7" customFormat="1" ht="19.149999999999999" customHeight="1" x14ac:dyDescent="0.3">
      <c r="A353" s="24">
        <v>352</v>
      </c>
      <c r="B353" s="8" t="s">
        <v>51</v>
      </c>
      <c r="C353" s="10" t="s">
        <v>73</v>
      </c>
      <c r="D353" s="8">
        <v>116</v>
      </c>
      <c r="E353" s="19" t="s">
        <v>1799</v>
      </c>
      <c r="F353" s="19" t="s">
        <v>665</v>
      </c>
      <c r="G353" s="8" t="s">
        <v>150</v>
      </c>
      <c r="H353" s="13">
        <v>8</v>
      </c>
      <c r="I353" s="500">
        <v>1402</v>
      </c>
      <c r="J353" s="62">
        <v>2</v>
      </c>
      <c r="K353" s="13" t="s">
        <v>728</v>
      </c>
      <c r="L353" s="13">
        <v>0</v>
      </c>
      <c r="M353" s="13" t="s">
        <v>1239</v>
      </c>
      <c r="N353" s="13" t="s">
        <v>1221</v>
      </c>
      <c r="O353" s="10" t="s">
        <v>151</v>
      </c>
      <c r="P353" s="8" t="s">
        <v>152</v>
      </c>
      <c r="Q353" s="14">
        <v>40474</v>
      </c>
      <c r="R353" s="9" t="s">
        <v>1800</v>
      </c>
    </row>
    <row r="354" spans="1:18" s="7" customFormat="1" ht="19.149999999999999" customHeight="1" x14ac:dyDescent="0.3">
      <c r="A354" s="8">
        <v>353</v>
      </c>
      <c r="B354" s="8" t="s">
        <v>51</v>
      </c>
      <c r="C354" s="8" t="s">
        <v>73</v>
      </c>
      <c r="D354" s="8">
        <v>116</v>
      </c>
      <c r="E354" s="16" t="s">
        <v>669</v>
      </c>
      <c r="F354" s="16" t="s">
        <v>670</v>
      </c>
      <c r="G354" s="8" t="s">
        <v>413</v>
      </c>
      <c r="H354" s="13">
        <v>8</v>
      </c>
      <c r="I354" s="96">
        <v>716</v>
      </c>
      <c r="J354" s="62">
        <v>8</v>
      </c>
      <c r="K354" s="13" t="s">
        <v>1801</v>
      </c>
      <c r="L354" s="13">
        <v>0</v>
      </c>
      <c r="M354" s="13" t="s">
        <v>1239</v>
      </c>
      <c r="N354" s="13" t="s">
        <v>1221</v>
      </c>
      <c r="O354" s="8" t="s">
        <v>157</v>
      </c>
      <c r="P354" s="8" t="s">
        <v>158</v>
      </c>
      <c r="Q354" s="14">
        <v>42202</v>
      </c>
      <c r="R354" s="11"/>
    </row>
    <row r="355" spans="1:18" s="7" customFormat="1" ht="19.149999999999999" customHeight="1" x14ac:dyDescent="0.3">
      <c r="A355" s="24">
        <v>354</v>
      </c>
      <c r="B355" s="8" t="s">
        <v>1600</v>
      </c>
      <c r="C355" s="8" t="s">
        <v>1787</v>
      </c>
      <c r="D355" s="8">
        <v>116</v>
      </c>
      <c r="E355" s="19" t="s">
        <v>1802</v>
      </c>
      <c r="F355" s="19" t="s">
        <v>1803</v>
      </c>
      <c r="G355" s="8" t="s">
        <v>1239</v>
      </c>
      <c r="H355" s="13">
        <v>2</v>
      </c>
      <c r="I355" s="96">
        <v>150</v>
      </c>
      <c r="J355" s="62">
        <v>0</v>
      </c>
      <c r="K355" s="13" t="s">
        <v>1239</v>
      </c>
      <c r="L355" s="13">
        <v>0</v>
      </c>
      <c r="M355" s="13" t="s">
        <v>1239</v>
      </c>
      <c r="N355" s="13" t="s">
        <v>1521</v>
      </c>
      <c r="O355" s="10" t="s">
        <v>1804</v>
      </c>
      <c r="P355" s="8" t="s">
        <v>1805</v>
      </c>
      <c r="Q355" s="14">
        <v>44901</v>
      </c>
      <c r="R355" s="11"/>
    </row>
    <row r="356" spans="1:18" s="7" customFormat="1" ht="19.149999999999999" customHeight="1" x14ac:dyDescent="0.3">
      <c r="A356" s="8">
        <v>355</v>
      </c>
      <c r="B356" s="8" t="s">
        <v>1600</v>
      </c>
      <c r="C356" s="10" t="s">
        <v>1787</v>
      </c>
      <c r="D356" s="8">
        <v>116</v>
      </c>
      <c r="E356" s="19" t="s">
        <v>1806</v>
      </c>
      <c r="F356" s="19" t="s">
        <v>1807</v>
      </c>
      <c r="G356" s="8" t="s">
        <v>1278</v>
      </c>
      <c r="H356" s="13">
        <v>4</v>
      </c>
      <c r="I356" s="96">
        <v>379</v>
      </c>
      <c r="J356" s="62">
        <v>0</v>
      </c>
      <c r="K356" s="13" t="s">
        <v>1239</v>
      </c>
      <c r="L356" s="13">
        <v>0</v>
      </c>
      <c r="M356" s="13" t="s">
        <v>1239</v>
      </c>
      <c r="N356" s="13" t="s">
        <v>1221</v>
      </c>
      <c r="O356" s="10" t="s">
        <v>151</v>
      </c>
      <c r="P356" s="8" t="s">
        <v>152</v>
      </c>
      <c r="Q356" s="14">
        <v>43691</v>
      </c>
      <c r="R356" s="11"/>
    </row>
    <row r="357" spans="1:18" s="7" customFormat="1" ht="19.149999999999999" customHeight="1" x14ac:dyDescent="0.3">
      <c r="A357" s="24">
        <v>356</v>
      </c>
      <c r="B357" s="10" t="s">
        <v>51</v>
      </c>
      <c r="C357" s="10" t="s">
        <v>73</v>
      </c>
      <c r="D357" s="8">
        <v>116</v>
      </c>
      <c r="E357" s="11" t="s">
        <v>251</v>
      </c>
      <c r="F357" s="9" t="s">
        <v>668</v>
      </c>
      <c r="G357" s="10" t="s">
        <v>150</v>
      </c>
      <c r="H357" s="13">
        <v>5</v>
      </c>
      <c r="I357" s="96">
        <v>680</v>
      </c>
      <c r="J357" s="62">
        <v>0</v>
      </c>
      <c r="K357" s="13" t="s">
        <v>310</v>
      </c>
      <c r="L357" s="13">
        <v>0</v>
      </c>
      <c r="M357" s="13" t="s">
        <v>1239</v>
      </c>
      <c r="N357" s="13" t="s">
        <v>1221</v>
      </c>
      <c r="O357" s="23" t="s">
        <v>155</v>
      </c>
      <c r="P357" s="8" t="s">
        <v>156</v>
      </c>
      <c r="Q357" s="14">
        <v>42639</v>
      </c>
      <c r="R357" s="11"/>
    </row>
    <row r="358" spans="1:18" s="7" customFormat="1" ht="19.149999999999999" customHeight="1" x14ac:dyDescent="0.3">
      <c r="A358" s="8">
        <v>357</v>
      </c>
      <c r="B358" s="10" t="s">
        <v>51</v>
      </c>
      <c r="C358" s="10" t="s">
        <v>73</v>
      </c>
      <c r="D358" s="8">
        <v>116</v>
      </c>
      <c r="E358" s="11" t="s">
        <v>221</v>
      </c>
      <c r="F358" s="9" t="s">
        <v>667</v>
      </c>
      <c r="G358" s="10" t="s">
        <v>150</v>
      </c>
      <c r="H358" s="13">
        <v>8</v>
      </c>
      <c r="I358" s="96">
        <v>1098</v>
      </c>
      <c r="J358" s="62">
        <v>0</v>
      </c>
      <c r="K358" s="13" t="s">
        <v>310</v>
      </c>
      <c r="L358" s="13">
        <v>0</v>
      </c>
      <c r="M358" s="13" t="s">
        <v>1239</v>
      </c>
      <c r="N358" s="13" t="s">
        <v>1221</v>
      </c>
      <c r="O358" s="23" t="s">
        <v>155</v>
      </c>
      <c r="P358" s="8" t="s">
        <v>156</v>
      </c>
      <c r="Q358" s="14">
        <v>38988</v>
      </c>
      <c r="R358" s="11"/>
    </row>
    <row r="359" spans="1:18" s="7" customFormat="1" ht="19.149999999999999" customHeight="1" x14ac:dyDescent="0.3">
      <c r="A359" s="24">
        <v>358</v>
      </c>
      <c r="B359" s="10" t="s">
        <v>51</v>
      </c>
      <c r="C359" s="10" t="s">
        <v>74</v>
      </c>
      <c r="D359" s="8">
        <v>117</v>
      </c>
      <c r="E359" s="11" t="s">
        <v>207</v>
      </c>
      <c r="F359" s="9" t="s">
        <v>570</v>
      </c>
      <c r="G359" s="10" t="s">
        <v>150</v>
      </c>
      <c r="H359" s="13">
        <v>3</v>
      </c>
      <c r="I359" s="96">
        <v>231</v>
      </c>
      <c r="J359" s="62">
        <v>0</v>
      </c>
      <c r="K359" s="13" t="s">
        <v>310</v>
      </c>
      <c r="L359" s="13">
        <v>0</v>
      </c>
      <c r="M359" s="13" t="s">
        <v>1239</v>
      </c>
      <c r="N359" s="13" t="s">
        <v>1221</v>
      </c>
      <c r="O359" s="8" t="s">
        <v>1604</v>
      </c>
      <c r="P359" s="8" t="s">
        <v>156</v>
      </c>
      <c r="Q359" s="14">
        <v>41117</v>
      </c>
      <c r="R359" s="25"/>
    </row>
    <row r="360" spans="1:18" s="7" customFormat="1" ht="19.149999999999999" customHeight="1" x14ac:dyDescent="0.3">
      <c r="A360" s="8">
        <v>359</v>
      </c>
      <c r="B360" s="10" t="s">
        <v>51</v>
      </c>
      <c r="C360" s="10" t="s">
        <v>74</v>
      </c>
      <c r="D360" s="8">
        <v>117</v>
      </c>
      <c r="E360" s="11" t="s">
        <v>1808</v>
      </c>
      <c r="F360" s="11" t="s">
        <v>569</v>
      </c>
      <c r="G360" s="10" t="s">
        <v>160</v>
      </c>
      <c r="H360" s="13">
        <v>8</v>
      </c>
      <c r="I360" s="96">
        <v>1202</v>
      </c>
      <c r="J360" s="62">
        <v>0</v>
      </c>
      <c r="K360" s="13" t="s">
        <v>310</v>
      </c>
      <c r="L360" s="13">
        <v>0</v>
      </c>
      <c r="M360" s="13" t="s">
        <v>1239</v>
      </c>
      <c r="N360" s="13" t="s">
        <v>1221</v>
      </c>
      <c r="O360" s="10" t="s">
        <v>151</v>
      </c>
      <c r="P360" s="8" t="s">
        <v>152</v>
      </c>
      <c r="Q360" s="14">
        <v>43008</v>
      </c>
      <c r="R360" s="19"/>
    </row>
    <row r="361" spans="1:18" s="7" customFormat="1" ht="19.149999999999999" customHeight="1" x14ac:dyDescent="0.3">
      <c r="A361" s="24">
        <v>360</v>
      </c>
      <c r="B361" s="8" t="s">
        <v>51</v>
      </c>
      <c r="C361" s="8" t="s">
        <v>635</v>
      </c>
      <c r="D361" s="8">
        <v>118</v>
      </c>
      <c r="E361" s="16" t="s">
        <v>272</v>
      </c>
      <c r="F361" s="16" t="s">
        <v>636</v>
      </c>
      <c r="G361" s="8" t="s">
        <v>160</v>
      </c>
      <c r="H361" s="13">
        <v>4</v>
      </c>
      <c r="I361" s="96">
        <v>338</v>
      </c>
      <c r="J361" s="62">
        <v>3</v>
      </c>
      <c r="K361" s="13" t="s">
        <v>1809</v>
      </c>
      <c r="L361" s="13">
        <v>0</v>
      </c>
      <c r="M361" s="13" t="s">
        <v>1239</v>
      </c>
      <c r="N361" s="13" t="s">
        <v>1221</v>
      </c>
      <c r="O361" s="8" t="s">
        <v>157</v>
      </c>
      <c r="P361" s="8" t="s">
        <v>158</v>
      </c>
      <c r="Q361" s="14">
        <v>40894</v>
      </c>
      <c r="R361" s="26"/>
    </row>
    <row r="362" spans="1:18" s="7" customFormat="1" ht="19.149999999999999" customHeight="1" x14ac:dyDescent="0.3">
      <c r="A362" s="8">
        <v>361</v>
      </c>
      <c r="B362" s="8" t="s">
        <v>1600</v>
      </c>
      <c r="C362" s="8" t="s">
        <v>1810</v>
      </c>
      <c r="D362" s="8">
        <v>118</v>
      </c>
      <c r="E362" s="16" t="s">
        <v>1811</v>
      </c>
      <c r="F362" s="16" t="s">
        <v>1812</v>
      </c>
      <c r="G362" s="8" t="s">
        <v>1264</v>
      </c>
      <c r="H362" s="13">
        <v>7</v>
      </c>
      <c r="I362" s="96">
        <v>724</v>
      </c>
      <c r="J362" s="62">
        <v>0</v>
      </c>
      <c r="K362" s="13" t="s">
        <v>310</v>
      </c>
      <c r="L362" s="13">
        <v>0</v>
      </c>
      <c r="M362" s="13" t="s">
        <v>1239</v>
      </c>
      <c r="N362" s="13" t="s">
        <v>1221</v>
      </c>
      <c r="O362" s="10" t="s">
        <v>151</v>
      </c>
      <c r="P362" s="8" t="s">
        <v>152</v>
      </c>
      <c r="Q362" s="14">
        <v>44027</v>
      </c>
      <c r="R362" s="26"/>
    </row>
    <row r="363" spans="1:18" s="21" customFormat="1" ht="19.149999999999999" customHeight="1" x14ac:dyDescent="0.3">
      <c r="A363" s="24">
        <v>362</v>
      </c>
      <c r="B363" s="8" t="s">
        <v>1600</v>
      </c>
      <c r="C363" s="8" t="s">
        <v>1813</v>
      </c>
      <c r="D363" s="8">
        <v>119</v>
      </c>
      <c r="E363" s="16" t="s">
        <v>1814</v>
      </c>
      <c r="F363" s="16" t="s">
        <v>1815</v>
      </c>
      <c r="G363" s="8" t="s">
        <v>1278</v>
      </c>
      <c r="H363" s="13">
        <v>5</v>
      </c>
      <c r="I363" s="96">
        <v>415</v>
      </c>
      <c r="J363" s="62">
        <v>0</v>
      </c>
      <c r="K363" s="13" t="s">
        <v>310</v>
      </c>
      <c r="L363" s="13">
        <v>0</v>
      </c>
      <c r="M363" s="13" t="s">
        <v>1239</v>
      </c>
      <c r="N363" s="13" t="s">
        <v>1221</v>
      </c>
      <c r="O363" s="10" t="s">
        <v>151</v>
      </c>
      <c r="P363" s="8" t="s">
        <v>152</v>
      </c>
      <c r="Q363" s="14">
        <v>43992</v>
      </c>
      <c r="R363" s="26"/>
    </row>
    <row r="364" spans="1:18" s="21" customFormat="1" ht="19.149999999999999" customHeight="1" x14ac:dyDescent="0.3">
      <c r="A364" s="8">
        <v>363</v>
      </c>
      <c r="B364" s="8" t="s">
        <v>1600</v>
      </c>
      <c r="C364" s="8" t="s">
        <v>1813</v>
      </c>
      <c r="D364" s="8">
        <v>119</v>
      </c>
      <c r="E364" s="56" t="s">
        <v>1816</v>
      </c>
      <c r="F364" s="16" t="s">
        <v>1817</v>
      </c>
      <c r="G364" s="8" t="s">
        <v>1239</v>
      </c>
      <c r="H364" s="13">
        <v>2</v>
      </c>
      <c r="I364" s="96">
        <v>98</v>
      </c>
      <c r="J364" s="62">
        <v>0</v>
      </c>
      <c r="K364" s="13" t="s">
        <v>1239</v>
      </c>
      <c r="L364" s="13">
        <v>0</v>
      </c>
      <c r="M364" s="13" t="s">
        <v>1239</v>
      </c>
      <c r="N364" s="13" t="s">
        <v>1521</v>
      </c>
      <c r="O364" s="8" t="s">
        <v>1818</v>
      </c>
      <c r="P364" s="8" t="s">
        <v>827</v>
      </c>
      <c r="Q364" s="14">
        <v>43817</v>
      </c>
      <c r="R364" s="3" t="s">
        <v>1819</v>
      </c>
    </row>
    <row r="365" spans="1:18" s="7" customFormat="1" ht="19.149999999999999" customHeight="1" x14ac:dyDescent="0.3">
      <c r="A365" s="24">
        <v>364</v>
      </c>
      <c r="B365" s="8" t="s">
        <v>1600</v>
      </c>
      <c r="C365" s="8" t="s">
        <v>1820</v>
      </c>
      <c r="D365" s="8">
        <v>122</v>
      </c>
      <c r="E365" s="56" t="s">
        <v>1821</v>
      </c>
      <c r="F365" s="16" t="s">
        <v>1822</v>
      </c>
      <c r="G365" s="8" t="s">
        <v>1239</v>
      </c>
      <c r="H365" s="13">
        <v>2</v>
      </c>
      <c r="I365" s="96">
        <v>99</v>
      </c>
      <c r="J365" s="62">
        <v>0</v>
      </c>
      <c r="K365" s="13" t="s">
        <v>1239</v>
      </c>
      <c r="L365" s="13">
        <v>0</v>
      </c>
      <c r="M365" s="13" t="s">
        <v>1239</v>
      </c>
      <c r="N365" s="13" t="s">
        <v>1521</v>
      </c>
      <c r="O365" s="8" t="s">
        <v>1823</v>
      </c>
      <c r="P365" s="8" t="s">
        <v>1824</v>
      </c>
      <c r="Q365" s="14">
        <v>44562</v>
      </c>
      <c r="R365" s="90"/>
    </row>
    <row r="366" spans="1:18" s="21" customFormat="1" ht="19.149999999999999" customHeight="1" x14ac:dyDescent="0.3">
      <c r="A366" s="8">
        <v>365</v>
      </c>
      <c r="B366" s="8" t="s">
        <v>1600</v>
      </c>
      <c r="C366" s="8" t="s">
        <v>1820</v>
      </c>
      <c r="D366" s="8">
        <v>122</v>
      </c>
      <c r="E366" s="56" t="s">
        <v>1825</v>
      </c>
      <c r="F366" s="16" t="s">
        <v>824</v>
      </c>
      <c r="G366" s="8" t="s">
        <v>1239</v>
      </c>
      <c r="H366" s="13">
        <v>2</v>
      </c>
      <c r="I366" s="96">
        <v>136</v>
      </c>
      <c r="J366" s="62">
        <v>0</v>
      </c>
      <c r="K366" s="13" t="s">
        <v>1239</v>
      </c>
      <c r="L366" s="13">
        <v>0</v>
      </c>
      <c r="M366" s="13" t="s">
        <v>1239</v>
      </c>
      <c r="N366" s="13" t="s">
        <v>1521</v>
      </c>
      <c r="O366" s="8" t="s">
        <v>825</v>
      </c>
      <c r="P366" s="8" t="s">
        <v>826</v>
      </c>
      <c r="Q366" s="14">
        <v>43546</v>
      </c>
      <c r="R366" s="90" t="s">
        <v>1826</v>
      </c>
    </row>
    <row r="367" spans="1:18" s="21" customFormat="1" ht="19.149999999999999" customHeight="1" x14ac:dyDescent="0.3">
      <c r="A367" s="24">
        <v>366</v>
      </c>
      <c r="B367" s="8" t="s">
        <v>573</v>
      </c>
      <c r="C367" s="8" t="s">
        <v>76</v>
      </c>
      <c r="D367" s="8">
        <v>123</v>
      </c>
      <c r="E367" s="16" t="s">
        <v>1827</v>
      </c>
      <c r="F367" s="19" t="s">
        <v>1828</v>
      </c>
      <c r="G367" s="8" t="s">
        <v>310</v>
      </c>
      <c r="H367" s="13">
        <v>1</v>
      </c>
      <c r="I367" s="96">
        <v>152</v>
      </c>
      <c r="J367" s="62">
        <v>0</v>
      </c>
      <c r="K367" s="13" t="s">
        <v>310</v>
      </c>
      <c r="L367" s="13">
        <v>0</v>
      </c>
      <c r="M367" s="13" t="s">
        <v>1239</v>
      </c>
      <c r="N367" s="13" t="s">
        <v>1221</v>
      </c>
      <c r="O367" s="8" t="s">
        <v>1829</v>
      </c>
      <c r="P367" s="10" t="s">
        <v>637</v>
      </c>
      <c r="Q367" s="14">
        <v>16372</v>
      </c>
      <c r="R367" s="11"/>
    </row>
    <row r="368" spans="1:18" s="37" customFormat="1" ht="19.149999999999999" customHeight="1" x14ac:dyDescent="0.3">
      <c r="A368" s="8">
        <v>367</v>
      </c>
      <c r="B368" s="8" t="s">
        <v>77</v>
      </c>
      <c r="C368" s="8" t="s">
        <v>78</v>
      </c>
      <c r="D368" s="8">
        <v>124</v>
      </c>
      <c r="E368" s="16" t="s">
        <v>1830</v>
      </c>
      <c r="F368" s="16" t="s">
        <v>1831</v>
      </c>
      <c r="G368" s="8" t="s">
        <v>160</v>
      </c>
      <c r="H368" s="13">
        <v>6</v>
      </c>
      <c r="I368" s="96">
        <v>448</v>
      </c>
      <c r="J368" s="62">
        <v>4</v>
      </c>
      <c r="K368" s="13" t="s">
        <v>1832</v>
      </c>
      <c r="L368" s="13">
        <v>0</v>
      </c>
      <c r="M368" s="13" t="s">
        <v>1239</v>
      </c>
      <c r="N368" s="13" t="s">
        <v>1221</v>
      </c>
      <c r="O368" s="8" t="s">
        <v>155</v>
      </c>
      <c r="P368" s="8" t="s">
        <v>156</v>
      </c>
      <c r="Q368" s="14">
        <v>41760</v>
      </c>
      <c r="R368" s="30" t="s">
        <v>1833</v>
      </c>
    </row>
    <row r="369" spans="1:18" s="37" customFormat="1" ht="19.149999999999999" customHeight="1" x14ac:dyDescent="0.3">
      <c r="A369" s="24">
        <v>368</v>
      </c>
      <c r="B369" s="8" t="s">
        <v>77</v>
      </c>
      <c r="C369" s="8" t="s">
        <v>78</v>
      </c>
      <c r="D369" s="8">
        <v>124</v>
      </c>
      <c r="E369" s="19" t="s">
        <v>1834</v>
      </c>
      <c r="F369" s="19" t="s">
        <v>1132</v>
      </c>
      <c r="G369" s="8" t="s">
        <v>150</v>
      </c>
      <c r="H369" s="13">
        <v>12</v>
      </c>
      <c r="I369" s="96">
        <v>1714</v>
      </c>
      <c r="J369" s="62">
        <v>1</v>
      </c>
      <c r="K369" s="13" t="s">
        <v>2968</v>
      </c>
      <c r="L369" s="13">
        <v>1</v>
      </c>
      <c r="M369" s="13" t="s">
        <v>2747</v>
      </c>
      <c r="N369" s="13" t="s">
        <v>1221</v>
      </c>
      <c r="O369" s="10" t="s">
        <v>151</v>
      </c>
      <c r="P369" s="8" t="s">
        <v>152</v>
      </c>
      <c r="Q369" s="14">
        <v>39506</v>
      </c>
      <c r="R369" s="11"/>
    </row>
    <row r="370" spans="1:18" s="37" customFormat="1" ht="19.149999999999999" customHeight="1" x14ac:dyDescent="0.3">
      <c r="A370" s="8">
        <v>369</v>
      </c>
      <c r="B370" s="8" t="s">
        <v>77</v>
      </c>
      <c r="C370" s="8" t="s">
        <v>78</v>
      </c>
      <c r="D370" s="8">
        <v>124</v>
      </c>
      <c r="E370" s="16" t="s">
        <v>683</v>
      </c>
      <c r="F370" s="16" t="s">
        <v>684</v>
      </c>
      <c r="G370" s="8" t="s">
        <v>160</v>
      </c>
      <c r="H370" s="13">
        <v>7</v>
      </c>
      <c r="I370" s="96">
        <v>1134</v>
      </c>
      <c r="J370" s="62">
        <v>0</v>
      </c>
      <c r="K370" s="13" t="s">
        <v>310</v>
      </c>
      <c r="L370" s="13">
        <v>0</v>
      </c>
      <c r="M370" s="13" t="s">
        <v>1239</v>
      </c>
      <c r="N370" s="13" t="s">
        <v>1221</v>
      </c>
      <c r="O370" s="8" t="s">
        <v>157</v>
      </c>
      <c r="P370" s="8" t="s">
        <v>158</v>
      </c>
      <c r="Q370" s="14">
        <v>42810</v>
      </c>
      <c r="R370" s="19"/>
    </row>
    <row r="371" spans="1:18" s="37" customFormat="1" ht="19.149999999999999" customHeight="1" x14ac:dyDescent="0.3">
      <c r="A371" s="24">
        <v>370</v>
      </c>
      <c r="B371" s="8" t="s">
        <v>77</v>
      </c>
      <c r="C371" s="8" t="s">
        <v>78</v>
      </c>
      <c r="D371" s="8">
        <v>124</v>
      </c>
      <c r="E371" s="16" t="s">
        <v>1835</v>
      </c>
      <c r="F371" s="16" t="s">
        <v>1836</v>
      </c>
      <c r="G371" s="8" t="s">
        <v>1264</v>
      </c>
      <c r="H371" s="13">
        <v>6</v>
      </c>
      <c r="I371" s="96">
        <v>987</v>
      </c>
      <c r="J371" s="62">
        <v>6</v>
      </c>
      <c r="K371" s="13" t="s">
        <v>1596</v>
      </c>
      <c r="L371" s="13">
        <v>0</v>
      </c>
      <c r="M371" s="13" t="s">
        <v>1239</v>
      </c>
      <c r="N371" s="13" t="s">
        <v>1221</v>
      </c>
      <c r="O371" s="8" t="s">
        <v>157</v>
      </c>
      <c r="P371" s="8" t="s">
        <v>158</v>
      </c>
      <c r="Q371" s="14">
        <v>44742</v>
      </c>
      <c r="R371" s="19"/>
    </row>
    <row r="372" spans="1:18" s="37" customFormat="1" ht="19.149999999999999" customHeight="1" x14ac:dyDescent="0.3">
      <c r="A372" s="8">
        <v>371</v>
      </c>
      <c r="B372" s="8" t="s">
        <v>77</v>
      </c>
      <c r="C372" s="8" t="s">
        <v>79</v>
      </c>
      <c r="D372" s="8">
        <v>125</v>
      </c>
      <c r="E372" s="16" t="s">
        <v>240</v>
      </c>
      <c r="F372" s="16" t="s">
        <v>676</v>
      </c>
      <c r="G372" s="8" t="s">
        <v>1264</v>
      </c>
      <c r="H372" s="13">
        <v>8</v>
      </c>
      <c r="I372" s="96">
        <v>1079</v>
      </c>
      <c r="J372" s="62">
        <v>2</v>
      </c>
      <c r="K372" s="13" t="s">
        <v>1837</v>
      </c>
      <c r="L372" s="13">
        <v>0</v>
      </c>
      <c r="M372" s="13" t="s">
        <v>1239</v>
      </c>
      <c r="N372" s="13" t="s">
        <v>1221</v>
      </c>
      <c r="O372" s="8" t="s">
        <v>155</v>
      </c>
      <c r="P372" s="8" t="s">
        <v>156</v>
      </c>
      <c r="Q372" s="14">
        <v>42915</v>
      </c>
      <c r="R372" s="11"/>
    </row>
    <row r="373" spans="1:18" s="7" customFormat="1" ht="19.149999999999999" customHeight="1" x14ac:dyDescent="0.3">
      <c r="A373" s="24">
        <v>372</v>
      </c>
      <c r="B373" s="8" t="s">
        <v>77</v>
      </c>
      <c r="C373" s="10" t="s">
        <v>679</v>
      </c>
      <c r="D373" s="8">
        <v>125</v>
      </c>
      <c r="E373" s="19" t="s">
        <v>1838</v>
      </c>
      <c r="F373" s="19" t="s">
        <v>680</v>
      </c>
      <c r="G373" s="8" t="s">
        <v>150</v>
      </c>
      <c r="H373" s="13">
        <v>10</v>
      </c>
      <c r="I373" s="96">
        <v>1947</v>
      </c>
      <c r="J373" s="62">
        <v>0</v>
      </c>
      <c r="K373" s="13" t="s">
        <v>310</v>
      </c>
      <c r="L373" s="13">
        <v>0</v>
      </c>
      <c r="M373" s="13" t="s">
        <v>1239</v>
      </c>
      <c r="N373" s="13" t="s">
        <v>1221</v>
      </c>
      <c r="O373" s="10" t="s">
        <v>151</v>
      </c>
      <c r="P373" s="8" t="s">
        <v>152</v>
      </c>
      <c r="Q373" s="14">
        <v>41158</v>
      </c>
      <c r="R373" s="11"/>
    </row>
    <row r="374" spans="1:18" s="7" customFormat="1" ht="19.149999999999999" customHeight="1" x14ac:dyDescent="0.3">
      <c r="A374" s="8">
        <v>373</v>
      </c>
      <c r="B374" s="8" t="s">
        <v>77</v>
      </c>
      <c r="C374" s="8" t="s">
        <v>79</v>
      </c>
      <c r="D374" s="8">
        <v>125</v>
      </c>
      <c r="E374" s="16" t="s">
        <v>213</v>
      </c>
      <c r="F374" s="16" t="s">
        <v>675</v>
      </c>
      <c r="G374" s="8" t="s">
        <v>1278</v>
      </c>
      <c r="H374" s="13">
        <v>7</v>
      </c>
      <c r="I374" s="96">
        <v>687</v>
      </c>
      <c r="J374" s="62">
        <v>5</v>
      </c>
      <c r="K374" s="13" t="s">
        <v>1700</v>
      </c>
      <c r="L374" s="13">
        <v>0</v>
      </c>
      <c r="M374" s="13" t="s">
        <v>1239</v>
      </c>
      <c r="N374" s="13" t="s">
        <v>1221</v>
      </c>
      <c r="O374" s="8" t="s">
        <v>155</v>
      </c>
      <c r="P374" s="8" t="s">
        <v>156</v>
      </c>
      <c r="Q374" s="14">
        <v>38653</v>
      </c>
      <c r="R374" s="11" t="s">
        <v>1839</v>
      </c>
    </row>
    <row r="375" spans="1:18" s="7" customFormat="1" ht="19.149999999999999" customHeight="1" x14ac:dyDescent="0.3">
      <c r="A375" s="24">
        <v>374</v>
      </c>
      <c r="B375" s="8" t="s">
        <v>77</v>
      </c>
      <c r="C375" s="8" t="s">
        <v>79</v>
      </c>
      <c r="D375" s="8">
        <v>125</v>
      </c>
      <c r="E375" s="497" t="s">
        <v>3481</v>
      </c>
      <c r="F375" s="16" t="s">
        <v>678</v>
      </c>
      <c r="G375" s="8" t="s">
        <v>160</v>
      </c>
      <c r="H375" s="13">
        <v>9</v>
      </c>
      <c r="I375" s="193">
        <v>673</v>
      </c>
      <c r="J375" s="177">
        <v>9</v>
      </c>
      <c r="K375" s="174" t="s">
        <v>3482</v>
      </c>
      <c r="L375" s="13">
        <v>0</v>
      </c>
      <c r="M375" s="13" t="s">
        <v>1239</v>
      </c>
      <c r="N375" s="13" t="s">
        <v>1221</v>
      </c>
      <c r="O375" s="8" t="s">
        <v>157</v>
      </c>
      <c r="P375" s="8" t="s">
        <v>158</v>
      </c>
      <c r="Q375" s="14">
        <v>42641</v>
      </c>
      <c r="R375" s="114" t="s">
        <v>3480</v>
      </c>
    </row>
    <row r="376" spans="1:18" s="7" customFormat="1" ht="19.149999999999999" customHeight="1" x14ac:dyDescent="0.3">
      <c r="A376" s="8">
        <v>375</v>
      </c>
      <c r="B376" s="23" t="s">
        <v>1840</v>
      </c>
      <c r="C376" s="23" t="s">
        <v>1841</v>
      </c>
      <c r="D376" s="23">
        <v>126</v>
      </c>
      <c r="E376" s="27" t="s">
        <v>1842</v>
      </c>
      <c r="F376" s="27" t="s">
        <v>1843</v>
      </c>
      <c r="G376" s="23" t="s">
        <v>1228</v>
      </c>
      <c r="H376" s="28">
        <v>1</v>
      </c>
      <c r="I376" s="108">
        <v>111</v>
      </c>
      <c r="J376" s="73">
        <v>0</v>
      </c>
      <c r="K376" s="28" t="s">
        <v>1228</v>
      </c>
      <c r="L376" s="28">
        <v>1</v>
      </c>
      <c r="M376" s="28" t="s">
        <v>1234</v>
      </c>
      <c r="N376" s="13" t="s">
        <v>1221</v>
      </c>
      <c r="O376" s="23" t="s">
        <v>1844</v>
      </c>
      <c r="P376" s="23" t="s">
        <v>1845</v>
      </c>
      <c r="Q376" s="29">
        <v>42818</v>
      </c>
      <c r="R376" s="56" t="s">
        <v>1846</v>
      </c>
    </row>
    <row r="377" spans="1:18" s="7" customFormat="1" ht="19.149999999999999" customHeight="1" x14ac:dyDescent="0.3">
      <c r="A377" s="24">
        <v>376</v>
      </c>
      <c r="B377" s="8" t="s">
        <v>77</v>
      </c>
      <c r="C377" s="10" t="s">
        <v>80</v>
      </c>
      <c r="D377" s="8">
        <v>126</v>
      </c>
      <c r="E377" s="19" t="s">
        <v>1847</v>
      </c>
      <c r="F377" s="19" t="s">
        <v>671</v>
      </c>
      <c r="G377" s="8" t="s">
        <v>150</v>
      </c>
      <c r="H377" s="13">
        <v>8</v>
      </c>
      <c r="I377" s="96">
        <v>1396</v>
      </c>
      <c r="J377" s="62">
        <v>1</v>
      </c>
      <c r="K377" s="13" t="s">
        <v>195</v>
      </c>
      <c r="L377" s="13">
        <v>0</v>
      </c>
      <c r="M377" s="13" t="s">
        <v>1239</v>
      </c>
      <c r="N377" s="13" t="s">
        <v>1221</v>
      </c>
      <c r="O377" s="10" t="s">
        <v>151</v>
      </c>
      <c r="P377" s="8" t="s">
        <v>152</v>
      </c>
      <c r="Q377" s="14">
        <v>41074</v>
      </c>
      <c r="R377" s="11"/>
    </row>
    <row r="378" spans="1:18" s="7" customFormat="1" ht="19.149999999999999" customHeight="1" x14ac:dyDescent="0.3">
      <c r="A378" s="8">
        <v>377</v>
      </c>
      <c r="B378" s="8" t="s">
        <v>77</v>
      </c>
      <c r="C378" s="8" t="s">
        <v>81</v>
      </c>
      <c r="D378" s="8">
        <v>127</v>
      </c>
      <c r="E378" s="16" t="s">
        <v>219</v>
      </c>
      <c r="F378" s="16" t="s">
        <v>672</v>
      </c>
      <c r="G378" s="8" t="s">
        <v>150</v>
      </c>
      <c r="H378" s="13">
        <v>5</v>
      </c>
      <c r="I378" s="96">
        <v>719</v>
      </c>
      <c r="J378" s="62">
        <v>0</v>
      </c>
      <c r="K378" s="13" t="s">
        <v>310</v>
      </c>
      <c r="L378" s="13">
        <v>0</v>
      </c>
      <c r="M378" s="13" t="s">
        <v>1239</v>
      </c>
      <c r="N378" s="13" t="s">
        <v>1221</v>
      </c>
      <c r="O378" s="23" t="s">
        <v>155</v>
      </c>
      <c r="P378" s="8" t="s">
        <v>156</v>
      </c>
      <c r="Q378" s="14">
        <v>40078</v>
      </c>
      <c r="R378" s="11"/>
    </row>
    <row r="379" spans="1:18" s="7" customFormat="1" ht="19.149999999999999" customHeight="1" x14ac:dyDescent="0.3">
      <c r="A379" s="24">
        <v>378</v>
      </c>
      <c r="B379" s="8" t="s">
        <v>77</v>
      </c>
      <c r="C379" s="8" t="s">
        <v>82</v>
      </c>
      <c r="D379" s="8">
        <v>129</v>
      </c>
      <c r="E379" s="16" t="s">
        <v>268</v>
      </c>
      <c r="F379" s="19" t="s">
        <v>673</v>
      </c>
      <c r="G379" s="8" t="s">
        <v>160</v>
      </c>
      <c r="H379" s="13">
        <v>5</v>
      </c>
      <c r="I379" s="96">
        <v>585</v>
      </c>
      <c r="J379" s="62">
        <v>0</v>
      </c>
      <c r="K379" s="13" t="s">
        <v>1239</v>
      </c>
      <c r="L379" s="13">
        <v>0</v>
      </c>
      <c r="M379" s="13" t="s">
        <v>1239</v>
      </c>
      <c r="N379" s="13" t="s">
        <v>1221</v>
      </c>
      <c r="O379" s="8" t="s">
        <v>157</v>
      </c>
      <c r="P379" s="8" t="s">
        <v>158</v>
      </c>
      <c r="Q379" s="14">
        <v>39874</v>
      </c>
      <c r="R379" s="11"/>
    </row>
    <row r="380" spans="1:18" s="37" customFormat="1" ht="19.149999999999999" customHeight="1" x14ac:dyDescent="0.3">
      <c r="A380" s="8">
        <v>379</v>
      </c>
      <c r="B380" s="8" t="s">
        <v>1840</v>
      </c>
      <c r="C380" s="8" t="s">
        <v>1852</v>
      </c>
      <c r="D380" s="8">
        <v>130</v>
      </c>
      <c r="E380" s="56" t="s">
        <v>1853</v>
      </c>
      <c r="F380" s="16" t="s">
        <v>1854</v>
      </c>
      <c r="G380" s="8" t="s">
        <v>1228</v>
      </c>
      <c r="H380" s="13">
        <v>3</v>
      </c>
      <c r="I380" s="96">
        <v>268</v>
      </c>
      <c r="J380" s="62">
        <v>0</v>
      </c>
      <c r="K380" s="13" t="s">
        <v>1228</v>
      </c>
      <c r="L380" s="13">
        <v>0</v>
      </c>
      <c r="M380" s="13" t="s">
        <v>1239</v>
      </c>
      <c r="N380" s="13" t="s">
        <v>1521</v>
      </c>
      <c r="O380" s="23" t="s">
        <v>1855</v>
      </c>
      <c r="P380" s="8" t="s">
        <v>1856</v>
      </c>
      <c r="Q380" s="14">
        <v>42621</v>
      </c>
      <c r="R380" s="3" t="s">
        <v>1857</v>
      </c>
    </row>
    <row r="381" spans="1:18" s="7" customFormat="1" ht="19.149999999999999" customHeight="1" x14ac:dyDescent="0.3">
      <c r="A381" s="24">
        <v>380</v>
      </c>
      <c r="B381" s="8" t="s">
        <v>1840</v>
      </c>
      <c r="C381" s="8" t="s">
        <v>1858</v>
      </c>
      <c r="D381" s="8">
        <v>131</v>
      </c>
      <c r="E381" s="16" t="s">
        <v>1859</v>
      </c>
      <c r="F381" s="16" t="s">
        <v>1860</v>
      </c>
      <c r="G381" s="8" t="s">
        <v>1228</v>
      </c>
      <c r="H381" s="13">
        <v>2</v>
      </c>
      <c r="I381" s="96">
        <v>98</v>
      </c>
      <c r="J381" s="62">
        <v>0</v>
      </c>
      <c r="K381" s="13" t="s">
        <v>1228</v>
      </c>
      <c r="L381" s="13">
        <v>0</v>
      </c>
      <c r="M381" s="13" t="s">
        <v>1239</v>
      </c>
      <c r="N381" s="13" t="s">
        <v>1521</v>
      </c>
      <c r="O381" s="8" t="s">
        <v>1861</v>
      </c>
      <c r="P381" s="8" t="s">
        <v>685</v>
      </c>
      <c r="Q381" s="14">
        <v>41737</v>
      </c>
      <c r="R381" s="30" t="s">
        <v>1862</v>
      </c>
    </row>
    <row r="382" spans="1:18" s="7" customFormat="1" ht="19.149999999999999" customHeight="1" x14ac:dyDescent="0.3">
      <c r="A382" s="8">
        <v>381</v>
      </c>
      <c r="B382" s="8" t="s">
        <v>1840</v>
      </c>
      <c r="C382" s="8" t="s">
        <v>1863</v>
      </c>
      <c r="D382" s="8">
        <v>132</v>
      </c>
      <c r="E382" s="16" t="s">
        <v>1864</v>
      </c>
      <c r="F382" s="16" t="s">
        <v>1865</v>
      </c>
      <c r="G382" s="8" t="s">
        <v>1228</v>
      </c>
      <c r="H382" s="13">
        <v>2</v>
      </c>
      <c r="I382" s="96">
        <v>136</v>
      </c>
      <c r="J382" s="62">
        <v>0</v>
      </c>
      <c r="K382" s="13" t="s">
        <v>1228</v>
      </c>
      <c r="L382" s="13">
        <v>0</v>
      </c>
      <c r="M382" s="13" t="s">
        <v>1239</v>
      </c>
      <c r="N382" s="13" t="s">
        <v>1521</v>
      </c>
      <c r="O382" s="8" t="s">
        <v>1866</v>
      </c>
      <c r="P382" s="8" t="s">
        <v>1867</v>
      </c>
      <c r="Q382" s="14">
        <v>43145</v>
      </c>
      <c r="R382" s="30" t="s">
        <v>1868</v>
      </c>
    </row>
    <row r="383" spans="1:18" s="7" customFormat="1" ht="19.149999999999999" customHeight="1" x14ac:dyDescent="0.3">
      <c r="A383" s="24">
        <v>382</v>
      </c>
      <c r="B383" s="8" t="s">
        <v>1840</v>
      </c>
      <c r="C383" s="8" t="s">
        <v>1869</v>
      </c>
      <c r="D383" s="8">
        <v>133</v>
      </c>
      <c r="E383" s="56" t="s">
        <v>1870</v>
      </c>
      <c r="F383" s="19" t="s">
        <v>1871</v>
      </c>
      <c r="G383" s="8" t="s">
        <v>1228</v>
      </c>
      <c r="H383" s="13">
        <v>2</v>
      </c>
      <c r="I383" s="96">
        <v>149</v>
      </c>
      <c r="J383" s="62">
        <v>0</v>
      </c>
      <c r="K383" s="13" t="s">
        <v>1228</v>
      </c>
      <c r="L383" s="13">
        <v>0</v>
      </c>
      <c r="M383" s="13" t="s">
        <v>1239</v>
      </c>
      <c r="N383" s="13" t="s">
        <v>1521</v>
      </c>
      <c r="O383" s="8" t="s">
        <v>1872</v>
      </c>
      <c r="P383" s="24" t="s">
        <v>674</v>
      </c>
      <c r="Q383" s="14">
        <v>42229</v>
      </c>
      <c r="R383" s="3" t="s">
        <v>1873</v>
      </c>
    </row>
    <row r="384" spans="1:18" s="7" customFormat="1" ht="19.149999999999999" customHeight="1" x14ac:dyDescent="0.3">
      <c r="A384" s="8">
        <v>383</v>
      </c>
      <c r="B384" s="8" t="s">
        <v>1840</v>
      </c>
      <c r="C384" s="8" t="s">
        <v>1874</v>
      </c>
      <c r="D384" s="8">
        <v>134</v>
      </c>
      <c r="E384" s="16" t="s">
        <v>1875</v>
      </c>
      <c r="F384" s="16" t="s">
        <v>1876</v>
      </c>
      <c r="G384" s="8" t="s">
        <v>1228</v>
      </c>
      <c r="H384" s="13">
        <v>2</v>
      </c>
      <c r="I384" s="96">
        <v>99</v>
      </c>
      <c r="J384" s="62">
        <v>0</v>
      </c>
      <c r="K384" s="13" t="s">
        <v>1228</v>
      </c>
      <c r="L384" s="13">
        <v>0</v>
      </c>
      <c r="M384" s="13" t="s">
        <v>1239</v>
      </c>
      <c r="N384" s="13" t="s">
        <v>1521</v>
      </c>
      <c r="O384" s="10" t="s">
        <v>1877</v>
      </c>
      <c r="P384" s="8" t="s">
        <v>823</v>
      </c>
      <c r="Q384" s="14">
        <v>42360</v>
      </c>
      <c r="R384" s="30" t="s">
        <v>1878</v>
      </c>
    </row>
    <row r="385" spans="1:18" s="37" customFormat="1" ht="19.149999999999999" customHeight="1" x14ac:dyDescent="0.3">
      <c r="A385" s="24">
        <v>384</v>
      </c>
      <c r="B385" s="8" t="s">
        <v>1848</v>
      </c>
      <c r="C385" s="10" t="s">
        <v>1879</v>
      </c>
      <c r="D385" s="8">
        <v>135</v>
      </c>
      <c r="E385" s="30" t="s">
        <v>1880</v>
      </c>
      <c r="F385" s="19" t="s">
        <v>1881</v>
      </c>
      <c r="G385" s="8" t="s">
        <v>1239</v>
      </c>
      <c r="H385" s="13">
        <v>2</v>
      </c>
      <c r="I385" s="96">
        <v>113</v>
      </c>
      <c r="J385" s="62">
        <v>0</v>
      </c>
      <c r="K385" s="13" t="s">
        <v>1239</v>
      </c>
      <c r="L385" s="13">
        <v>0</v>
      </c>
      <c r="M385" s="13" t="s">
        <v>1239</v>
      </c>
      <c r="N385" s="13" t="s">
        <v>1521</v>
      </c>
      <c r="O385" s="10" t="s">
        <v>1882</v>
      </c>
      <c r="P385" s="8" t="s">
        <v>822</v>
      </c>
      <c r="Q385" s="14">
        <v>43642</v>
      </c>
      <c r="R385" s="3" t="s">
        <v>1883</v>
      </c>
    </row>
    <row r="386" spans="1:18" s="7" customFormat="1" ht="19.149999999999999" customHeight="1" x14ac:dyDescent="0.3">
      <c r="A386" s="8">
        <v>385</v>
      </c>
      <c r="B386" s="8" t="s">
        <v>1840</v>
      </c>
      <c r="C386" s="10" t="s">
        <v>1884</v>
      </c>
      <c r="D386" s="8">
        <v>135</v>
      </c>
      <c r="E386" s="30" t="s">
        <v>1885</v>
      </c>
      <c r="F386" s="19" t="s">
        <v>1886</v>
      </c>
      <c r="G386" s="8" t="s">
        <v>1228</v>
      </c>
      <c r="H386" s="13">
        <v>2</v>
      </c>
      <c r="I386" s="96">
        <v>101</v>
      </c>
      <c r="J386" s="62">
        <v>0</v>
      </c>
      <c r="K386" s="13" t="s">
        <v>1228</v>
      </c>
      <c r="L386" s="13">
        <v>0</v>
      </c>
      <c r="M386" s="13" t="s">
        <v>1239</v>
      </c>
      <c r="N386" s="13" t="s">
        <v>1521</v>
      </c>
      <c r="O386" s="10" t="s">
        <v>1887</v>
      </c>
      <c r="P386" s="8" t="s">
        <v>681</v>
      </c>
      <c r="Q386" s="14">
        <v>42874</v>
      </c>
      <c r="R386" s="3" t="s">
        <v>1883</v>
      </c>
    </row>
    <row r="387" spans="1:18" s="7" customFormat="1" ht="19.149999999999999" customHeight="1" x14ac:dyDescent="0.3">
      <c r="A387" s="24">
        <v>386</v>
      </c>
      <c r="B387" s="8" t="s">
        <v>1840</v>
      </c>
      <c r="C387" s="8" t="s">
        <v>1888</v>
      </c>
      <c r="D387" s="8">
        <v>136</v>
      </c>
      <c r="E387" s="56" t="s">
        <v>1889</v>
      </c>
      <c r="F387" s="16" t="s">
        <v>1890</v>
      </c>
      <c r="G387" s="8" t="s">
        <v>1228</v>
      </c>
      <c r="H387" s="13">
        <v>3</v>
      </c>
      <c r="I387" s="96">
        <v>228</v>
      </c>
      <c r="J387" s="62">
        <v>0</v>
      </c>
      <c r="K387" s="13" t="s">
        <v>1228</v>
      </c>
      <c r="L387" s="13">
        <v>0</v>
      </c>
      <c r="M387" s="13" t="s">
        <v>1239</v>
      </c>
      <c r="N387" s="13" t="s">
        <v>1521</v>
      </c>
      <c r="O387" s="10" t="s">
        <v>1891</v>
      </c>
      <c r="P387" s="8" t="s">
        <v>1892</v>
      </c>
      <c r="Q387" s="14">
        <v>42691</v>
      </c>
      <c r="R387" s="30" t="s">
        <v>1893</v>
      </c>
    </row>
    <row r="388" spans="1:18" s="7" customFormat="1" ht="19.149999999999999" customHeight="1" x14ac:dyDescent="0.3">
      <c r="A388" s="8">
        <v>387</v>
      </c>
      <c r="B388" s="8" t="s">
        <v>1840</v>
      </c>
      <c r="C388" s="8" t="s">
        <v>1894</v>
      </c>
      <c r="D388" s="8">
        <v>137</v>
      </c>
      <c r="E388" s="56" t="s">
        <v>1895</v>
      </c>
      <c r="F388" s="16" t="s">
        <v>1896</v>
      </c>
      <c r="G388" s="8" t="s">
        <v>1228</v>
      </c>
      <c r="H388" s="13">
        <v>3</v>
      </c>
      <c r="I388" s="96">
        <v>322</v>
      </c>
      <c r="J388" s="62">
        <v>0</v>
      </c>
      <c r="K388" s="13" t="s">
        <v>1228</v>
      </c>
      <c r="L388" s="13">
        <v>0</v>
      </c>
      <c r="M388" s="13" t="s">
        <v>1239</v>
      </c>
      <c r="N388" s="13" t="s">
        <v>1521</v>
      </c>
      <c r="O388" s="8" t="s">
        <v>1897</v>
      </c>
      <c r="P388" s="8" t="s">
        <v>686</v>
      </c>
      <c r="Q388" s="14">
        <v>41993</v>
      </c>
      <c r="R388" s="30" t="s">
        <v>1898</v>
      </c>
    </row>
    <row r="389" spans="1:18" s="7" customFormat="1" ht="19.149999999999999" customHeight="1" x14ac:dyDescent="0.3">
      <c r="A389" s="24">
        <v>388</v>
      </c>
      <c r="B389" s="8" t="s">
        <v>1840</v>
      </c>
      <c r="C389" s="8" t="s">
        <v>1899</v>
      </c>
      <c r="D389" s="8">
        <v>138</v>
      </c>
      <c r="E389" s="56" t="s">
        <v>1900</v>
      </c>
      <c r="F389" s="19" t="s">
        <v>1901</v>
      </c>
      <c r="G389" s="8" t="s">
        <v>1228</v>
      </c>
      <c r="H389" s="62">
        <v>2</v>
      </c>
      <c r="I389" s="96">
        <v>201</v>
      </c>
      <c r="J389" s="62">
        <v>0</v>
      </c>
      <c r="K389" s="13" t="s">
        <v>1228</v>
      </c>
      <c r="L389" s="13">
        <v>0</v>
      </c>
      <c r="M389" s="13" t="s">
        <v>1239</v>
      </c>
      <c r="N389" s="13" t="s">
        <v>1521</v>
      </c>
      <c r="O389" s="8" t="s">
        <v>1902</v>
      </c>
      <c r="P389" s="8" t="s">
        <v>1903</v>
      </c>
      <c r="Q389" s="14">
        <v>43140</v>
      </c>
      <c r="R389" s="3" t="s">
        <v>1904</v>
      </c>
    </row>
    <row r="390" spans="1:18" s="7" customFormat="1" ht="19.149999999999999" customHeight="1" x14ac:dyDescent="0.3">
      <c r="A390" s="8">
        <v>389</v>
      </c>
      <c r="B390" s="8" t="s">
        <v>1848</v>
      </c>
      <c r="C390" s="8" t="s">
        <v>1905</v>
      </c>
      <c r="D390" s="8">
        <v>138</v>
      </c>
      <c r="E390" s="16" t="s">
        <v>1906</v>
      </c>
      <c r="F390" s="19" t="s">
        <v>1907</v>
      </c>
      <c r="G390" s="8" t="s">
        <v>1239</v>
      </c>
      <c r="H390" s="13">
        <v>2</v>
      </c>
      <c r="I390" s="96">
        <v>94</v>
      </c>
      <c r="J390" s="62">
        <v>0</v>
      </c>
      <c r="K390" s="13" t="s">
        <v>1239</v>
      </c>
      <c r="L390" s="13">
        <v>0</v>
      </c>
      <c r="M390" s="13" t="s">
        <v>1239</v>
      </c>
      <c r="N390" s="13" t="s">
        <v>1521</v>
      </c>
      <c r="O390" s="10" t="s">
        <v>296</v>
      </c>
      <c r="P390" s="8" t="s">
        <v>821</v>
      </c>
      <c r="Q390" s="14">
        <v>43634</v>
      </c>
      <c r="R390" s="11"/>
    </row>
    <row r="391" spans="1:18" s="7" customFormat="1" ht="19.149999999999999" customHeight="1" x14ac:dyDescent="0.3">
      <c r="A391" s="24">
        <v>390</v>
      </c>
      <c r="B391" s="99" t="s">
        <v>1848</v>
      </c>
      <c r="C391" s="99" t="s">
        <v>1908</v>
      </c>
      <c r="D391" s="99">
        <v>139</v>
      </c>
      <c r="E391" s="56" t="s">
        <v>2989</v>
      </c>
      <c r="F391" s="56" t="s">
        <v>2990</v>
      </c>
      <c r="G391" s="99" t="s">
        <v>1277</v>
      </c>
      <c r="H391" s="88">
        <v>2</v>
      </c>
      <c r="I391" s="102">
        <v>95</v>
      </c>
      <c r="J391" s="71">
        <v>0</v>
      </c>
      <c r="K391" s="88" t="s">
        <v>820</v>
      </c>
      <c r="L391" s="88">
        <v>0</v>
      </c>
      <c r="M391" s="88" t="s">
        <v>820</v>
      </c>
      <c r="N391" s="88" t="s">
        <v>884</v>
      </c>
      <c r="O391" s="10" t="s">
        <v>151</v>
      </c>
      <c r="P391" s="8" t="s">
        <v>152</v>
      </c>
      <c r="Q391" s="45">
        <v>44991</v>
      </c>
      <c r="R391" s="30"/>
    </row>
    <row r="392" spans="1:18" s="7" customFormat="1" ht="19.149999999999999" customHeight="1" x14ac:dyDescent="0.3">
      <c r="A392" s="8">
        <v>391</v>
      </c>
      <c r="B392" s="24" t="s">
        <v>1848</v>
      </c>
      <c r="C392" s="24" t="s">
        <v>1908</v>
      </c>
      <c r="D392" s="24">
        <v>139</v>
      </c>
      <c r="E392" s="44" t="s">
        <v>1909</v>
      </c>
      <c r="F392" s="44" t="s">
        <v>1910</v>
      </c>
      <c r="G392" s="24" t="s">
        <v>1278</v>
      </c>
      <c r="H392" s="13">
        <v>1</v>
      </c>
      <c r="I392" s="13">
        <v>92</v>
      </c>
      <c r="J392" s="24">
        <v>0</v>
      </c>
      <c r="K392" s="24" t="s">
        <v>1239</v>
      </c>
      <c r="L392" s="24">
        <v>0</v>
      </c>
      <c r="M392" s="24" t="s">
        <v>1239</v>
      </c>
      <c r="N392" s="24" t="s">
        <v>1221</v>
      </c>
      <c r="O392" s="10" t="s">
        <v>151</v>
      </c>
      <c r="P392" s="8" t="s">
        <v>152</v>
      </c>
      <c r="Q392" s="14">
        <v>44617</v>
      </c>
      <c r="R392" s="44"/>
    </row>
    <row r="393" spans="1:18" s="7" customFormat="1" ht="19.149999999999999" customHeight="1" x14ac:dyDescent="0.3">
      <c r="A393" s="24">
        <v>392</v>
      </c>
      <c r="B393" s="24" t="s">
        <v>1848</v>
      </c>
      <c r="C393" s="24" t="s">
        <v>1908</v>
      </c>
      <c r="D393" s="24">
        <v>139</v>
      </c>
      <c r="E393" s="44" t="s">
        <v>1911</v>
      </c>
      <c r="F393" s="44" t="s">
        <v>1912</v>
      </c>
      <c r="G393" s="24" t="s">
        <v>1278</v>
      </c>
      <c r="H393" s="13">
        <v>2</v>
      </c>
      <c r="I393" s="13">
        <v>99</v>
      </c>
      <c r="J393" s="24">
        <v>0</v>
      </c>
      <c r="K393" s="24" t="s">
        <v>1239</v>
      </c>
      <c r="L393" s="24">
        <v>0</v>
      </c>
      <c r="M393" s="24" t="s">
        <v>1239</v>
      </c>
      <c r="N393" s="24" t="s">
        <v>1521</v>
      </c>
      <c r="O393" s="10" t="s">
        <v>151</v>
      </c>
      <c r="P393" s="8" t="s">
        <v>152</v>
      </c>
      <c r="Q393" s="14">
        <v>43365</v>
      </c>
      <c r="R393" s="44" t="s">
        <v>1913</v>
      </c>
    </row>
    <row r="394" spans="1:18" s="7" customFormat="1" ht="19.149999999999999" customHeight="1" x14ac:dyDescent="0.3">
      <c r="A394" s="8">
        <v>393</v>
      </c>
      <c r="B394" s="8" t="s">
        <v>1848</v>
      </c>
      <c r="C394" s="8" t="s">
        <v>1914</v>
      </c>
      <c r="D394" s="8">
        <v>140</v>
      </c>
      <c r="E394" s="16" t="s">
        <v>1915</v>
      </c>
      <c r="F394" s="19" t="s">
        <v>1916</v>
      </c>
      <c r="G394" s="8" t="s">
        <v>1239</v>
      </c>
      <c r="H394" s="13">
        <v>2</v>
      </c>
      <c r="I394" s="96">
        <v>93</v>
      </c>
      <c r="J394" s="62">
        <v>0</v>
      </c>
      <c r="K394" s="13" t="s">
        <v>1239</v>
      </c>
      <c r="L394" s="13">
        <v>0</v>
      </c>
      <c r="M394" s="13" t="s">
        <v>1239</v>
      </c>
      <c r="N394" s="13" t="s">
        <v>1521</v>
      </c>
      <c r="O394" s="10" t="s">
        <v>1917</v>
      </c>
      <c r="P394" s="113" t="s">
        <v>1918</v>
      </c>
      <c r="Q394" s="14">
        <v>44568</v>
      </c>
      <c r="R394" s="11"/>
    </row>
    <row r="395" spans="1:18" s="7" customFormat="1" ht="19.149999999999999" customHeight="1" x14ac:dyDescent="0.3">
      <c r="A395" s="24">
        <v>394</v>
      </c>
      <c r="B395" s="8" t="s">
        <v>87</v>
      </c>
      <c r="C395" s="8" t="s">
        <v>88</v>
      </c>
      <c r="D395" s="8">
        <v>142</v>
      </c>
      <c r="E395" s="16" t="s">
        <v>248</v>
      </c>
      <c r="F395" s="16" t="s">
        <v>699</v>
      </c>
      <c r="G395" s="8" t="s">
        <v>150</v>
      </c>
      <c r="H395" s="13">
        <v>8</v>
      </c>
      <c r="I395" s="96">
        <v>1282</v>
      </c>
      <c r="J395" s="62">
        <v>1</v>
      </c>
      <c r="K395" s="13" t="s">
        <v>1073</v>
      </c>
      <c r="L395" s="13">
        <v>0</v>
      </c>
      <c r="M395" s="13" t="s">
        <v>1239</v>
      </c>
      <c r="N395" s="13" t="s">
        <v>1221</v>
      </c>
      <c r="O395" s="23" t="s">
        <v>155</v>
      </c>
      <c r="P395" s="8" t="s">
        <v>156</v>
      </c>
      <c r="Q395" s="18">
        <v>42699</v>
      </c>
      <c r="R395" s="19"/>
    </row>
    <row r="396" spans="1:18" s="7" customFormat="1" ht="19.149999999999999" customHeight="1" x14ac:dyDescent="0.3">
      <c r="A396" s="8">
        <v>395</v>
      </c>
      <c r="B396" s="8" t="s">
        <v>87</v>
      </c>
      <c r="C396" s="8" t="s">
        <v>88</v>
      </c>
      <c r="D396" s="8">
        <v>142</v>
      </c>
      <c r="E396" s="19" t="s">
        <v>1919</v>
      </c>
      <c r="F396" s="19" t="s">
        <v>691</v>
      </c>
      <c r="G396" s="8" t="s">
        <v>160</v>
      </c>
      <c r="H396" s="13">
        <v>8</v>
      </c>
      <c r="I396" s="96">
        <v>904</v>
      </c>
      <c r="J396" s="62">
        <v>0</v>
      </c>
      <c r="K396" s="13" t="s">
        <v>310</v>
      </c>
      <c r="L396" s="13">
        <v>0</v>
      </c>
      <c r="M396" s="13" t="s">
        <v>1239</v>
      </c>
      <c r="N396" s="13" t="s">
        <v>1221</v>
      </c>
      <c r="O396" s="10" t="s">
        <v>151</v>
      </c>
      <c r="P396" s="8" t="s">
        <v>152</v>
      </c>
      <c r="Q396" s="14">
        <v>39653</v>
      </c>
      <c r="R396" s="36"/>
    </row>
    <row r="397" spans="1:18" s="22" customFormat="1" ht="19.149999999999999" customHeight="1" x14ac:dyDescent="0.3">
      <c r="A397" s="24">
        <v>396</v>
      </c>
      <c r="B397" s="8" t="s">
        <v>87</v>
      </c>
      <c r="C397" s="8" t="s">
        <v>88</v>
      </c>
      <c r="D397" s="8">
        <v>142</v>
      </c>
      <c r="E397" s="19" t="s">
        <v>1920</v>
      </c>
      <c r="F397" s="19" t="s">
        <v>692</v>
      </c>
      <c r="G397" s="8" t="s">
        <v>150</v>
      </c>
      <c r="H397" s="13">
        <v>10</v>
      </c>
      <c r="I397" s="96">
        <v>1821</v>
      </c>
      <c r="J397" s="62">
        <v>1</v>
      </c>
      <c r="K397" s="13" t="s">
        <v>187</v>
      </c>
      <c r="L397" s="13">
        <v>1</v>
      </c>
      <c r="M397" s="13" t="s">
        <v>2748</v>
      </c>
      <c r="N397" s="13" t="s">
        <v>1221</v>
      </c>
      <c r="O397" s="10" t="s">
        <v>151</v>
      </c>
      <c r="P397" s="8" t="s">
        <v>152</v>
      </c>
      <c r="Q397" s="14">
        <v>39364</v>
      </c>
      <c r="R397" s="30" t="s">
        <v>1921</v>
      </c>
    </row>
    <row r="398" spans="1:18" s="22" customFormat="1" ht="19.149999999999999" customHeight="1" x14ac:dyDescent="0.3">
      <c r="A398" s="8">
        <v>397</v>
      </c>
      <c r="B398" s="8" t="s">
        <v>87</v>
      </c>
      <c r="C398" s="8" t="s">
        <v>88</v>
      </c>
      <c r="D398" s="8">
        <v>142</v>
      </c>
      <c r="E398" s="16" t="s">
        <v>1922</v>
      </c>
      <c r="F398" s="19" t="s">
        <v>693</v>
      </c>
      <c r="G398" s="8" t="s">
        <v>150</v>
      </c>
      <c r="H398" s="13">
        <v>11</v>
      </c>
      <c r="I398" s="96">
        <v>1535</v>
      </c>
      <c r="J398" s="62">
        <v>0</v>
      </c>
      <c r="K398" s="13" t="s">
        <v>310</v>
      </c>
      <c r="L398" s="13">
        <v>0</v>
      </c>
      <c r="M398" s="13" t="s">
        <v>1239</v>
      </c>
      <c r="N398" s="13" t="s">
        <v>1221</v>
      </c>
      <c r="O398" s="10" t="s">
        <v>151</v>
      </c>
      <c r="P398" s="8" t="s">
        <v>152</v>
      </c>
      <c r="Q398" s="18">
        <v>43432</v>
      </c>
      <c r="R398" s="30" t="s">
        <v>694</v>
      </c>
    </row>
    <row r="399" spans="1:18" s="20" customFormat="1" ht="19.149999999999999" customHeight="1" x14ac:dyDescent="0.25">
      <c r="A399" s="24">
        <v>398</v>
      </c>
      <c r="B399" s="8" t="s">
        <v>87</v>
      </c>
      <c r="C399" s="8" t="s">
        <v>88</v>
      </c>
      <c r="D399" s="8">
        <v>142</v>
      </c>
      <c r="E399" s="16" t="s">
        <v>1923</v>
      </c>
      <c r="F399" s="16" t="s">
        <v>702</v>
      </c>
      <c r="G399" s="8" t="s">
        <v>160</v>
      </c>
      <c r="H399" s="13">
        <v>4</v>
      </c>
      <c r="I399" s="96">
        <v>380</v>
      </c>
      <c r="J399" s="177">
        <v>4</v>
      </c>
      <c r="K399" s="174" t="s">
        <v>3467</v>
      </c>
      <c r="L399" s="13">
        <v>0</v>
      </c>
      <c r="M399" s="13" t="s">
        <v>1239</v>
      </c>
      <c r="N399" s="13" t="s">
        <v>1221</v>
      </c>
      <c r="O399" s="8" t="s">
        <v>157</v>
      </c>
      <c r="P399" s="8" t="s">
        <v>158</v>
      </c>
      <c r="Q399" s="14">
        <v>43434</v>
      </c>
      <c r="R399" s="30" t="s">
        <v>1924</v>
      </c>
    </row>
    <row r="400" spans="1:18" s="7" customFormat="1" ht="19.149999999999999" customHeight="1" x14ac:dyDescent="0.3">
      <c r="A400" s="8">
        <v>399</v>
      </c>
      <c r="B400" s="8" t="s">
        <v>87</v>
      </c>
      <c r="C400" s="8" t="s">
        <v>88</v>
      </c>
      <c r="D400" s="8">
        <v>142</v>
      </c>
      <c r="E400" s="16" t="s">
        <v>700</v>
      </c>
      <c r="F400" s="16" t="s">
        <v>701</v>
      </c>
      <c r="G400" s="8" t="s">
        <v>160</v>
      </c>
      <c r="H400" s="13">
        <v>8</v>
      </c>
      <c r="I400" s="96">
        <v>1013</v>
      </c>
      <c r="J400" s="62">
        <v>0</v>
      </c>
      <c r="K400" s="13" t="s">
        <v>310</v>
      </c>
      <c r="L400" s="13">
        <v>0</v>
      </c>
      <c r="M400" s="13" t="s">
        <v>1239</v>
      </c>
      <c r="N400" s="13" t="s">
        <v>1221</v>
      </c>
      <c r="O400" s="8" t="s">
        <v>157</v>
      </c>
      <c r="P400" s="8" t="s">
        <v>158</v>
      </c>
      <c r="Q400" s="14">
        <v>43082</v>
      </c>
      <c r="R400" s="19"/>
    </row>
    <row r="401" spans="1:18" s="7" customFormat="1" ht="19.149999999999999" customHeight="1" x14ac:dyDescent="0.3">
      <c r="A401" s="24">
        <v>400</v>
      </c>
      <c r="B401" s="8" t="s">
        <v>87</v>
      </c>
      <c r="C401" s="8" t="s">
        <v>88</v>
      </c>
      <c r="D401" s="8">
        <v>142</v>
      </c>
      <c r="E401" s="16" t="s">
        <v>697</v>
      </c>
      <c r="F401" s="16" t="s">
        <v>1133</v>
      </c>
      <c r="G401" s="8" t="s">
        <v>150</v>
      </c>
      <c r="H401" s="13">
        <v>6</v>
      </c>
      <c r="I401" s="96">
        <v>1286</v>
      </c>
      <c r="J401" s="62">
        <v>1</v>
      </c>
      <c r="K401" s="13" t="s">
        <v>1302</v>
      </c>
      <c r="L401" s="13">
        <v>0</v>
      </c>
      <c r="M401" s="13" t="s">
        <v>1239</v>
      </c>
      <c r="N401" s="13" t="s">
        <v>1221</v>
      </c>
      <c r="O401" s="8" t="s">
        <v>155</v>
      </c>
      <c r="P401" s="8" t="s">
        <v>156</v>
      </c>
      <c r="Q401" s="18">
        <v>41207</v>
      </c>
      <c r="R401" s="19"/>
    </row>
    <row r="402" spans="1:18" s="7" customFormat="1" ht="19.149999999999999" customHeight="1" x14ac:dyDescent="0.3">
      <c r="A402" s="8">
        <v>401</v>
      </c>
      <c r="B402" s="8" t="s">
        <v>1925</v>
      </c>
      <c r="C402" s="8" t="s">
        <v>1926</v>
      </c>
      <c r="D402" s="8">
        <v>142</v>
      </c>
      <c r="E402" s="19" t="s">
        <v>1927</v>
      </c>
      <c r="F402" s="19" t="s">
        <v>1928</v>
      </c>
      <c r="G402" s="8" t="s">
        <v>1278</v>
      </c>
      <c r="H402" s="13">
        <v>8</v>
      </c>
      <c r="I402" s="96">
        <v>676</v>
      </c>
      <c r="J402" s="62">
        <v>0</v>
      </c>
      <c r="K402" s="13" t="s">
        <v>310</v>
      </c>
      <c r="L402" s="13">
        <v>0</v>
      </c>
      <c r="M402" s="13" t="s">
        <v>1239</v>
      </c>
      <c r="N402" s="13" t="s">
        <v>1221</v>
      </c>
      <c r="O402" s="10" t="s">
        <v>151</v>
      </c>
      <c r="P402" s="8" t="s">
        <v>152</v>
      </c>
      <c r="Q402" s="14">
        <v>43497</v>
      </c>
      <c r="R402" s="36" t="s">
        <v>2975</v>
      </c>
    </row>
    <row r="403" spans="1:18" s="7" customFormat="1" ht="19.149999999999999" customHeight="1" x14ac:dyDescent="0.3">
      <c r="A403" s="24">
        <v>402</v>
      </c>
      <c r="B403" s="8" t="s">
        <v>695</v>
      </c>
      <c r="C403" s="8" t="s">
        <v>88</v>
      </c>
      <c r="D403" s="8">
        <v>142</v>
      </c>
      <c r="E403" s="19" t="s">
        <v>1929</v>
      </c>
      <c r="F403" s="19" t="s">
        <v>696</v>
      </c>
      <c r="G403" s="8" t="s">
        <v>318</v>
      </c>
      <c r="H403" s="13">
        <v>8</v>
      </c>
      <c r="I403" s="96">
        <v>1675</v>
      </c>
      <c r="J403" s="62">
        <v>1</v>
      </c>
      <c r="K403" s="13" t="s">
        <v>188</v>
      </c>
      <c r="L403" s="13">
        <v>0</v>
      </c>
      <c r="M403" s="13" t="s">
        <v>1239</v>
      </c>
      <c r="N403" s="13" t="s">
        <v>1221</v>
      </c>
      <c r="O403" s="10" t="s">
        <v>151</v>
      </c>
      <c r="P403" s="8" t="s">
        <v>152</v>
      </c>
      <c r="Q403" s="14">
        <v>41753</v>
      </c>
      <c r="R403" s="36"/>
    </row>
    <row r="404" spans="1:18" s="7" customFormat="1" ht="19.149999999999999" customHeight="1" x14ac:dyDescent="0.3">
      <c r="A404" s="8">
        <v>403</v>
      </c>
      <c r="B404" s="24" t="s">
        <v>1925</v>
      </c>
      <c r="C404" s="24" t="s">
        <v>1930</v>
      </c>
      <c r="D404" s="24">
        <v>147</v>
      </c>
      <c r="E404" s="44" t="s">
        <v>1931</v>
      </c>
      <c r="F404" s="44" t="s">
        <v>1932</v>
      </c>
      <c r="G404" s="24" t="s">
        <v>1278</v>
      </c>
      <c r="H404" s="13">
        <v>6</v>
      </c>
      <c r="I404" s="13">
        <v>463</v>
      </c>
      <c r="J404" s="62">
        <v>0</v>
      </c>
      <c r="K404" s="13" t="s">
        <v>310</v>
      </c>
      <c r="L404" s="13">
        <v>0</v>
      </c>
      <c r="M404" s="13" t="s">
        <v>1239</v>
      </c>
      <c r="N404" s="13" t="s">
        <v>1221</v>
      </c>
      <c r="O404" s="10" t="s">
        <v>151</v>
      </c>
      <c r="P404" s="8" t="s">
        <v>152</v>
      </c>
      <c r="Q404" s="14">
        <v>44300</v>
      </c>
      <c r="R404" s="24"/>
    </row>
    <row r="405" spans="1:18" s="7" customFormat="1" ht="19.149999999999999" customHeight="1" x14ac:dyDescent="0.3">
      <c r="A405" s="24">
        <v>404</v>
      </c>
      <c r="B405" s="8" t="s">
        <v>87</v>
      </c>
      <c r="C405" s="8" t="s">
        <v>89</v>
      </c>
      <c r="D405" s="8">
        <v>147</v>
      </c>
      <c r="E405" s="16" t="s">
        <v>703</v>
      </c>
      <c r="F405" s="16" t="s">
        <v>704</v>
      </c>
      <c r="G405" s="8" t="s">
        <v>160</v>
      </c>
      <c r="H405" s="13">
        <v>4</v>
      </c>
      <c r="I405" s="96">
        <v>578</v>
      </c>
      <c r="J405" s="62">
        <v>0</v>
      </c>
      <c r="K405" s="13" t="s">
        <v>310</v>
      </c>
      <c r="L405" s="13">
        <v>0</v>
      </c>
      <c r="M405" s="13" t="s">
        <v>1239</v>
      </c>
      <c r="N405" s="13" t="s">
        <v>1221</v>
      </c>
      <c r="O405" s="8" t="s">
        <v>157</v>
      </c>
      <c r="P405" s="8" t="s">
        <v>158</v>
      </c>
      <c r="Q405" s="14">
        <v>41262</v>
      </c>
      <c r="R405" s="30" t="s">
        <v>1933</v>
      </c>
    </row>
    <row r="406" spans="1:18" s="7" customFormat="1" ht="19.149999999999999" customHeight="1" x14ac:dyDescent="0.3">
      <c r="A406" s="8">
        <v>405</v>
      </c>
      <c r="B406" s="8" t="s">
        <v>1925</v>
      </c>
      <c r="C406" s="8" t="s">
        <v>1930</v>
      </c>
      <c r="D406" s="8">
        <v>147</v>
      </c>
      <c r="E406" s="16" t="s">
        <v>1934</v>
      </c>
      <c r="F406" s="16" t="s">
        <v>1935</v>
      </c>
      <c r="G406" s="8" t="s">
        <v>1278</v>
      </c>
      <c r="H406" s="13">
        <v>5</v>
      </c>
      <c r="I406" s="96">
        <v>746</v>
      </c>
      <c r="J406" s="62">
        <v>0</v>
      </c>
      <c r="K406" s="13" t="s">
        <v>1239</v>
      </c>
      <c r="L406" s="13">
        <v>0</v>
      </c>
      <c r="M406" s="13" t="s">
        <v>1239</v>
      </c>
      <c r="N406" s="13" t="s">
        <v>1221</v>
      </c>
      <c r="O406" s="23" t="s">
        <v>155</v>
      </c>
      <c r="P406" s="8" t="s">
        <v>156</v>
      </c>
      <c r="Q406" s="14">
        <v>43727</v>
      </c>
      <c r="R406" s="19"/>
    </row>
    <row r="407" spans="1:18" s="21" customFormat="1" ht="19.149999999999999" customHeight="1" x14ac:dyDescent="0.3">
      <c r="A407" s="24">
        <v>406</v>
      </c>
      <c r="B407" s="24" t="s">
        <v>1925</v>
      </c>
      <c r="C407" s="24" t="s">
        <v>1936</v>
      </c>
      <c r="D407" s="24">
        <v>148</v>
      </c>
      <c r="E407" s="44" t="s">
        <v>1937</v>
      </c>
      <c r="F407" s="44" t="s">
        <v>1938</v>
      </c>
      <c r="G407" s="24" t="s">
        <v>1278</v>
      </c>
      <c r="H407" s="13">
        <v>6</v>
      </c>
      <c r="I407" s="13">
        <v>642</v>
      </c>
      <c r="J407" s="62">
        <v>0</v>
      </c>
      <c r="K407" s="13" t="s">
        <v>310</v>
      </c>
      <c r="L407" s="13">
        <v>0</v>
      </c>
      <c r="M407" s="13" t="s">
        <v>1239</v>
      </c>
      <c r="N407" s="13" t="s">
        <v>1221</v>
      </c>
      <c r="O407" s="10" t="s">
        <v>151</v>
      </c>
      <c r="P407" s="8" t="s">
        <v>152</v>
      </c>
      <c r="Q407" s="14">
        <v>44684</v>
      </c>
      <c r="R407" s="24"/>
    </row>
    <row r="408" spans="1:18" s="37" customFormat="1" ht="19.149999999999999" customHeight="1" x14ac:dyDescent="0.3">
      <c r="A408" s="8">
        <v>407</v>
      </c>
      <c r="B408" s="24" t="s">
        <v>1925</v>
      </c>
      <c r="C408" s="24" t="s">
        <v>1939</v>
      </c>
      <c r="D408" s="24">
        <v>149</v>
      </c>
      <c r="E408" s="44" t="s">
        <v>1940</v>
      </c>
      <c r="F408" s="44" t="s">
        <v>1941</v>
      </c>
      <c r="G408" s="24" t="s">
        <v>1264</v>
      </c>
      <c r="H408" s="13">
        <v>2</v>
      </c>
      <c r="I408" s="13">
        <v>91</v>
      </c>
      <c r="J408" s="62">
        <v>0</v>
      </c>
      <c r="K408" s="13" t="s">
        <v>310</v>
      </c>
      <c r="L408" s="13">
        <v>0</v>
      </c>
      <c r="M408" s="13" t="s">
        <v>1239</v>
      </c>
      <c r="N408" s="13" t="s">
        <v>1521</v>
      </c>
      <c r="O408" s="8" t="s">
        <v>185</v>
      </c>
      <c r="P408" s="24" t="s">
        <v>186</v>
      </c>
      <c r="Q408" s="14">
        <v>44316</v>
      </c>
      <c r="R408" s="24"/>
    </row>
    <row r="409" spans="1:18" s="7" customFormat="1" ht="19.149999999999999" customHeight="1" x14ac:dyDescent="0.3">
      <c r="A409" s="24">
        <v>408</v>
      </c>
      <c r="B409" s="23" t="s">
        <v>1943</v>
      </c>
      <c r="C409" s="23" t="s">
        <v>1944</v>
      </c>
      <c r="D409" s="23">
        <v>150</v>
      </c>
      <c r="E409" s="56" t="s">
        <v>1945</v>
      </c>
      <c r="F409" s="27" t="s">
        <v>1946</v>
      </c>
      <c r="G409" s="23" t="s">
        <v>1228</v>
      </c>
      <c r="H409" s="28">
        <v>2</v>
      </c>
      <c r="I409" s="108">
        <v>95</v>
      </c>
      <c r="J409" s="73">
        <v>0</v>
      </c>
      <c r="K409" s="28" t="s">
        <v>1228</v>
      </c>
      <c r="L409" s="13">
        <v>0</v>
      </c>
      <c r="M409" s="13" t="s">
        <v>1239</v>
      </c>
      <c r="N409" s="13" t="s">
        <v>1521</v>
      </c>
      <c r="O409" s="23" t="s">
        <v>1947</v>
      </c>
      <c r="P409" s="23" t="s">
        <v>1948</v>
      </c>
      <c r="Q409" s="29">
        <v>43314</v>
      </c>
      <c r="R409" s="56" t="s">
        <v>1949</v>
      </c>
    </row>
    <row r="410" spans="1:18" s="7" customFormat="1" ht="19.149999999999999" customHeight="1" x14ac:dyDescent="0.3">
      <c r="A410" s="8">
        <v>409</v>
      </c>
      <c r="B410" s="23" t="s">
        <v>1943</v>
      </c>
      <c r="C410" s="23" t="s">
        <v>1950</v>
      </c>
      <c r="D410" s="23">
        <v>151</v>
      </c>
      <c r="E410" s="56" t="s">
        <v>1951</v>
      </c>
      <c r="F410" s="27" t="s">
        <v>1952</v>
      </c>
      <c r="G410" s="23" t="s">
        <v>1228</v>
      </c>
      <c r="H410" s="28">
        <v>2</v>
      </c>
      <c r="I410" s="108">
        <v>97</v>
      </c>
      <c r="J410" s="73">
        <v>0</v>
      </c>
      <c r="K410" s="28" t="s">
        <v>1228</v>
      </c>
      <c r="L410" s="13">
        <v>0</v>
      </c>
      <c r="M410" s="13" t="s">
        <v>1239</v>
      </c>
      <c r="N410" s="13" t="s">
        <v>1521</v>
      </c>
      <c r="O410" s="23" t="s">
        <v>1953</v>
      </c>
      <c r="P410" s="23" t="s">
        <v>1954</v>
      </c>
      <c r="Q410" s="29">
        <v>42656</v>
      </c>
      <c r="R410" s="56" t="s">
        <v>1955</v>
      </c>
    </row>
    <row r="411" spans="1:18" s="7" customFormat="1" ht="19.149999999999999" customHeight="1" x14ac:dyDescent="0.3">
      <c r="A411" s="24">
        <v>410</v>
      </c>
      <c r="B411" s="8" t="s">
        <v>87</v>
      </c>
      <c r="C411" s="8" t="s">
        <v>688</v>
      </c>
      <c r="D411" s="8">
        <v>153</v>
      </c>
      <c r="E411" s="16" t="s">
        <v>689</v>
      </c>
      <c r="F411" s="16" t="s">
        <v>690</v>
      </c>
      <c r="G411" s="8" t="s">
        <v>413</v>
      </c>
      <c r="H411" s="13">
        <v>4</v>
      </c>
      <c r="I411" s="96">
        <v>372</v>
      </c>
      <c r="J411" s="62">
        <v>0</v>
      </c>
      <c r="K411" s="13" t="s">
        <v>310</v>
      </c>
      <c r="L411" s="13">
        <v>0</v>
      </c>
      <c r="M411" s="13" t="s">
        <v>1239</v>
      </c>
      <c r="N411" s="13" t="s">
        <v>1221</v>
      </c>
      <c r="O411" s="8" t="s">
        <v>157</v>
      </c>
      <c r="P411" s="8" t="s">
        <v>158</v>
      </c>
      <c r="Q411" s="14">
        <v>42368</v>
      </c>
      <c r="R411" s="19"/>
    </row>
    <row r="412" spans="1:18" s="7" customFormat="1" ht="19.149999999999999" customHeight="1" x14ac:dyDescent="0.3">
      <c r="A412" s="8">
        <v>411</v>
      </c>
      <c r="B412" s="23" t="s">
        <v>1943</v>
      </c>
      <c r="C412" s="23" t="s">
        <v>1956</v>
      </c>
      <c r="D412" s="23">
        <v>154</v>
      </c>
      <c r="E412" s="27" t="s">
        <v>1957</v>
      </c>
      <c r="F412" s="27" t="s">
        <v>1958</v>
      </c>
      <c r="G412" s="23" t="s">
        <v>1228</v>
      </c>
      <c r="H412" s="28">
        <v>3</v>
      </c>
      <c r="I412" s="108">
        <v>234</v>
      </c>
      <c r="J412" s="73">
        <v>0</v>
      </c>
      <c r="K412" s="28" t="s">
        <v>1228</v>
      </c>
      <c r="L412" s="13">
        <v>0</v>
      </c>
      <c r="M412" s="13" t="s">
        <v>1239</v>
      </c>
      <c r="N412" s="13" t="s">
        <v>1221</v>
      </c>
      <c r="O412" s="23" t="s">
        <v>1959</v>
      </c>
      <c r="P412" s="23" t="s">
        <v>1960</v>
      </c>
      <c r="Q412" s="29">
        <v>43405</v>
      </c>
      <c r="R412" s="27"/>
    </row>
    <row r="413" spans="1:18" s="7" customFormat="1" ht="19.149999999999999" customHeight="1" x14ac:dyDescent="0.3">
      <c r="A413" s="24">
        <v>412</v>
      </c>
      <c r="B413" s="8" t="s">
        <v>1925</v>
      </c>
      <c r="C413" s="8" t="s">
        <v>1961</v>
      </c>
      <c r="D413" s="8">
        <v>155</v>
      </c>
      <c r="E413" s="19" t="s">
        <v>1962</v>
      </c>
      <c r="F413" s="19" t="s">
        <v>1963</v>
      </c>
      <c r="G413" s="8" t="s">
        <v>1278</v>
      </c>
      <c r="H413" s="13">
        <v>5</v>
      </c>
      <c r="I413" s="96">
        <v>799</v>
      </c>
      <c r="J413" s="62">
        <v>0</v>
      </c>
      <c r="K413" s="13" t="s">
        <v>310</v>
      </c>
      <c r="L413" s="13">
        <v>0</v>
      </c>
      <c r="M413" s="13" t="s">
        <v>1239</v>
      </c>
      <c r="N413" s="13" t="s">
        <v>1221</v>
      </c>
      <c r="O413" s="10" t="s">
        <v>151</v>
      </c>
      <c r="P413" s="8" t="s">
        <v>152</v>
      </c>
      <c r="Q413" s="14">
        <v>43574</v>
      </c>
      <c r="R413" s="19"/>
    </row>
    <row r="414" spans="1:18" s="7" customFormat="1" ht="19.149999999999999" customHeight="1" x14ac:dyDescent="0.3">
      <c r="A414" s="8">
        <v>413</v>
      </c>
      <c r="B414" s="23" t="s">
        <v>1943</v>
      </c>
      <c r="C414" s="23" t="s">
        <v>1961</v>
      </c>
      <c r="D414" s="23">
        <v>155</v>
      </c>
      <c r="E414" s="27" t="s">
        <v>1964</v>
      </c>
      <c r="F414" s="27" t="s">
        <v>1965</v>
      </c>
      <c r="G414" s="23" t="s">
        <v>1239</v>
      </c>
      <c r="H414" s="28">
        <v>2</v>
      </c>
      <c r="I414" s="108">
        <v>92</v>
      </c>
      <c r="J414" s="73">
        <v>0</v>
      </c>
      <c r="K414" s="28" t="s">
        <v>1228</v>
      </c>
      <c r="L414" s="13">
        <v>0</v>
      </c>
      <c r="M414" s="13" t="s">
        <v>1239</v>
      </c>
      <c r="N414" s="13" t="s">
        <v>1521</v>
      </c>
      <c r="O414" s="23" t="s">
        <v>1966</v>
      </c>
      <c r="P414" s="23" t="s">
        <v>1967</v>
      </c>
      <c r="Q414" s="29">
        <v>44701</v>
      </c>
      <c r="R414" s="27"/>
    </row>
    <row r="415" spans="1:18" s="7" customFormat="1" ht="19.149999999999999" customHeight="1" x14ac:dyDescent="0.3">
      <c r="A415" s="24">
        <v>414</v>
      </c>
      <c r="B415" s="8" t="s">
        <v>94</v>
      </c>
      <c r="C415" s="8" t="s">
        <v>95</v>
      </c>
      <c r="D415" s="8">
        <v>157</v>
      </c>
      <c r="E415" s="19" t="s">
        <v>1968</v>
      </c>
      <c r="F415" s="19" t="s">
        <v>713</v>
      </c>
      <c r="G415" s="8" t="s">
        <v>150</v>
      </c>
      <c r="H415" s="13">
        <v>8</v>
      </c>
      <c r="I415" s="96">
        <v>1017</v>
      </c>
      <c r="J415" s="62">
        <v>0</v>
      </c>
      <c r="K415" s="13" t="s">
        <v>1239</v>
      </c>
      <c r="L415" s="13">
        <v>1</v>
      </c>
      <c r="M415" s="13" t="s">
        <v>1256</v>
      </c>
      <c r="N415" s="13" t="s">
        <v>1221</v>
      </c>
      <c r="O415" s="10" t="s">
        <v>151</v>
      </c>
      <c r="P415" s="8" t="s">
        <v>152</v>
      </c>
      <c r="Q415" s="14">
        <v>39172</v>
      </c>
      <c r="R415" s="19"/>
    </row>
    <row r="416" spans="1:18" s="7" customFormat="1" ht="19.149999999999999" customHeight="1" x14ac:dyDescent="0.3">
      <c r="A416" s="8">
        <v>415</v>
      </c>
      <c r="B416" s="8" t="s">
        <v>1969</v>
      </c>
      <c r="C416" s="8" t="s">
        <v>1970</v>
      </c>
      <c r="D416" s="8">
        <v>157</v>
      </c>
      <c r="E416" s="16" t="s">
        <v>1971</v>
      </c>
      <c r="F416" s="16" t="s">
        <v>1972</v>
      </c>
      <c r="G416" s="8" t="s">
        <v>1228</v>
      </c>
      <c r="H416" s="62">
        <v>1</v>
      </c>
      <c r="I416" s="96">
        <v>50</v>
      </c>
      <c r="J416" s="62">
        <v>0</v>
      </c>
      <c r="K416" s="13" t="s">
        <v>1228</v>
      </c>
      <c r="L416" s="13">
        <v>1</v>
      </c>
      <c r="M416" s="13" t="s">
        <v>1234</v>
      </c>
      <c r="N416" s="13" t="s">
        <v>1221</v>
      </c>
      <c r="O416" s="8" t="s">
        <v>1973</v>
      </c>
      <c r="P416" s="113" t="s">
        <v>1974</v>
      </c>
      <c r="Q416" s="14">
        <v>42692</v>
      </c>
      <c r="R416" s="19" t="s">
        <v>1975</v>
      </c>
    </row>
    <row r="417" spans="1:18" s="7" customFormat="1" ht="19.149999999999999" customHeight="1" x14ac:dyDescent="0.3">
      <c r="A417" s="24">
        <v>416</v>
      </c>
      <c r="B417" s="8" t="s">
        <v>1969</v>
      </c>
      <c r="C417" s="8" t="s">
        <v>1970</v>
      </c>
      <c r="D417" s="8">
        <v>157</v>
      </c>
      <c r="E417" s="56" t="s">
        <v>1976</v>
      </c>
      <c r="F417" s="16" t="s">
        <v>1977</v>
      </c>
      <c r="G417" s="8" t="s">
        <v>1228</v>
      </c>
      <c r="H417" s="13">
        <v>1</v>
      </c>
      <c r="I417" s="96">
        <v>170</v>
      </c>
      <c r="J417" s="62">
        <v>0</v>
      </c>
      <c r="K417" s="13" t="s">
        <v>1228</v>
      </c>
      <c r="L417" s="13">
        <v>0</v>
      </c>
      <c r="M417" s="13" t="s">
        <v>1239</v>
      </c>
      <c r="N417" s="13" t="s">
        <v>1221</v>
      </c>
      <c r="O417" s="8" t="s">
        <v>1978</v>
      </c>
      <c r="P417" s="24" t="s">
        <v>1979</v>
      </c>
      <c r="Q417" s="14">
        <v>42714</v>
      </c>
      <c r="R417" s="30" t="s">
        <v>1980</v>
      </c>
    </row>
    <row r="418" spans="1:18" s="7" customFormat="1" ht="19.149999999999999" customHeight="1" x14ac:dyDescent="0.3">
      <c r="A418" s="8">
        <v>417</v>
      </c>
      <c r="B418" s="8" t="s">
        <v>94</v>
      </c>
      <c r="C418" s="8" t="s">
        <v>95</v>
      </c>
      <c r="D418" s="8">
        <v>157</v>
      </c>
      <c r="E418" s="16" t="s">
        <v>1981</v>
      </c>
      <c r="F418" s="16" t="s">
        <v>1982</v>
      </c>
      <c r="G418" s="8" t="s">
        <v>1264</v>
      </c>
      <c r="H418" s="13">
        <v>10</v>
      </c>
      <c r="I418" s="500">
        <v>1640</v>
      </c>
      <c r="J418" s="62">
        <v>2</v>
      </c>
      <c r="K418" s="13" t="s">
        <v>1070</v>
      </c>
      <c r="L418" s="13">
        <v>0</v>
      </c>
      <c r="M418" s="13" t="s">
        <v>1239</v>
      </c>
      <c r="N418" s="13" t="s">
        <v>1221</v>
      </c>
      <c r="O418" s="10" t="s">
        <v>151</v>
      </c>
      <c r="P418" s="8" t="s">
        <v>152</v>
      </c>
      <c r="Q418" s="14">
        <v>43523</v>
      </c>
      <c r="R418" s="30" t="s">
        <v>1983</v>
      </c>
    </row>
    <row r="419" spans="1:18" s="7" customFormat="1" ht="19.149999999999999" customHeight="1" x14ac:dyDescent="0.3">
      <c r="A419" s="24">
        <v>418</v>
      </c>
      <c r="B419" s="8" t="s">
        <v>94</v>
      </c>
      <c r="C419" s="8" t="s">
        <v>95</v>
      </c>
      <c r="D419" s="8">
        <v>157</v>
      </c>
      <c r="E419" s="16" t="s">
        <v>283</v>
      </c>
      <c r="F419" s="16" t="s">
        <v>716</v>
      </c>
      <c r="G419" s="499" t="s">
        <v>3149</v>
      </c>
      <c r="H419" s="13">
        <v>9</v>
      </c>
      <c r="I419" s="96">
        <v>1306</v>
      </c>
      <c r="J419" s="62">
        <v>2</v>
      </c>
      <c r="K419" s="13" t="s">
        <v>2974</v>
      </c>
      <c r="L419" s="13">
        <v>0</v>
      </c>
      <c r="M419" s="13" t="s">
        <v>1239</v>
      </c>
      <c r="N419" s="13" t="s">
        <v>1221</v>
      </c>
      <c r="O419" s="8" t="s">
        <v>157</v>
      </c>
      <c r="P419" s="8" t="s">
        <v>158</v>
      </c>
      <c r="Q419" s="14">
        <v>38561</v>
      </c>
      <c r="R419" s="16" t="s">
        <v>3150</v>
      </c>
    </row>
    <row r="420" spans="1:18" s="7" customFormat="1" ht="19.149999999999999" customHeight="1" x14ac:dyDescent="0.3">
      <c r="A420" s="8">
        <v>419</v>
      </c>
      <c r="B420" s="8" t="s">
        <v>714</v>
      </c>
      <c r="C420" s="8" t="s">
        <v>95</v>
      </c>
      <c r="D420" s="8">
        <v>157</v>
      </c>
      <c r="E420" s="19" t="s">
        <v>1984</v>
      </c>
      <c r="F420" s="19" t="s">
        <v>1135</v>
      </c>
      <c r="G420" s="8" t="s">
        <v>150</v>
      </c>
      <c r="H420" s="13">
        <v>11</v>
      </c>
      <c r="I420" s="193">
        <v>1389</v>
      </c>
      <c r="J420" s="177">
        <v>3</v>
      </c>
      <c r="K420" s="174" t="s">
        <v>3528</v>
      </c>
      <c r="L420" s="13">
        <v>0</v>
      </c>
      <c r="M420" s="13" t="s">
        <v>1239</v>
      </c>
      <c r="N420" s="13" t="s">
        <v>1221</v>
      </c>
      <c r="O420" s="10" t="s">
        <v>151</v>
      </c>
      <c r="P420" s="8" t="s">
        <v>152</v>
      </c>
      <c r="Q420" s="14">
        <v>41334</v>
      </c>
      <c r="R420" s="19" t="s">
        <v>3534</v>
      </c>
    </row>
    <row r="421" spans="1:18" s="7" customFormat="1" ht="19.149999999999999" customHeight="1" x14ac:dyDescent="0.3">
      <c r="A421" s="24">
        <v>420</v>
      </c>
      <c r="B421" s="8" t="s">
        <v>1985</v>
      </c>
      <c r="C421" s="8" t="s">
        <v>1986</v>
      </c>
      <c r="D421" s="8">
        <v>157</v>
      </c>
      <c r="E421" s="16" t="s">
        <v>1987</v>
      </c>
      <c r="F421" s="16" t="s">
        <v>1988</v>
      </c>
      <c r="G421" s="8" t="s">
        <v>1278</v>
      </c>
      <c r="H421" s="13">
        <v>4</v>
      </c>
      <c r="I421" s="96">
        <v>317</v>
      </c>
      <c r="J421" s="62">
        <v>2</v>
      </c>
      <c r="K421" s="13" t="s">
        <v>1989</v>
      </c>
      <c r="L421" s="13">
        <v>0</v>
      </c>
      <c r="M421" s="13" t="s">
        <v>1239</v>
      </c>
      <c r="N421" s="13" t="s">
        <v>1221</v>
      </c>
      <c r="O421" s="8" t="s">
        <v>185</v>
      </c>
      <c r="P421" s="24" t="s">
        <v>186</v>
      </c>
      <c r="Q421" s="14">
        <v>44099</v>
      </c>
      <c r="R421" s="16"/>
    </row>
    <row r="422" spans="1:18" s="7" customFormat="1" ht="19.149999999999999" customHeight="1" x14ac:dyDescent="0.3">
      <c r="A422" s="8">
        <v>421</v>
      </c>
      <c r="B422" s="8" t="s">
        <v>1985</v>
      </c>
      <c r="C422" s="8" t="s">
        <v>1986</v>
      </c>
      <c r="D422" s="8">
        <v>158</v>
      </c>
      <c r="E422" s="16" t="s">
        <v>1990</v>
      </c>
      <c r="F422" s="16" t="s">
        <v>1991</v>
      </c>
      <c r="G422" s="8" t="s">
        <v>1278</v>
      </c>
      <c r="H422" s="13">
        <v>6</v>
      </c>
      <c r="I422" s="96">
        <v>639</v>
      </c>
      <c r="J422" s="177">
        <v>4</v>
      </c>
      <c r="K422" s="174" t="s">
        <v>3511</v>
      </c>
      <c r="L422" s="13">
        <v>0</v>
      </c>
      <c r="M422" s="13" t="s">
        <v>1239</v>
      </c>
      <c r="N422" s="13" t="s">
        <v>1221</v>
      </c>
      <c r="O422" s="23" t="s">
        <v>155</v>
      </c>
      <c r="P422" s="8" t="s">
        <v>156</v>
      </c>
      <c r="Q422" s="14">
        <v>44918</v>
      </c>
      <c r="R422" s="19"/>
    </row>
    <row r="423" spans="1:18" s="7" customFormat="1" ht="19.149999999999999" customHeight="1" x14ac:dyDescent="0.3">
      <c r="A423" s="24">
        <v>422</v>
      </c>
      <c r="B423" s="24" t="s">
        <v>1985</v>
      </c>
      <c r="C423" s="24" t="s">
        <v>1986</v>
      </c>
      <c r="D423" s="24">
        <v>159</v>
      </c>
      <c r="E423" s="44" t="s">
        <v>1992</v>
      </c>
      <c r="F423" s="44" t="s">
        <v>1993</v>
      </c>
      <c r="G423" s="24" t="s">
        <v>1278</v>
      </c>
      <c r="H423" s="13">
        <v>8</v>
      </c>
      <c r="I423" s="13">
        <v>964</v>
      </c>
      <c r="J423" s="24">
        <v>0</v>
      </c>
      <c r="K423" s="13" t="s">
        <v>310</v>
      </c>
      <c r="L423" s="13">
        <v>0</v>
      </c>
      <c r="M423" s="13" t="s">
        <v>1239</v>
      </c>
      <c r="N423" s="13" t="s">
        <v>1221</v>
      </c>
      <c r="O423" s="10" t="s">
        <v>151</v>
      </c>
      <c r="P423" s="8" t="s">
        <v>152</v>
      </c>
      <c r="Q423" s="14">
        <v>44405</v>
      </c>
      <c r="R423" s="24"/>
    </row>
    <row r="424" spans="1:18" s="7" customFormat="1" ht="19.149999999999999" customHeight="1" x14ac:dyDescent="0.3">
      <c r="A424" s="8">
        <v>423</v>
      </c>
      <c r="B424" s="24" t="s">
        <v>1985</v>
      </c>
      <c r="C424" s="24" t="s">
        <v>1986</v>
      </c>
      <c r="D424" s="24">
        <v>159</v>
      </c>
      <c r="E424" s="44" t="s">
        <v>1994</v>
      </c>
      <c r="F424" s="44" t="s">
        <v>1995</v>
      </c>
      <c r="G424" s="24" t="s">
        <v>1278</v>
      </c>
      <c r="H424" s="13">
        <v>6</v>
      </c>
      <c r="I424" s="13">
        <v>658</v>
      </c>
      <c r="J424" s="24">
        <v>3</v>
      </c>
      <c r="K424" s="24" t="s">
        <v>1996</v>
      </c>
      <c r="L424" s="13">
        <v>0</v>
      </c>
      <c r="M424" s="13" t="s">
        <v>1239</v>
      </c>
      <c r="N424" s="13" t="s">
        <v>1221</v>
      </c>
      <c r="O424" s="8" t="s">
        <v>155</v>
      </c>
      <c r="P424" s="8" t="s">
        <v>156</v>
      </c>
      <c r="Q424" s="14">
        <v>44518</v>
      </c>
      <c r="R424" s="24"/>
    </row>
    <row r="425" spans="1:18" s="7" customFormat="1" ht="19.149999999999999" customHeight="1" x14ac:dyDescent="0.3">
      <c r="A425" s="24">
        <v>424</v>
      </c>
      <c r="B425" s="8" t="s">
        <v>94</v>
      </c>
      <c r="C425" s="8" t="s">
        <v>96</v>
      </c>
      <c r="D425" s="8">
        <v>160</v>
      </c>
      <c r="E425" s="16" t="s">
        <v>253</v>
      </c>
      <c r="F425" s="16" t="s">
        <v>705</v>
      </c>
      <c r="G425" s="8" t="s">
        <v>160</v>
      </c>
      <c r="H425" s="13">
        <v>7</v>
      </c>
      <c r="I425" s="96">
        <v>802</v>
      </c>
      <c r="J425" s="62">
        <v>0</v>
      </c>
      <c r="K425" s="13" t="s">
        <v>310</v>
      </c>
      <c r="L425" s="13">
        <v>0</v>
      </c>
      <c r="M425" s="13" t="s">
        <v>1239</v>
      </c>
      <c r="N425" s="13" t="s">
        <v>1221</v>
      </c>
      <c r="O425" s="8" t="s">
        <v>157</v>
      </c>
      <c r="P425" s="8" t="s">
        <v>158</v>
      </c>
      <c r="Q425" s="14">
        <v>38380</v>
      </c>
      <c r="R425" s="16"/>
    </row>
    <row r="426" spans="1:18" s="7" customFormat="1" ht="19.149999999999999" customHeight="1" x14ac:dyDescent="0.3">
      <c r="A426" s="8">
        <v>425</v>
      </c>
      <c r="B426" s="8" t="s">
        <v>1969</v>
      </c>
      <c r="C426" s="8" t="s">
        <v>1997</v>
      </c>
      <c r="D426" s="8">
        <v>160</v>
      </c>
      <c r="E426" s="56" t="s">
        <v>1998</v>
      </c>
      <c r="F426" s="16" t="s">
        <v>1999</v>
      </c>
      <c r="G426" s="8" t="s">
        <v>1228</v>
      </c>
      <c r="H426" s="62">
        <v>2</v>
      </c>
      <c r="I426" s="96">
        <v>150</v>
      </c>
      <c r="J426" s="62">
        <v>0</v>
      </c>
      <c r="K426" s="13" t="s">
        <v>1228</v>
      </c>
      <c r="L426" s="13">
        <v>0</v>
      </c>
      <c r="M426" s="13" t="s">
        <v>1239</v>
      </c>
      <c r="N426" s="13" t="s">
        <v>1521</v>
      </c>
      <c r="O426" s="8" t="s">
        <v>2000</v>
      </c>
      <c r="P426" s="8" t="s">
        <v>2001</v>
      </c>
      <c r="Q426" s="14">
        <v>43344</v>
      </c>
      <c r="R426" s="56" t="s">
        <v>2002</v>
      </c>
    </row>
    <row r="427" spans="1:18" s="7" customFormat="1" ht="19.149999999999999" customHeight="1" x14ac:dyDescent="0.3">
      <c r="A427" s="24">
        <v>426</v>
      </c>
      <c r="B427" s="8" t="s">
        <v>1969</v>
      </c>
      <c r="C427" s="8" t="s">
        <v>2004</v>
      </c>
      <c r="D427" s="8">
        <v>161</v>
      </c>
      <c r="E427" s="16" t="s">
        <v>2005</v>
      </c>
      <c r="F427" s="16" t="s">
        <v>2006</v>
      </c>
      <c r="G427" s="8" t="s">
        <v>1228</v>
      </c>
      <c r="H427" s="13">
        <v>3</v>
      </c>
      <c r="I427" s="96">
        <v>236</v>
      </c>
      <c r="J427" s="62">
        <v>0</v>
      </c>
      <c r="K427" s="13" t="s">
        <v>1228</v>
      </c>
      <c r="L427" s="13">
        <v>0</v>
      </c>
      <c r="M427" s="13" t="s">
        <v>1239</v>
      </c>
      <c r="N427" s="13" t="s">
        <v>1221</v>
      </c>
      <c r="O427" s="10" t="s">
        <v>2007</v>
      </c>
      <c r="P427" s="8"/>
      <c r="Q427" s="14">
        <v>43092</v>
      </c>
      <c r="R427" s="56" t="s">
        <v>2008</v>
      </c>
    </row>
    <row r="428" spans="1:18" s="7" customFormat="1" ht="19.149999999999999" customHeight="1" x14ac:dyDescent="0.3">
      <c r="A428" s="8">
        <v>427</v>
      </c>
      <c r="B428" s="8" t="s">
        <v>94</v>
      </c>
      <c r="C428" s="8" t="s">
        <v>98</v>
      </c>
      <c r="D428" s="8">
        <v>162</v>
      </c>
      <c r="E428" s="16" t="s">
        <v>711</v>
      </c>
      <c r="F428" s="16" t="s">
        <v>712</v>
      </c>
      <c r="G428" s="8" t="s">
        <v>150</v>
      </c>
      <c r="H428" s="13">
        <v>6</v>
      </c>
      <c r="I428" s="96">
        <v>1020</v>
      </c>
      <c r="J428" s="62">
        <v>0</v>
      </c>
      <c r="K428" s="13" t="s">
        <v>310</v>
      </c>
      <c r="L428" s="13">
        <v>0</v>
      </c>
      <c r="M428" s="13" t="s">
        <v>1239</v>
      </c>
      <c r="N428" s="13" t="s">
        <v>1221</v>
      </c>
      <c r="O428" s="23" t="s">
        <v>155</v>
      </c>
      <c r="P428" s="8" t="s">
        <v>156</v>
      </c>
      <c r="Q428" s="14">
        <v>41663</v>
      </c>
      <c r="R428" s="11"/>
    </row>
    <row r="429" spans="1:18" s="7" customFormat="1" ht="19.149999999999999" customHeight="1" x14ac:dyDescent="0.3">
      <c r="A429" s="24">
        <v>428</v>
      </c>
      <c r="B429" s="99" t="s">
        <v>1985</v>
      </c>
      <c r="C429" s="99" t="s">
        <v>3101</v>
      </c>
      <c r="D429" s="99">
        <v>162</v>
      </c>
      <c r="E429" s="30" t="s">
        <v>3099</v>
      </c>
      <c r="F429" s="30" t="s">
        <v>3102</v>
      </c>
      <c r="G429" s="99" t="s">
        <v>1277</v>
      </c>
      <c r="H429" s="88">
        <v>6</v>
      </c>
      <c r="I429" s="495">
        <v>634</v>
      </c>
      <c r="J429" s="71">
        <v>0</v>
      </c>
      <c r="K429" s="88" t="s">
        <v>820</v>
      </c>
      <c r="L429" s="88">
        <v>0</v>
      </c>
      <c r="M429" s="88" t="s">
        <v>820</v>
      </c>
      <c r="N429" s="88" t="s">
        <v>884</v>
      </c>
      <c r="O429" s="10" t="s">
        <v>151</v>
      </c>
      <c r="P429" s="8" t="s">
        <v>152</v>
      </c>
      <c r="Q429" s="45">
        <v>44937</v>
      </c>
      <c r="R429" s="3"/>
    </row>
    <row r="430" spans="1:18" s="7" customFormat="1" ht="19.149999999999999" customHeight="1" x14ac:dyDescent="0.3">
      <c r="A430" s="8">
        <v>429</v>
      </c>
      <c r="B430" s="8" t="s">
        <v>94</v>
      </c>
      <c r="C430" s="8" t="s">
        <v>99</v>
      </c>
      <c r="D430" s="8">
        <v>163</v>
      </c>
      <c r="E430" s="19" t="s">
        <v>2009</v>
      </c>
      <c r="F430" s="19" t="s">
        <v>709</v>
      </c>
      <c r="G430" s="8" t="s">
        <v>160</v>
      </c>
      <c r="H430" s="13">
        <v>8</v>
      </c>
      <c r="I430" s="96">
        <v>820</v>
      </c>
      <c r="J430" s="62">
        <v>0</v>
      </c>
      <c r="K430" s="13" t="s">
        <v>310</v>
      </c>
      <c r="L430" s="13">
        <v>0</v>
      </c>
      <c r="M430" s="13" t="s">
        <v>1239</v>
      </c>
      <c r="N430" s="13" t="s">
        <v>1221</v>
      </c>
      <c r="O430" s="10" t="s">
        <v>151</v>
      </c>
      <c r="P430" s="8" t="s">
        <v>152</v>
      </c>
      <c r="Q430" s="14">
        <v>42214</v>
      </c>
      <c r="R430" s="36"/>
    </row>
    <row r="431" spans="1:18" s="7" customFormat="1" ht="19.149999999999999" customHeight="1" x14ac:dyDescent="0.3">
      <c r="A431" s="24">
        <v>430</v>
      </c>
      <c r="B431" s="8" t="s">
        <v>94</v>
      </c>
      <c r="C431" s="8" t="s">
        <v>99</v>
      </c>
      <c r="D431" s="8">
        <v>163</v>
      </c>
      <c r="E431" s="16" t="s">
        <v>227</v>
      </c>
      <c r="F431" s="16" t="s">
        <v>710</v>
      </c>
      <c r="G431" s="8" t="s">
        <v>160</v>
      </c>
      <c r="H431" s="13">
        <v>7</v>
      </c>
      <c r="I431" s="96">
        <v>945</v>
      </c>
      <c r="J431" s="62">
        <v>0</v>
      </c>
      <c r="K431" s="13" t="s">
        <v>310</v>
      </c>
      <c r="L431" s="13">
        <v>0</v>
      </c>
      <c r="M431" s="13" t="s">
        <v>1239</v>
      </c>
      <c r="N431" s="13" t="s">
        <v>1221</v>
      </c>
      <c r="O431" s="23" t="s">
        <v>155</v>
      </c>
      <c r="P431" s="8" t="s">
        <v>156</v>
      </c>
      <c r="Q431" s="14">
        <v>40658</v>
      </c>
      <c r="R431" s="11"/>
    </row>
    <row r="432" spans="1:18" s="7" customFormat="1" ht="19.149999999999999" customHeight="1" x14ac:dyDescent="0.3">
      <c r="A432" s="8">
        <v>431</v>
      </c>
      <c r="B432" s="8" t="s">
        <v>1985</v>
      </c>
      <c r="C432" s="8" t="s">
        <v>2010</v>
      </c>
      <c r="D432" s="8">
        <v>164</v>
      </c>
      <c r="E432" s="16" t="s">
        <v>2011</v>
      </c>
      <c r="F432" s="16" t="s">
        <v>2012</v>
      </c>
      <c r="G432" s="8" t="s">
        <v>1264</v>
      </c>
      <c r="H432" s="13">
        <v>5</v>
      </c>
      <c r="I432" s="96">
        <v>660</v>
      </c>
      <c r="J432" s="62">
        <v>0</v>
      </c>
      <c r="K432" s="13" t="s">
        <v>310</v>
      </c>
      <c r="L432" s="13">
        <v>0</v>
      </c>
      <c r="M432" s="13" t="s">
        <v>1239</v>
      </c>
      <c r="N432" s="13" t="s">
        <v>1221</v>
      </c>
      <c r="O432" s="10" t="s">
        <v>151</v>
      </c>
      <c r="P432" s="8" t="s">
        <v>152</v>
      </c>
      <c r="Q432" s="14">
        <v>44098</v>
      </c>
      <c r="R432" s="11"/>
    </row>
    <row r="433" spans="1:18" s="7" customFormat="1" ht="19.149999999999999" customHeight="1" x14ac:dyDescent="0.3">
      <c r="A433" s="24">
        <v>432</v>
      </c>
      <c r="B433" s="8" t="s">
        <v>1985</v>
      </c>
      <c r="C433" s="8" t="s">
        <v>2010</v>
      </c>
      <c r="D433" s="8">
        <v>164</v>
      </c>
      <c r="E433" s="16" t="s">
        <v>2013</v>
      </c>
      <c r="F433" s="16" t="s">
        <v>2014</v>
      </c>
      <c r="G433" s="8" t="s">
        <v>1278</v>
      </c>
      <c r="H433" s="13">
        <v>5</v>
      </c>
      <c r="I433" s="96">
        <v>452</v>
      </c>
      <c r="J433" s="62">
        <v>0</v>
      </c>
      <c r="K433" s="13" t="s">
        <v>310</v>
      </c>
      <c r="L433" s="13">
        <v>0</v>
      </c>
      <c r="M433" s="13" t="s">
        <v>1239</v>
      </c>
      <c r="N433" s="13" t="s">
        <v>1221</v>
      </c>
      <c r="O433" s="8" t="s">
        <v>157</v>
      </c>
      <c r="P433" s="8" t="s">
        <v>158</v>
      </c>
      <c r="Q433" s="14">
        <v>44084</v>
      </c>
      <c r="R433" s="11" t="s">
        <v>2015</v>
      </c>
    </row>
    <row r="434" spans="1:18" s="7" customFormat="1" ht="19.149999999999999" customHeight="1" x14ac:dyDescent="0.3">
      <c r="A434" s="8">
        <v>433</v>
      </c>
      <c r="B434" s="8" t="s">
        <v>1985</v>
      </c>
      <c r="C434" s="8" t="s">
        <v>2016</v>
      </c>
      <c r="D434" s="8">
        <v>166</v>
      </c>
      <c r="E434" s="16" t="s">
        <v>2017</v>
      </c>
      <c r="F434" s="19" t="s">
        <v>2018</v>
      </c>
      <c r="G434" s="8" t="s">
        <v>1278</v>
      </c>
      <c r="H434" s="13">
        <v>7</v>
      </c>
      <c r="I434" s="96">
        <v>704</v>
      </c>
      <c r="J434" s="62">
        <v>4</v>
      </c>
      <c r="K434" s="13" t="s">
        <v>2019</v>
      </c>
      <c r="L434" s="13">
        <v>0</v>
      </c>
      <c r="M434" s="13" t="s">
        <v>1239</v>
      </c>
      <c r="N434" s="13" t="s">
        <v>1221</v>
      </c>
      <c r="O434" s="23" t="s">
        <v>155</v>
      </c>
      <c r="P434" s="8" t="s">
        <v>156</v>
      </c>
      <c r="Q434" s="14">
        <v>44175</v>
      </c>
      <c r="R434" s="19"/>
    </row>
    <row r="435" spans="1:18" s="7" customFormat="1" ht="19.149999999999999" customHeight="1" x14ac:dyDescent="0.3">
      <c r="A435" s="24">
        <v>434</v>
      </c>
      <c r="B435" s="8" t="s">
        <v>94</v>
      </c>
      <c r="C435" s="8" t="s">
        <v>100</v>
      </c>
      <c r="D435" s="8">
        <v>166</v>
      </c>
      <c r="E435" s="19" t="s">
        <v>2020</v>
      </c>
      <c r="F435" s="19" t="s">
        <v>706</v>
      </c>
      <c r="G435" s="8" t="s">
        <v>413</v>
      </c>
      <c r="H435" s="13">
        <v>7</v>
      </c>
      <c r="I435" s="96">
        <v>1075</v>
      </c>
      <c r="J435" s="62">
        <v>0</v>
      </c>
      <c r="K435" s="13" t="s">
        <v>310</v>
      </c>
      <c r="L435" s="13">
        <v>0</v>
      </c>
      <c r="M435" s="13" t="s">
        <v>1239</v>
      </c>
      <c r="N435" s="13" t="s">
        <v>1221</v>
      </c>
      <c r="O435" s="10" t="s">
        <v>151</v>
      </c>
      <c r="P435" s="8" t="s">
        <v>152</v>
      </c>
      <c r="Q435" s="14">
        <v>41979</v>
      </c>
      <c r="R435" s="36"/>
    </row>
    <row r="436" spans="1:18" s="7" customFormat="1" ht="19.149999999999999" customHeight="1" x14ac:dyDescent="0.3">
      <c r="A436" s="8">
        <v>435</v>
      </c>
      <c r="B436" s="8" t="s">
        <v>1969</v>
      </c>
      <c r="C436" s="8" t="s">
        <v>2021</v>
      </c>
      <c r="D436" s="8">
        <v>168</v>
      </c>
      <c r="E436" s="16" t="s">
        <v>2022</v>
      </c>
      <c r="F436" s="16" t="s">
        <v>2023</v>
      </c>
      <c r="G436" s="8" t="s">
        <v>1228</v>
      </c>
      <c r="H436" s="13">
        <v>2</v>
      </c>
      <c r="I436" s="96">
        <v>166</v>
      </c>
      <c r="J436" s="62">
        <v>0</v>
      </c>
      <c r="K436" s="13" t="s">
        <v>1228</v>
      </c>
      <c r="L436" s="13">
        <v>0</v>
      </c>
      <c r="M436" s="13" t="s">
        <v>1239</v>
      </c>
      <c r="N436" s="13" t="s">
        <v>1221</v>
      </c>
      <c r="O436" s="8" t="s">
        <v>2024</v>
      </c>
      <c r="P436" s="8"/>
      <c r="Q436" s="14">
        <v>42753</v>
      </c>
      <c r="R436" s="16"/>
    </row>
    <row r="437" spans="1:18" s="7" customFormat="1" ht="19.149999999999999" customHeight="1" x14ac:dyDescent="0.3">
      <c r="A437" s="24">
        <v>436</v>
      </c>
      <c r="B437" s="8" t="s">
        <v>94</v>
      </c>
      <c r="C437" s="8" t="s">
        <v>101</v>
      </c>
      <c r="D437" s="8">
        <v>168</v>
      </c>
      <c r="E437" s="16" t="s">
        <v>202</v>
      </c>
      <c r="F437" s="16" t="s">
        <v>2025</v>
      </c>
      <c r="G437" s="8" t="s">
        <v>310</v>
      </c>
      <c r="H437" s="13">
        <v>2</v>
      </c>
      <c r="I437" s="96">
        <v>108</v>
      </c>
      <c r="J437" s="62">
        <v>0</v>
      </c>
      <c r="K437" s="13" t="s">
        <v>310</v>
      </c>
      <c r="L437" s="13">
        <v>0</v>
      </c>
      <c r="M437" s="13" t="s">
        <v>1239</v>
      </c>
      <c r="N437" s="13" t="s">
        <v>1221</v>
      </c>
      <c r="O437" s="8" t="s">
        <v>2026</v>
      </c>
      <c r="P437" s="8"/>
      <c r="Q437" s="14">
        <v>39854</v>
      </c>
      <c r="R437" s="16"/>
    </row>
    <row r="438" spans="1:18" s="7" customFormat="1" ht="19.149999999999999" customHeight="1" x14ac:dyDescent="0.3">
      <c r="A438" s="8">
        <v>437</v>
      </c>
      <c r="B438" s="8" t="s">
        <v>1969</v>
      </c>
      <c r="C438" s="8" t="s">
        <v>2027</v>
      </c>
      <c r="D438" s="8">
        <v>169</v>
      </c>
      <c r="E438" s="56" t="s">
        <v>2028</v>
      </c>
      <c r="F438" s="16" t="s">
        <v>2029</v>
      </c>
      <c r="G438" s="8" t="s">
        <v>1228</v>
      </c>
      <c r="H438" s="13">
        <v>2</v>
      </c>
      <c r="I438" s="96">
        <v>154</v>
      </c>
      <c r="J438" s="62">
        <v>0</v>
      </c>
      <c r="K438" s="13" t="s">
        <v>1228</v>
      </c>
      <c r="L438" s="13">
        <v>0</v>
      </c>
      <c r="M438" s="13" t="s">
        <v>1239</v>
      </c>
      <c r="N438" s="13" t="s">
        <v>1521</v>
      </c>
      <c r="O438" s="23" t="s">
        <v>2030</v>
      </c>
      <c r="P438" s="8" t="s">
        <v>2031</v>
      </c>
      <c r="Q438" s="14">
        <v>42377</v>
      </c>
      <c r="R438" s="3" t="s">
        <v>2032</v>
      </c>
    </row>
    <row r="439" spans="1:18" s="7" customFormat="1" ht="19.149999999999999" customHeight="1" x14ac:dyDescent="0.3">
      <c r="A439" s="24">
        <v>438</v>
      </c>
      <c r="B439" s="8" t="s">
        <v>1969</v>
      </c>
      <c r="C439" s="8" t="s">
        <v>2033</v>
      </c>
      <c r="D439" s="8">
        <v>170</v>
      </c>
      <c r="E439" s="30" t="s">
        <v>2034</v>
      </c>
      <c r="F439" s="19" t="s">
        <v>2035</v>
      </c>
      <c r="G439" s="8" t="s">
        <v>1228</v>
      </c>
      <c r="H439" s="13">
        <v>2</v>
      </c>
      <c r="I439" s="96">
        <v>98</v>
      </c>
      <c r="J439" s="62">
        <v>0</v>
      </c>
      <c r="K439" s="13" t="s">
        <v>1228</v>
      </c>
      <c r="L439" s="13">
        <v>0</v>
      </c>
      <c r="M439" s="13" t="s">
        <v>1239</v>
      </c>
      <c r="N439" s="13" t="s">
        <v>1521</v>
      </c>
      <c r="O439" s="10" t="s">
        <v>2036</v>
      </c>
      <c r="P439" s="8" t="s">
        <v>2037</v>
      </c>
      <c r="Q439" s="14">
        <v>43139</v>
      </c>
      <c r="R439" s="30" t="s">
        <v>2038</v>
      </c>
    </row>
    <row r="440" spans="1:18" s="7" customFormat="1" ht="19.149999999999999" customHeight="1" x14ac:dyDescent="0.3">
      <c r="A440" s="8">
        <v>439</v>
      </c>
      <c r="B440" s="8" t="s">
        <v>94</v>
      </c>
      <c r="C440" s="8" t="s">
        <v>102</v>
      </c>
      <c r="D440" s="8">
        <v>171</v>
      </c>
      <c r="E440" s="16" t="s">
        <v>718</v>
      </c>
      <c r="F440" s="16" t="s">
        <v>719</v>
      </c>
      <c r="G440" s="8" t="s">
        <v>160</v>
      </c>
      <c r="H440" s="13">
        <v>5</v>
      </c>
      <c r="I440" s="96">
        <v>657</v>
      </c>
      <c r="J440" s="62">
        <v>0</v>
      </c>
      <c r="K440" s="13" t="s">
        <v>310</v>
      </c>
      <c r="L440" s="13">
        <v>0</v>
      </c>
      <c r="M440" s="13" t="s">
        <v>1239</v>
      </c>
      <c r="N440" s="13" t="s">
        <v>1221</v>
      </c>
      <c r="O440" s="8" t="s">
        <v>157</v>
      </c>
      <c r="P440" s="8" t="s">
        <v>158</v>
      </c>
      <c r="Q440" s="14">
        <v>43005</v>
      </c>
      <c r="R440" s="16"/>
    </row>
    <row r="441" spans="1:18" s="7" customFormat="1" ht="19.149999999999999" customHeight="1" x14ac:dyDescent="0.3">
      <c r="A441" s="24">
        <v>440</v>
      </c>
      <c r="B441" s="8" t="s">
        <v>94</v>
      </c>
      <c r="C441" s="8" t="s">
        <v>102</v>
      </c>
      <c r="D441" s="8">
        <v>171</v>
      </c>
      <c r="E441" s="30" t="s">
        <v>2039</v>
      </c>
      <c r="F441" s="19" t="s">
        <v>717</v>
      </c>
      <c r="G441" s="8" t="s">
        <v>150</v>
      </c>
      <c r="H441" s="13">
        <v>6</v>
      </c>
      <c r="I441" s="96">
        <v>869</v>
      </c>
      <c r="J441" s="62">
        <v>0</v>
      </c>
      <c r="K441" s="13" t="s">
        <v>310</v>
      </c>
      <c r="L441" s="13">
        <v>0</v>
      </c>
      <c r="M441" s="13" t="s">
        <v>1239</v>
      </c>
      <c r="N441" s="13" t="s">
        <v>1221</v>
      </c>
      <c r="O441" s="10" t="s">
        <v>151</v>
      </c>
      <c r="P441" s="8" t="s">
        <v>152</v>
      </c>
      <c r="Q441" s="14">
        <v>40899</v>
      </c>
      <c r="R441" s="30" t="s">
        <v>2040</v>
      </c>
    </row>
    <row r="442" spans="1:18" s="7" customFormat="1" ht="19.149999999999999" customHeight="1" x14ac:dyDescent="0.3">
      <c r="A442" s="8">
        <v>441</v>
      </c>
      <c r="B442" s="8" t="s">
        <v>1969</v>
      </c>
      <c r="C442" s="8" t="s">
        <v>2041</v>
      </c>
      <c r="D442" s="8">
        <v>172</v>
      </c>
      <c r="E442" s="19" t="s">
        <v>2042</v>
      </c>
      <c r="F442" s="16" t="s">
        <v>2043</v>
      </c>
      <c r="G442" s="8" t="s">
        <v>1228</v>
      </c>
      <c r="H442" s="13">
        <v>2</v>
      </c>
      <c r="I442" s="96">
        <v>99</v>
      </c>
      <c r="J442" s="62">
        <v>0</v>
      </c>
      <c r="K442" s="13" t="s">
        <v>1228</v>
      </c>
      <c r="L442" s="13">
        <v>0</v>
      </c>
      <c r="M442" s="13" t="s">
        <v>1239</v>
      </c>
      <c r="N442" s="13" t="s">
        <v>1521</v>
      </c>
      <c r="O442" s="23" t="s">
        <v>2044</v>
      </c>
      <c r="P442" s="8" t="s">
        <v>2045</v>
      </c>
      <c r="Q442" s="14">
        <v>42837</v>
      </c>
      <c r="R442" s="11"/>
    </row>
    <row r="443" spans="1:18" s="7" customFormat="1" ht="19.149999999999999" customHeight="1" x14ac:dyDescent="0.3">
      <c r="A443" s="24">
        <v>442</v>
      </c>
      <c r="B443" s="8" t="s">
        <v>1969</v>
      </c>
      <c r="C443" s="8" t="s">
        <v>2046</v>
      </c>
      <c r="D443" s="8">
        <v>173</v>
      </c>
      <c r="E443" s="16" t="s">
        <v>2047</v>
      </c>
      <c r="F443" s="16" t="s">
        <v>2048</v>
      </c>
      <c r="G443" s="8" t="s">
        <v>1228</v>
      </c>
      <c r="H443" s="13">
        <v>2</v>
      </c>
      <c r="I443" s="96">
        <v>99</v>
      </c>
      <c r="J443" s="62">
        <v>0</v>
      </c>
      <c r="K443" s="13" t="s">
        <v>1228</v>
      </c>
      <c r="L443" s="13">
        <v>0</v>
      </c>
      <c r="M443" s="13" t="s">
        <v>1239</v>
      </c>
      <c r="N443" s="13" t="s">
        <v>1521</v>
      </c>
      <c r="O443" s="8" t="s">
        <v>2049</v>
      </c>
      <c r="P443" s="24" t="s">
        <v>2050</v>
      </c>
      <c r="Q443" s="14">
        <v>43003</v>
      </c>
      <c r="R443" s="30" t="s">
        <v>2051</v>
      </c>
    </row>
    <row r="444" spans="1:18" s="21" customFormat="1" ht="19.149999999999999" customHeight="1" x14ac:dyDescent="0.3">
      <c r="A444" s="8">
        <v>443</v>
      </c>
      <c r="B444" s="8" t="s">
        <v>2052</v>
      </c>
      <c r="C444" s="8" t="s">
        <v>2053</v>
      </c>
      <c r="D444" s="8">
        <v>174</v>
      </c>
      <c r="E444" s="19" t="s">
        <v>2054</v>
      </c>
      <c r="F444" s="19" t="s">
        <v>2055</v>
      </c>
      <c r="G444" s="8" t="s">
        <v>1278</v>
      </c>
      <c r="H444" s="13">
        <v>7</v>
      </c>
      <c r="I444" s="96">
        <v>732</v>
      </c>
      <c r="J444" s="177">
        <v>2</v>
      </c>
      <c r="K444" s="174" t="s">
        <v>3486</v>
      </c>
      <c r="L444" s="13">
        <v>0</v>
      </c>
      <c r="M444" s="13" t="s">
        <v>1239</v>
      </c>
      <c r="N444" s="28" t="s">
        <v>1221</v>
      </c>
      <c r="O444" s="8" t="s">
        <v>155</v>
      </c>
      <c r="P444" s="8" t="s">
        <v>156</v>
      </c>
      <c r="Q444" s="14">
        <v>44140</v>
      </c>
      <c r="R444" s="19"/>
    </row>
    <row r="445" spans="1:18" s="21" customFormat="1" ht="19.149999999999999" customHeight="1" x14ac:dyDescent="0.3">
      <c r="A445" s="24">
        <v>444</v>
      </c>
      <c r="B445" s="8" t="s">
        <v>105</v>
      </c>
      <c r="C445" s="8" t="s">
        <v>106</v>
      </c>
      <c r="D445" s="8">
        <v>174</v>
      </c>
      <c r="E445" s="16" t="s">
        <v>2056</v>
      </c>
      <c r="F445" s="56" t="s">
        <v>838</v>
      </c>
      <c r="G445" s="8" t="s">
        <v>160</v>
      </c>
      <c r="H445" s="13">
        <v>8</v>
      </c>
      <c r="I445" s="96">
        <v>1058</v>
      </c>
      <c r="J445" s="62">
        <v>0</v>
      </c>
      <c r="K445" s="13" t="s">
        <v>310</v>
      </c>
      <c r="L445" s="13">
        <v>0</v>
      </c>
      <c r="M445" s="13" t="s">
        <v>1239</v>
      </c>
      <c r="N445" s="13" t="s">
        <v>1221</v>
      </c>
      <c r="O445" s="8" t="s">
        <v>157</v>
      </c>
      <c r="P445" s="8" t="s">
        <v>158</v>
      </c>
      <c r="Q445" s="14">
        <v>39139</v>
      </c>
      <c r="R445" s="30"/>
    </row>
    <row r="446" spans="1:18" s="21" customFormat="1" ht="19.149999999999999" customHeight="1" x14ac:dyDescent="0.3">
      <c r="A446" s="8">
        <v>445</v>
      </c>
      <c r="B446" s="24" t="s">
        <v>2052</v>
      </c>
      <c r="C446" s="24" t="s">
        <v>2053</v>
      </c>
      <c r="D446" s="24">
        <v>174</v>
      </c>
      <c r="E446" s="44" t="s">
        <v>2057</v>
      </c>
      <c r="F446" s="44" t="s">
        <v>2058</v>
      </c>
      <c r="G446" s="24" t="s">
        <v>1278</v>
      </c>
      <c r="H446" s="13">
        <v>7</v>
      </c>
      <c r="I446" s="13">
        <v>686</v>
      </c>
      <c r="J446" s="62">
        <v>7</v>
      </c>
      <c r="K446" s="13" t="s">
        <v>1540</v>
      </c>
      <c r="L446" s="13">
        <v>0</v>
      </c>
      <c r="M446" s="13" t="s">
        <v>1239</v>
      </c>
      <c r="N446" s="13" t="s">
        <v>1221</v>
      </c>
      <c r="O446" s="8" t="s">
        <v>155</v>
      </c>
      <c r="P446" s="8" t="s">
        <v>156</v>
      </c>
      <c r="Q446" s="14">
        <v>44534</v>
      </c>
      <c r="R446" s="24"/>
    </row>
    <row r="447" spans="1:18" s="21" customFormat="1" ht="19.149999999999999" customHeight="1" x14ac:dyDescent="0.3">
      <c r="A447" s="24">
        <v>446</v>
      </c>
      <c r="B447" s="8" t="s">
        <v>105</v>
      </c>
      <c r="C447" s="8" t="s">
        <v>2059</v>
      </c>
      <c r="D447" s="8">
        <v>174</v>
      </c>
      <c r="E447" s="30" t="s">
        <v>2060</v>
      </c>
      <c r="F447" s="19" t="s">
        <v>2061</v>
      </c>
      <c r="G447" s="8" t="s">
        <v>1228</v>
      </c>
      <c r="H447" s="73">
        <v>1</v>
      </c>
      <c r="I447" s="108">
        <v>98</v>
      </c>
      <c r="J447" s="73">
        <v>0</v>
      </c>
      <c r="K447" s="13" t="s">
        <v>310</v>
      </c>
      <c r="L447" s="13">
        <v>1</v>
      </c>
      <c r="M447" s="13" t="s">
        <v>1234</v>
      </c>
      <c r="N447" s="13" t="s">
        <v>1221</v>
      </c>
      <c r="O447" s="8" t="s">
        <v>1196</v>
      </c>
      <c r="P447" s="8" t="s">
        <v>1195</v>
      </c>
      <c r="Q447" s="14">
        <v>39952</v>
      </c>
      <c r="R447" s="30" t="s">
        <v>2062</v>
      </c>
    </row>
    <row r="448" spans="1:18" s="21" customFormat="1" ht="19.149999999999999" customHeight="1" x14ac:dyDescent="0.3">
      <c r="A448" s="8">
        <v>447</v>
      </c>
      <c r="B448" s="8" t="s">
        <v>105</v>
      </c>
      <c r="C448" s="8" t="s">
        <v>106</v>
      </c>
      <c r="D448" s="8">
        <v>174</v>
      </c>
      <c r="E448" s="16" t="s">
        <v>245</v>
      </c>
      <c r="F448" s="16" t="s">
        <v>731</v>
      </c>
      <c r="G448" s="8" t="s">
        <v>150</v>
      </c>
      <c r="H448" s="13">
        <v>6</v>
      </c>
      <c r="I448" s="96">
        <v>1040</v>
      </c>
      <c r="J448" s="62">
        <v>0</v>
      </c>
      <c r="K448" s="13" t="s">
        <v>310</v>
      </c>
      <c r="L448" s="13">
        <v>0</v>
      </c>
      <c r="M448" s="13" t="s">
        <v>1239</v>
      </c>
      <c r="N448" s="28" t="s">
        <v>1221</v>
      </c>
      <c r="O448" s="8" t="s">
        <v>155</v>
      </c>
      <c r="P448" s="8" t="s">
        <v>156</v>
      </c>
      <c r="Q448" s="14">
        <v>41179</v>
      </c>
      <c r="R448" s="19"/>
    </row>
    <row r="449" spans="1:18" s="21" customFormat="1" ht="19.149999999999999" customHeight="1" x14ac:dyDescent="0.3">
      <c r="A449" s="24">
        <v>448</v>
      </c>
      <c r="B449" s="8" t="s">
        <v>105</v>
      </c>
      <c r="C449" s="8" t="s">
        <v>106</v>
      </c>
      <c r="D449" s="8">
        <v>174</v>
      </c>
      <c r="E449" s="16" t="s">
        <v>729</v>
      </c>
      <c r="F449" s="16" t="s">
        <v>730</v>
      </c>
      <c r="G449" s="8" t="s">
        <v>150</v>
      </c>
      <c r="H449" s="13">
        <v>8</v>
      </c>
      <c r="I449" s="96">
        <v>1632</v>
      </c>
      <c r="J449" s="62">
        <v>0</v>
      </c>
      <c r="K449" s="13" t="s">
        <v>1239</v>
      </c>
      <c r="L449" s="13">
        <v>0</v>
      </c>
      <c r="M449" s="13" t="s">
        <v>1239</v>
      </c>
      <c r="N449" s="28" t="s">
        <v>1221</v>
      </c>
      <c r="O449" s="23" t="s">
        <v>155</v>
      </c>
      <c r="P449" s="8" t="s">
        <v>156</v>
      </c>
      <c r="Q449" s="14">
        <v>38135</v>
      </c>
      <c r="R449" s="19"/>
    </row>
    <row r="450" spans="1:18" s="21" customFormat="1" ht="19.149999999999999" customHeight="1" x14ac:dyDescent="0.3">
      <c r="A450" s="8">
        <v>449</v>
      </c>
      <c r="B450" s="8" t="s">
        <v>105</v>
      </c>
      <c r="C450" s="8" t="s">
        <v>106</v>
      </c>
      <c r="D450" s="8">
        <v>174</v>
      </c>
      <c r="E450" s="19" t="s">
        <v>2063</v>
      </c>
      <c r="F450" s="19" t="s">
        <v>1136</v>
      </c>
      <c r="G450" s="8" t="s">
        <v>318</v>
      </c>
      <c r="H450" s="13">
        <v>7</v>
      </c>
      <c r="I450" s="96">
        <v>1795</v>
      </c>
      <c r="J450" s="62">
        <v>2</v>
      </c>
      <c r="K450" s="13" t="s">
        <v>728</v>
      </c>
      <c r="L450" s="13">
        <v>0</v>
      </c>
      <c r="M450" s="13" t="s">
        <v>1239</v>
      </c>
      <c r="N450" s="28" t="s">
        <v>1221</v>
      </c>
      <c r="O450" s="10" t="s">
        <v>151</v>
      </c>
      <c r="P450" s="8" t="s">
        <v>152</v>
      </c>
      <c r="Q450" s="14">
        <v>41879</v>
      </c>
      <c r="R450" s="19"/>
    </row>
    <row r="451" spans="1:18" s="7" customFormat="1" ht="19.149999999999999" customHeight="1" x14ac:dyDescent="0.3">
      <c r="A451" s="24">
        <v>450</v>
      </c>
      <c r="B451" s="8" t="s">
        <v>105</v>
      </c>
      <c r="C451" s="8" t="s">
        <v>106</v>
      </c>
      <c r="D451" s="8">
        <v>174</v>
      </c>
      <c r="E451" s="19" t="s">
        <v>2064</v>
      </c>
      <c r="F451" s="19" t="s">
        <v>726</v>
      </c>
      <c r="G451" s="8" t="s">
        <v>150</v>
      </c>
      <c r="H451" s="13">
        <v>8</v>
      </c>
      <c r="I451" s="96">
        <v>1275</v>
      </c>
      <c r="J451" s="62">
        <v>1</v>
      </c>
      <c r="K451" s="13" t="s">
        <v>1516</v>
      </c>
      <c r="L451" s="13">
        <v>0</v>
      </c>
      <c r="M451" s="13" t="s">
        <v>1239</v>
      </c>
      <c r="N451" s="28" t="s">
        <v>1221</v>
      </c>
      <c r="O451" s="10" t="s">
        <v>151</v>
      </c>
      <c r="P451" s="8" t="s">
        <v>152</v>
      </c>
      <c r="Q451" s="14">
        <v>42403</v>
      </c>
      <c r="R451" s="19"/>
    </row>
    <row r="452" spans="1:18" s="7" customFormat="1" ht="19.149999999999999" customHeight="1" x14ac:dyDescent="0.3">
      <c r="A452" s="8">
        <v>451</v>
      </c>
      <c r="B452" s="10" t="s">
        <v>105</v>
      </c>
      <c r="C452" s="10" t="s">
        <v>106</v>
      </c>
      <c r="D452" s="8">
        <v>174</v>
      </c>
      <c r="E452" s="11" t="s">
        <v>298</v>
      </c>
      <c r="F452" s="11" t="s">
        <v>2065</v>
      </c>
      <c r="G452" s="10" t="s">
        <v>310</v>
      </c>
      <c r="H452" s="13">
        <v>4</v>
      </c>
      <c r="I452" s="96">
        <v>662</v>
      </c>
      <c r="J452" s="62">
        <v>0</v>
      </c>
      <c r="K452" s="13" t="s">
        <v>310</v>
      </c>
      <c r="L452" s="13">
        <v>0</v>
      </c>
      <c r="M452" s="13" t="s">
        <v>1239</v>
      </c>
      <c r="N452" s="28" t="s">
        <v>1221</v>
      </c>
      <c r="O452" s="10" t="s">
        <v>2066</v>
      </c>
      <c r="P452" s="8" t="s">
        <v>733</v>
      </c>
      <c r="Q452" s="14">
        <v>37869</v>
      </c>
      <c r="R452" s="3" t="s">
        <v>2067</v>
      </c>
    </row>
    <row r="453" spans="1:18" s="7" customFormat="1" ht="19.149999999999999" customHeight="1" x14ac:dyDescent="0.3">
      <c r="A453" s="24">
        <v>452</v>
      </c>
      <c r="B453" s="10" t="s">
        <v>2068</v>
      </c>
      <c r="C453" s="10" t="s">
        <v>2059</v>
      </c>
      <c r="D453" s="8">
        <v>174</v>
      </c>
      <c r="E453" s="11" t="s">
        <v>2069</v>
      </c>
      <c r="F453" s="11" t="s">
        <v>2070</v>
      </c>
      <c r="G453" s="10" t="s">
        <v>310</v>
      </c>
      <c r="H453" s="13">
        <v>1</v>
      </c>
      <c r="I453" s="96">
        <v>94</v>
      </c>
      <c r="J453" s="62">
        <v>0</v>
      </c>
      <c r="K453" s="13" t="s">
        <v>1228</v>
      </c>
      <c r="L453" s="13">
        <v>0</v>
      </c>
      <c r="M453" s="13" t="s">
        <v>1239</v>
      </c>
      <c r="N453" s="28" t="s">
        <v>1221</v>
      </c>
      <c r="O453" s="10" t="s">
        <v>2071</v>
      </c>
      <c r="P453" s="8" t="s">
        <v>2072</v>
      </c>
      <c r="Q453" s="14">
        <v>42597</v>
      </c>
      <c r="R453" s="11"/>
    </row>
    <row r="454" spans="1:18" s="7" customFormat="1" ht="19.149999999999999" customHeight="1" x14ac:dyDescent="0.3">
      <c r="A454" s="8">
        <v>453</v>
      </c>
      <c r="B454" s="10" t="s">
        <v>2068</v>
      </c>
      <c r="C454" s="10" t="s">
        <v>2059</v>
      </c>
      <c r="D454" s="8">
        <v>174</v>
      </c>
      <c r="E454" s="11" t="s">
        <v>2073</v>
      </c>
      <c r="F454" s="11" t="s">
        <v>2070</v>
      </c>
      <c r="G454" s="10" t="s">
        <v>310</v>
      </c>
      <c r="H454" s="13">
        <v>5</v>
      </c>
      <c r="I454" s="96">
        <v>760</v>
      </c>
      <c r="J454" s="62">
        <v>0</v>
      </c>
      <c r="K454" s="13" t="s">
        <v>1228</v>
      </c>
      <c r="L454" s="13">
        <v>0</v>
      </c>
      <c r="M454" s="13" t="s">
        <v>1239</v>
      </c>
      <c r="N454" s="28" t="s">
        <v>1221</v>
      </c>
      <c r="O454" s="10" t="s">
        <v>2071</v>
      </c>
      <c r="P454" s="8" t="s">
        <v>2074</v>
      </c>
      <c r="Q454" s="14">
        <v>42489</v>
      </c>
      <c r="R454" s="11"/>
    </row>
    <row r="455" spans="1:18" s="7" customFormat="1" ht="19.149999999999999" customHeight="1" x14ac:dyDescent="0.3">
      <c r="A455" s="24">
        <v>454</v>
      </c>
      <c r="B455" s="8" t="s">
        <v>105</v>
      </c>
      <c r="C455" s="8" t="s">
        <v>106</v>
      </c>
      <c r="D455" s="8">
        <v>174</v>
      </c>
      <c r="E455" s="19" t="s">
        <v>2075</v>
      </c>
      <c r="F455" s="19" t="s">
        <v>725</v>
      </c>
      <c r="G455" s="8" t="s">
        <v>150</v>
      </c>
      <c r="H455" s="13">
        <v>5</v>
      </c>
      <c r="I455" s="96">
        <v>720</v>
      </c>
      <c r="J455" s="62">
        <v>0</v>
      </c>
      <c r="K455" s="13" t="s">
        <v>310</v>
      </c>
      <c r="L455" s="13">
        <v>0</v>
      </c>
      <c r="M455" s="13" t="s">
        <v>1239</v>
      </c>
      <c r="N455" s="28" t="s">
        <v>1221</v>
      </c>
      <c r="O455" s="10" t="s">
        <v>151</v>
      </c>
      <c r="P455" s="8" t="s">
        <v>152</v>
      </c>
      <c r="Q455" s="14">
        <v>43214</v>
      </c>
      <c r="R455" s="19"/>
    </row>
    <row r="456" spans="1:18" s="21" customFormat="1" ht="19.149999999999999" customHeight="1" x14ac:dyDescent="0.3">
      <c r="A456" s="8">
        <v>455</v>
      </c>
      <c r="B456" s="8" t="s">
        <v>105</v>
      </c>
      <c r="C456" s="8" t="s">
        <v>106</v>
      </c>
      <c r="D456" s="8">
        <v>174</v>
      </c>
      <c r="E456" s="16" t="s">
        <v>3137</v>
      </c>
      <c r="F456" s="16" t="s">
        <v>732</v>
      </c>
      <c r="G456" s="8" t="s">
        <v>1278</v>
      </c>
      <c r="H456" s="13">
        <v>10</v>
      </c>
      <c r="I456" s="96">
        <v>850</v>
      </c>
      <c r="J456" s="62">
        <v>7</v>
      </c>
      <c r="K456" s="175" t="s">
        <v>1435</v>
      </c>
      <c r="L456" s="13">
        <v>0</v>
      </c>
      <c r="M456" s="13" t="s">
        <v>1239</v>
      </c>
      <c r="N456" s="28" t="s">
        <v>1221</v>
      </c>
      <c r="O456" s="8" t="s">
        <v>157</v>
      </c>
      <c r="P456" s="8" t="s">
        <v>158</v>
      </c>
      <c r="Q456" s="45">
        <v>38339</v>
      </c>
      <c r="R456" s="30" t="s">
        <v>3136</v>
      </c>
    </row>
    <row r="457" spans="1:18" s="21" customFormat="1" ht="19.149999999999999" customHeight="1" x14ac:dyDescent="0.3">
      <c r="A457" s="24">
        <v>456</v>
      </c>
      <c r="B457" s="24" t="s">
        <v>2052</v>
      </c>
      <c r="C457" s="24" t="s">
        <v>2053</v>
      </c>
      <c r="D457" s="24">
        <v>176</v>
      </c>
      <c r="E457" s="44" t="s">
        <v>2076</v>
      </c>
      <c r="F457" s="44" t="s">
        <v>2077</v>
      </c>
      <c r="G457" s="24" t="s">
        <v>1278</v>
      </c>
      <c r="H457" s="13">
        <v>6</v>
      </c>
      <c r="I457" s="13">
        <v>806</v>
      </c>
      <c r="J457" s="24">
        <v>0</v>
      </c>
      <c r="K457" s="13" t="s">
        <v>310</v>
      </c>
      <c r="L457" s="13">
        <v>0</v>
      </c>
      <c r="M457" s="13" t="s">
        <v>1239</v>
      </c>
      <c r="N457" s="13" t="s">
        <v>1221</v>
      </c>
      <c r="O457" s="10" t="s">
        <v>151</v>
      </c>
      <c r="P457" s="8" t="s">
        <v>152</v>
      </c>
      <c r="Q457" s="14">
        <v>44518</v>
      </c>
      <c r="R457" s="24"/>
    </row>
    <row r="458" spans="1:18" s="7" customFormat="1" ht="19.149999999999999" customHeight="1" x14ac:dyDescent="0.3">
      <c r="A458" s="8">
        <v>457</v>
      </c>
      <c r="B458" s="10" t="s">
        <v>105</v>
      </c>
      <c r="C458" s="10" t="s">
        <v>107</v>
      </c>
      <c r="D458" s="8">
        <v>177</v>
      </c>
      <c r="E458" s="11" t="s">
        <v>210</v>
      </c>
      <c r="F458" s="11" t="s">
        <v>721</v>
      </c>
      <c r="G458" s="10" t="s">
        <v>150</v>
      </c>
      <c r="H458" s="13">
        <v>7</v>
      </c>
      <c r="I458" s="96">
        <v>1085</v>
      </c>
      <c r="J458" s="62">
        <v>0</v>
      </c>
      <c r="K458" s="13" t="s">
        <v>310</v>
      </c>
      <c r="L458" s="13">
        <v>0</v>
      </c>
      <c r="M458" s="13" t="s">
        <v>1239</v>
      </c>
      <c r="N458" s="28" t="s">
        <v>1221</v>
      </c>
      <c r="O458" s="8" t="s">
        <v>155</v>
      </c>
      <c r="P458" s="8" t="s">
        <v>156</v>
      </c>
      <c r="Q458" s="14">
        <v>43040</v>
      </c>
      <c r="R458" s="91" t="s">
        <v>722</v>
      </c>
    </row>
    <row r="459" spans="1:18" s="7" customFormat="1" ht="19.149999999999999" customHeight="1" x14ac:dyDescent="0.25">
      <c r="A459" s="24">
        <v>458</v>
      </c>
      <c r="B459" s="24" t="s">
        <v>105</v>
      </c>
      <c r="C459" s="24" t="s">
        <v>107</v>
      </c>
      <c r="D459" s="8">
        <v>177</v>
      </c>
      <c r="E459" s="44" t="s">
        <v>211</v>
      </c>
      <c r="F459" s="44" t="s">
        <v>819</v>
      </c>
      <c r="G459" s="24" t="s">
        <v>150</v>
      </c>
      <c r="H459" s="88">
        <v>7</v>
      </c>
      <c r="I459" s="102">
        <v>1014</v>
      </c>
      <c r="J459" s="71">
        <v>0</v>
      </c>
      <c r="K459" s="24" t="s">
        <v>310</v>
      </c>
      <c r="L459" s="13">
        <v>0</v>
      </c>
      <c r="M459" s="13" t="s">
        <v>1239</v>
      </c>
      <c r="N459" s="28" t="s">
        <v>1221</v>
      </c>
      <c r="O459" s="23" t="s">
        <v>155</v>
      </c>
      <c r="P459" s="8" t="s">
        <v>156</v>
      </c>
      <c r="Q459" s="45">
        <v>43217</v>
      </c>
      <c r="R459" s="46"/>
    </row>
    <row r="460" spans="1:18" s="7" customFormat="1" ht="19.149999999999999" customHeight="1" x14ac:dyDescent="0.3">
      <c r="A460" s="8">
        <v>459</v>
      </c>
      <c r="B460" s="8" t="s">
        <v>105</v>
      </c>
      <c r="C460" s="8" t="s">
        <v>108</v>
      </c>
      <c r="D460" s="8">
        <v>178</v>
      </c>
      <c r="E460" s="19" t="s">
        <v>2079</v>
      </c>
      <c r="F460" s="19" t="s">
        <v>724</v>
      </c>
      <c r="G460" s="8" t="s">
        <v>160</v>
      </c>
      <c r="H460" s="13">
        <v>7</v>
      </c>
      <c r="I460" s="96">
        <v>1123</v>
      </c>
      <c r="J460" s="62">
        <v>0</v>
      </c>
      <c r="K460" s="13" t="s">
        <v>310</v>
      </c>
      <c r="L460" s="13">
        <v>0</v>
      </c>
      <c r="M460" s="13" t="s">
        <v>1239</v>
      </c>
      <c r="N460" s="28" t="s">
        <v>1221</v>
      </c>
      <c r="O460" s="10" t="s">
        <v>151</v>
      </c>
      <c r="P460" s="8" t="s">
        <v>152</v>
      </c>
      <c r="Q460" s="14">
        <v>38141</v>
      </c>
      <c r="R460" s="30" t="s">
        <v>2080</v>
      </c>
    </row>
    <row r="461" spans="1:18" s="7" customFormat="1" ht="19.149999999999999" customHeight="1" x14ac:dyDescent="0.3">
      <c r="A461" s="24">
        <v>460</v>
      </c>
      <c r="B461" s="8" t="s">
        <v>2052</v>
      </c>
      <c r="C461" s="8" t="s">
        <v>2081</v>
      </c>
      <c r="D461" s="8">
        <v>178</v>
      </c>
      <c r="E461" s="19" t="s">
        <v>2082</v>
      </c>
      <c r="F461" s="19" t="s">
        <v>2083</v>
      </c>
      <c r="G461" s="8" t="s">
        <v>1278</v>
      </c>
      <c r="H461" s="13">
        <v>7</v>
      </c>
      <c r="I461" s="96">
        <v>1243</v>
      </c>
      <c r="J461" s="177">
        <v>1</v>
      </c>
      <c r="K461" s="174" t="s">
        <v>3512</v>
      </c>
      <c r="L461" s="13">
        <v>0</v>
      </c>
      <c r="M461" s="13" t="s">
        <v>1239</v>
      </c>
      <c r="N461" s="28" t="s">
        <v>1221</v>
      </c>
      <c r="O461" s="23" t="s">
        <v>155</v>
      </c>
      <c r="P461" s="8" t="s">
        <v>156</v>
      </c>
      <c r="Q461" s="14">
        <v>43524</v>
      </c>
      <c r="R461" s="19"/>
    </row>
    <row r="462" spans="1:18" s="7" customFormat="1" ht="19.149999999999999" customHeight="1" x14ac:dyDescent="0.3">
      <c r="A462" s="8">
        <v>461</v>
      </c>
      <c r="B462" s="8" t="s">
        <v>734</v>
      </c>
      <c r="C462" s="8" t="s">
        <v>735</v>
      </c>
      <c r="D462" s="8">
        <v>179</v>
      </c>
      <c r="E462" s="19" t="s">
        <v>2084</v>
      </c>
      <c r="F462" s="19" t="s">
        <v>736</v>
      </c>
      <c r="G462" s="8" t="s">
        <v>413</v>
      </c>
      <c r="H462" s="13">
        <v>4</v>
      </c>
      <c r="I462" s="96">
        <v>553</v>
      </c>
      <c r="J462" s="62">
        <v>0</v>
      </c>
      <c r="K462" s="13" t="s">
        <v>310</v>
      </c>
      <c r="L462" s="13">
        <v>0</v>
      </c>
      <c r="M462" s="13" t="s">
        <v>1239</v>
      </c>
      <c r="N462" s="28" t="s">
        <v>1221</v>
      </c>
      <c r="O462" s="10" t="s">
        <v>151</v>
      </c>
      <c r="P462" s="8" t="s">
        <v>152</v>
      </c>
      <c r="Q462" s="14">
        <v>41666</v>
      </c>
      <c r="R462" s="19"/>
    </row>
    <row r="463" spans="1:18" s="7" customFormat="1" ht="19.149999999999999" customHeight="1" x14ac:dyDescent="0.3">
      <c r="A463" s="24">
        <v>462</v>
      </c>
      <c r="B463" s="8" t="s">
        <v>2052</v>
      </c>
      <c r="C463" s="8" t="s">
        <v>2085</v>
      </c>
      <c r="D463" s="8">
        <v>180</v>
      </c>
      <c r="E463" s="30" t="s">
        <v>2086</v>
      </c>
      <c r="F463" s="19" t="s">
        <v>2087</v>
      </c>
      <c r="G463" s="8" t="s">
        <v>1239</v>
      </c>
      <c r="H463" s="28">
        <v>3</v>
      </c>
      <c r="I463" s="108">
        <v>257</v>
      </c>
      <c r="J463" s="73">
        <v>0</v>
      </c>
      <c r="K463" s="13" t="s">
        <v>1239</v>
      </c>
      <c r="L463" s="13">
        <v>0</v>
      </c>
      <c r="M463" s="13" t="s">
        <v>1239</v>
      </c>
      <c r="N463" s="13" t="s">
        <v>1221</v>
      </c>
      <c r="O463" s="8" t="s">
        <v>2088</v>
      </c>
      <c r="P463" s="100" t="s">
        <v>2089</v>
      </c>
      <c r="Q463" s="14">
        <v>44554</v>
      </c>
      <c r="R463" s="30" t="s">
        <v>2090</v>
      </c>
    </row>
    <row r="464" spans="1:18" s="7" customFormat="1" ht="19.149999999999999" customHeight="1" x14ac:dyDescent="0.3">
      <c r="A464" s="8">
        <v>463</v>
      </c>
      <c r="B464" s="10" t="s">
        <v>2068</v>
      </c>
      <c r="C464" s="10" t="s">
        <v>2091</v>
      </c>
      <c r="D464" s="8">
        <v>181</v>
      </c>
      <c r="E464" s="3" t="s">
        <v>2092</v>
      </c>
      <c r="F464" s="11" t="s">
        <v>2093</v>
      </c>
      <c r="G464" s="10" t="s">
        <v>1228</v>
      </c>
      <c r="H464" s="13">
        <v>2</v>
      </c>
      <c r="I464" s="96">
        <v>99</v>
      </c>
      <c r="J464" s="62">
        <v>0</v>
      </c>
      <c r="K464" s="13" t="s">
        <v>1228</v>
      </c>
      <c r="L464" s="13">
        <v>0</v>
      </c>
      <c r="M464" s="13" t="s">
        <v>1239</v>
      </c>
      <c r="N464" s="13" t="s">
        <v>1521</v>
      </c>
      <c r="O464" s="10" t="s">
        <v>2094</v>
      </c>
      <c r="P464" s="8" t="s">
        <v>836</v>
      </c>
      <c r="Q464" s="14">
        <v>41512</v>
      </c>
      <c r="R464" s="3" t="s">
        <v>2095</v>
      </c>
    </row>
    <row r="465" spans="1:18" s="7" customFormat="1" ht="19.149999999999999" customHeight="1" x14ac:dyDescent="0.3">
      <c r="A465" s="24">
        <v>464</v>
      </c>
      <c r="B465" s="8" t="s">
        <v>2068</v>
      </c>
      <c r="C465" s="8" t="s">
        <v>2100</v>
      </c>
      <c r="D465" s="8">
        <v>183</v>
      </c>
      <c r="E465" s="19" t="s">
        <v>2101</v>
      </c>
      <c r="F465" s="19" t="s">
        <v>2102</v>
      </c>
      <c r="G465" s="8" t="s">
        <v>1228</v>
      </c>
      <c r="H465" s="13">
        <v>2</v>
      </c>
      <c r="I465" s="96">
        <v>98</v>
      </c>
      <c r="J465" s="62">
        <v>0</v>
      </c>
      <c r="K465" s="13" t="s">
        <v>1228</v>
      </c>
      <c r="L465" s="13">
        <v>0</v>
      </c>
      <c r="M465" s="13" t="s">
        <v>1239</v>
      </c>
      <c r="N465" s="13" t="s">
        <v>1521</v>
      </c>
      <c r="O465" s="10" t="s">
        <v>2103</v>
      </c>
      <c r="P465" s="24" t="s">
        <v>737</v>
      </c>
      <c r="Q465" s="45">
        <v>42212</v>
      </c>
      <c r="R465" s="30" t="s">
        <v>2104</v>
      </c>
    </row>
    <row r="466" spans="1:18" s="7" customFormat="1" ht="19.149999999999999" customHeight="1" x14ac:dyDescent="0.3">
      <c r="A466" s="8">
        <v>465</v>
      </c>
      <c r="B466" s="8" t="s">
        <v>2068</v>
      </c>
      <c r="C466" s="8" t="s">
        <v>2105</v>
      </c>
      <c r="D466" s="8">
        <v>184</v>
      </c>
      <c r="E466" s="16" t="s">
        <v>2106</v>
      </c>
      <c r="F466" s="19" t="s">
        <v>2107</v>
      </c>
      <c r="G466" s="8" t="s">
        <v>1228</v>
      </c>
      <c r="H466" s="13">
        <v>2</v>
      </c>
      <c r="I466" s="96">
        <v>98</v>
      </c>
      <c r="J466" s="62">
        <v>0</v>
      </c>
      <c r="K466" s="13" t="s">
        <v>1228</v>
      </c>
      <c r="L466" s="13">
        <v>0</v>
      </c>
      <c r="M466" s="13" t="s">
        <v>1239</v>
      </c>
      <c r="N466" s="13" t="s">
        <v>1521</v>
      </c>
      <c r="O466" s="8" t="s">
        <v>2108</v>
      </c>
      <c r="P466" s="8" t="s">
        <v>1184</v>
      </c>
      <c r="Q466" s="14">
        <v>41810</v>
      </c>
      <c r="R466" s="11"/>
    </row>
    <row r="467" spans="1:18" s="7" customFormat="1" ht="19.149999999999999" customHeight="1" x14ac:dyDescent="0.3">
      <c r="A467" s="24">
        <v>466</v>
      </c>
      <c r="B467" s="99" t="s">
        <v>105</v>
      </c>
      <c r="C467" s="99" t="s">
        <v>112</v>
      </c>
      <c r="D467" s="99">
        <v>185</v>
      </c>
      <c r="E467" s="56" t="s">
        <v>2736</v>
      </c>
      <c r="F467" s="56" t="s">
        <v>2737</v>
      </c>
      <c r="G467" s="99" t="s">
        <v>310</v>
      </c>
      <c r="H467" s="88">
        <v>2</v>
      </c>
      <c r="I467" s="102">
        <v>90</v>
      </c>
      <c r="J467" s="71">
        <v>0</v>
      </c>
      <c r="K467" s="88" t="s">
        <v>310</v>
      </c>
      <c r="L467" s="88">
        <v>0</v>
      </c>
      <c r="M467" s="88" t="s">
        <v>1239</v>
      </c>
      <c r="N467" s="88" t="s">
        <v>1521</v>
      </c>
      <c r="O467" s="99" t="s">
        <v>2738</v>
      </c>
      <c r="P467" s="138" t="s">
        <v>1666</v>
      </c>
      <c r="Q467" s="45">
        <v>40507</v>
      </c>
      <c r="R467" s="30" t="s">
        <v>3554</v>
      </c>
    </row>
    <row r="468" spans="1:18" s="7" customFormat="1" ht="19.149999999999999" customHeight="1" x14ac:dyDescent="0.3">
      <c r="A468" s="8">
        <v>467</v>
      </c>
      <c r="B468" s="8" t="s">
        <v>2052</v>
      </c>
      <c r="C468" s="8" t="s">
        <v>2109</v>
      </c>
      <c r="D468" s="8">
        <v>186</v>
      </c>
      <c r="E468" s="56" t="s">
        <v>2110</v>
      </c>
      <c r="F468" s="16" t="s">
        <v>2111</v>
      </c>
      <c r="G468" s="8" t="s">
        <v>1239</v>
      </c>
      <c r="H468" s="13">
        <v>2</v>
      </c>
      <c r="I468" s="96">
        <v>94</v>
      </c>
      <c r="J468" s="62">
        <v>0</v>
      </c>
      <c r="K468" s="13" t="s">
        <v>310</v>
      </c>
      <c r="L468" s="13">
        <v>0</v>
      </c>
      <c r="M468" s="13" t="s">
        <v>1239</v>
      </c>
      <c r="N468" s="13" t="s">
        <v>1521</v>
      </c>
      <c r="O468" s="8" t="s">
        <v>2112</v>
      </c>
      <c r="P468" s="100" t="s">
        <v>2113</v>
      </c>
      <c r="Q468" s="14">
        <v>44900</v>
      </c>
      <c r="R468" s="30" t="s">
        <v>2114</v>
      </c>
    </row>
    <row r="469" spans="1:18" s="7" customFormat="1" ht="19.149999999999999" customHeight="1" x14ac:dyDescent="0.3">
      <c r="A469" s="24">
        <v>468</v>
      </c>
      <c r="B469" s="8" t="s">
        <v>2068</v>
      </c>
      <c r="C469" s="8" t="s">
        <v>2115</v>
      </c>
      <c r="D469" s="8">
        <v>187</v>
      </c>
      <c r="E469" s="16" t="s">
        <v>2116</v>
      </c>
      <c r="F469" s="19" t="s">
        <v>2117</v>
      </c>
      <c r="G469" s="8" t="s">
        <v>1228</v>
      </c>
      <c r="H469" s="13">
        <v>2</v>
      </c>
      <c r="I469" s="96">
        <v>149</v>
      </c>
      <c r="J469" s="62">
        <v>0</v>
      </c>
      <c r="K469" s="13" t="s">
        <v>1228</v>
      </c>
      <c r="L469" s="13">
        <v>0</v>
      </c>
      <c r="M469" s="13" t="s">
        <v>1239</v>
      </c>
      <c r="N469" s="13" t="s">
        <v>1521</v>
      </c>
      <c r="O469" s="8" t="s">
        <v>2118</v>
      </c>
      <c r="P469" s="24" t="s">
        <v>1182</v>
      </c>
      <c r="Q469" s="14">
        <v>42334</v>
      </c>
      <c r="R469" s="11"/>
    </row>
    <row r="470" spans="1:18" s="7" customFormat="1" ht="19.149999999999999" customHeight="1" x14ac:dyDescent="0.3">
      <c r="A470" s="8">
        <v>469</v>
      </c>
      <c r="B470" s="10" t="s">
        <v>2119</v>
      </c>
      <c r="C470" s="10" t="s">
        <v>2120</v>
      </c>
      <c r="D470" s="8">
        <v>188</v>
      </c>
      <c r="E470" s="11" t="s">
        <v>2121</v>
      </c>
      <c r="F470" s="11" t="s">
        <v>2122</v>
      </c>
      <c r="G470" s="10" t="s">
        <v>1228</v>
      </c>
      <c r="H470" s="13">
        <v>2</v>
      </c>
      <c r="I470" s="193">
        <v>89</v>
      </c>
      <c r="J470" s="62">
        <v>0</v>
      </c>
      <c r="K470" s="13" t="s">
        <v>1228</v>
      </c>
      <c r="L470" s="13">
        <v>0</v>
      </c>
      <c r="M470" s="13" t="s">
        <v>1239</v>
      </c>
      <c r="N470" s="28" t="s">
        <v>1521</v>
      </c>
      <c r="O470" s="10" t="s">
        <v>2123</v>
      </c>
      <c r="P470" s="8" t="s">
        <v>2124</v>
      </c>
      <c r="Q470" s="14">
        <v>41810</v>
      </c>
      <c r="R470" s="3" t="s">
        <v>2125</v>
      </c>
    </row>
    <row r="471" spans="1:18" s="20" customFormat="1" ht="19.149999999999999" customHeight="1" x14ac:dyDescent="0.25">
      <c r="A471" s="24">
        <v>470</v>
      </c>
      <c r="B471" s="99" t="s">
        <v>2068</v>
      </c>
      <c r="C471" s="99" t="s">
        <v>2126</v>
      </c>
      <c r="D471" s="99">
        <v>189</v>
      </c>
      <c r="E471" s="56" t="s">
        <v>2127</v>
      </c>
      <c r="F471" s="30" t="s">
        <v>2128</v>
      </c>
      <c r="G471" s="99" t="s">
        <v>1228</v>
      </c>
      <c r="H471" s="88">
        <v>2</v>
      </c>
      <c r="I471" s="102">
        <v>98</v>
      </c>
      <c r="J471" s="71">
        <v>0</v>
      </c>
      <c r="K471" s="88" t="s">
        <v>1228</v>
      </c>
      <c r="L471" s="88">
        <v>0</v>
      </c>
      <c r="M471" s="88" t="s">
        <v>1239</v>
      </c>
      <c r="N471" s="88" t="s">
        <v>1521</v>
      </c>
      <c r="O471" s="99" t="s">
        <v>2129</v>
      </c>
      <c r="P471" s="100" t="s">
        <v>1666</v>
      </c>
      <c r="Q471" s="45">
        <v>44200</v>
      </c>
      <c r="R471" s="3" t="s">
        <v>2130</v>
      </c>
    </row>
    <row r="472" spans="1:18" s="20" customFormat="1" ht="19.149999999999999" customHeight="1" x14ac:dyDescent="0.25">
      <c r="A472" s="8">
        <v>471</v>
      </c>
      <c r="B472" s="8" t="s">
        <v>115</v>
      </c>
      <c r="C472" s="8" t="s">
        <v>116</v>
      </c>
      <c r="D472" s="8">
        <v>190</v>
      </c>
      <c r="E472" s="19" t="s">
        <v>2131</v>
      </c>
      <c r="F472" s="19" t="s">
        <v>741</v>
      </c>
      <c r="G472" s="8" t="s">
        <v>150</v>
      </c>
      <c r="H472" s="13">
        <v>5</v>
      </c>
      <c r="I472" s="96">
        <v>978</v>
      </c>
      <c r="J472" s="62">
        <v>0</v>
      </c>
      <c r="K472" s="13" t="s">
        <v>310</v>
      </c>
      <c r="L472" s="13">
        <v>0</v>
      </c>
      <c r="M472" s="13" t="s">
        <v>1239</v>
      </c>
      <c r="N472" s="13" t="s">
        <v>1221</v>
      </c>
      <c r="O472" s="10" t="s">
        <v>151</v>
      </c>
      <c r="P472" s="8" t="s">
        <v>152</v>
      </c>
      <c r="Q472" s="14">
        <v>38338</v>
      </c>
      <c r="R472" s="19"/>
    </row>
    <row r="473" spans="1:18" s="21" customFormat="1" ht="19.149999999999999" customHeight="1" x14ac:dyDescent="0.3">
      <c r="A473" s="24">
        <v>472</v>
      </c>
      <c r="B473" s="10" t="s">
        <v>115</v>
      </c>
      <c r="C473" s="10" t="s">
        <v>116</v>
      </c>
      <c r="D473" s="8">
        <v>190</v>
      </c>
      <c r="E473" s="11" t="s">
        <v>261</v>
      </c>
      <c r="F473" s="11" t="s">
        <v>743</v>
      </c>
      <c r="G473" s="10" t="s">
        <v>160</v>
      </c>
      <c r="H473" s="13">
        <v>7</v>
      </c>
      <c r="I473" s="193">
        <v>998</v>
      </c>
      <c r="J473" s="177">
        <v>7</v>
      </c>
      <c r="K473" s="174" t="s">
        <v>3466</v>
      </c>
      <c r="L473" s="13">
        <v>0</v>
      </c>
      <c r="M473" s="13" t="s">
        <v>1239</v>
      </c>
      <c r="N473" s="13" t="s">
        <v>1221</v>
      </c>
      <c r="O473" s="8" t="s">
        <v>157</v>
      </c>
      <c r="P473" s="8" t="s">
        <v>158</v>
      </c>
      <c r="Q473" s="14">
        <v>42598</v>
      </c>
      <c r="R473" s="3" t="s">
        <v>744</v>
      </c>
    </row>
    <row r="474" spans="1:18" s="21" customFormat="1" ht="19.149999999999999" customHeight="1" x14ac:dyDescent="0.3">
      <c r="A474" s="8">
        <v>473</v>
      </c>
      <c r="B474" s="8" t="s">
        <v>115</v>
      </c>
      <c r="C474" s="8" t="s">
        <v>116</v>
      </c>
      <c r="D474" s="8">
        <v>190</v>
      </c>
      <c r="E474" s="19" t="s">
        <v>2132</v>
      </c>
      <c r="F474" s="19" t="s">
        <v>742</v>
      </c>
      <c r="G474" s="8" t="s">
        <v>150</v>
      </c>
      <c r="H474" s="13">
        <v>8</v>
      </c>
      <c r="I474" s="96">
        <v>1300</v>
      </c>
      <c r="J474" s="62">
        <v>0</v>
      </c>
      <c r="K474" s="13" t="s">
        <v>310</v>
      </c>
      <c r="L474" s="13">
        <v>0</v>
      </c>
      <c r="M474" s="13" t="s">
        <v>1239</v>
      </c>
      <c r="N474" s="13" t="s">
        <v>1221</v>
      </c>
      <c r="O474" s="10" t="s">
        <v>151</v>
      </c>
      <c r="P474" s="8" t="s">
        <v>152</v>
      </c>
      <c r="Q474" s="14">
        <v>43308</v>
      </c>
      <c r="R474" s="30" t="s">
        <v>2133</v>
      </c>
    </row>
    <row r="475" spans="1:18" s="7" customFormat="1" ht="19.149999999999999" customHeight="1" x14ac:dyDescent="0.3">
      <c r="A475" s="24">
        <v>474</v>
      </c>
      <c r="B475" s="8" t="s">
        <v>115</v>
      </c>
      <c r="C475" s="8" t="s">
        <v>117</v>
      </c>
      <c r="D475" s="8">
        <v>191</v>
      </c>
      <c r="E475" s="16" t="s">
        <v>273</v>
      </c>
      <c r="F475" s="19" t="s">
        <v>751</v>
      </c>
      <c r="G475" s="8" t="s">
        <v>413</v>
      </c>
      <c r="H475" s="13">
        <v>8</v>
      </c>
      <c r="I475" s="96">
        <v>1138</v>
      </c>
      <c r="J475" s="62">
        <v>0</v>
      </c>
      <c r="K475" s="13" t="s">
        <v>310</v>
      </c>
      <c r="L475" s="13">
        <v>0</v>
      </c>
      <c r="M475" s="13" t="s">
        <v>1239</v>
      </c>
      <c r="N475" s="13" t="s">
        <v>1221</v>
      </c>
      <c r="O475" s="8" t="s">
        <v>157</v>
      </c>
      <c r="P475" s="8" t="s">
        <v>158</v>
      </c>
      <c r="Q475" s="14">
        <v>43089</v>
      </c>
      <c r="R475" s="19"/>
    </row>
    <row r="476" spans="1:18" s="7" customFormat="1" ht="19.149999999999999" customHeight="1" x14ac:dyDescent="0.3">
      <c r="A476" s="8">
        <v>475</v>
      </c>
      <c r="B476" s="8" t="s">
        <v>115</v>
      </c>
      <c r="C476" s="8" t="s">
        <v>117</v>
      </c>
      <c r="D476" s="8">
        <v>191</v>
      </c>
      <c r="E476" s="19" t="s">
        <v>2134</v>
      </c>
      <c r="F476" s="19" t="s">
        <v>750</v>
      </c>
      <c r="G476" s="8" t="s">
        <v>1264</v>
      </c>
      <c r="H476" s="13">
        <v>8</v>
      </c>
      <c r="I476" s="96">
        <v>872</v>
      </c>
      <c r="J476" s="62">
        <v>0</v>
      </c>
      <c r="K476" s="13" t="s">
        <v>310</v>
      </c>
      <c r="L476" s="13">
        <v>0</v>
      </c>
      <c r="M476" s="13" t="s">
        <v>1239</v>
      </c>
      <c r="N476" s="13" t="s">
        <v>1221</v>
      </c>
      <c r="O476" s="10" t="s">
        <v>151</v>
      </c>
      <c r="P476" s="8" t="s">
        <v>152</v>
      </c>
      <c r="Q476" s="14">
        <v>42046</v>
      </c>
      <c r="R476" s="19"/>
    </row>
    <row r="477" spans="1:18" s="7" customFormat="1" ht="19.149999999999999" customHeight="1" x14ac:dyDescent="0.3">
      <c r="A477" s="24">
        <v>476</v>
      </c>
      <c r="B477" s="8" t="s">
        <v>115</v>
      </c>
      <c r="C477" s="8" t="s">
        <v>118</v>
      </c>
      <c r="D477" s="8">
        <v>192</v>
      </c>
      <c r="E477" s="19" t="s">
        <v>2135</v>
      </c>
      <c r="F477" s="19" t="s">
        <v>745</v>
      </c>
      <c r="G477" s="8" t="s">
        <v>150</v>
      </c>
      <c r="H477" s="13">
        <v>8</v>
      </c>
      <c r="I477" s="96">
        <v>1188</v>
      </c>
      <c r="J477" s="62">
        <v>0</v>
      </c>
      <c r="K477" s="13" t="s">
        <v>310</v>
      </c>
      <c r="L477" s="13">
        <v>0</v>
      </c>
      <c r="M477" s="13" t="s">
        <v>1239</v>
      </c>
      <c r="N477" s="13" t="s">
        <v>1221</v>
      </c>
      <c r="O477" s="10" t="s">
        <v>151</v>
      </c>
      <c r="P477" s="8" t="s">
        <v>152</v>
      </c>
      <c r="Q477" s="14">
        <v>37974</v>
      </c>
      <c r="R477" s="19"/>
    </row>
    <row r="478" spans="1:18" s="7" customFormat="1" ht="19.149999999999999" customHeight="1" x14ac:dyDescent="0.3">
      <c r="A478" s="8">
        <v>477</v>
      </c>
      <c r="B478" s="8" t="s">
        <v>115</v>
      </c>
      <c r="C478" s="8" t="s">
        <v>118</v>
      </c>
      <c r="D478" s="8">
        <v>192</v>
      </c>
      <c r="E478" s="16" t="s">
        <v>270</v>
      </c>
      <c r="F478" s="19" t="s">
        <v>748</v>
      </c>
      <c r="G478" s="8" t="s">
        <v>160</v>
      </c>
      <c r="H478" s="13">
        <v>7</v>
      </c>
      <c r="I478" s="96">
        <v>920</v>
      </c>
      <c r="J478" s="62">
        <v>0</v>
      </c>
      <c r="K478" s="13" t="s">
        <v>310</v>
      </c>
      <c r="L478" s="13">
        <v>0</v>
      </c>
      <c r="M478" s="13" t="s">
        <v>1239</v>
      </c>
      <c r="N478" s="13" t="s">
        <v>1221</v>
      </c>
      <c r="O478" s="8" t="s">
        <v>157</v>
      </c>
      <c r="P478" s="8" t="s">
        <v>158</v>
      </c>
      <c r="Q478" s="14">
        <v>40658</v>
      </c>
      <c r="R478" s="94" t="s">
        <v>749</v>
      </c>
    </row>
    <row r="479" spans="1:18" s="7" customFormat="1" ht="19.149999999999999" customHeight="1" x14ac:dyDescent="0.3">
      <c r="A479" s="24">
        <v>478</v>
      </c>
      <c r="B479" s="8" t="s">
        <v>115</v>
      </c>
      <c r="C479" s="8" t="s">
        <v>118</v>
      </c>
      <c r="D479" s="8">
        <v>192</v>
      </c>
      <c r="E479" s="19" t="s">
        <v>2136</v>
      </c>
      <c r="F479" s="19" t="s">
        <v>746</v>
      </c>
      <c r="G479" s="8" t="s">
        <v>150</v>
      </c>
      <c r="H479" s="13">
        <v>9</v>
      </c>
      <c r="I479" s="96">
        <v>1449</v>
      </c>
      <c r="J479" s="62">
        <v>0</v>
      </c>
      <c r="K479" s="13" t="s">
        <v>310</v>
      </c>
      <c r="L479" s="13">
        <v>0</v>
      </c>
      <c r="M479" s="13" t="s">
        <v>1239</v>
      </c>
      <c r="N479" s="13" t="s">
        <v>1221</v>
      </c>
      <c r="O479" s="10" t="s">
        <v>151</v>
      </c>
      <c r="P479" s="8" t="s">
        <v>152</v>
      </c>
      <c r="Q479" s="14">
        <v>43098</v>
      </c>
      <c r="R479" s="30" t="s">
        <v>747</v>
      </c>
    </row>
    <row r="480" spans="1:18" s="7" customFormat="1" ht="19.149999999999999" customHeight="1" x14ac:dyDescent="0.3">
      <c r="A480" s="8">
        <v>479</v>
      </c>
      <c r="B480" s="8" t="s">
        <v>115</v>
      </c>
      <c r="C480" s="8" t="s">
        <v>119</v>
      </c>
      <c r="D480" s="8">
        <v>193</v>
      </c>
      <c r="E480" s="19" t="s">
        <v>2137</v>
      </c>
      <c r="F480" s="19" t="s">
        <v>740</v>
      </c>
      <c r="G480" s="8" t="s">
        <v>160</v>
      </c>
      <c r="H480" s="13">
        <v>6</v>
      </c>
      <c r="I480" s="193">
        <v>659</v>
      </c>
      <c r="J480" s="62">
        <v>0</v>
      </c>
      <c r="K480" s="13" t="s">
        <v>1239</v>
      </c>
      <c r="L480" s="13">
        <v>0</v>
      </c>
      <c r="M480" s="13" t="s">
        <v>1239</v>
      </c>
      <c r="N480" s="13" t="s">
        <v>1221</v>
      </c>
      <c r="O480" s="10" t="s">
        <v>151</v>
      </c>
      <c r="P480" s="8" t="s">
        <v>152</v>
      </c>
      <c r="Q480" s="14">
        <v>43006</v>
      </c>
      <c r="R480" s="19"/>
    </row>
    <row r="481" spans="1:18" s="21" customFormat="1" ht="19.149999999999999" customHeight="1" x14ac:dyDescent="0.3">
      <c r="A481" s="24">
        <v>480</v>
      </c>
      <c r="B481" s="8" t="s">
        <v>115</v>
      </c>
      <c r="C481" s="8" t="s">
        <v>120</v>
      </c>
      <c r="D481" s="8">
        <v>194</v>
      </c>
      <c r="E481" s="19" t="s">
        <v>2138</v>
      </c>
      <c r="F481" s="19" t="s">
        <v>739</v>
      </c>
      <c r="G481" s="8" t="s">
        <v>160</v>
      </c>
      <c r="H481" s="13">
        <v>7</v>
      </c>
      <c r="I481" s="96">
        <v>1204</v>
      </c>
      <c r="J481" s="62">
        <v>0</v>
      </c>
      <c r="K481" s="13" t="s">
        <v>310</v>
      </c>
      <c r="L481" s="13">
        <v>0</v>
      </c>
      <c r="M481" s="13" t="s">
        <v>1239</v>
      </c>
      <c r="N481" s="13" t="s">
        <v>1221</v>
      </c>
      <c r="O481" s="10" t="s">
        <v>151</v>
      </c>
      <c r="P481" s="8" t="s">
        <v>152</v>
      </c>
      <c r="Q481" s="14">
        <v>42759</v>
      </c>
      <c r="R481" s="19"/>
    </row>
    <row r="482" spans="1:18" s="21" customFormat="1" ht="19.149999999999999" customHeight="1" x14ac:dyDescent="0.3">
      <c r="A482" s="8">
        <v>481</v>
      </c>
      <c r="B482" s="8" t="s">
        <v>115</v>
      </c>
      <c r="C482" s="8" t="s">
        <v>120</v>
      </c>
      <c r="D482" s="8">
        <v>194</v>
      </c>
      <c r="E482" s="19" t="s">
        <v>2139</v>
      </c>
      <c r="F482" s="19" t="s">
        <v>738</v>
      </c>
      <c r="G482" s="8" t="s">
        <v>150</v>
      </c>
      <c r="H482" s="13">
        <v>4</v>
      </c>
      <c r="I482" s="96">
        <v>670</v>
      </c>
      <c r="J482" s="62">
        <v>0</v>
      </c>
      <c r="K482" s="13" t="s">
        <v>310</v>
      </c>
      <c r="L482" s="13">
        <v>0</v>
      </c>
      <c r="M482" s="13" t="s">
        <v>1239</v>
      </c>
      <c r="N482" s="13" t="s">
        <v>1221</v>
      </c>
      <c r="O482" s="10" t="s">
        <v>151</v>
      </c>
      <c r="P482" s="8" t="s">
        <v>152</v>
      </c>
      <c r="Q482" s="14">
        <v>42853</v>
      </c>
      <c r="R482" s="19"/>
    </row>
    <row r="483" spans="1:18" s="21" customFormat="1" ht="19.149999999999999" customHeight="1" x14ac:dyDescent="0.3">
      <c r="A483" s="24">
        <v>482</v>
      </c>
      <c r="B483" s="99" t="s">
        <v>2140</v>
      </c>
      <c r="C483" s="99" t="s">
        <v>2141</v>
      </c>
      <c r="D483" s="99">
        <v>195</v>
      </c>
      <c r="E483" s="56" t="s">
        <v>2142</v>
      </c>
      <c r="F483" s="56" t="s">
        <v>2143</v>
      </c>
      <c r="G483" s="99" t="s">
        <v>1228</v>
      </c>
      <c r="H483" s="88">
        <v>2</v>
      </c>
      <c r="I483" s="102">
        <v>99</v>
      </c>
      <c r="J483" s="71">
        <v>0</v>
      </c>
      <c r="K483" s="88" t="s">
        <v>1228</v>
      </c>
      <c r="L483" s="88">
        <v>0</v>
      </c>
      <c r="M483" s="88" t="s">
        <v>1239</v>
      </c>
      <c r="N483" s="88" t="s">
        <v>1521</v>
      </c>
      <c r="O483" s="99" t="s">
        <v>2144</v>
      </c>
      <c r="P483" s="100" t="s">
        <v>1666</v>
      </c>
      <c r="Q483" s="45">
        <v>44428</v>
      </c>
      <c r="R483" s="56"/>
    </row>
    <row r="484" spans="1:18" s="21" customFormat="1" ht="19.149999999999999" customHeight="1" x14ac:dyDescent="0.3">
      <c r="A484" s="8">
        <v>483</v>
      </c>
      <c r="B484" s="99" t="s">
        <v>2145</v>
      </c>
      <c r="C484" s="99" t="s">
        <v>2146</v>
      </c>
      <c r="D484" s="99">
        <v>196</v>
      </c>
      <c r="E484" s="56" t="s">
        <v>2147</v>
      </c>
      <c r="F484" s="56" t="s">
        <v>2148</v>
      </c>
      <c r="G484" s="99" t="s">
        <v>1228</v>
      </c>
      <c r="H484" s="88">
        <v>2</v>
      </c>
      <c r="I484" s="102">
        <v>95</v>
      </c>
      <c r="J484" s="71">
        <v>0</v>
      </c>
      <c r="K484" s="88" t="s">
        <v>1228</v>
      </c>
      <c r="L484" s="88">
        <v>0</v>
      </c>
      <c r="M484" s="88" t="s">
        <v>1239</v>
      </c>
      <c r="N484" s="88" t="s">
        <v>1521</v>
      </c>
      <c r="O484" s="99" t="s">
        <v>2149</v>
      </c>
      <c r="P484" s="100" t="s">
        <v>1666</v>
      </c>
      <c r="Q484" s="45">
        <v>44253</v>
      </c>
      <c r="R484" s="56" t="s">
        <v>2150</v>
      </c>
    </row>
    <row r="485" spans="1:18" s="15" customFormat="1" ht="19.149999999999999" customHeight="1" x14ac:dyDescent="0.3">
      <c r="A485" s="24">
        <v>484</v>
      </c>
      <c r="B485" s="10" t="s">
        <v>2145</v>
      </c>
      <c r="C485" s="10" t="s">
        <v>2151</v>
      </c>
      <c r="D485" s="8">
        <v>197</v>
      </c>
      <c r="E485" s="11" t="s">
        <v>2152</v>
      </c>
      <c r="F485" s="11" t="s">
        <v>2153</v>
      </c>
      <c r="G485" s="10" t="s">
        <v>1228</v>
      </c>
      <c r="H485" s="13">
        <v>2</v>
      </c>
      <c r="I485" s="96">
        <v>140</v>
      </c>
      <c r="J485" s="62">
        <v>0</v>
      </c>
      <c r="K485" s="13" t="s">
        <v>1228</v>
      </c>
      <c r="L485" s="13">
        <v>0</v>
      </c>
      <c r="M485" s="13" t="s">
        <v>1239</v>
      </c>
      <c r="N485" s="13" t="s">
        <v>1221</v>
      </c>
      <c r="O485" s="10" t="s">
        <v>2154</v>
      </c>
      <c r="P485" s="8" t="s">
        <v>835</v>
      </c>
      <c r="Q485" s="14">
        <v>41752</v>
      </c>
      <c r="R485" s="11"/>
    </row>
    <row r="486" spans="1:18" s="7" customFormat="1" ht="19.149999999999999" customHeight="1" x14ac:dyDescent="0.3">
      <c r="A486" s="8">
        <v>485</v>
      </c>
      <c r="B486" s="23" t="s">
        <v>2145</v>
      </c>
      <c r="C486" s="23" t="s">
        <v>2155</v>
      </c>
      <c r="D486" s="23">
        <v>198</v>
      </c>
      <c r="E486" s="56" t="s">
        <v>2156</v>
      </c>
      <c r="F486" s="27" t="s">
        <v>2157</v>
      </c>
      <c r="G486" s="23" t="s">
        <v>1228</v>
      </c>
      <c r="H486" s="28">
        <v>2</v>
      </c>
      <c r="I486" s="108">
        <v>141</v>
      </c>
      <c r="J486" s="73">
        <v>0</v>
      </c>
      <c r="K486" s="28" t="s">
        <v>1228</v>
      </c>
      <c r="L486" s="13">
        <v>0</v>
      </c>
      <c r="M486" s="13" t="s">
        <v>1239</v>
      </c>
      <c r="N486" s="13" t="s">
        <v>1521</v>
      </c>
      <c r="O486" s="23" t="s">
        <v>2158</v>
      </c>
      <c r="P486" s="23" t="s">
        <v>2159</v>
      </c>
      <c r="Q486" s="29">
        <v>42422</v>
      </c>
      <c r="R486" s="56" t="s">
        <v>2160</v>
      </c>
    </row>
    <row r="487" spans="1:18" s="7" customFormat="1" ht="19.149999999999999" customHeight="1" x14ac:dyDescent="0.3">
      <c r="A487" s="24">
        <v>486</v>
      </c>
      <c r="B487" s="8" t="s">
        <v>2140</v>
      </c>
      <c r="C487" s="8" t="s">
        <v>2161</v>
      </c>
      <c r="D487" s="8">
        <v>199</v>
      </c>
      <c r="E487" s="56" t="s">
        <v>2162</v>
      </c>
      <c r="F487" s="16" t="s">
        <v>2163</v>
      </c>
      <c r="G487" s="8" t="s">
        <v>1239</v>
      </c>
      <c r="H487" s="13">
        <v>2</v>
      </c>
      <c r="I487" s="96">
        <v>92</v>
      </c>
      <c r="J487" s="62">
        <v>0</v>
      </c>
      <c r="K487" s="13" t="s">
        <v>1239</v>
      </c>
      <c r="L487" s="13">
        <v>0</v>
      </c>
      <c r="M487" s="13" t="s">
        <v>1239</v>
      </c>
      <c r="N487" s="13" t="s">
        <v>1521</v>
      </c>
      <c r="O487" s="8" t="s">
        <v>292</v>
      </c>
      <c r="P487" s="8" t="s">
        <v>293</v>
      </c>
      <c r="Q487" s="14">
        <v>43560</v>
      </c>
      <c r="R487" s="30" t="s">
        <v>2164</v>
      </c>
    </row>
    <row r="488" spans="1:18" s="21" customFormat="1" ht="19.149999999999999" customHeight="1" x14ac:dyDescent="0.3">
      <c r="A488" s="8">
        <v>487</v>
      </c>
      <c r="B488" s="8" t="s">
        <v>2145</v>
      </c>
      <c r="C488" s="8" t="s">
        <v>2165</v>
      </c>
      <c r="D488" s="8">
        <v>200</v>
      </c>
      <c r="E488" s="30" t="s">
        <v>2166</v>
      </c>
      <c r="F488" s="19" t="s">
        <v>2167</v>
      </c>
      <c r="G488" s="8" t="s">
        <v>1228</v>
      </c>
      <c r="H488" s="13">
        <v>2</v>
      </c>
      <c r="I488" s="96">
        <v>124</v>
      </c>
      <c r="J488" s="62">
        <v>0</v>
      </c>
      <c r="K488" s="13" t="s">
        <v>1228</v>
      </c>
      <c r="L488" s="13">
        <v>0</v>
      </c>
      <c r="M488" s="13" t="s">
        <v>1239</v>
      </c>
      <c r="N488" s="13" t="s">
        <v>1521</v>
      </c>
      <c r="O488" s="8" t="s">
        <v>2168</v>
      </c>
      <c r="P488" s="100" t="s">
        <v>1666</v>
      </c>
      <c r="Q488" s="14">
        <v>43143</v>
      </c>
      <c r="R488" s="30" t="s">
        <v>2169</v>
      </c>
    </row>
    <row r="489" spans="1:18" s="21" customFormat="1" ht="19.149999999999999" customHeight="1" x14ac:dyDescent="0.3">
      <c r="A489" s="24">
        <v>488</v>
      </c>
      <c r="B489" s="10" t="s">
        <v>2145</v>
      </c>
      <c r="C489" s="10" t="s">
        <v>2170</v>
      </c>
      <c r="D489" s="8">
        <v>201</v>
      </c>
      <c r="E489" s="3" t="s">
        <v>2171</v>
      </c>
      <c r="F489" s="9" t="s">
        <v>2172</v>
      </c>
      <c r="G489" s="10" t="s">
        <v>1228</v>
      </c>
      <c r="H489" s="13">
        <v>2</v>
      </c>
      <c r="I489" s="96">
        <v>99</v>
      </c>
      <c r="J489" s="62">
        <v>0</v>
      </c>
      <c r="K489" s="13" t="s">
        <v>1228</v>
      </c>
      <c r="L489" s="13">
        <v>0</v>
      </c>
      <c r="M489" s="13" t="s">
        <v>1239</v>
      </c>
      <c r="N489" s="13" t="s">
        <v>1521</v>
      </c>
      <c r="O489" s="8" t="s">
        <v>2173</v>
      </c>
      <c r="P489" s="24" t="s">
        <v>752</v>
      </c>
      <c r="Q489" s="14">
        <v>42296</v>
      </c>
      <c r="R489" s="3" t="s">
        <v>2174</v>
      </c>
    </row>
    <row r="490" spans="1:18" s="21" customFormat="1" ht="19.149999999999999" customHeight="1" x14ac:dyDescent="0.3">
      <c r="A490" s="8">
        <v>489</v>
      </c>
      <c r="B490" s="8" t="s">
        <v>2140</v>
      </c>
      <c r="C490" s="8" t="s">
        <v>2175</v>
      </c>
      <c r="D490" s="8">
        <v>203</v>
      </c>
      <c r="E490" s="30" t="s">
        <v>2176</v>
      </c>
      <c r="F490" s="19" t="s">
        <v>2177</v>
      </c>
      <c r="G490" s="8" t="s">
        <v>1239</v>
      </c>
      <c r="H490" s="13">
        <v>2</v>
      </c>
      <c r="I490" s="96">
        <v>136</v>
      </c>
      <c r="J490" s="62">
        <v>0</v>
      </c>
      <c r="K490" s="13" t="s">
        <v>1228</v>
      </c>
      <c r="L490" s="13">
        <v>0</v>
      </c>
      <c r="M490" s="13" t="s">
        <v>1239</v>
      </c>
      <c r="N490" s="13" t="s">
        <v>1521</v>
      </c>
      <c r="O490" s="8" t="s">
        <v>2178</v>
      </c>
      <c r="P490" s="8" t="s">
        <v>2179</v>
      </c>
      <c r="Q490" s="14">
        <v>44390</v>
      </c>
      <c r="R490" s="30"/>
    </row>
    <row r="491" spans="1:18" s="7" customFormat="1" ht="19.149999999999999" customHeight="1" x14ac:dyDescent="0.3">
      <c r="A491" s="24">
        <v>490</v>
      </c>
      <c r="B491" s="8" t="s">
        <v>2140</v>
      </c>
      <c r="C491" s="8" t="s">
        <v>2180</v>
      </c>
      <c r="D491" s="8">
        <v>204</v>
      </c>
      <c r="E491" s="30" t="s">
        <v>2181</v>
      </c>
      <c r="F491" s="19" t="s">
        <v>2182</v>
      </c>
      <c r="G491" s="8" t="s">
        <v>1239</v>
      </c>
      <c r="H491" s="13">
        <v>2</v>
      </c>
      <c r="I491" s="96">
        <v>93</v>
      </c>
      <c r="J491" s="62">
        <v>0</v>
      </c>
      <c r="K491" s="13" t="s">
        <v>1228</v>
      </c>
      <c r="L491" s="13">
        <v>0</v>
      </c>
      <c r="M491" s="13" t="s">
        <v>1239</v>
      </c>
      <c r="N491" s="13" t="s">
        <v>1521</v>
      </c>
      <c r="O491" s="8" t="s">
        <v>2183</v>
      </c>
      <c r="P491" s="8" t="s">
        <v>2184</v>
      </c>
      <c r="Q491" s="14">
        <v>44916</v>
      </c>
      <c r="R491" s="30"/>
    </row>
    <row r="492" spans="1:18" s="7" customFormat="1" ht="19.149999999999999" customHeight="1" x14ac:dyDescent="0.3">
      <c r="A492" s="8">
        <v>491</v>
      </c>
      <c r="B492" s="8" t="s">
        <v>2140</v>
      </c>
      <c r="C492" s="8" t="s">
        <v>2185</v>
      </c>
      <c r="D492" s="8">
        <v>207</v>
      </c>
      <c r="E492" s="56" t="s">
        <v>2186</v>
      </c>
      <c r="F492" s="16" t="s">
        <v>2187</v>
      </c>
      <c r="G492" s="8" t="s">
        <v>1239</v>
      </c>
      <c r="H492" s="13">
        <v>2</v>
      </c>
      <c r="I492" s="96">
        <v>109</v>
      </c>
      <c r="J492" s="62">
        <v>0</v>
      </c>
      <c r="K492" s="13" t="s">
        <v>1239</v>
      </c>
      <c r="L492" s="13">
        <v>0</v>
      </c>
      <c r="M492" s="13" t="s">
        <v>1239</v>
      </c>
      <c r="N492" s="13" t="s">
        <v>1521</v>
      </c>
      <c r="O492" s="8" t="s">
        <v>2188</v>
      </c>
      <c r="P492" s="8" t="s">
        <v>2189</v>
      </c>
      <c r="Q492" s="14">
        <v>44259</v>
      </c>
      <c r="R492" s="30"/>
    </row>
    <row r="493" spans="1:18" s="7" customFormat="1" ht="19.149999999999999" customHeight="1" x14ac:dyDescent="0.3">
      <c r="A493" s="24">
        <v>492</v>
      </c>
      <c r="B493" s="8" t="s">
        <v>2145</v>
      </c>
      <c r="C493" s="8" t="s">
        <v>2190</v>
      </c>
      <c r="D493" s="8">
        <v>209</v>
      </c>
      <c r="E493" s="30" t="s">
        <v>2191</v>
      </c>
      <c r="F493" s="19" t="s">
        <v>2192</v>
      </c>
      <c r="G493" s="8" t="s">
        <v>1228</v>
      </c>
      <c r="H493" s="13">
        <v>2</v>
      </c>
      <c r="I493" s="96">
        <v>98</v>
      </c>
      <c r="J493" s="62">
        <v>0</v>
      </c>
      <c r="K493" s="13" t="s">
        <v>1228</v>
      </c>
      <c r="L493" s="13">
        <v>0</v>
      </c>
      <c r="M493" s="13" t="s">
        <v>1239</v>
      </c>
      <c r="N493" s="13" t="s">
        <v>1521</v>
      </c>
      <c r="O493" s="8" t="s">
        <v>2193</v>
      </c>
      <c r="P493" s="8" t="s">
        <v>2194</v>
      </c>
      <c r="Q493" s="14">
        <v>43004</v>
      </c>
      <c r="R493" s="30" t="s">
        <v>2195</v>
      </c>
    </row>
    <row r="494" spans="1:18" s="7" customFormat="1" ht="19.149999999999999" customHeight="1" x14ac:dyDescent="0.3">
      <c r="A494" s="8">
        <v>493</v>
      </c>
      <c r="B494" s="10" t="s">
        <v>2145</v>
      </c>
      <c r="C494" s="10" t="s">
        <v>2196</v>
      </c>
      <c r="D494" s="8">
        <v>210</v>
      </c>
      <c r="E494" s="11" t="s">
        <v>2197</v>
      </c>
      <c r="F494" s="9" t="s">
        <v>2198</v>
      </c>
      <c r="G494" s="10" t="s">
        <v>1228</v>
      </c>
      <c r="H494" s="13">
        <v>2</v>
      </c>
      <c r="I494" s="96">
        <v>98</v>
      </c>
      <c r="J494" s="62">
        <v>0</v>
      </c>
      <c r="K494" s="13" t="s">
        <v>1228</v>
      </c>
      <c r="L494" s="13">
        <v>0</v>
      </c>
      <c r="M494" s="13" t="s">
        <v>1239</v>
      </c>
      <c r="N494" s="13" t="s">
        <v>1521</v>
      </c>
      <c r="O494" s="8" t="s">
        <v>2199</v>
      </c>
      <c r="P494" s="8" t="s">
        <v>2200</v>
      </c>
      <c r="Q494" s="14">
        <v>42936</v>
      </c>
      <c r="R494" s="3" t="s">
        <v>2201</v>
      </c>
    </row>
    <row r="495" spans="1:18" s="7" customFormat="1" ht="19.149999999999999" customHeight="1" x14ac:dyDescent="0.3">
      <c r="A495" s="24">
        <v>494</v>
      </c>
      <c r="B495" s="10" t="s">
        <v>123</v>
      </c>
      <c r="C495" s="10" t="s">
        <v>124</v>
      </c>
      <c r="D495" s="8">
        <v>212</v>
      </c>
      <c r="E495" s="11" t="s">
        <v>257</v>
      </c>
      <c r="F495" s="11" t="s">
        <v>779</v>
      </c>
      <c r="G495" s="10" t="s">
        <v>150</v>
      </c>
      <c r="H495" s="13">
        <v>6</v>
      </c>
      <c r="I495" s="96">
        <v>663</v>
      </c>
      <c r="J495" s="62">
        <v>0</v>
      </c>
      <c r="K495" s="13" t="s">
        <v>310</v>
      </c>
      <c r="L495" s="13">
        <v>0</v>
      </c>
      <c r="M495" s="13" t="s">
        <v>1239</v>
      </c>
      <c r="N495" s="13" t="s">
        <v>1221</v>
      </c>
      <c r="O495" s="8" t="s">
        <v>157</v>
      </c>
      <c r="P495" s="8" t="s">
        <v>158</v>
      </c>
      <c r="Q495" s="14">
        <v>43004</v>
      </c>
      <c r="R495" s="11"/>
    </row>
    <row r="496" spans="1:18" s="7" customFormat="1" ht="19.149999999999999" customHeight="1" x14ac:dyDescent="0.3">
      <c r="A496" s="8">
        <v>495</v>
      </c>
      <c r="B496" s="10" t="s">
        <v>123</v>
      </c>
      <c r="C496" s="10" t="s">
        <v>124</v>
      </c>
      <c r="D496" s="8">
        <v>212</v>
      </c>
      <c r="E496" s="11" t="s">
        <v>2202</v>
      </c>
      <c r="F496" s="11" t="s">
        <v>2203</v>
      </c>
      <c r="G496" s="10" t="s">
        <v>1264</v>
      </c>
      <c r="H496" s="13">
        <v>7</v>
      </c>
      <c r="I496" s="96">
        <v>868</v>
      </c>
      <c r="J496" s="62">
        <v>7</v>
      </c>
      <c r="K496" s="174" t="s">
        <v>3204</v>
      </c>
      <c r="L496" s="13">
        <v>0</v>
      </c>
      <c r="M496" s="13" t="s">
        <v>1239</v>
      </c>
      <c r="N496" s="13" t="s">
        <v>1221</v>
      </c>
      <c r="O496" s="8" t="s">
        <v>157</v>
      </c>
      <c r="P496" s="8" t="s">
        <v>158</v>
      </c>
      <c r="Q496" s="14">
        <v>44905</v>
      </c>
      <c r="R496" s="11"/>
    </row>
    <row r="497" spans="1:18" s="7" customFormat="1" ht="19.149999999999999" customHeight="1" x14ac:dyDescent="0.3">
      <c r="A497" s="24">
        <v>496</v>
      </c>
      <c r="B497" s="10" t="s">
        <v>2204</v>
      </c>
      <c r="C497" s="10" t="s">
        <v>2205</v>
      </c>
      <c r="D497" s="8">
        <v>212</v>
      </c>
      <c r="E497" s="3" t="s">
        <v>2206</v>
      </c>
      <c r="F497" s="11" t="s">
        <v>2207</v>
      </c>
      <c r="G497" s="10" t="s">
        <v>1228</v>
      </c>
      <c r="H497" s="13">
        <v>1</v>
      </c>
      <c r="I497" s="96">
        <v>262</v>
      </c>
      <c r="J497" s="62">
        <v>0</v>
      </c>
      <c r="K497" s="13" t="s">
        <v>1228</v>
      </c>
      <c r="L497" s="13">
        <v>1</v>
      </c>
      <c r="M497" s="13" t="s">
        <v>1234</v>
      </c>
      <c r="N497" s="13" t="s">
        <v>1221</v>
      </c>
      <c r="O497" s="8" t="s">
        <v>2208</v>
      </c>
      <c r="P497" s="8" t="s">
        <v>829</v>
      </c>
      <c r="Q497" s="14">
        <v>42788</v>
      </c>
      <c r="R497" s="3" t="s">
        <v>2209</v>
      </c>
    </row>
    <row r="498" spans="1:18" s="39" customFormat="1" ht="19.149999999999999" customHeight="1" x14ac:dyDescent="0.3">
      <c r="A498" s="8">
        <v>497</v>
      </c>
      <c r="B498" s="8" t="s">
        <v>123</v>
      </c>
      <c r="C498" s="8" t="s">
        <v>124</v>
      </c>
      <c r="D498" s="8">
        <v>212</v>
      </c>
      <c r="E498" s="19" t="s">
        <v>2210</v>
      </c>
      <c r="F498" s="19" t="s">
        <v>777</v>
      </c>
      <c r="G498" s="8" t="s">
        <v>160</v>
      </c>
      <c r="H498" s="13">
        <v>8</v>
      </c>
      <c r="I498" s="500">
        <v>822</v>
      </c>
      <c r="J498" s="62">
        <v>0</v>
      </c>
      <c r="K498" s="13" t="s">
        <v>310</v>
      </c>
      <c r="L498" s="13">
        <v>0</v>
      </c>
      <c r="M498" s="13" t="s">
        <v>1239</v>
      </c>
      <c r="N498" s="13" t="s">
        <v>1221</v>
      </c>
      <c r="O498" s="10" t="s">
        <v>151</v>
      </c>
      <c r="P498" s="8" t="s">
        <v>152</v>
      </c>
      <c r="Q498" s="14">
        <v>38963</v>
      </c>
      <c r="R498" s="19"/>
    </row>
    <row r="499" spans="1:18" s="7" customFormat="1" ht="19.149999999999999" customHeight="1" x14ac:dyDescent="0.3">
      <c r="A499" s="24">
        <v>498</v>
      </c>
      <c r="B499" s="8" t="s">
        <v>123</v>
      </c>
      <c r="C499" s="8" t="s">
        <v>124</v>
      </c>
      <c r="D499" s="8">
        <v>212</v>
      </c>
      <c r="E499" s="16" t="s">
        <v>250</v>
      </c>
      <c r="F499" s="16" t="s">
        <v>778</v>
      </c>
      <c r="G499" s="8" t="s">
        <v>1278</v>
      </c>
      <c r="H499" s="13">
        <v>8</v>
      </c>
      <c r="I499" s="96">
        <v>712</v>
      </c>
      <c r="J499" s="62">
        <v>8</v>
      </c>
      <c r="K499" s="13" t="s">
        <v>1696</v>
      </c>
      <c r="L499" s="13">
        <v>0</v>
      </c>
      <c r="M499" s="13" t="s">
        <v>1239</v>
      </c>
      <c r="N499" s="13" t="s">
        <v>1221</v>
      </c>
      <c r="O499" s="23" t="s">
        <v>155</v>
      </c>
      <c r="P499" s="8" t="s">
        <v>156</v>
      </c>
      <c r="Q499" s="14">
        <v>38090</v>
      </c>
      <c r="R499" s="19" t="s">
        <v>2211</v>
      </c>
    </row>
    <row r="500" spans="1:18" s="7" customFormat="1" ht="19.149999999999999" customHeight="1" x14ac:dyDescent="0.3">
      <c r="A500" s="8">
        <v>499</v>
      </c>
      <c r="B500" s="10" t="s">
        <v>123</v>
      </c>
      <c r="C500" s="10" t="s">
        <v>125</v>
      </c>
      <c r="D500" s="8">
        <v>215</v>
      </c>
      <c r="E500" s="11" t="s">
        <v>205</v>
      </c>
      <c r="F500" s="9" t="s">
        <v>755</v>
      </c>
      <c r="G500" s="10" t="s">
        <v>413</v>
      </c>
      <c r="H500" s="13">
        <v>2</v>
      </c>
      <c r="I500" s="96">
        <v>279</v>
      </c>
      <c r="J500" s="62">
        <v>0</v>
      </c>
      <c r="K500" s="13" t="s">
        <v>310</v>
      </c>
      <c r="L500" s="13">
        <v>0</v>
      </c>
      <c r="M500" s="13" t="s">
        <v>1239</v>
      </c>
      <c r="N500" s="13" t="s">
        <v>1221</v>
      </c>
      <c r="O500" s="23" t="s">
        <v>155</v>
      </c>
      <c r="P500" s="8" t="s">
        <v>156</v>
      </c>
      <c r="Q500" s="14">
        <v>40909</v>
      </c>
      <c r="R500" s="11"/>
    </row>
    <row r="501" spans="1:18" s="7" customFormat="1" ht="19.149999999999999" customHeight="1" x14ac:dyDescent="0.3">
      <c r="A501" s="24">
        <v>500</v>
      </c>
      <c r="B501" s="8" t="s">
        <v>123</v>
      </c>
      <c r="C501" s="8" t="s">
        <v>125</v>
      </c>
      <c r="D501" s="8">
        <v>215</v>
      </c>
      <c r="E501" s="16" t="s">
        <v>756</v>
      </c>
      <c r="F501" s="16" t="s">
        <v>757</v>
      </c>
      <c r="G501" s="8" t="s">
        <v>150</v>
      </c>
      <c r="H501" s="13">
        <v>6</v>
      </c>
      <c r="I501" s="193">
        <v>630</v>
      </c>
      <c r="J501" s="62">
        <v>2</v>
      </c>
      <c r="K501" s="13" t="s">
        <v>3553</v>
      </c>
      <c r="L501" s="13">
        <v>0</v>
      </c>
      <c r="M501" s="13" t="s">
        <v>1239</v>
      </c>
      <c r="N501" s="13" t="s">
        <v>1221</v>
      </c>
      <c r="O501" s="8" t="s">
        <v>185</v>
      </c>
      <c r="P501" s="24" t="s">
        <v>186</v>
      </c>
      <c r="Q501" s="14">
        <v>42971</v>
      </c>
      <c r="R501" s="19"/>
    </row>
    <row r="502" spans="1:18" s="7" customFormat="1" ht="19.149999999999999" customHeight="1" x14ac:dyDescent="0.3">
      <c r="A502" s="8">
        <v>501</v>
      </c>
      <c r="B502" s="10" t="s">
        <v>2212</v>
      </c>
      <c r="C502" s="8" t="s">
        <v>2213</v>
      </c>
      <c r="D502" s="8">
        <v>215</v>
      </c>
      <c r="E502" s="16" t="s">
        <v>2214</v>
      </c>
      <c r="F502" s="16" t="s">
        <v>2215</v>
      </c>
      <c r="G502" s="8" t="s">
        <v>1278</v>
      </c>
      <c r="H502" s="13">
        <v>3</v>
      </c>
      <c r="I502" s="96">
        <v>359</v>
      </c>
      <c r="J502" s="62">
        <v>1</v>
      </c>
      <c r="K502" s="13" t="s">
        <v>2216</v>
      </c>
      <c r="L502" s="13">
        <v>0</v>
      </c>
      <c r="M502" s="13" t="s">
        <v>1239</v>
      </c>
      <c r="N502" s="13" t="s">
        <v>1221</v>
      </c>
      <c r="O502" s="8" t="s">
        <v>157</v>
      </c>
      <c r="P502" s="8" t="s">
        <v>158</v>
      </c>
      <c r="Q502" s="14">
        <v>44905</v>
      </c>
      <c r="R502" s="16" t="s">
        <v>2217</v>
      </c>
    </row>
    <row r="503" spans="1:18" s="7" customFormat="1" ht="19.149999999999999" customHeight="1" x14ac:dyDescent="0.3">
      <c r="A503" s="24">
        <v>502</v>
      </c>
      <c r="B503" s="24" t="s">
        <v>2212</v>
      </c>
      <c r="C503" s="24" t="s">
        <v>2213</v>
      </c>
      <c r="D503" s="24">
        <v>215</v>
      </c>
      <c r="E503" s="44" t="s">
        <v>2218</v>
      </c>
      <c r="F503" s="44" t="s">
        <v>2219</v>
      </c>
      <c r="G503" s="24" t="s">
        <v>1278</v>
      </c>
      <c r="H503" s="13">
        <v>6</v>
      </c>
      <c r="I503" s="13">
        <v>848</v>
      </c>
      <c r="J503" s="62">
        <v>4</v>
      </c>
      <c r="K503" s="13" t="s">
        <v>1832</v>
      </c>
      <c r="L503" s="13">
        <v>0</v>
      </c>
      <c r="M503" s="13" t="s">
        <v>1239</v>
      </c>
      <c r="N503" s="13" t="s">
        <v>1221</v>
      </c>
      <c r="O503" s="8" t="s">
        <v>155</v>
      </c>
      <c r="P503" s="8" t="s">
        <v>156</v>
      </c>
      <c r="Q503" s="14">
        <v>44414</v>
      </c>
      <c r="R503" s="24"/>
    </row>
    <row r="504" spans="1:18" s="7" customFormat="1" ht="19.149999999999999" customHeight="1" x14ac:dyDescent="0.3">
      <c r="A504" s="8">
        <v>503</v>
      </c>
      <c r="B504" s="8" t="s">
        <v>123</v>
      </c>
      <c r="C504" s="8" t="s">
        <v>126</v>
      </c>
      <c r="D504" s="8">
        <v>216</v>
      </c>
      <c r="E504" s="16" t="s">
        <v>767</v>
      </c>
      <c r="F504" s="16" t="s">
        <v>768</v>
      </c>
      <c r="G504" s="8" t="s">
        <v>160</v>
      </c>
      <c r="H504" s="13">
        <v>4</v>
      </c>
      <c r="I504" s="96">
        <v>642</v>
      </c>
      <c r="J504" s="62">
        <v>0</v>
      </c>
      <c r="K504" s="13" t="s">
        <v>310</v>
      </c>
      <c r="L504" s="13">
        <v>0</v>
      </c>
      <c r="M504" s="13" t="s">
        <v>1239</v>
      </c>
      <c r="N504" s="13" t="s">
        <v>1221</v>
      </c>
      <c r="O504" s="8" t="s">
        <v>157</v>
      </c>
      <c r="P504" s="8" t="s">
        <v>158</v>
      </c>
      <c r="Q504" s="14">
        <v>42278</v>
      </c>
      <c r="R504" s="3" t="s">
        <v>769</v>
      </c>
    </row>
    <row r="505" spans="1:18" s="7" customFormat="1" ht="19.149999999999999" customHeight="1" x14ac:dyDescent="0.3">
      <c r="A505" s="24">
        <v>504</v>
      </c>
      <c r="B505" s="10" t="s">
        <v>123</v>
      </c>
      <c r="C505" s="10" t="s">
        <v>126</v>
      </c>
      <c r="D505" s="8">
        <v>216</v>
      </c>
      <c r="E505" s="11" t="s">
        <v>2220</v>
      </c>
      <c r="F505" s="11" t="s">
        <v>766</v>
      </c>
      <c r="G505" s="10" t="s">
        <v>160</v>
      </c>
      <c r="H505" s="13">
        <v>5</v>
      </c>
      <c r="I505" s="96">
        <v>816</v>
      </c>
      <c r="J505" s="62">
        <v>0</v>
      </c>
      <c r="K505" s="13" t="s">
        <v>310</v>
      </c>
      <c r="L505" s="13">
        <v>0</v>
      </c>
      <c r="M505" s="13" t="s">
        <v>1239</v>
      </c>
      <c r="N505" s="13" t="s">
        <v>1221</v>
      </c>
      <c r="O505" s="10" t="s">
        <v>151</v>
      </c>
      <c r="P505" s="8" t="s">
        <v>152</v>
      </c>
      <c r="Q505" s="14">
        <v>42668</v>
      </c>
      <c r="R505" s="11"/>
    </row>
    <row r="506" spans="1:18" s="7" customFormat="1" ht="19.149999999999999" customHeight="1" x14ac:dyDescent="0.3">
      <c r="A506" s="8">
        <v>505</v>
      </c>
      <c r="B506" s="8" t="s">
        <v>123</v>
      </c>
      <c r="C506" s="8" t="s">
        <v>773</v>
      </c>
      <c r="D506" s="8">
        <v>217</v>
      </c>
      <c r="E506" s="16" t="s">
        <v>2221</v>
      </c>
      <c r="F506" s="16" t="s">
        <v>774</v>
      </c>
      <c r="G506" s="8" t="s">
        <v>413</v>
      </c>
      <c r="H506" s="13">
        <v>6</v>
      </c>
      <c r="I506" s="96">
        <v>674</v>
      </c>
      <c r="J506" s="62">
        <v>0</v>
      </c>
      <c r="K506" s="13" t="s">
        <v>310</v>
      </c>
      <c r="L506" s="13">
        <v>0</v>
      </c>
      <c r="M506" s="13" t="s">
        <v>1239</v>
      </c>
      <c r="N506" s="13" t="s">
        <v>1221</v>
      </c>
      <c r="O506" s="10" t="s">
        <v>151</v>
      </c>
      <c r="P506" s="8" t="s">
        <v>152</v>
      </c>
      <c r="Q506" s="14">
        <v>41913</v>
      </c>
      <c r="R506" s="3" t="s">
        <v>775</v>
      </c>
    </row>
    <row r="507" spans="1:18" s="7" customFormat="1" ht="19.149999999999999" customHeight="1" x14ac:dyDescent="0.3">
      <c r="A507" s="24">
        <v>506</v>
      </c>
      <c r="B507" s="10" t="s">
        <v>123</v>
      </c>
      <c r="C507" s="10" t="s">
        <v>773</v>
      </c>
      <c r="D507" s="8">
        <v>217</v>
      </c>
      <c r="E507" s="11" t="s">
        <v>2222</v>
      </c>
      <c r="F507" s="11" t="s">
        <v>2223</v>
      </c>
      <c r="G507" s="10" t="s">
        <v>413</v>
      </c>
      <c r="H507" s="13">
        <v>5</v>
      </c>
      <c r="I507" s="96">
        <v>343</v>
      </c>
      <c r="J507" s="177">
        <v>5</v>
      </c>
      <c r="K507" s="174" t="s">
        <v>1700</v>
      </c>
      <c r="L507" s="13">
        <v>0</v>
      </c>
      <c r="M507" s="13" t="s">
        <v>1239</v>
      </c>
      <c r="N507" s="13" t="s">
        <v>1221</v>
      </c>
      <c r="O507" s="23" t="s">
        <v>155</v>
      </c>
      <c r="P507" s="8" t="s">
        <v>156</v>
      </c>
      <c r="Q507" s="14">
        <v>41745</v>
      </c>
      <c r="R507" s="3" t="s">
        <v>2224</v>
      </c>
    </row>
    <row r="508" spans="1:18" s="7" customFormat="1" ht="19.149999999999999" customHeight="1" x14ac:dyDescent="0.3">
      <c r="A508" s="8">
        <v>507</v>
      </c>
      <c r="B508" s="8" t="s">
        <v>123</v>
      </c>
      <c r="C508" s="8" t="s">
        <v>127</v>
      </c>
      <c r="D508" s="8">
        <v>217</v>
      </c>
      <c r="E508" s="16" t="s">
        <v>772</v>
      </c>
      <c r="F508" s="16" t="s">
        <v>2225</v>
      </c>
      <c r="G508" s="8" t="s">
        <v>310</v>
      </c>
      <c r="H508" s="13">
        <v>1</v>
      </c>
      <c r="I508" s="96">
        <v>144</v>
      </c>
      <c r="J508" s="62">
        <v>0</v>
      </c>
      <c r="K508" s="13" t="s">
        <v>310</v>
      </c>
      <c r="L508" s="13">
        <v>1</v>
      </c>
      <c r="M508" s="13" t="s">
        <v>1234</v>
      </c>
      <c r="N508" s="13" t="s">
        <v>1221</v>
      </c>
      <c r="O508" s="8" t="s">
        <v>2226</v>
      </c>
      <c r="P508" s="10" t="s">
        <v>828</v>
      </c>
      <c r="Q508" s="14">
        <v>36769</v>
      </c>
      <c r="R508" s="19"/>
    </row>
    <row r="509" spans="1:18" s="20" customFormat="1" ht="19.149999999999999" customHeight="1" x14ac:dyDescent="0.25">
      <c r="A509" s="24">
        <v>508</v>
      </c>
      <c r="B509" s="8" t="s">
        <v>123</v>
      </c>
      <c r="C509" s="8" t="s">
        <v>128</v>
      </c>
      <c r="D509" s="8">
        <v>218</v>
      </c>
      <c r="E509" s="16" t="s">
        <v>2227</v>
      </c>
      <c r="F509" s="19" t="s">
        <v>761</v>
      </c>
      <c r="G509" s="8" t="s">
        <v>160</v>
      </c>
      <c r="H509" s="13">
        <v>7</v>
      </c>
      <c r="I509" s="96">
        <v>513</v>
      </c>
      <c r="J509" s="177">
        <v>7</v>
      </c>
      <c r="K509" s="174" t="s">
        <v>1540</v>
      </c>
      <c r="L509" s="13">
        <v>0</v>
      </c>
      <c r="M509" s="13" t="s">
        <v>1239</v>
      </c>
      <c r="N509" s="13" t="s">
        <v>1221</v>
      </c>
      <c r="O509" s="23" t="s">
        <v>155</v>
      </c>
      <c r="P509" s="8" t="s">
        <v>156</v>
      </c>
      <c r="Q509" s="14">
        <v>43320</v>
      </c>
      <c r="R509" s="30" t="s">
        <v>762</v>
      </c>
    </row>
    <row r="510" spans="1:18" s="7" customFormat="1" ht="19.149999999999999" customHeight="1" x14ac:dyDescent="0.3">
      <c r="A510" s="8">
        <v>509</v>
      </c>
      <c r="B510" s="10" t="s">
        <v>123</v>
      </c>
      <c r="C510" s="10" t="s">
        <v>128</v>
      </c>
      <c r="D510" s="8">
        <v>218</v>
      </c>
      <c r="E510" s="11" t="s">
        <v>2228</v>
      </c>
      <c r="F510" s="11" t="s">
        <v>759</v>
      </c>
      <c r="G510" s="10" t="s">
        <v>160</v>
      </c>
      <c r="H510" s="13">
        <v>10</v>
      </c>
      <c r="I510" s="96">
        <v>1346</v>
      </c>
      <c r="J510" s="62">
        <v>0</v>
      </c>
      <c r="K510" s="13" t="s">
        <v>310</v>
      </c>
      <c r="L510" s="13">
        <v>0</v>
      </c>
      <c r="M510" s="13" t="s">
        <v>1239</v>
      </c>
      <c r="N510" s="13" t="s">
        <v>1221</v>
      </c>
      <c r="O510" s="10" t="s">
        <v>151</v>
      </c>
      <c r="P510" s="8" t="s">
        <v>152</v>
      </c>
      <c r="Q510" s="14">
        <v>39072</v>
      </c>
      <c r="R510" s="11"/>
    </row>
    <row r="511" spans="1:18" s="7" customFormat="1" ht="19.149999999999999" customHeight="1" x14ac:dyDescent="0.3">
      <c r="A511" s="24">
        <v>510</v>
      </c>
      <c r="B511" s="10" t="s">
        <v>123</v>
      </c>
      <c r="C511" s="10" t="s">
        <v>128</v>
      </c>
      <c r="D511" s="8">
        <v>218</v>
      </c>
      <c r="E511" s="11" t="s">
        <v>209</v>
      </c>
      <c r="F511" s="9" t="s">
        <v>760</v>
      </c>
      <c r="G511" s="10" t="s">
        <v>150</v>
      </c>
      <c r="H511" s="13">
        <v>8</v>
      </c>
      <c r="I511" s="96">
        <v>1204</v>
      </c>
      <c r="J511" s="62">
        <v>0</v>
      </c>
      <c r="K511" s="13" t="s">
        <v>310</v>
      </c>
      <c r="L511" s="13">
        <v>0</v>
      </c>
      <c r="M511" s="13" t="s">
        <v>1239</v>
      </c>
      <c r="N511" s="13" t="s">
        <v>1221</v>
      </c>
      <c r="O511" s="23" t="s">
        <v>155</v>
      </c>
      <c r="P511" s="8" t="s">
        <v>156</v>
      </c>
      <c r="Q511" s="14">
        <v>38834</v>
      </c>
      <c r="R511" s="11"/>
    </row>
    <row r="512" spans="1:18" s="7" customFormat="1" ht="19.149999999999999" customHeight="1" x14ac:dyDescent="0.3">
      <c r="A512" s="8">
        <v>511</v>
      </c>
      <c r="B512" s="8" t="s">
        <v>123</v>
      </c>
      <c r="C512" s="8" t="s">
        <v>128</v>
      </c>
      <c r="D512" s="8">
        <v>218</v>
      </c>
      <c r="E512" s="16" t="s">
        <v>764</v>
      </c>
      <c r="F512" s="16" t="s">
        <v>765</v>
      </c>
      <c r="G512" s="8" t="s">
        <v>150</v>
      </c>
      <c r="H512" s="13">
        <v>5</v>
      </c>
      <c r="I512" s="96">
        <v>502</v>
      </c>
      <c r="J512" s="62">
        <v>0</v>
      </c>
      <c r="K512" s="13" t="s">
        <v>310</v>
      </c>
      <c r="L512" s="13">
        <v>0</v>
      </c>
      <c r="M512" s="13" t="s">
        <v>1239</v>
      </c>
      <c r="N512" s="13" t="s">
        <v>1221</v>
      </c>
      <c r="O512" s="8" t="s">
        <v>185</v>
      </c>
      <c r="P512" s="24" t="s">
        <v>186</v>
      </c>
      <c r="Q512" s="14">
        <v>43076</v>
      </c>
      <c r="R512" s="19"/>
    </row>
    <row r="513" spans="1:18" s="7" customFormat="1" ht="19.149999999999999" customHeight="1" x14ac:dyDescent="0.3">
      <c r="A513" s="24">
        <v>512</v>
      </c>
      <c r="B513" s="8" t="s">
        <v>123</v>
      </c>
      <c r="C513" s="8" t="s">
        <v>128</v>
      </c>
      <c r="D513" s="8">
        <v>218</v>
      </c>
      <c r="E513" s="16" t="s">
        <v>254</v>
      </c>
      <c r="F513" s="19" t="s">
        <v>763</v>
      </c>
      <c r="G513" s="8" t="s">
        <v>150</v>
      </c>
      <c r="H513" s="13">
        <v>6</v>
      </c>
      <c r="I513" s="96">
        <v>976</v>
      </c>
      <c r="J513" s="62">
        <v>0</v>
      </c>
      <c r="K513" s="13" t="s">
        <v>310</v>
      </c>
      <c r="L513" s="13">
        <v>0</v>
      </c>
      <c r="M513" s="13" t="s">
        <v>1239</v>
      </c>
      <c r="N513" s="13" t="s">
        <v>1221</v>
      </c>
      <c r="O513" s="8" t="s">
        <v>157</v>
      </c>
      <c r="P513" s="8" t="s">
        <v>158</v>
      </c>
      <c r="Q513" s="14">
        <v>41243</v>
      </c>
      <c r="R513" s="19"/>
    </row>
    <row r="514" spans="1:18" s="7" customFormat="1" ht="19.149999999999999" customHeight="1" x14ac:dyDescent="0.3">
      <c r="A514" s="8">
        <v>513</v>
      </c>
      <c r="B514" s="8" t="s">
        <v>123</v>
      </c>
      <c r="C514" s="8" t="s">
        <v>129</v>
      </c>
      <c r="D514" s="8">
        <v>219</v>
      </c>
      <c r="E514" s="16" t="s">
        <v>238</v>
      </c>
      <c r="F514" s="19" t="s">
        <v>776</v>
      </c>
      <c r="G514" s="8" t="s">
        <v>160</v>
      </c>
      <c r="H514" s="13">
        <v>6</v>
      </c>
      <c r="I514" s="96">
        <v>909</v>
      </c>
      <c r="J514" s="62">
        <v>1</v>
      </c>
      <c r="K514" s="13" t="s">
        <v>2229</v>
      </c>
      <c r="L514" s="13">
        <v>0</v>
      </c>
      <c r="M514" s="13" t="s">
        <v>1239</v>
      </c>
      <c r="N514" s="13" t="s">
        <v>1221</v>
      </c>
      <c r="O514" s="23" t="s">
        <v>155</v>
      </c>
      <c r="P514" s="8" t="s">
        <v>156</v>
      </c>
      <c r="Q514" s="14">
        <v>43168</v>
      </c>
      <c r="R514" s="19"/>
    </row>
    <row r="515" spans="1:18" s="7" customFormat="1" ht="19.149999999999999" customHeight="1" x14ac:dyDescent="0.3">
      <c r="A515" s="24">
        <v>514</v>
      </c>
      <c r="B515" s="24" t="s">
        <v>2212</v>
      </c>
      <c r="C515" s="24" t="s">
        <v>2234</v>
      </c>
      <c r="D515" s="24">
        <v>220</v>
      </c>
      <c r="E515" s="44" t="s">
        <v>2235</v>
      </c>
      <c r="F515" s="44" t="s">
        <v>2236</v>
      </c>
      <c r="G515" s="24" t="s">
        <v>1278</v>
      </c>
      <c r="H515" s="13">
        <v>6</v>
      </c>
      <c r="I515" s="13">
        <v>612</v>
      </c>
      <c r="J515" s="62">
        <v>6</v>
      </c>
      <c r="K515" s="13" t="s">
        <v>1357</v>
      </c>
      <c r="L515" s="13">
        <v>0</v>
      </c>
      <c r="M515" s="13" t="s">
        <v>1239</v>
      </c>
      <c r="N515" s="13" t="s">
        <v>1221</v>
      </c>
      <c r="O515" s="8" t="s">
        <v>155</v>
      </c>
      <c r="P515" s="8" t="s">
        <v>156</v>
      </c>
      <c r="Q515" s="14">
        <v>44448</v>
      </c>
      <c r="R515" s="24"/>
    </row>
    <row r="516" spans="1:18" s="7" customFormat="1" ht="19.149999999999999" customHeight="1" x14ac:dyDescent="0.3">
      <c r="A516" s="8">
        <v>515</v>
      </c>
      <c r="B516" s="8" t="s">
        <v>2212</v>
      </c>
      <c r="C516" s="8" t="s">
        <v>2237</v>
      </c>
      <c r="D516" s="8">
        <v>221</v>
      </c>
      <c r="E516" s="16" t="s">
        <v>2238</v>
      </c>
      <c r="F516" s="16" t="s">
        <v>2239</v>
      </c>
      <c r="G516" s="8" t="s">
        <v>1278</v>
      </c>
      <c r="H516" s="13">
        <v>4</v>
      </c>
      <c r="I516" s="96">
        <v>471</v>
      </c>
      <c r="J516" s="62">
        <v>1</v>
      </c>
      <c r="K516" s="13" t="s">
        <v>2229</v>
      </c>
      <c r="L516" s="13">
        <v>0</v>
      </c>
      <c r="M516" s="13" t="s">
        <v>1239</v>
      </c>
      <c r="N516" s="13" t="s">
        <v>1221</v>
      </c>
      <c r="O516" s="8" t="s">
        <v>155</v>
      </c>
      <c r="P516" s="8" t="s">
        <v>156</v>
      </c>
      <c r="Q516" s="14">
        <v>43852</v>
      </c>
      <c r="R516" s="11"/>
    </row>
    <row r="517" spans="1:18" s="7" customFormat="1" ht="19.149999999999999" customHeight="1" x14ac:dyDescent="0.3">
      <c r="A517" s="24">
        <v>516</v>
      </c>
      <c r="B517" s="8" t="s">
        <v>123</v>
      </c>
      <c r="C517" s="8" t="s">
        <v>130</v>
      </c>
      <c r="D517" s="8">
        <v>222</v>
      </c>
      <c r="E517" s="16" t="s">
        <v>770</v>
      </c>
      <c r="F517" s="16" t="s">
        <v>771</v>
      </c>
      <c r="G517" s="8" t="s">
        <v>318</v>
      </c>
      <c r="H517" s="13">
        <v>3</v>
      </c>
      <c r="I517" s="96">
        <v>259</v>
      </c>
      <c r="J517" s="62">
        <v>0</v>
      </c>
      <c r="K517" s="13" t="s">
        <v>310</v>
      </c>
      <c r="L517" s="13">
        <v>0</v>
      </c>
      <c r="M517" s="13" t="s">
        <v>1239</v>
      </c>
      <c r="N517" s="13" t="s">
        <v>1221</v>
      </c>
      <c r="O517" s="8" t="s">
        <v>157</v>
      </c>
      <c r="P517" s="8" t="s">
        <v>158</v>
      </c>
      <c r="Q517" s="14">
        <v>42271</v>
      </c>
      <c r="R517" s="11"/>
    </row>
    <row r="518" spans="1:18" s="7" customFormat="1" ht="19.149999999999999" customHeight="1" x14ac:dyDescent="0.3">
      <c r="A518" s="8">
        <v>517</v>
      </c>
      <c r="B518" s="24" t="s">
        <v>2212</v>
      </c>
      <c r="C518" s="24" t="s">
        <v>2240</v>
      </c>
      <c r="D518" s="24">
        <v>223</v>
      </c>
      <c r="E518" s="44" t="s">
        <v>2241</v>
      </c>
      <c r="F518" s="44" t="s">
        <v>2242</v>
      </c>
      <c r="G518" s="24" t="s">
        <v>1278</v>
      </c>
      <c r="H518" s="13">
        <v>7</v>
      </c>
      <c r="I518" s="13">
        <v>561</v>
      </c>
      <c r="J518" s="62">
        <v>0</v>
      </c>
      <c r="K518" s="13" t="s">
        <v>310</v>
      </c>
      <c r="L518" s="13">
        <v>0</v>
      </c>
      <c r="M518" s="13" t="s">
        <v>1239</v>
      </c>
      <c r="N518" s="13" t="s">
        <v>1221</v>
      </c>
      <c r="O518" s="10" t="s">
        <v>151</v>
      </c>
      <c r="P518" s="8" t="s">
        <v>152</v>
      </c>
      <c r="Q518" s="14">
        <v>44295</v>
      </c>
      <c r="R518" s="24"/>
    </row>
    <row r="519" spans="1:18" s="7" customFormat="1" ht="19.149999999999999" customHeight="1" x14ac:dyDescent="0.3">
      <c r="A519" s="24">
        <v>518</v>
      </c>
      <c r="B519" s="8" t="s">
        <v>123</v>
      </c>
      <c r="C519" s="8" t="s">
        <v>131</v>
      </c>
      <c r="D519" s="8">
        <v>223</v>
      </c>
      <c r="E519" s="16" t="s">
        <v>753</v>
      </c>
      <c r="F519" s="19" t="s">
        <v>754</v>
      </c>
      <c r="G519" s="8" t="s">
        <v>160</v>
      </c>
      <c r="H519" s="13">
        <v>5</v>
      </c>
      <c r="I519" s="193">
        <v>501</v>
      </c>
      <c r="J519" s="177">
        <v>4</v>
      </c>
      <c r="K519" s="174" t="s">
        <v>3194</v>
      </c>
      <c r="L519" s="13">
        <v>0</v>
      </c>
      <c r="M519" s="13" t="s">
        <v>1239</v>
      </c>
      <c r="N519" s="13" t="s">
        <v>1221</v>
      </c>
      <c r="O519" s="8" t="s">
        <v>157</v>
      </c>
      <c r="P519" s="8" t="s">
        <v>158</v>
      </c>
      <c r="Q519" s="14">
        <v>42669</v>
      </c>
      <c r="R519" s="19"/>
    </row>
    <row r="520" spans="1:18" s="7" customFormat="1" ht="19.149999999999999" customHeight="1" x14ac:dyDescent="0.3">
      <c r="A520" s="8">
        <v>519</v>
      </c>
      <c r="B520" s="10" t="s">
        <v>2212</v>
      </c>
      <c r="C520" s="8" t="s">
        <v>2243</v>
      </c>
      <c r="D520" s="8">
        <v>225</v>
      </c>
      <c r="E520" s="56" t="s">
        <v>2244</v>
      </c>
      <c r="F520" s="16" t="s">
        <v>2245</v>
      </c>
      <c r="G520" s="8" t="s">
        <v>1239</v>
      </c>
      <c r="H520" s="13">
        <v>2</v>
      </c>
      <c r="I520" s="96">
        <v>94</v>
      </c>
      <c r="J520" s="62">
        <v>0</v>
      </c>
      <c r="K520" s="13" t="s">
        <v>1228</v>
      </c>
      <c r="L520" s="13">
        <v>0</v>
      </c>
      <c r="M520" s="13" t="s">
        <v>1239</v>
      </c>
      <c r="N520" s="13" t="s">
        <v>1521</v>
      </c>
      <c r="O520" s="8" t="s">
        <v>2246</v>
      </c>
      <c r="P520" s="8" t="s">
        <v>2247</v>
      </c>
      <c r="Q520" s="14">
        <v>44387</v>
      </c>
      <c r="R520" s="56"/>
    </row>
    <row r="521" spans="1:18" s="7" customFormat="1" ht="19.149999999999999" customHeight="1" x14ac:dyDescent="0.3">
      <c r="A521" s="24">
        <v>520</v>
      </c>
      <c r="B521" s="10" t="s">
        <v>2204</v>
      </c>
      <c r="C521" s="10" t="s">
        <v>2248</v>
      </c>
      <c r="D521" s="8">
        <v>227</v>
      </c>
      <c r="E521" s="11" t="s">
        <v>2249</v>
      </c>
      <c r="F521" s="11" t="s">
        <v>2250</v>
      </c>
      <c r="G521" s="10" t="s">
        <v>1228</v>
      </c>
      <c r="H521" s="13">
        <v>1</v>
      </c>
      <c r="I521" s="96">
        <v>93</v>
      </c>
      <c r="J521" s="62">
        <v>0</v>
      </c>
      <c r="K521" s="13" t="s">
        <v>1228</v>
      </c>
      <c r="L521" s="13">
        <v>0</v>
      </c>
      <c r="M521" s="13" t="s">
        <v>1239</v>
      </c>
      <c r="N521" s="13" t="s">
        <v>1521</v>
      </c>
      <c r="O521" s="8" t="s">
        <v>2251</v>
      </c>
      <c r="P521" s="8" t="s">
        <v>2252</v>
      </c>
      <c r="Q521" s="14">
        <v>42459</v>
      </c>
      <c r="R521" s="3" t="s">
        <v>2253</v>
      </c>
    </row>
    <row r="522" spans="1:18" s="7" customFormat="1" ht="19.149999999999999" customHeight="1" x14ac:dyDescent="0.3">
      <c r="A522" s="8">
        <v>521</v>
      </c>
      <c r="B522" s="8" t="s">
        <v>2204</v>
      </c>
      <c r="C522" s="8" t="s">
        <v>2254</v>
      </c>
      <c r="D522" s="8">
        <v>230</v>
      </c>
      <c r="E522" s="16" t="s">
        <v>2255</v>
      </c>
      <c r="F522" s="16" t="s">
        <v>2256</v>
      </c>
      <c r="G522" s="8" t="s">
        <v>1228</v>
      </c>
      <c r="H522" s="13">
        <v>2</v>
      </c>
      <c r="I522" s="96">
        <v>99</v>
      </c>
      <c r="J522" s="62">
        <v>0</v>
      </c>
      <c r="K522" s="13" t="s">
        <v>1228</v>
      </c>
      <c r="L522" s="13">
        <v>0</v>
      </c>
      <c r="M522" s="13" t="s">
        <v>1239</v>
      </c>
      <c r="N522" s="13" t="s">
        <v>1521</v>
      </c>
      <c r="O522" s="23" t="s">
        <v>2257</v>
      </c>
      <c r="P522" s="24" t="s">
        <v>758</v>
      </c>
      <c r="Q522" s="14">
        <v>42339</v>
      </c>
      <c r="R522" s="30" t="s">
        <v>2258</v>
      </c>
    </row>
    <row r="523" spans="1:18" s="7" customFormat="1" ht="19.149999999999999" customHeight="1" x14ac:dyDescent="0.3">
      <c r="A523" s="24">
        <v>522</v>
      </c>
      <c r="B523" s="8" t="s">
        <v>2212</v>
      </c>
      <c r="C523" s="8" t="s">
        <v>2259</v>
      </c>
      <c r="D523" s="8">
        <v>231</v>
      </c>
      <c r="E523" s="16" t="s">
        <v>2260</v>
      </c>
      <c r="F523" s="16" t="s">
        <v>2261</v>
      </c>
      <c r="G523" s="8" t="s">
        <v>1239</v>
      </c>
      <c r="H523" s="13">
        <v>2</v>
      </c>
      <c r="I523" s="96">
        <v>98</v>
      </c>
      <c r="J523" s="62">
        <v>0</v>
      </c>
      <c r="K523" s="13" t="s">
        <v>1228</v>
      </c>
      <c r="L523" s="13">
        <v>0</v>
      </c>
      <c r="M523" s="13" t="s">
        <v>1239</v>
      </c>
      <c r="N523" s="13" t="s">
        <v>1521</v>
      </c>
      <c r="O523" s="23" t="s">
        <v>2262</v>
      </c>
      <c r="P523" s="24" t="s">
        <v>2263</v>
      </c>
      <c r="Q523" s="14">
        <v>44918</v>
      </c>
      <c r="R523" s="30"/>
    </row>
    <row r="524" spans="1:18" s="7" customFormat="1" ht="19.149999999999999" customHeight="1" x14ac:dyDescent="0.3">
      <c r="A524" s="8">
        <v>523</v>
      </c>
      <c r="B524" s="8" t="s">
        <v>2204</v>
      </c>
      <c r="C524" s="8" t="s">
        <v>2264</v>
      </c>
      <c r="D524" s="8">
        <v>232</v>
      </c>
      <c r="E524" s="30" t="s">
        <v>2265</v>
      </c>
      <c r="F524" s="19" t="s">
        <v>2266</v>
      </c>
      <c r="G524" s="8" t="s">
        <v>2233</v>
      </c>
      <c r="H524" s="13">
        <v>2</v>
      </c>
      <c r="I524" s="96">
        <v>94</v>
      </c>
      <c r="J524" s="62">
        <v>0</v>
      </c>
      <c r="K524" s="13" t="s">
        <v>1228</v>
      </c>
      <c r="L524" s="13">
        <v>0</v>
      </c>
      <c r="M524" s="13" t="s">
        <v>1239</v>
      </c>
      <c r="N524" s="13" t="s">
        <v>1521</v>
      </c>
      <c r="O524" s="8" t="s">
        <v>185</v>
      </c>
      <c r="P524" s="24" t="s">
        <v>186</v>
      </c>
      <c r="Q524" s="14">
        <v>43456</v>
      </c>
      <c r="R524" s="30" t="s">
        <v>2267</v>
      </c>
    </row>
    <row r="525" spans="1:18" s="7" customFormat="1" ht="19.149999999999999" customHeight="1" x14ac:dyDescent="0.3">
      <c r="A525" s="24">
        <v>524</v>
      </c>
      <c r="B525" s="10" t="s">
        <v>2212</v>
      </c>
      <c r="C525" s="8" t="s">
        <v>2268</v>
      </c>
      <c r="D525" s="8">
        <v>233</v>
      </c>
      <c r="E525" s="16" t="s">
        <v>2269</v>
      </c>
      <c r="F525" s="16" t="s">
        <v>2270</v>
      </c>
      <c r="G525" s="8" t="s">
        <v>1278</v>
      </c>
      <c r="H525" s="13">
        <v>6</v>
      </c>
      <c r="I525" s="96">
        <v>471</v>
      </c>
      <c r="J525" s="62">
        <v>0</v>
      </c>
      <c r="K525" s="13" t="s">
        <v>1239</v>
      </c>
      <c r="L525" s="13">
        <v>0</v>
      </c>
      <c r="M525" s="13" t="s">
        <v>1239</v>
      </c>
      <c r="N525" s="13" t="s">
        <v>1221</v>
      </c>
      <c r="O525" s="8" t="s">
        <v>157</v>
      </c>
      <c r="P525" s="8" t="s">
        <v>158</v>
      </c>
      <c r="Q525" s="14">
        <v>43700</v>
      </c>
      <c r="R525" s="16"/>
    </row>
    <row r="526" spans="1:18" s="7" customFormat="1" ht="19.149999999999999" customHeight="1" x14ac:dyDescent="0.3">
      <c r="A526" s="8">
        <v>525</v>
      </c>
      <c r="B526" s="10" t="s">
        <v>2204</v>
      </c>
      <c r="C526" s="8" t="s">
        <v>2271</v>
      </c>
      <c r="D526" s="8">
        <v>235</v>
      </c>
      <c r="E526" s="56" t="s">
        <v>2272</v>
      </c>
      <c r="F526" s="16" t="s">
        <v>2273</v>
      </c>
      <c r="G526" s="8" t="s">
        <v>1228</v>
      </c>
      <c r="H526" s="13">
        <v>1</v>
      </c>
      <c r="I526" s="96">
        <v>87</v>
      </c>
      <c r="J526" s="62">
        <v>0</v>
      </c>
      <c r="K526" s="13" t="s">
        <v>1228</v>
      </c>
      <c r="L526" s="13">
        <v>0</v>
      </c>
      <c r="M526" s="13" t="s">
        <v>1239</v>
      </c>
      <c r="N526" s="13" t="s">
        <v>1521</v>
      </c>
      <c r="O526" s="8" t="s">
        <v>2274</v>
      </c>
      <c r="P526" s="8" t="s">
        <v>2275</v>
      </c>
      <c r="Q526" s="14">
        <v>43356</v>
      </c>
      <c r="R526" s="56" t="s">
        <v>2276</v>
      </c>
    </row>
    <row r="527" spans="1:18" s="39" customFormat="1" ht="19.149999999999999" customHeight="1" x14ac:dyDescent="0.3">
      <c r="A527" s="24">
        <v>526</v>
      </c>
      <c r="B527" s="8" t="s">
        <v>2277</v>
      </c>
      <c r="C527" s="8" t="s">
        <v>2278</v>
      </c>
      <c r="D527" s="8">
        <v>237</v>
      </c>
      <c r="E527" s="16" t="s">
        <v>2279</v>
      </c>
      <c r="F527" s="16" t="s">
        <v>2280</v>
      </c>
      <c r="G527" s="8" t="s">
        <v>1228</v>
      </c>
      <c r="H527" s="13">
        <v>1</v>
      </c>
      <c r="I527" s="96">
        <v>51</v>
      </c>
      <c r="J527" s="62">
        <v>0</v>
      </c>
      <c r="K527" s="13" t="s">
        <v>1228</v>
      </c>
      <c r="L527" s="13">
        <v>1</v>
      </c>
      <c r="M527" s="13" t="s">
        <v>1234</v>
      </c>
      <c r="N527" s="13" t="s">
        <v>1221</v>
      </c>
      <c r="O527" s="8" t="s">
        <v>2281</v>
      </c>
      <c r="P527" s="8" t="s">
        <v>2282</v>
      </c>
      <c r="Q527" s="14">
        <v>42349</v>
      </c>
      <c r="R527" s="19"/>
    </row>
    <row r="528" spans="1:18" s="7" customFormat="1" ht="19.149999999999999" customHeight="1" x14ac:dyDescent="0.3">
      <c r="A528" s="8">
        <v>527</v>
      </c>
      <c r="B528" s="10" t="s">
        <v>135</v>
      </c>
      <c r="C528" s="10" t="s">
        <v>136</v>
      </c>
      <c r="D528" s="8">
        <v>237</v>
      </c>
      <c r="E528" s="11" t="s">
        <v>807</v>
      </c>
      <c r="F528" s="11" t="s">
        <v>808</v>
      </c>
      <c r="G528" s="10" t="s">
        <v>150</v>
      </c>
      <c r="H528" s="13">
        <v>6</v>
      </c>
      <c r="I528" s="96">
        <v>1043</v>
      </c>
      <c r="J528" s="62">
        <v>2</v>
      </c>
      <c r="K528" s="13" t="s">
        <v>2283</v>
      </c>
      <c r="L528" s="13">
        <v>0</v>
      </c>
      <c r="M528" s="13" t="s">
        <v>1239</v>
      </c>
      <c r="N528" s="13" t="s">
        <v>1221</v>
      </c>
      <c r="O528" s="8" t="s">
        <v>157</v>
      </c>
      <c r="P528" s="8" t="s">
        <v>158</v>
      </c>
      <c r="Q528" s="14">
        <v>43131</v>
      </c>
      <c r="R528" s="3" t="s">
        <v>2284</v>
      </c>
    </row>
    <row r="529" spans="1:18" s="7" customFormat="1" ht="19.149999999999999" customHeight="1" x14ac:dyDescent="0.3">
      <c r="A529" s="24">
        <v>528</v>
      </c>
      <c r="B529" s="8" t="s">
        <v>135</v>
      </c>
      <c r="C529" s="8" t="s">
        <v>2278</v>
      </c>
      <c r="D529" s="8">
        <v>237</v>
      </c>
      <c r="E529" s="16" t="s">
        <v>2285</v>
      </c>
      <c r="F529" s="16" t="s">
        <v>2286</v>
      </c>
      <c r="G529" s="8" t="s">
        <v>1278</v>
      </c>
      <c r="H529" s="13">
        <v>6</v>
      </c>
      <c r="I529" s="96">
        <v>348</v>
      </c>
      <c r="J529" s="177">
        <v>6</v>
      </c>
      <c r="K529" s="174" t="s">
        <v>1357</v>
      </c>
      <c r="L529" s="13">
        <v>0</v>
      </c>
      <c r="M529" s="13" t="s">
        <v>1239</v>
      </c>
      <c r="N529" s="13" t="s">
        <v>1221</v>
      </c>
      <c r="O529" s="8" t="s">
        <v>155</v>
      </c>
      <c r="P529" s="8" t="s">
        <v>156</v>
      </c>
      <c r="Q529" s="14">
        <v>43565</v>
      </c>
      <c r="R529" s="30" t="s">
        <v>2287</v>
      </c>
    </row>
    <row r="530" spans="1:18" s="7" customFormat="1" ht="19.149999999999999" customHeight="1" x14ac:dyDescent="0.3">
      <c r="A530" s="8">
        <v>529</v>
      </c>
      <c r="B530" s="8" t="s">
        <v>135</v>
      </c>
      <c r="C530" s="8" t="s">
        <v>136</v>
      </c>
      <c r="D530" s="8">
        <v>237</v>
      </c>
      <c r="E530" s="19" t="s">
        <v>2288</v>
      </c>
      <c r="F530" s="19" t="s">
        <v>801</v>
      </c>
      <c r="G530" s="8" t="s">
        <v>150</v>
      </c>
      <c r="H530" s="13">
        <v>7</v>
      </c>
      <c r="I530" s="96">
        <v>1178</v>
      </c>
      <c r="J530" s="62">
        <v>0</v>
      </c>
      <c r="K530" s="13" t="s">
        <v>310</v>
      </c>
      <c r="L530" s="13">
        <v>0</v>
      </c>
      <c r="M530" s="13" t="s">
        <v>1239</v>
      </c>
      <c r="N530" s="13" t="s">
        <v>1221</v>
      </c>
      <c r="O530" s="10" t="s">
        <v>151</v>
      </c>
      <c r="P530" s="8" t="s">
        <v>152</v>
      </c>
      <c r="Q530" s="14">
        <v>38443</v>
      </c>
      <c r="R530" s="19"/>
    </row>
    <row r="531" spans="1:18" s="7" customFormat="1" ht="19.149999999999999" customHeight="1" x14ac:dyDescent="0.3">
      <c r="A531" s="24">
        <v>530</v>
      </c>
      <c r="B531" s="8" t="s">
        <v>135</v>
      </c>
      <c r="C531" s="8" t="s">
        <v>136</v>
      </c>
      <c r="D531" s="8">
        <v>237</v>
      </c>
      <c r="E531" s="16" t="s">
        <v>2289</v>
      </c>
      <c r="F531" s="16" t="s">
        <v>803</v>
      </c>
      <c r="G531" s="10" t="s">
        <v>160</v>
      </c>
      <c r="H531" s="13">
        <v>7</v>
      </c>
      <c r="I531" s="193">
        <v>602</v>
      </c>
      <c r="J531" s="177">
        <v>5</v>
      </c>
      <c r="K531" s="174" t="s">
        <v>1700</v>
      </c>
      <c r="L531" s="13">
        <v>0</v>
      </c>
      <c r="M531" s="13" t="s">
        <v>1239</v>
      </c>
      <c r="N531" s="13" t="s">
        <v>1221</v>
      </c>
      <c r="O531" s="23" t="s">
        <v>155</v>
      </c>
      <c r="P531" s="8" t="s">
        <v>156</v>
      </c>
      <c r="Q531" s="14">
        <v>40466</v>
      </c>
      <c r="R531" s="3" t="s">
        <v>2290</v>
      </c>
    </row>
    <row r="532" spans="1:18" s="7" customFormat="1" ht="19.149999999999999" customHeight="1" x14ac:dyDescent="0.3">
      <c r="A532" s="8">
        <v>531</v>
      </c>
      <c r="B532" s="8" t="s">
        <v>2291</v>
      </c>
      <c r="C532" s="8" t="s">
        <v>2292</v>
      </c>
      <c r="D532" s="8">
        <v>237</v>
      </c>
      <c r="E532" s="16" t="s">
        <v>2293</v>
      </c>
      <c r="F532" s="16" t="s">
        <v>2294</v>
      </c>
      <c r="G532" s="8" t="s">
        <v>1264</v>
      </c>
      <c r="H532" s="13">
        <v>5</v>
      </c>
      <c r="I532" s="96">
        <v>497</v>
      </c>
      <c r="J532" s="62">
        <v>5</v>
      </c>
      <c r="K532" s="13" t="s">
        <v>1608</v>
      </c>
      <c r="L532" s="13">
        <v>0</v>
      </c>
      <c r="M532" s="13" t="s">
        <v>1239</v>
      </c>
      <c r="N532" s="13" t="s">
        <v>1221</v>
      </c>
      <c r="O532" s="8" t="s">
        <v>157</v>
      </c>
      <c r="P532" s="8" t="s">
        <v>158</v>
      </c>
      <c r="Q532" s="14">
        <v>44006</v>
      </c>
      <c r="R532" s="19"/>
    </row>
    <row r="533" spans="1:18" s="7" customFormat="1" ht="19.149999999999999" customHeight="1" x14ac:dyDescent="0.3">
      <c r="A533" s="24">
        <v>532</v>
      </c>
      <c r="B533" s="8" t="s">
        <v>135</v>
      </c>
      <c r="C533" s="8" t="s">
        <v>136</v>
      </c>
      <c r="D533" s="8">
        <v>237</v>
      </c>
      <c r="E533" s="16" t="s">
        <v>282</v>
      </c>
      <c r="F533" s="16" t="s">
        <v>809</v>
      </c>
      <c r="G533" s="499" t="s">
        <v>3085</v>
      </c>
      <c r="H533" s="13">
        <v>7</v>
      </c>
      <c r="I533" s="500">
        <v>508</v>
      </c>
      <c r="J533" s="62">
        <v>7</v>
      </c>
      <c r="K533" s="13" t="s">
        <v>3133</v>
      </c>
      <c r="L533" s="13">
        <v>0</v>
      </c>
      <c r="M533" s="13" t="s">
        <v>1239</v>
      </c>
      <c r="N533" s="13" t="s">
        <v>1221</v>
      </c>
      <c r="O533" s="8" t="s">
        <v>157</v>
      </c>
      <c r="P533" s="8" t="s">
        <v>158</v>
      </c>
      <c r="Q533" s="14">
        <v>38532</v>
      </c>
      <c r="R533" s="19" t="s">
        <v>3131</v>
      </c>
    </row>
    <row r="534" spans="1:18" s="7" customFormat="1" ht="19.149999999999999" customHeight="1" x14ac:dyDescent="0.3">
      <c r="A534" s="8">
        <v>533</v>
      </c>
      <c r="B534" s="8" t="s">
        <v>2291</v>
      </c>
      <c r="C534" s="8" t="s">
        <v>2292</v>
      </c>
      <c r="D534" s="8">
        <v>237</v>
      </c>
      <c r="E534" s="19" t="s">
        <v>2295</v>
      </c>
      <c r="F534" s="19" t="s">
        <v>2296</v>
      </c>
      <c r="G534" s="8" t="s">
        <v>1264</v>
      </c>
      <c r="H534" s="13">
        <v>5</v>
      </c>
      <c r="I534" s="96">
        <v>593</v>
      </c>
      <c r="J534" s="62">
        <v>0</v>
      </c>
      <c r="K534" s="13" t="s">
        <v>1239</v>
      </c>
      <c r="L534" s="13">
        <v>0</v>
      </c>
      <c r="M534" s="13" t="s">
        <v>1239</v>
      </c>
      <c r="N534" s="13" t="s">
        <v>1221</v>
      </c>
      <c r="O534" s="10" t="s">
        <v>151</v>
      </c>
      <c r="P534" s="8" t="s">
        <v>152</v>
      </c>
      <c r="Q534" s="14">
        <v>44126</v>
      </c>
      <c r="R534" s="19"/>
    </row>
    <row r="535" spans="1:18" s="7" customFormat="1" ht="19.149999999999999" customHeight="1" x14ac:dyDescent="0.3">
      <c r="A535" s="24">
        <v>534</v>
      </c>
      <c r="B535" s="8" t="s">
        <v>135</v>
      </c>
      <c r="C535" s="8" t="s">
        <v>136</v>
      </c>
      <c r="D535" s="8">
        <v>237</v>
      </c>
      <c r="E535" s="16" t="s">
        <v>247</v>
      </c>
      <c r="F535" s="16" t="s">
        <v>806</v>
      </c>
      <c r="G535" s="8" t="s">
        <v>150</v>
      </c>
      <c r="H535" s="13">
        <v>7</v>
      </c>
      <c r="I535" s="96">
        <v>1319</v>
      </c>
      <c r="J535" s="62">
        <v>0</v>
      </c>
      <c r="K535" s="13" t="s">
        <v>310</v>
      </c>
      <c r="L535" s="13">
        <v>0</v>
      </c>
      <c r="M535" s="13" t="s">
        <v>1239</v>
      </c>
      <c r="N535" s="13" t="s">
        <v>1221</v>
      </c>
      <c r="O535" s="8" t="s">
        <v>155</v>
      </c>
      <c r="P535" s="8" t="s">
        <v>156</v>
      </c>
      <c r="Q535" s="14">
        <v>37315</v>
      </c>
      <c r="R535" s="19"/>
    </row>
    <row r="536" spans="1:18" s="7" customFormat="1" ht="19.149999999999999" customHeight="1" x14ac:dyDescent="0.3">
      <c r="A536" s="8">
        <v>535</v>
      </c>
      <c r="B536" s="8" t="s">
        <v>135</v>
      </c>
      <c r="C536" s="8" t="s">
        <v>136</v>
      </c>
      <c r="D536" s="8">
        <v>237</v>
      </c>
      <c r="E536" s="19" t="s">
        <v>2297</v>
      </c>
      <c r="F536" s="19" t="s">
        <v>1142</v>
      </c>
      <c r="G536" s="8" t="s">
        <v>150</v>
      </c>
      <c r="H536" s="13">
        <v>6</v>
      </c>
      <c r="I536" s="96">
        <v>1178</v>
      </c>
      <c r="J536" s="62">
        <v>2</v>
      </c>
      <c r="K536" s="13" t="s">
        <v>728</v>
      </c>
      <c r="L536" s="13">
        <v>0</v>
      </c>
      <c r="M536" s="13" t="s">
        <v>1239</v>
      </c>
      <c r="N536" s="13" t="s">
        <v>1221</v>
      </c>
      <c r="O536" s="10" t="s">
        <v>151</v>
      </c>
      <c r="P536" s="8" t="s">
        <v>152</v>
      </c>
      <c r="Q536" s="14">
        <v>39594</v>
      </c>
      <c r="R536" s="19"/>
    </row>
    <row r="537" spans="1:18" s="7" customFormat="1" ht="19.149999999999999" customHeight="1" x14ac:dyDescent="0.3">
      <c r="A537" s="24">
        <v>536</v>
      </c>
      <c r="B537" s="8" t="s">
        <v>135</v>
      </c>
      <c r="C537" s="8" t="s">
        <v>136</v>
      </c>
      <c r="D537" s="8">
        <v>237</v>
      </c>
      <c r="E537" s="19" t="s">
        <v>2298</v>
      </c>
      <c r="F537" s="19" t="s">
        <v>802</v>
      </c>
      <c r="G537" s="8" t="s">
        <v>150</v>
      </c>
      <c r="H537" s="13">
        <v>6</v>
      </c>
      <c r="I537" s="96">
        <v>1105</v>
      </c>
      <c r="J537" s="62">
        <v>1</v>
      </c>
      <c r="K537" s="13" t="s">
        <v>188</v>
      </c>
      <c r="L537" s="13">
        <v>0</v>
      </c>
      <c r="M537" s="13" t="s">
        <v>1239</v>
      </c>
      <c r="N537" s="13" t="s">
        <v>1221</v>
      </c>
      <c r="O537" s="10" t="s">
        <v>151</v>
      </c>
      <c r="P537" s="8" t="s">
        <v>152</v>
      </c>
      <c r="Q537" s="14">
        <v>38253</v>
      </c>
      <c r="R537" s="19"/>
    </row>
    <row r="538" spans="1:18" s="7" customFormat="1" ht="19.149999999999999" customHeight="1" x14ac:dyDescent="0.3">
      <c r="A538" s="8">
        <v>537</v>
      </c>
      <c r="B538" s="8" t="s">
        <v>135</v>
      </c>
      <c r="C538" s="8" t="s">
        <v>136</v>
      </c>
      <c r="D538" s="8">
        <v>237</v>
      </c>
      <c r="E538" s="16" t="s">
        <v>804</v>
      </c>
      <c r="F538" s="16" t="s">
        <v>805</v>
      </c>
      <c r="G538" s="8" t="s">
        <v>150</v>
      </c>
      <c r="H538" s="13">
        <v>6</v>
      </c>
      <c r="I538" s="96">
        <v>952</v>
      </c>
      <c r="J538" s="62">
        <v>0</v>
      </c>
      <c r="K538" s="13" t="s">
        <v>310</v>
      </c>
      <c r="L538" s="13">
        <v>0</v>
      </c>
      <c r="M538" s="13" t="s">
        <v>1239</v>
      </c>
      <c r="N538" s="13" t="s">
        <v>1221</v>
      </c>
      <c r="O538" s="23" t="s">
        <v>155</v>
      </c>
      <c r="P538" s="8" t="s">
        <v>156</v>
      </c>
      <c r="Q538" s="14">
        <v>41264</v>
      </c>
      <c r="R538" s="19"/>
    </row>
    <row r="539" spans="1:18" s="21" customFormat="1" ht="19.149999999999999" customHeight="1" x14ac:dyDescent="0.3">
      <c r="A539" s="24">
        <v>538</v>
      </c>
      <c r="B539" s="8" t="s">
        <v>135</v>
      </c>
      <c r="C539" s="8" t="s">
        <v>137</v>
      </c>
      <c r="D539" s="8">
        <v>243</v>
      </c>
      <c r="E539" s="16" t="s">
        <v>797</v>
      </c>
      <c r="F539" s="16" t="s">
        <v>798</v>
      </c>
      <c r="G539" s="8" t="s">
        <v>160</v>
      </c>
      <c r="H539" s="13">
        <v>9</v>
      </c>
      <c r="I539" s="96">
        <v>943</v>
      </c>
      <c r="J539" s="177">
        <v>8</v>
      </c>
      <c r="K539" s="174" t="s">
        <v>1696</v>
      </c>
      <c r="L539" s="13">
        <v>0</v>
      </c>
      <c r="M539" s="13" t="s">
        <v>1239</v>
      </c>
      <c r="N539" s="13" t="s">
        <v>1221</v>
      </c>
      <c r="O539" s="23" t="s">
        <v>155</v>
      </c>
      <c r="P539" s="8" t="s">
        <v>156</v>
      </c>
      <c r="Q539" s="14">
        <v>43441</v>
      </c>
      <c r="R539" s="3" t="s">
        <v>2299</v>
      </c>
    </row>
    <row r="540" spans="1:18" s="21" customFormat="1" ht="19.149999999999999" customHeight="1" x14ac:dyDescent="0.3">
      <c r="A540" s="8">
        <v>539</v>
      </c>
      <c r="B540" s="8" t="s">
        <v>135</v>
      </c>
      <c r="C540" s="8" t="s">
        <v>137</v>
      </c>
      <c r="D540" s="8">
        <v>243</v>
      </c>
      <c r="E540" s="16" t="s">
        <v>799</v>
      </c>
      <c r="F540" s="16" t="s">
        <v>800</v>
      </c>
      <c r="G540" s="8" t="s">
        <v>150</v>
      </c>
      <c r="H540" s="13">
        <v>7</v>
      </c>
      <c r="I540" s="96">
        <v>1268</v>
      </c>
      <c r="J540" s="62">
        <v>0</v>
      </c>
      <c r="K540" s="13" t="s">
        <v>310</v>
      </c>
      <c r="L540" s="13">
        <v>0</v>
      </c>
      <c r="M540" s="13" t="s">
        <v>1239</v>
      </c>
      <c r="N540" s="13" t="s">
        <v>1221</v>
      </c>
      <c r="O540" s="23" t="s">
        <v>155</v>
      </c>
      <c r="P540" s="8" t="s">
        <v>156</v>
      </c>
      <c r="Q540" s="14">
        <v>42621</v>
      </c>
      <c r="R540" s="11"/>
    </row>
    <row r="541" spans="1:18" s="21" customFormat="1" ht="19.149999999999999" customHeight="1" x14ac:dyDescent="0.3">
      <c r="A541" s="24">
        <v>540</v>
      </c>
      <c r="B541" s="8" t="s">
        <v>2291</v>
      </c>
      <c r="C541" s="8" t="s">
        <v>2300</v>
      </c>
      <c r="D541" s="8">
        <v>243</v>
      </c>
      <c r="E541" s="16" t="s">
        <v>2301</v>
      </c>
      <c r="F541" s="16" t="s">
        <v>2302</v>
      </c>
      <c r="G541" s="8" t="s">
        <v>1278</v>
      </c>
      <c r="H541" s="13">
        <v>7</v>
      </c>
      <c r="I541" s="96">
        <v>724</v>
      </c>
      <c r="J541" s="62">
        <v>0</v>
      </c>
      <c r="K541" s="13" t="s">
        <v>310</v>
      </c>
      <c r="L541" s="13">
        <v>0</v>
      </c>
      <c r="M541" s="13" t="s">
        <v>1239</v>
      </c>
      <c r="N541" s="13" t="s">
        <v>1221</v>
      </c>
      <c r="O541" s="10" t="s">
        <v>151</v>
      </c>
      <c r="P541" s="8" t="s">
        <v>152</v>
      </c>
      <c r="Q541" s="14">
        <v>44103</v>
      </c>
      <c r="R541" s="11"/>
    </row>
    <row r="542" spans="1:18" s="7" customFormat="1" ht="19.149999999999999" customHeight="1" x14ac:dyDescent="0.3">
      <c r="A542" s="8">
        <v>541</v>
      </c>
      <c r="B542" s="8" t="s">
        <v>2291</v>
      </c>
      <c r="C542" s="8" t="s">
        <v>2300</v>
      </c>
      <c r="D542" s="8">
        <v>243</v>
      </c>
      <c r="E542" s="19" t="s">
        <v>2303</v>
      </c>
      <c r="F542" s="19" t="s">
        <v>2304</v>
      </c>
      <c r="G542" s="8" t="s">
        <v>1278</v>
      </c>
      <c r="H542" s="13">
        <v>9</v>
      </c>
      <c r="I542" s="96">
        <v>907</v>
      </c>
      <c r="J542" s="62">
        <v>9</v>
      </c>
      <c r="K542" s="13" t="s">
        <v>2305</v>
      </c>
      <c r="L542" s="13">
        <v>0</v>
      </c>
      <c r="M542" s="13" t="s">
        <v>1239</v>
      </c>
      <c r="N542" s="13" t="s">
        <v>1221</v>
      </c>
      <c r="O542" s="8" t="s">
        <v>157</v>
      </c>
      <c r="P542" s="8" t="s">
        <v>158</v>
      </c>
      <c r="Q542" s="14">
        <v>44904</v>
      </c>
      <c r="R542" s="12" t="s">
        <v>2306</v>
      </c>
    </row>
    <row r="543" spans="1:18" s="37" customFormat="1" ht="19.149999999999999" customHeight="1" x14ac:dyDescent="0.3">
      <c r="A543" s="24">
        <v>542</v>
      </c>
      <c r="B543" s="8" t="s">
        <v>135</v>
      </c>
      <c r="C543" s="8" t="s">
        <v>138</v>
      </c>
      <c r="D543" s="8">
        <v>244</v>
      </c>
      <c r="E543" s="16" t="s">
        <v>810</v>
      </c>
      <c r="F543" s="16" t="s">
        <v>811</v>
      </c>
      <c r="G543" s="8" t="s">
        <v>160</v>
      </c>
      <c r="H543" s="13">
        <v>7</v>
      </c>
      <c r="I543" s="96">
        <v>858</v>
      </c>
      <c r="J543" s="62">
        <v>4</v>
      </c>
      <c r="K543" s="13" t="s">
        <v>1832</v>
      </c>
      <c r="L543" s="13">
        <v>0</v>
      </c>
      <c r="M543" s="13" t="s">
        <v>1239</v>
      </c>
      <c r="N543" s="13" t="s">
        <v>1221</v>
      </c>
      <c r="O543" s="8" t="s">
        <v>155</v>
      </c>
      <c r="P543" s="8" t="s">
        <v>156</v>
      </c>
      <c r="Q543" s="14">
        <v>40268</v>
      </c>
      <c r="R543" s="19" t="s">
        <v>2307</v>
      </c>
    </row>
    <row r="544" spans="1:18" s="7" customFormat="1" ht="19.149999999999999" customHeight="1" x14ac:dyDescent="0.3">
      <c r="A544" s="8">
        <v>543</v>
      </c>
      <c r="B544" s="10" t="s">
        <v>135</v>
      </c>
      <c r="C544" s="10" t="s">
        <v>790</v>
      </c>
      <c r="D544" s="8">
        <v>245</v>
      </c>
      <c r="E544" s="11" t="s">
        <v>2308</v>
      </c>
      <c r="F544" s="11" t="s">
        <v>791</v>
      </c>
      <c r="G544" s="10" t="s">
        <v>160</v>
      </c>
      <c r="H544" s="13">
        <v>6</v>
      </c>
      <c r="I544" s="96">
        <v>629</v>
      </c>
      <c r="J544" s="62">
        <v>2</v>
      </c>
      <c r="K544" s="13" t="s">
        <v>1279</v>
      </c>
      <c r="L544" s="13">
        <v>0</v>
      </c>
      <c r="M544" s="13" t="s">
        <v>1239</v>
      </c>
      <c r="N544" s="13" t="s">
        <v>1221</v>
      </c>
      <c r="O544" s="8" t="s">
        <v>155</v>
      </c>
      <c r="P544" s="8" t="s">
        <v>156</v>
      </c>
      <c r="Q544" s="14">
        <v>42262</v>
      </c>
      <c r="R544" s="3" t="s">
        <v>2309</v>
      </c>
    </row>
    <row r="545" spans="1:18" s="7" customFormat="1" ht="19.149999999999999" customHeight="1" x14ac:dyDescent="0.3">
      <c r="A545" s="24">
        <v>544</v>
      </c>
      <c r="B545" s="10" t="s">
        <v>135</v>
      </c>
      <c r="C545" s="10" t="s">
        <v>790</v>
      </c>
      <c r="D545" s="8">
        <v>245</v>
      </c>
      <c r="E545" s="11" t="s">
        <v>267</v>
      </c>
      <c r="F545" s="11" t="s">
        <v>792</v>
      </c>
      <c r="G545" s="10" t="s">
        <v>160</v>
      </c>
      <c r="H545" s="13">
        <v>3</v>
      </c>
      <c r="I545" s="96">
        <v>90</v>
      </c>
      <c r="J545" s="177">
        <v>3</v>
      </c>
      <c r="K545" s="174" t="s">
        <v>3468</v>
      </c>
      <c r="L545" s="13">
        <v>0</v>
      </c>
      <c r="M545" s="13" t="s">
        <v>1239</v>
      </c>
      <c r="N545" s="13" t="s">
        <v>1221</v>
      </c>
      <c r="O545" s="8" t="s">
        <v>157</v>
      </c>
      <c r="P545" s="8" t="s">
        <v>158</v>
      </c>
      <c r="Q545" s="14">
        <v>42935</v>
      </c>
      <c r="R545" s="11"/>
    </row>
    <row r="546" spans="1:18" s="37" customFormat="1" ht="19.149999999999999" customHeight="1" x14ac:dyDescent="0.3">
      <c r="A546" s="8">
        <v>545</v>
      </c>
      <c r="B546" s="8" t="s">
        <v>135</v>
      </c>
      <c r="C546" s="8" t="s">
        <v>785</v>
      </c>
      <c r="D546" s="8">
        <v>246</v>
      </c>
      <c r="E546" s="16" t="s">
        <v>212</v>
      </c>
      <c r="F546" s="16" t="s">
        <v>786</v>
      </c>
      <c r="G546" s="8" t="s">
        <v>318</v>
      </c>
      <c r="H546" s="13">
        <v>7</v>
      </c>
      <c r="I546" s="96">
        <v>1121</v>
      </c>
      <c r="J546" s="62">
        <v>0</v>
      </c>
      <c r="K546" s="13" t="s">
        <v>310</v>
      </c>
      <c r="L546" s="13">
        <v>0</v>
      </c>
      <c r="M546" s="13" t="s">
        <v>1239</v>
      </c>
      <c r="N546" s="13" t="s">
        <v>1221</v>
      </c>
      <c r="O546" s="8" t="s">
        <v>155</v>
      </c>
      <c r="P546" s="8" t="s">
        <v>156</v>
      </c>
      <c r="Q546" s="14">
        <v>41782</v>
      </c>
      <c r="R546" s="19"/>
    </row>
    <row r="547" spans="1:18" s="7" customFormat="1" ht="19.149999999999999" customHeight="1" x14ac:dyDescent="0.3">
      <c r="A547" s="24">
        <v>546</v>
      </c>
      <c r="B547" s="8" t="s">
        <v>135</v>
      </c>
      <c r="C547" s="8" t="s">
        <v>140</v>
      </c>
      <c r="D547" s="8">
        <v>246</v>
      </c>
      <c r="E547" s="19" t="s">
        <v>2310</v>
      </c>
      <c r="F547" s="19" t="s">
        <v>1138</v>
      </c>
      <c r="G547" s="8" t="s">
        <v>150</v>
      </c>
      <c r="H547" s="13">
        <v>9</v>
      </c>
      <c r="I547" s="96">
        <v>1531</v>
      </c>
      <c r="J547" s="62">
        <v>1</v>
      </c>
      <c r="K547" s="13" t="s">
        <v>1516</v>
      </c>
      <c r="L547" s="13">
        <v>0</v>
      </c>
      <c r="M547" s="13" t="s">
        <v>1239</v>
      </c>
      <c r="N547" s="13" t="s">
        <v>1221</v>
      </c>
      <c r="O547" s="10" t="s">
        <v>151</v>
      </c>
      <c r="P547" s="8" t="s">
        <v>152</v>
      </c>
      <c r="Q547" s="14">
        <v>38423</v>
      </c>
      <c r="R547" s="12"/>
    </row>
    <row r="548" spans="1:18" s="7" customFormat="1" ht="19.149999999999999" customHeight="1" x14ac:dyDescent="0.3">
      <c r="A548" s="8">
        <v>547</v>
      </c>
      <c r="B548" s="8" t="s">
        <v>135</v>
      </c>
      <c r="C548" s="8" t="s">
        <v>140</v>
      </c>
      <c r="D548" s="8">
        <v>246</v>
      </c>
      <c r="E548" s="19" t="s">
        <v>2311</v>
      </c>
      <c r="F548" s="19" t="s">
        <v>784</v>
      </c>
      <c r="G548" s="8" t="s">
        <v>413</v>
      </c>
      <c r="H548" s="13">
        <v>6</v>
      </c>
      <c r="I548" s="96">
        <v>968</v>
      </c>
      <c r="J548" s="62">
        <v>0</v>
      </c>
      <c r="K548" s="13" t="s">
        <v>310</v>
      </c>
      <c r="L548" s="13">
        <v>0</v>
      </c>
      <c r="M548" s="13" t="s">
        <v>1239</v>
      </c>
      <c r="N548" s="13" t="s">
        <v>1221</v>
      </c>
      <c r="O548" s="10" t="s">
        <v>151</v>
      </c>
      <c r="P548" s="8" t="s">
        <v>152</v>
      </c>
      <c r="Q548" s="14">
        <v>42760</v>
      </c>
      <c r="R548" s="12"/>
    </row>
    <row r="549" spans="1:18" s="7" customFormat="1" ht="19.149999999999999" customHeight="1" x14ac:dyDescent="0.3">
      <c r="A549" s="24">
        <v>548</v>
      </c>
      <c r="B549" s="513" t="s">
        <v>2291</v>
      </c>
      <c r="C549" s="513" t="s">
        <v>2312</v>
      </c>
      <c r="D549" s="513">
        <v>246</v>
      </c>
      <c r="E549" s="597" t="s">
        <v>2313</v>
      </c>
      <c r="F549" s="597" t="s">
        <v>2314</v>
      </c>
      <c r="G549" s="513" t="s">
        <v>1278</v>
      </c>
      <c r="H549" s="514">
        <v>4</v>
      </c>
      <c r="I549" s="599">
        <v>262</v>
      </c>
      <c r="J549" s="510">
        <v>0</v>
      </c>
      <c r="K549" s="514" t="s">
        <v>310</v>
      </c>
      <c r="L549" s="514">
        <v>0</v>
      </c>
      <c r="M549" s="514" t="s">
        <v>1239</v>
      </c>
      <c r="N549" s="514" t="s">
        <v>1221</v>
      </c>
      <c r="O549" s="10" t="s">
        <v>151</v>
      </c>
      <c r="P549" s="8" t="s">
        <v>152</v>
      </c>
      <c r="Q549" s="515">
        <v>43882</v>
      </c>
      <c r="R549" s="516"/>
    </row>
    <row r="550" spans="1:18" s="7" customFormat="1" ht="19.149999999999999" customHeight="1" x14ac:dyDescent="0.3">
      <c r="A550" s="8">
        <v>549</v>
      </c>
      <c r="B550" s="8" t="s">
        <v>787</v>
      </c>
      <c r="C550" s="8" t="s">
        <v>785</v>
      </c>
      <c r="D550" s="8">
        <v>246</v>
      </c>
      <c r="E550" s="16" t="s">
        <v>788</v>
      </c>
      <c r="F550" s="16" t="s">
        <v>789</v>
      </c>
      <c r="G550" s="8" t="s">
        <v>318</v>
      </c>
      <c r="H550" s="13">
        <v>6</v>
      </c>
      <c r="I550" s="96">
        <v>1023</v>
      </c>
      <c r="J550" s="62">
        <v>0</v>
      </c>
      <c r="K550" s="13" t="s">
        <v>310</v>
      </c>
      <c r="L550" s="13">
        <v>0</v>
      </c>
      <c r="M550" s="13" t="s">
        <v>1239</v>
      </c>
      <c r="N550" s="13" t="s">
        <v>1221</v>
      </c>
      <c r="O550" s="23" t="s">
        <v>155</v>
      </c>
      <c r="P550" s="8" t="s">
        <v>156</v>
      </c>
      <c r="Q550" s="14">
        <v>41456</v>
      </c>
      <c r="R550" s="19"/>
    </row>
    <row r="551" spans="1:18" s="7" customFormat="1" ht="19.149999999999999" customHeight="1" x14ac:dyDescent="0.3">
      <c r="A551" s="24">
        <v>550</v>
      </c>
      <c r="B551" s="8" t="s">
        <v>135</v>
      </c>
      <c r="C551" s="8" t="s">
        <v>141</v>
      </c>
      <c r="D551" s="8">
        <v>247</v>
      </c>
      <c r="E551" s="16" t="s">
        <v>291</v>
      </c>
      <c r="F551" s="11" t="s">
        <v>2315</v>
      </c>
      <c r="G551" s="8" t="s">
        <v>310</v>
      </c>
      <c r="H551" s="13">
        <v>2</v>
      </c>
      <c r="I551" s="96">
        <v>292</v>
      </c>
      <c r="J551" s="62">
        <v>0</v>
      </c>
      <c r="K551" s="13" t="s">
        <v>310</v>
      </c>
      <c r="L551" s="13">
        <v>0</v>
      </c>
      <c r="M551" s="13" t="s">
        <v>1239</v>
      </c>
      <c r="N551" s="13" t="s">
        <v>1221</v>
      </c>
      <c r="O551" s="8" t="s">
        <v>2316</v>
      </c>
      <c r="P551" s="10"/>
      <c r="Q551" s="14">
        <v>40420</v>
      </c>
      <c r="R551" s="11"/>
    </row>
    <row r="552" spans="1:18" s="7" customFormat="1" ht="19.149999999999999" customHeight="1" x14ac:dyDescent="0.3">
      <c r="A552" s="8">
        <v>551</v>
      </c>
      <c r="B552" s="10" t="s">
        <v>135</v>
      </c>
      <c r="C552" s="10" t="s">
        <v>142</v>
      </c>
      <c r="D552" s="8">
        <v>248</v>
      </c>
      <c r="E552" s="11" t="s">
        <v>2317</v>
      </c>
      <c r="F552" s="11" t="s">
        <v>780</v>
      </c>
      <c r="G552" s="10" t="s">
        <v>318</v>
      </c>
      <c r="H552" s="13">
        <v>7</v>
      </c>
      <c r="I552" s="96">
        <v>1223</v>
      </c>
      <c r="J552" s="62">
        <v>0</v>
      </c>
      <c r="K552" s="13" t="s">
        <v>310</v>
      </c>
      <c r="L552" s="13">
        <v>0</v>
      </c>
      <c r="M552" s="13" t="s">
        <v>1239</v>
      </c>
      <c r="N552" s="13" t="s">
        <v>1221</v>
      </c>
      <c r="O552" s="10" t="s">
        <v>151</v>
      </c>
      <c r="P552" s="8" t="s">
        <v>152</v>
      </c>
      <c r="Q552" s="14">
        <v>38988</v>
      </c>
      <c r="R552" s="11"/>
    </row>
    <row r="553" spans="1:18" s="7" customFormat="1" ht="19.149999999999999" customHeight="1" x14ac:dyDescent="0.3">
      <c r="A553" s="24">
        <v>552</v>
      </c>
      <c r="B553" s="10" t="s">
        <v>135</v>
      </c>
      <c r="C553" s="10" t="s">
        <v>143</v>
      </c>
      <c r="D553" s="8">
        <v>249</v>
      </c>
      <c r="E553" s="11" t="s">
        <v>794</v>
      </c>
      <c r="F553" s="11" t="s">
        <v>795</v>
      </c>
      <c r="G553" s="10" t="s">
        <v>160</v>
      </c>
      <c r="H553" s="13">
        <v>6</v>
      </c>
      <c r="I553" s="96">
        <v>528</v>
      </c>
      <c r="J553" s="177">
        <v>6</v>
      </c>
      <c r="K553" s="174" t="s">
        <v>3476</v>
      </c>
      <c r="L553" s="13">
        <v>0</v>
      </c>
      <c r="M553" s="13" t="s">
        <v>1239</v>
      </c>
      <c r="N553" s="13" t="s">
        <v>1221</v>
      </c>
      <c r="O553" s="8" t="s">
        <v>157</v>
      </c>
      <c r="P553" s="8" t="s">
        <v>158</v>
      </c>
      <c r="Q553" s="14">
        <v>42856</v>
      </c>
      <c r="R553" s="3" t="s">
        <v>796</v>
      </c>
    </row>
    <row r="554" spans="1:18" s="7" customFormat="1" ht="19.149999999999999" customHeight="1" x14ac:dyDescent="0.3">
      <c r="A554" s="8">
        <v>553</v>
      </c>
      <c r="B554" s="8" t="s">
        <v>2291</v>
      </c>
      <c r="C554" s="8" t="s">
        <v>2318</v>
      </c>
      <c r="D554" s="8">
        <v>249</v>
      </c>
      <c r="E554" s="16" t="s">
        <v>2319</v>
      </c>
      <c r="F554" s="11" t="s">
        <v>2320</v>
      </c>
      <c r="G554" s="8" t="s">
        <v>1239</v>
      </c>
      <c r="H554" s="13">
        <v>1</v>
      </c>
      <c r="I554" s="96">
        <v>108</v>
      </c>
      <c r="J554" s="62">
        <v>0</v>
      </c>
      <c r="K554" s="13" t="s">
        <v>310</v>
      </c>
      <c r="L554" s="13">
        <v>0</v>
      </c>
      <c r="M554" s="13" t="s">
        <v>1239</v>
      </c>
      <c r="N554" s="13" t="s">
        <v>1221</v>
      </c>
      <c r="O554" s="8" t="s">
        <v>2321</v>
      </c>
      <c r="P554" s="10" t="s">
        <v>2322</v>
      </c>
      <c r="Q554" s="14">
        <v>44588</v>
      </c>
      <c r="R554" s="11"/>
    </row>
    <row r="555" spans="1:18" s="7" customFormat="1" ht="19.149999999999999" customHeight="1" x14ac:dyDescent="0.3">
      <c r="A555" s="24">
        <v>554</v>
      </c>
      <c r="B555" s="8" t="s">
        <v>135</v>
      </c>
      <c r="C555" s="8" t="s">
        <v>143</v>
      </c>
      <c r="D555" s="8">
        <v>249</v>
      </c>
      <c r="E555" s="19" t="s">
        <v>2323</v>
      </c>
      <c r="F555" s="19" t="s">
        <v>793</v>
      </c>
      <c r="G555" s="8" t="s">
        <v>160</v>
      </c>
      <c r="H555" s="13">
        <v>5</v>
      </c>
      <c r="I555" s="96">
        <v>454</v>
      </c>
      <c r="J555" s="62">
        <v>5</v>
      </c>
      <c r="K555" s="13" t="s">
        <v>1700</v>
      </c>
      <c r="L555" s="13">
        <v>0</v>
      </c>
      <c r="M555" s="13" t="s">
        <v>1239</v>
      </c>
      <c r="N555" s="13" t="s">
        <v>1221</v>
      </c>
      <c r="O555" s="23" t="s">
        <v>155</v>
      </c>
      <c r="P555" s="8" t="s">
        <v>156</v>
      </c>
      <c r="Q555" s="14">
        <v>42725</v>
      </c>
      <c r="R555" s="12" t="s">
        <v>2324</v>
      </c>
    </row>
    <row r="556" spans="1:18" s="7" customFormat="1" ht="19.149999999999999" customHeight="1" x14ac:dyDescent="0.3">
      <c r="A556" s="8">
        <v>555</v>
      </c>
      <c r="B556" s="8" t="s">
        <v>2291</v>
      </c>
      <c r="C556" s="8" t="s">
        <v>2318</v>
      </c>
      <c r="D556" s="8">
        <v>249</v>
      </c>
      <c r="E556" s="19" t="s">
        <v>3129</v>
      </c>
      <c r="F556" s="19" t="s">
        <v>2325</v>
      </c>
      <c r="G556" s="8" t="s">
        <v>1264</v>
      </c>
      <c r="H556" s="13">
        <v>7</v>
      </c>
      <c r="I556" s="96">
        <v>777</v>
      </c>
      <c r="J556" s="62">
        <v>5</v>
      </c>
      <c r="K556" s="13" t="s">
        <v>1608</v>
      </c>
      <c r="L556" s="13">
        <v>0</v>
      </c>
      <c r="M556" s="13" t="s">
        <v>1239</v>
      </c>
      <c r="N556" s="13" t="s">
        <v>1221</v>
      </c>
      <c r="O556" s="8" t="s">
        <v>157</v>
      </c>
      <c r="P556" s="8" t="s">
        <v>158</v>
      </c>
      <c r="Q556" s="14">
        <v>43552</v>
      </c>
      <c r="R556" s="12" t="s">
        <v>3128</v>
      </c>
    </row>
    <row r="557" spans="1:18" s="7" customFormat="1" ht="19.149999999999999" customHeight="1" x14ac:dyDescent="0.3">
      <c r="A557" s="24">
        <v>556</v>
      </c>
      <c r="B557" s="8" t="s">
        <v>2291</v>
      </c>
      <c r="C557" s="8" t="s">
        <v>2318</v>
      </c>
      <c r="D557" s="8">
        <v>249</v>
      </c>
      <c r="E557" s="19" t="s">
        <v>2326</v>
      </c>
      <c r="F557" s="19" t="s">
        <v>2327</v>
      </c>
      <c r="G557" s="8" t="s">
        <v>1278</v>
      </c>
      <c r="H557" s="13">
        <v>3</v>
      </c>
      <c r="I557" s="96">
        <v>411</v>
      </c>
      <c r="J557" s="62">
        <v>0</v>
      </c>
      <c r="K557" s="13" t="s">
        <v>310</v>
      </c>
      <c r="L557" s="13">
        <v>0</v>
      </c>
      <c r="M557" s="13" t="s">
        <v>1239</v>
      </c>
      <c r="N557" s="13" t="s">
        <v>1221</v>
      </c>
      <c r="O557" s="10" t="s">
        <v>151</v>
      </c>
      <c r="P557" s="8" t="s">
        <v>152</v>
      </c>
      <c r="Q557" s="14">
        <v>43829</v>
      </c>
      <c r="R557" s="12"/>
    </row>
    <row r="558" spans="1:18" s="7" customFormat="1" ht="19.149999999999999" customHeight="1" x14ac:dyDescent="0.3">
      <c r="A558" s="8">
        <v>557</v>
      </c>
      <c r="B558" s="99" t="s">
        <v>3565</v>
      </c>
      <c r="C558" s="99" t="s">
        <v>3566</v>
      </c>
      <c r="D558" s="99">
        <v>250</v>
      </c>
      <c r="E558" s="56" t="s">
        <v>3568</v>
      </c>
      <c r="F558" s="56" t="s">
        <v>3570</v>
      </c>
      <c r="G558" s="99" t="s">
        <v>3571</v>
      </c>
      <c r="H558" s="88">
        <v>2</v>
      </c>
      <c r="I558" s="102">
        <v>100</v>
      </c>
      <c r="J558" s="71">
        <v>0</v>
      </c>
      <c r="K558" s="88" t="s">
        <v>2373</v>
      </c>
      <c r="L558" s="88">
        <v>0</v>
      </c>
      <c r="M558" s="88" t="s">
        <v>2373</v>
      </c>
      <c r="N558" s="180" t="s">
        <v>3572</v>
      </c>
      <c r="O558" s="99" t="s">
        <v>3573</v>
      </c>
      <c r="P558" s="138" t="s">
        <v>3574</v>
      </c>
      <c r="Q558" s="45">
        <v>45133</v>
      </c>
      <c r="R558" s="30"/>
    </row>
    <row r="559" spans="1:18" s="7" customFormat="1" ht="19.149999999999999" customHeight="1" x14ac:dyDescent="0.3">
      <c r="A559" s="24">
        <v>558</v>
      </c>
      <c r="B559" s="8" t="s">
        <v>2277</v>
      </c>
      <c r="C559" s="8" t="s">
        <v>2328</v>
      </c>
      <c r="D559" s="8">
        <v>251</v>
      </c>
      <c r="E559" s="56" t="s">
        <v>2329</v>
      </c>
      <c r="F559" s="16" t="s">
        <v>2330</v>
      </c>
      <c r="G559" s="8" t="s">
        <v>1228</v>
      </c>
      <c r="H559" s="13">
        <v>2</v>
      </c>
      <c r="I559" s="96">
        <v>98</v>
      </c>
      <c r="J559" s="62">
        <v>0</v>
      </c>
      <c r="K559" s="13" t="s">
        <v>1228</v>
      </c>
      <c r="L559" s="13">
        <v>0</v>
      </c>
      <c r="M559" s="13" t="s">
        <v>1239</v>
      </c>
      <c r="N559" s="13" t="s">
        <v>1521</v>
      </c>
      <c r="O559" s="8" t="s">
        <v>2331</v>
      </c>
      <c r="P559" s="100" t="s">
        <v>1666</v>
      </c>
      <c r="Q559" s="14">
        <v>43140</v>
      </c>
      <c r="R559" s="30" t="s">
        <v>2332</v>
      </c>
    </row>
    <row r="560" spans="1:18" s="7" customFormat="1" ht="19.149999999999999" customHeight="1" x14ac:dyDescent="0.3">
      <c r="A560" s="8">
        <v>559</v>
      </c>
      <c r="B560" s="8" t="s">
        <v>2291</v>
      </c>
      <c r="C560" s="8" t="s">
        <v>1914</v>
      </c>
      <c r="D560" s="8">
        <v>253</v>
      </c>
      <c r="E560" s="16" t="s">
        <v>2333</v>
      </c>
      <c r="F560" s="11" t="s">
        <v>2334</v>
      </c>
      <c r="G560" s="8" t="s">
        <v>1278</v>
      </c>
      <c r="H560" s="13">
        <v>2</v>
      </c>
      <c r="I560" s="96">
        <v>116</v>
      </c>
      <c r="J560" s="62">
        <v>0</v>
      </c>
      <c r="K560" s="13" t="s">
        <v>1239</v>
      </c>
      <c r="L560" s="13">
        <v>0</v>
      </c>
      <c r="M560" s="13" t="s">
        <v>1239</v>
      </c>
      <c r="N560" s="13" t="s">
        <v>1521</v>
      </c>
      <c r="O560" s="8" t="s">
        <v>2335</v>
      </c>
      <c r="P560" s="8" t="s">
        <v>152</v>
      </c>
      <c r="Q560" s="14">
        <v>44112</v>
      </c>
      <c r="R560" s="30" t="s">
        <v>2336</v>
      </c>
    </row>
    <row r="561" spans="1:18" s="7" customFormat="1" ht="19.149999999999999" customHeight="1" x14ac:dyDescent="0.3">
      <c r="A561" s="24">
        <v>560</v>
      </c>
      <c r="B561" s="8" t="s">
        <v>2277</v>
      </c>
      <c r="C561" s="8" t="s">
        <v>2337</v>
      </c>
      <c r="D561" s="8">
        <v>254</v>
      </c>
      <c r="E561" s="16" t="s">
        <v>2338</v>
      </c>
      <c r="F561" s="16" t="s">
        <v>2339</v>
      </c>
      <c r="G561" s="8" t="s">
        <v>1228</v>
      </c>
      <c r="H561" s="13">
        <v>1</v>
      </c>
      <c r="I561" s="96">
        <v>212</v>
      </c>
      <c r="J561" s="62">
        <v>0</v>
      </c>
      <c r="K561" s="13" t="s">
        <v>1228</v>
      </c>
      <c r="L561" s="13">
        <v>0</v>
      </c>
      <c r="M561" s="13" t="s">
        <v>1239</v>
      </c>
      <c r="N561" s="13" t="s">
        <v>1521</v>
      </c>
      <c r="O561" s="23" t="s">
        <v>2340</v>
      </c>
      <c r="P561" s="8" t="s">
        <v>1178</v>
      </c>
      <c r="Q561" s="14">
        <v>42436</v>
      </c>
      <c r="R561" s="30" t="s">
        <v>2341</v>
      </c>
    </row>
    <row r="562" spans="1:18" s="7" customFormat="1" ht="19.149999999999999" customHeight="1" x14ac:dyDescent="0.3">
      <c r="A562" s="8">
        <v>561</v>
      </c>
      <c r="B562" s="24" t="s">
        <v>2291</v>
      </c>
      <c r="C562" s="24" t="s">
        <v>2342</v>
      </c>
      <c r="D562" s="24">
        <v>255</v>
      </c>
      <c r="E562" s="501" t="s">
        <v>3548</v>
      </c>
      <c r="F562" s="44" t="s">
        <v>2343</v>
      </c>
      <c r="G562" s="24" t="s">
        <v>820</v>
      </c>
      <c r="H562" s="13">
        <v>1</v>
      </c>
      <c r="I562" s="13">
        <v>152</v>
      </c>
      <c r="J562" s="62">
        <v>0</v>
      </c>
      <c r="K562" s="13" t="s">
        <v>310</v>
      </c>
      <c r="L562" s="13">
        <v>0</v>
      </c>
      <c r="M562" s="13" t="s">
        <v>1239</v>
      </c>
      <c r="N562" s="13" t="s">
        <v>1521</v>
      </c>
      <c r="O562" s="8" t="s">
        <v>3637</v>
      </c>
      <c r="P562" s="24"/>
      <c r="Q562" s="14">
        <v>44259</v>
      </c>
      <c r="R562" s="501" t="s">
        <v>3549</v>
      </c>
    </row>
    <row r="563" spans="1:18" s="7" customFormat="1" ht="19.149999999999999" customHeight="1" x14ac:dyDescent="0.3">
      <c r="A563" s="24">
        <v>562</v>
      </c>
      <c r="B563" s="8" t="s">
        <v>2291</v>
      </c>
      <c r="C563" s="8" t="s">
        <v>2344</v>
      </c>
      <c r="D563" s="8">
        <v>256</v>
      </c>
      <c r="E563" s="16" t="s">
        <v>2345</v>
      </c>
      <c r="F563" s="16" t="s">
        <v>2346</v>
      </c>
      <c r="G563" s="8" t="s">
        <v>1239</v>
      </c>
      <c r="H563" s="13">
        <v>2</v>
      </c>
      <c r="I563" s="96">
        <v>98</v>
      </c>
      <c r="J563" s="62">
        <v>0</v>
      </c>
      <c r="K563" s="13" t="s">
        <v>1239</v>
      </c>
      <c r="L563" s="13">
        <v>0</v>
      </c>
      <c r="M563" s="13" t="s">
        <v>1239</v>
      </c>
      <c r="N563" s="13" t="s">
        <v>1521</v>
      </c>
      <c r="O563" s="23" t="s">
        <v>2347</v>
      </c>
      <c r="P563" s="8" t="s">
        <v>1177</v>
      </c>
      <c r="Q563" s="14">
        <v>44097</v>
      </c>
      <c r="R563" s="19"/>
    </row>
    <row r="564" spans="1:18" s="7" customFormat="1" ht="19.149999999999999" customHeight="1" x14ac:dyDescent="0.3">
      <c r="A564" s="8">
        <v>563</v>
      </c>
      <c r="B564" s="8" t="s">
        <v>135</v>
      </c>
      <c r="C564" s="8" t="s">
        <v>781</v>
      </c>
      <c r="D564" s="8">
        <v>258</v>
      </c>
      <c r="E564" s="16" t="s">
        <v>2348</v>
      </c>
      <c r="F564" s="16" t="s">
        <v>782</v>
      </c>
      <c r="G564" s="8" t="s">
        <v>160</v>
      </c>
      <c r="H564" s="13">
        <v>2</v>
      </c>
      <c r="I564" s="96">
        <v>410</v>
      </c>
      <c r="J564" s="62">
        <v>0</v>
      </c>
      <c r="K564" s="13" t="s">
        <v>310</v>
      </c>
      <c r="L564" s="13">
        <v>0</v>
      </c>
      <c r="M564" s="13" t="s">
        <v>1239</v>
      </c>
      <c r="N564" s="13" t="s">
        <v>1221</v>
      </c>
      <c r="O564" s="8" t="s">
        <v>155</v>
      </c>
      <c r="P564" s="8" t="s">
        <v>156</v>
      </c>
      <c r="Q564" s="14">
        <v>42209</v>
      </c>
      <c r="R564" s="30" t="s">
        <v>2349</v>
      </c>
    </row>
    <row r="565" spans="1:18" s="7" customFormat="1" ht="19.149999999999999" customHeight="1" x14ac:dyDescent="0.3">
      <c r="A565" s="24">
        <v>564</v>
      </c>
      <c r="B565" s="8" t="s">
        <v>2277</v>
      </c>
      <c r="C565" s="8" t="s">
        <v>2350</v>
      </c>
      <c r="D565" s="8">
        <v>259</v>
      </c>
      <c r="E565" s="16" t="s">
        <v>2351</v>
      </c>
      <c r="F565" s="16" t="s">
        <v>2352</v>
      </c>
      <c r="G565" s="8" t="s">
        <v>1228</v>
      </c>
      <c r="H565" s="13">
        <v>2</v>
      </c>
      <c r="I565" s="96">
        <v>99</v>
      </c>
      <c r="J565" s="62">
        <v>0</v>
      </c>
      <c r="K565" s="13" t="s">
        <v>1228</v>
      </c>
      <c r="L565" s="13">
        <v>0</v>
      </c>
      <c r="M565" s="13" t="s">
        <v>1239</v>
      </c>
      <c r="N565" s="13" t="s">
        <v>1521</v>
      </c>
      <c r="O565" s="8" t="s">
        <v>2353</v>
      </c>
      <c r="P565" s="8" t="s">
        <v>1179</v>
      </c>
      <c r="Q565" s="14">
        <v>42566</v>
      </c>
      <c r="R565" s="11"/>
    </row>
    <row r="566" spans="1:18" s="7" customFormat="1" ht="19.149999999999999" customHeight="1" x14ac:dyDescent="0.3">
      <c r="A566" s="8">
        <v>565</v>
      </c>
      <c r="B566" s="8" t="s">
        <v>200</v>
      </c>
      <c r="C566" s="8" t="s">
        <v>2354</v>
      </c>
      <c r="D566" s="8">
        <v>260</v>
      </c>
      <c r="E566" s="16" t="s">
        <v>2355</v>
      </c>
      <c r="F566" s="16" t="s">
        <v>2356</v>
      </c>
      <c r="G566" s="8" t="s">
        <v>1264</v>
      </c>
      <c r="H566" s="13">
        <v>6</v>
      </c>
      <c r="I566" s="96">
        <v>755</v>
      </c>
      <c r="J566" s="62">
        <v>2</v>
      </c>
      <c r="K566" s="13" t="s">
        <v>1279</v>
      </c>
      <c r="L566" s="13">
        <v>0</v>
      </c>
      <c r="M566" s="13" t="s">
        <v>1239</v>
      </c>
      <c r="N566" s="13" t="s">
        <v>1221</v>
      </c>
      <c r="O566" s="8" t="s">
        <v>155</v>
      </c>
      <c r="P566" s="8" t="s">
        <v>156</v>
      </c>
      <c r="Q566" s="14">
        <v>44904</v>
      </c>
      <c r="R566" s="19"/>
    </row>
    <row r="567" spans="1:18" s="7" customFormat="1" ht="19.149999999999999" customHeight="1" x14ac:dyDescent="0.3">
      <c r="A567" s="24">
        <v>566</v>
      </c>
      <c r="B567" s="8" t="s">
        <v>200</v>
      </c>
      <c r="C567" s="8" t="s">
        <v>817</v>
      </c>
      <c r="D567" s="8">
        <v>260</v>
      </c>
      <c r="E567" s="16" t="s">
        <v>2357</v>
      </c>
      <c r="F567" s="16" t="s">
        <v>818</v>
      </c>
      <c r="G567" s="8" t="s">
        <v>1278</v>
      </c>
      <c r="H567" s="13">
        <v>6</v>
      </c>
      <c r="I567" s="96">
        <v>592</v>
      </c>
      <c r="J567" s="62">
        <v>4</v>
      </c>
      <c r="K567" s="13" t="s">
        <v>1832</v>
      </c>
      <c r="L567" s="13">
        <v>0</v>
      </c>
      <c r="M567" s="13" t="s">
        <v>1239</v>
      </c>
      <c r="N567" s="13" t="s">
        <v>1221</v>
      </c>
      <c r="O567" s="8" t="s">
        <v>155</v>
      </c>
      <c r="P567" s="8" t="s">
        <v>156</v>
      </c>
      <c r="Q567" s="14">
        <v>43525</v>
      </c>
      <c r="R567" s="30" t="s">
        <v>2358</v>
      </c>
    </row>
    <row r="568" spans="1:18" s="7" customFormat="1" ht="19.149999999999999" customHeight="1" x14ac:dyDescent="0.3">
      <c r="A568" s="8">
        <v>567</v>
      </c>
      <c r="B568" s="10" t="s">
        <v>200</v>
      </c>
      <c r="C568" s="10" t="s">
        <v>147</v>
      </c>
      <c r="D568" s="8">
        <v>260</v>
      </c>
      <c r="E568" s="11" t="s">
        <v>2359</v>
      </c>
      <c r="F568" s="11" t="s">
        <v>814</v>
      </c>
      <c r="G568" s="10" t="s">
        <v>150</v>
      </c>
      <c r="H568" s="13">
        <v>6</v>
      </c>
      <c r="I568" s="96">
        <v>857</v>
      </c>
      <c r="J568" s="62">
        <v>0</v>
      </c>
      <c r="K568" s="13" t="s">
        <v>310</v>
      </c>
      <c r="L568" s="13">
        <v>0</v>
      </c>
      <c r="M568" s="13" t="s">
        <v>1239</v>
      </c>
      <c r="N568" s="13" t="s">
        <v>1221</v>
      </c>
      <c r="O568" s="10" t="s">
        <v>151</v>
      </c>
      <c r="P568" s="8" t="s">
        <v>152</v>
      </c>
      <c r="Q568" s="14">
        <v>42991</v>
      </c>
      <c r="R568" s="3" t="s">
        <v>815</v>
      </c>
    </row>
    <row r="569" spans="1:18" s="7" customFormat="1" ht="19.149999999999999" customHeight="1" x14ac:dyDescent="0.3">
      <c r="A569" s="24">
        <v>568</v>
      </c>
      <c r="B569" s="8" t="s">
        <v>200</v>
      </c>
      <c r="C569" s="8" t="s">
        <v>147</v>
      </c>
      <c r="D569" s="8">
        <v>260</v>
      </c>
      <c r="E569" s="19" t="s">
        <v>3145</v>
      </c>
      <c r="F569" s="16" t="s">
        <v>816</v>
      </c>
      <c r="G569" s="8" t="s">
        <v>160</v>
      </c>
      <c r="H569" s="13">
        <v>5</v>
      </c>
      <c r="I569" s="96">
        <v>372</v>
      </c>
      <c r="J569" s="62">
        <v>3</v>
      </c>
      <c r="K569" s="8" t="s">
        <v>3146</v>
      </c>
      <c r="L569" s="13">
        <v>0</v>
      </c>
      <c r="M569" s="13" t="s">
        <v>1239</v>
      </c>
      <c r="N569" s="13" t="s">
        <v>1221</v>
      </c>
      <c r="O569" s="8" t="s">
        <v>157</v>
      </c>
      <c r="P569" s="8" t="s">
        <v>158</v>
      </c>
      <c r="Q569" s="14">
        <v>43397</v>
      </c>
      <c r="R569" s="16" t="s">
        <v>3497</v>
      </c>
    </row>
    <row r="570" spans="1:18" s="7" customFormat="1" ht="19.149999999999999" customHeight="1" x14ac:dyDescent="0.3">
      <c r="A570" s="8">
        <v>569</v>
      </c>
      <c r="B570" s="10" t="s">
        <v>200</v>
      </c>
      <c r="C570" s="10" t="s">
        <v>147</v>
      </c>
      <c r="D570" s="8">
        <v>260</v>
      </c>
      <c r="E570" s="11" t="s">
        <v>2360</v>
      </c>
      <c r="F570" s="11" t="s">
        <v>813</v>
      </c>
      <c r="G570" s="10" t="s">
        <v>1264</v>
      </c>
      <c r="H570" s="13">
        <v>8</v>
      </c>
      <c r="I570" s="96">
        <v>842</v>
      </c>
      <c r="J570" s="62">
        <v>1</v>
      </c>
      <c r="K570" s="13" t="s">
        <v>188</v>
      </c>
      <c r="L570" s="13">
        <v>0</v>
      </c>
      <c r="M570" s="13" t="s">
        <v>1239</v>
      </c>
      <c r="N570" s="13" t="s">
        <v>1221</v>
      </c>
      <c r="O570" s="10" t="s">
        <v>151</v>
      </c>
      <c r="P570" s="8" t="s">
        <v>152</v>
      </c>
      <c r="Q570" s="14">
        <v>38806</v>
      </c>
      <c r="R570" s="3" t="s">
        <v>2361</v>
      </c>
    </row>
    <row r="571" spans="1:18" s="7" customFormat="1" ht="19.149999999999999" customHeight="1" x14ac:dyDescent="0.3">
      <c r="A571" s="24">
        <v>570</v>
      </c>
      <c r="B571" s="8" t="s">
        <v>2362</v>
      </c>
      <c r="C571" s="8" t="s">
        <v>2354</v>
      </c>
      <c r="D571" s="8">
        <v>260</v>
      </c>
      <c r="E571" s="30" t="s">
        <v>2363</v>
      </c>
      <c r="F571" s="19" t="s">
        <v>2364</v>
      </c>
      <c r="G571" s="8" t="s">
        <v>1228</v>
      </c>
      <c r="H571" s="28">
        <v>2</v>
      </c>
      <c r="I571" s="108">
        <v>98</v>
      </c>
      <c r="J571" s="73">
        <v>0</v>
      </c>
      <c r="K571" s="13" t="s">
        <v>310</v>
      </c>
      <c r="L571" s="13">
        <v>0</v>
      </c>
      <c r="M571" s="13" t="s">
        <v>1239</v>
      </c>
      <c r="N571" s="13" t="s">
        <v>1521</v>
      </c>
      <c r="O571" s="8" t="s">
        <v>2365</v>
      </c>
      <c r="P571" s="113" t="s">
        <v>2366</v>
      </c>
      <c r="Q571" s="14">
        <v>44294</v>
      </c>
      <c r="R571" s="30"/>
    </row>
    <row r="572" spans="1:18" s="7" customFormat="1" ht="19.149999999999999" customHeight="1" x14ac:dyDescent="0.3">
      <c r="A572" s="8">
        <v>571</v>
      </c>
      <c r="B572" s="63" t="s">
        <v>3590</v>
      </c>
      <c r="C572" s="99" t="s">
        <v>3591</v>
      </c>
      <c r="D572" s="99">
        <v>261</v>
      </c>
      <c r="E572" s="56" t="s">
        <v>3593</v>
      </c>
      <c r="F572" s="56" t="s">
        <v>3594</v>
      </c>
      <c r="G572" s="99" t="s">
        <v>2373</v>
      </c>
      <c r="H572" s="88">
        <v>2</v>
      </c>
      <c r="I572" s="102">
        <v>36</v>
      </c>
      <c r="J572" s="71">
        <v>0</v>
      </c>
      <c r="K572" s="88" t="s">
        <v>3571</v>
      </c>
      <c r="L572" s="88">
        <v>0</v>
      </c>
      <c r="M572" s="88" t="s">
        <v>2373</v>
      </c>
      <c r="N572" s="88" t="s">
        <v>2372</v>
      </c>
      <c r="O572" s="99" t="s">
        <v>3595</v>
      </c>
      <c r="P572" s="99" t="s">
        <v>3596</v>
      </c>
      <c r="Q572" s="45">
        <v>45144</v>
      </c>
      <c r="R572" s="56"/>
    </row>
    <row r="573" spans="1:18" s="7" customFormat="1" ht="19.149999999999999" customHeight="1" x14ac:dyDescent="0.3">
      <c r="A573" s="24">
        <v>572</v>
      </c>
      <c r="B573" s="8" t="s">
        <v>200</v>
      </c>
      <c r="C573" s="8" t="s">
        <v>148</v>
      </c>
      <c r="D573" s="8">
        <v>261</v>
      </c>
      <c r="E573" s="16" t="s">
        <v>226</v>
      </c>
      <c r="F573" s="16" t="s">
        <v>812</v>
      </c>
      <c r="G573" s="8" t="s">
        <v>160</v>
      </c>
      <c r="H573" s="13">
        <v>6</v>
      </c>
      <c r="I573" s="193">
        <v>648</v>
      </c>
      <c r="J573" s="62">
        <v>0</v>
      </c>
      <c r="K573" s="13" t="s">
        <v>310</v>
      </c>
      <c r="L573" s="13">
        <v>0</v>
      </c>
      <c r="M573" s="13" t="s">
        <v>1239</v>
      </c>
      <c r="N573" s="13" t="s">
        <v>1221</v>
      </c>
      <c r="O573" s="8" t="s">
        <v>155</v>
      </c>
      <c r="P573" s="8" t="s">
        <v>156</v>
      </c>
      <c r="Q573" s="14">
        <v>38714</v>
      </c>
      <c r="R573" s="19"/>
    </row>
    <row r="574" spans="1:18" s="7" customFormat="1" ht="19.149999999999999" customHeight="1" x14ac:dyDescent="0.3">
      <c r="A574" s="579">
        <v>573</v>
      </c>
      <c r="B574" s="99" t="s">
        <v>2362</v>
      </c>
      <c r="C574" s="99" t="s">
        <v>3144</v>
      </c>
      <c r="D574" s="99">
        <v>261</v>
      </c>
      <c r="E574" s="56" t="s">
        <v>3140</v>
      </c>
      <c r="F574" s="56" t="s">
        <v>3141</v>
      </c>
      <c r="G574" s="99" t="s">
        <v>1277</v>
      </c>
      <c r="H574" s="88">
        <v>3</v>
      </c>
      <c r="I574" s="495">
        <v>99</v>
      </c>
      <c r="J574" s="179">
        <v>3</v>
      </c>
      <c r="K574" s="180" t="s">
        <v>1809</v>
      </c>
      <c r="L574" s="88">
        <v>0</v>
      </c>
      <c r="M574" s="88" t="s">
        <v>820</v>
      </c>
      <c r="N574" s="88" t="s">
        <v>884</v>
      </c>
      <c r="O574" s="8" t="s">
        <v>157</v>
      </c>
      <c r="P574" s="8" t="s">
        <v>158</v>
      </c>
      <c r="Q574" s="45">
        <v>45189</v>
      </c>
      <c r="R574" s="30"/>
    </row>
    <row r="575" spans="1:18" ht="19.149999999999999" customHeight="1" x14ac:dyDescent="0.3">
      <c r="A575" s="121"/>
      <c r="B575" s="122"/>
      <c r="C575" s="122"/>
      <c r="D575" s="122"/>
      <c r="E575" s="126" t="s">
        <v>2367</v>
      </c>
      <c r="F575" s="124"/>
      <c r="G575" s="125"/>
      <c r="H575" s="115">
        <f>SUM(H2:H574)</f>
        <v>3371</v>
      </c>
      <c r="I575" s="115">
        <f>SUM(I2:I574)</f>
        <v>463935</v>
      </c>
      <c r="J575" s="115">
        <f>SUM(J2:J574)</f>
        <v>729</v>
      </c>
      <c r="K575" s="123"/>
      <c r="L575" s="115">
        <f>SUM(L2:L574)</f>
        <v>69</v>
      </c>
      <c r="M575" s="114"/>
      <c r="N575" s="118">
        <f>+COUNTIF(N2:N574,"Y")</f>
        <v>61</v>
      </c>
      <c r="O575" s="121"/>
      <c r="P575" s="122"/>
      <c r="Q575" s="122"/>
      <c r="R575" s="121"/>
    </row>
    <row r="577" spans="1:1" ht="19.149999999999999" customHeight="1" x14ac:dyDescent="0.3">
      <c r="A577" s="86" t="s">
        <v>2986</v>
      </c>
    </row>
    <row r="658" spans="1:18" s="7" customFormat="1" ht="19.149999999999999" customHeight="1" x14ac:dyDescent="0.3">
      <c r="A658" s="39"/>
      <c r="B658" s="39"/>
      <c r="C658" s="39"/>
      <c r="D658" s="39"/>
      <c r="E658" s="75"/>
      <c r="F658" s="75"/>
      <c r="G658" s="39"/>
      <c r="H658" s="77"/>
      <c r="I658" s="105"/>
      <c r="J658" s="76"/>
      <c r="K658" s="77"/>
      <c r="L658" s="77"/>
      <c r="M658" s="77"/>
      <c r="N658" s="77"/>
      <c r="O658" s="39"/>
      <c r="P658" s="39"/>
      <c r="Q658" s="78"/>
      <c r="R658" s="79"/>
    </row>
    <row r="659" spans="1:18" s="7" customFormat="1" ht="19.149999999999999" customHeight="1" x14ac:dyDescent="0.3">
      <c r="A659" s="39"/>
      <c r="B659" s="39"/>
      <c r="C659" s="39"/>
      <c r="D659" s="39"/>
      <c r="E659" s="75"/>
      <c r="F659" s="75"/>
      <c r="G659" s="39"/>
      <c r="H659" s="77"/>
      <c r="I659" s="105"/>
      <c r="J659" s="76"/>
      <c r="K659" s="77"/>
      <c r="L659" s="77"/>
      <c r="M659" s="77"/>
      <c r="N659" s="77"/>
      <c r="O659" s="39"/>
      <c r="P659" s="39"/>
      <c r="Q659" s="78"/>
      <c r="R659" s="79"/>
    </row>
  </sheetData>
  <autoFilter ref="A1:R575">
    <sortState ref="A2:R574">
      <sortCondition ref="D2:D574"/>
      <sortCondition ref="F2:F574"/>
    </sortState>
  </autoFilter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O5211"/>
  <sheetViews>
    <sheetView zoomScale="82" zoomScaleNormal="82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ColWidth="18" defaultRowHeight="16.5" x14ac:dyDescent="0.3"/>
  <cols>
    <col min="1" max="1" width="6.25" style="68" customWidth="1"/>
    <col min="2" max="3" width="8.75" style="67" customWidth="1"/>
    <col min="4" max="4" width="10.375" style="66" hidden="1" customWidth="1"/>
    <col min="5" max="5" width="25" style="60" customWidth="1"/>
    <col min="6" max="6" width="38.875" style="60" customWidth="1"/>
    <col min="7" max="7" width="8.875" style="60" customWidth="1"/>
    <col min="8" max="8" width="25.25" style="107" customWidth="1"/>
    <col min="9" max="9" width="10.625" style="66" customWidth="1"/>
    <col min="10" max="11" width="10.625" style="60" customWidth="1"/>
    <col min="12" max="12" width="26.375" style="67" bestFit="1" customWidth="1"/>
    <col min="13" max="13" width="11.875" style="67" customWidth="1"/>
    <col min="14" max="14" width="20.25" style="67" customWidth="1"/>
    <col min="15" max="15" width="24.375" style="67" customWidth="1"/>
    <col min="16" max="16384" width="18" style="60"/>
  </cols>
  <sheetData>
    <row r="1" spans="1:15" s="59" customFormat="1" ht="30" customHeight="1" thickBot="1" x14ac:dyDescent="0.35">
      <c r="A1" s="57" t="s">
        <v>842</v>
      </c>
      <c r="B1" s="57" t="s">
        <v>837</v>
      </c>
      <c r="C1" s="57" t="s">
        <v>190</v>
      </c>
      <c r="D1" s="58" t="s">
        <v>2368</v>
      </c>
      <c r="E1" s="57" t="s">
        <v>1</v>
      </c>
      <c r="F1" s="57" t="s">
        <v>0</v>
      </c>
      <c r="G1" s="54" t="s">
        <v>1209</v>
      </c>
      <c r="H1" s="132" t="s">
        <v>2980</v>
      </c>
      <c r="I1" s="133" t="s">
        <v>2981</v>
      </c>
      <c r="J1" s="58" t="s">
        <v>2369</v>
      </c>
      <c r="K1" s="134" t="s">
        <v>2983</v>
      </c>
      <c r="L1" s="57" t="s">
        <v>2726</v>
      </c>
      <c r="M1" s="54" t="s">
        <v>843</v>
      </c>
      <c r="N1" s="54" t="s">
        <v>2370</v>
      </c>
      <c r="O1" s="54" t="s">
        <v>844</v>
      </c>
    </row>
    <row r="2" spans="1:15" ht="18" customHeight="1" thickTop="1" x14ac:dyDescent="0.3">
      <c r="A2" s="41">
        <v>1</v>
      </c>
      <c r="B2" s="10" t="s">
        <v>193</v>
      </c>
      <c r="C2" s="10" t="s">
        <v>3</v>
      </c>
      <c r="D2" s="62">
        <v>1</v>
      </c>
      <c r="E2" s="61" t="s">
        <v>1058</v>
      </c>
      <c r="F2" s="85" t="s">
        <v>2371</v>
      </c>
      <c r="G2" s="10" t="s">
        <v>820</v>
      </c>
      <c r="H2" s="10" t="s">
        <v>845</v>
      </c>
      <c r="I2" s="62">
        <v>50</v>
      </c>
      <c r="J2" s="10" t="s">
        <v>2372</v>
      </c>
      <c r="K2" s="10" t="s">
        <v>847</v>
      </c>
      <c r="L2" s="10" t="s">
        <v>2373</v>
      </c>
      <c r="M2" s="10" t="s">
        <v>2374</v>
      </c>
      <c r="N2" s="10" t="s">
        <v>2376</v>
      </c>
      <c r="O2" s="10"/>
    </row>
    <row r="3" spans="1:15" ht="18" customHeight="1" x14ac:dyDescent="0.3">
      <c r="A3" s="24">
        <v>2</v>
      </c>
      <c r="B3" s="10" t="s">
        <v>193</v>
      </c>
      <c r="C3" s="10" t="s">
        <v>3</v>
      </c>
      <c r="D3" s="62">
        <v>1</v>
      </c>
      <c r="E3" s="61" t="s">
        <v>2377</v>
      </c>
      <c r="F3" s="11" t="s">
        <v>1057</v>
      </c>
      <c r="G3" s="10" t="s">
        <v>820</v>
      </c>
      <c r="H3" s="10" t="s">
        <v>848</v>
      </c>
      <c r="I3" s="62">
        <v>52</v>
      </c>
      <c r="J3" s="10" t="s">
        <v>1221</v>
      </c>
      <c r="K3" s="10" t="s">
        <v>847</v>
      </c>
      <c r="L3" s="10" t="s">
        <v>820</v>
      </c>
      <c r="M3" s="10" t="s">
        <v>1521</v>
      </c>
      <c r="N3" s="10" t="s">
        <v>983</v>
      </c>
      <c r="O3" s="10"/>
    </row>
    <row r="4" spans="1:15" ht="18" customHeight="1" x14ac:dyDescent="0.3">
      <c r="A4" s="24">
        <v>3</v>
      </c>
      <c r="B4" s="10" t="s">
        <v>193</v>
      </c>
      <c r="C4" s="10" t="s">
        <v>3</v>
      </c>
      <c r="D4" s="62">
        <v>1</v>
      </c>
      <c r="E4" s="61" t="s">
        <v>2781</v>
      </c>
      <c r="F4" s="16" t="s">
        <v>1201</v>
      </c>
      <c r="G4" s="10" t="s">
        <v>1264</v>
      </c>
      <c r="H4" s="10" t="s">
        <v>979</v>
      </c>
      <c r="I4" s="62">
        <v>164</v>
      </c>
      <c r="J4" s="10" t="s">
        <v>847</v>
      </c>
      <c r="K4" s="10" t="s">
        <v>847</v>
      </c>
      <c r="L4" s="10" t="s">
        <v>310</v>
      </c>
      <c r="M4" s="10" t="s">
        <v>847</v>
      </c>
      <c r="N4" s="10" t="s">
        <v>310</v>
      </c>
      <c r="O4" s="10"/>
    </row>
    <row r="5" spans="1:15" ht="18" customHeight="1" x14ac:dyDescent="0.3">
      <c r="A5" s="24">
        <v>4</v>
      </c>
      <c r="B5" s="10" t="s">
        <v>193</v>
      </c>
      <c r="C5" s="10" t="s">
        <v>3</v>
      </c>
      <c r="D5" s="62">
        <v>1</v>
      </c>
      <c r="E5" s="61" t="s">
        <v>2781</v>
      </c>
      <c r="F5" s="16" t="s">
        <v>1201</v>
      </c>
      <c r="G5" s="10" t="s">
        <v>150</v>
      </c>
      <c r="H5" s="10" t="s">
        <v>2378</v>
      </c>
      <c r="I5" s="62">
        <v>80</v>
      </c>
      <c r="J5" s="10" t="s">
        <v>847</v>
      </c>
      <c r="K5" s="10" t="s">
        <v>847</v>
      </c>
      <c r="L5" s="10" t="s">
        <v>310</v>
      </c>
      <c r="M5" s="10" t="s">
        <v>847</v>
      </c>
      <c r="N5" s="10" t="s">
        <v>310</v>
      </c>
      <c r="O5" s="10"/>
    </row>
    <row r="6" spans="1:15" ht="18" customHeight="1" x14ac:dyDescent="0.3">
      <c r="A6" s="24">
        <v>5</v>
      </c>
      <c r="B6" s="10" t="s">
        <v>193</v>
      </c>
      <c r="C6" s="10" t="s">
        <v>3</v>
      </c>
      <c r="D6" s="62">
        <v>1</v>
      </c>
      <c r="E6" s="61" t="s">
        <v>2781</v>
      </c>
      <c r="F6" s="16" t="s">
        <v>1201</v>
      </c>
      <c r="G6" s="10" t="s">
        <v>150</v>
      </c>
      <c r="H6" s="10" t="s">
        <v>2379</v>
      </c>
      <c r="I6" s="62">
        <v>164</v>
      </c>
      <c r="J6" s="10" t="s">
        <v>847</v>
      </c>
      <c r="K6" s="10" t="s">
        <v>847</v>
      </c>
      <c r="L6" s="10" t="s">
        <v>310</v>
      </c>
      <c r="M6" s="10" t="s">
        <v>847</v>
      </c>
      <c r="N6" s="10" t="s">
        <v>310</v>
      </c>
      <c r="O6" s="10"/>
    </row>
    <row r="7" spans="1:15" ht="18" customHeight="1" x14ac:dyDescent="0.3">
      <c r="A7" s="24">
        <v>6</v>
      </c>
      <c r="B7" s="10" t="s">
        <v>193</v>
      </c>
      <c r="C7" s="10" t="s">
        <v>3</v>
      </c>
      <c r="D7" s="62">
        <v>1</v>
      </c>
      <c r="E7" s="61" t="s">
        <v>2781</v>
      </c>
      <c r="F7" s="16" t="s">
        <v>1201</v>
      </c>
      <c r="G7" s="10" t="s">
        <v>150</v>
      </c>
      <c r="H7" s="10" t="s">
        <v>2380</v>
      </c>
      <c r="I7" s="62">
        <v>82</v>
      </c>
      <c r="J7" s="10" t="s">
        <v>860</v>
      </c>
      <c r="K7" s="10" t="s">
        <v>847</v>
      </c>
      <c r="L7" s="10" t="s">
        <v>310</v>
      </c>
      <c r="M7" s="10" t="s">
        <v>847</v>
      </c>
      <c r="N7" s="10" t="s">
        <v>310</v>
      </c>
      <c r="O7" s="10"/>
    </row>
    <row r="8" spans="1:15" ht="18" customHeight="1" x14ac:dyDescent="0.3">
      <c r="A8" s="24">
        <v>7</v>
      </c>
      <c r="B8" s="10" t="s">
        <v>193</v>
      </c>
      <c r="C8" s="10" t="s">
        <v>3</v>
      </c>
      <c r="D8" s="62">
        <v>1</v>
      </c>
      <c r="E8" s="61" t="s">
        <v>2781</v>
      </c>
      <c r="F8" s="16" t="s">
        <v>1201</v>
      </c>
      <c r="G8" s="10" t="s">
        <v>150</v>
      </c>
      <c r="H8" s="10" t="s">
        <v>2381</v>
      </c>
      <c r="I8" s="62">
        <v>85</v>
      </c>
      <c r="J8" s="10" t="s">
        <v>847</v>
      </c>
      <c r="K8" s="10" t="s">
        <v>847</v>
      </c>
      <c r="L8" s="10" t="s">
        <v>310</v>
      </c>
      <c r="M8" s="10" t="s">
        <v>847</v>
      </c>
      <c r="N8" s="10" t="s">
        <v>310</v>
      </c>
      <c r="O8" s="10"/>
    </row>
    <row r="9" spans="1:15" ht="18" customHeight="1" x14ac:dyDescent="0.3">
      <c r="A9" s="24">
        <v>8</v>
      </c>
      <c r="B9" s="10" t="s">
        <v>193</v>
      </c>
      <c r="C9" s="10" t="s">
        <v>3</v>
      </c>
      <c r="D9" s="62">
        <v>1</v>
      </c>
      <c r="E9" s="61" t="s">
        <v>2781</v>
      </c>
      <c r="F9" s="16" t="s">
        <v>1201</v>
      </c>
      <c r="G9" s="10" t="s">
        <v>150</v>
      </c>
      <c r="H9" s="10" t="s">
        <v>2382</v>
      </c>
      <c r="I9" s="62">
        <v>141</v>
      </c>
      <c r="J9" s="10" t="s">
        <v>2374</v>
      </c>
      <c r="K9" s="10" t="s">
        <v>847</v>
      </c>
      <c r="L9" s="10" t="s">
        <v>310</v>
      </c>
      <c r="M9" s="10" t="s">
        <v>847</v>
      </c>
      <c r="N9" s="10" t="s">
        <v>310</v>
      </c>
      <c r="O9" s="10"/>
    </row>
    <row r="10" spans="1:15" ht="18" customHeight="1" x14ac:dyDescent="0.3">
      <c r="A10" s="24">
        <v>9</v>
      </c>
      <c r="B10" s="10" t="s">
        <v>193</v>
      </c>
      <c r="C10" s="10" t="s">
        <v>3</v>
      </c>
      <c r="D10" s="62">
        <v>1</v>
      </c>
      <c r="E10" s="61" t="s">
        <v>2781</v>
      </c>
      <c r="F10" s="16" t="s">
        <v>1201</v>
      </c>
      <c r="G10" s="10" t="s">
        <v>150</v>
      </c>
      <c r="H10" s="10" t="s">
        <v>1076</v>
      </c>
      <c r="I10" s="62">
        <v>141</v>
      </c>
      <c r="J10" s="10" t="s">
        <v>1942</v>
      </c>
      <c r="K10" s="10" t="s">
        <v>847</v>
      </c>
      <c r="L10" s="10" t="s">
        <v>310</v>
      </c>
      <c r="M10" s="10" t="s">
        <v>847</v>
      </c>
      <c r="N10" s="10" t="s">
        <v>310</v>
      </c>
      <c r="O10" s="10"/>
    </row>
    <row r="11" spans="1:15" ht="18" customHeight="1" x14ac:dyDescent="0.3">
      <c r="A11" s="24">
        <v>10</v>
      </c>
      <c r="B11" s="10" t="s">
        <v>193</v>
      </c>
      <c r="C11" s="10" t="s">
        <v>3</v>
      </c>
      <c r="D11" s="62">
        <v>1</v>
      </c>
      <c r="E11" s="61" t="s">
        <v>2781</v>
      </c>
      <c r="F11" s="16" t="s">
        <v>1201</v>
      </c>
      <c r="G11" s="10" t="s">
        <v>150</v>
      </c>
      <c r="H11" s="10" t="s">
        <v>2383</v>
      </c>
      <c r="I11" s="62">
        <v>116</v>
      </c>
      <c r="J11" s="10" t="s">
        <v>847</v>
      </c>
      <c r="K11" s="10" t="s">
        <v>847</v>
      </c>
      <c r="L11" s="10" t="s">
        <v>310</v>
      </c>
      <c r="M11" s="10" t="s">
        <v>847</v>
      </c>
      <c r="N11" s="10" t="s">
        <v>310</v>
      </c>
      <c r="O11" s="10"/>
    </row>
    <row r="12" spans="1:15" ht="18" customHeight="1" x14ac:dyDescent="0.3">
      <c r="A12" s="24">
        <v>11</v>
      </c>
      <c r="B12" s="10" t="s">
        <v>193</v>
      </c>
      <c r="C12" s="10" t="s">
        <v>3</v>
      </c>
      <c r="D12" s="62">
        <v>1</v>
      </c>
      <c r="E12" s="61" t="s">
        <v>2782</v>
      </c>
      <c r="F12" s="16" t="s">
        <v>395</v>
      </c>
      <c r="G12" s="10" t="s">
        <v>150</v>
      </c>
      <c r="H12" s="10" t="s">
        <v>845</v>
      </c>
      <c r="I12" s="62">
        <v>160</v>
      </c>
      <c r="J12" s="10" t="s">
        <v>1521</v>
      </c>
      <c r="K12" s="10" t="s">
        <v>847</v>
      </c>
      <c r="L12" s="10" t="s">
        <v>1239</v>
      </c>
      <c r="M12" s="10" t="s">
        <v>1221</v>
      </c>
      <c r="N12" s="10" t="s">
        <v>1239</v>
      </c>
      <c r="O12" s="10"/>
    </row>
    <row r="13" spans="1:15" ht="18" customHeight="1" x14ac:dyDescent="0.3">
      <c r="A13" s="24">
        <v>12</v>
      </c>
      <c r="B13" s="10" t="s">
        <v>193</v>
      </c>
      <c r="C13" s="10" t="s">
        <v>3</v>
      </c>
      <c r="D13" s="62">
        <v>1</v>
      </c>
      <c r="E13" s="61" t="s">
        <v>2783</v>
      </c>
      <c r="F13" s="16" t="s">
        <v>395</v>
      </c>
      <c r="G13" s="10" t="s">
        <v>150</v>
      </c>
      <c r="H13" s="10" t="s">
        <v>848</v>
      </c>
      <c r="I13" s="62">
        <v>93</v>
      </c>
      <c r="J13" s="10" t="s">
        <v>1221</v>
      </c>
      <c r="K13" s="10" t="s">
        <v>847</v>
      </c>
      <c r="L13" s="10" t="s">
        <v>1239</v>
      </c>
      <c r="M13" s="10" t="s">
        <v>1221</v>
      </c>
      <c r="N13" s="10" t="s">
        <v>1239</v>
      </c>
      <c r="O13" s="10"/>
    </row>
    <row r="14" spans="1:15" ht="18" customHeight="1" x14ac:dyDescent="0.3">
      <c r="A14" s="24">
        <v>13</v>
      </c>
      <c r="B14" s="10" t="s">
        <v>193</v>
      </c>
      <c r="C14" s="10" t="s">
        <v>3</v>
      </c>
      <c r="D14" s="62">
        <v>1</v>
      </c>
      <c r="E14" s="61" t="s">
        <v>2782</v>
      </c>
      <c r="F14" s="16" t="s">
        <v>395</v>
      </c>
      <c r="G14" s="10" t="s">
        <v>150</v>
      </c>
      <c r="H14" s="10" t="s">
        <v>849</v>
      </c>
      <c r="I14" s="62">
        <v>262</v>
      </c>
      <c r="J14" s="10" t="s">
        <v>1221</v>
      </c>
      <c r="K14" s="10" t="s">
        <v>847</v>
      </c>
      <c r="L14" s="10" t="s">
        <v>1239</v>
      </c>
      <c r="M14" s="10" t="s">
        <v>1221</v>
      </c>
      <c r="N14" s="10" t="s">
        <v>1239</v>
      </c>
      <c r="O14" s="10"/>
    </row>
    <row r="15" spans="1:15" ht="18" customHeight="1" x14ac:dyDescent="0.3">
      <c r="A15" s="24">
        <v>14</v>
      </c>
      <c r="B15" s="10" t="s">
        <v>193</v>
      </c>
      <c r="C15" s="10" t="s">
        <v>3</v>
      </c>
      <c r="D15" s="62">
        <v>1</v>
      </c>
      <c r="E15" s="61" t="s">
        <v>2783</v>
      </c>
      <c r="F15" s="16" t="s">
        <v>395</v>
      </c>
      <c r="G15" s="10" t="s">
        <v>150</v>
      </c>
      <c r="H15" s="10" t="s">
        <v>850</v>
      </c>
      <c r="I15" s="62">
        <v>117</v>
      </c>
      <c r="J15" s="10" t="s">
        <v>1521</v>
      </c>
      <c r="K15" s="10" t="s">
        <v>847</v>
      </c>
      <c r="L15" s="10" t="s">
        <v>1239</v>
      </c>
      <c r="M15" s="10" t="s">
        <v>1221</v>
      </c>
      <c r="N15" s="10" t="s">
        <v>1239</v>
      </c>
      <c r="O15" s="10"/>
    </row>
    <row r="16" spans="1:15" ht="18" customHeight="1" x14ac:dyDescent="0.3">
      <c r="A16" s="24">
        <v>15</v>
      </c>
      <c r="B16" s="10" t="s">
        <v>193</v>
      </c>
      <c r="C16" s="10" t="s">
        <v>3</v>
      </c>
      <c r="D16" s="62">
        <v>1</v>
      </c>
      <c r="E16" s="61" t="s">
        <v>1219</v>
      </c>
      <c r="F16" s="16" t="s">
        <v>395</v>
      </c>
      <c r="G16" s="10" t="s">
        <v>150</v>
      </c>
      <c r="H16" s="10" t="s">
        <v>851</v>
      </c>
      <c r="I16" s="62">
        <v>160</v>
      </c>
      <c r="J16" s="10" t="s">
        <v>1221</v>
      </c>
      <c r="K16" s="10" t="s">
        <v>847</v>
      </c>
      <c r="L16" s="10" t="s">
        <v>1239</v>
      </c>
      <c r="M16" s="10" t="s">
        <v>1221</v>
      </c>
      <c r="N16" s="10" t="s">
        <v>1239</v>
      </c>
      <c r="O16" s="10"/>
    </row>
    <row r="17" spans="1:15" ht="18" customHeight="1" x14ac:dyDescent="0.3">
      <c r="A17" s="24">
        <v>16</v>
      </c>
      <c r="B17" s="10" t="s">
        <v>193</v>
      </c>
      <c r="C17" s="10" t="s">
        <v>3</v>
      </c>
      <c r="D17" s="62">
        <v>1</v>
      </c>
      <c r="E17" s="61" t="s">
        <v>1219</v>
      </c>
      <c r="F17" s="16" t="s">
        <v>395</v>
      </c>
      <c r="G17" s="10" t="s">
        <v>150</v>
      </c>
      <c r="H17" s="10" t="s">
        <v>852</v>
      </c>
      <c r="I17" s="62">
        <v>93</v>
      </c>
      <c r="J17" s="10" t="s">
        <v>884</v>
      </c>
      <c r="K17" s="10" t="s">
        <v>847</v>
      </c>
      <c r="L17" s="10" t="s">
        <v>1239</v>
      </c>
      <c r="M17" s="10" t="s">
        <v>1221</v>
      </c>
      <c r="N17" s="10" t="s">
        <v>1239</v>
      </c>
      <c r="O17" s="10"/>
    </row>
    <row r="18" spans="1:15" ht="18" customHeight="1" x14ac:dyDescent="0.3">
      <c r="A18" s="24">
        <v>17</v>
      </c>
      <c r="B18" s="10" t="s">
        <v>316</v>
      </c>
      <c r="C18" s="10" t="s">
        <v>2384</v>
      </c>
      <c r="D18" s="8">
        <v>1</v>
      </c>
      <c r="E18" s="3" t="s">
        <v>1225</v>
      </c>
      <c r="F18" s="11" t="s">
        <v>1227</v>
      </c>
      <c r="G18" s="10" t="s">
        <v>1239</v>
      </c>
      <c r="H18" s="10" t="s">
        <v>2385</v>
      </c>
      <c r="I18" s="62">
        <v>286</v>
      </c>
      <c r="J18" s="10" t="s">
        <v>1221</v>
      </c>
      <c r="K18" s="10" t="s">
        <v>847</v>
      </c>
      <c r="L18" s="10" t="s">
        <v>1239</v>
      </c>
      <c r="M18" s="10" t="s">
        <v>1521</v>
      </c>
      <c r="N18" s="10" t="s">
        <v>1234</v>
      </c>
      <c r="O18" s="10"/>
    </row>
    <row r="19" spans="1:15" ht="18" customHeight="1" x14ac:dyDescent="0.3">
      <c r="A19" s="24">
        <v>18</v>
      </c>
      <c r="B19" s="10" t="s">
        <v>193</v>
      </c>
      <c r="C19" s="10" t="s">
        <v>3</v>
      </c>
      <c r="D19" s="8">
        <v>1</v>
      </c>
      <c r="E19" s="3" t="s">
        <v>2386</v>
      </c>
      <c r="F19" s="11" t="s">
        <v>1227</v>
      </c>
      <c r="G19" s="10" t="s">
        <v>1239</v>
      </c>
      <c r="H19" s="10" t="s">
        <v>2385</v>
      </c>
      <c r="I19" s="62">
        <v>300</v>
      </c>
      <c r="J19" s="10" t="s">
        <v>1221</v>
      </c>
      <c r="K19" s="10" t="s">
        <v>847</v>
      </c>
      <c r="L19" s="10" t="s">
        <v>1239</v>
      </c>
      <c r="M19" s="10" t="s">
        <v>1521</v>
      </c>
      <c r="N19" s="10" t="s">
        <v>1234</v>
      </c>
      <c r="O19" s="10"/>
    </row>
    <row r="20" spans="1:15" ht="18" customHeight="1" x14ac:dyDescent="0.3">
      <c r="A20" s="24">
        <v>19</v>
      </c>
      <c r="B20" s="10" t="s">
        <v>193</v>
      </c>
      <c r="C20" s="10" t="s">
        <v>3</v>
      </c>
      <c r="D20" s="62">
        <v>1</v>
      </c>
      <c r="E20" s="61" t="s">
        <v>2387</v>
      </c>
      <c r="F20" s="11" t="s">
        <v>2388</v>
      </c>
      <c r="G20" s="10" t="s">
        <v>1239</v>
      </c>
      <c r="H20" s="10" t="s">
        <v>845</v>
      </c>
      <c r="I20" s="62">
        <v>293</v>
      </c>
      <c r="J20" s="10" t="s">
        <v>1221</v>
      </c>
      <c r="K20" s="10" t="s">
        <v>847</v>
      </c>
      <c r="L20" s="10" t="s">
        <v>1239</v>
      </c>
      <c r="M20" s="10" t="s">
        <v>1521</v>
      </c>
      <c r="N20" s="10" t="s">
        <v>1234</v>
      </c>
      <c r="O20" s="10"/>
    </row>
    <row r="21" spans="1:15" ht="18" customHeight="1" x14ac:dyDescent="0.3">
      <c r="A21" s="24">
        <v>20</v>
      </c>
      <c r="B21" s="10" t="s">
        <v>193</v>
      </c>
      <c r="C21" s="10" t="s">
        <v>3</v>
      </c>
      <c r="D21" s="62">
        <v>1</v>
      </c>
      <c r="E21" s="61" t="s">
        <v>2387</v>
      </c>
      <c r="F21" s="11" t="s">
        <v>2388</v>
      </c>
      <c r="G21" s="10" t="s">
        <v>1239</v>
      </c>
      <c r="H21" s="10" t="s">
        <v>848</v>
      </c>
      <c r="I21" s="62">
        <v>72</v>
      </c>
      <c r="J21" s="10" t="s">
        <v>1221</v>
      </c>
      <c r="K21" s="10" t="s">
        <v>847</v>
      </c>
      <c r="L21" s="10" t="s">
        <v>1239</v>
      </c>
      <c r="M21" s="10" t="s">
        <v>1521</v>
      </c>
      <c r="N21" s="10" t="s">
        <v>2389</v>
      </c>
      <c r="O21" s="10"/>
    </row>
    <row r="22" spans="1:15" ht="18" customHeight="1" x14ac:dyDescent="0.3">
      <c r="A22" s="24">
        <v>21</v>
      </c>
      <c r="B22" s="10" t="s">
        <v>193</v>
      </c>
      <c r="C22" s="10" t="s">
        <v>4</v>
      </c>
      <c r="D22" s="62">
        <v>2</v>
      </c>
      <c r="E22" s="61" t="s">
        <v>153</v>
      </c>
      <c r="F22" s="16" t="s">
        <v>1059</v>
      </c>
      <c r="G22" s="10" t="s">
        <v>150</v>
      </c>
      <c r="H22" s="10" t="s">
        <v>849</v>
      </c>
      <c r="I22" s="62">
        <v>189</v>
      </c>
      <c r="J22" s="8" t="s">
        <v>846</v>
      </c>
      <c r="K22" s="10" t="s">
        <v>847</v>
      </c>
      <c r="L22" s="10" t="s">
        <v>1239</v>
      </c>
      <c r="M22" s="10" t="s">
        <v>1221</v>
      </c>
      <c r="N22" s="10" t="s">
        <v>1239</v>
      </c>
      <c r="O22" s="10"/>
    </row>
    <row r="23" spans="1:15" ht="18" customHeight="1" x14ac:dyDescent="0.3">
      <c r="A23" s="24">
        <v>22</v>
      </c>
      <c r="B23" s="10" t="s">
        <v>193</v>
      </c>
      <c r="C23" s="10" t="s">
        <v>4</v>
      </c>
      <c r="D23" s="62">
        <v>2</v>
      </c>
      <c r="E23" s="61" t="s">
        <v>153</v>
      </c>
      <c r="F23" s="16" t="s">
        <v>404</v>
      </c>
      <c r="G23" s="10" t="s">
        <v>150</v>
      </c>
      <c r="H23" s="10" t="s">
        <v>845</v>
      </c>
      <c r="I23" s="62">
        <v>149</v>
      </c>
      <c r="J23" s="8" t="s">
        <v>1221</v>
      </c>
      <c r="K23" s="10" t="s">
        <v>847</v>
      </c>
      <c r="L23" s="10" t="s">
        <v>1239</v>
      </c>
      <c r="M23" s="10" t="s">
        <v>1221</v>
      </c>
      <c r="N23" s="10" t="s">
        <v>1239</v>
      </c>
      <c r="O23" s="10"/>
    </row>
    <row r="24" spans="1:15" ht="18" customHeight="1" x14ac:dyDescent="0.3">
      <c r="A24" s="24">
        <v>23</v>
      </c>
      <c r="B24" s="10" t="s">
        <v>193</v>
      </c>
      <c r="C24" s="10" t="s">
        <v>4</v>
      </c>
      <c r="D24" s="62">
        <v>2</v>
      </c>
      <c r="E24" s="61" t="s">
        <v>153</v>
      </c>
      <c r="F24" s="16" t="s">
        <v>404</v>
      </c>
      <c r="G24" s="10" t="s">
        <v>150</v>
      </c>
      <c r="H24" s="10" t="s">
        <v>848</v>
      </c>
      <c r="I24" s="62">
        <v>185</v>
      </c>
      <c r="J24" s="8" t="s">
        <v>846</v>
      </c>
      <c r="K24" s="10" t="s">
        <v>847</v>
      </c>
      <c r="L24" s="10" t="s">
        <v>1239</v>
      </c>
      <c r="M24" s="10" t="s">
        <v>1221</v>
      </c>
      <c r="N24" s="10" t="s">
        <v>1239</v>
      </c>
      <c r="O24" s="10"/>
    </row>
    <row r="25" spans="1:15" ht="18" customHeight="1" x14ac:dyDescent="0.3">
      <c r="A25" s="24">
        <v>24</v>
      </c>
      <c r="B25" s="10" t="s">
        <v>193</v>
      </c>
      <c r="C25" s="10" t="s">
        <v>4</v>
      </c>
      <c r="D25" s="62">
        <v>2</v>
      </c>
      <c r="E25" s="61" t="s">
        <v>153</v>
      </c>
      <c r="F25" s="16" t="s">
        <v>1078</v>
      </c>
      <c r="G25" s="10" t="s">
        <v>150</v>
      </c>
      <c r="H25" s="10" t="s">
        <v>2390</v>
      </c>
      <c r="I25" s="62">
        <v>153</v>
      </c>
      <c r="J25" s="8" t="s">
        <v>1221</v>
      </c>
      <c r="K25" s="10" t="s">
        <v>1221</v>
      </c>
      <c r="L25" s="10" t="s">
        <v>1239</v>
      </c>
      <c r="M25" s="10" t="s">
        <v>1221</v>
      </c>
      <c r="N25" s="10" t="s">
        <v>1239</v>
      </c>
      <c r="O25" s="10"/>
    </row>
    <row r="26" spans="1:15" ht="18" customHeight="1" x14ac:dyDescent="0.3">
      <c r="A26" s="24">
        <v>25</v>
      </c>
      <c r="B26" s="10" t="s">
        <v>193</v>
      </c>
      <c r="C26" s="10" t="s">
        <v>4</v>
      </c>
      <c r="D26" s="62">
        <v>2</v>
      </c>
      <c r="E26" s="61" t="s">
        <v>1157</v>
      </c>
      <c r="F26" s="16" t="s">
        <v>1078</v>
      </c>
      <c r="G26" s="10" t="s">
        <v>150</v>
      </c>
      <c r="H26" s="10" t="s">
        <v>2391</v>
      </c>
      <c r="I26" s="62">
        <v>34</v>
      </c>
      <c r="J26" s="8" t="s">
        <v>1221</v>
      </c>
      <c r="K26" s="10" t="s">
        <v>1521</v>
      </c>
      <c r="L26" s="10" t="s">
        <v>2392</v>
      </c>
      <c r="M26" s="10" t="s">
        <v>1221</v>
      </c>
      <c r="N26" s="10" t="s">
        <v>1239</v>
      </c>
      <c r="O26" s="63"/>
    </row>
    <row r="27" spans="1:15" ht="18" customHeight="1" x14ac:dyDescent="0.3">
      <c r="A27" s="24">
        <v>26</v>
      </c>
      <c r="B27" s="10" t="s">
        <v>193</v>
      </c>
      <c r="C27" s="10" t="s">
        <v>4</v>
      </c>
      <c r="D27" s="62">
        <v>2</v>
      </c>
      <c r="E27" s="61" t="s">
        <v>2784</v>
      </c>
      <c r="F27" s="19" t="s">
        <v>399</v>
      </c>
      <c r="G27" s="10" t="s">
        <v>150</v>
      </c>
      <c r="H27" s="10" t="s">
        <v>845</v>
      </c>
      <c r="I27" s="62">
        <v>139</v>
      </c>
      <c r="J27" s="10" t="s">
        <v>1521</v>
      </c>
      <c r="K27" s="10" t="s">
        <v>847</v>
      </c>
      <c r="L27" s="10" t="s">
        <v>1239</v>
      </c>
      <c r="M27" s="10" t="s">
        <v>1221</v>
      </c>
      <c r="N27" s="10" t="s">
        <v>1239</v>
      </c>
      <c r="O27" s="10"/>
    </row>
    <row r="28" spans="1:15" ht="18" customHeight="1" x14ac:dyDescent="0.3">
      <c r="A28" s="24">
        <v>27</v>
      </c>
      <c r="B28" s="10" t="s">
        <v>193</v>
      </c>
      <c r="C28" s="10" t="s">
        <v>4</v>
      </c>
      <c r="D28" s="62">
        <v>2</v>
      </c>
      <c r="E28" s="61" t="s">
        <v>2784</v>
      </c>
      <c r="F28" s="19" t="s">
        <v>399</v>
      </c>
      <c r="G28" s="10" t="s">
        <v>150</v>
      </c>
      <c r="H28" s="10" t="s">
        <v>848</v>
      </c>
      <c r="I28" s="62">
        <v>134</v>
      </c>
      <c r="J28" s="10" t="s">
        <v>1221</v>
      </c>
      <c r="K28" s="10" t="s">
        <v>847</v>
      </c>
      <c r="L28" s="10" t="s">
        <v>1239</v>
      </c>
      <c r="M28" s="10" t="s">
        <v>1221</v>
      </c>
      <c r="N28" s="10" t="s">
        <v>1239</v>
      </c>
      <c r="O28" s="10"/>
    </row>
    <row r="29" spans="1:15" ht="18" customHeight="1" x14ac:dyDescent="0.3">
      <c r="A29" s="24">
        <v>28</v>
      </c>
      <c r="B29" s="10" t="s">
        <v>193</v>
      </c>
      <c r="C29" s="10" t="s">
        <v>4</v>
      </c>
      <c r="D29" s="62">
        <v>2</v>
      </c>
      <c r="E29" s="61" t="s">
        <v>2784</v>
      </c>
      <c r="F29" s="19" t="s">
        <v>399</v>
      </c>
      <c r="G29" s="10" t="s">
        <v>150</v>
      </c>
      <c r="H29" s="10" t="s">
        <v>849</v>
      </c>
      <c r="I29" s="62">
        <v>141</v>
      </c>
      <c r="J29" s="10" t="s">
        <v>1521</v>
      </c>
      <c r="K29" s="10" t="s">
        <v>847</v>
      </c>
      <c r="L29" s="10" t="s">
        <v>1239</v>
      </c>
      <c r="M29" s="10" t="s">
        <v>1221</v>
      </c>
      <c r="N29" s="10" t="s">
        <v>1239</v>
      </c>
      <c r="O29" s="10"/>
    </row>
    <row r="30" spans="1:15" ht="18" customHeight="1" x14ac:dyDescent="0.3">
      <c r="A30" s="24">
        <v>29</v>
      </c>
      <c r="B30" s="10" t="s">
        <v>193</v>
      </c>
      <c r="C30" s="10" t="s">
        <v>4</v>
      </c>
      <c r="D30" s="62">
        <v>2</v>
      </c>
      <c r="E30" s="61" t="s">
        <v>2784</v>
      </c>
      <c r="F30" s="19" t="s">
        <v>399</v>
      </c>
      <c r="G30" s="10" t="s">
        <v>150</v>
      </c>
      <c r="H30" s="10" t="s">
        <v>850</v>
      </c>
      <c r="I30" s="62">
        <v>139</v>
      </c>
      <c r="J30" s="10" t="s">
        <v>1521</v>
      </c>
      <c r="K30" s="10" t="s">
        <v>847</v>
      </c>
      <c r="L30" s="10" t="s">
        <v>1239</v>
      </c>
      <c r="M30" s="10" t="s">
        <v>1221</v>
      </c>
      <c r="N30" s="10" t="s">
        <v>1239</v>
      </c>
      <c r="O30" s="10"/>
    </row>
    <row r="31" spans="1:15" ht="18" customHeight="1" x14ac:dyDescent="0.3">
      <c r="A31" s="24">
        <v>30</v>
      </c>
      <c r="B31" s="10" t="s">
        <v>193</v>
      </c>
      <c r="C31" s="10" t="s">
        <v>4</v>
      </c>
      <c r="D31" s="62">
        <v>2</v>
      </c>
      <c r="E31" s="61" t="s">
        <v>2784</v>
      </c>
      <c r="F31" s="19" t="s">
        <v>399</v>
      </c>
      <c r="G31" s="10" t="s">
        <v>150</v>
      </c>
      <c r="H31" s="10" t="s">
        <v>851</v>
      </c>
      <c r="I31" s="62">
        <v>183</v>
      </c>
      <c r="J31" s="10" t="s">
        <v>1521</v>
      </c>
      <c r="K31" s="10" t="s">
        <v>847</v>
      </c>
      <c r="L31" s="10" t="s">
        <v>1239</v>
      </c>
      <c r="M31" s="10" t="s">
        <v>1221</v>
      </c>
      <c r="N31" s="10" t="s">
        <v>1239</v>
      </c>
      <c r="O31" s="10"/>
    </row>
    <row r="32" spans="1:15" ht="18" customHeight="1" x14ac:dyDescent="0.3">
      <c r="A32" s="24">
        <v>31</v>
      </c>
      <c r="B32" s="8" t="s">
        <v>193</v>
      </c>
      <c r="C32" s="8" t="s">
        <v>1241</v>
      </c>
      <c r="D32" s="8">
        <v>2</v>
      </c>
      <c r="E32" s="56" t="s">
        <v>1242</v>
      </c>
      <c r="F32" s="16" t="s">
        <v>1243</v>
      </c>
      <c r="G32" s="10" t="s">
        <v>1239</v>
      </c>
      <c r="H32" s="10" t="s">
        <v>2385</v>
      </c>
      <c r="I32" s="62">
        <v>260</v>
      </c>
      <c r="J32" s="10" t="s">
        <v>1221</v>
      </c>
      <c r="K32" s="10" t="s">
        <v>847</v>
      </c>
      <c r="L32" s="10" t="s">
        <v>1239</v>
      </c>
      <c r="M32" s="10" t="s">
        <v>1221</v>
      </c>
      <c r="N32" s="10" t="s">
        <v>1239</v>
      </c>
      <c r="O32" s="10"/>
    </row>
    <row r="33" spans="1:15" ht="18" customHeight="1" x14ac:dyDescent="0.3">
      <c r="A33" s="24">
        <v>32</v>
      </c>
      <c r="B33" s="10" t="s">
        <v>193</v>
      </c>
      <c r="C33" s="10" t="s">
        <v>4</v>
      </c>
      <c r="D33" s="62">
        <v>2</v>
      </c>
      <c r="E33" s="61" t="s">
        <v>2785</v>
      </c>
      <c r="F33" s="16" t="s">
        <v>398</v>
      </c>
      <c r="G33" s="10" t="s">
        <v>150</v>
      </c>
      <c r="H33" s="10" t="s">
        <v>845</v>
      </c>
      <c r="I33" s="62">
        <v>135</v>
      </c>
      <c r="J33" s="10" t="s">
        <v>1221</v>
      </c>
      <c r="K33" s="10" t="s">
        <v>847</v>
      </c>
      <c r="L33" s="10" t="s">
        <v>1239</v>
      </c>
      <c r="M33" s="10" t="s">
        <v>1221</v>
      </c>
      <c r="N33" s="10" t="s">
        <v>1239</v>
      </c>
      <c r="O33" s="10"/>
    </row>
    <row r="34" spans="1:15" ht="18" customHeight="1" x14ac:dyDescent="0.3">
      <c r="A34" s="24">
        <v>33</v>
      </c>
      <c r="B34" s="10" t="s">
        <v>193</v>
      </c>
      <c r="C34" s="10" t="s">
        <v>4</v>
      </c>
      <c r="D34" s="62">
        <v>2</v>
      </c>
      <c r="E34" s="61" t="s">
        <v>2785</v>
      </c>
      <c r="F34" s="16" t="s">
        <v>398</v>
      </c>
      <c r="G34" s="10" t="s">
        <v>150</v>
      </c>
      <c r="H34" s="10" t="s">
        <v>848</v>
      </c>
      <c r="I34" s="62">
        <v>128</v>
      </c>
      <c r="J34" s="10" t="s">
        <v>1521</v>
      </c>
      <c r="K34" s="10" t="s">
        <v>847</v>
      </c>
      <c r="L34" s="10" t="s">
        <v>1239</v>
      </c>
      <c r="M34" s="10" t="s">
        <v>1221</v>
      </c>
      <c r="N34" s="10" t="s">
        <v>1239</v>
      </c>
      <c r="O34" s="10"/>
    </row>
    <row r="35" spans="1:15" ht="18" customHeight="1" x14ac:dyDescent="0.3">
      <c r="A35" s="24">
        <v>34</v>
      </c>
      <c r="B35" s="10" t="s">
        <v>193</v>
      </c>
      <c r="C35" s="10" t="s">
        <v>4</v>
      </c>
      <c r="D35" s="62">
        <v>2</v>
      </c>
      <c r="E35" s="61" t="s">
        <v>2785</v>
      </c>
      <c r="F35" s="16" t="s">
        <v>398</v>
      </c>
      <c r="G35" s="10" t="s">
        <v>150</v>
      </c>
      <c r="H35" s="10" t="s">
        <v>849</v>
      </c>
      <c r="I35" s="62">
        <v>75</v>
      </c>
      <c r="J35" s="10" t="s">
        <v>1521</v>
      </c>
      <c r="K35" s="10" t="s">
        <v>847</v>
      </c>
      <c r="L35" s="10" t="s">
        <v>1239</v>
      </c>
      <c r="M35" s="10" t="s">
        <v>1221</v>
      </c>
      <c r="N35" s="10" t="s">
        <v>1239</v>
      </c>
      <c r="O35" s="10"/>
    </row>
    <row r="36" spans="1:15" ht="18" customHeight="1" x14ac:dyDescent="0.3">
      <c r="A36" s="24">
        <v>35</v>
      </c>
      <c r="B36" s="10" t="s">
        <v>193</v>
      </c>
      <c r="C36" s="10" t="s">
        <v>4</v>
      </c>
      <c r="D36" s="62">
        <v>2</v>
      </c>
      <c r="E36" s="61" t="s">
        <v>2785</v>
      </c>
      <c r="F36" s="16" t="s">
        <v>398</v>
      </c>
      <c r="G36" s="10" t="s">
        <v>150</v>
      </c>
      <c r="H36" s="10" t="s">
        <v>850</v>
      </c>
      <c r="I36" s="62">
        <v>128</v>
      </c>
      <c r="J36" s="10" t="s">
        <v>1221</v>
      </c>
      <c r="K36" s="10" t="s">
        <v>847</v>
      </c>
      <c r="L36" s="10" t="s">
        <v>1239</v>
      </c>
      <c r="M36" s="10" t="s">
        <v>1221</v>
      </c>
      <c r="N36" s="10" t="s">
        <v>1239</v>
      </c>
      <c r="O36" s="10"/>
    </row>
    <row r="37" spans="1:15" ht="18" customHeight="1" x14ac:dyDescent="0.3">
      <c r="A37" s="24">
        <v>36</v>
      </c>
      <c r="B37" s="10" t="s">
        <v>193</v>
      </c>
      <c r="C37" s="10" t="s">
        <v>4</v>
      </c>
      <c r="D37" s="62">
        <v>2</v>
      </c>
      <c r="E37" s="61" t="s">
        <v>2785</v>
      </c>
      <c r="F37" s="16" t="s">
        <v>398</v>
      </c>
      <c r="G37" s="10" t="s">
        <v>150</v>
      </c>
      <c r="H37" s="10" t="s">
        <v>851</v>
      </c>
      <c r="I37" s="62">
        <v>135</v>
      </c>
      <c r="J37" s="10" t="s">
        <v>1521</v>
      </c>
      <c r="K37" s="10" t="s">
        <v>847</v>
      </c>
      <c r="L37" s="10" t="s">
        <v>1239</v>
      </c>
      <c r="M37" s="10" t="s">
        <v>1221</v>
      </c>
      <c r="N37" s="10" t="s">
        <v>1239</v>
      </c>
      <c r="O37" s="10"/>
    </row>
    <row r="38" spans="1:15" ht="18" customHeight="1" x14ac:dyDescent="0.3">
      <c r="A38" s="24">
        <v>37</v>
      </c>
      <c r="B38" s="10" t="s">
        <v>193</v>
      </c>
      <c r="C38" s="10" t="s">
        <v>4</v>
      </c>
      <c r="D38" s="62">
        <v>2</v>
      </c>
      <c r="E38" s="61" t="s">
        <v>2785</v>
      </c>
      <c r="F38" s="16" t="s">
        <v>398</v>
      </c>
      <c r="G38" s="10" t="s">
        <v>150</v>
      </c>
      <c r="H38" s="10" t="s">
        <v>852</v>
      </c>
      <c r="I38" s="62">
        <v>75</v>
      </c>
      <c r="J38" s="10" t="s">
        <v>1221</v>
      </c>
      <c r="K38" s="10" t="s">
        <v>847</v>
      </c>
      <c r="L38" s="10" t="s">
        <v>1239</v>
      </c>
      <c r="M38" s="10" t="s">
        <v>1221</v>
      </c>
      <c r="N38" s="10" t="s">
        <v>1239</v>
      </c>
      <c r="O38" s="10"/>
    </row>
    <row r="39" spans="1:15" ht="18" customHeight="1" x14ac:dyDescent="0.3">
      <c r="A39" s="24">
        <v>38</v>
      </c>
      <c r="B39" s="10" t="s">
        <v>193</v>
      </c>
      <c r="C39" s="10" t="s">
        <v>4</v>
      </c>
      <c r="D39" s="62">
        <v>2</v>
      </c>
      <c r="E39" s="64" t="s">
        <v>154</v>
      </c>
      <c r="F39" s="16" t="s">
        <v>2393</v>
      </c>
      <c r="G39" s="10" t="s">
        <v>150</v>
      </c>
      <c r="H39" s="10" t="s">
        <v>2385</v>
      </c>
      <c r="I39" s="62">
        <v>284</v>
      </c>
      <c r="J39" s="10" t="s">
        <v>1221</v>
      </c>
      <c r="K39" s="10" t="s">
        <v>846</v>
      </c>
      <c r="L39" s="10" t="s">
        <v>1422</v>
      </c>
      <c r="M39" s="10" t="s">
        <v>1221</v>
      </c>
      <c r="N39" s="10" t="s">
        <v>1239</v>
      </c>
      <c r="O39" s="10"/>
    </row>
    <row r="40" spans="1:15" ht="18" customHeight="1" x14ac:dyDescent="0.3">
      <c r="A40" s="24">
        <v>39</v>
      </c>
      <c r="B40" s="10" t="s">
        <v>193</v>
      </c>
      <c r="C40" s="10" t="s">
        <v>4</v>
      </c>
      <c r="D40" s="62">
        <v>2</v>
      </c>
      <c r="E40" s="61" t="s">
        <v>154</v>
      </c>
      <c r="F40" s="16" t="s">
        <v>405</v>
      </c>
      <c r="G40" s="10" t="s">
        <v>150</v>
      </c>
      <c r="H40" s="10" t="s">
        <v>848</v>
      </c>
      <c r="I40" s="62">
        <v>186</v>
      </c>
      <c r="J40" s="10" t="s">
        <v>1221</v>
      </c>
      <c r="K40" s="10" t="s">
        <v>847</v>
      </c>
      <c r="L40" s="10" t="s">
        <v>1239</v>
      </c>
      <c r="M40" s="10" t="s">
        <v>1221</v>
      </c>
      <c r="N40" s="10" t="s">
        <v>1239</v>
      </c>
      <c r="O40" s="10"/>
    </row>
    <row r="41" spans="1:15" ht="18" customHeight="1" x14ac:dyDescent="0.3">
      <c r="A41" s="24">
        <v>40</v>
      </c>
      <c r="B41" s="10" t="s">
        <v>193</v>
      </c>
      <c r="C41" s="10" t="s">
        <v>4</v>
      </c>
      <c r="D41" s="62">
        <v>2</v>
      </c>
      <c r="E41" s="61" t="s">
        <v>154</v>
      </c>
      <c r="F41" s="16" t="s">
        <v>405</v>
      </c>
      <c r="G41" s="10" t="s">
        <v>150</v>
      </c>
      <c r="H41" s="10" t="s">
        <v>849</v>
      </c>
      <c r="I41" s="62">
        <v>240</v>
      </c>
      <c r="J41" s="10" t="s">
        <v>1229</v>
      </c>
      <c r="K41" s="10" t="s">
        <v>847</v>
      </c>
      <c r="L41" s="10" t="s">
        <v>1218</v>
      </c>
      <c r="M41" s="10" t="s">
        <v>1229</v>
      </c>
      <c r="N41" s="10" t="s">
        <v>1218</v>
      </c>
      <c r="O41" s="10"/>
    </row>
    <row r="42" spans="1:15" ht="18" customHeight="1" x14ac:dyDescent="0.3">
      <c r="A42" s="24">
        <v>41</v>
      </c>
      <c r="B42" s="10" t="s">
        <v>193</v>
      </c>
      <c r="C42" s="10" t="s">
        <v>4</v>
      </c>
      <c r="D42" s="62">
        <v>2</v>
      </c>
      <c r="E42" s="61" t="s">
        <v>154</v>
      </c>
      <c r="F42" s="16" t="s">
        <v>405</v>
      </c>
      <c r="G42" s="10" t="s">
        <v>150</v>
      </c>
      <c r="H42" s="10" t="s">
        <v>850</v>
      </c>
      <c r="I42" s="62">
        <v>203</v>
      </c>
      <c r="J42" s="10" t="s">
        <v>1229</v>
      </c>
      <c r="K42" s="10" t="s">
        <v>847</v>
      </c>
      <c r="L42" s="10" t="s">
        <v>1218</v>
      </c>
      <c r="M42" s="10" t="s">
        <v>1229</v>
      </c>
      <c r="N42" s="10" t="s">
        <v>1239</v>
      </c>
      <c r="O42" s="10"/>
    </row>
    <row r="43" spans="1:15" ht="18" customHeight="1" x14ac:dyDescent="0.3">
      <c r="A43" s="24">
        <v>42</v>
      </c>
      <c r="B43" s="10" t="s">
        <v>193</v>
      </c>
      <c r="C43" s="10" t="s">
        <v>4</v>
      </c>
      <c r="D43" s="62">
        <v>2</v>
      </c>
      <c r="E43" s="61" t="s">
        <v>154</v>
      </c>
      <c r="F43" s="16" t="s">
        <v>405</v>
      </c>
      <c r="G43" s="10" t="s">
        <v>150</v>
      </c>
      <c r="H43" s="10" t="s">
        <v>851</v>
      </c>
      <c r="I43" s="62">
        <v>203</v>
      </c>
      <c r="J43" s="10" t="s">
        <v>1229</v>
      </c>
      <c r="K43" s="10" t="s">
        <v>847</v>
      </c>
      <c r="L43" s="10" t="s">
        <v>1239</v>
      </c>
      <c r="M43" s="10" t="s">
        <v>1229</v>
      </c>
      <c r="N43" s="10" t="s">
        <v>1239</v>
      </c>
      <c r="O43" s="10"/>
    </row>
    <row r="44" spans="1:15" ht="18" customHeight="1" x14ac:dyDescent="0.3">
      <c r="A44" s="24">
        <v>43</v>
      </c>
      <c r="B44" s="10" t="s">
        <v>193</v>
      </c>
      <c r="C44" s="10" t="s">
        <v>4</v>
      </c>
      <c r="D44" s="62">
        <v>2</v>
      </c>
      <c r="E44" s="61" t="s">
        <v>154</v>
      </c>
      <c r="F44" s="16" t="s">
        <v>405</v>
      </c>
      <c r="G44" s="10" t="s">
        <v>150</v>
      </c>
      <c r="H44" s="10" t="s">
        <v>852</v>
      </c>
      <c r="I44" s="62">
        <v>190</v>
      </c>
      <c r="J44" s="10" t="s">
        <v>2372</v>
      </c>
      <c r="K44" s="10" t="s">
        <v>847</v>
      </c>
      <c r="L44" s="10" t="s">
        <v>2373</v>
      </c>
      <c r="M44" s="10" t="s">
        <v>1221</v>
      </c>
      <c r="N44" s="10" t="s">
        <v>1239</v>
      </c>
      <c r="O44" s="10"/>
    </row>
    <row r="45" spans="1:15" ht="18" customHeight="1" x14ac:dyDescent="0.3">
      <c r="A45" s="24">
        <v>44</v>
      </c>
      <c r="B45" s="10" t="s">
        <v>193</v>
      </c>
      <c r="C45" s="10" t="s">
        <v>4</v>
      </c>
      <c r="D45" s="62">
        <v>2</v>
      </c>
      <c r="E45" s="61" t="s">
        <v>154</v>
      </c>
      <c r="F45" s="16" t="s">
        <v>405</v>
      </c>
      <c r="G45" s="10" t="s">
        <v>150</v>
      </c>
      <c r="H45" s="10" t="s">
        <v>853</v>
      </c>
      <c r="I45" s="62">
        <v>258</v>
      </c>
      <c r="J45" s="10" t="s">
        <v>2372</v>
      </c>
      <c r="K45" s="10" t="s">
        <v>847</v>
      </c>
      <c r="L45" s="10" t="s">
        <v>2373</v>
      </c>
      <c r="M45" s="10" t="s">
        <v>1221</v>
      </c>
      <c r="N45" s="10" t="s">
        <v>1239</v>
      </c>
      <c r="O45" s="10"/>
    </row>
    <row r="46" spans="1:15" ht="18" customHeight="1" x14ac:dyDescent="0.3">
      <c r="A46" s="24">
        <v>45</v>
      </c>
      <c r="B46" s="10" t="s">
        <v>193</v>
      </c>
      <c r="C46" s="10" t="s">
        <v>4</v>
      </c>
      <c r="D46" s="62">
        <v>2</v>
      </c>
      <c r="E46" s="61" t="s">
        <v>154</v>
      </c>
      <c r="F46" s="16" t="s">
        <v>405</v>
      </c>
      <c r="G46" s="10" t="s">
        <v>150</v>
      </c>
      <c r="H46" s="10" t="s">
        <v>854</v>
      </c>
      <c r="I46" s="62">
        <v>180</v>
      </c>
      <c r="J46" s="10" t="s">
        <v>1221</v>
      </c>
      <c r="K46" s="10" t="s">
        <v>847</v>
      </c>
      <c r="L46" s="10" t="s">
        <v>1239</v>
      </c>
      <c r="M46" s="10" t="s">
        <v>1221</v>
      </c>
      <c r="N46" s="10" t="s">
        <v>1239</v>
      </c>
      <c r="O46" s="10"/>
    </row>
    <row r="47" spans="1:15" ht="18" customHeight="1" x14ac:dyDescent="0.3">
      <c r="A47" s="24">
        <v>46</v>
      </c>
      <c r="B47" s="10" t="s">
        <v>193</v>
      </c>
      <c r="C47" s="10" t="s">
        <v>2394</v>
      </c>
      <c r="D47" s="62">
        <v>2</v>
      </c>
      <c r="E47" s="61" t="s">
        <v>149</v>
      </c>
      <c r="F47" s="11" t="s">
        <v>1249</v>
      </c>
      <c r="G47" s="10" t="s">
        <v>1218</v>
      </c>
      <c r="H47" s="10" t="s">
        <v>845</v>
      </c>
      <c r="I47" s="62">
        <v>230</v>
      </c>
      <c r="J47" s="10" t="s">
        <v>1229</v>
      </c>
      <c r="K47" s="10" t="s">
        <v>847</v>
      </c>
      <c r="L47" s="10" t="s">
        <v>1239</v>
      </c>
      <c r="M47" s="10" t="s">
        <v>1942</v>
      </c>
      <c r="N47" s="10" t="s">
        <v>2395</v>
      </c>
      <c r="O47" s="10"/>
    </row>
    <row r="48" spans="1:15" ht="18" customHeight="1" x14ac:dyDescent="0.3">
      <c r="A48" s="24">
        <v>47</v>
      </c>
      <c r="B48" s="10" t="s">
        <v>2396</v>
      </c>
      <c r="C48" s="10" t="s">
        <v>1475</v>
      </c>
      <c r="D48" s="62">
        <v>2</v>
      </c>
      <c r="E48" s="61" t="s">
        <v>2786</v>
      </c>
      <c r="F48" s="44" t="s">
        <v>2397</v>
      </c>
      <c r="G48" s="10" t="s">
        <v>1263</v>
      </c>
      <c r="H48" s="10" t="s">
        <v>2398</v>
      </c>
      <c r="I48" s="62">
        <v>118</v>
      </c>
      <c r="J48" s="10" t="s">
        <v>1229</v>
      </c>
      <c r="K48" s="10" t="s">
        <v>1221</v>
      </c>
      <c r="L48" s="10" t="s">
        <v>1218</v>
      </c>
      <c r="M48" s="10" t="s">
        <v>1521</v>
      </c>
      <c r="N48" s="10" t="s">
        <v>2399</v>
      </c>
      <c r="O48" s="10"/>
    </row>
    <row r="49" spans="1:15" ht="18" customHeight="1" x14ac:dyDescent="0.3">
      <c r="A49" s="24">
        <v>48</v>
      </c>
      <c r="B49" s="10" t="s">
        <v>1259</v>
      </c>
      <c r="C49" s="10" t="s">
        <v>1475</v>
      </c>
      <c r="D49" s="62">
        <v>2</v>
      </c>
      <c r="E49" s="61" t="s">
        <v>2786</v>
      </c>
      <c r="F49" s="44" t="s">
        <v>2400</v>
      </c>
      <c r="G49" s="10" t="s">
        <v>1263</v>
      </c>
      <c r="H49" s="10" t="s">
        <v>2401</v>
      </c>
      <c r="I49" s="62">
        <v>112</v>
      </c>
      <c r="J49" s="10" t="s">
        <v>1221</v>
      </c>
      <c r="K49" s="10" t="s">
        <v>1221</v>
      </c>
      <c r="L49" s="10" t="s">
        <v>1239</v>
      </c>
      <c r="M49" s="10" t="s">
        <v>1942</v>
      </c>
      <c r="N49" s="10" t="s">
        <v>1256</v>
      </c>
      <c r="O49" s="10"/>
    </row>
    <row r="50" spans="1:15" ht="18" customHeight="1" x14ac:dyDescent="0.3">
      <c r="A50" s="24">
        <v>49</v>
      </c>
      <c r="B50" s="10" t="s">
        <v>1260</v>
      </c>
      <c r="C50" s="10" t="s">
        <v>1248</v>
      </c>
      <c r="D50" s="62">
        <v>2</v>
      </c>
      <c r="E50" s="61" t="s">
        <v>2786</v>
      </c>
      <c r="F50" s="44" t="s">
        <v>2402</v>
      </c>
      <c r="G50" s="10" t="s">
        <v>1263</v>
      </c>
      <c r="H50" s="10" t="s">
        <v>3689</v>
      </c>
      <c r="I50" s="62">
        <v>182</v>
      </c>
      <c r="J50" s="10" t="s">
        <v>1942</v>
      </c>
      <c r="K50" s="10" t="s">
        <v>1229</v>
      </c>
      <c r="L50" s="10" t="s">
        <v>2373</v>
      </c>
      <c r="M50" s="10" t="s">
        <v>1221</v>
      </c>
      <c r="N50" s="10" t="s">
        <v>1218</v>
      </c>
      <c r="O50" s="10"/>
    </row>
    <row r="51" spans="1:15" ht="18" customHeight="1" x14ac:dyDescent="0.3">
      <c r="A51" s="24">
        <v>50</v>
      </c>
      <c r="B51" s="10" t="s">
        <v>2396</v>
      </c>
      <c r="C51" s="10" t="s">
        <v>1475</v>
      </c>
      <c r="D51" s="62">
        <v>2</v>
      </c>
      <c r="E51" s="61" t="s">
        <v>2786</v>
      </c>
      <c r="F51" s="44" t="s">
        <v>2397</v>
      </c>
      <c r="G51" s="10" t="s">
        <v>1263</v>
      </c>
      <c r="H51" s="10" t="s">
        <v>3690</v>
      </c>
      <c r="I51" s="62">
        <v>123</v>
      </c>
      <c r="J51" s="10" t="s">
        <v>2372</v>
      </c>
      <c r="K51" s="10" t="s">
        <v>1221</v>
      </c>
      <c r="L51" s="10" t="s">
        <v>1239</v>
      </c>
      <c r="M51" s="10" t="s">
        <v>1229</v>
      </c>
      <c r="N51" s="10" t="s">
        <v>1218</v>
      </c>
      <c r="O51" s="10"/>
    </row>
    <row r="52" spans="1:15" ht="18" customHeight="1" x14ac:dyDescent="0.3">
      <c r="A52" s="24">
        <v>51</v>
      </c>
      <c r="B52" s="10" t="s">
        <v>1260</v>
      </c>
      <c r="C52" s="10" t="s">
        <v>1248</v>
      </c>
      <c r="D52" s="62">
        <v>2</v>
      </c>
      <c r="E52" s="61" t="s">
        <v>2786</v>
      </c>
      <c r="F52" s="44" t="s">
        <v>2402</v>
      </c>
      <c r="G52" s="10" t="s">
        <v>2403</v>
      </c>
      <c r="H52" s="10" t="s">
        <v>3691</v>
      </c>
      <c r="I52" s="62">
        <v>159</v>
      </c>
      <c r="J52" s="10" t="s">
        <v>1521</v>
      </c>
      <c r="K52" s="10" t="s">
        <v>1221</v>
      </c>
      <c r="L52" s="10" t="s">
        <v>1239</v>
      </c>
      <c r="M52" s="10" t="s">
        <v>1221</v>
      </c>
      <c r="N52" s="10" t="s">
        <v>1239</v>
      </c>
      <c r="O52" s="10"/>
    </row>
    <row r="53" spans="1:15" ht="18" customHeight="1" x14ac:dyDescent="0.3">
      <c r="A53" s="24">
        <v>52</v>
      </c>
      <c r="B53" s="10" t="s">
        <v>193</v>
      </c>
      <c r="C53" s="10" t="s">
        <v>4</v>
      </c>
      <c r="D53" s="62">
        <v>2</v>
      </c>
      <c r="E53" s="61" t="s">
        <v>2404</v>
      </c>
      <c r="F53" s="16" t="s">
        <v>402</v>
      </c>
      <c r="G53" s="10" t="s">
        <v>1239</v>
      </c>
      <c r="H53" s="10" t="s">
        <v>845</v>
      </c>
      <c r="I53" s="62">
        <v>81</v>
      </c>
      <c r="J53" s="10" t="s">
        <v>1221</v>
      </c>
      <c r="K53" s="10" t="s">
        <v>847</v>
      </c>
      <c r="L53" s="10" t="s">
        <v>1239</v>
      </c>
      <c r="M53" s="10" t="s">
        <v>1229</v>
      </c>
      <c r="N53" s="10" t="s">
        <v>1218</v>
      </c>
      <c r="O53" s="10"/>
    </row>
    <row r="54" spans="1:15" ht="18" customHeight="1" x14ac:dyDescent="0.3">
      <c r="A54" s="24">
        <v>53</v>
      </c>
      <c r="B54" s="10" t="s">
        <v>193</v>
      </c>
      <c r="C54" s="10" t="s">
        <v>4</v>
      </c>
      <c r="D54" s="62">
        <v>2</v>
      </c>
      <c r="E54" s="61" t="s">
        <v>2404</v>
      </c>
      <c r="F54" s="16" t="s">
        <v>402</v>
      </c>
      <c r="G54" s="10" t="s">
        <v>1239</v>
      </c>
      <c r="H54" s="10" t="s">
        <v>848</v>
      </c>
      <c r="I54" s="62">
        <v>160</v>
      </c>
      <c r="J54" s="10" t="s">
        <v>1221</v>
      </c>
      <c r="K54" s="10" t="s">
        <v>847</v>
      </c>
      <c r="L54" s="10" t="s">
        <v>1239</v>
      </c>
      <c r="M54" s="10" t="s">
        <v>1221</v>
      </c>
      <c r="N54" s="10" t="s">
        <v>1218</v>
      </c>
      <c r="O54" s="10"/>
    </row>
    <row r="55" spans="1:15" ht="18" customHeight="1" x14ac:dyDescent="0.3">
      <c r="A55" s="24">
        <v>54</v>
      </c>
      <c r="B55" s="10" t="s">
        <v>193</v>
      </c>
      <c r="C55" s="10" t="s">
        <v>4</v>
      </c>
      <c r="D55" s="62">
        <v>2</v>
      </c>
      <c r="E55" s="61" t="s">
        <v>2404</v>
      </c>
      <c r="F55" s="16" t="s">
        <v>402</v>
      </c>
      <c r="G55" s="10" t="s">
        <v>1218</v>
      </c>
      <c r="H55" s="10" t="s">
        <v>849</v>
      </c>
      <c r="I55" s="62">
        <v>226</v>
      </c>
      <c r="J55" s="10" t="s">
        <v>1521</v>
      </c>
      <c r="K55" s="10" t="s">
        <v>847</v>
      </c>
      <c r="L55" s="10" t="s">
        <v>1239</v>
      </c>
      <c r="M55" s="10" t="s">
        <v>1221</v>
      </c>
      <c r="N55" s="10" t="s">
        <v>1239</v>
      </c>
      <c r="O55" s="10"/>
    </row>
    <row r="56" spans="1:15" ht="18" customHeight="1" x14ac:dyDescent="0.3">
      <c r="A56" s="24">
        <v>55</v>
      </c>
      <c r="B56" s="10" t="s">
        <v>193</v>
      </c>
      <c r="C56" s="10" t="s">
        <v>4</v>
      </c>
      <c r="D56" s="62">
        <v>2</v>
      </c>
      <c r="E56" s="61" t="s">
        <v>2404</v>
      </c>
      <c r="F56" s="16" t="s">
        <v>402</v>
      </c>
      <c r="G56" s="10" t="s">
        <v>1239</v>
      </c>
      <c r="H56" s="10" t="s">
        <v>850</v>
      </c>
      <c r="I56" s="62">
        <v>92</v>
      </c>
      <c r="J56" s="10" t="s">
        <v>1221</v>
      </c>
      <c r="K56" s="10" t="s">
        <v>847</v>
      </c>
      <c r="L56" s="10" t="s">
        <v>1239</v>
      </c>
      <c r="M56" s="10" t="s">
        <v>1221</v>
      </c>
      <c r="N56" s="10" t="s">
        <v>1239</v>
      </c>
      <c r="O56" s="10"/>
    </row>
    <row r="57" spans="1:15" ht="18" customHeight="1" x14ac:dyDescent="0.3">
      <c r="A57" s="24">
        <v>56</v>
      </c>
      <c r="B57" s="10" t="s">
        <v>193</v>
      </c>
      <c r="C57" s="10" t="s">
        <v>4</v>
      </c>
      <c r="D57" s="62">
        <v>2</v>
      </c>
      <c r="E57" s="61" t="s">
        <v>2404</v>
      </c>
      <c r="F57" s="16" t="s">
        <v>402</v>
      </c>
      <c r="G57" s="10" t="s">
        <v>1239</v>
      </c>
      <c r="H57" s="10" t="s">
        <v>851</v>
      </c>
      <c r="I57" s="62">
        <v>298</v>
      </c>
      <c r="J57" s="10" t="s">
        <v>1221</v>
      </c>
      <c r="K57" s="10" t="s">
        <v>847</v>
      </c>
      <c r="L57" s="10" t="s">
        <v>1239</v>
      </c>
      <c r="M57" s="10" t="s">
        <v>1221</v>
      </c>
      <c r="N57" s="10" t="s">
        <v>1218</v>
      </c>
      <c r="O57" s="10"/>
    </row>
    <row r="58" spans="1:15" ht="18" customHeight="1" x14ac:dyDescent="0.3">
      <c r="A58" s="24">
        <v>57</v>
      </c>
      <c r="B58" s="10" t="s">
        <v>193</v>
      </c>
      <c r="C58" s="10" t="s">
        <v>4</v>
      </c>
      <c r="D58" s="62">
        <v>2</v>
      </c>
      <c r="E58" s="61" t="s">
        <v>2404</v>
      </c>
      <c r="F58" s="16" t="s">
        <v>402</v>
      </c>
      <c r="G58" s="10" t="s">
        <v>1239</v>
      </c>
      <c r="H58" s="10" t="s">
        <v>852</v>
      </c>
      <c r="I58" s="62">
        <v>291</v>
      </c>
      <c r="J58" s="10" t="s">
        <v>1221</v>
      </c>
      <c r="K58" s="10" t="s">
        <v>847</v>
      </c>
      <c r="L58" s="10" t="s">
        <v>1239</v>
      </c>
      <c r="M58" s="10" t="s">
        <v>1221</v>
      </c>
      <c r="N58" s="10" t="s">
        <v>1239</v>
      </c>
      <c r="O58" s="10"/>
    </row>
    <row r="59" spans="1:15" ht="18" customHeight="1" x14ac:dyDescent="0.3">
      <c r="A59" s="24">
        <v>58</v>
      </c>
      <c r="B59" s="10" t="s">
        <v>193</v>
      </c>
      <c r="C59" s="10" t="s">
        <v>4</v>
      </c>
      <c r="D59" s="62">
        <v>2</v>
      </c>
      <c r="E59" s="61" t="s">
        <v>2404</v>
      </c>
      <c r="F59" s="16" t="s">
        <v>402</v>
      </c>
      <c r="G59" s="10" t="s">
        <v>1239</v>
      </c>
      <c r="H59" s="10" t="s">
        <v>853</v>
      </c>
      <c r="I59" s="62">
        <v>318</v>
      </c>
      <c r="J59" s="10" t="s">
        <v>1221</v>
      </c>
      <c r="K59" s="10" t="s">
        <v>847</v>
      </c>
      <c r="L59" s="10" t="s">
        <v>1239</v>
      </c>
      <c r="M59" s="10" t="s">
        <v>1221</v>
      </c>
      <c r="N59" s="10" t="s">
        <v>1239</v>
      </c>
      <c r="O59" s="10"/>
    </row>
    <row r="60" spans="1:15" ht="18" customHeight="1" x14ac:dyDescent="0.3">
      <c r="A60" s="24">
        <v>59</v>
      </c>
      <c r="B60" s="10" t="s">
        <v>193</v>
      </c>
      <c r="C60" s="10" t="s">
        <v>4</v>
      </c>
      <c r="D60" s="62">
        <v>2</v>
      </c>
      <c r="E60" s="61" t="s">
        <v>2404</v>
      </c>
      <c r="F60" s="16" t="s">
        <v>402</v>
      </c>
      <c r="G60" s="10" t="s">
        <v>1239</v>
      </c>
      <c r="H60" s="10" t="s">
        <v>854</v>
      </c>
      <c r="I60" s="62">
        <v>313</v>
      </c>
      <c r="J60" s="10" t="s">
        <v>1521</v>
      </c>
      <c r="K60" s="10" t="s">
        <v>847</v>
      </c>
      <c r="L60" s="10" t="s">
        <v>1239</v>
      </c>
      <c r="M60" s="10" t="s">
        <v>1221</v>
      </c>
      <c r="N60" s="10" t="s">
        <v>1239</v>
      </c>
      <c r="O60" s="10"/>
    </row>
    <row r="61" spans="1:15" ht="18" customHeight="1" x14ac:dyDescent="0.3">
      <c r="A61" s="24">
        <v>60</v>
      </c>
      <c r="B61" s="10" t="s">
        <v>193</v>
      </c>
      <c r="C61" s="10" t="s">
        <v>4</v>
      </c>
      <c r="D61" s="62">
        <v>2</v>
      </c>
      <c r="E61" s="61" t="s">
        <v>2404</v>
      </c>
      <c r="F61" s="16" t="s">
        <v>402</v>
      </c>
      <c r="G61" s="10" t="s">
        <v>1239</v>
      </c>
      <c r="H61" s="10" t="s">
        <v>855</v>
      </c>
      <c r="I61" s="62">
        <v>84</v>
      </c>
      <c r="J61" s="10" t="s">
        <v>1221</v>
      </c>
      <c r="K61" s="10" t="s">
        <v>847</v>
      </c>
      <c r="L61" s="10" t="s">
        <v>1239</v>
      </c>
      <c r="M61" s="10" t="s">
        <v>1221</v>
      </c>
      <c r="N61" s="10" t="s">
        <v>1239</v>
      </c>
      <c r="O61" s="10"/>
    </row>
    <row r="62" spans="1:15" ht="18" customHeight="1" x14ac:dyDescent="0.3">
      <c r="A62" s="24">
        <v>61</v>
      </c>
      <c r="B62" s="10" t="s">
        <v>193</v>
      </c>
      <c r="C62" s="10" t="s">
        <v>4</v>
      </c>
      <c r="D62" s="62">
        <v>2</v>
      </c>
      <c r="E62" s="61" t="s">
        <v>2404</v>
      </c>
      <c r="F62" s="16" t="s">
        <v>402</v>
      </c>
      <c r="G62" s="10" t="s">
        <v>1239</v>
      </c>
      <c r="H62" s="10" t="s">
        <v>869</v>
      </c>
      <c r="I62" s="62">
        <v>418</v>
      </c>
      <c r="J62" s="10" t="s">
        <v>1521</v>
      </c>
      <c r="K62" s="10" t="s">
        <v>847</v>
      </c>
      <c r="L62" s="10" t="s">
        <v>1239</v>
      </c>
      <c r="M62" s="10" t="s">
        <v>1221</v>
      </c>
      <c r="N62" s="10" t="s">
        <v>1239</v>
      </c>
      <c r="O62" s="10"/>
    </row>
    <row r="63" spans="1:15" ht="18" customHeight="1" x14ac:dyDescent="0.3">
      <c r="A63" s="24">
        <v>62</v>
      </c>
      <c r="B63" s="10" t="s">
        <v>193</v>
      </c>
      <c r="C63" s="10" t="s">
        <v>4</v>
      </c>
      <c r="D63" s="62">
        <v>2</v>
      </c>
      <c r="E63" s="61" t="s">
        <v>2404</v>
      </c>
      <c r="F63" s="16" t="s">
        <v>402</v>
      </c>
      <c r="G63" s="10" t="s">
        <v>1239</v>
      </c>
      <c r="H63" s="10" t="s">
        <v>883</v>
      </c>
      <c r="I63" s="62">
        <v>431</v>
      </c>
      <c r="J63" s="10" t="s">
        <v>1221</v>
      </c>
      <c r="K63" s="10" t="s">
        <v>847</v>
      </c>
      <c r="L63" s="10" t="s">
        <v>1239</v>
      </c>
      <c r="M63" s="10" t="s">
        <v>1221</v>
      </c>
      <c r="N63" s="10" t="s">
        <v>1239</v>
      </c>
      <c r="O63" s="10"/>
    </row>
    <row r="64" spans="1:15" ht="18" customHeight="1" x14ac:dyDescent="0.3">
      <c r="A64" s="24">
        <v>63</v>
      </c>
      <c r="B64" s="10" t="s">
        <v>193</v>
      </c>
      <c r="C64" s="10" t="s">
        <v>5</v>
      </c>
      <c r="D64" s="62">
        <v>3</v>
      </c>
      <c r="E64" s="61" t="s">
        <v>2405</v>
      </c>
      <c r="F64" s="16" t="s">
        <v>389</v>
      </c>
      <c r="G64" s="10" t="s">
        <v>150</v>
      </c>
      <c r="H64" s="10" t="s">
        <v>845</v>
      </c>
      <c r="I64" s="177">
        <v>91</v>
      </c>
      <c r="J64" s="8" t="s">
        <v>1221</v>
      </c>
      <c r="K64" s="173" t="s">
        <v>860</v>
      </c>
      <c r="L64" s="173" t="s">
        <v>2229</v>
      </c>
      <c r="M64" s="10" t="s">
        <v>1221</v>
      </c>
      <c r="N64" s="10" t="s">
        <v>1239</v>
      </c>
      <c r="O64" s="10"/>
    </row>
    <row r="65" spans="1:15" ht="18" customHeight="1" x14ac:dyDescent="0.3">
      <c r="A65" s="24">
        <v>64</v>
      </c>
      <c r="B65" s="10" t="s">
        <v>193</v>
      </c>
      <c r="C65" s="10" t="s">
        <v>5</v>
      </c>
      <c r="D65" s="62">
        <v>3</v>
      </c>
      <c r="E65" s="61" t="s">
        <v>2405</v>
      </c>
      <c r="F65" s="16" t="s">
        <v>389</v>
      </c>
      <c r="G65" s="10" t="s">
        <v>150</v>
      </c>
      <c r="H65" s="10" t="s">
        <v>848</v>
      </c>
      <c r="I65" s="177">
        <v>79</v>
      </c>
      <c r="J65" s="8" t="s">
        <v>1229</v>
      </c>
      <c r="K65" s="173" t="s">
        <v>860</v>
      </c>
      <c r="L65" s="173" t="s">
        <v>2229</v>
      </c>
      <c r="M65" s="10" t="s">
        <v>1221</v>
      </c>
      <c r="N65" s="10" t="s">
        <v>1239</v>
      </c>
      <c r="O65" s="10"/>
    </row>
    <row r="66" spans="1:15" ht="18" customHeight="1" x14ac:dyDescent="0.3">
      <c r="A66" s="24">
        <v>65</v>
      </c>
      <c r="B66" s="10" t="s">
        <v>193</v>
      </c>
      <c r="C66" s="10" t="s">
        <v>5</v>
      </c>
      <c r="D66" s="62">
        <v>3</v>
      </c>
      <c r="E66" s="61" t="s">
        <v>2405</v>
      </c>
      <c r="F66" s="16" t="s">
        <v>389</v>
      </c>
      <c r="G66" s="10" t="s">
        <v>150</v>
      </c>
      <c r="H66" s="10" t="s">
        <v>849</v>
      </c>
      <c r="I66" s="177">
        <v>53</v>
      </c>
      <c r="J66" s="8" t="s">
        <v>1221</v>
      </c>
      <c r="K66" s="173" t="s">
        <v>860</v>
      </c>
      <c r="L66" s="173" t="s">
        <v>2229</v>
      </c>
      <c r="M66" s="10" t="s">
        <v>1221</v>
      </c>
      <c r="N66" s="10" t="s">
        <v>1239</v>
      </c>
      <c r="O66" s="10"/>
    </row>
    <row r="67" spans="1:15" ht="18" customHeight="1" x14ac:dyDescent="0.3">
      <c r="A67" s="24">
        <v>66</v>
      </c>
      <c r="B67" s="10" t="s">
        <v>193</v>
      </c>
      <c r="C67" s="10" t="s">
        <v>5</v>
      </c>
      <c r="D67" s="62">
        <v>3</v>
      </c>
      <c r="E67" s="61" t="s">
        <v>2405</v>
      </c>
      <c r="F67" s="16" t="s">
        <v>389</v>
      </c>
      <c r="G67" s="10" t="s">
        <v>150</v>
      </c>
      <c r="H67" s="10" t="s">
        <v>850</v>
      </c>
      <c r="I67" s="177">
        <v>77</v>
      </c>
      <c r="J67" s="8" t="s">
        <v>846</v>
      </c>
      <c r="K67" s="173" t="s">
        <v>860</v>
      </c>
      <c r="L67" s="173" t="s">
        <v>2229</v>
      </c>
      <c r="M67" s="10" t="s">
        <v>1221</v>
      </c>
      <c r="N67" s="10" t="s">
        <v>1218</v>
      </c>
      <c r="O67" s="10"/>
    </row>
    <row r="68" spans="1:15" ht="18" customHeight="1" x14ac:dyDescent="0.3">
      <c r="A68" s="24">
        <v>67</v>
      </c>
      <c r="B68" s="10" t="s">
        <v>193</v>
      </c>
      <c r="C68" s="10" t="s">
        <v>5</v>
      </c>
      <c r="D68" s="62">
        <v>3</v>
      </c>
      <c r="E68" s="61" t="s">
        <v>2405</v>
      </c>
      <c r="F68" s="16" t="s">
        <v>389</v>
      </c>
      <c r="G68" s="10" t="s">
        <v>150</v>
      </c>
      <c r="H68" s="10" t="s">
        <v>851</v>
      </c>
      <c r="I68" s="177">
        <v>79</v>
      </c>
      <c r="J68" s="8" t="s">
        <v>1221</v>
      </c>
      <c r="K68" s="173" t="s">
        <v>860</v>
      </c>
      <c r="L68" s="173" t="s">
        <v>2229</v>
      </c>
      <c r="M68" s="10" t="s">
        <v>1221</v>
      </c>
      <c r="N68" s="10" t="s">
        <v>1239</v>
      </c>
      <c r="O68" s="10"/>
    </row>
    <row r="69" spans="1:15" ht="18" customHeight="1" x14ac:dyDescent="0.3">
      <c r="A69" s="24">
        <v>68</v>
      </c>
      <c r="B69" s="10" t="s">
        <v>193</v>
      </c>
      <c r="C69" s="10" t="s">
        <v>5</v>
      </c>
      <c r="D69" s="62">
        <v>3</v>
      </c>
      <c r="E69" s="61" t="s">
        <v>2405</v>
      </c>
      <c r="F69" s="16" t="s">
        <v>389</v>
      </c>
      <c r="G69" s="10" t="s">
        <v>150</v>
      </c>
      <c r="H69" s="10" t="s">
        <v>852</v>
      </c>
      <c r="I69" s="177">
        <v>66</v>
      </c>
      <c r="J69" s="8" t="s">
        <v>1221</v>
      </c>
      <c r="K69" s="173" t="s">
        <v>860</v>
      </c>
      <c r="L69" s="173" t="s">
        <v>2229</v>
      </c>
      <c r="M69" s="10" t="s">
        <v>1221</v>
      </c>
      <c r="N69" s="10" t="s">
        <v>1239</v>
      </c>
      <c r="O69" s="10"/>
    </row>
    <row r="70" spans="1:15" ht="18" customHeight="1" x14ac:dyDescent="0.3">
      <c r="A70" s="24">
        <v>69</v>
      </c>
      <c r="B70" s="10" t="s">
        <v>193</v>
      </c>
      <c r="C70" s="10" t="s">
        <v>5</v>
      </c>
      <c r="D70" s="62">
        <v>3</v>
      </c>
      <c r="E70" s="61" t="s">
        <v>2406</v>
      </c>
      <c r="F70" s="16" t="s">
        <v>389</v>
      </c>
      <c r="G70" s="10" t="s">
        <v>150</v>
      </c>
      <c r="H70" s="10" t="s">
        <v>853</v>
      </c>
      <c r="I70" s="62">
        <v>222</v>
      </c>
      <c r="J70" s="8" t="s">
        <v>846</v>
      </c>
      <c r="K70" s="10" t="s">
        <v>847</v>
      </c>
      <c r="L70" s="10" t="s">
        <v>1239</v>
      </c>
      <c r="M70" s="10" t="s">
        <v>1221</v>
      </c>
      <c r="N70" s="10" t="s">
        <v>1239</v>
      </c>
      <c r="O70" s="10"/>
    </row>
    <row r="71" spans="1:15" ht="18" customHeight="1" x14ac:dyDescent="0.3">
      <c r="A71" s="24">
        <v>70</v>
      </c>
      <c r="B71" s="10" t="s">
        <v>193</v>
      </c>
      <c r="C71" s="10" t="s">
        <v>5</v>
      </c>
      <c r="D71" s="62">
        <v>3</v>
      </c>
      <c r="E71" s="61" t="s">
        <v>2405</v>
      </c>
      <c r="F71" s="16" t="s">
        <v>389</v>
      </c>
      <c r="G71" s="10" t="s">
        <v>150</v>
      </c>
      <c r="H71" s="10" t="s">
        <v>854</v>
      </c>
      <c r="I71" s="62">
        <v>222</v>
      </c>
      <c r="J71" s="8" t="s">
        <v>1221</v>
      </c>
      <c r="K71" s="10" t="s">
        <v>847</v>
      </c>
      <c r="L71" s="10" t="s">
        <v>1239</v>
      </c>
      <c r="M71" s="10" t="s">
        <v>1221</v>
      </c>
      <c r="N71" s="10" t="s">
        <v>1239</v>
      </c>
      <c r="O71" s="10"/>
    </row>
    <row r="72" spans="1:15" ht="18" customHeight="1" x14ac:dyDescent="0.3">
      <c r="A72" s="24">
        <v>71</v>
      </c>
      <c r="B72" s="10" t="s">
        <v>193</v>
      </c>
      <c r="C72" s="10" t="s">
        <v>5</v>
      </c>
      <c r="D72" s="62">
        <v>3</v>
      </c>
      <c r="E72" s="61" t="s">
        <v>2787</v>
      </c>
      <c r="F72" s="19" t="s">
        <v>386</v>
      </c>
      <c r="G72" s="10" t="s">
        <v>150</v>
      </c>
      <c r="H72" s="10" t="s">
        <v>845</v>
      </c>
      <c r="I72" s="62">
        <v>192</v>
      </c>
      <c r="J72" s="10" t="s">
        <v>1521</v>
      </c>
      <c r="K72" s="10" t="s">
        <v>847</v>
      </c>
      <c r="L72" s="10" t="s">
        <v>1239</v>
      </c>
      <c r="M72" s="10" t="s">
        <v>1221</v>
      </c>
      <c r="N72" s="10" t="s">
        <v>1239</v>
      </c>
      <c r="O72" s="10"/>
    </row>
    <row r="73" spans="1:15" ht="18" customHeight="1" x14ac:dyDescent="0.3">
      <c r="A73" s="24">
        <v>72</v>
      </c>
      <c r="B73" s="10" t="s">
        <v>193</v>
      </c>
      <c r="C73" s="10" t="s">
        <v>5</v>
      </c>
      <c r="D73" s="62">
        <v>3</v>
      </c>
      <c r="E73" s="61" t="s">
        <v>2787</v>
      </c>
      <c r="F73" s="19" t="s">
        <v>386</v>
      </c>
      <c r="G73" s="10" t="s">
        <v>150</v>
      </c>
      <c r="H73" s="10" t="s">
        <v>848</v>
      </c>
      <c r="I73" s="62">
        <v>172</v>
      </c>
      <c r="J73" s="10" t="s">
        <v>1521</v>
      </c>
      <c r="K73" s="10" t="s">
        <v>847</v>
      </c>
      <c r="L73" s="10" t="s">
        <v>1239</v>
      </c>
      <c r="M73" s="10" t="s">
        <v>1221</v>
      </c>
      <c r="N73" s="10" t="s">
        <v>1239</v>
      </c>
      <c r="O73" s="10"/>
    </row>
    <row r="74" spans="1:15" ht="18" customHeight="1" x14ac:dyDescent="0.3">
      <c r="A74" s="24">
        <v>73</v>
      </c>
      <c r="B74" s="10" t="s">
        <v>193</v>
      </c>
      <c r="C74" s="10" t="s">
        <v>5</v>
      </c>
      <c r="D74" s="62">
        <v>3</v>
      </c>
      <c r="E74" s="61" t="s">
        <v>2787</v>
      </c>
      <c r="F74" s="19" t="s">
        <v>386</v>
      </c>
      <c r="G74" s="10" t="s">
        <v>150</v>
      </c>
      <c r="H74" s="10" t="s">
        <v>2380</v>
      </c>
      <c r="I74" s="62">
        <v>411</v>
      </c>
      <c r="J74" s="10" t="s">
        <v>1221</v>
      </c>
      <c r="K74" s="10" t="s">
        <v>1221</v>
      </c>
      <c r="L74" s="10" t="s">
        <v>1239</v>
      </c>
      <c r="M74" s="10" t="s">
        <v>1221</v>
      </c>
      <c r="N74" s="10" t="s">
        <v>1239</v>
      </c>
      <c r="O74" s="10"/>
    </row>
    <row r="75" spans="1:15" ht="18" customHeight="1" x14ac:dyDescent="0.3">
      <c r="A75" s="24">
        <v>74</v>
      </c>
      <c r="B75" s="10" t="s">
        <v>193</v>
      </c>
      <c r="C75" s="10" t="s">
        <v>5</v>
      </c>
      <c r="D75" s="62">
        <v>3</v>
      </c>
      <c r="E75" s="61" t="s">
        <v>2787</v>
      </c>
      <c r="F75" s="19" t="s">
        <v>386</v>
      </c>
      <c r="G75" s="10" t="s">
        <v>150</v>
      </c>
      <c r="H75" s="10" t="s">
        <v>851</v>
      </c>
      <c r="I75" s="62">
        <v>186</v>
      </c>
      <c r="J75" s="10" t="s">
        <v>1521</v>
      </c>
      <c r="K75" s="10" t="s">
        <v>847</v>
      </c>
      <c r="L75" s="10" t="s">
        <v>1239</v>
      </c>
      <c r="M75" s="10" t="s">
        <v>1221</v>
      </c>
      <c r="N75" s="10" t="s">
        <v>1239</v>
      </c>
      <c r="O75" s="10"/>
    </row>
    <row r="76" spans="1:15" ht="18" customHeight="1" x14ac:dyDescent="0.3">
      <c r="A76" s="24">
        <v>75</v>
      </c>
      <c r="B76" s="10" t="s">
        <v>193</v>
      </c>
      <c r="C76" s="10" t="s">
        <v>5</v>
      </c>
      <c r="D76" s="62">
        <v>3</v>
      </c>
      <c r="E76" s="61" t="s">
        <v>2787</v>
      </c>
      <c r="F76" s="19" t="s">
        <v>386</v>
      </c>
      <c r="G76" s="10" t="s">
        <v>150</v>
      </c>
      <c r="H76" s="10" t="s">
        <v>852</v>
      </c>
      <c r="I76" s="62">
        <v>200</v>
      </c>
      <c r="J76" s="10" t="s">
        <v>1521</v>
      </c>
      <c r="K76" s="10" t="s">
        <v>847</v>
      </c>
      <c r="L76" s="10" t="s">
        <v>1239</v>
      </c>
      <c r="M76" s="10" t="s">
        <v>1221</v>
      </c>
      <c r="N76" s="10" t="s">
        <v>1239</v>
      </c>
      <c r="O76" s="10"/>
    </row>
    <row r="77" spans="1:15" ht="18" customHeight="1" x14ac:dyDescent="0.3">
      <c r="A77" s="24">
        <v>76</v>
      </c>
      <c r="B77" s="10" t="s">
        <v>193</v>
      </c>
      <c r="C77" s="10" t="s">
        <v>5</v>
      </c>
      <c r="D77" s="62">
        <v>3</v>
      </c>
      <c r="E77" s="61" t="s">
        <v>2787</v>
      </c>
      <c r="F77" s="19" t="s">
        <v>386</v>
      </c>
      <c r="G77" s="10" t="s">
        <v>150</v>
      </c>
      <c r="H77" s="10" t="s">
        <v>853</v>
      </c>
      <c r="I77" s="62">
        <v>201</v>
      </c>
      <c r="J77" s="10" t="s">
        <v>1521</v>
      </c>
      <c r="K77" s="10" t="s">
        <v>847</v>
      </c>
      <c r="L77" s="10" t="s">
        <v>1239</v>
      </c>
      <c r="M77" s="10" t="s">
        <v>1221</v>
      </c>
      <c r="N77" s="10" t="s">
        <v>1239</v>
      </c>
      <c r="O77" s="10"/>
    </row>
    <row r="78" spans="1:15" ht="18" customHeight="1" x14ac:dyDescent="0.3">
      <c r="A78" s="24">
        <v>77</v>
      </c>
      <c r="B78" s="10" t="s">
        <v>193</v>
      </c>
      <c r="C78" s="10" t="s">
        <v>5</v>
      </c>
      <c r="D78" s="62">
        <v>3</v>
      </c>
      <c r="E78" s="61" t="s">
        <v>2787</v>
      </c>
      <c r="F78" s="19" t="s">
        <v>386</v>
      </c>
      <c r="G78" s="10" t="s">
        <v>150</v>
      </c>
      <c r="H78" s="10" t="s">
        <v>883</v>
      </c>
      <c r="I78" s="62">
        <v>194</v>
      </c>
      <c r="J78" s="10" t="s">
        <v>1221</v>
      </c>
      <c r="K78" s="10" t="s">
        <v>847</v>
      </c>
      <c r="L78" s="10" t="s">
        <v>1239</v>
      </c>
      <c r="M78" s="10" t="s">
        <v>1221</v>
      </c>
      <c r="N78" s="10" t="s">
        <v>1239</v>
      </c>
      <c r="O78" s="10"/>
    </row>
    <row r="79" spans="1:15" ht="18" customHeight="1" x14ac:dyDescent="0.3">
      <c r="A79" s="24">
        <v>78</v>
      </c>
      <c r="B79" s="10" t="s">
        <v>193</v>
      </c>
      <c r="C79" s="10" t="s">
        <v>5</v>
      </c>
      <c r="D79" s="62">
        <v>3</v>
      </c>
      <c r="E79" s="61" t="s">
        <v>2787</v>
      </c>
      <c r="F79" s="19" t="s">
        <v>386</v>
      </c>
      <c r="G79" s="10" t="s">
        <v>150</v>
      </c>
      <c r="H79" s="10" t="s">
        <v>922</v>
      </c>
      <c r="I79" s="62">
        <v>214</v>
      </c>
      <c r="J79" s="10" t="s">
        <v>1221</v>
      </c>
      <c r="K79" s="10" t="s">
        <v>847</v>
      </c>
      <c r="L79" s="10" t="s">
        <v>1239</v>
      </c>
      <c r="M79" s="10" t="s">
        <v>1221</v>
      </c>
      <c r="N79" s="10" t="s">
        <v>1239</v>
      </c>
      <c r="O79" s="10"/>
    </row>
    <row r="80" spans="1:15" ht="18" customHeight="1" x14ac:dyDescent="0.3">
      <c r="A80" s="24">
        <v>79</v>
      </c>
      <c r="B80" s="10" t="s">
        <v>193</v>
      </c>
      <c r="C80" s="10" t="s">
        <v>5</v>
      </c>
      <c r="D80" s="62">
        <v>3</v>
      </c>
      <c r="E80" s="61" t="s">
        <v>2787</v>
      </c>
      <c r="F80" s="19" t="s">
        <v>386</v>
      </c>
      <c r="G80" s="10" t="s">
        <v>150</v>
      </c>
      <c r="H80" s="10" t="s">
        <v>926</v>
      </c>
      <c r="I80" s="62">
        <v>210</v>
      </c>
      <c r="J80" s="10" t="s">
        <v>1221</v>
      </c>
      <c r="K80" s="10" t="s">
        <v>847</v>
      </c>
      <c r="L80" s="10" t="s">
        <v>1239</v>
      </c>
      <c r="M80" s="10" t="s">
        <v>1221</v>
      </c>
      <c r="N80" s="10" t="s">
        <v>1239</v>
      </c>
      <c r="O80" s="10"/>
    </row>
    <row r="81" spans="1:15" ht="18" customHeight="1" x14ac:dyDescent="0.3">
      <c r="A81" s="24">
        <v>80</v>
      </c>
      <c r="B81" s="10" t="s">
        <v>193</v>
      </c>
      <c r="C81" s="10" t="s">
        <v>5</v>
      </c>
      <c r="D81" s="62">
        <v>3</v>
      </c>
      <c r="E81" s="61" t="s">
        <v>2787</v>
      </c>
      <c r="F81" s="19" t="s">
        <v>386</v>
      </c>
      <c r="G81" s="10" t="s">
        <v>150</v>
      </c>
      <c r="H81" s="10" t="s">
        <v>2407</v>
      </c>
      <c r="I81" s="62">
        <v>247</v>
      </c>
      <c r="J81" s="10" t="s">
        <v>1221</v>
      </c>
      <c r="K81" s="10" t="s">
        <v>1229</v>
      </c>
      <c r="L81" s="10" t="s">
        <v>1239</v>
      </c>
      <c r="M81" s="10" t="s">
        <v>1221</v>
      </c>
      <c r="N81" s="10" t="s">
        <v>1239</v>
      </c>
      <c r="O81" s="10"/>
    </row>
    <row r="82" spans="1:15" ht="18" customHeight="1" x14ac:dyDescent="0.3">
      <c r="A82" s="24">
        <v>81</v>
      </c>
      <c r="B82" s="10" t="s">
        <v>193</v>
      </c>
      <c r="C82" s="10" t="s">
        <v>5</v>
      </c>
      <c r="D82" s="62">
        <v>3</v>
      </c>
      <c r="E82" s="61" t="s">
        <v>2787</v>
      </c>
      <c r="F82" s="19" t="s">
        <v>386</v>
      </c>
      <c r="G82" s="10" t="s">
        <v>150</v>
      </c>
      <c r="H82" s="10" t="s">
        <v>2408</v>
      </c>
      <c r="I82" s="62">
        <v>166</v>
      </c>
      <c r="J82" s="10" t="s">
        <v>1221</v>
      </c>
      <c r="K82" s="10" t="s">
        <v>1221</v>
      </c>
      <c r="L82" s="10" t="s">
        <v>1239</v>
      </c>
      <c r="M82" s="10" t="s">
        <v>1221</v>
      </c>
      <c r="N82" s="10" t="s">
        <v>1239</v>
      </c>
      <c r="O82" s="10"/>
    </row>
    <row r="83" spans="1:15" ht="18" customHeight="1" x14ac:dyDescent="0.3">
      <c r="A83" s="24">
        <v>82</v>
      </c>
      <c r="B83" s="10" t="s">
        <v>193</v>
      </c>
      <c r="C83" s="10" t="s">
        <v>5</v>
      </c>
      <c r="D83" s="62">
        <v>3</v>
      </c>
      <c r="E83" s="61" t="s">
        <v>2787</v>
      </c>
      <c r="F83" s="19" t="s">
        <v>386</v>
      </c>
      <c r="G83" s="10" t="s">
        <v>150</v>
      </c>
      <c r="H83" s="10" t="s">
        <v>914</v>
      </c>
      <c r="I83" s="62">
        <v>126</v>
      </c>
      <c r="J83" s="10" t="s">
        <v>1221</v>
      </c>
      <c r="K83" s="10" t="s">
        <v>847</v>
      </c>
      <c r="L83" s="10" t="s">
        <v>1239</v>
      </c>
      <c r="M83" s="10" t="s">
        <v>1221</v>
      </c>
      <c r="N83" s="10" t="s">
        <v>1239</v>
      </c>
      <c r="O83" s="10"/>
    </row>
    <row r="84" spans="1:15" ht="18" customHeight="1" x14ac:dyDescent="0.3">
      <c r="A84" s="24">
        <v>83</v>
      </c>
      <c r="B84" s="10" t="s">
        <v>193</v>
      </c>
      <c r="C84" s="10" t="s">
        <v>5</v>
      </c>
      <c r="D84" s="62">
        <v>3</v>
      </c>
      <c r="E84" s="61" t="s">
        <v>2787</v>
      </c>
      <c r="F84" s="19" t="s">
        <v>386</v>
      </c>
      <c r="G84" s="10" t="s">
        <v>150</v>
      </c>
      <c r="H84" s="10" t="s">
        <v>1151</v>
      </c>
      <c r="I84" s="62">
        <v>134</v>
      </c>
      <c r="J84" s="10" t="s">
        <v>1221</v>
      </c>
      <c r="K84" s="10" t="s">
        <v>847</v>
      </c>
      <c r="L84" s="10" t="s">
        <v>1239</v>
      </c>
      <c r="M84" s="10" t="s">
        <v>1521</v>
      </c>
      <c r="N84" s="10" t="s">
        <v>1256</v>
      </c>
      <c r="O84" s="10"/>
    </row>
    <row r="85" spans="1:15" ht="18" customHeight="1" x14ac:dyDescent="0.3">
      <c r="A85" s="24">
        <v>84</v>
      </c>
      <c r="B85" s="10" t="s">
        <v>193</v>
      </c>
      <c r="C85" s="10" t="s">
        <v>5</v>
      </c>
      <c r="D85" s="62">
        <v>3</v>
      </c>
      <c r="E85" s="61" t="s">
        <v>2787</v>
      </c>
      <c r="F85" s="19" t="s">
        <v>2409</v>
      </c>
      <c r="G85" s="10" t="s">
        <v>150</v>
      </c>
      <c r="H85" s="10" t="s">
        <v>911</v>
      </c>
      <c r="I85" s="62">
        <v>170</v>
      </c>
      <c r="J85" s="10" t="s">
        <v>1221</v>
      </c>
      <c r="K85" s="10" t="s">
        <v>846</v>
      </c>
      <c r="L85" s="10" t="s">
        <v>985</v>
      </c>
      <c r="M85" s="10" t="s">
        <v>1221</v>
      </c>
      <c r="N85" s="10" t="s">
        <v>1239</v>
      </c>
      <c r="O85" s="10"/>
    </row>
    <row r="86" spans="1:15" ht="18" customHeight="1" x14ac:dyDescent="0.3">
      <c r="A86" s="24">
        <v>85</v>
      </c>
      <c r="B86" s="10" t="s">
        <v>193</v>
      </c>
      <c r="C86" s="10" t="s">
        <v>5</v>
      </c>
      <c r="D86" s="62">
        <v>3</v>
      </c>
      <c r="E86" s="61" t="s">
        <v>2787</v>
      </c>
      <c r="F86" s="19" t="s">
        <v>2409</v>
      </c>
      <c r="G86" s="10" t="s">
        <v>150</v>
      </c>
      <c r="H86" s="10" t="s">
        <v>912</v>
      </c>
      <c r="I86" s="62">
        <v>142</v>
      </c>
      <c r="J86" s="10" t="s">
        <v>1221</v>
      </c>
      <c r="K86" s="10" t="s">
        <v>846</v>
      </c>
      <c r="L86" s="10" t="s">
        <v>985</v>
      </c>
      <c r="M86" s="10" t="s">
        <v>1221</v>
      </c>
      <c r="N86" s="10" t="s">
        <v>1239</v>
      </c>
      <c r="O86" s="10"/>
    </row>
    <row r="87" spans="1:15" ht="18" customHeight="1" x14ac:dyDescent="0.3">
      <c r="A87" s="24">
        <v>86</v>
      </c>
      <c r="B87" s="10" t="s">
        <v>193</v>
      </c>
      <c r="C87" s="10" t="s">
        <v>5</v>
      </c>
      <c r="D87" s="62">
        <v>3</v>
      </c>
      <c r="E87" s="61" t="s">
        <v>2787</v>
      </c>
      <c r="F87" s="19" t="s">
        <v>2409</v>
      </c>
      <c r="G87" s="10" t="s">
        <v>150</v>
      </c>
      <c r="H87" s="10" t="s">
        <v>2410</v>
      </c>
      <c r="I87" s="62">
        <v>144</v>
      </c>
      <c r="J87" s="10" t="s">
        <v>1521</v>
      </c>
      <c r="K87" s="10" t="s">
        <v>846</v>
      </c>
      <c r="L87" s="10" t="s">
        <v>188</v>
      </c>
      <c r="M87" s="10" t="s">
        <v>1221</v>
      </c>
      <c r="N87" s="10" t="s">
        <v>1239</v>
      </c>
      <c r="O87" s="10"/>
    </row>
    <row r="88" spans="1:15" ht="18" customHeight="1" x14ac:dyDescent="0.3">
      <c r="A88" s="24">
        <v>87</v>
      </c>
      <c r="B88" s="10" t="s">
        <v>193</v>
      </c>
      <c r="C88" s="10" t="s">
        <v>5</v>
      </c>
      <c r="D88" s="62">
        <v>3</v>
      </c>
      <c r="E88" s="61" t="s">
        <v>2787</v>
      </c>
      <c r="F88" s="19" t="s">
        <v>2409</v>
      </c>
      <c r="G88" s="10" t="s">
        <v>150</v>
      </c>
      <c r="H88" s="10" t="s">
        <v>2411</v>
      </c>
      <c r="I88" s="62">
        <v>40</v>
      </c>
      <c r="J88" s="10" t="s">
        <v>1221</v>
      </c>
      <c r="K88" s="10" t="s">
        <v>846</v>
      </c>
      <c r="L88" s="10" t="s">
        <v>2412</v>
      </c>
      <c r="M88" s="10" t="s">
        <v>1221</v>
      </c>
      <c r="N88" s="10" t="s">
        <v>1239</v>
      </c>
      <c r="O88" s="10"/>
    </row>
    <row r="89" spans="1:15" ht="18" customHeight="1" x14ac:dyDescent="0.3">
      <c r="A89" s="24">
        <v>88</v>
      </c>
      <c r="B89" s="10" t="s">
        <v>193</v>
      </c>
      <c r="C89" s="10" t="s">
        <v>5</v>
      </c>
      <c r="D89" s="62">
        <v>3</v>
      </c>
      <c r="E89" s="61" t="s">
        <v>2787</v>
      </c>
      <c r="F89" s="19" t="s">
        <v>2409</v>
      </c>
      <c r="G89" s="10" t="s">
        <v>150</v>
      </c>
      <c r="H89" s="10" t="s">
        <v>2413</v>
      </c>
      <c r="I89" s="62">
        <v>624</v>
      </c>
      <c r="J89" s="10" t="s">
        <v>1521</v>
      </c>
      <c r="K89" s="10" t="s">
        <v>846</v>
      </c>
      <c r="L89" s="10" t="s">
        <v>2414</v>
      </c>
      <c r="M89" s="10" t="s">
        <v>1221</v>
      </c>
      <c r="N89" s="10" t="s">
        <v>1239</v>
      </c>
      <c r="O89" s="10"/>
    </row>
    <row r="90" spans="1:15" ht="18" customHeight="1" x14ac:dyDescent="0.3">
      <c r="A90" s="24">
        <v>89</v>
      </c>
      <c r="B90" s="10" t="s">
        <v>193</v>
      </c>
      <c r="C90" s="10" t="s">
        <v>5</v>
      </c>
      <c r="D90" s="62">
        <v>3</v>
      </c>
      <c r="E90" s="61" t="s">
        <v>2788</v>
      </c>
      <c r="F90" s="19" t="s">
        <v>2409</v>
      </c>
      <c r="G90" s="10" t="s">
        <v>150</v>
      </c>
      <c r="H90" s="10" t="s">
        <v>2415</v>
      </c>
      <c r="I90" s="62">
        <v>50</v>
      </c>
      <c r="J90" s="10" t="s">
        <v>1521</v>
      </c>
      <c r="K90" s="10" t="s">
        <v>846</v>
      </c>
      <c r="L90" s="10" t="s">
        <v>2416</v>
      </c>
      <c r="M90" s="10" t="s">
        <v>1221</v>
      </c>
      <c r="N90" s="10" t="s">
        <v>1239</v>
      </c>
      <c r="O90" s="10"/>
    </row>
    <row r="91" spans="1:15" ht="18" customHeight="1" x14ac:dyDescent="0.3">
      <c r="A91" s="24">
        <v>90</v>
      </c>
      <c r="B91" s="10" t="s">
        <v>193</v>
      </c>
      <c r="C91" s="10" t="s">
        <v>5</v>
      </c>
      <c r="D91" s="62">
        <v>3</v>
      </c>
      <c r="E91" s="61" t="s">
        <v>2788</v>
      </c>
      <c r="F91" s="19" t="s">
        <v>2409</v>
      </c>
      <c r="G91" s="10" t="s">
        <v>150</v>
      </c>
      <c r="H91" s="10" t="s">
        <v>2417</v>
      </c>
      <c r="I91" s="62">
        <v>64</v>
      </c>
      <c r="J91" s="10" t="s">
        <v>1521</v>
      </c>
      <c r="K91" s="10" t="s">
        <v>846</v>
      </c>
      <c r="L91" s="10" t="s">
        <v>980</v>
      </c>
      <c r="M91" s="10" t="s">
        <v>1221</v>
      </c>
      <c r="N91" s="10" t="s">
        <v>1239</v>
      </c>
      <c r="O91" s="10"/>
    </row>
    <row r="92" spans="1:15" ht="18" customHeight="1" x14ac:dyDescent="0.3">
      <c r="A92" s="24">
        <v>91</v>
      </c>
      <c r="B92" s="10" t="s">
        <v>193</v>
      </c>
      <c r="C92" s="10" t="s">
        <v>6</v>
      </c>
      <c r="D92" s="62">
        <v>4</v>
      </c>
      <c r="E92" s="61" t="s">
        <v>2789</v>
      </c>
      <c r="F92" s="19" t="s">
        <v>374</v>
      </c>
      <c r="G92" s="10" t="s">
        <v>150</v>
      </c>
      <c r="H92" s="10" t="s">
        <v>845</v>
      </c>
      <c r="I92" s="62">
        <v>107</v>
      </c>
      <c r="J92" s="10" t="s">
        <v>1521</v>
      </c>
      <c r="K92" s="10" t="s">
        <v>847</v>
      </c>
      <c r="L92" s="10" t="s">
        <v>1239</v>
      </c>
      <c r="M92" s="10" t="s">
        <v>1221</v>
      </c>
      <c r="N92" s="10" t="s">
        <v>1239</v>
      </c>
      <c r="O92" s="10"/>
    </row>
    <row r="93" spans="1:15" ht="18" customHeight="1" x14ac:dyDescent="0.3">
      <c r="A93" s="24">
        <v>92</v>
      </c>
      <c r="B93" s="10" t="s">
        <v>193</v>
      </c>
      <c r="C93" s="10" t="s">
        <v>6</v>
      </c>
      <c r="D93" s="62">
        <v>4</v>
      </c>
      <c r="E93" s="61" t="s">
        <v>2789</v>
      </c>
      <c r="F93" s="19" t="s">
        <v>374</v>
      </c>
      <c r="G93" s="10" t="s">
        <v>150</v>
      </c>
      <c r="H93" s="10" t="s">
        <v>848</v>
      </c>
      <c r="I93" s="62">
        <v>108</v>
      </c>
      <c r="J93" s="10" t="s">
        <v>1521</v>
      </c>
      <c r="K93" s="10" t="s">
        <v>847</v>
      </c>
      <c r="L93" s="10" t="s">
        <v>1239</v>
      </c>
      <c r="M93" s="10" t="s">
        <v>1221</v>
      </c>
      <c r="N93" s="10" t="s">
        <v>1239</v>
      </c>
      <c r="O93" s="10"/>
    </row>
    <row r="94" spans="1:15" ht="18" customHeight="1" x14ac:dyDescent="0.3">
      <c r="A94" s="24">
        <v>93</v>
      </c>
      <c r="B94" s="10" t="s">
        <v>193</v>
      </c>
      <c r="C94" s="10" t="s">
        <v>6</v>
      </c>
      <c r="D94" s="62">
        <v>4</v>
      </c>
      <c r="E94" s="61" t="s">
        <v>2789</v>
      </c>
      <c r="F94" s="19" t="s">
        <v>374</v>
      </c>
      <c r="G94" s="10" t="s">
        <v>150</v>
      </c>
      <c r="H94" s="10" t="s">
        <v>851</v>
      </c>
      <c r="I94" s="62">
        <v>238</v>
      </c>
      <c r="J94" s="10" t="s">
        <v>1521</v>
      </c>
      <c r="K94" s="10" t="s">
        <v>847</v>
      </c>
      <c r="L94" s="10" t="s">
        <v>1239</v>
      </c>
      <c r="M94" s="10" t="s">
        <v>1221</v>
      </c>
      <c r="N94" s="10" t="s">
        <v>1239</v>
      </c>
      <c r="O94" s="10"/>
    </row>
    <row r="95" spans="1:15" ht="18" customHeight="1" x14ac:dyDescent="0.3">
      <c r="A95" s="24">
        <v>94</v>
      </c>
      <c r="B95" s="10" t="s">
        <v>193</v>
      </c>
      <c r="C95" s="10" t="s">
        <v>6</v>
      </c>
      <c r="D95" s="62">
        <v>4</v>
      </c>
      <c r="E95" s="61" t="s">
        <v>2789</v>
      </c>
      <c r="F95" s="19" t="s">
        <v>374</v>
      </c>
      <c r="G95" s="10" t="s">
        <v>150</v>
      </c>
      <c r="H95" s="10" t="s">
        <v>853</v>
      </c>
      <c r="I95" s="62">
        <v>282</v>
      </c>
      <c r="J95" s="10" t="s">
        <v>1521</v>
      </c>
      <c r="K95" s="10" t="s">
        <v>847</v>
      </c>
      <c r="L95" s="10" t="s">
        <v>1239</v>
      </c>
      <c r="M95" s="10" t="s">
        <v>1221</v>
      </c>
      <c r="N95" s="10" t="s">
        <v>1239</v>
      </c>
      <c r="O95" s="10"/>
    </row>
    <row r="96" spans="1:15" ht="18" customHeight="1" x14ac:dyDescent="0.3">
      <c r="A96" s="24">
        <v>95</v>
      </c>
      <c r="B96" s="10" t="s">
        <v>193</v>
      </c>
      <c r="C96" s="10" t="s">
        <v>6</v>
      </c>
      <c r="D96" s="62">
        <v>4</v>
      </c>
      <c r="E96" s="61" t="s">
        <v>2789</v>
      </c>
      <c r="F96" s="19" t="s">
        <v>374</v>
      </c>
      <c r="G96" s="10" t="s">
        <v>150</v>
      </c>
      <c r="H96" s="10" t="s">
        <v>854</v>
      </c>
      <c r="I96" s="62">
        <v>326</v>
      </c>
      <c r="J96" s="10" t="s">
        <v>1521</v>
      </c>
      <c r="K96" s="10" t="s">
        <v>847</v>
      </c>
      <c r="L96" s="10" t="s">
        <v>1239</v>
      </c>
      <c r="M96" s="10" t="s">
        <v>1221</v>
      </c>
      <c r="N96" s="10" t="s">
        <v>1239</v>
      </c>
      <c r="O96" s="10"/>
    </row>
    <row r="97" spans="1:15" ht="18" customHeight="1" x14ac:dyDescent="0.3">
      <c r="A97" s="24">
        <v>96</v>
      </c>
      <c r="B97" s="10" t="s">
        <v>193</v>
      </c>
      <c r="C97" s="10" t="s">
        <v>6</v>
      </c>
      <c r="D97" s="62">
        <v>4</v>
      </c>
      <c r="E97" s="61" t="s">
        <v>2789</v>
      </c>
      <c r="F97" s="19" t="s">
        <v>2418</v>
      </c>
      <c r="G97" s="10" t="s">
        <v>150</v>
      </c>
      <c r="H97" s="10" t="s">
        <v>850</v>
      </c>
      <c r="I97" s="62">
        <v>214</v>
      </c>
      <c r="J97" s="10" t="s">
        <v>1521</v>
      </c>
      <c r="K97" s="10" t="s">
        <v>846</v>
      </c>
      <c r="L97" s="10" t="s">
        <v>985</v>
      </c>
      <c r="M97" s="10" t="s">
        <v>1221</v>
      </c>
      <c r="N97" s="10" t="s">
        <v>1239</v>
      </c>
      <c r="O97" s="10"/>
    </row>
    <row r="98" spans="1:15" ht="18" customHeight="1" x14ac:dyDescent="0.3">
      <c r="A98" s="24">
        <v>97</v>
      </c>
      <c r="B98" s="10" t="s">
        <v>193</v>
      </c>
      <c r="C98" s="10" t="s">
        <v>6</v>
      </c>
      <c r="D98" s="62">
        <v>4</v>
      </c>
      <c r="E98" s="61" t="s">
        <v>2789</v>
      </c>
      <c r="F98" s="19" t="s">
        <v>2418</v>
      </c>
      <c r="G98" s="10" t="s">
        <v>150</v>
      </c>
      <c r="H98" s="10" t="s">
        <v>923</v>
      </c>
      <c r="I98" s="62">
        <v>112</v>
      </c>
      <c r="J98" s="10" t="s">
        <v>1521</v>
      </c>
      <c r="K98" s="10" t="s">
        <v>846</v>
      </c>
      <c r="L98" s="10" t="s">
        <v>1516</v>
      </c>
      <c r="M98" s="10" t="s">
        <v>1221</v>
      </c>
      <c r="N98" s="10" t="s">
        <v>1239</v>
      </c>
      <c r="O98" s="10"/>
    </row>
    <row r="99" spans="1:15" ht="18" customHeight="1" x14ac:dyDescent="0.3">
      <c r="A99" s="24">
        <v>98</v>
      </c>
      <c r="B99" s="10" t="s">
        <v>193</v>
      </c>
      <c r="C99" s="10" t="s">
        <v>6</v>
      </c>
      <c r="D99" s="62">
        <v>4</v>
      </c>
      <c r="E99" s="61" t="s">
        <v>2789</v>
      </c>
      <c r="F99" s="19" t="s">
        <v>2418</v>
      </c>
      <c r="G99" s="10" t="s">
        <v>150</v>
      </c>
      <c r="H99" s="10" t="s">
        <v>987</v>
      </c>
      <c r="I99" s="62">
        <v>50</v>
      </c>
      <c r="J99" s="10" t="s">
        <v>1521</v>
      </c>
      <c r="K99" s="10" t="s">
        <v>1521</v>
      </c>
      <c r="L99" s="10" t="s">
        <v>2419</v>
      </c>
      <c r="M99" s="10" t="s">
        <v>1221</v>
      </c>
      <c r="N99" s="10" t="s">
        <v>1239</v>
      </c>
      <c r="O99" s="10"/>
    </row>
    <row r="100" spans="1:15" ht="18" customHeight="1" x14ac:dyDescent="0.3">
      <c r="A100" s="24">
        <v>99</v>
      </c>
      <c r="B100" s="10" t="s">
        <v>193</v>
      </c>
      <c r="C100" s="10" t="s">
        <v>6</v>
      </c>
      <c r="D100" s="62">
        <v>4</v>
      </c>
      <c r="E100" s="61" t="s">
        <v>2789</v>
      </c>
      <c r="F100" s="19" t="s">
        <v>2418</v>
      </c>
      <c r="G100" s="10" t="s">
        <v>150</v>
      </c>
      <c r="H100" s="10" t="s">
        <v>1154</v>
      </c>
      <c r="I100" s="62">
        <v>30</v>
      </c>
      <c r="J100" s="10" t="s">
        <v>1221</v>
      </c>
      <c r="K100" s="10" t="s">
        <v>846</v>
      </c>
      <c r="L100" s="10" t="s">
        <v>2412</v>
      </c>
      <c r="M100" s="10" t="s">
        <v>1221</v>
      </c>
      <c r="N100" s="10" t="s">
        <v>1239</v>
      </c>
      <c r="O100" s="10"/>
    </row>
    <row r="101" spans="1:15" ht="18" customHeight="1" x14ac:dyDescent="0.3">
      <c r="A101" s="24">
        <v>100</v>
      </c>
      <c r="B101" s="10" t="s">
        <v>193</v>
      </c>
      <c r="C101" s="10" t="s">
        <v>6</v>
      </c>
      <c r="D101" s="62">
        <v>4</v>
      </c>
      <c r="E101" s="61" t="s">
        <v>2789</v>
      </c>
      <c r="F101" s="19" t="s">
        <v>2418</v>
      </c>
      <c r="G101" s="10" t="s">
        <v>150</v>
      </c>
      <c r="H101" s="10" t="s">
        <v>921</v>
      </c>
      <c r="I101" s="62">
        <v>303</v>
      </c>
      <c r="J101" s="10" t="s">
        <v>1521</v>
      </c>
      <c r="K101" s="10" t="s">
        <v>846</v>
      </c>
      <c r="L101" s="10" t="s">
        <v>2414</v>
      </c>
      <c r="M101" s="10" t="s">
        <v>1221</v>
      </c>
      <c r="N101" s="10" t="s">
        <v>1239</v>
      </c>
      <c r="O101" s="10"/>
    </row>
    <row r="102" spans="1:15" ht="18" customHeight="1" x14ac:dyDescent="0.3">
      <c r="A102" s="24">
        <v>101</v>
      </c>
      <c r="B102" s="10" t="s">
        <v>193</v>
      </c>
      <c r="C102" s="10" t="s">
        <v>6</v>
      </c>
      <c r="D102" s="62">
        <v>4</v>
      </c>
      <c r="E102" s="61" t="s">
        <v>2420</v>
      </c>
      <c r="F102" s="19" t="s">
        <v>2421</v>
      </c>
      <c r="G102" s="10" t="s">
        <v>150</v>
      </c>
      <c r="H102" s="10" t="s">
        <v>845</v>
      </c>
      <c r="I102" s="62">
        <v>154</v>
      </c>
      <c r="J102" s="10" t="s">
        <v>1221</v>
      </c>
      <c r="K102" s="10" t="s">
        <v>847</v>
      </c>
      <c r="L102" s="10" t="s">
        <v>1239</v>
      </c>
      <c r="M102" s="10" t="s">
        <v>1221</v>
      </c>
      <c r="N102" s="10" t="s">
        <v>1239</v>
      </c>
      <c r="O102" s="10"/>
    </row>
    <row r="103" spans="1:15" ht="18" customHeight="1" x14ac:dyDescent="0.3">
      <c r="A103" s="24">
        <v>102</v>
      </c>
      <c r="B103" s="10" t="s">
        <v>193</v>
      </c>
      <c r="C103" s="10" t="s">
        <v>6</v>
      </c>
      <c r="D103" s="62">
        <v>4</v>
      </c>
      <c r="E103" s="61" t="s">
        <v>2420</v>
      </c>
      <c r="F103" s="19" t="s">
        <v>2421</v>
      </c>
      <c r="G103" s="10" t="s">
        <v>150</v>
      </c>
      <c r="H103" s="10" t="s">
        <v>848</v>
      </c>
      <c r="I103" s="62">
        <v>170</v>
      </c>
      <c r="J103" s="10" t="s">
        <v>1221</v>
      </c>
      <c r="K103" s="10" t="s">
        <v>847</v>
      </c>
      <c r="L103" s="10" t="s">
        <v>1239</v>
      </c>
      <c r="M103" s="10" t="s">
        <v>1221</v>
      </c>
      <c r="N103" s="10" t="s">
        <v>1239</v>
      </c>
      <c r="O103" s="10"/>
    </row>
    <row r="104" spans="1:15" ht="18" customHeight="1" x14ac:dyDescent="0.3">
      <c r="A104" s="24">
        <v>103</v>
      </c>
      <c r="B104" s="10" t="s">
        <v>193</v>
      </c>
      <c r="C104" s="10" t="s">
        <v>6</v>
      </c>
      <c r="D104" s="62">
        <v>4</v>
      </c>
      <c r="E104" s="61" t="s">
        <v>2420</v>
      </c>
      <c r="F104" s="19" t="s">
        <v>1055</v>
      </c>
      <c r="G104" s="10" t="s">
        <v>150</v>
      </c>
      <c r="H104" s="10" t="s">
        <v>850</v>
      </c>
      <c r="I104" s="62">
        <v>154</v>
      </c>
      <c r="J104" s="10" t="s">
        <v>1221</v>
      </c>
      <c r="K104" s="10" t="s">
        <v>1221</v>
      </c>
      <c r="L104" s="10" t="s">
        <v>1239</v>
      </c>
      <c r="M104" s="10" t="s">
        <v>1221</v>
      </c>
      <c r="N104" s="10" t="s">
        <v>1239</v>
      </c>
      <c r="O104" s="10"/>
    </row>
    <row r="105" spans="1:15" ht="18" customHeight="1" x14ac:dyDescent="0.3">
      <c r="A105" s="24">
        <v>104</v>
      </c>
      <c r="B105" s="10" t="s">
        <v>193</v>
      </c>
      <c r="C105" s="10" t="s">
        <v>6</v>
      </c>
      <c r="D105" s="62">
        <v>4</v>
      </c>
      <c r="E105" s="61" t="s">
        <v>2420</v>
      </c>
      <c r="F105" s="19" t="s">
        <v>2421</v>
      </c>
      <c r="G105" s="10" t="s">
        <v>150</v>
      </c>
      <c r="H105" s="10" t="s">
        <v>2379</v>
      </c>
      <c r="I105" s="62">
        <v>279</v>
      </c>
      <c r="J105" s="10" t="s">
        <v>1221</v>
      </c>
      <c r="K105" s="10" t="s">
        <v>1521</v>
      </c>
      <c r="L105" s="173" t="s">
        <v>3206</v>
      </c>
      <c r="M105" s="10" t="s">
        <v>1221</v>
      </c>
      <c r="N105" s="10" t="s">
        <v>1239</v>
      </c>
      <c r="O105" s="10"/>
    </row>
    <row r="106" spans="1:15" ht="18" customHeight="1" x14ac:dyDescent="0.3">
      <c r="A106" s="24">
        <v>105</v>
      </c>
      <c r="B106" s="10" t="s">
        <v>193</v>
      </c>
      <c r="C106" s="10" t="s">
        <v>6</v>
      </c>
      <c r="D106" s="62">
        <v>4</v>
      </c>
      <c r="E106" s="61" t="s">
        <v>2420</v>
      </c>
      <c r="F106" s="19" t="s">
        <v>2421</v>
      </c>
      <c r="G106" s="10" t="s">
        <v>150</v>
      </c>
      <c r="H106" s="10" t="s">
        <v>1146</v>
      </c>
      <c r="I106" s="62">
        <v>68</v>
      </c>
      <c r="J106" s="10" t="s">
        <v>1221</v>
      </c>
      <c r="K106" s="10" t="s">
        <v>1521</v>
      </c>
      <c r="L106" s="10" t="s">
        <v>2422</v>
      </c>
      <c r="M106" s="10" t="s">
        <v>1221</v>
      </c>
      <c r="N106" s="10" t="s">
        <v>1239</v>
      </c>
      <c r="O106" s="10"/>
    </row>
    <row r="107" spans="1:15" ht="18" customHeight="1" x14ac:dyDescent="0.3">
      <c r="A107" s="24">
        <v>106</v>
      </c>
      <c r="B107" s="10" t="s">
        <v>193</v>
      </c>
      <c r="C107" s="10" t="s">
        <v>6</v>
      </c>
      <c r="D107" s="62">
        <v>4</v>
      </c>
      <c r="E107" s="61" t="s">
        <v>2420</v>
      </c>
      <c r="F107" s="19" t="s">
        <v>2421</v>
      </c>
      <c r="G107" s="10" t="s">
        <v>150</v>
      </c>
      <c r="H107" s="10" t="s">
        <v>2423</v>
      </c>
      <c r="I107" s="62">
        <v>46</v>
      </c>
      <c r="J107" s="10" t="s">
        <v>1221</v>
      </c>
      <c r="K107" s="10" t="s">
        <v>1521</v>
      </c>
      <c r="L107" s="10" t="s">
        <v>2422</v>
      </c>
      <c r="M107" s="10" t="s">
        <v>1221</v>
      </c>
      <c r="N107" s="10" t="s">
        <v>1239</v>
      </c>
      <c r="O107" s="10"/>
    </row>
    <row r="108" spans="1:15" ht="18" customHeight="1" x14ac:dyDescent="0.3">
      <c r="A108" s="24">
        <v>107</v>
      </c>
      <c r="B108" s="10" t="s">
        <v>193</v>
      </c>
      <c r="C108" s="10" t="s">
        <v>7</v>
      </c>
      <c r="D108" s="62">
        <v>5</v>
      </c>
      <c r="E108" s="61" t="s">
        <v>2790</v>
      </c>
      <c r="F108" s="19" t="s">
        <v>336</v>
      </c>
      <c r="G108" s="10" t="s">
        <v>150</v>
      </c>
      <c r="H108" s="10" t="s">
        <v>848</v>
      </c>
      <c r="I108" s="62">
        <v>218</v>
      </c>
      <c r="J108" s="10" t="s">
        <v>1521</v>
      </c>
      <c r="K108" s="10" t="s">
        <v>847</v>
      </c>
      <c r="L108" s="10" t="s">
        <v>1239</v>
      </c>
      <c r="M108" s="10" t="s">
        <v>1221</v>
      </c>
      <c r="N108" s="10" t="s">
        <v>1239</v>
      </c>
      <c r="O108" s="10"/>
    </row>
    <row r="109" spans="1:15" ht="18" customHeight="1" x14ac:dyDescent="0.3">
      <c r="A109" s="24">
        <v>108</v>
      </c>
      <c r="B109" s="10" t="s">
        <v>193</v>
      </c>
      <c r="C109" s="10" t="s">
        <v>7</v>
      </c>
      <c r="D109" s="62">
        <v>5</v>
      </c>
      <c r="E109" s="61" t="s">
        <v>2790</v>
      </c>
      <c r="F109" s="19" t="s">
        <v>336</v>
      </c>
      <c r="G109" s="10" t="s">
        <v>150</v>
      </c>
      <c r="H109" s="10" t="s">
        <v>849</v>
      </c>
      <c r="I109" s="62">
        <v>218</v>
      </c>
      <c r="J109" s="10" t="s">
        <v>1521</v>
      </c>
      <c r="K109" s="10" t="s">
        <v>847</v>
      </c>
      <c r="L109" s="10" t="s">
        <v>1239</v>
      </c>
      <c r="M109" s="10" t="s">
        <v>1221</v>
      </c>
      <c r="N109" s="10" t="s">
        <v>1239</v>
      </c>
      <c r="O109" s="10"/>
    </row>
    <row r="110" spans="1:15" ht="18" customHeight="1" x14ac:dyDescent="0.3">
      <c r="A110" s="24">
        <v>109</v>
      </c>
      <c r="B110" s="10" t="s">
        <v>193</v>
      </c>
      <c r="C110" s="10" t="s">
        <v>7</v>
      </c>
      <c r="D110" s="62">
        <v>5</v>
      </c>
      <c r="E110" s="61" t="s">
        <v>2790</v>
      </c>
      <c r="F110" s="19" t="s">
        <v>336</v>
      </c>
      <c r="G110" s="10" t="s">
        <v>150</v>
      </c>
      <c r="H110" s="10" t="s">
        <v>850</v>
      </c>
      <c r="I110" s="62">
        <v>76</v>
      </c>
      <c r="J110" s="10" t="s">
        <v>1221</v>
      </c>
      <c r="K110" s="10" t="s">
        <v>847</v>
      </c>
      <c r="L110" s="10" t="s">
        <v>1239</v>
      </c>
      <c r="M110" s="10" t="s">
        <v>1521</v>
      </c>
      <c r="N110" s="10" t="s">
        <v>1256</v>
      </c>
      <c r="O110" s="10"/>
    </row>
    <row r="111" spans="1:15" ht="18" customHeight="1" x14ac:dyDescent="0.3">
      <c r="A111" s="24">
        <v>110</v>
      </c>
      <c r="B111" s="10" t="s">
        <v>193</v>
      </c>
      <c r="C111" s="10" t="s">
        <v>7</v>
      </c>
      <c r="D111" s="62">
        <v>5</v>
      </c>
      <c r="E111" s="61" t="s">
        <v>2790</v>
      </c>
      <c r="F111" s="19" t="s">
        <v>336</v>
      </c>
      <c r="G111" s="10" t="s">
        <v>150</v>
      </c>
      <c r="H111" s="10" t="s">
        <v>851</v>
      </c>
      <c r="I111" s="62">
        <v>80</v>
      </c>
      <c r="J111" s="10" t="s">
        <v>1221</v>
      </c>
      <c r="K111" s="10" t="s">
        <v>847</v>
      </c>
      <c r="L111" s="10" t="s">
        <v>1239</v>
      </c>
      <c r="M111" s="10" t="s">
        <v>1221</v>
      </c>
      <c r="N111" s="10" t="s">
        <v>1239</v>
      </c>
      <c r="O111" s="10"/>
    </row>
    <row r="112" spans="1:15" ht="18" customHeight="1" x14ac:dyDescent="0.3">
      <c r="A112" s="24">
        <v>111</v>
      </c>
      <c r="B112" s="10" t="s">
        <v>193</v>
      </c>
      <c r="C112" s="10" t="s">
        <v>7</v>
      </c>
      <c r="D112" s="62">
        <v>5</v>
      </c>
      <c r="E112" s="61" t="s">
        <v>2790</v>
      </c>
      <c r="F112" s="19" t="s">
        <v>336</v>
      </c>
      <c r="G112" s="10" t="s">
        <v>150</v>
      </c>
      <c r="H112" s="10" t="s">
        <v>852</v>
      </c>
      <c r="I112" s="62">
        <v>151</v>
      </c>
      <c r="J112" s="10" t="s">
        <v>1221</v>
      </c>
      <c r="K112" s="10" t="s">
        <v>847</v>
      </c>
      <c r="L112" s="10" t="s">
        <v>1239</v>
      </c>
      <c r="M112" s="10" t="s">
        <v>1221</v>
      </c>
      <c r="N112" s="10" t="s">
        <v>1239</v>
      </c>
      <c r="O112" s="10"/>
    </row>
    <row r="113" spans="1:15" ht="18" customHeight="1" x14ac:dyDescent="0.3">
      <c r="A113" s="24">
        <v>112</v>
      </c>
      <c r="B113" s="10" t="s">
        <v>193</v>
      </c>
      <c r="C113" s="10" t="s">
        <v>7</v>
      </c>
      <c r="D113" s="62">
        <v>5</v>
      </c>
      <c r="E113" s="61" t="s">
        <v>2790</v>
      </c>
      <c r="F113" s="19" t="s">
        <v>336</v>
      </c>
      <c r="G113" s="10" t="s">
        <v>150</v>
      </c>
      <c r="H113" s="10" t="s">
        <v>853</v>
      </c>
      <c r="I113" s="62">
        <v>141</v>
      </c>
      <c r="J113" s="10" t="s">
        <v>1521</v>
      </c>
      <c r="K113" s="10" t="s">
        <v>847</v>
      </c>
      <c r="L113" s="10" t="s">
        <v>1239</v>
      </c>
      <c r="M113" s="10" t="s">
        <v>1221</v>
      </c>
      <c r="N113" s="10" t="s">
        <v>1239</v>
      </c>
      <c r="O113" s="10"/>
    </row>
    <row r="114" spans="1:15" ht="18" customHeight="1" x14ac:dyDescent="0.3">
      <c r="A114" s="24">
        <v>113</v>
      </c>
      <c r="B114" s="10" t="s">
        <v>193</v>
      </c>
      <c r="C114" s="10" t="s">
        <v>7</v>
      </c>
      <c r="D114" s="62">
        <v>5</v>
      </c>
      <c r="E114" s="61" t="s">
        <v>2790</v>
      </c>
      <c r="F114" s="19" t="s">
        <v>336</v>
      </c>
      <c r="G114" s="10" t="s">
        <v>150</v>
      </c>
      <c r="H114" s="10" t="s">
        <v>854</v>
      </c>
      <c r="I114" s="62">
        <v>80</v>
      </c>
      <c r="J114" s="10" t="s">
        <v>1221</v>
      </c>
      <c r="K114" s="10" t="s">
        <v>847</v>
      </c>
      <c r="L114" s="10" t="s">
        <v>1239</v>
      </c>
      <c r="M114" s="10" t="s">
        <v>1221</v>
      </c>
      <c r="N114" s="10" t="s">
        <v>1239</v>
      </c>
      <c r="O114" s="10"/>
    </row>
    <row r="115" spans="1:15" ht="18" customHeight="1" x14ac:dyDescent="0.3">
      <c r="A115" s="24">
        <v>114</v>
      </c>
      <c r="B115" s="10" t="s">
        <v>193</v>
      </c>
      <c r="C115" s="10" t="s">
        <v>7</v>
      </c>
      <c r="D115" s="62">
        <v>5</v>
      </c>
      <c r="E115" s="61" t="s">
        <v>2790</v>
      </c>
      <c r="F115" s="19" t="s">
        <v>336</v>
      </c>
      <c r="G115" s="10" t="s">
        <v>150</v>
      </c>
      <c r="H115" s="10" t="s">
        <v>855</v>
      </c>
      <c r="I115" s="62">
        <v>162</v>
      </c>
      <c r="J115" s="10" t="s">
        <v>1221</v>
      </c>
      <c r="K115" s="10" t="s">
        <v>847</v>
      </c>
      <c r="L115" s="10" t="s">
        <v>1239</v>
      </c>
      <c r="M115" s="10" t="s">
        <v>1221</v>
      </c>
      <c r="N115" s="10" t="s">
        <v>1239</v>
      </c>
      <c r="O115" s="10"/>
    </row>
    <row r="116" spans="1:15" ht="18" customHeight="1" x14ac:dyDescent="0.3">
      <c r="A116" s="24">
        <v>115</v>
      </c>
      <c r="B116" s="10" t="s">
        <v>193</v>
      </c>
      <c r="C116" s="10" t="s">
        <v>7</v>
      </c>
      <c r="D116" s="62">
        <v>5</v>
      </c>
      <c r="E116" s="61" t="s">
        <v>2790</v>
      </c>
      <c r="F116" s="19" t="s">
        <v>336</v>
      </c>
      <c r="G116" s="10" t="s">
        <v>150</v>
      </c>
      <c r="H116" s="10" t="s">
        <v>869</v>
      </c>
      <c r="I116" s="62">
        <v>184</v>
      </c>
      <c r="J116" s="10" t="s">
        <v>1521</v>
      </c>
      <c r="K116" s="10" t="s">
        <v>847</v>
      </c>
      <c r="L116" s="10" t="s">
        <v>1239</v>
      </c>
      <c r="M116" s="10" t="s">
        <v>1221</v>
      </c>
      <c r="N116" s="10" t="s">
        <v>1239</v>
      </c>
      <c r="O116" s="10"/>
    </row>
    <row r="117" spans="1:15" ht="18" customHeight="1" x14ac:dyDescent="0.3">
      <c r="A117" s="24">
        <v>116</v>
      </c>
      <c r="B117" s="10" t="s">
        <v>193</v>
      </c>
      <c r="C117" s="10" t="s">
        <v>7</v>
      </c>
      <c r="D117" s="62">
        <v>5</v>
      </c>
      <c r="E117" s="61" t="s">
        <v>2790</v>
      </c>
      <c r="F117" s="19" t="s">
        <v>2424</v>
      </c>
      <c r="G117" s="10" t="s">
        <v>150</v>
      </c>
      <c r="H117" s="10" t="s">
        <v>923</v>
      </c>
      <c r="I117" s="62">
        <v>108</v>
      </c>
      <c r="J117" s="10" t="s">
        <v>1521</v>
      </c>
      <c r="K117" s="10" t="s">
        <v>846</v>
      </c>
      <c r="L117" s="10" t="s">
        <v>1516</v>
      </c>
      <c r="M117" s="10" t="s">
        <v>1221</v>
      </c>
      <c r="N117" s="10" t="s">
        <v>1239</v>
      </c>
      <c r="O117" s="10"/>
    </row>
    <row r="118" spans="1:15" ht="18" customHeight="1" x14ac:dyDescent="0.3">
      <c r="A118" s="24">
        <v>117</v>
      </c>
      <c r="B118" s="10" t="s">
        <v>193</v>
      </c>
      <c r="C118" s="10" t="s">
        <v>7</v>
      </c>
      <c r="D118" s="62">
        <v>5</v>
      </c>
      <c r="E118" s="61" t="s">
        <v>2790</v>
      </c>
      <c r="F118" s="19" t="s">
        <v>2424</v>
      </c>
      <c r="G118" s="10" t="s">
        <v>150</v>
      </c>
      <c r="H118" s="10" t="s">
        <v>2425</v>
      </c>
      <c r="I118" s="62">
        <v>48</v>
      </c>
      <c r="J118" s="10" t="s">
        <v>1221</v>
      </c>
      <c r="K118" s="10" t="s">
        <v>846</v>
      </c>
      <c r="L118" s="10" t="s">
        <v>2426</v>
      </c>
      <c r="M118" s="10" t="s">
        <v>1221</v>
      </c>
      <c r="N118" s="10" t="s">
        <v>1239</v>
      </c>
      <c r="O118" s="10"/>
    </row>
    <row r="119" spans="1:15" ht="18" customHeight="1" x14ac:dyDescent="0.3">
      <c r="A119" s="24">
        <v>118</v>
      </c>
      <c r="B119" s="10" t="s">
        <v>193</v>
      </c>
      <c r="C119" s="10" t="s">
        <v>7</v>
      </c>
      <c r="D119" s="62">
        <v>5</v>
      </c>
      <c r="E119" s="61" t="s">
        <v>960</v>
      </c>
      <c r="F119" s="16" t="s">
        <v>1268</v>
      </c>
      <c r="G119" s="10" t="s">
        <v>1239</v>
      </c>
      <c r="H119" s="10" t="s">
        <v>845</v>
      </c>
      <c r="I119" s="62">
        <v>152</v>
      </c>
      <c r="J119" s="10" t="s">
        <v>1221</v>
      </c>
      <c r="K119" s="10" t="s">
        <v>847</v>
      </c>
      <c r="L119" s="10" t="s">
        <v>1239</v>
      </c>
      <c r="M119" s="10" t="s">
        <v>1521</v>
      </c>
      <c r="N119" s="10" t="s">
        <v>1234</v>
      </c>
      <c r="O119" s="10"/>
    </row>
    <row r="120" spans="1:15" ht="18" customHeight="1" x14ac:dyDescent="0.3">
      <c r="A120" s="24">
        <v>119</v>
      </c>
      <c r="B120" s="10" t="s">
        <v>193</v>
      </c>
      <c r="C120" s="10" t="s">
        <v>7</v>
      </c>
      <c r="D120" s="62">
        <v>5</v>
      </c>
      <c r="E120" s="61" t="s">
        <v>2427</v>
      </c>
      <c r="F120" s="16" t="s">
        <v>340</v>
      </c>
      <c r="G120" s="10" t="s">
        <v>160</v>
      </c>
      <c r="H120" s="10" t="s">
        <v>845</v>
      </c>
      <c r="I120" s="62">
        <v>155</v>
      </c>
      <c r="J120" s="10" t="s">
        <v>1221</v>
      </c>
      <c r="K120" s="10" t="s">
        <v>847</v>
      </c>
      <c r="L120" s="10" t="s">
        <v>1239</v>
      </c>
      <c r="M120" s="10" t="s">
        <v>1221</v>
      </c>
      <c r="N120" s="10" t="s">
        <v>1239</v>
      </c>
      <c r="O120" s="10"/>
    </row>
    <row r="121" spans="1:15" ht="18" customHeight="1" x14ac:dyDescent="0.3">
      <c r="A121" s="24">
        <v>120</v>
      </c>
      <c r="B121" s="10" t="s">
        <v>193</v>
      </c>
      <c r="C121" s="10" t="s">
        <v>7</v>
      </c>
      <c r="D121" s="62">
        <v>5</v>
      </c>
      <c r="E121" s="61" t="s">
        <v>2427</v>
      </c>
      <c r="F121" s="16" t="s">
        <v>340</v>
      </c>
      <c r="G121" s="10" t="s">
        <v>160</v>
      </c>
      <c r="H121" s="10" t="s">
        <v>849</v>
      </c>
      <c r="I121" s="62">
        <v>155</v>
      </c>
      <c r="J121" s="10" t="s">
        <v>1221</v>
      </c>
      <c r="K121" s="10" t="s">
        <v>847</v>
      </c>
      <c r="L121" s="10" t="s">
        <v>1239</v>
      </c>
      <c r="M121" s="10" t="s">
        <v>1221</v>
      </c>
      <c r="N121" s="10" t="s">
        <v>1239</v>
      </c>
      <c r="O121" s="10"/>
    </row>
    <row r="122" spans="1:15" ht="18" customHeight="1" x14ac:dyDescent="0.3">
      <c r="A122" s="24">
        <v>121</v>
      </c>
      <c r="B122" s="10" t="s">
        <v>193</v>
      </c>
      <c r="C122" s="10" t="s">
        <v>7</v>
      </c>
      <c r="D122" s="62">
        <v>5</v>
      </c>
      <c r="E122" s="61" t="s">
        <v>2427</v>
      </c>
      <c r="F122" s="16" t="s">
        <v>340</v>
      </c>
      <c r="G122" s="10" t="s">
        <v>160</v>
      </c>
      <c r="H122" s="10" t="s">
        <v>850</v>
      </c>
      <c r="I122" s="62">
        <v>88</v>
      </c>
      <c r="J122" s="10" t="s">
        <v>1221</v>
      </c>
      <c r="K122" s="10" t="s">
        <v>847</v>
      </c>
      <c r="L122" s="10" t="s">
        <v>1239</v>
      </c>
      <c r="M122" s="10" t="s">
        <v>1221</v>
      </c>
      <c r="N122" s="10" t="s">
        <v>1239</v>
      </c>
      <c r="O122" s="10"/>
    </row>
    <row r="123" spans="1:15" ht="18" customHeight="1" x14ac:dyDescent="0.3">
      <c r="A123" s="24">
        <v>122</v>
      </c>
      <c r="B123" s="10" t="s">
        <v>193</v>
      </c>
      <c r="C123" s="10" t="s">
        <v>7</v>
      </c>
      <c r="D123" s="62">
        <v>5</v>
      </c>
      <c r="E123" s="61" t="s">
        <v>2427</v>
      </c>
      <c r="F123" s="16" t="s">
        <v>340</v>
      </c>
      <c r="G123" s="10" t="s">
        <v>160</v>
      </c>
      <c r="H123" s="10" t="s">
        <v>851</v>
      </c>
      <c r="I123" s="62">
        <v>155</v>
      </c>
      <c r="J123" s="10" t="s">
        <v>1221</v>
      </c>
      <c r="K123" s="10" t="s">
        <v>847</v>
      </c>
      <c r="L123" s="10" t="s">
        <v>1239</v>
      </c>
      <c r="M123" s="10" t="s">
        <v>1221</v>
      </c>
      <c r="N123" s="10" t="s">
        <v>1239</v>
      </c>
      <c r="O123" s="10"/>
    </row>
    <row r="124" spans="1:15" ht="18" customHeight="1" x14ac:dyDescent="0.3">
      <c r="A124" s="24">
        <v>123</v>
      </c>
      <c r="B124" s="10" t="s">
        <v>193</v>
      </c>
      <c r="C124" s="10" t="s">
        <v>7</v>
      </c>
      <c r="D124" s="62">
        <v>5</v>
      </c>
      <c r="E124" s="61" t="s">
        <v>2427</v>
      </c>
      <c r="F124" s="16" t="s">
        <v>340</v>
      </c>
      <c r="G124" s="10" t="s">
        <v>160</v>
      </c>
      <c r="H124" s="10" t="s">
        <v>852</v>
      </c>
      <c r="I124" s="62">
        <v>88</v>
      </c>
      <c r="J124" s="10" t="s">
        <v>1221</v>
      </c>
      <c r="K124" s="10" t="s">
        <v>847</v>
      </c>
      <c r="L124" s="10" t="s">
        <v>1239</v>
      </c>
      <c r="M124" s="10" t="s">
        <v>1221</v>
      </c>
      <c r="N124" s="10" t="s">
        <v>1239</v>
      </c>
      <c r="O124" s="10"/>
    </row>
    <row r="125" spans="1:15" ht="18" customHeight="1" x14ac:dyDescent="0.3">
      <c r="A125" s="24">
        <v>124</v>
      </c>
      <c r="B125" s="10" t="s">
        <v>193</v>
      </c>
      <c r="C125" s="10" t="s">
        <v>7</v>
      </c>
      <c r="D125" s="62">
        <v>5</v>
      </c>
      <c r="E125" s="61" t="s">
        <v>2427</v>
      </c>
      <c r="F125" s="16" t="s">
        <v>340</v>
      </c>
      <c r="G125" s="10" t="s">
        <v>160</v>
      </c>
      <c r="H125" s="10" t="s">
        <v>853</v>
      </c>
      <c r="I125" s="62">
        <v>155</v>
      </c>
      <c r="J125" s="10" t="s">
        <v>1221</v>
      </c>
      <c r="K125" s="10" t="s">
        <v>847</v>
      </c>
      <c r="L125" s="10" t="s">
        <v>1239</v>
      </c>
      <c r="M125" s="10" t="s">
        <v>1221</v>
      </c>
      <c r="N125" s="10" t="s">
        <v>1239</v>
      </c>
      <c r="O125" s="10"/>
    </row>
    <row r="126" spans="1:15" ht="18" customHeight="1" x14ac:dyDescent="0.3">
      <c r="A126" s="24">
        <v>125</v>
      </c>
      <c r="B126" s="10" t="s">
        <v>193</v>
      </c>
      <c r="C126" s="10" t="s">
        <v>7</v>
      </c>
      <c r="D126" s="62">
        <v>5</v>
      </c>
      <c r="E126" s="61" t="s">
        <v>2427</v>
      </c>
      <c r="F126" s="16" t="s">
        <v>340</v>
      </c>
      <c r="G126" s="10" t="s">
        <v>160</v>
      </c>
      <c r="H126" s="10" t="s">
        <v>854</v>
      </c>
      <c r="I126" s="62">
        <v>88</v>
      </c>
      <c r="J126" s="10" t="s">
        <v>1221</v>
      </c>
      <c r="K126" s="10" t="s">
        <v>847</v>
      </c>
      <c r="L126" s="10" t="s">
        <v>1239</v>
      </c>
      <c r="M126" s="10" t="s">
        <v>1221</v>
      </c>
      <c r="N126" s="10" t="s">
        <v>1239</v>
      </c>
      <c r="O126" s="10"/>
    </row>
    <row r="127" spans="1:15" ht="18" customHeight="1" x14ac:dyDescent="0.3">
      <c r="A127" s="24">
        <v>126</v>
      </c>
      <c r="B127" s="10" t="s">
        <v>193</v>
      </c>
      <c r="C127" s="10" t="s">
        <v>7</v>
      </c>
      <c r="D127" s="62">
        <v>5</v>
      </c>
      <c r="E127" s="61" t="s">
        <v>2427</v>
      </c>
      <c r="F127" s="16" t="s">
        <v>340</v>
      </c>
      <c r="G127" s="10" t="s">
        <v>160</v>
      </c>
      <c r="H127" s="10" t="s">
        <v>855</v>
      </c>
      <c r="I127" s="62">
        <v>155</v>
      </c>
      <c r="J127" s="10" t="s">
        <v>1221</v>
      </c>
      <c r="K127" s="10" t="s">
        <v>847</v>
      </c>
      <c r="L127" s="10" t="s">
        <v>1239</v>
      </c>
      <c r="M127" s="10" t="s">
        <v>1221</v>
      </c>
      <c r="N127" s="10" t="s">
        <v>1239</v>
      </c>
      <c r="O127" s="10"/>
    </row>
    <row r="128" spans="1:15" ht="18" customHeight="1" x14ac:dyDescent="0.3">
      <c r="A128" s="24">
        <v>127</v>
      </c>
      <c r="B128" s="10" t="s">
        <v>193</v>
      </c>
      <c r="C128" s="10" t="s">
        <v>7</v>
      </c>
      <c r="D128" s="62">
        <v>5</v>
      </c>
      <c r="E128" s="61" t="s">
        <v>2427</v>
      </c>
      <c r="F128" s="16" t="s">
        <v>340</v>
      </c>
      <c r="G128" s="10" t="s">
        <v>160</v>
      </c>
      <c r="H128" s="10" t="s">
        <v>869</v>
      </c>
      <c r="I128" s="62">
        <v>88</v>
      </c>
      <c r="J128" s="10" t="s">
        <v>1221</v>
      </c>
      <c r="K128" s="10" t="s">
        <v>847</v>
      </c>
      <c r="L128" s="10" t="s">
        <v>1239</v>
      </c>
      <c r="M128" s="10" t="s">
        <v>1221</v>
      </c>
      <c r="N128" s="10" t="s">
        <v>1239</v>
      </c>
      <c r="O128" s="10"/>
    </row>
    <row r="129" spans="1:15" ht="18" customHeight="1" x14ac:dyDescent="0.3">
      <c r="A129" s="24">
        <v>128</v>
      </c>
      <c r="B129" s="10" t="s">
        <v>193</v>
      </c>
      <c r="C129" s="10" t="s">
        <v>7</v>
      </c>
      <c r="D129" s="62">
        <v>5</v>
      </c>
      <c r="E129" s="61" t="s">
        <v>159</v>
      </c>
      <c r="F129" s="16" t="s">
        <v>338</v>
      </c>
      <c r="G129" s="10" t="s">
        <v>150</v>
      </c>
      <c r="H129" s="10" t="s">
        <v>845</v>
      </c>
      <c r="I129" s="62">
        <v>208</v>
      </c>
      <c r="J129" s="8" t="s">
        <v>1221</v>
      </c>
      <c r="K129" s="10" t="s">
        <v>847</v>
      </c>
      <c r="L129" s="10" t="s">
        <v>1239</v>
      </c>
      <c r="M129" s="10" t="s">
        <v>1221</v>
      </c>
      <c r="N129" s="10" t="s">
        <v>1239</v>
      </c>
      <c r="O129" s="10"/>
    </row>
    <row r="130" spans="1:15" ht="18" customHeight="1" x14ac:dyDescent="0.3">
      <c r="A130" s="24">
        <v>129</v>
      </c>
      <c r="B130" s="10" t="s">
        <v>193</v>
      </c>
      <c r="C130" s="10" t="s">
        <v>7</v>
      </c>
      <c r="D130" s="62">
        <v>5</v>
      </c>
      <c r="E130" s="61" t="s">
        <v>159</v>
      </c>
      <c r="F130" s="16" t="s">
        <v>338</v>
      </c>
      <c r="G130" s="10" t="s">
        <v>150</v>
      </c>
      <c r="H130" s="10" t="s">
        <v>848</v>
      </c>
      <c r="I130" s="62">
        <v>195</v>
      </c>
      <c r="J130" s="8" t="s">
        <v>846</v>
      </c>
      <c r="K130" s="10" t="s">
        <v>847</v>
      </c>
      <c r="L130" s="10" t="s">
        <v>1239</v>
      </c>
      <c r="M130" s="10" t="s">
        <v>1221</v>
      </c>
      <c r="N130" s="10" t="s">
        <v>1239</v>
      </c>
      <c r="O130" s="10"/>
    </row>
    <row r="131" spans="1:15" ht="18" customHeight="1" x14ac:dyDescent="0.3">
      <c r="A131" s="24">
        <v>130</v>
      </c>
      <c r="B131" s="10" t="s">
        <v>193</v>
      </c>
      <c r="C131" s="10" t="s">
        <v>7</v>
      </c>
      <c r="D131" s="62">
        <v>5</v>
      </c>
      <c r="E131" s="61" t="s">
        <v>159</v>
      </c>
      <c r="F131" s="16" t="s">
        <v>338</v>
      </c>
      <c r="G131" s="10" t="s">
        <v>150</v>
      </c>
      <c r="H131" s="10" t="s">
        <v>849</v>
      </c>
      <c r="I131" s="62">
        <v>166</v>
      </c>
      <c r="J131" s="8" t="s">
        <v>1221</v>
      </c>
      <c r="K131" s="10" t="s">
        <v>847</v>
      </c>
      <c r="L131" s="10" t="s">
        <v>1239</v>
      </c>
      <c r="M131" s="10" t="s">
        <v>1221</v>
      </c>
      <c r="N131" s="10" t="s">
        <v>1239</v>
      </c>
      <c r="O131" s="10"/>
    </row>
    <row r="132" spans="1:15" ht="18" customHeight="1" x14ac:dyDescent="0.3">
      <c r="A132" s="24">
        <v>131</v>
      </c>
      <c r="B132" s="10" t="s">
        <v>193</v>
      </c>
      <c r="C132" s="10" t="s">
        <v>7</v>
      </c>
      <c r="D132" s="62">
        <v>5</v>
      </c>
      <c r="E132" s="61" t="s">
        <v>159</v>
      </c>
      <c r="F132" s="16" t="s">
        <v>338</v>
      </c>
      <c r="G132" s="10" t="s">
        <v>150</v>
      </c>
      <c r="H132" s="10" t="s">
        <v>850</v>
      </c>
      <c r="I132" s="62">
        <v>218</v>
      </c>
      <c r="J132" s="8" t="s">
        <v>1221</v>
      </c>
      <c r="K132" s="10" t="s">
        <v>847</v>
      </c>
      <c r="L132" s="10" t="s">
        <v>1239</v>
      </c>
      <c r="M132" s="10" t="s">
        <v>1221</v>
      </c>
      <c r="N132" s="10" t="s">
        <v>1239</v>
      </c>
      <c r="O132" s="10"/>
    </row>
    <row r="133" spans="1:15" ht="18" customHeight="1" x14ac:dyDescent="0.3">
      <c r="A133" s="24">
        <v>132</v>
      </c>
      <c r="B133" s="10" t="s">
        <v>193</v>
      </c>
      <c r="C133" s="10" t="s">
        <v>7</v>
      </c>
      <c r="D133" s="62">
        <v>5</v>
      </c>
      <c r="E133" s="61" t="s">
        <v>159</v>
      </c>
      <c r="F133" s="16" t="s">
        <v>338</v>
      </c>
      <c r="G133" s="10" t="s">
        <v>150</v>
      </c>
      <c r="H133" s="10" t="s">
        <v>851</v>
      </c>
      <c r="I133" s="62">
        <v>262</v>
      </c>
      <c r="J133" s="8" t="s">
        <v>846</v>
      </c>
      <c r="K133" s="10" t="s">
        <v>847</v>
      </c>
      <c r="L133" s="10" t="s">
        <v>1239</v>
      </c>
      <c r="M133" s="10" t="s">
        <v>1221</v>
      </c>
      <c r="N133" s="10" t="s">
        <v>1239</v>
      </c>
      <c r="O133" s="10"/>
    </row>
    <row r="134" spans="1:15" ht="18" customHeight="1" x14ac:dyDescent="0.3">
      <c r="A134" s="24">
        <v>133</v>
      </c>
      <c r="B134" s="10" t="s">
        <v>193</v>
      </c>
      <c r="C134" s="10" t="s">
        <v>7</v>
      </c>
      <c r="D134" s="62">
        <v>5</v>
      </c>
      <c r="E134" s="61" t="s">
        <v>159</v>
      </c>
      <c r="F134" s="16" t="s">
        <v>338</v>
      </c>
      <c r="G134" s="10" t="s">
        <v>150</v>
      </c>
      <c r="H134" s="10" t="s">
        <v>2382</v>
      </c>
      <c r="I134" s="62">
        <v>401</v>
      </c>
      <c r="J134" s="8" t="s">
        <v>846</v>
      </c>
      <c r="K134" s="10" t="s">
        <v>1221</v>
      </c>
      <c r="L134" s="10" t="s">
        <v>1239</v>
      </c>
      <c r="M134" s="10" t="s">
        <v>1221</v>
      </c>
      <c r="N134" s="10" t="s">
        <v>1239</v>
      </c>
      <c r="O134" s="10" t="s">
        <v>1145</v>
      </c>
    </row>
    <row r="135" spans="1:15" ht="18" customHeight="1" x14ac:dyDescent="0.3">
      <c r="A135" s="24">
        <v>134</v>
      </c>
      <c r="B135" s="10" t="s">
        <v>193</v>
      </c>
      <c r="C135" s="10" t="s">
        <v>7</v>
      </c>
      <c r="D135" s="62">
        <v>5</v>
      </c>
      <c r="E135" s="61" t="s">
        <v>159</v>
      </c>
      <c r="F135" s="16" t="s">
        <v>338</v>
      </c>
      <c r="G135" s="10" t="s">
        <v>150</v>
      </c>
      <c r="H135" s="10" t="s">
        <v>854</v>
      </c>
      <c r="I135" s="62">
        <v>208</v>
      </c>
      <c r="J135" s="8" t="s">
        <v>1221</v>
      </c>
      <c r="K135" s="10" t="s">
        <v>847</v>
      </c>
      <c r="L135" s="10" t="s">
        <v>1239</v>
      </c>
      <c r="M135" s="10" t="s">
        <v>1221</v>
      </c>
      <c r="N135" s="10" t="s">
        <v>1239</v>
      </c>
      <c r="O135" s="10"/>
    </row>
    <row r="136" spans="1:15" ht="18" customHeight="1" x14ac:dyDescent="0.3">
      <c r="A136" s="24">
        <v>135</v>
      </c>
      <c r="B136" s="10" t="s">
        <v>193</v>
      </c>
      <c r="C136" s="10" t="s">
        <v>7</v>
      </c>
      <c r="D136" s="62">
        <v>5</v>
      </c>
      <c r="E136" s="61" t="s">
        <v>159</v>
      </c>
      <c r="F136" s="16" t="s">
        <v>338</v>
      </c>
      <c r="G136" s="10" t="s">
        <v>150</v>
      </c>
      <c r="H136" s="10" t="s">
        <v>855</v>
      </c>
      <c r="I136" s="62">
        <v>151</v>
      </c>
      <c r="J136" s="8" t="s">
        <v>846</v>
      </c>
      <c r="K136" s="10" t="s">
        <v>847</v>
      </c>
      <c r="L136" s="10" t="s">
        <v>1239</v>
      </c>
      <c r="M136" s="10" t="s">
        <v>1221</v>
      </c>
      <c r="N136" s="10" t="s">
        <v>1239</v>
      </c>
      <c r="O136" s="10"/>
    </row>
    <row r="137" spans="1:15" ht="18" customHeight="1" x14ac:dyDescent="0.3">
      <c r="A137" s="24">
        <v>136</v>
      </c>
      <c r="B137" s="10" t="s">
        <v>193</v>
      </c>
      <c r="C137" s="10" t="s">
        <v>7</v>
      </c>
      <c r="D137" s="62">
        <v>5</v>
      </c>
      <c r="E137" s="61" t="s">
        <v>159</v>
      </c>
      <c r="F137" s="16" t="s">
        <v>338</v>
      </c>
      <c r="G137" s="10" t="s">
        <v>150</v>
      </c>
      <c r="H137" s="10" t="s">
        <v>869</v>
      </c>
      <c r="I137" s="62">
        <v>154</v>
      </c>
      <c r="J137" s="8" t="s">
        <v>1221</v>
      </c>
      <c r="K137" s="10" t="s">
        <v>847</v>
      </c>
      <c r="L137" s="10" t="s">
        <v>1239</v>
      </c>
      <c r="M137" s="10" t="s">
        <v>1221</v>
      </c>
      <c r="N137" s="10" t="s">
        <v>1239</v>
      </c>
      <c r="O137" s="10"/>
    </row>
    <row r="138" spans="1:15" ht="18" customHeight="1" x14ac:dyDescent="0.3">
      <c r="A138" s="24">
        <v>137</v>
      </c>
      <c r="B138" s="10" t="s">
        <v>193</v>
      </c>
      <c r="C138" s="10" t="s">
        <v>7</v>
      </c>
      <c r="D138" s="62">
        <v>5</v>
      </c>
      <c r="E138" s="61" t="s">
        <v>159</v>
      </c>
      <c r="F138" s="16" t="s">
        <v>1083</v>
      </c>
      <c r="G138" s="10" t="s">
        <v>150</v>
      </c>
      <c r="H138" s="10" t="s">
        <v>853</v>
      </c>
      <c r="I138" s="62">
        <v>175</v>
      </c>
      <c r="J138" s="8" t="s">
        <v>846</v>
      </c>
      <c r="K138" s="10" t="s">
        <v>846</v>
      </c>
      <c r="L138" s="10" t="s">
        <v>2428</v>
      </c>
      <c r="M138" s="10" t="s">
        <v>1221</v>
      </c>
      <c r="N138" s="10" t="s">
        <v>1239</v>
      </c>
      <c r="O138" s="10"/>
    </row>
    <row r="139" spans="1:15" ht="18" customHeight="1" x14ac:dyDescent="0.3">
      <c r="A139" s="24">
        <v>138</v>
      </c>
      <c r="B139" s="10" t="s">
        <v>193</v>
      </c>
      <c r="C139" s="10" t="s">
        <v>7</v>
      </c>
      <c r="D139" s="62">
        <v>5</v>
      </c>
      <c r="E139" s="61" t="s">
        <v>1158</v>
      </c>
      <c r="F139" s="16" t="s">
        <v>1083</v>
      </c>
      <c r="G139" s="10" t="s">
        <v>150</v>
      </c>
      <c r="H139" s="10" t="s">
        <v>1156</v>
      </c>
      <c r="I139" s="62">
        <v>32</v>
      </c>
      <c r="J139" s="8" t="s">
        <v>1221</v>
      </c>
      <c r="K139" s="10" t="s">
        <v>846</v>
      </c>
      <c r="L139" s="10" t="s">
        <v>2392</v>
      </c>
      <c r="M139" s="10" t="s">
        <v>1221</v>
      </c>
      <c r="N139" s="10" t="s">
        <v>1239</v>
      </c>
      <c r="O139" s="10"/>
    </row>
    <row r="140" spans="1:15" ht="18" customHeight="1" x14ac:dyDescent="0.3">
      <c r="A140" s="24">
        <v>139</v>
      </c>
      <c r="B140" s="10" t="s">
        <v>193</v>
      </c>
      <c r="C140" s="10" t="s">
        <v>7</v>
      </c>
      <c r="D140" s="62">
        <v>5</v>
      </c>
      <c r="E140" s="61" t="s">
        <v>2791</v>
      </c>
      <c r="F140" s="19" t="s">
        <v>337</v>
      </c>
      <c r="G140" s="10" t="s">
        <v>150</v>
      </c>
      <c r="H140" s="10" t="s">
        <v>845</v>
      </c>
      <c r="I140" s="62">
        <v>140</v>
      </c>
      <c r="J140" s="10" t="s">
        <v>1221</v>
      </c>
      <c r="K140" s="10" t="s">
        <v>847</v>
      </c>
      <c r="L140" s="10" t="s">
        <v>1239</v>
      </c>
      <c r="M140" s="10" t="s">
        <v>1221</v>
      </c>
      <c r="N140" s="10" t="s">
        <v>1239</v>
      </c>
      <c r="O140" s="10"/>
    </row>
    <row r="141" spans="1:15" ht="18" customHeight="1" x14ac:dyDescent="0.3">
      <c r="A141" s="24">
        <v>140</v>
      </c>
      <c r="B141" s="10" t="s">
        <v>193</v>
      </c>
      <c r="C141" s="10" t="s">
        <v>7</v>
      </c>
      <c r="D141" s="62">
        <v>5</v>
      </c>
      <c r="E141" s="61" t="s">
        <v>2791</v>
      </c>
      <c r="F141" s="19" t="s">
        <v>337</v>
      </c>
      <c r="G141" s="10" t="s">
        <v>150</v>
      </c>
      <c r="H141" s="10" t="s">
        <v>848</v>
      </c>
      <c r="I141" s="62">
        <v>153</v>
      </c>
      <c r="J141" s="10" t="s">
        <v>1521</v>
      </c>
      <c r="K141" s="10" t="s">
        <v>847</v>
      </c>
      <c r="L141" s="10" t="s">
        <v>1239</v>
      </c>
      <c r="M141" s="10" t="s">
        <v>1221</v>
      </c>
      <c r="N141" s="10" t="s">
        <v>1239</v>
      </c>
      <c r="O141" s="10"/>
    </row>
    <row r="142" spans="1:15" ht="18" customHeight="1" x14ac:dyDescent="0.3">
      <c r="A142" s="24">
        <v>141</v>
      </c>
      <c r="B142" s="10" t="s">
        <v>193</v>
      </c>
      <c r="C142" s="10" t="s">
        <v>7</v>
      </c>
      <c r="D142" s="62">
        <v>5</v>
      </c>
      <c r="E142" s="61" t="s">
        <v>2791</v>
      </c>
      <c r="F142" s="19" t="s">
        <v>337</v>
      </c>
      <c r="G142" s="10" t="s">
        <v>150</v>
      </c>
      <c r="H142" s="10" t="s">
        <v>849</v>
      </c>
      <c r="I142" s="62">
        <v>151</v>
      </c>
      <c r="J142" s="10" t="s">
        <v>1221</v>
      </c>
      <c r="K142" s="10" t="s">
        <v>847</v>
      </c>
      <c r="L142" s="10" t="s">
        <v>1239</v>
      </c>
      <c r="M142" s="10" t="s">
        <v>1221</v>
      </c>
      <c r="N142" s="10" t="s">
        <v>1239</v>
      </c>
      <c r="O142" s="10"/>
    </row>
    <row r="143" spans="1:15" ht="18" customHeight="1" x14ac:dyDescent="0.3">
      <c r="A143" s="24">
        <v>142</v>
      </c>
      <c r="B143" s="10" t="s">
        <v>193</v>
      </c>
      <c r="C143" s="10" t="s">
        <v>7</v>
      </c>
      <c r="D143" s="62">
        <v>5</v>
      </c>
      <c r="E143" s="61" t="s">
        <v>2791</v>
      </c>
      <c r="F143" s="19" t="s">
        <v>337</v>
      </c>
      <c r="G143" s="10" t="s">
        <v>150</v>
      </c>
      <c r="H143" s="10" t="s">
        <v>850</v>
      </c>
      <c r="I143" s="62">
        <v>127</v>
      </c>
      <c r="J143" s="10" t="s">
        <v>1521</v>
      </c>
      <c r="K143" s="10" t="s">
        <v>847</v>
      </c>
      <c r="L143" s="10" t="s">
        <v>1239</v>
      </c>
      <c r="M143" s="10" t="s">
        <v>1221</v>
      </c>
      <c r="N143" s="10" t="s">
        <v>1239</v>
      </c>
      <c r="O143" s="10"/>
    </row>
    <row r="144" spans="1:15" ht="18" customHeight="1" x14ac:dyDescent="0.3">
      <c r="A144" s="24">
        <v>143</v>
      </c>
      <c r="B144" s="10" t="s">
        <v>193</v>
      </c>
      <c r="C144" s="10" t="s">
        <v>7</v>
      </c>
      <c r="D144" s="62">
        <v>5</v>
      </c>
      <c r="E144" s="61" t="s">
        <v>2791</v>
      </c>
      <c r="F144" s="19" t="s">
        <v>337</v>
      </c>
      <c r="G144" s="10" t="s">
        <v>150</v>
      </c>
      <c r="H144" s="10" t="s">
        <v>851</v>
      </c>
      <c r="I144" s="62">
        <v>183</v>
      </c>
      <c r="J144" s="10" t="s">
        <v>1221</v>
      </c>
      <c r="K144" s="10" t="s">
        <v>847</v>
      </c>
      <c r="L144" s="10" t="s">
        <v>1239</v>
      </c>
      <c r="M144" s="10" t="s">
        <v>1221</v>
      </c>
      <c r="N144" s="10" t="s">
        <v>1239</v>
      </c>
      <c r="O144" s="10"/>
    </row>
    <row r="145" spans="1:15" ht="18" customHeight="1" x14ac:dyDescent="0.3">
      <c r="A145" s="24">
        <v>144</v>
      </c>
      <c r="B145" s="10" t="s">
        <v>193</v>
      </c>
      <c r="C145" s="10" t="s">
        <v>8</v>
      </c>
      <c r="D145" s="62">
        <v>6</v>
      </c>
      <c r="E145" s="61" t="s">
        <v>161</v>
      </c>
      <c r="F145" s="16" t="s">
        <v>358</v>
      </c>
      <c r="G145" s="10" t="s">
        <v>150</v>
      </c>
      <c r="H145" s="10" t="s">
        <v>845</v>
      </c>
      <c r="I145" s="62">
        <v>237</v>
      </c>
      <c r="J145" s="8" t="s">
        <v>846</v>
      </c>
      <c r="K145" s="10" t="s">
        <v>847</v>
      </c>
      <c r="L145" s="10" t="s">
        <v>1239</v>
      </c>
      <c r="M145" s="10" t="s">
        <v>1221</v>
      </c>
      <c r="N145" s="10" t="s">
        <v>1239</v>
      </c>
      <c r="O145" s="10"/>
    </row>
    <row r="146" spans="1:15" ht="18" customHeight="1" x14ac:dyDescent="0.3">
      <c r="A146" s="24">
        <v>145</v>
      </c>
      <c r="B146" s="10" t="s">
        <v>193</v>
      </c>
      <c r="C146" s="10" t="s">
        <v>8</v>
      </c>
      <c r="D146" s="62">
        <v>6</v>
      </c>
      <c r="E146" s="61" t="s">
        <v>161</v>
      </c>
      <c r="F146" s="16" t="s">
        <v>358</v>
      </c>
      <c r="G146" s="10" t="s">
        <v>150</v>
      </c>
      <c r="H146" s="10" t="s">
        <v>848</v>
      </c>
      <c r="I146" s="62">
        <v>208</v>
      </c>
      <c r="J146" s="8" t="s">
        <v>1221</v>
      </c>
      <c r="K146" s="10" t="s">
        <v>847</v>
      </c>
      <c r="L146" s="10" t="s">
        <v>1239</v>
      </c>
      <c r="M146" s="10" t="s">
        <v>1221</v>
      </c>
      <c r="N146" s="10" t="s">
        <v>1239</v>
      </c>
      <c r="O146" s="10"/>
    </row>
    <row r="147" spans="1:15" ht="18" customHeight="1" x14ac:dyDescent="0.3">
      <c r="A147" s="24">
        <v>146</v>
      </c>
      <c r="B147" s="10" t="s">
        <v>193</v>
      </c>
      <c r="C147" s="10" t="s">
        <v>8</v>
      </c>
      <c r="D147" s="62">
        <v>6</v>
      </c>
      <c r="E147" s="61" t="s">
        <v>161</v>
      </c>
      <c r="F147" s="16" t="s">
        <v>358</v>
      </c>
      <c r="G147" s="10" t="s">
        <v>150</v>
      </c>
      <c r="H147" s="10" t="s">
        <v>850</v>
      </c>
      <c r="I147" s="62">
        <v>310</v>
      </c>
      <c r="J147" s="8" t="s">
        <v>846</v>
      </c>
      <c r="K147" s="10" t="s">
        <v>847</v>
      </c>
      <c r="L147" s="10" t="s">
        <v>1239</v>
      </c>
      <c r="M147" s="10" t="s">
        <v>1221</v>
      </c>
      <c r="N147" s="10" t="s">
        <v>1239</v>
      </c>
      <c r="O147" s="10"/>
    </row>
    <row r="148" spans="1:15" ht="18" customHeight="1" x14ac:dyDescent="0.3">
      <c r="A148" s="24">
        <v>147</v>
      </c>
      <c r="B148" s="10" t="s">
        <v>193</v>
      </c>
      <c r="C148" s="10" t="s">
        <v>8</v>
      </c>
      <c r="D148" s="62">
        <v>6</v>
      </c>
      <c r="E148" s="61" t="s">
        <v>161</v>
      </c>
      <c r="F148" s="16" t="s">
        <v>358</v>
      </c>
      <c r="G148" s="10" t="s">
        <v>150</v>
      </c>
      <c r="H148" s="10" t="s">
        <v>851</v>
      </c>
      <c r="I148" s="62">
        <v>344</v>
      </c>
      <c r="J148" s="8" t="s">
        <v>846</v>
      </c>
      <c r="K148" s="10" t="s">
        <v>847</v>
      </c>
      <c r="L148" s="10" t="s">
        <v>1239</v>
      </c>
      <c r="M148" s="10" t="s">
        <v>1221</v>
      </c>
      <c r="N148" s="10" t="s">
        <v>1239</v>
      </c>
      <c r="O148" s="10"/>
    </row>
    <row r="149" spans="1:15" ht="18" customHeight="1" x14ac:dyDescent="0.3">
      <c r="A149" s="24">
        <v>148</v>
      </c>
      <c r="B149" s="10" t="s">
        <v>193</v>
      </c>
      <c r="C149" s="10" t="s">
        <v>8</v>
      </c>
      <c r="D149" s="62">
        <v>6</v>
      </c>
      <c r="E149" s="61" t="s">
        <v>161</v>
      </c>
      <c r="F149" s="16" t="s">
        <v>358</v>
      </c>
      <c r="G149" s="10" t="s">
        <v>150</v>
      </c>
      <c r="H149" s="10" t="s">
        <v>852</v>
      </c>
      <c r="I149" s="62">
        <v>106</v>
      </c>
      <c r="J149" s="8" t="s">
        <v>1221</v>
      </c>
      <c r="K149" s="10" t="s">
        <v>847</v>
      </c>
      <c r="L149" s="10" t="s">
        <v>1239</v>
      </c>
      <c r="M149" s="10" t="s">
        <v>1221</v>
      </c>
      <c r="N149" s="10" t="s">
        <v>1239</v>
      </c>
      <c r="O149" s="10"/>
    </row>
    <row r="150" spans="1:15" ht="18" customHeight="1" x14ac:dyDescent="0.3">
      <c r="A150" s="24">
        <v>149</v>
      </c>
      <c r="B150" s="10" t="s">
        <v>193</v>
      </c>
      <c r="C150" s="10" t="s">
        <v>8</v>
      </c>
      <c r="D150" s="62">
        <v>6</v>
      </c>
      <c r="E150" s="61" t="s">
        <v>161</v>
      </c>
      <c r="F150" s="16" t="s">
        <v>358</v>
      </c>
      <c r="G150" s="10" t="s">
        <v>150</v>
      </c>
      <c r="H150" s="10" t="s">
        <v>853</v>
      </c>
      <c r="I150" s="62">
        <v>208</v>
      </c>
      <c r="J150" s="8" t="s">
        <v>1221</v>
      </c>
      <c r="K150" s="10" t="s">
        <v>847</v>
      </c>
      <c r="L150" s="10" t="s">
        <v>1239</v>
      </c>
      <c r="M150" s="10" t="s">
        <v>1221</v>
      </c>
      <c r="N150" s="10" t="s">
        <v>1239</v>
      </c>
      <c r="O150" s="10"/>
    </row>
    <row r="151" spans="1:15" ht="18" customHeight="1" x14ac:dyDescent="0.3">
      <c r="A151" s="24">
        <v>150</v>
      </c>
      <c r="B151" s="10" t="s">
        <v>193</v>
      </c>
      <c r="C151" s="10" t="s">
        <v>8</v>
      </c>
      <c r="D151" s="62">
        <v>6</v>
      </c>
      <c r="E151" s="61" t="s">
        <v>161</v>
      </c>
      <c r="F151" s="16" t="s">
        <v>358</v>
      </c>
      <c r="G151" s="10" t="s">
        <v>150</v>
      </c>
      <c r="H151" s="10" t="s">
        <v>854</v>
      </c>
      <c r="I151" s="62">
        <v>250</v>
      </c>
      <c r="J151" s="8" t="s">
        <v>1221</v>
      </c>
      <c r="K151" s="10" t="s">
        <v>847</v>
      </c>
      <c r="L151" s="10" t="s">
        <v>1239</v>
      </c>
      <c r="M151" s="10" t="s">
        <v>1221</v>
      </c>
      <c r="N151" s="10" t="s">
        <v>1239</v>
      </c>
      <c r="O151" s="10"/>
    </row>
    <row r="152" spans="1:15" ht="18" customHeight="1" x14ac:dyDescent="0.3">
      <c r="A152" s="24">
        <v>151</v>
      </c>
      <c r="B152" s="10" t="s">
        <v>193</v>
      </c>
      <c r="C152" s="10" t="s">
        <v>8</v>
      </c>
      <c r="D152" s="62">
        <v>6</v>
      </c>
      <c r="E152" s="61" t="s">
        <v>161</v>
      </c>
      <c r="F152" s="16" t="s">
        <v>1084</v>
      </c>
      <c r="G152" s="10" t="s">
        <v>150</v>
      </c>
      <c r="H152" s="10" t="s">
        <v>849</v>
      </c>
      <c r="I152" s="62">
        <v>74</v>
      </c>
      <c r="J152" s="8" t="s">
        <v>846</v>
      </c>
      <c r="K152" s="10" t="s">
        <v>1521</v>
      </c>
      <c r="L152" s="10" t="s">
        <v>1302</v>
      </c>
      <c r="M152" s="10" t="s">
        <v>1221</v>
      </c>
      <c r="N152" s="10" t="s">
        <v>1239</v>
      </c>
      <c r="O152" s="10"/>
    </row>
    <row r="153" spans="1:15" ht="18" customHeight="1" x14ac:dyDescent="0.3">
      <c r="A153" s="24">
        <v>152</v>
      </c>
      <c r="B153" s="10" t="s">
        <v>1260</v>
      </c>
      <c r="C153" s="10" t="s">
        <v>1274</v>
      </c>
      <c r="D153" s="62">
        <v>7</v>
      </c>
      <c r="E153" s="61" t="s">
        <v>2429</v>
      </c>
      <c r="F153" s="16" t="s">
        <v>1276</v>
      </c>
      <c r="G153" s="10" t="s">
        <v>1278</v>
      </c>
      <c r="H153" s="10" t="s">
        <v>2385</v>
      </c>
      <c r="I153" s="62">
        <v>70</v>
      </c>
      <c r="J153" s="8" t="s">
        <v>1221</v>
      </c>
      <c r="K153" s="10" t="s">
        <v>1521</v>
      </c>
      <c r="L153" s="10" t="s">
        <v>2430</v>
      </c>
      <c r="M153" s="10" t="s">
        <v>1221</v>
      </c>
      <c r="N153" s="10" t="s">
        <v>1239</v>
      </c>
      <c r="O153" s="10"/>
    </row>
    <row r="154" spans="1:15" ht="18" customHeight="1" x14ac:dyDescent="0.3">
      <c r="A154" s="24">
        <v>153</v>
      </c>
      <c r="B154" s="10" t="s">
        <v>1260</v>
      </c>
      <c r="C154" s="10" t="s">
        <v>1274</v>
      </c>
      <c r="D154" s="62">
        <v>7</v>
      </c>
      <c r="E154" s="61" t="s">
        <v>2429</v>
      </c>
      <c r="F154" s="16" t="s">
        <v>1276</v>
      </c>
      <c r="G154" s="10" t="s">
        <v>1278</v>
      </c>
      <c r="H154" s="10" t="s">
        <v>2378</v>
      </c>
      <c r="I154" s="62">
        <v>81</v>
      </c>
      <c r="J154" s="8" t="s">
        <v>1221</v>
      </c>
      <c r="K154" s="10" t="s">
        <v>1521</v>
      </c>
      <c r="L154" s="10" t="s">
        <v>2229</v>
      </c>
      <c r="M154" s="10" t="s">
        <v>1221</v>
      </c>
      <c r="N154" s="10" t="s">
        <v>1239</v>
      </c>
      <c r="O154" s="10"/>
    </row>
    <row r="155" spans="1:15" ht="18" customHeight="1" x14ac:dyDescent="0.3">
      <c r="A155" s="24">
        <v>154</v>
      </c>
      <c r="B155" s="10" t="s">
        <v>1260</v>
      </c>
      <c r="C155" s="10" t="s">
        <v>1274</v>
      </c>
      <c r="D155" s="62">
        <v>7</v>
      </c>
      <c r="E155" s="61" t="s">
        <v>2429</v>
      </c>
      <c r="F155" s="16" t="s">
        <v>1276</v>
      </c>
      <c r="G155" s="10" t="s">
        <v>1278</v>
      </c>
      <c r="H155" s="10" t="s">
        <v>2379</v>
      </c>
      <c r="I155" s="62">
        <v>114</v>
      </c>
      <c r="J155" s="8" t="s">
        <v>1521</v>
      </c>
      <c r="K155" s="10" t="s">
        <v>847</v>
      </c>
      <c r="L155" s="10" t="s">
        <v>1239</v>
      </c>
      <c r="M155" s="10" t="s">
        <v>1221</v>
      </c>
      <c r="N155" s="10" t="s">
        <v>1239</v>
      </c>
      <c r="O155" s="10"/>
    </row>
    <row r="156" spans="1:15" ht="18" customHeight="1" x14ac:dyDescent="0.3">
      <c r="A156" s="24">
        <v>155</v>
      </c>
      <c r="B156" s="10" t="s">
        <v>1260</v>
      </c>
      <c r="C156" s="10" t="s">
        <v>1274</v>
      </c>
      <c r="D156" s="62">
        <v>7</v>
      </c>
      <c r="E156" s="61" t="s">
        <v>2429</v>
      </c>
      <c r="F156" s="16" t="s">
        <v>1276</v>
      </c>
      <c r="G156" s="10" t="s">
        <v>1278</v>
      </c>
      <c r="H156" s="10" t="s">
        <v>2380</v>
      </c>
      <c r="I156" s="62">
        <v>160</v>
      </c>
      <c r="J156" s="8" t="s">
        <v>1221</v>
      </c>
      <c r="K156" s="10" t="s">
        <v>847</v>
      </c>
      <c r="L156" s="10" t="s">
        <v>1239</v>
      </c>
      <c r="M156" s="10" t="s">
        <v>1221</v>
      </c>
      <c r="N156" s="10" t="s">
        <v>1239</v>
      </c>
      <c r="O156" s="10"/>
    </row>
    <row r="157" spans="1:15" ht="18" customHeight="1" x14ac:dyDescent="0.3">
      <c r="A157" s="24">
        <v>156</v>
      </c>
      <c r="B157" s="10" t="s">
        <v>1260</v>
      </c>
      <c r="C157" s="10" t="s">
        <v>1274</v>
      </c>
      <c r="D157" s="62">
        <v>7</v>
      </c>
      <c r="E157" s="61" t="s">
        <v>2429</v>
      </c>
      <c r="F157" s="16" t="s">
        <v>1276</v>
      </c>
      <c r="G157" s="10" t="s">
        <v>1278</v>
      </c>
      <c r="H157" s="10" t="s">
        <v>2390</v>
      </c>
      <c r="I157" s="62">
        <v>114</v>
      </c>
      <c r="J157" s="8" t="s">
        <v>1221</v>
      </c>
      <c r="K157" s="10" t="s">
        <v>847</v>
      </c>
      <c r="L157" s="10" t="s">
        <v>1239</v>
      </c>
      <c r="M157" s="10" t="s">
        <v>1221</v>
      </c>
      <c r="N157" s="10" t="s">
        <v>1239</v>
      </c>
      <c r="O157" s="10"/>
    </row>
    <row r="158" spans="1:15" ht="18" customHeight="1" x14ac:dyDescent="0.3">
      <c r="A158" s="24">
        <v>157</v>
      </c>
      <c r="B158" s="10" t="s">
        <v>1260</v>
      </c>
      <c r="C158" s="10" t="s">
        <v>1274</v>
      </c>
      <c r="D158" s="62">
        <v>7</v>
      </c>
      <c r="E158" s="61" t="s">
        <v>2429</v>
      </c>
      <c r="F158" s="16" t="s">
        <v>1276</v>
      </c>
      <c r="G158" s="10" t="s">
        <v>1278</v>
      </c>
      <c r="H158" s="10" t="s">
        <v>2382</v>
      </c>
      <c r="I158" s="62">
        <v>160</v>
      </c>
      <c r="J158" s="8" t="s">
        <v>1221</v>
      </c>
      <c r="K158" s="10" t="s">
        <v>847</v>
      </c>
      <c r="L158" s="10" t="s">
        <v>1239</v>
      </c>
      <c r="M158" s="10" t="s">
        <v>1221</v>
      </c>
      <c r="N158" s="10" t="s">
        <v>1239</v>
      </c>
      <c r="O158" s="10"/>
    </row>
    <row r="159" spans="1:15" ht="18" customHeight="1" x14ac:dyDescent="0.3">
      <c r="A159" s="24">
        <v>158</v>
      </c>
      <c r="B159" s="10" t="s">
        <v>1260</v>
      </c>
      <c r="C159" s="10" t="s">
        <v>1274</v>
      </c>
      <c r="D159" s="62">
        <v>7</v>
      </c>
      <c r="E159" s="61" t="s">
        <v>2429</v>
      </c>
      <c r="F159" s="16" t="s">
        <v>1276</v>
      </c>
      <c r="G159" s="10" t="s">
        <v>1278</v>
      </c>
      <c r="H159" s="10" t="s">
        <v>2431</v>
      </c>
      <c r="I159" s="62">
        <v>114</v>
      </c>
      <c r="J159" s="8" t="s">
        <v>1221</v>
      </c>
      <c r="K159" s="10" t="s">
        <v>847</v>
      </c>
      <c r="L159" s="10" t="s">
        <v>1239</v>
      </c>
      <c r="M159" s="10" t="s">
        <v>1221</v>
      </c>
      <c r="N159" s="10" t="s">
        <v>1239</v>
      </c>
      <c r="O159" s="10"/>
    </row>
    <row r="160" spans="1:15" ht="18" customHeight="1" x14ac:dyDescent="0.3">
      <c r="A160" s="24">
        <v>159</v>
      </c>
      <c r="B160" s="10" t="s">
        <v>1260</v>
      </c>
      <c r="C160" s="10" t="s">
        <v>1274</v>
      </c>
      <c r="D160" s="62">
        <v>7</v>
      </c>
      <c r="E160" s="61" t="s">
        <v>2429</v>
      </c>
      <c r="F160" s="16" t="s">
        <v>1276</v>
      </c>
      <c r="G160" s="10" t="s">
        <v>1278</v>
      </c>
      <c r="H160" s="10" t="s">
        <v>2383</v>
      </c>
      <c r="I160" s="62">
        <v>160</v>
      </c>
      <c r="J160" s="8" t="s">
        <v>1221</v>
      </c>
      <c r="K160" s="10" t="s">
        <v>847</v>
      </c>
      <c r="L160" s="10" t="s">
        <v>1239</v>
      </c>
      <c r="M160" s="10" t="s">
        <v>1221</v>
      </c>
      <c r="N160" s="10" t="s">
        <v>1239</v>
      </c>
      <c r="O160" s="10"/>
    </row>
    <row r="161" spans="1:15" ht="18" customHeight="1" x14ac:dyDescent="0.3">
      <c r="A161" s="24">
        <v>160</v>
      </c>
      <c r="B161" s="10" t="s">
        <v>193</v>
      </c>
      <c r="C161" s="10" t="s">
        <v>9</v>
      </c>
      <c r="D161" s="62">
        <v>7</v>
      </c>
      <c r="E161" s="61" t="s">
        <v>162</v>
      </c>
      <c r="F161" s="16" t="s">
        <v>407</v>
      </c>
      <c r="G161" s="10" t="s">
        <v>150</v>
      </c>
      <c r="H161" s="10" t="s">
        <v>845</v>
      </c>
      <c r="I161" s="62">
        <v>155</v>
      </c>
      <c r="J161" s="10" t="s">
        <v>1521</v>
      </c>
      <c r="K161" s="10" t="s">
        <v>1221</v>
      </c>
      <c r="L161" s="10" t="s">
        <v>1239</v>
      </c>
      <c r="M161" s="10" t="s">
        <v>1221</v>
      </c>
      <c r="N161" s="10" t="s">
        <v>1239</v>
      </c>
      <c r="O161" s="10"/>
    </row>
    <row r="162" spans="1:15" ht="18" customHeight="1" x14ac:dyDescent="0.3">
      <c r="A162" s="24">
        <v>161</v>
      </c>
      <c r="B162" s="10" t="s">
        <v>193</v>
      </c>
      <c r="C162" s="10" t="s">
        <v>9</v>
      </c>
      <c r="D162" s="62">
        <v>7</v>
      </c>
      <c r="E162" s="61" t="s">
        <v>162</v>
      </c>
      <c r="F162" s="16" t="s">
        <v>407</v>
      </c>
      <c r="G162" s="10" t="s">
        <v>150</v>
      </c>
      <c r="H162" s="10" t="s">
        <v>849</v>
      </c>
      <c r="I162" s="62">
        <v>96</v>
      </c>
      <c r="J162" s="10" t="s">
        <v>1221</v>
      </c>
      <c r="K162" s="10" t="s">
        <v>847</v>
      </c>
      <c r="L162" s="10" t="s">
        <v>1239</v>
      </c>
      <c r="M162" s="10" t="s">
        <v>1221</v>
      </c>
      <c r="N162" s="10" t="s">
        <v>1239</v>
      </c>
      <c r="O162" s="10"/>
    </row>
    <row r="163" spans="1:15" ht="18" customHeight="1" x14ac:dyDescent="0.3">
      <c r="A163" s="24">
        <v>162</v>
      </c>
      <c r="B163" s="10" t="s">
        <v>193</v>
      </c>
      <c r="C163" s="10" t="s">
        <v>9</v>
      </c>
      <c r="D163" s="62">
        <v>7</v>
      </c>
      <c r="E163" s="61" t="s">
        <v>162</v>
      </c>
      <c r="F163" s="16" t="s">
        <v>407</v>
      </c>
      <c r="G163" s="10" t="s">
        <v>150</v>
      </c>
      <c r="H163" s="10" t="s">
        <v>850</v>
      </c>
      <c r="I163" s="62">
        <v>154</v>
      </c>
      <c r="J163" s="10" t="s">
        <v>1221</v>
      </c>
      <c r="K163" s="10" t="s">
        <v>847</v>
      </c>
      <c r="L163" s="10" t="s">
        <v>1239</v>
      </c>
      <c r="M163" s="10" t="s">
        <v>1221</v>
      </c>
      <c r="N163" s="10" t="s">
        <v>1239</v>
      </c>
      <c r="O163" s="10"/>
    </row>
    <row r="164" spans="1:15" ht="18" customHeight="1" x14ac:dyDescent="0.3">
      <c r="A164" s="24">
        <v>163</v>
      </c>
      <c r="B164" s="10" t="s">
        <v>193</v>
      </c>
      <c r="C164" s="10" t="s">
        <v>9</v>
      </c>
      <c r="D164" s="62">
        <v>7</v>
      </c>
      <c r="E164" s="61" t="s">
        <v>162</v>
      </c>
      <c r="F164" s="16" t="s">
        <v>407</v>
      </c>
      <c r="G164" s="10" t="s">
        <v>150</v>
      </c>
      <c r="H164" s="10" t="s">
        <v>851</v>
      </c>
      <c r="I164" s="62">
        <v>148</v>
      </c>
      <c r="J164" s="10" t="s">
        <v>1221</v>
      </c>
      <c r="K164" s="10" t="s">
        <v>847</v>
      </c>
      <c r="L164" s="10" t="s">
        <v>1239</v>
      </c>
      <c r="M164" s="10" t="s">
        <v>1221</v>
      </c>
      <c r="N164" s="10" t="s">
        <v>1239</v>
      </c>
      <c r="O164" s="10"/>
    </row>
    <row r="165" spans="1:15" ht="18" customHeight="1" x14ac:dyDescent="0.3">
      <c r="A165" s="24">
        <v>164</v>
      </c>
      <c r="B165" s="10" t="s">
        <v>193</v>
      </c>
      <c r="C165" s="10" t="s">
        <v>9</v>
      </c>
      <c r="D165" s="62">
        <v>7</v>
      </c>
      <c r="E165" s="61" t="s">
        <v>162</v>
      </c>
      <c r="F165" s="16" t="s">
        <v>407</v>
      </c>
      <c r="G165" s="10" t="s">
        <v>150</v>
      </c>
      <c r="H165" s="10" t="s">
        <v>852</v>
      </c>
      <c r="I165" s="62">
        <v>96</v>
      </c>
      <c r="J165" s="10" t="s">
        <v>1221</v>
      </c>
      <c r="K165" s="10" t="s">
        <v>847</v>
      </c>
      <c r="L165" s="10" t="s">
        <v>1239</v>
      </c>
      <c r="M165" s="10" t="s">
        <v>1221</v>
      </c>
      <c r="N165" s="10" t="s">
        <v>1239</v>
      </c>
      <c r="O165" s="10"/>
    </row>
    <row r="166" spans="1:15" ht="18" customHeight="1" x14ac:dyDescent="0.3">
      <c r="A166" s="24">
        <v>165</v>
      </c>
      <c r="B166" s="10" t="s">
        <v>193</v>
      </c>
      <c r="C166" s="10" t="s">
        <v>9</v>
      </c>
      <c r="D166" s="62">
        <v>7</v>
      </c>
      <c r="E166" s="61" t="s">
        <v>162</v>
      </c>
      <c r="F166" s="16" t="s">
        <v>407</v>
      </c>
      <c r="G166" s="10" t="s">
        <v>150</v>
      </c>
      <c r="H166" s="10" t="s">
        <v>853</v>
      </c>
      <c r="I166" s="62">
        <v>154</v>
      </c>
      <c r="J166" s="10" t="s">
        <v>1221</v>
      </c>
      <c r="K166" s="10" t="s">
        <v>847</v>
      </c>
      <c r="L166" s="10" t="s">
        <v>1239</v>
      </c>
      <c r="M166" s="10" t="s">
        <v>1221</v>
      </c>
      <c r="N166" s="10" t="s">
        <v>1239</v>
      </c>
      <c r="O166" s="10"/>
    </row>
    <row r="167" spans="1:15" ht="18" customHeight="1" x14ac:dyDescent="0.3">
      <c r="A167" s="24">
        <v>166</v>
      </c>
      <c r="B167" s="10" t="s">
        <v>193</v>
      </c>
      <c r="C167" s="10" t="s">
        <v>9</v>
      </c>
      <c r="D167" s="62">
        <v>7</v>
      </c>
      <c r="E167" s="61" t="s">
        <v>162</v>
      </c>
      <c r="F167" s="16" t="s">
        <v>2432</v>
      </c>
      <c r="G167" s="10" t="s">
        <v>150</v>
      </c>
      <c r="H167" s="10" t="s">
        <v>848</v>
      </c>
      <c r="I167" s="62">
        <v>121</v>
      </c>
      <c r="J167" s="10" t="s">
        <v>1221</v>
      </c>
      <c r="K167" s="10" t="s">
        <v>846</v>
      </c>
      <c r="L167" s="10" t="s">
        <v>1422</v>
      </c>
      <c r="M167" s="10" t="s">
        <v>1221</v>
      </c>
      <c r="N167" s="10" t="s">
        <v>1239</v>
      </c>
      <c r="O167" s="10"/>
    </row>
    <row r="168" spans="1:15" ht="18" customHeight="1" x14ac:dyDescent="0.3">
      <c r="A168" s="24">
        <v>167</v>
      </c>
      <c r="B168" s="10" t="s">
        <v>193</v>
      </c>
      <c r="C168" s="10" t="s">
        <v>9</v>
      </c>
      <c r="D168" s="62">
        <v>7</v>
      </c>
      <c r="E168" s="61" t="s">
        <v>2792</v>
      </c>
      <c r="F168" s="19" t="s">
        <v>406</v>
      </c>
      <c r="G168" s="10" t="s">
        <v>150</v>
      </c>
      <c r="H168" s="10" t="s">
        <v>845</v>
      </c>
      <c r="I168" s="62">
        <v>321</v>
      </c>
      <c r="J168" s="10" t="s">
        <v>1221</v>
      </c>
      <c r="K168" s="10" t="s">
        <v>847</v>
      </c>
      <c r="L168" s="10" t="s">
        <v>1239</v>
      </c>
      <c r="M168" s="10" t="s">
        <v>1221</v>
      </c>
      <c r="N168" s="10" t="s">
        <v>1239</v>
      </c>
      <c r="O168" s="10"/>
    </row>
    <row r="169" spans="1:15" ht="18" customHeight="1" x14ac:dyDescent="0.3">
      <c r="A169" s="24">
        <v>168</v>
      </c>
      <c r="B169" s="10" t="s">
        <v>193</v>
      </c>
      <c r="C169" s="10" t="s">
        <v>9</v>
      </c>
      <c r="D169" s="62">
        <v>7</v>
      </c>
      <c r="E169" s="61" t="s">
        <v>2792</v>
      </c>
      <c r="F169" s="19" t="s">
        <v>406</v>
      </c>
      <c r="G169" s="10" t="s">
        <v>150</v>
      </c>
      <c r="H169" s="10" t="s">
        <v>848</v>
      </c>
      <c r="I169" s="177">
        <v>108</v>
      </c>
      <c r="J169" s="10" t="s">
        <v>1521</v>
      </c>
      <c r="K169" s="10" t="s">
        <v>846</v>
      </c>
      <c r="L169" s="10" t="s">
        <v>188</v>
      </c>
      <c r="M169" s="10" t="s">
        <v>1221</v>
      </c>
      <c r="N169" s="10" t="s">
        <v>1239</v>
      </c>
      <c r="O169" s="10"/>
    </row>
    <row r="170" spans="1:15" ht="18" customHeight="1" x14ac:dyDescent="0.3">
      <c r="A170" s="24">
        <v>169</v>
      </c>
      <c r="B170" s="10" t="s">
        <v>193</v>
      </c>
      <c r="C170" s="10" t="s">
        <v>9</v>
      </c>
      <c r="D170" s="62">
        <v>7</v>
      </c>
      <c r="E170" s="61" t="s">
        <v>2792</v>
      </c>
      <c r="F170" s="19" t="s">
        <v>406</v>
      </c>
      <c r="G170" s="10" t="s">
        <v>150</v>
      </c>
      <c r="H170" s="10" t="s">
        <v>849</v>
      </c>
      <c r="I170" s="62">
        <v>87</v>
      </c>
      <c r="J170" s="10" t="s">
        <v>1221</v>
      </c>
      <c r="K170" s="10" t="s">
        <v>847</v>
      </c>
      <c r="L170" s="10" t="s">
        <v>1239</v>
      </c>
      <c r="M170" s="10" t="s">
        <v>1221</v>
      </c>
      <c r="N170" s="10" t="s">
        <v>1239</v>
      </c>
      <c r="O170" s="10"/>
    </row>
    <row r="171" spans="1:15" ht="18" customHeight="1" x14ac:dyDescent="0.3">
      <c r="A171" s="24">
        <v>170</v>
      </c>
      <c r="B171" s="10" t="s">
        <v>193</v>
      </c>
      <c r="C171" s="10" t="s">
        <v>9</v>
      </c>
      <c r="D171" s="62">
        <v>7</v>
      </c>
      <c r="E171" s="61" t="s">
        <v>2792</v>
      </c>
      <c r="F171" s="19" t="s">
        <v>406</v>
      </c>
      <c r="G171" s="10" t="s">
        <v>150</v>
      </c>
      <c r="H171" s="10" t="s">
        <v>850</v>
      </c>
      <c r="I171" s="62">
        <v>131</v>
      </c>
      <c r="J171" s="10" t="s">
        <v>1521</v>
      </c>
      <c r="K171" s="10" t="s">
        <v>847</v>
      </c>
      <c r="L171" s="10" t="s">
        <v>1239</v>
      </c>
      <c r="M171" s="10" t="s">
        <v>1221</v>
      </c>
      <c r="N171" s="10" t="s">
        <v>1239</v>
      </c>
      <c r="O171" s="10"/>
    </row>
    <row r="172" spans="1:15" ht="18" customHeight="1" x14ac:dyDescent="0.3">
      <c r="A172" s="24">
        <v>171</v>
      </c>
      <c r="B172" s="10" t="s">
        <v>193</v>
      </c>
      <c r="C172" s="10" t="s">
        <v>9</v>
      </c>
      <c r="D172" s="62">
        <v>7</v>
      </c>
      <c r="E172" s="61" t="s">
        <v>2792</v>
      </c>
      <c r="F172" s="19" t="s">
        <v>406</v>
      </c>
      <c r="G172" s="10" t="s">
        <v>150</v>
      </c>
      <c r="H172" s="10" t="s">
        <v>851</v>
      </c>
      <c r="I172" s="62">
        <v>174</v>
      </c>
      <c r="J172" s="10" t="s">
        <v>1221</v>
      </c>
      <c r="K172" s="10" t="s">
        <v>846</v>
      </c>
      <c r="L172" s="10" t="s">
        <v>985</v>
      </c>
      <c r="M172" s="10" t="s">
        <v>1221</v>
      </c>
      <c r="N172" s="10" t="s">
        <v>1239</v>
      </c>
      <c r="O172" s="10"/>
    </row>
    <row r="173" spans="1:15" ht="18" customHeight="1" x14ac:dyDescent="0.3">
      <c r="A173" s="24">
        <v>172</v>
      </c>
      <c r="B173" s="10" t="s">
        <v>193</v>
      </c>
      <c r="C173" s="10" t="s">
        <v>9</v>
      </c>
      <c r="D173" s="62">
        <v>7</v>
      </c>
      <c r="E173" s="61" t="s">
        <v>2792</v>
      </c>
      <c r="F173" s="19" t="s">
        <v>406</v>
      </c>
      <c r="G173" s="10" t="s">
        <v>150</v>
      </c>
      <c r="H173" s="10" t="s">
        <v>852</v>
      </c>
      <c r="I173" s="62">
        <v>215</v>
      </c>
      <c r="J173" s="10" t="s">
        <v>1521</v>
      </c>
      <c r="K173" s="10" t="s">
        <v>847</v>
      </c>
      <c r="L173" s="10" t="s">
        <v>1239</v>
      </c>
      <c r="M173" s="10" t="s">
        <v>1221</v>
      </c>
      <c r="N173" s="10" t="s">
        <v>1239</v>
      </c>
      <c r="O173" s="10"/>
    </row>
    <row r="174" spans="1:15" ht="18" customHeight="1" x14ac:dyDescent="0.3">
      <c r="A174" s="24">
        <v>173</v>
      </c>
      <c r="B174" s="10" t="s">
        <v>193</v>
      </c>
      <c r="C174" s="10" t="s">
        <v>9</v>
      </c>
      <c r="D174" s="62">
        <v>7</v>
      </c>
      <c r="E174" s="61" t="s">
        <v>2792</v>
      </c>
      <c r="F174" s="19" t="s">
        <v>406</v>
      </c>
      <c r="G174" s="10" t="s">
        <v>150</v>
      </c>
      <c r="H174" s="10" t="s">
        <v>853</v>
      </c>
      <c r="I174" s="62">
        <v>119</v>
      </c>
      <c r="J174" s="10" t="s">
        <v>1221</v>
      </c>
      <c r="K174" s="10" t="s">
        <v>847</v>
      </c>
      <c r="L174" s="10" t="s">
        <v>1239</v>
      </c>
      <c r="M174" s="10" t="s">
        <v>1221</v>
      </c>
      <c r="N174" s="10" t="s">
        <v>1239</v>
      </c>
      <c r="O174" s="10"/>
    </row>
    <row r="175" spans="1:15" ht="18" customHeight="1" x14ac:dyDescent="0.3">
      <c r="A175" s="24">
        <v>174</v>
      </c>
      <c r="B175" s="10" t="s">
        <v>193</v>
      </c>
      <c r="C175" s="10" t="s">
        <v>10</v>
      </c>
      <c r="D175" s="62">
        <v>8</v>
      </c>
      <c r="E175" s="61" t="s">
        <v>2793</v>
      </c>
      <c r="F175" s="19" t="s">
        <v>1282</v>
      </c>
      <c r="G175" s="10" t="s">
        <v>150</v>
      </c>
      <c r="H175" s="10" t="s">
        <v>845</v>
      </c>
      <c r="I175" s="62">
        <v>206</v>
      </c>
      <c r="J175" s="10" t="s">
        <v>1221</v>
      </c>
      <c r="K175" s="10" t="s">
        <v>1221</v>
      </c>
      <c r="L175" s="10" t="s">
        <v>1239</v>
      </c>
      <c r="M175" s="10" t="s">
        <v>1221</v>
      </c>
      <c r="N175" s="10" t="s">
        <v>1239</v>
      </c>
      <c r="O175" s="10"/>
    </row>
    <row r="176" spans="1:15" ht="18" customHeight="1" x14ac:dyDescent="0.3">
      <c r="A176" s="24">
        <v>175</v>
      </c>
      <c r="B176" s="10" t="s">
        <v>193</v>
      </c>
      <c r="C176" s="10" t="s">
        <v>10</v>
      </c>
      <c r="D176" s="62">
        <v>8</v>
      </c>
      <c r="E176" s="61" t="s">
        <v>2793</v>
      </c>
      <c r="F176" s="19" t="s">
        <v>1282</v>
      </c>
      <c r="G176" s="10" t="s">
        <v>150</v>
      </c>
      <c r="H176" s="10" t="s">
        <v>848</v>
      </c>
      <c r="I176" s="62">
        <v>83</v>
      </c>
      <c r="J176" s="10" t="s">
        <v>1221</v>
      </c>
      <c r="K176" s="10" t="s">
        <v>1221</v>
      </c>
      <c r="L176" s="10" t="s">
        <v>1239</v>
      </c>
      <c r="M176" s="10" t="s">
        <v>1221</v>
      </c>
      <c r="N176" s="10" t="s">
        <v>1239</v>
      </c>
      <c r="O176" s="10"/>
    </row>
    <row r="177" spans="1:15" ht="18" customHeight="1" x14ac:dyDescent="0.3">
      <c r="A177" s="24">
        <v>176</v>
      </c>
      <c r="B177" s="10" t="s">
        <v>193</v>
      </c>
      <c r="C177" s="10" t="s">
        <v>10</v>
      </c>
      <c r="D177" s="62">
        <v>8</v>
      </c>
      <c r="E177" s="61" t="s">
        <v>2793</v>
      </c>
      <c r="F177" s="19" t="s">
        <v>1282</v>
      </c>
      <c r="G177" s="10" t="s">
        <v>150</v>
      </c>
      <c r="H177" s="10" t="s">
        <v>849</v>
      </c>
      <c r="I177" s="62">
        <v>131</v>
      </c>
      <c r="J177" s="10" t="s">
        <v>1221</v>
      </c>
      <c r="K177" s="10" t="s">
        <v>1221</v>
      </c>
      <c r="L177" s="10" t="s">
        <v>1239</v>
      </c>
      <c r="M177" s="10" t="s">
        <v>1221</v>
      </c>
      <c r="N177" s="10" t="s">
        <v>1239</v>
      </c>
      <c r="O177" s="10"/>
    </row>
    <row r="178" spans="1:15" ht="18" customHeight="1" x14ac:dyDescent="0.3">
      <c r="A178" s="24">
        <v>177</v>
      </c>
      <c r="B178" s="10" t="s">
        <v>193</v>
      </c>
      <c r="C178" s="10" t="s">
        <v>10</v>
      </c>
      <c r="D178" s="62">
        <v>8</v>
      </c>
      <c r="E178" s="61" t="s">
        <v>2793</v>
      </c>
      <c r="F178" s="19" t="s">
        <v>1282</v>
      </c>
      <c r="G178" s="10" t="s">
        <v>150</v>
      </c>
      <c r="H178" s="10" t="s">
        <v>2380</v>
      </c>
      <c r="I178" s="62">
        <v>142</v>
      </c>
      <c r="J178" s="10" t="s">
        <v>1221</v>
      </c>
      <c r="K178" s="10" t="s">
        <v>1221</v>
      </c>
      <c r="L178" s="10" t="s">
        <v>1239</v>
      </c>
      <c r="M178" s="10" t="s">
        <v>1221</v>
      </c>
      <c r="N178" s="10" t="s">
        <v>1239</v>
      </c>
      <c r="O178" s="10"/>
    </row>
    <row r="179" spans="1:15" ht="18" customHeight="1" x14ac:dyDescent="0.3">
      <c r="A179" s="24">
        <v>178</v>
      </c>
      <c r="B179" s="10" t="s">
        <v>193</v>
      </c>
      <c r="C179" s="10" t="s">
        <v>10</v>
      </c>
      <c r="D179" s="62">
        <v>8</v>
      </c>
      <c r="E179" s="61" t="s">
        <v>2793</v>
      </c>
      <c r="F179" s="19" t="s">
        <v>1282</v>
      </c>
      <c r="G179" s="10" t="s">
        <v>150</v>
      </c>
      <c r="H179" s="10" t="s">
        <v>2390</v>
      </c>
      <c r="I179" s="62">
        <v>206</v>
      </c>
      <c r="J179" s="10" t="s">
        <v>1221</v>
      </c>
      <c r="K179" s="10" t="s">
        <v>1221</v>
      </c>
      <c r="L179" s="10" t="s">
        <v>1239</v>
      </c>
      <c r="M179" s="10" t="s">
        <v>1221</v>
      </c>
      <c r="N179" s="10" t="s">
        <v>1239</v>
      </c>
      <c r="O179" s="10"/>
    </row>
    <row r="180" spans="1:15" ht="18" customHeight="1" x14ac:dyDescent="0.3">
      <c r="A180" s="24">
        <v>179</v>
      </c>
      <c r="B180" s="10" t="s">
        <v>1260</v>
      </c>
      <c r="C180" s="10" t="s">
        <v>2433</v>
      </c>
      <c r="D180" s="8">
        <v>8</v>
      </c>
      <c r="E180" s="3" t="s">
        <v>1284</v>
      </c>
      <c r="F180" s="11" t="s">
        <v>1285</v>
      </c>
      <c r="G180" s="10" t="s">
        <v>1239</v>
      </c>
      <c r="H180" s="10" t="s">
        <v>2385</v>
      </c>
      <c r="I180" s="62">
        <v>164</v>
      </c>
      <c r="J180" s="10" t="s">
        <v>1221</v>
      </c>
      <c r="K180" s="10" t="s">
        <v>1221</v>
      </c>
      <c r="L180" s="10" t="s">
        <v>1239</v>
      </c>
      <c r="M180" s="10" t="s">
        <v>1221</v>
      </c>
      <c r="N180" s="10" t="s">
        <v>1239</v>
      </c>
      <c r="O180" s="10"/>
    </row>
    <row r="181" spans="1:15" ht="18" customHeight="1" x14ac:dyDescent="0.3">
      <c r="A181" s="24">
        <v>180</v>
      </c>
      <c r="B181" s="10" t="s">
        <v>1260</v>
      </c>
      <c r="C181" s="10" t="s">
        <v>2433</v>
      </c>
      <c r="D181" s="8">
        <v>8</v>
      </c>
      <c r="E181" s="3" t="s">
        <v>1284</v>
      </c>
      <c r="F181" s="11" t="s">
        <v>1285</v>
      </c>
      <c r="G181" s="10" t="s">
        <v>1239</v>
      </c>
      <c r="H181" s="10" t="s">
        <v>2378</v>
      </c>
      <c r="I181" s="62">
        <v>181</v>
      </c>
      <c r="J181" s="10" t="s">
        <v>1521</v>
      </c>
      <c r="K181" s="10" t="s">
        <v>847</v>
      </c>
      <c r="L181" s="10" t="s">
        <v>1239</v>
      </c>
      <c r="M181" s="10" t="s">
        <v>1221</v>
      </c>
      <c r="N181" s="10" t="s">
        <v>1239</v>
      </c>
      <c r="O181" s="10"/>
    </row>
    <row r="182" spans="1:15" ht="18" customHeight="1" x14ac:dyDescent="0.3">
      <c r="A182" s="24">
        <v>181</v>
      </c>
      <c r="B182" s="10" t="s">
        <v>1260</v>
      </c>
      <c r="C182" s="10" t="s">
        <v>2433</v>
      </c>
      <c r="D182" s="8">
        <v>8</v>
      </c>
      <c r="E182" s="3" t="s">
        <v>1284</v>
      </c>
      <c r="F182" s="11" t="s">
        <v>1285</v>
      </c>
      <c r="G182" s="10" t="s">
        <v>1239</v>
      </c>
      <c r="H182" s="10" t="s">
        <v>2434</v>
      </c>
      <c r="I182" s="62">
        <v>127</v>
      </c>
      <c r="J182" s="10" t="s">
        <v>1521</v>
      </c>
      <c r="K182" s="10" t="s">
        <v>847</v>
      </c>
      <c r="L182" s="10" t="s">
        <v>1239</v>
      </c>
      <c r="M182" s="10" t="s">
        <v>1521</v>
      </c>
      <c r="N182" s="10" t="s">
        <v>2435</v>
      </c>
      <c r="O182" s="10"/>
    </row>
    <row r="183" spans="1:15" ht="18" customHeight="1" x14ac:dyDescent="0.3">
      <c r="A183" s="24">
        <v>182</v>
      </c>
      <c r="B183" s="10" t="s">
        <v>193</v>
      </c>
      <c r="C183" s="10" t="s">
        <v>11</v>
      </c>
      <c r="D183" s="62">
        <v>9</v>
      </c>
      <c r="E183" s="61" t="s">
        <v>163</v>
      </c>
      <c r="F183" s="16" t="s">
        <v>328</v>
      </c>
      <c r="G183" s="10" t="s">
        <v>1278</v>
      </c>
      <c r="H183" s="10" t="s">
        <v>845</v>
      </c>
      <c r="I183" s="62">
        <v>203</v>
      </c>
      <c r="J183" s="8" t="s">
        <v>1221</v>
      </c>
      <c r="K183" s="10" t="s">
        <v>847</v>
      </c>
      <c r="L183" s="10" t="s">
        <v>1239</v>
      </c>
      <c r="M183" s="10" t="s">
        <v>1229</v>
      </c>
      <c r="N183" s="10" t="s">
        <v>1239</v>
      </c>
      <c r="O183" s="10"/>
    </row>
    <row r="184" spans="1:15" ht="18" customHeight="1" x14ac:dyDescent="0.3">
      <c r="A184" s="24">
        <v>183</v>
      </c>
      <c r="B184" s="10" t="s">
        <v>193</v>
      </c>
      <c r="C184" s="10" t="s">
        <v>11</v>
      </c>
      <c r="D184" s="62">
        <v>9</v>
      </c>
      <c r="E184" s="61" t="s">
        <v>163</v>
      </c>
      <c r="F184" s="16" t="s">
        <v>328</v>
      </c>
      <c r="G184" s="10" t="s">
        <v>1278</v>
      </c>
      <c r="H184" s="10" t="s">
        <v>848</v>
      </c>
      <c r="I184" s="62">
        <v>80</v>
      </c>
      <c r="J184" s="8" t="s">
        <v>1221</v>
      </c>
      <c r="K184" s="10" t="s">
        <v>847</v>
      </c>
      <c r="L184" s="10" t="s">
        <v>1239</v>
      </c>
      <c r="M184" s="10" t="s">
        <v>1221</v>
      </c>
      <c r="N184" s="10" t="s">
        <v>1239</v>
      </c>
      <c r="O184" s="10"/>
    </row>
    <row r="185" spans="1:15" ht="18" customHeight="1" x14ac:dyDescent="0.3">
      <c r="A185" s="24">
        <v>184</v>
      </c>
      <c r="B185" s="10" t="s">
        <v>193</v>
      </c>
      <c r="C185" s="10" t="s">
        <v>11</v>
      </c>
      <c r="D185" s="62">
        <v>9</v>
      </c>
      <c r="E185" s="61" t="s">
        <v>163</v>
      </c>
      <c r="F185" s="16" t="s">
        <v>328</v>
      </c>
      <c r="G185" s="10" t="s">
        <v>1278</v>
      </c>
      <c r="H185" s="10" t="s">
        <v>849</v>
      </c>
      <c r="I185" s="62">
        <v>136</v>
      </c>
      <c r="J185" s="8" t="s">
        <v>1521</v>
      </c>
      <c r="K185" s="10" t="s">
        <v>847</v>
      </c>
      <c r="L185" s="10" t="s">
        <v>1239</v>
      </c>
      <c r="M185" s="10" t="s">
        <v>1221</v>
      </c>
      <c r="N185" s="10" t="s">
        <v>1239</v>
      </c>
      <c r="O185" s="10"/>
    </row>
    <row r="186" spans="1:15" ht="18" customHeight="1" x14ac:dyDescent="0.3">
      <c r="A186" s="24">
        <v>185</v>
      </c>
      <c r="B186" s="10" t="s">
        <v>193</v>
      </c>
      <c r="C186" s="10" t="s">
        <v>11</v>
      </c>
      <c r="D186" s="62">
        <v>9</v>
      </c>
      <c r="E186" s="61" t="s">
        <v>163</v>
      </c>
      <c r="F186" s="16" t="s">
        <v>328</v>
      </c>
      <c r="G186" s="10" t="s">
        <v>1278</v>
      </c>
      <c r="H186" s="10" t="s">
        <v>850</v>
      </c>
      <c r="I186" s="62">
        <v>217</v>
      </c>
      <c r="J186" s="8" t="s">
        <v>1221</v>
      </c>
      <c r="K186" s="10" t="s">
        <v>847</v>
      </c>
      <c r="L186" s="10" t="s">
        <v>1239</v>
      </c>
      <c r="M186" s="10" t="s">
        <v>1221</v>
      </c>
      <c r="N186" s="10" t="s">
        <v>1239</v>
      </c>
      <c r="O186" s="10"/>
    </row>
    <row r="187" spans="1:15" ht="18" customHeight="1" x14ac:dyDescent="0.3">
      <c r="A187" s="24">
        <v>186</v>
      </c>
      <c r="B187" s="10" t="s">
        <v>193</v>
      </c>
      <c r="C187" s="10" t="s">
        <v>11</v>
      </c>
      <c r="D187" s="62">
        <v>9</v>
      </c>
      <c r="E187" s="61" t="s">
        <v>163</v>
      </c>
      <c r="F187" s="16" t="s">
        <v>328</v>
      </c>
      <c r="G187" s="10" t="s">
        <v>1278</v>
      </c>
      <c r="H187" s="10" t="s">
        <v>851</v>
      </c>
      <c r="I187" s="62">
        <v>80</v>
      </c>
      <c r="J187" s="8" t="s">
        <v>1221</v>
      </c>
      <c r="K187" s="10" t="s">
        <v>847</v>
      </c>
      <c r="L187" s="10" t="s">
        <v>1239</v>
      </c>
      <c r="M187" s="10" t="s">
        <v>1221</v>
      </c>
      <c r="N187" s="10" t="s">
        <v>1239</v>
      </c>
      <c r="O187" s="10"/>
    </row>
    <row r="188" spans="1:15" ht="18" customHeight="1" x14ac:dyDescent="0.3">
      <c r="A188" s="24">
        <v>187</v>
      </c>
      <c r="B188" s="10" t="s">
        <v>193</v>
      </c>
      <c r="C188" s="10" t="s">
        <v>11</v>
      </c>
      <c r="D188" s="62">
        <v>9</v>
      </c>
      <c r="E188" s="61" t="s">
        <v>163</v>
      </c>
      <c r="F188" s="16" t="s">
        <v>328</v>
      </c>
      <c r="G188" s="10" t="s">
        <v>1278</v>
      </c>
      <c r="H188" s="10" t="s">
        <v>852</v>
      </c>
      <c r="I188" s="62">
        <v>136</v>
      </c>
      <c r="J188" s="8" t="s">
        <v>1221</v>
      </c>
      <c r="K188" s="10" t="s">
        <v>847</v>
      </c>
      <c r="L188" s="10" t="s">
        <v>1239</v>
      </c>
      <c r="M188" s="10" t="s">
        <v>1221</v>
      </c>
      <c r="N188" s="10" t="s">
        <v>1239</v>
      </c>
      <c r="O188" s="10"/>
    </row>
    <row r="189" spans="1:15" ht="18" customHeight="1" x14ac:dyDescent="0.3">
      <c r="A189" s="24">
        <v>188</v>
      </c>
      <c r="B189" s="10" t="s">
        <v>193</v>
      </c>
      <c r="C189" s="10" t="s">
        <v>11</v>
      </c>
      <c r="D189" s="62">
        <v>9</v>
      </c>
      <c r="E189" s="61" t="s">
        <v>2794</v>
      </c>
      <c r="F189" s="19" t="s">
        <v>325</v>
      </c>
      <c r="G189" s="10" t="s">
        <v>150</v>
      </c>
      <c r="H189" s="10" t="s">
        <v>845</v>
      </c>
      <c r="I189" s="62">
        <v>125</v>
      </c>
      <c r="J189" s="10" t="s">
        <v>1521</v>
      </c>
      <c r="K189" s="10" t="s">
        <v>847</v>
      </c>
      <c r="L189" s="10" t="s">
        <v>1239</v>
      </c>
      <c r="M189" s="10" t="s">
        <v>1221</v>
      </c>
      <c r="N189" s="10" t="s">
        <v>1239</v>
      </c>
      <c r="O189" s="10"/>
    </row>
    <row r="190" spans="1:15" ht="18" customHeight="1" x14ac:dyDescent="0.3">
      <c r="A190" s="24">
        <v>189</v>
      </c>
      <c r="B190" s="10" t="s">
        <v>193</v>
      </c>
      <c r="C190" s="10" t="s">
        <v>11</v>
      </c>
      <c r="D190" s="62">
        <v>9</v>
      </c>
      <c r="E190" s="61" t="s">
        <v>2794</v>
      </c>
      <c r="F190" s="19" t="s">
        <v>325</v>
      </c>
      <c r="G190" s="10" t="s">
        <v>150</v>
      </c>
      <c r="H190" s="10" t="s">
        <v>848</v>
      </c>
      <c r="I190" s="62">
        <v>107</v>
      </c>
      <c r="J190" s="10" t="s">
        <v>1221</v>
      </c>
      <c r="K190" s="10" t="s">
        <v>847</v>
      </c>
      <c r="L190" s="10" t="s">
        <v>1239</v>
      </c>
      <c r="M190" s="10" t="s">
        <v>1221</v>
      </c>
      <c r="N190" s="10" t="s">
        <v>1239</v>
      </c>
      <c r="O190" s="10"/>
    </row>
    <row r="191" spans="1:15" ht="18" customHeight="1" x14ac:dyDescent="0.3">
      <c r="A191" s="24">
        <v>190</v>
      </c>
      <c r="B191" s="10" t="s">
        <v>193</v>
      </c>
      <c r="C191" s="10" t="s">
        <v>11</v>
      </c>
      <c r="D191" s="62">
        <v>9</v>
      </c>
      <c r="E191" s="61" t="s">
        <v>2794</v>
      </c>
      <c r="F191" s="19" t="s">
        <v>325</v>
      </c>
      <c r="G191" s="10" t="s">
        <v>150</v>
      </c>
      <c r="H191" s="10" t="s">
        <v>849</v>
      </c>
      <c r="I191" s="62">
        <v>94</v>
      </c>
      <c r="J191" s="10" t="s">
        <v>1221</v>
      </c>
      <c r="K191" s="10" t="s">
        <v>847</v>
      </c>
      <c r="L191" s="10" t="s">
        <v>1239</v>
      </c>
      <c r="M191" s="10" t="s">
        <v>1221</v>
      </c>
      <c r="N191" s="10" t="s">
        <v>1239</v>
      </c>
      <c r="O191" s="10"/>
    </row>
    <row r="192" spans="1:15" ht="18" customHeight="1" x14ac:dyDescent="0.3">
      <c r="A192" s="24">
        <v>191</v>
      </c>
      <c r="B192" s="10" t="s">
        <v>193</v>
      </c>
      <c r="C192" s="10" t="s">
        <v>11</v>
      </c>
      <c r="D192" s="62">
        <v>9</v>
      </c>
      <c r="E192" s="61" t="s">
        <v>2794</v>
      </c>
      <c r="F192" s="19" t="s">
        <v>325</v>
      </c>
      <c r="G192" s="10" t="s">
        <v>150</v>
      </c>
      <c r="H192" s="10" t="s">
        <v>850</v>
      </c>
      <c r="I192" s="62">
        <v>127</v>
      </c>
      <c r="J192" s="10" t="s">
        <v>1521</v>
      </c>
      <c r="K192" s="10" t="s">
        <v>847</v>
      </c>
      <c r="L192" s="10" t="s">
        <v>1239</v>
      </c>
      <c r="M192" s="10" t="s">
        <v>1221</v>
      </c>
      <c r="N192" s="10" t="s">
        <v>1239</v>
      </c>
      <c r="O192" s="10"/>
    </row>
    <row r="193" spans="1:15" ht="18" customHeight="1" x14ac:dyDescent="0.3">
      <c r="A193" s="24">
        <v>192</v>
      </c>
      <c r="B193" s="10" t="s">
        <v>193</v>
      </c>
      <c r="C193" s="10" t="s">
        <v>11</v>
      </c>
      <c r="D193" s="62">
        <v>9</v>
      </c>
      <c r="E193" s="61" t="s">
        <v>2794</v>
      </c>
      <c r="F193" s="19" t="s">
        <v>325</v>
      </c>
      <c r="G193" s="10" t="s">
        <v>150</v>
      </c>
      <c r="H193" s="10" t="s">
        <v>851</v>
      </c>
      <c r="I193" s="62">
        <v>157</v>
      </c>
      <c r="J193" s="10" t="s">
        <v>1221</v>
      </c>
      <c r="K193" s="10" t="s">
        <v>847</v>
      </c>
      <c r="L193" s="10" t="s">
        <v>1239</v>
      </c>
      <c r="M193" s="10" t="s">
        <v>1221</v>
      </c>
      <c r="N193" s="10" t="s">
        <v>1239</v>
      </c>
      <c r="O193" s="10"/>
    </row>
    <row r="194" spans="1:15" ht="18" customHeight="1" x14ac:dyDescent="0.3">
      <c r="A194" s="24">
        <v>193</v>
      </c>
      <c r="B194" s="10" t="s">
        <v>193</v>
      </c>
      <c r="C194" s="10" t="s">
        <v>11</v>
      </c>
      <c r="D194" s="62">
        <v>9</v>
      </c>
      <c r="E194" s="61" t="s">
        <v>2794</v>
      </c>
      <c r="F194" s="19" t="s">
        <v>325</v>
      </c>
      <c r="G194" s="10" t="s">
        <v>150</v>
      </c>
      <c r="H194" s="10" t="s">
        <v>852</v>
      </c>
      <c r="I194" s="62">
        <v>82</v>
      </c>
      <c r="J194" s="10" t="s">
        <v>1521</v>
      </c>
      <c r="K194" s="10" t="s">
        <v>847</v>
      </c>
      <c r="L194" s="10" t="s">
        <v>1239</v>
      </c>
      <c r="M194" s="10" t="s">
        <v>1221</v>
      </c>
      <c r="N194" s="10" t="s">
        <v>1239</v>
      </c>
      <c r="O194" s="10"/>
    </row>
    <row r="195" spans="1:15" ht="18" customHeight="1" x14ac:dyDescent="0.3">
      <c r="A195" s="24">
        <v>194</v>
      </c>
      <c r="B195" s="10" t="s">
        <v>193</v>
      </c>
      <c r="C195" s="10" t="s">
        <v>11</v>
      </c>
      <c r="D195" s="62">
        <v>9</v>
      </c>
      <c r="E195" s="61" t="s">
        <v>2795</v>
      </c>
      <c r="F195" s="16" t="s">
        <v>326</v>
      </c>
      <c r="G195" s="10" t="s">
        <v>150</v>
      </c>
      <c r="H195" s="10" t="s">
        <v>845</v>
      </c>
      <c r="I195" s="62">
        <v>117</v>
      </c>
      <c r="J195" s="10" t="s">
        <v>1221</v>
      </c>
      <c r="K195" s="10" t="s">
        <v>847</v>
      </c>
      <c r="L195" s="10" t="s">
        <v>1239</v>
      </c>
      <c r="M195" s="10" t="s">
        <v>1221</v>
      </c>
      <c r="N195" s="10" t="s">
        <v>1239</v>
      </c>
      <c r="O195" s="10"/>
    </row>
    <row r="196" spans="1:15" ht="18" customHeight="1" x14ac:dyDescent="0.3">
      <c r="A196" s="24">
        <v>195</v>
      </c>
      <c r="B196" s="10" t="s">
        <v>193</v>
      </c>
      <c r="C196" s="10" t="s">
        <v>11</v>
      </c>
      <c r="D196" s="62">
        <v>9</v>
      </c>
      <c r="E196" s="61" t="s">
        <v>2795</v>
      </c>
      <c r="F196" s="16" t="s">
        <v>326</v>
      </c>
      <c r="G196" s="10" t="s">
        <v>150</v>
      </c>
      <c r="H196" s="10" t="s">
        <v>848</v>
      </c>
      <c r="I196" s="62">
        <v>83</v>
      </c>
      <c r="J196" s="10" t="s">
        <v>1221</v>
      </c>
      <c r="K196" s="10" t="s">
        <v>847</v>
      </c>
      <c r="L196" s="10" t="s">
        <v>1239</v>
      </c>
      <c r="M196" s="10" t="s">
        <v>1221</v>
      </c>
      <c r="N196" s="10" t="s">
        <v>1239</v>
      </c>
      <c r="O196" s="10"/>
    </row>
    <row r="197" spans="1:15" ht="18" customHeight="1" x14ac:dyDescent="0.3">
      <c r="A197" s="24">
        <v>196</v>
      </c>
      <c r="B197" s="10" t="s">
        <v>193</v>
      </c>
      <c r="C197" s="10" t="s">
        <v>11</v>
      </c>
      <c r="D197" s="62">
        <v>9</v>
      </c>
      <c r="E197" s="61" t="s">
        <v>2795</v>
      </c>
      <c r="F197" s="16" t="s">
        <v>326</v>
      </c>
      <c r="G197" s="10" t="s">
        <v>150</v>
      </c>
      <c r="H197" s="10" t="s">
        <v>849</v>
      </c>
      <c r="I197" s="62">
        <v>124</v>
      </c>
      <c r="J197" s="10" t="s">
        <v>1221</v>
      </c>
      <c r="K197" s="10" t="s">
        <v>847</v>
      </c>
      <c r="L197" s="10" t="s">
        <v>1239</v>
      </c>
      <c r="M197" s="10" t="s">
        <v>1221</v>
      </c>
      <c r="N197" s="10" t="s">
        <v>1239</v>
      </c>
      <c r="O197" s="10"/>
    </row>
    <row r="198" spans="1:15" ht="18" customHeight="1" x14ac:dyDescent="0.3">
      <c r="A198" s="24">
        <v>197</v>
      </c>
      <c r="B198" s="10" t="s">
        <v>193</v>
      </c>
      <c r="C198" s="10" t="s">
        <v>11</v>
      </c>
      <c r="D198" s="62">
        <v>9</v>
      </c>
      <c r="E198" s="61" t="s">
        <v>2795</v>
      </c>
      <c r="F198" s="16" t="s">
        <v>326</v>
      </c>
      <c r="G198" s="10" t="s">
        <v>150</v>
      </c>
      <c r="H198" s="10" t="s">
        <v>850</v>
      </c>
      <c r="I198" s="62">
        <v>117</v>
      </c>
      <c r="J198" s="10" t="s">
        <v>1221</v>
      </c>
      <c r="K198" s="10" t="s">
        <v>847</v>
      </c>
      <c r="L198" s="10" t="s">
        <v>1239</v>
      </c>
      <c r="M198" s="10" t="s">
        <v>1221</v>
      </c>
      <c r="N198" s="10" t="s">
        <v>1239</v>
      </c>
      <c r="O198" s="10"/>
    </row>
    <row r="199" spans="1:15" ht="18" customHeight="1" x14ac:dyDescent="0.3">
      <c r="A199" s="24">
        <v>198</v>
      </c>
      <c r="B199" s="10" t="s">
        <v>193</v>
      </c>
      <c r="C199" s="10" t="s">
        <v>11</v>
      </c>
      <c r="D199" s="62">
        <v>9</v>
      </c>
      <c r="E199" s="61" t="s">
        <v>2795</v>
      </c>
      <c r="F199" s="16" t="s">
        <v>326</v>
      </c>
      <c r="G199" s="10" t="s">
        <v>150</v>
      </c>
      <c r="H199" s="10" t="s">
        <v>851</v>
      </c>
      <c r="I199" s="62">
        <v>83</v>
      </c>
      <c r="J199" s="10" t="s">
        <v>1221</v>
      </c>
      <c r="K199" s="10" t="s">
        <v>847</v>
      </c>
      <c r="L199" s="10" t="s">
        <v>1239</v>
      </c>
      <c r="M199" s="10" t="s">
        <v>1221</v>
      </c>
      <c r="N199" s="10" t="s">
        <v>1239</v>
      </c>
      <c r="O199" s="10"/>
    </row>
    <row r="200" spans="1:15" ht="18" customHeight="1" x14ac:dyDescent="0.3">
      <c r="A200" s="24">
        <v>199</v>
      </c>
      <c r="B200" s="10" t="s">
        <v>193</v>
      </c>
      <c r="C200" s="10" t="s">
        <v>11</v>
      </c>
      <c r="D200" s="62">
        <v>9</v>
      </c>
      <c r="E200" s="61" t="s">
        <v>2795</v>
      </c>
      <c r="F200" s="16" t="s">
        <v>326</v>
      </c>
      <c r="G200" s="10" t="s">
        <v>150</v>
      </c>
      <c r="H200" s="10" t="s">
        <v>852</v>
      </c>
      <c r="I200" s="62">
        <v>124</v>
      </c>
      <c r="J200" s="10" t="s">
        <v>1221</v>
      </c>
      <c r="K200" s="10" t="s">
        <v>847</v>
      </c>
      <c r="L200" s="10" t="s">
        <v>1239</v>
      </c>
      <c r="M200" s="10" t="s">
        <v>1221</v>
      </c>
      <c r="N200" s="10" t="s">
        <v>1239</v>
      </c>
      <c r="O200" s="10"/>
    </row>
    <row r="201" spans="1:15" ht="18" customHeight="1" x14ac:dyDescent="0.3">
      <c r="A201" s="24">
        <v>200</v>
      </c>
      <c r="B201" s="10" t="s">
        <v>193</v>
      </c>
      <c r="C201" s="10" t="s">
        <v>11</v>
      </c>
      <c r="D201" s="62">
        <v>9</v>
      </c>
      <c r="E201" s="61" t="s">
        <v>2795</v>
      </c>
      <c r="F201" s="16" t="s">
        <v>326</v>
      </c>
      <c r="G201" s="10" t="s">
        <v>150</v>
      </c>
      <c r="H201" s="10" t="s">
        <v>853</v>
      </c>
      <c r="I201" s="62">
        <v>117</v>
      </c>
      <c r="J201" s="10" t="s">
        <v>1221</v>
      </c>
      <c r="K201" s="10" t="s">
        <v>847</v>
      </c>
      <c r="L201" s="10" t="s">
        <v>1239</v>
      </c>
      <c r="M201" s="10" t="s">
        <v>1221</v>
      </c>
      <c r="N201" s="10" t="s">
        <v>1239</v>
      </c>
      <c r="O201" s="10"/>
    </row>
    <row r="202" spans="1:15" ht="18" customHeight="1" x14ac:dyDescent="0.3">
      <c r="A202" s="24">
        <v>201</v>
      </c>
      <c r="B202" s="10" t="s">
        <v>193</v>
      </c>
      <c r="C202" s="10" t="s">
        <v>11</v>
      </c>
      <c r="D202" s="62">
        <v>9</v>
      </c>
      <c r="E202" s="61" t="s">
        <v>2795</v>
      </c>
      <c r="F202" s="16" t="s">
        <v>326</v>
      </c>
      <c r="G202" s="10" t="s">
        <v>150</v>
      </c>
      <c r="H202" s="10" t="s">
        <v>854</v>
      </c>
      <c r="I202" s="62">
        <v>83</v>
      </c>
      <c r="J202" s="10" t="s">
        <v>1221</v>
      </c>
      <c r="K202" s="10" t="s">
        <v>847</v>
      </c>
      <c r="L202" s="10" t="s">
        <v>1239</v>
      </c>
      <c r="M202" s="10" t="s">
        <v>1221</v>
      </c>
      <c r="N202" s="10" t="s">
        <v>1239</v>
      </c>
      <c r="O202" s="10"/>
    </row>
    <row r="203" spans="1:15" ht="18" customHeight="1" x14ac:dyDescent="0.3">
      <c r="A203" s="24">
        <v>202</v>
      </c>
      <c r="B203" s="10" t="s">
        <v>193</v>
      </c>
      <c r="C203" s="10" t="s">
        <v>11</v>
      </c>
      <c r="D203" s="62">
        <v>9</v>
      </c>
      <c r="E203" s="61" t="s">
        <v>2795</v>
      </c>
      <c r="F203" s="16" t="s">
        <v>326</v>
      </c>
      <c r="G203" s="10" t="s">
        <v>150</v>
      </c>
      <c r="H203" s="10" t="s">
        <v>855</v>
      </c>
      <c r="I203" s="62">
        <v>124</v>
      </c>
      <c r="J203" s="10" t="s">
        <v>1221</v>
      </c>
      <c r="K203" s="10" t="s">
        <v>847</v>
      </c>
      <c r="L203" s="10" t="s">
        <v>1239</v>
      </c>
      <c r="M203" s="10" t="s">
        <v>1221</v>
      </c>
      <c r="N203" s="10" t="s">
        <v>1239</v>
      </c>
      <c r="O203" s="10"/>
    </row>
    <row r="204" spans="1:15" ht="18" customHeight="1" x14ac:dyDescent="0.3">
      <c r="A204" s="24">
        <v>203</v>
      </c>
      <c r="B204" s="10" t="s">
        <v>193</v>
      </c>
      <c r="C204" s="10" t="s">
        <v>12</v>
      </c>
      <c r="D204" s="62">
        <v>10</v>
      </c>
      <c r="E204" s="61" t="s">
        <v>2436</v>
      </c>
      <c r="F204" s="16" t="s">
        <v>357</v>
      </c>
      <c r="G204" s="10" t="s">
        <v>160</v>
      </c>
      <c r="H204" s="10" t="s">
        <v>845</v>
      </c>
      <c r="I204" s="62">
        <v>136</v>
      </c>
      <c r="J204" s="10" t="s">
        <v>1221</v>
      </c>
      <c r="K204" s="10" t="s">
        <v>847</v>
      </c>
      <c r="L204" s="10" t="s">
        <v>1239</v>
      </c>
      <c r="M204" s="10" t="s">
        <v>1221</v>
      </c>
      <c r="N204" s="10" t="s">
        <v>1239</v>
      </c>
      <c r="O204" s="10"/>
    </row>
    <row r="205" spans="1:15" ht="18" customHeight="1" x14ac:dyDescent="0.3">
      <c r="A205" s="24">
        <v>204</v>
      </c>
      <c r="B205" s="10" t="s">
        <v>193</v>
      </c>
      <c r="C205" s="10" t="s">
        <v>12</v>
      </c>
      <c r="D205" s="62">
        <v>10</v>
      </c>
      <c r="E205" s="61" t="s">
        <v>2436</v>
      </c>
      <c r="F205" s="16" t="s">
        <v>357</v>
      </c>
      <c r="G205" s="10" t="s">
        <v>160</v>
      </c>
      <c r="H205" s="10" t="s">
        <v>848</v>
      </c>
      <c r="I205" s="62">
        <v>136</v>
      </c>
      <c r="J205" s="10" t="s">
        <v>1221</v>
      </c>
      <c r="K205" s="10" t="s">
        <v>847</v>
      </c>
      <c r="L205" s="10" t="s">
        <v>1239</v>
      </c>
      <c r="M205" s="10" t="s">
        <v>1221</v>
      </c>
      <c r="N205" s="10" t="s">
        <v>1239</v>
      </c>
      <c r="O205" s="10"/>
    </row>
    <row r="206" spans="1:15" ht="18" customHeight="1" x14ac:dyDescent="0.3">
      <c r="A206" s="24">
        <v>205</v>
      </c>
      <c r="B206" s="10" t="s">
        <v>193</v>
      </c>
      <c r="C206" s="10" t="s">
        <v>12</v>
      </c>
      <c r="D206" s="62">
        <v>10</v>
      </c>
      <c r="E206" s="61" t="s">
        <v>2436</v>
      </c>
      <c r="F206" s="16" t="s">
        <v>357</v>
      </c>
      <c r="G206" s="10" t="s">
        <v>160</v>
      </c>
      <c r="H206" s="10" t="s">
        <v>849</v>
      </c>
      <c r="I206" s="62">
        <v>136</v>
      </c>
      <c r="J206" s="10" t="s">
        <v>1221</v>
      </c>
      <c r="K206" s="10" t="s">
        <v>847</v>
      </c>
      <c r="L206" s="10" t="s">
        <v>1239</v>
      </c>
      <c r="M206" s="10" t="s">
        <v>1221</v>
      </c>
      <c r="N206" s="10" t="s">
        <v>1239</v>
      </c>
      <c r="O206" s="10"/>
    </row>
    <row r="207" spans="1:15" ht="18" customHeight="1" x14ac:dyDescent="0.3">
      <c r="A207" s="24">
        <v>206</v>
      </c>
      <c r="B207" s="10" t="s">
        <v>193</v>
      </c>
      <c r="C207" s="10" t="s">
        <v>12</v>
      </c>
      <c r="D207" s="62">
        <v>10</v>
      </c>
      <c r="E207" s="61" t="s">
        <v>2436</v>
      </c>
      <c r="F207" s="16" t="s">
        <v>357</v>
      </c>
      <c r="G207" s="10" t="s">
        <v>160</v>
      </c>
      <c r="H207" s="10" t="s">
        <v>850</v>
      </c>
      <c r="I207" s="62">
        <v>136</v>
      </c>
      <c r="J207" s="10" t="s">
        <v>1221</v>
      </c>
      <c r="K207" s="10" t="s">
        <v>847</v>
      </c>
      <c r="L207" s="10" t="s">
        <v>1239</v>
      </c>
      <c r="M207" s="10" t="s">
        <v>1221</v>
      </c>
      <c r="N207" s="10" t="s">
        <v>1239</v>
      </c>
      <c r="O207" s="10"/>
    </row>
    <row r="208" spans="1:15" ht="18" customHeight="1" x14ac:dyDescent="0.3">
      <c r="A208" s="24">
        <v>207</v>
      </c>
      <c r="B208" s="10" t="s">
        <v>193</v>
      </c>
      <c r="C208" s="10" t="s">
        <v>12</v>
      </c>
      <c r="D208" s="62">
        <v>10</v>
      </c>
      <c r="E208" s="61" t="s">
        <v>2436</v>
      </c>
      <c r="F208" s="16" t="s">
        <v>357</v>
      </c>
      <c r="G208" s="10" t="s">
        <v>160</v>
      </c>
      <c r="H208" s="10" t="s">
        <v>851</v>
      </c>
      <c r="I208" s="62">
        <v>136</v>
      </c>
      <c r="J208" s="10" t="s">
        <v>1221</v>
      </c>
      <c r="K208" s="10" t="s">
        <v>847</v>
      </c>
      <c r="L208" s="10" t="s">
        <v>1239</v>
      </c>
      <c r="M208" s="10" t="s">
        <v>1221</v>
      </c>
      <c r="N208" s="10" t="s">
        <v>1239</v>
      </c>
      <c r="O208" s="10"/>
    </row>
    <row r="209" spans="1:15" ht="18" customHeight="1" x14ac:dyDescent="0.3">
      <c r="A209" s="24">
        <v>208</v>
      </c>
      <c r="B209" s="10" t="s">
        <v>193</v>
      </c>
      <c r="C209" s="10" t="s">
        <v>2437</v>
      </c>
      <c r="D209" s="62">
        <v>10</v>
      </c>
      <c r="E209" s="61" t="s">
        <v>2778</v>
      </c>
      <c r="F209" s="16" t="s">
        <v>1294</v>
      </c>
      <c r="G209" s="10" t="s">
        <v>150</v>
      </c>
      <c r="H209" s="10" t="s">
        <v>2410</v>
      </c>
      <c r="I209" s="62">
        <v>96</v>
      </c>
      <c r="J209" s="10" t="s">
        <v>1521</v>
      </c>
      <c r="K209" s="10" t="s">
        <v>1521</v>
      </c>
      <c r="L209" s="10" t="s">
        <v>1516</v>
      </c>
      <c r="M209" s="10" t="s">
        <v>1221</v>
      </c>
      <c r="N209" s="10" t="s">
        <v>1239</v>
      </c>
      <c r="O209" s="10"/>
    </row>
    <row r="210" spans="1:15" ht="18" customHeight="1" x14ac:dyDescent="0.3">
      <c r="A210" s="24">
        <v>209</v>
      </c>
      <c r="B210" s="10" t="s">
        <v>193</v>
      </c>
      <c r="C210" s="10" t="s">
        <v>2437</v>
      </c>
      <c r="D210" s="62">
        <v>10</v>
      </c>
      <c r="E210" s="61" t="s">
        <v>2778</v>
      </c>
      <c r="F210" s="16" t="s">
        <v>1294</v>
      </c>
      <c r="G210" s="10" t="s">
        <v>150</v>
      </c>
      <c r="H210" s="10" t="s">
        <v>2378</v>
      </c>
      <c r="I210" s="62">
        <v>123</v>
      </c>
      <c r="J210" s="10" t="s">
        <v>1221</v>
      </c>
      <c r="K210" s="10" t="s">
        <v>847</v>
      </c>
      <c r="L210" s="10" t="s">
        <v>1239</v>
      </c>
      <c r="M210" s="10" t="s">
        <v>1221</v>
      </c>
      <c r="N210" s="10" t="s">
        <v>1239</v>
      </c>
      <c r="O210" s="10"/>
    </row>
    <row r="211" spans="1:15" ht="18" customHeight="1" x14ac:dyDescent="0.3">
      <c r="A211" s="24">
        <v>210</v>
      </c>
      <c r="B211" s="10" t="s">
        <v>193</v>
      </c>
      <c r="C211" s="10" t="s">
        <v>2437</v>
      </c>
      <c r="D211" s="62">
        <v>10</v>
      </c>
      <c r="E211" s="61" t="s">
        <v>2778</v>
      </c>
      <c r="F211" s="16" t="s">
        <v>1294</v>
      </c>
      <c r="G211" s="10" t="s">
        <v>150</v>
      </c>
      <c r="H211" s="10" t="s">
        <v>2379</v>
      </c>
      <c r="I211" s="62">
        <v>132</v>
      </c>
      <c r="J211" s="10" t="s">
        <v>1221</v>
      </c>
      <c r="K211" s="10" t="s">
        <v>847</v>
      </c>
      <c r="L211" s="10" t="s">
        <v>1239</v>
      </c>
      <c r="M211" s="10" t="s">
        <v>1221</v>
      </c>
      <c r="N211" s="10" t="s">
        <v>1239</v>
      </c>
      <c r="O211" s="10"/>
    </row>
    <row r="212" spans="1:15" ht="18" customHeight="1" x14ac:dyDescent="0.3">
      <c r="A212" s="24">
        <v>211</v>
      </c>
      <c r="B212" s="10" t="s">
        <v>193</v>
      </c>
      <c r="C212" s="10" t="s">
        <v>2437</v>
      </c>
      <c r="D212" s="62">
        <v>10</v>
      </c>
      <c r="E212" s="61" t="s">
        <v>2778</v>
      </c>
      <c r="F212" s="16" t="s">
        <v>2438</v>
      </c>
      <c r="G212" s="10" t="s">
        <v>150</v>
      </c>
      <c r="H212" s="10" t="s">
        <v>2380</v>
      </c>
      <c r="I212" s="62">
        <v>132</v>
      </c>
      <c r="J212" s="10" t="s">
        <v>1221</v>
      </c>
      <c r="K212" s="10" t="s">
        <v>847</v>
      </c>
      <c r="L212" s="10" t="s">
        <v>1239</v>
      </c>
      <c r="M212" s="10" t="s">
        <v>1221</v>
      </c>
      <c r="N212" s="10" t="s">
        <v>1239</v>
      </c>
      <c r="O212" s="10"/>
    </row>
    <row r="213" spans="1:15" ht="18" customHeight="1" x14ac:dyDescent="0.3">
      <c r="A213" s="24">
        <v>212</v>
      </c>
      <c r="B213" s="10" t="s">
        <v>193</v>
      </c>
      <c r="C213" s="10" t="s">
        <v>2437</v>
      </c>
      <c r="D213" s="62">
        <v>10</v>
      </c>
      <c r="E213" s="61" t="s">
        <v>2778</v>
      </c>
      <c r="F213" s="16" t="s">
        <v>2438</v>
      </c>
      <c r="G213" s="10" t="s">
        <v>150</v>
      </c>
      <c r="H213" s="10" t="s">
        <v>2390</v>
      </c>
      <c r="I213" s="62">
        <v>132</v>
      </c>
      <c r="J213" s="10" t="s">
        <v>1221</v>
      </c>
      <c r="K213" s="10" t="s">
        <v>847</v>
      </c>
      <c r="L213" s="10" t="s">
        <v>1239</v>
      </c>
      <c r="M213" s="10" t="s">
        <v>1221</v>
      </c>
      <c r="N213" s="10" t="s">
        <v>1239</v>
      </c>
      <c r="O213" s="10"/>
    </row>
    <row r="214" spans="1:15" ht="18" customHeight="1" x14ac:dyDescent="0.3">
      <c r="A214" s="24">
        <v>213</v>
      </c>
      <c r="B214" s="10" t="s">
        <v>193</v>
      </c>
      <c r="C214" s="10" t="s">
        <v>2437</v>
      </c>
      <c r="D214" s="62">
        <v>10</v>
      </c>
      <c r="E214" s="61" t="s">
        <v>2778</v>
      </c>
      <c r="F214" s="16" t="s">
        <v>2438</v>
      </c>
      <c r="G214" s="10" t="s">
        <v>150</v>
      </c>
      <c r="H214" s="10" t="s">
        <v>2382</v>
      </c>
      <c r="I214" s="62">
        <v>123</v>
      </c>
      <c r="J214" s="10" t="s">
        <v>1221</v>
      </c>
      <c r="K214" s="10" t="s">
        <v>847</v>
      </c>
      <c r="L214" s="10" t="s">
        <v>1239</v>
      </c>
      <c r="M214" s="10" t="s">
        <v>1221</v>
      </c>
      <c r="N214" s="10" t="s">
        <v>1239</v>
      </c>
      <c r="O214" s="10"/>
    </row>
    <row r="215" spans="1:15" ht="18" customHeight="1" x14ac:dyDescent="0.3">
      <c r="A215" s="24">
        <v>214</v>
      </c>
      <c r="B215" s="10" t="s">
        <v>193</v>
      </c>
      <c r="C215" s="10" t="s">
        <v>2437</v>
      </c>
      <c r="D215" s="62">
        <v>10</v>
      </c>
      <c r="E215" s="61" t="s">
        <v>2778</v>
      </c>
      <c r="F215" s="16" t="s">
        <v>2438</v>
      </c>
      <c r="G215" s="10" t="s">
        <v>150</v>
      </c>
      <c r="H215" s="10" t="s">
        <v>2431</v>
      </c>
      <c r="I215" s="62">
        <v>132</v>
      </c>
      <c r="J215" s="10" t="s">
        <v>1221</v>
      </c>
      <c r="K215" s="10" t="s">
        <v>847</v>
      </c>
      <c r="L215" s="10" t="s">
        <v>1239</v>
      </c>
      <c r="M215" s="10" t="s">
        <v>1221</v>
      </c>
      <c r="N215" s="10" t="s">
        <v>1239</v>
      </c>
      <c r="O215" s="10"/>
    </row>
    <row r="216" spans="1:15" ht="18" customHeight="1" x14ac:dyDescent="0.3">
      <c r="A216" s="24">
        <v>215</v>
      </c>
      <c r="B216" s="10" t="s">
        <v>193</v>
      </c>
      <c r="C216" s="10" t="s">
        <v>13</v>
      </c>
      <c r="D216" s="62">
        <v>11</v>
      </c>
      <c r="E216" s="61" t="s">
        <v>961</v>
      </c>
      <c r="F216" s="16" t="s">
        <v>1298</v>
      </c>
      <c r="G216" s="10" t="s">
        <v>1239</v>
      </c>
      <c r="H216" s="10" t="s">
        <v>845</v>
      </c>
      <c r="I216" s="62">
        <v>42</v>
      </c>
      <c r="J216" s="10" t="s">
        <v>1221</v>
      </c>
      <c r="K216" s="10" t="s">
        <v>847</v>
      </c>
      <c r="L216" s="10" t="s">
        <v>1239</v>
      </c>
      <c r="M216" s="10" t="s">
        <v>1521</v>
      </c>
      <c r="N216" s="10" t="s">
        <v>1234</v>
      </c>
      <c r="O216" s="10"/>
    </row>
    <row r="217" spans="1:15" ht="18" customHeight="1" x14ac:dyDescent="0.3">
      <c r="A217" s="24">
        <v>216</v>
      </c>
      <c r="B217" s="10" t="s">
        <v>193</v>
      </c>
      <c r="C217" s="10" t="s">
        <v>13</v>
      </c>
      <c r="D217" s="62">
        <v>11</v>
      </c>
      <c r="E217" s="61" t="s">
        <v>961</v>
      </c>
      <c r="F217" s="16" t="s">
        <v>1298</v>
      </c>
      <c r="G217" s="10" t="s">
        <v>1239</v>
      </c>
      <c r="H217" s="10" t="s">
        <v>848</v>
      </c>
      <c r="I217" s="62">
        <v>40</v>
      </c>
      <c r="J217" s="10" t="s">
        <v>1221</v>
      </c>
      <c r="K217" s="10" t="s">
        <v>847</v>
      </c>
      <c r="L217" s="10" t="s">
        <v>1239</v>
      </c>
      <c r="M217" s="10" t="s">
        <v>1521</v>
      </c>
      <c r="N217" s="10" t="s">
        <v>2439</v>
      </c>
      <c r="O217" s="10"/>
    </row>
    <row r="218" spans="1:15" ht="18" customHeight="1" x14ac:dyDescent="0.3">
      <c r="A218" s="24">
        <v>217</v>
      </c>
      <c r="B218" s="10" t="s">
        <v>193</v>
      </c>
      <c r="C218" s="10" t="s">
        <v>13</v>
      </c>
      <c r="D218" s="62">
        <v>11</v>
      </c>
      <c r="E218" s="61" t="s">
        <v>164</v>
      </c>
      <c r="F218" s="16" t="s">
        <v>353</v>
      </c>
      <c r="G218" s="10" t="s">
        <v>150</v>
      </c>
      <c r="H218" s="10" t="s">
        <v>845</v>
      </c>
      <c r="I218" s="62">
        <v>227</v>
      </c>
      <c r="J218" s="8" t="s">
        <v>846</v>
      </c>
      <c r="K218" s="10" t="s">
        <v>847</v>
      </c>
      <c r="L218" s="10" t="s">
        <v>1239</v>
      </c>
      <c r="M218" s="10" t="s">
        <v>1221</v>
      </c>
      <c r="N218" s="10" t="s">
        <v>1239</v>
      </c>
      <c r="O218" s="10"/>
    </row>
    <row r="219" spans="1:15" ht="18" customHeight="1" x14ac:dyDescent="0.3">
      <c r="A219" s="24">
        <v>218</v>
      </c>
      <c r="B219" s="10" t="s">
        <v>193</v>
      </c>
      <c r="C219" s="10" t="s">
        <v>13</v>
      </c>
      <c r="D219" s="62">
        <v>11</v>
      </c>
      <c r="E219" s="61" t="s">
        <v>164</v>
      </c>
      <c r="F219" s="16" t="s">
        <v>353</v>
      </c>
      <c r="G219" s="10" t="s">
        <v>150</v>
      </c>
      <c r="H219" s="10" t="s">
        <v>848</v>
      </c>
      <c r="I219" s="62">
        <v>227</v>
      </c>
      <c r="J219" s="8" t="s">
        <v>1221</v>
      </c>
      <c r="K219" s="10" t="s">
        <v>847</v>
      </c>
      <c r="L219" s="10" t="s">
        <v>1239</v>
      </c>
      <c r="M219" s="10" t="s">
        <v>1221</v>
      </c>
      <c r="N219" s="10" t="s">
        <v>1239</v>
      </c>
      <c r="O219" s="10"/>
    </row>
    <row r="220" spans="1:15" ht="18" customHeight="1" x14ac:dyDescent="0.3">
      <c r="A220" s="24">
        <v>219</v>
      </c>
      <c r="B220" s="10" t="s">
        <v>193</v>
      </c>
      <c r="C220" s="10" t="s">
        <v>13</v>
      </c>
      <c r="D220" s="62">
        <v>11</v>
      </c>
      <c r="E220" s="61" t="s">
        <v>164</v>
      </c>
      <c r="F220" s="16" t="s">
        <v>353</v>
      </c>
      <c r="G220" s="10" t="s">
        <v>150</v>
      </c>
      <c r="H220" s="10" t="s">
        <v>849</v>
      </c>
      <c r="I220" s="62">
        <v>129</v>
      </c>
      <c r="J220" s="8" t="s">
        <v>846</v>
      </c>
      <c r="K220" s="10" t="s">
        <v>847</v>
      </c>
      <c r="L220" s="10" t="s">
        <v>1239</v>
      </c>
      <c r="M220" s="10" t="s">
        <v>1221</v>
      </c>
      <c r="N220" s="10" t="s">
        <v>1239</v>
      </c>
      <c r="O220" s="10"/>
    </row>
    <row r="221" spans="1:15" ht="18" customHeight="1" x14ac:dyDescent="0.3">
      <c r="A221" s="24">
        <v>220</v>
      </c>
      <c r="B221" s="10" t="s">
        <v>193</v>
      </c>
      <c r="C221" s="10" t="s">
        <v>13</v>
      </c>
      <c r="D221" s="62">
        <v>11</v>
      </c>
      <c r="E221" s="61" t="s">
        <v>164</v>
      </c>
      <c r="F221" s="16" t="s">
        <v>353</v>
      </c>
      <c r="G221" s="10" t="s">
        <v>150</v>
      </c>
      <c r="H221" s="10" t="s">
        <v>850</v>
      </c>
      <c r="I221" s="62">
        <v>261</v>
      </c>
      <c r="J221" s="8" t="s">
        <v>846</v>
      </c>
      <c r="K221" s="10" t="s">
        <v>847</v>
      </c>
      <c r="L221" s="10" t="s">
        <v>1239</v>
      </c>
      <c r="M221" s="10" t="s">
        <v>1221</v>
      </c>
      <c r="N221" s="10" t="s">
        <v>1239</v>
      </c>
      <c r="O221" s="10"/>
    </row>
    <row r="222" spans="1:15" ht="18" customHeight="1" x14ac:dyDescent="0.3">
      <c r="A222" s="24">
        <v>221</v>
      </c>
      <c r="B222" s="10" t="s">
        <v>193</v>
      </c>
      <c r="C222" s="10" t="s">
        <v>13</v>
      </c>
      <c r="D222" s="62">
        <v>11</v>
      </c>
      <c r="E222" s="61" t="s">
        <v>164</v>
      </c>
      <c r="F222" s="16" t="s">
        <v>353</v>
      </c>
      <c r="G222" s="10" t="s">
        <v>150</v>
      </c>
      <c r="H222" s="10" t="s">
        <v>851</v>
      </c>
      <c r="I222" s="62">
        <v>256</v>
      </c>
      <c r="J222" s="8" t="s">
        <v>846</v>
      </c>
      <c r="K222" s="10" t="s">
        <v>847</v>
      </c>
      <c r="L222" s="10" t="s">
        <v>1239</v>
      </c>
      <c r="M222" s="10" t="s">
        <v>1221</v>
      </c>
      <c r="N222" s="10" t="s">
        <v>1239</v>
      </c>
      <c r="O222" s="10"/>
    </row>
    <row r="223" spans="1:15" ht="18" customHeight="1" x14ac:dyDescent="0.3">
      <c r="A223" s="24">
        <v>222</v>
      </c>
      <c r="B223" s="10" t="s">
        <v>193</v>
      </c>
      <c r="C223" s="10" t="s">
        <v>13</v>
      </c>
      <c r="D223" s="62">
        <v>11</v>
      </c>
      <c r="E223" s="61" t="s">
        <v>164</v>
      </c>
      <c r="F223" s="16" t="s">
        <v>353</v>
      </c>
      <c r="G223" s="10" t="s">
        <v>150</v>
      </c>
      <c r="H223" s="10" t="s">
        <v>854</v>
      </c>
      <c r="I223" s="62">
        <v>256</v>
      </c>
      <c r="J223" s="8" t="s">
        <v>1221</v>
      </c>
      <c r="K223" s="10" t="s">
        <v>847</v>
      </c>
      <c r="L223" s="10" t="s">
        <v>1239</v>
      </c>
      <c r="M223" s="10" t="s">
        <v>1221</v>
      </c>
      <c r="N223" s="10" t="s">
        <v>1239</v>
      </c>
      <c r="O223" s="10"/>
    </row>
    <row r="224" spans="1:15" ht="18" customHeight="1" x14ac:dyDescent="0.3">
      <c r="A224" s="24">
        <v>223</v>
      </c>
      <c r="B224" s="10" t="s">
        <v>193</v>
      </c>
      <c r="C224" s="10" t="s">
        <v>13</v>
      </c>
      <c r="D224" s="62">
        <v>11</v>
      </c>
      <c r="E224" s="61" t="s">
        <v>164</v>
      </c>
      <c r="F224" s="16" t="s">
        <v>353</v>
      </c>
      <c r="G224" s="10" t="s">
        <v>150</v>
      </c>
      <c r="H224" s="10" t="s">
        <v>855</v>
      </c>
      <c r="I224" s="62">
        <v>261</v>
      </c>
      <c r="J224" s="8" t="s">
        <v>1221</v>
      </c>
      <c r="K224" s="10" t="s">
        <v>847</v>
      </c>
      <c r="L224" s="10" t="s">
        <v>1239</v>
      </c>
      <c r="M224" s="10" t="s">
        <v>1221</v>
      </c>
      <c r="N224" s="10" t="s">
        <v>1239</v>
      </c>
      <c r="O224" s="10"/>
    </row>
    <row r="225" spans="1:15" ht="18" customHeight="1" x14ac:dyDescent="0.3">
      <c r="A225" s="24">
        <v>224</v>
      </c>
      <c r="B225" s="10" t="s">
        <v>193</v>
      </c>
      <c r="C225" s="10" t="s">
        <v>13</v>
      </c>
      <c r="D225" s="62">
        <v>11</v>
      </c>
      <c r="E225" s="61" t="s">
        <v>164</v>
      </c>
      <c r="F225" s="16" t="s">
        <v>353</v>
      </c>
      <c r="G225" s="10" t="s">
        <v>150</v>
      </c>
      <c r="H225" s="10" t="s">
        <v>869</v>
      </c>
      <c r="I225" s="62">
        <v>102</v>
      </c>
      <c r="J225" s="8" t="s">
        <v>1221</v>
      </c>
      <c r="K225" s="10" t="s">
        <v>847</v>
      </c>
      <c r="L225" s="10" t="s">
        <v>1239</v>
      </c>
      <c r="M225" s="10" t="s">
        <v>1221</v>
      </c>
      <c r="N225" s="10" t="s">
        <v>1239</v>
      </c>
      <c r="O225" s="10"/>
    </row>
    <row r="226" spans="1:15" ht="18" customHeight="1" x14ac:dyDescent="0.3">
      <c r="A226" s="24">
        <v>225</v>
      </c>
      <c r="B226" s="10" t="s">
        <v>193</v>
      </c>
      <c r="C226" s="10" t="s">
        <v>13</v>
      </c>
      <c r="D226" s="62">
        <v>11</v>
      </c>
      <c r="E226" s="61" t="s">
        <v>164</v>
      </c>
      <c r="F226" s="16" t="s">
        <v>2967</v>
      </c>
      <c r="G226" s="10" t="s">
        <v>150</v>
      </c>
      <c r="H226" s="10" t="s">
        <v>852</v>
      </c>
      <c r="I226" s="62">
        <v>43</v>
      </c>
      <c r="J226" s="8" t="s">
        <v>1229</v>
      </c>
      <c r="K226" s="10" t="s">
        <v>1221</v>
      </c>
      <c r="L226" s="10" t="s">
        <v>1239</v>
      </c>
      <c r="M226" s="10" t="s">
        <v>1521</v>
      </c>
      <c r="N226" s="10" t="s">
        <v>2440</v>
      </c>
      <c r="O226" s="9"/>
    </row>
    <row r="227" spans="1:15" ht="18" customHeight="1" x14ac:dyDescent="0.3">
      <c r="A227" s="24">
        <v>226</v>
      </c>
      <c r="B227" s="10" t="s">
        <v>193</v>
      </c>
      <c r="C227" s="10" t="s">
        <v>13</v>
      </c>
      <c r="D227" s="62">
        <v>11</v>
      </c>
      <c r="E227" s="61" t="s">
        <v>164</v>
      </c>
      <c r="F227" s="16" t="s">
        <v>2967</v>
      </c>
      <c r="G227" s="10" t="s">
        <v>150</v>
      </c>
      <c r="H227" s="10" t="s">
        <v>853</v>
      </c>
      <c r="I227" s="62">
        <v>93</v>
      </c>
      <c r="J227" s="8" t="s">
        <v>846</v>
      </c>
      <c r="K227" s="10" t="s">
        <v>1521</v>
      </c>
      <c r="L227" s="10" t="s">
        <v>1302</v>
      </c>
      <c r="M227" s="10" t="s">
        <v>1221</v>
      </c>
      <c r="N227" s="10" t="s">
        <v>1239</v>
      </c>
      <c r="O227" s="10"/>
    </row>
    <row r="228" spans="1:15" ht="18" customHeight="1" x14ac:dyDescent="0.3">
      <c r="A228" s="24">
        <v>227</v>
      </c>
      <c r="B228" s="10" t="s">
        <v>193</v>
      </c>
      <c r="C228" s="10" t="s">
        <v>13</v>
      </c>
      <c r="D228" s="62">
        <v>11</v>
      </c>
      <c r="E228" s="61" t="s">
        <v>909</v>
      </c>
      <c r="F228" s="16" t="s">
        <v>355</v>
      </c>
      <c r="G228" s="10" t="s">
        <v>2441</v>
      </c>
      <c r="H228" s="10" t="s">
        <v>845</v>
      </c>
      <c r="I228" s="62">
        <v>102</v>
      </c>
      <c r="J228" s="8" t="s">
        <v>1221</v>
      </c>
      <c r="K228" s="10" t="s">
        <v>847</v>
      </c>
      <c r="L228" s="10" t="s">
        <v>1239</v>
      </c>
      <c r="M228" s="10" t="s">
        <v>1221</v>
      </c>
      <c r="N228" s="10" t="s">
        <v>1239</v>
      </c>
      <c r="O228" s="10"/>
    </row>
    <row r="229" spans="1:15" ht="18" customHeight="1" x14ac:dyDescent="0.3">
      <c r="A229" s="24">
        <v>228</v>
      </c>
      <c r="B229" s="10" t="s">
        <v>193</v>
      </c>
      <c r="C229" s="10" t="s">
        <v>13</v>
      </c>
      <c r="D229" s="62">
        <v>11</v>
      </c>
      <c r="E229" s="61" t="s">
        <v>909</v>
      </c>
      <c r="F229" s="16" t="s">
        <v>355</v>
      </c>
      <c r="G229" s="10" t="s">
        <v>2441</v>
      </c>
      <c r="H229" s="10" t="s">
        <v>848</v>
      </c>
      <c r="I229" s="62">
        <v>99</v>
      </c>
      <c r="J229" s="8" t="s">
        <v>1221</v>
      </c>
      <c r="K229" s="10" t="s">
        <v>847</v>
      </c>
      <c r="L229" s="10" t="s">
        <v>1239</v>
      </c>
      <c r="M229" s="10" t="s">
        <v>1221</v>
      </c>
      <c r="N229" s="10" t="s">
        <v>1239</v>
      </c>
      <c r="O229" s="10"/>
    </row>
    <row r="230" spans="1:15" ht="18" customHeight="1" x14ac:dyDescent="0.3">
      <c r="A230" s="24">
        <v>229</v>
      </c>
      <c r="B230" s="10" t="s">
        <v>193</v>
      </c>
      <c r="C230" s="10" t="s">
        <v>13</v>
      </c>
      <c r="D230" s="62">
        <v>11</v>
      </c>
      <c r="E230" s="61" t="s">
        <v>909</v>
      </c>
      <c r="F230" s="16" t="s">
        <v>355</v>
      </c>
      <c r="G230" s="10" t="s">
        <v>2441</v>
      </c>
      <c r="H230" s="10" t="s">
        <v>849</v>
      </c>
      <c r="I230" s="62">
        <v>102</v>
      </c>
      <c r="J230" s="8" t="s">
        <v>1221</v>
      </c>
      <c r="K230" s="10" t="s">
        <v>847</v>
      </c>
      <c r="L230" s="10" t="s">
        <v>1239</v>
      </c>
      <c r="M230" s="10" t="s">
        <v>1221</v>
      </c>
      <c r="N230" s="10" t="s">
        <v>1239</v>
      </c>
      <c r="O230" s="10"/>
    </row>
    <row r="231" spans="1:15" ht="18" customHeight="1" x14ac:dyDescent="0.3">
      <c r="A231" s="24">
        <v>230</v>
      </c>
      <c r="B231" s="10" t="s">
        <v>193</v>
      </c>
      <c r="C231" s="10" t="s">
        <v>13</v>
      </c>
      <c r="D231" s="62">
        <v>11</v>
      </c>
      <c r="E231" s="61" t="s">
        <v>909</v>
      </c>
      <c r="F231" s="16" t="s">
        <v>355</v>
      </c>
      <c r="G231" s="10" t="s">
        <v>2441</v>
      </c>
      <c r="H231" s="10" t="s">
        <v>850</v>
      </c>
      <c r="I231" s="62">
        <v>99</v>
      </c>
      <c r="J231" s="8" t="s">
        <v>1221</v>
      </c>
      <c r="K231" s="10" t="s">
        <v>847</v>
      </c>
      <c r="L231" s="10" t="s">
        <v>1239</v>
      </c>
      <c r="M231" s="10" t="s">
        <v>1221</v>
      </c>
      <c r="N231" s="10" t="s">
        <v>1239</v>
      </c>
      <c r="O231" s="10"/>
    </row>
    <row r="232" spans="1:15" ht="18" customHeight="1" x14ac:dyDescent="0.3">
      <c r="A232" s="24">
        <v>231</v>
      </c>
      <c r="B232" s="10" t="s">
        <v>193</v>
      </c>
      <c r="C232" s="10" t="s">
        <v>13</v>
      </c>
      <c r="D232" s="62">
        <v>11</v>
      </c>
      <c r="E232" s="61" t="s">
        <v>909</v>
      </c>
      <c r="F232" s="16" t="s">
        <v>355</v>
      </c>
      <c r="G232" s="10" t="s">
        <v>2441</v>
      </c>
      <c r="H232" s="10" t="s">
        <v>851</v>
      </c>
      <c r="I232" s="62">
        <v>232</v>
      </c>
      <c r="J232" s="8" t="s">
        <v>1221</v>
      </c>
      <c r="K232" s="10" t="s">
        <v>847</v>
      </c>
      <c r="L232" s="10" t="s">
        <v>1239</v>
      </c>
      <c r="M232" s="10" t="s">
        <v>1221</v>
      </c>
      <c r="N232" s="10" t="s">
        <v>1239</v>
      </c>
      <c r="O232" s="10"/>
    </row>
    <row r="233" spans="1:15" ht="18" customHeight="1" x14ac:dyDescent="0.3">
      <c r="A233" s="24">
        <v>232</v>
      </c>
      <c r="B233" s="10" t="s">
        <v>193</v>
      </c>
      <c r="C233" s="10" t="s">
        <v>13</v>
      </c>
      <c r="D233" s="62">
        <v>11</v>
      </c>
      <c r="E233" s="61" t="s">
        <v>2796</v>
      </c>
      <c r="F233" s="19" t="s">
        <v>352</v>
      </c>
      <c r="G233" s="10" t="s">
        <v>150</v>
      </c>
      <c r="H233" s="10" t="s">
        <v>845</v>
      </c>
      <c r="I233" s="62">
        <v>102</v>
      </c>
      <c r="J233" s="10" t="s">
        <v>1521</v>
      </c>
      <c r="K233" s="10" t="s">
        <v>847</v>
      </c>
      <c r="L233" s="10" t="s">
        <v>1239</v>
      </c>
      <c r="M233" s="10" t="s">
        <v>1221</v>
      </c>
      <c r="N233" s="10" t="s">
        <v>1239</v>
      </c>
      <c r="O233" s="10"/>
    </row>
    <row r="234" spans="1:15" ht="18" customHeight="1" x14ac:dyDescent="0.3">
      <c r="A234" s="24">
        <v>233</v>
      </c>
      <c r="B234" s="10" t="s">
        <v>193</v>
      </c>
      <c r="C234" s="10" t="s">
        <v>13</v>
      </c>
      <c r="D234" s="62">
        <v>11</v>
      </c>
      <c r="E234" s="61" t="s">
        <v>2796</v>
      </c>
      <c r="F234" s="19" t="s">
        <v>352</v>
      </c>
      <c r="G234" s="10" t="s">
        <v>150</v>
      </c>
      <c r="H234" s="10" t="s">
        <v>850</v>
      </c>
      <c r="I234" s="62">
        <v>188</v>
      </c>
      <c r="J234" s="10" t="s">
        <v>1221</v>
      </c>
      <c r="K234" s="10" t="s">
        <v>847</v>
      </c>
      <c r="L234" s="10" t="s">
        <v>1239</v>
      </c>
      <c r="M234" s="10" t="s">
        <v>1221</v>
      </c>
      <c r="N234" s="10" t="s">
        <v>1239</v>
      </c>
      <c r="O234" s="10"/>
    </row>
    <row r="235" spans="1:15" ht="18" customHeight="1" x14ac:dyDescent="0.3">
      <c r="A235" s="24">
        <v>234</v>
      </c>
      <c r="B235" s="10" t="s">
        <v>193</v>
      </c>
      <c r="C235" s="10" t="s">
        <v>13</v>
      </c>
      <c r="D235" s="62">
        <v>11</v>
      </c>
      <c r="E235" s="61" t="s">
        <v>2796</v>
      </c>
      <c r="F235" s="19" t="s">
        <v>352</v>
      </c>
      <c r="G235" s="10" t="s">
        <v>150</v>
      </c>
      <c r="H235" s="10" t="s">
        <v>851</v>
      </c>
      <c r="I235" s="62">
        <v>148</v>
      </c>
      <c r="J235" s="10" t="s">
        <v>1521</v>
      </c>
      <c r="K235" s="10" t="s">
        <v>847</v>
      </c>
      <c r="L235" s="10" t="s">
        <v>1239</v>
      </c>
      <c r="M235" s="10" t="s">
        <v>1221</v>
      </c>
      <c r="N235" s="10" t="s">
        <v>1239</v>
      </c>
      <c r="O235" s="10"/>
    </row>
    <row r="236" spans="1:15" ht="18" customHeight="1" x14ac:dyDescent="0.3">
      <c r="A236" s="24">
        <v>235</v>
      </c>
      <c r="B236" s="10" t="s">
        <v>193</v>
      </c>
      <c r="C236" s="10" t="s">
        <v>13</v>
      </c>
      <c r="D236" s="62">
        <v>11</v>
      </c>
      <c r="E236" s="61" t="s">
        <v>2796</v>
      </c>
      <c r="F236" s="19" t="s">
        <v>352</v>
      </c>
      <c r="G236" s="10" t="s">
        <v>150</v>
      </c>
      <c r="H236" s="10" t="s">
        <v>852</v>
      </c>
      <c r="I236" s="62">
        <v>131</v>
      </c>
      <c r="J236" s="10" t="s">
        <v>1221</v>
      </c>
      <c r="K236" s="10" t="s">
        <v>847</v>
      </c>
      <c r="L236" s="10" t="s">
        <v>1239</v>
      </c>
      <c r="M236" s="10" t="s">
        <v>1221</v>
      </c>
      <c r="N236" s="10" t="s">
        <v>1239</v>
      </c>
      <c r="O236" s="10"/>
    </row>
    <row r="237" spans="1:15" ht="18" customHeight="1" x14ac:dyDescent="0.3">
      <c r="A237" s="24">
        <v>236</v>
      </c>
      <c r="B237" s="10" t="s">
        <v>193</v>
      </c>
      <c r="C237" s="10" t="s">
        <v>13</v>
      </c>
      <c r="D237" s="62">
        <v>11</v>
      </c>
      <c r="E237" s="61" t="s">
        <v>2796</v>
      </c>
      <c r="F237" s="19" t="s">
        <v>352</v>
      </c>
      <c r="G237" s="10" t="s">
        <v>150</v>
      </c>
      <c r="H237" s="10" t="s">
        <v>853</v>
      </c>
      <c r="I237" s="62">
        <v>199</v>
      </c>
      <c r="J237" s="10" t="s">
        <v>1221</v>
      </c>
      <c r="K237" s="10" t="s">
        <v>847</v>
      </c>
      <c r="L237" s="10" t="s">
        <v>1239</v>
      </c>
      <c r="M237" s="10" t="s">
        <v>1221</v>
      </c>
      <c r="N237" s="10" t="s">
        <v>1239</v>
      </c>
      <c r="O237" s="10"/>
    </row>
    <row r="238" spans="1:15" ht="18" customHeight="1" x14ac:dyDescent="0.3">
      <c r="A238" s="24">
        <v>237</v>
      </c>
      <c r="B238" s="10" t="s">
        <v>193</v>
      </c>
      <c r="C238" s="10" t="s">
        <v>13</v>
      </c>
      <c r="D238" s="62">
        <v>11</v>
      </c>
      <c r="E238" s="61" t="s">
        <v>2796</v>
      </c>
      <c r="F238" s="19" t="s">
        <v>2442</v>
      </c>
      <c r="G238" s="10" t="s">
        <v>150</v>
      </c>
      <c r="H238" s="10" t="s">
        <v>848</v>
      </c>
      <c r="I238" s="62">
        <v>214</v>
      </c>
      <c r="J238" s="10" t="s">
        <v>1221</v>
      </c>
      <c r="K238" s="10" t="s">
        <v>846</v>
      </c>
      <c r="L238" s="10" t="s">
        <v>985</v>
      </c>
      <c r="M238" s="10" t="s">
        <v>1221</v>
      </c>
      <c r="N238" s="10" t="s">
        <v>1239</v>
      </c>
      <c r="O238" s="10"/>
    </row>
    <row r="239" spans="1:15" ht="18" customHeight="1" x14ac:dyDescent="0.3">
      <c r="A239" s="24">
        <v>238</v>
      </c>
      <c r="B239" s="10" t="s">
        <v>193</v>
      </c>
      <c r="C239" s="10" t="s">
        <v>13</v>
      </c>
      <c r="D239" s="62">
        <v>11</v>
      </c>
      <c r="E239" s="61" t="s">
        <v>2796</v>
      </c>
      <c r="F239" s="19" t="s">
        <v>2442</v>
      </c>
      <c r="G239" s="10" t="s">
        <v>150</v>
      </c>
      <c r="H239" s="10" t="s">
        <v>849</v>
      </c>
      <c r="I239" s="62">
        <v>108</v>
      </c>
      <c r="J239" s="10" t="s">
        <v>1521</v>
      </c>
      <c r="K239" s="10" t="s">
        <v>1521</v>
      </c>
      <c r="L239" s="10" t="s">
        <v>1516</v>
      </c>
      <c r="M239" s="10" t="s">
        <v>1221</v>
      </c>
      <c r="N239" s="10" t="s">
        <v>1239</v>
      </c>
      <c r="O239" s="10"/>
    </row>
    <row r="240" spans="1:15" ht="18" customHeight="1" x14ac:dyDescent="0.3">
      <c r="A240" s="24">
        <v>239</v>
      </c>
      <c r="B240" s="10" t="s">
        <v>193</v>
      </c>
      <c r="C240" s="10" t="s">
        <v>13</v>
      </c>
      <c r="D240" s="62">
        <v>11</v>
      </c>
      <c r="E240" s="61" t="s">
        <v>2797</v>
      </c>
      <c r="F240" s="19" t="s">
        <v>1051</v>
      </c>
      <c r="G240" s="10" t="s">
        <v>150</v>
      </c>
      <c r="H240" s="10" t="s">
        <v>849</v>
      </c>
      <c r="I240" s="62">
        <v>285</v>
      </c>
      <c r="J240" s="10" t="s">
        <v>1521</v>
      </c>
      <c r="K240" s="10" t="s">
        <v>847</v>
      </c>
      <c r="L240" s="10" t="s">
        <v>1239</v>
      </c>
      <c r="M240" s="10" t="s">
        <v>1221</v>
      </c>
      <c r="N240" s="10" t="s">
        <v>1239</v>
      </c>
      <c r="O240" s="10"/>
    </row>
    <row r="241" spans="1:15" ht="18" customHeight="1" x14ac:dyDescent="0.3">
      <c r="A241" s="24">
        <v>240</v>
      </c>
      <c r="B241" s="10" t="s">
        <v>193</v>
      </c>
      <c r="C241" s="10" t="s">
        <v>13</v>
      </c>
      <c r="D241" s="62">
        <v>11</v>
      </c>
      <c r="E241" s="61" t="s">
        <v>2797</v>
      </c>
      <c r="F241" s="19" t="s">
        <v>2443</v>
      </c>
      <c r="G241" s="10" t="s">
        <v>150</v>
      </c>
      <c r="H241" s="10" t="s">
        <v>2444</v>
      </c>
      <c r="I241" s="62">
        <v>75</v>
      </c>
      <c r="J241" s="10" t="s">
        <v>1521</v>
      </c>
      <c r="K241" s="10" t="s">
        <v>1221</v>
      </c>
      <c r="L241" s="10" t="s">
        <v>1239</v>
      </c>
      <c r="M241" s="10" t="s">
        <v>1221</v>
      </c>
      <c r="N241" s="10" t="s">
        <v>1239</v>
      </c>
      <c r="O241" s="10"/>
    </row>
    <row r="242" spans="1:15" ht="18" customHeight="1" x14ac:dyDescent="0.3">
      <c r="A242" s="24">
        <v>241</v>
      </c>
      <c r="B242" s="10" t="s">
        <v>193</v>
      </c>
      <c r="C242" s="10" t="s">
        <v>13</v>
      </c>
      <c r="D242" s="62">
        <v>11</v>
      </c>
      <c r="E242" s="61" t="s">
        <v>2797</v>
      </c>
      <c r="F242" s="19" t="s">
        <v>1307</v>
      </c>
      <c r="G242" s="10" t="s">
        <v>150</v>
      </c>
      <c r="H242" s="10" t="s">
        <v>845</v>
      </c>
      <c r="I242" s="62">
        <v>269</v>
      </c>
      <c r="J242" s="10" t="s">
        <v>1221</v>
      </c>
      <c r="K242" s="10" t="s">
        <v>847</v>
      </c>
      <c r="L242" s="10" t="s">
        <v>1239</v>
      </c>
      <c r="M242" s="10" t="s">
        <v>1221</v>
      </c>
      <c r="N242" s="10" t="s">
        <v>1239</v>
      </c>
      <c r="O242" s="10"/>
    </row>
    <row r="243" spans="1:15" ht="18" customHeight="1" x14ac:dyDescent="0.3">
      <c r="A243" s="24">
        <v>242</v>
      </c>
      <c r="B243" s="10" t="s">
        <v>193</v>
      </c>
      <c r="C243" s="10" t="s">
        <v>13</v>
      </c>
      <c r="D243" s="62">
        <v>11</v>
      </c>
      <c r="E243" s="61" t="s">
        <v>2797</v>
      </c>
      <c r="F243" s="19" t="s">
        <v>1307</v>
      </c>
      <c r="G243" s="10" t="s">
        <v>150</v>
      </c>
      <c r="H243" s="10" t="s">
        <v>848</v>
      </c>
      <c r="I243" s="62">
        <v>269</v>
      </c>
      <c r="J243" s="10" t="s">
        <v>1521</v>
      </c>
      <c r="K243" s="10" t="s">
        <v>847</v>
      </c>
      <c r="L243" s="10" t="s">
        <v>1239</v>
      </c>
      <c r="M243" s="10" t="s">
        <v>1221</v>
      </c>
      <c r="N243" s="10" t="s">
        <v>1239</v>
      </c>
      <c r="O243" s="10"/>
    </row>
    <row r="244" spans="1:15" ht="18" customHeight="1" x14ac:dyDescent="0.3">
      <c r="A244" s="24">
        <v>243</v>
      </c>
      <c r="B244" s="10" t="s">
        <v>193</v>
      </c>
      <c r="C244" s="10" t="s">
        <v>14</v>
      </c>
      <c r="D244" s="62">
        <v>12</v>
      </c>
      <c r="E244" s="61" t="s">
        <v>2798</v>
      </c>
      <c r="F244" s="19" t="s">
        <v>390</v>
      </c>
      <c r="G244" s="10" t="s">
        <v>160</v>
      </c>
      <c r="H244" s="10" t="s">
        <v>845</v>
      </c>
      <c r="I244" s="62">
        <v>283</v>
      </c>
      <c r="J244" s="10" t="s">
        <v>1521</v>
      </c>
      <c r="K244" s="10" t="s">
        <v>847</v>
      </c>
      <c r="L244" s="10" t="s">
        <v>1239</v>
      </c>
      <c r="M244" s="10" t="s">
        <v>1221</v>
      </c>
      <c r="N244" s="10" t="s">
        <v>1239</v>
      </c>
      <c r="O244" s="10"/>
    </row>
    <row r="245" spans="1:15" ht="18" customHeight="1" x14ac:dyDescent="0.3">
      <c r="A245" s="24">
        <v>244</v>
      </c>
      <c r="B245" s="10" t="s">
        <v>193</v>
      </c>
      <c r="C245" s="10" t="s">
        <v>14</v>
      </c>
      <c r="D245" s="62">
        <v>12</v>
      </c>
      <c r="E245" s="61" t="s">
        <v>2798</v>
      </c>
      <c r="F245" s="19" t="s">
        <v>390</v>
      </c>
      <c r="G245" s="10" t="s">
        <v>160</v>
      </c>
      <c r="H245" s="10" t="s">
        <v>848</v>
      </c>
      <c r="I245" s="62">
        <v>93</v>
      </c>
      <c r="J245" s="10" t="s">
        <v>1221</v>
      </c>
      <c r="K245" s="10" t="s">
        <v>847</v>
      </c>
      <c r="L245" s="10" t="s">
        <v>1239</v>
      </c>
      <c r="M245" s="10" t="s">
        <v>1221</v>
      </c>
      <c r="N245" s="10" t="s">
        <v>1239</v>
      </c>
      <c r="O245" s="10"/>
    </row>
    <row r="246" spans="1:15" ht="18" customHeight="1" x14ac:dyDescent="0.3">
      <c r="A246" s="24">
        <v>245</v>
      </c>
      <c r="B246" s="10" t="s">
        <v>193</v>
      </c>
      <c r="C246" s="10" t="s">
        <v>14</v>
      </c>
      <c r="D246" s="62">
        <v>12</v>
      </c>
      <c r="E246" s="61" t="s">
        <v>2798</v>
      </c>
      <c r="F246" s="19" t="s">
        <v>390</v>
      </c>
      <c r="G246" s="10" t="s">
        <v>160</v>
      </c>
      <c r="H246" s="10" t="s">
        <v>849</v>
      </c>
      <c r="I246" s="62">
        <v>172</v>
      </c>
      <c r="J246" s="10" t="s">
        <v>1521</v>
      </c>
      <c r="K246" s="10" t="s">
        <v>847</v>
      </c>
      <c r="L246" s="10" t="s">
        <v>1239</v>
      </c>
      <c r="M246" s="10" t="s">
        <v>1221</v>
      </c>
      <c r="N246" s="10" t="s">
        <v>1239</v>
      </c>
      <c r="O246" s="10"/>
    </row>
    <row r="247" spans="1:15" ht="18" customHeight="1" x14ac:dyDescent="0.3">
      <c r="A247" s="24">
        <v>246</v>
      </c>
      <c r="B247" s="10" t="s">
        <v>193</v>
      </c>
      <c r="C247" s="10" t="s">
        <v>14</v>
      </c>
      <c r="D247" s="62">
        <v>12</v>
      </c>
      <c r="E247" s="61" t="s">
        <v>2798</v>
      </c>
      <c r="F247" s="19" t="s">
        <v>390</v>
      </c>
      <c r="G247" s="10" t="s">
        <v>160</v>
      </c>
      <c r="H247" s="10" t="s">
        <v>850</v>
      </c>
      <c r="I247" s="62">
        <v>162</v>
      </c>
      <c r="J247" s="10" t="s">
        <v>1221</v>
      </c>
      <c r="K247" s="10" t="s">
        <v>847</v>
      </c>
      <c r="L247" s="10" t="s">
        <v>1239</v>
      </c>
      <c r="M247" s="10" t="s">
        <v>1221</v>
      </c>
      <c r="N247" s="10" t="s">
        <v>1239</v>
      </c>
      <c r="O247" s="10"/>
    </row>
    <row r="248" spans="1:15" ht="18" customHeight="1" x14ac:dyDescent="0.3">
      <c r="A248" s="24">
        <v>247</v>
      </c>
      <c r="B248" s="10" t="s">
        <v>193</v>
      </c>
      <c r="C248" s="10" t="s">
        <v>14</v>
      </c>
      <c r="D248" s="62">
        <v>12</v>
      </c>
      <c r="E248" s="61" t="s">
        <v>2798</v>
      </c>
      <c r="F248" s="19" t="s">
        <v>390</v>
      </c>
      <c r="G248" s="10" t="s">
        <v>160</v>
      </c>
      <c r="H248" s="10" t="s">
        <v>851</v>
      </c>
      <c r="I248" s="62">
        <v>283</v>
      </c>
      <c r="J248" s="10" t="s">
        <v>1221</v>
      </c>
      <c r="K248" s="10" t="s">
        <v>847</v>
      </c>
      <c r="L248" s="10" t="s">
        <v>1239</v>
      </c>
      <c r="M248" s="10" t="s">
        <v>1221</v>
      </c>
      <c r="N248" s="10" t="s">
        <v>1239</v>
      </c>
      <c r="O248" s="10"/>
    </row>
    <row r="249" spans="1:15" ht="18" customHeight="1" x14ac:dyDescent="0.3">
      <c r="A249" s="24">
        <v>248</v>
      </c>
      <c r="B249" s="10" t="s">
        <v>193</v>
      </c>
      <c r="C249" s="10" t="s">
        <v>14</v>
      </c>
      <c r="D249" s="62">
        <v>12</v>
      </c>
      <c r="E249" s="61" t="s">
        <v>2798</v>
      </c>
      <c r="F249" s="19" t="s">
        <v>390</v>
      </c>
      <c r="G249" s="10" t="s">
        <v>160</v>
      </c>
      <c r="H249" s="10" t="s">
        <v>852</v>
      </c>
      <c r="I249" s="62">
        <v>93</v>
      </c>
      <c r="J249" s="10" t="s">
        <v>1221</v>
      </c>
      <c r="K249" s="10" t="s">
        <v>847</v>
      </c>
      <c r="L249" s="10" t="s">
        <v>1239</v>
      </c>
      <c r="M249" s="10" t="s">
        <v>1221</v>
      </c>
      <c r="N249" s="10" t="s">
        <v>1239</v>
      </c>
      <c r="O249" s="10"/>
    </row>
    <row r="250" spans="1:15" ht="18" customHeight="1" x14ac:dyDescent="0.3">
      <c r="A250" s="24">
        <v>249</v>
      </c>
      <c r="B250" s="10" t="s">
        <v>193</v>
      </c>
      <c r="C250" s="10" t="s">
        <v>14</v>
      </c>
      <c r="D250" s="62">
        <v>12</v>
      </c>
      <c r="E250" s="61" t="s">
        <v>2798</v>
      </c>
      <c r="F250" s="19" t="s">
        <v>390</v>
      </c>
      <c r="G250" s="10" t="s">
        <v>160</v>
      </c>
      <c r="H250" s="10" t="s">
        <v>853</v>
      </c>
      <c r="I250" s="62">
        <v>172</v>
      </c>
      <c r="J250" s="10" t="s">
        <v>1221</v>
      </c>
      <c r="K250" s="10" t="s">
        <v>847</v>
      </c>
      <c r="L250" s="10" t="s">
        <v>1239</v>
      </c>
      <c r="M250" s="10" t="s">
        <v>1221</v>
      </c>
      <c r="N250" s="10" t="s">
        <v>1239</v>
      </c>
      <c r="O250" s="10"/>
    </row>
    <row r="251" spans="1:15" ht="18" customHeight="1" x14ac:dyDescent="0.3">
      <c r="A251" s="24">
        <v>250</v>
      </c>
      <c r="B251" s="10" t="s">
        <v>193</v>
      </c>
      <c r="C251" s="10" t="s">
        <v>14</v>
      </c>
      <c r="D251" s="62">
        <v>12</v>
      </c>
      <c r="E251" s="61" t="s">
        <v>2798</v>
      </c>
      <c r="F251" s="19" t="s">
        <v>390</v>
      </c>
      <c r="G251" s="10" t="s">
        <v>160</v>
      </c>
      <c r="H251" s="10" t="s">
        <v>854</v>
      </c>
      <c r="I251" s="62">
        <v>148</v>
      </c>
      <c r="J251" s="10" t="s">
        <v>1521</v>
      </c>
      <c r="K251" s="10" t="s">
        <v>847</v>
      </c>
      <c r="L251" s="10" t="s">
        <v>1239</v>
      </c>
      <c r="M251" s="10" t="s">
        <v>1221</v>
      </c>
      <c r="N251" s="10" t="s">
        <v>1218</v>
      </c>
      <c r="O251" s="10"/>
    </row>
    <row r="252" spans="1:15" ht="18" customHeight="1" x14ac:dyDescent="0.3">
      <c r="A252" s="24">
        <v>251</v>
      </c>
      <c r="B252" s="10" t="s">
        <v>193</v>
      </c>
      <c r="C252" s="10" t="s">
        <v>14</v>
      </c>
      <c r="D252" s="62">
        <v>12</v>
      </c>
      <c r="E252" s="61" t="s">
        <v>2798</v>
      </c>
      <c r="F252" s="19" t="s">
        <v>390</v>
      </c>
      <c r="G252" s="10" t="s">
        <v>160</v>
      </c>
      <c r="H252" s="10" t="s">
        <v>855</v>
      </c>
      <c r="I252" s="62">
        <v>214</v>
      </c>
      <c r="J252" s="10" t="s">
        <v>1221</v>
      </c>
      <c r="K252" s="10" t="s">
        <v>847</v>
      </c>
      <c r="L252" s="10" t="s">
        <v>1239</v>
      </c>
      <c r="M252" s="10" t="s">
        <v>1221</v>
      </c>
      <c r="N252" s="10" t="s">
        <v>1239</v>
      </c>
      <c r="O252" s="10"/>
    </row>
    <row r="253" spans="1:15" ht="18" customHeight="1" x14ac:dyDescent="0.3">
      <c r="A253" s="24">
        <v>252</v>
      </c>
      <c r="B253" s="10" t="s">
        <v>193</v>
      </c>
      <c r="C253" s="10" t="s">
        <v>14</v>
      </c>
      <c r="D253" s="62">
        <v>12</v>
      </c>
      <c r="E253" s="61" t="s">
        <v>2445</v>
      </c>
      <c r="F253" s="16" t="s">
        <v>392</v>
      </c>
      <c r="G253" s="10" t="s">
        <v>150</v>
      </c>
      <c r="H253" s="10" t="s">
        <v>845</v>
      </c>
      <c r="I253" s="62">
        <v>240</v>
      </c>
      <c r="J253" s="8" t="s">
        <v>846</v>
      </c>
      <c r="K253" s="10" t="s">
        <v>847</v>
      </c>
      <c r="L253" s="10" t="s">
        <v>1239</v>
      </c>
      <c r="M253" s="10" t="s">
        <v>1221</v>
      </c>
      <c r="N253" s="10" t="s">
        <v>1239</v>
      </c>
      <c r="O253" s="10"/>
    </row>
    <row r="254" spans="1:15" ht="18" customHeight="1" x14ac:dyDescent="0.3">
      <c r="A254" s="24">
        <v>253</v>
      </c>
      <c r="B254" s="10" t="s">
        <v>193</v>
      </c>
      <c r="C254" s="10" t="s">
        <v>14</v>
      </c>
      <c r="D254" s="62">
        <v>12</v>
      </c>
      <c r="E254" s="61" t="s">
        <v>2445</v>
      </c>
      <c r="F254" s="16" t="s">
        <v>392</v>
      </c>
      <c r="G254" s="10" t="s">
        <v>150</v>
      </c>
      <c r="H254" s="10" t="s">
        <v>848</v>
      </c>
      <c r="I254" s="62">
        <v>138</v>
      </c>
      <c r="J254" s="8" t="s">
        <v>846</v>
      </c>
      <c r="K254" s="10" t="s">
        <v>847</v>
      </c>
      <c r="L254" s="10" t="s">
        <v>1239</v>
      </c>
      <c r="M254" s="10" t="s">
        <v>1221</v>
      </c>
      <c r="N254" s="10" t="s">
        <v>1239</v>
      </c>
      <c r="O254" s="10"/>
    </row>
    <row r="255" spans="1:15" ht="18" customHeight="1" x14ac:dyDescent="0.3">
      <c r="A255" s="24">
        <v>254</v>
      </c>
      <c r="B255" s="10" t="s">
        <v>193</v>
      </c>
      <c r="C255" s="10" t="s">
        <v>14</v>
      </c>
      <c r="D255" s="62">
        <v>12</v>
      </c>
      <c r="E255" s="61" t="s">
        <v>2445</v>
      </c>
      <c r="F255" s="16" t="s">
        <v>392</v>
      </c>
      <c r="G255" s="10" t="s">
        <v>150</v>
      </c>
      <c r="H255" s="10" t="s">
        <v>849</v>
      </c>
      <c r="I255" s="62">
        <v>116</v>
      </c>
      <c r="J255" s="8" t="s">
        <v>1221</v>
      </c>
      <c r="K255" s="10" t="s">
        <v>847</v>
      </c>
      <c r="L255" s="10" t="s">
        <v>1239</v>
      </c>
      <c r="M255" s="10" t="s">
        <v>1221</v>
      </c>
      <c r="N255" s="10" t="s">
        <v>1239</v>
      </c>
      <c r="O255" s="10"/>
    </row>
    <row r="256" spans="1:15" ht="18" customHeight="1" x14ac:dyDescent="0.3">
      <c r="A256" s="24">
        <v>255</v>
      </c>
      <c r="B256" s="10" t="s">
        <v>193</v>
      </c>
      <c r="C256" s="10" t="s">
        <v>14</v>
      </c>
      <c r="D256" s="62">
        <v>12</v>
      </c>
      <c r="E256" s="61" t="s">
        <v>2445</v>
      </c>
      <c r="F256" s="16" t="s">
        <v>392</v>
      </c>
      <c r="G256" s="10" t="s">
        <v>150</v>
      </c>
      <c r="H256" s="10" t="s">
        <v>850</v>
      </c>
      <c r="I256" s="62">
        <v>116</v>
      </c>
      <c r="J256" s="8" t="s">
        <v>846</v>
      </c>
      <c r="K256" s="10" t="s">
        <v>847</v>
      </c>
      <c r="L256" s="10" t="s">
        <v>1239</v>
      </c>
      <c r="M256" s="10" t="s">
        <v>1221</v>
      </c>
      <c r="N256" s="10" t="s">
        <v>1239</v>
      </c>
      <c r="O256" s="10"/>
    </row>
    <row r="257" spans="1:15" ht="18" customHeight="1" x14ac:dyDescent="0.3">
      <c r="A257" s="24">
        <v>256</v>
      </c>
      <c r="B257" s="10" t="s">
        <v>193</v>
      </c>
      <c r="C257" s="10" t="s">
        <v>14</v>
      </c>
      <c r="D257" s="62">
        <v>12</v>
      </c>
      <c r="E257" s="61" t="s">
        <v>2445</v>
      </c>
      <c r="F257" s="16" t="s">
        <v>392</v>
      </c>
      <c r="G257" s="10" t="s">
        <v>150</v>
      </c>
      <c r="H257" s="10" t="s">
        <v>851</v>
      </c>
      <c r="I257" s="62">
        <v>116</v>
      </c>
      <c r="J257" s="8" t="s">
        <v>1221</v>
      </c>
      <c r="K257" s="10" t="s">
        <v>847</v>
      </c>
      <c r="L257" s="10" t="s">
        <v>1239</v>
      </c>
      <c r="M257" s="10" t="s">
        <v>1221</v>
      </c>
      <c r="N257" s="10" t="s">
        <v>1239</v>
      </c>
      <c r="O257" s="10"/>
    </row>
    <row r="258" spans="1:15" ht="18" customHeight="1" x14ac:dyDescent="0.3">
      <c r="A258" s="24">
        <v>257</v>
      </c>
      <c r="B258" s="10" t="s">
        <v>193</v>
      </c>
      <c r="C258" s="10" t="s">
        <v>14</v>
      </c>
      <c r="D258" s="62">
        <v>12</v>
      </c>
      <c r="E258" s="61" t="s">
        <v>2445</v>
      </c>
      <c r="F258" s="16" t="s">
        <v>392</v>
      </c>
      <c r="G258" s="10" t="s">
        <v>150</v>
      </c>
      <c r="H258" s="10" t="s">
        <v>852</v>
      </c>
      <c r="I258" s="62">
        <v>116</v>
      </c>
      <c r="J258" s="8" t="s">
        <v>1221</v>
      </c>
      <c r="K258" s="10" t="s">
        <v>847</v>
      </c>
      <c r="L258" s="10" t="s">
        <v>1239</v>
      </c>
      <c r="M258" s="10" t="s">
        <v>1221</v>
      </c>
      <c r="N258" s="10" t="s">
        <v>1239</v>
      </c>
      <c r="O258" s="10"/>
    </row>
    <row r="259" spans="1:15" ht="18" customHeight="1" x14ac:dyDescent="0.3">
      <c r="A259" s="24">
        <v>258</v>
      </c>
      <c r="B259" s="10" t="s">
        <v>193</v>
      </c>
      <c r="C259" s="10" t="s">
        <v>14</v>
      </c>
      <c r="D259" s="62">
        <v>12</v>
      </c>
      <c r="E259" s="61" t="s">
        <v>2445</v>
      </c>
      <c r="F259" s="16" t="s">
        <v>392</v>
      </c>
      <c r="G259" s="10" t="s">
        <v>150</v>
      </c>
      <c r="H259" s="10" t="s">
        <v>853</v>
      </c>
      <c r="I259" s="62">
        <v>90</v>
      </c>
      <c r="J259" s="8" t="s">
        <v>1221</v>
      </c>
      <c r="K259" s="10" t="s">
        <v>847</v>
      </c>
      <c r="L259" s="10" t="s">
        <v>1239</v>
      </c>
      <c r="M259" s="10" t="s">
        <v>1221</v>
      </c>
      <c r="N259" s="10" t="s">
        <v>1239</v>
      </c>
      <c r="O259" s="10"/>
    </row>
    <row r="260" spans="1:15" ht="18" customHeight="1" x14ac:dyDescent="0.3">
      <c r="A260" s="24">
        <v>259</v>
      </c>
      <c r="B260" s="10" t="s">
        <v>193</v>
      </c>
      <c r="C260" s="10" t="s">
        <v>14</v>
      </c>
      <c r="D260" s="62">
        <v>12</v>
      </c>
      <c r="E260" s="61" t="s">
        <v>2445</v>
      </c>
      <c r="F260" s="16" t="s">
        <v>392</v>
      </c>
      <c r="G260" s="10" t="s">
        <v>150</v>
      </c>
      <c r="H260" s="10" t="s">
        <v>854</v>
      </c>
      <c r="I260" s="62">
        <v>404</v>
      </c>
      <c r="J260" s="8" t="s">
        <v>846</v>
      </c>
      <c r="K260" s="10" t="s">
        <v>1521</v>
      </c>
      <c r="L260" s="10" t="s">
        <v>2446</v>
      </c>
      <c r="M260" s="10" t="s">
        <v>1221</v>
      </c>
      <c r="N260" s="10" t="s">
        <v>1239</v>
      </c>
      <c r="O260" s="10" t="s">
        <v>2447</v>
      </c>
    </row>
    <row r="261" spans="1:15" ht="18" customHeight="1" x14ac:dyDescent="0.3">
      <c r="A261" s="24">
        <v>260</v>
      </c>
      <c r="B261" s="10" t="s">
        <v>193</v>
      </c>
      <c r="C261" s="10" t="s">
        <v>15</v>
      </c>
      <c r="D261" s="62">
        <v>13</v>
      </c>
      <c r="E261" s="61" t="s">
        <v>167</v>
      </c>
      <c r="F261" s="11" t="s">
        <v>1310</v>
      </c>
      <c r="G261" s="10" t="s">
        <v>1239</v>
      </c>
      <c r="H261" s="10" t="s">
        <v>845</v>
      </c>
      <c r="I261" s="62">
        <v>90</v>
      </c>
      <c r="J261" s="10" t="s">
        <v>1221</v>
      </c>
      <c r="K261" s="10" t="s">
        <v>847</v>
      </c>
      <c r="L261" s="10" t="s">
        <v>1239</v>
      </c>
      <c r="M261" s="10" t="s">
        <v>1521</v>
      </c>
      <c r="N261" s="10" t="s">
        <v>1234</v>
      </c>
      <c r="O261" s="10"/>
    </row>
    <row r="262" spans="1:15" ht="18" customHeight="1" x14ac:dyDescent="0.3">
      <c r="A262" s="24">
        <v>261</v>
      </c>
      <c r="B262" s="10" t="s">
        <v>193</v>
      </c>
      <c r="C262" s="10" t="s">
        <v>15</v>
      </c>
      <c r="D262" s="62">
        <v>13</v>
      </c>
      <c r="E262" s="61" t="s">
        <v>167</v>
      </c>
      <c r="F262" s="11" t="s">
        <v>1310</v>
      </c>
      <c r="G262" s="10" t="s">
        <v>1239</v>
      </c>
      <c r="H262" s="10" t="s">
        <v>848</v>
      </c>
      <c r="I262" s="62">
        <v>52</v>
      </c>
      <c r="J262" s="10" t="s">
        <v>1221</v>
      </c>
      <c r="K262" s="10" t="s">
        <v>847</v>
      </c>
      <c r="L262" s="10" t="s">
        <v>1239</v>
      </c>
      <c r="M262" s="10" t="s">
        <v>1521</v>
      </c>
      <c r="N262" s="10" t="s">
        <v>2389</v>
      </c>
      <c r="O262" s="10"/>
    </row>
    <row r="263" spans="1:15" ht="18" customHeight="1" x14ac:dyDescent="0.3">
      <c r="A263" s="24">
        <v>262</v>
      </c>
      <c r="B263" s="10" t="s">
        <v>193</v>
      </c>
      <c r="C263" s="10" t="s">
        <v>15</v>
      </c>
      <c r="D263" s="62">
        <v>13</v>
      </c>
      <c r="E263" s="61" t="s">
        <v>2799</v>
      </c>
      <c r="F263" s="19" t="s">
        <v>1054</v>
      </c>
      <c r="G263" s="10" t="s">
        <v>150</v>
      </c>
      <c r="H263" s="10" t="s">
        <v>2378</v>
      </c>
      <c r="I263" s="171">
        <v>205</v>
      </c>
      <c r="J263" s="10" t="s">
        <v>1221</v>
      </c>
      <c r="K263" s="10" t="s">
        <v>847</v>
      </c>
      <c r="L263" s="10" t="s">
        <v>1239</v>
      </c>
      <c r="M263" s="10" t="s">
        <v>1221</v>
      </c>
      <c r="N263" s="10" t="s">
        <v>1239</v>
      </c>
      <c r="O263" s="10"/>
    </row>
    <row r="264" spans="1:15" ht="18" customHeight="1" x14ac:dyDescent="0.3">
      <c r="A264" s="24">
        <v>263</v>
      </c>
      <c r="B264" s="10" t="s">
        <v>193</v>
      </c>
      <c r="C264" s="10" t="s">
        <v>15</v>
      </c>
      <c r="D264" s="62">
        <v>13</v>
      </c>
      <c r="E264" s="61" t="s">
        <v>2799</v>
      </c>
      <c r="F264" s="19" t="s">
        <v>1054</v>
      </c>
      <c r="G264" s="10" t="s">
        <v>150</v>
      </c>
      <c r="H264" s="10" t="s">
        <v>849</v>
      </c>
      <c r="I264" s="62">
        <v>205</v>
      </c>
      <c r="J264" s="10" t="s">
        <v>1521</v>
      </c>
      <c r="K264" s="10" t="s">
        <v>847</v>
      </c>
      <c r="L264" s="10" t="s">
        <v>1239</v>
      </c>
      <c r="M264" s="10" t="s">
        <v>1221</v>
      </c>
      <c r="N264" s="10" t="s">
        <v>1239</v>
      </c>
      <c r="O264" s="10"/>
    </row>
    <row r="265" spans="1:15" ht="18" customHeight="1" x14ac:dyDescent="0.3">
      <c r="A265" s="24">
        <v>264</v>
      </c>
      <c r="B265" s="10" t="s">
        <v>193</v>
      </c>
      <c r="C265" s="10" t="s">
        <v>15</v>
      </c>
      <c r="D265" s="62">
        <v>13</v>
      </c>
      <c r="E265" s="61" t="s">
        <v>2799</v>
      </c>
      <c r="F265" s="19" t="s">
        <v>1054</v>
      </c>
      <c r="G265" s="10" t="s">
        <v>150</v>
      </c>
      <c r="H265" s="10" t="s">
        <v>851</v>
      </c>
      <c r="I265" s="62">
        <v>127</v>
      </c>
      <c r="J265" s="10" t="s">
        <v>1521</v>
      </c>
      <c r="K265" s="10" t="s">
        <v>847</v>
      </c>
      <c r="L265" s="10" t="s">
        <v>1239</v>
      </c>
      <c r="M265" s="10" t="s">
        <v>1221</v>
      </c>
      <c r="N265" s="10" t="s">
        <v>1239</v>
      </c>
      <c r="O265" s="10"/>
    </row>
    <row r="266" spans="1:15" ht="18" customHeight="1" x14ac:dyDescent="0.3">
      <c r="A266" s="24">
        <v>265</v>
      </c>
      <c r="B266" s="10" t="s">
        <v>193</v>
      </c>
      <c r="C266" s="10" t="s">
        <v>15</v>
      </c>
      <c r="D266" s="62">
        <v>13</v>
      </c>
      <c r="E266" s="61" t="s">
        <v>2799</v>
      </c>
      <c r="F266" s="19" t="s">
        <v>1054</v>
      </c>
      <c r="G266" s="10" t="s">
        <v>150</v>
      </c>
      <c r="H266" s="10" t="s">
        <v>2431</v>
      </c>
      <c r="I266" s="62">
        <v>127</v>
      </c>
      <c r="J266" s="10" t="s">
        <v>1221</v>
      </c>
      <c r="K266" s="10" t="s">
        <v>1221</v>
      </c>
      <c r="L266" s="10" t="s">
        <v>1239</v>
      </c>
      <c r="M266" s="10" t="s">
        <v>1221</v>
      </c>
      <c r="N266" s="10" t="s">
        <v>1239</v>
      </c>
      <c r="O266" s="10"/>
    </row>
    <row r="267" spans="1:15" ht="18" customHeight="1" x14ac:dyDescent="0.3">
      <c r="A267" s="24">
        <v>266</v>
      </c>
      <c r="B267" s="10" t="s">
        <v>193</v>
      </c>
      <c r="C267" s="10" t="s">
        <v>15</v>
      </c>
      <c r="D267" s="62">
        <v>13</v>
      </c>
      <c r="E267" s="61" t="s">
        <v>2799</v>
      </c>
      <c r="F267" s="19" t="s">
        <v>1054</v>
      </c>
      <c r="G267" s="10" t="s">
        <v>150</v>
      </c>
      <c r="H267" s="10" t="s">
        <v>869</v>
      </c>
      <c r="I267" s="62">
        <v>93</v>
      </c>
      <c r="J267" s="10" t="s">
        <v>1221</v>
      </c>
      <c r="K267" s="10" t="s">
        <v>847</v>
      </c>
      <c r="L267" s="10" t="s">
        <v>1239</v>
      </c>
      <c r="M267" s="10" t="s">
        <v>1521</v>
      </c>
      <c r="N267" s="10" t="s">
        <v>1256</v>
      </c>
      <c r="O267" s="10"/>
    </row>
    <row r="268" spans="1:15" ht="18" customHeight="1" x14ac:dyDescent="0.3">
      <c r="A268" s="24">
        <v>267</v>
      </c>
      <c r="B268" s="10" t="s">
        <v>193</v>
      </c>
      <c r="C268" s="10" t="s">
        <v>15</v>
      </c>
      <c r="D268" s="62">
        <v>13</v>
      </c>
      <c r="E268" s="61" t="s">
        <v>2799</v>
      </c>
      <c r="F268" s="19" t="s">
        <v>2448</v>
      </c>
      <c r="G268" s="10" t="s">
        <v>150</v>
      </c>
      <c r="H268" s="10" t="s">
        <v>850</v>
      </c>
      <c r="I268" s="62">
        <v>132</v>
      </c>
      <c r="J268" s="10" t="s">
        <v>1221</v>
      </c>
      <c r="K268" s="10" t="s">
        <v>846</v>
      </c>
      <c r="L268" s="10" t="s">
        <v>985</v>
      </c>
      <c r="M268" s="10" t="s">
        <v>1221</v>
      </c>
      <c r="N268" s="10" t="s">
        <v>1239</v>
      </c>
      <c r="O268" s="10"/>
    </row>
    <row r="269" spans="1:15" ht="18" customHeight="1" x14ac:dyDescent="0.3">
      <c r="A269" s="24">
        <v>268</v>
      </c>
      <c r="B269" s="10" t="s">
        <v>193</v>
      </c>
      <c r="C269" s="10" t="s">
        <v>15</v>
      </c>
      <c r="D269" s="62">
        <v>13</v>
      </c>
      <c r="E269" s="61" t="s">
        <v>2799</v>
      </c>
      <c r="F269" s="19" t="s">
        <v>2448</v>
      </c>
      <c r="G269" s="10" t="s">
        <v>150</v>
      </c>
      <c r="H269" s="10" t="s">
        <v>852</v>
      </c>
      <c r="I269" s="62">
        <v>108</v>
      </c>
      <c r="J269" s="10" t="s">
        <v>1521</v>
      </c>
      <c r="K269" s="10" t="s">
        <v>1521</v>
      </c>
      <c r="L269" s="10" t="s">
        <v>188</v>
      </c>
      <c r="M269" s="10" t="s">
        <v>1221</v>
      </c>
      <c r="N269" s="10" t="s">
        <v>1239</v>
      </c>
      <c r="O269" s="10"/>
    </row>
    <row r="270" spans="1:15" ht="18" customHeight="1" x14ac:dyDescent="0.3">
      <c r="A270" s="24">
        <v>269</v>
      </c>
      <c r="B270" s="10" t="s">
        <v>193</v>
      </c>
      <c r="C270" s="10" t="s">
        <v>15</v>
      </c>
      <c r="D270" s="62">
        <v>13</v>
      </c>
      <c r="E270" s="61" t="s">
        <v>2799</v>
      </c>
      <c r="F270" s="19" t="s">
        <v>367</v>
      </c>
      <c r="G270" s="10" t="s">
        <v>150</v>
      </c>
      <c r="H270" s="10" t="s">
        <v>845</v>
      </c>
      <c r="I270" s="171">
        <v>304</v>
      </c>
      <c r="J270" s="10" t="s">
        <v>1521</v>
      </c>
      <c r="K270" s="10" t="s">
        <v>847</v>
      </c>
      <c r="L270" s="10" t="s">
        <v>1239</v>
      </c>
      <c r="M270" s="10" t="s">
        <v>1221</v>
      </c>
      <c r="N270" s="10" t="s">
        <v>1239</v>
      </c>
      <c r="O270" s="10"/>
    </row>
    <row r="271" spans="1:15" ht="18" customHeight="1" x14ac:dyDescent="0.3">
      <c r="A271" s="24">
        <v>270</v>
      </c>
      <c r="B271" s="10" t="s">
        <v>193</v>
      </c>
      <c r="C271" s="10" t="s">
        <v>15</v>
      </c>
      <c r="D271" s="62">
        <v>13</v>
      </c>
      <c r="E271" s="61" t="s">
        <v>165</v>
      </c>
      <c r="F271" s="11" t="s">
        <v>368</v>
      </c>
      <c r="G271" s="10" t="s">
        <v>150</v>
      </c>
      <c r="H271" s="10" t="s">
        <v>848</v>
      </c>
      <c r="I271" s="62">
        <v>218</v>
      </c>
      <c r="J271" s="10" t="s">
        <v>1221</v>
      </c>
      <c r="K271" s="10" t="s">
        <v>847</v>
      </c>
      <c r="L271" s="10" t="s">
        <v>1239</v>
      </c>
      <c r="M271" s="10" t="s">
        <v>1221</v>
      </c>
      <c r="N271" s="10" t="s">
        <v>1239</v>
      </c>
      <c r="O271" s="10"/>
    </row>
    <row r="272" spans="1:15" ht="18" customHeight="1" x14ac:dyDescent="0.3">
      <c r="A272" s="24">
        <v>271</v>
      </c>
      <c r="B272" s="10" t="s">
        <v>193</v>
      </c>
      <c r="C272" s="10" t="s">
        <v>15</v>
      </c>
      <c r="D272" s="62">
        <v>13</v>
      </c>
      <c r="E272" s="61" t="s">
        <v>165</v>
      </c>
      <c r="F272" s="11" t="s">
        <v>368</v>
      </c>
      <c r="G272" s="10" t="s">
        <v>150</v>
      </c>
      <c r="H272" s="10" t="s">
        <v>849</v>
      </c>
      <c r="I272" s="62">
        <v>319</v>
      </c>
      <c r="J272" s="10" t="s">
        <v>1221</v>
      </c>
      <c r="K272" s="10" t="s">
        <v>847</v>
      </c>
      <c r="L272" s="10" t="s">
        <v>1239</v>
      </c>
      <c r="M272" s="10" t="s">
        <v>1221</v>
      </c>
      <c r="N272" s="10" t="s">
        <v>1239</v>
      </c>
      <c r="O272" s="10"/>
    </row>
    <row r="273" spans="1:15" ht="18" customHeight="1" x14ac:dyDescent="0.3">
      <c r="A273" s="24">
        <v>272</v>
      </c>
      <c r="B273" s="10" t="s">
        <v>193</v>
      </c>
      <c r="C273" s="10" t="s">
        <v>15</v>
      </c>
      <c r="D273" s="62">
        <v>13</v>
      </c>
      <c r="E273" s="61" t="s">
        <v>165</v>
      </c>
      <c r="F273" s="11" t="s">
        <v>368</v>
      </c>
      <c r="G273" s="10" t="s">
        <v>150</v>
      </c>
      <c r="H273" s="10" t="s">
        <v>851</v>
      </c>
      <c r="I273" s="62">
        <v>190</v>
      </c>
      <c r="J273" s="10" t="s">
        <v>1221</v>
      </c>
      <c r="K273" s="10" t="s">
        <v>847</v>
      </c>
      <c r="L273" s="10" t="s">
        <v>1239</v>
      </c>
      <c r="M273" s="10" t="s">
        <v>1221</v>
      </c>
      <c r="N273" s="10" t="s">
        <v>1239</v>
      </c>
      <c r="O273" s="10"/>
    </row>
    <row r="274" spans="1:15" ht="18" customHeight="1" x14ac:dyDescent="0.3">
      <c r="A274" s="24">
        <v>273</v>
      </c>
      <c r="B274" s="10" t="s">
        <v>193</v>
      </c>
      <c r="C274" s="10" t="s">
        <v>15</v>
      </c>
      <c r="D274" s="62">
        <v>13</v>
      </c>
      <c r="E274" s="61" t="s">
        <v>165</v>
      </c>
      <c r="F274" s="11" t="s">
        <v>368</v>
      </c>
      <c r="G274" s="10" t="s">
        <v>150</v>
      </c>
      <c r="H274" s="10" t="s">
        <v>852</v>
      </c>
      <c r="I274" s="62">
        <v>190</v>
      </c>
      <c r="J274" s="10" t="s">
        <v>1521</v>
      </c>
      <c r="K274" s="10" t="s">
        <v>847</v>
      </c>
      <c r="L274" s="10" t="s">
        <v>1239</v>
      </c>
      <c r="M274" s="10" t="s">
        <v>1221</v>
      </c>
      <c r="N274" s="10" t="s">
        <v>1239</v>
      </c>
      <c r="O274" s="10"/>
    </row>
    <row r="275" spans="1:15" ht="18" customHeight="1" x14ac:dyDescent="0.3">
      <c r="A275" s="24">
        <v>274</v>
      </c>
      <c r="B275" s="10" t="s">
        <v>193</v>
      </c>
      <c r="C275" s="10" t="s">
        <v>15</v>
      </c>
      <c r="D275" s="62">
        <v>13</v>
      </c>
      <c r="E275" s="61" t="s">
        <v>165</v>
      </c>
      <c r="F275" s="11" t="s">
        <v>368</v>
      </c>
      <c r="G275" s="10" t="s">
        <v>150</v>
      </c>
      <c r="H275" s="10" t="s">
        <v>853</v>
      </c>
      <c r="I275" s="62">
        <v>188</v>
      </c>
      <c r="J275" s="10" t="s">
        <v>1221</v>
      </c>
      <c r="K275" s="10" t="s">
        <v>847</v>
      </c>
      <c r="L275" s="10" t="s">
        <v>1239</v>
      </c>
      <c r="M275" s="10" t="s">
        <v>1221</v>
      </c>
      <c r="N275" s="10" t="s">
        <v>1239</v>
      </c>
      <c r="O275" s="10"/>
    </row>
    <row r="276" spans="1:15" ht="18" customHeight="1" x14ac:dyDescent="0.3">
      <c r="A276" s="24">
        <v>275</v>
      </c>
      <c r="B276" s="10" t="s">
        <v>193</v>
      </c>
      <c r="C276" s="10" t="s">
        <v>15</v>
      </c>
      <c r="D276" s="62">
        <v>13</v>
      </c>
      <c r="E276" s="61" t="s">
        <v>165</v>
      </c>
      <c r="F276" s="11" t="s">
        <v>368</v>
      </c>
      <c r="G276" s="10" t="s">
        <v>150</v>
      </c>
      <c r="H276" s="10" t="s">
        <v>854</v>
      </c>
      <c r="I276" s="62">
        <v>87</v>
      </c>
      <c r="J276" s="10" t="s">
        <v>1221</v>
      </c>
      <c r="K276" s="10" t="s">
        <v>847</v>
      </c>
      <c r="L276" s="10" t="s">
        <v>1239</v>
      </c>
      <c r="M276" s="10" t="s">
        <v>1221</v>
      </c>
      <c r="N276" s="10" t="s">
        <v>1239</v>
      </c>
      <c r="O276" s="10"/>
    </row>
    <row r="277" spans="1:15" ht="18" customHeight="1" x14ac:dyDescent="0.3">
      <c r="A277" s="24">
        <v>276</v>
      </c>
      <c r="B277" s="10" t="s">
        <v>193</v>
      </c>
      <c r="C277" s="10" t="s">
        <v>15</v>
      </c>
      <c r="D277" s="62">
        <v>13</v>
      </c>
      <c r="E277" s="61" t="s">
        <v>165</v>
      </c>
      <c r="F277" s="11" t="s">
        <v>2449</v>
      </c>
      <c r="G277" s="10" t="s">
        <v>150</v>
      </c>
      <c r="H277" s="10" t="s">
        <v>845</v>
      </c>
      <c r="I277" s="62">
        <v>400</v>
      </c>
      <c r="J277" s="10" t="s">
        <v>1221</v>
      </c>
      <c r="K277" s="10" t="s">
        <v>1521</v>
      </c>
      <c r="L277" s="10" t="s">
        <v>1422</v>
      </c>
      <c r="M277" s="10" t="s">
        <v>1221</v>
      </c>
      <c r="N277" s="10" t="s">
        <v>1239</v>
      </c>
      <c r="O277" s="10"/>
    </row>
    <row r="278" spans="1:15" ht="18" customHeight="1" x14ac:dyDescent="0.3">
      <c r="A278" s="24">
        <v>277</v>
      </c>
      <c r="B278" s="10" t="s">
        <v>193</v>
      </c>
      <c r="C278" s="10" t="s">
        <v>15</v>
      </c>
      <c r="D278" s="62">
        <v>13</v>
      </c>
      <c r="E278" s="61" t="s">
        <v>165</v>
      </c>
      <c r="F278" s="11" t="s">
        <v>2449</v>
      </c>
      <c r="G278" s="10" t="s">
        <v>150</v>
      </c>
      <c r="H278" s="10" t="s">
        <v>850</v>
      </c>
      <c r="I278" s="62">
        <v>102</v>
      </c>
      <c r="J278" s="10" t="s">
        <v>1221</v>
      </c>
      <c r="K278" s="10" t="s">
        <v>1521</v>
      </c>
      <c r="L278" s="10" t="s">
        <v>1422</v>
      </c>
      <c r="M278" s="10" t="s">
        <v>1221</v>
      </c>
      <c r="N278" s="10" t="s">
        <v>1239</v>
      </c>
      <c r="O278" s="10"/>
    </row>
    <row r="279" spans="1:15" ht="18" customHeight="1" x14ac:dyDescent="0.3">
      <c r="A279" s="24">
        <v>278</v>
      </c>
      <c r="B279" s="10" t="s">
        <v>193</v>
      </c>
      <c r="C279" s="10" t="s">
        <v>15</v>
      </c>
      <c r="D279" s="62">
        <v>13</v>
      </c>
      <c r="E279" s="61" t="s">
        <v>2450</v>
      </c>
      <c r="F279" s="11" t="s">
        <v>2451</v>
      </c>
      <c r="G279" s="10" t="s">
        <v>1239</v>
      </c>
      <c r="H279" s="10" t="s">
        <v>2452</v>
      </c>
      <c r="I279" s="177">
        <v>40</v>
      </c>
      <c r="J279" s="10" t="s">
        <v>1221</v>
      </c>
      <c r="K279" s="10" t="s">
        <v>847</v>
      </c>
      <c r="L279" s="10" t="s">
        <v>1239</v>
      </c>
      <c r="M279" s="10" t="s">
        <v>1521</v>
      </c>
      <c r="N279" s="10" t="s">
        <v>2452</v>
      </c>
      <c r="O279" s="9"/>
    </row>
    <row r="280" spans="1:15" ht="18" customHeight="1" x14ac:dyDescent="0.3">
      <c r="A280" s="24">
        <v>279</v>
      </c>
      <c r="B280" s="10" t="s">
        <v>193</v>
      </c>
      <c r="C280" s="10" t="s">
        <v>15</v>
      </c>
      <c r="D280" s="62">
        <v>13</v>
      </c>
      <c r="E280" s="61" t="s">
        <v>2453</v>
      </c>
      <c r="F280" s="11" t="s">
        <v>1324</v>
      </c>
      <c r="G280" s="10" t="s">
        <v>1239</v>
      </c>
      <c r="H280" s="10" t="s">
        <v>2385</v>
      </c>
      <c r="I280" s="62">
        <v>138</v>
      </c>
      <c r="J280" s="10" t="s">
        <v>1221</v>
      </c>
      <c r="K280" s="10" t="s">
        <v>847</v>
      </c>
      <c r="L280" s="10" t="s">
        <v>1239</v>
      </c>
      <c r="M280" s="10" t="s">
        <v>1521</v>
      </c>
      <c r="N280" s="10" t="s">
        <v>1234</v>
      </c>
      <c r="O280" s="9"/>
    </row>
    <row r="281" spans="1:15" ht="18" customHeight="1" x14ac:dyDescent="0.3">
      <c r="A281" s="24">
        <v>280</v>
      </c>
      <c r="B281" s="10" t="s">
        <v>193</v>
      </c>
      <c r="C281" s="10" t="s">
        <v>15</v>
      </c>
      <c r="D281" s="62">
        <v>13</v>
      </c>
      <c r="E281" s="61" t="s">
        <v>2453</v>
      </c>
      <c r="F281" s="11" t="s">
        <v>1324</v>
      </c>
      <c r="G281" s="10" t="s">
        <v>1239</v>
      </c>
      <c r="H281" s="10" t="s">
        <v>2378</v>
      </c>
      <c r="I281" s="62">
        <v>138</v>
      </c>
      <c r="J281" s="10" t="s">
        <v>1521</v>
      </c>
      <c r="K281" s="10" t="s">
        <v>847</v>
      </c>
      <c r="L281" s="10" t="s">
        <v>1239</v>
      </c>
      <c r="M281" s="10" t="s">
        <v>1521</v>
      </c>
      <c r="N281" s="10" t="s">
        <v>2389</v>
      </c>
      <c r="O281" s="9"/>
    </row>
    <row r="282" spans="1:15" ht="18" customHeight="1" x14ac:dyDescent="0.3">
      <c r="A282" s="24">
        <v>281</v>
      </c>
      <c r="B282" s="10" t="s">
        <v>193</v>
      </c>
      <c r="C282" s="10" t="s">
        <v>16</v>
      </c>
      <c r="D282" s="62">
        <v>14</v>
      </c>
      <c r="E282" s="61" t="s">
        <v>877</v>
      </c>
      <c r="F282" s="16" t="s">
        <v>2454</v>
      </c>
      <c r="G282" s="10" t="s">
        <v>150</v>
      </c>
      <c r="H282" s="10" t="s">
        <v>845</v>
      </c>
      <c r="I282" s="62">
        <v>160</v>
      </c>
      <c r="J282" s="10" t="s">
        <v>1221</v>
      </c>
      <c r="K282" s="10" t="s">
        <v>847</v>
      </c>
      <c r="L282" s="10" t="s">
        <v>1239</v>
      </c>
      <c r="M282" s="10" t="s">
        <v>1221</v>
      </c>
      <c r="N282" s="10" t="s">
        <v>1239</v>
      </c>
      <c r="O282" s="10"/>
    </row>
    <row r="283" spans="1:15" ht="18" customHeight="1" x14ac:dyDescent="0.3">
      <c r="A283" s="24">
        <v>282</v>
      </c>
      <c r="B283" s="10" t="s">
        <v>193</v>
      </c>
      <c r="C283" s="10" t="s">
        <v>16</v>
      </c>
      <c r="D283" s="62">
        <v>14</v>
      </c>
      <c r="E283" s="61" t="s">
        <v>877</v>
      </c>
      <c r="F283" s="16" t="s">
        <v>2454</v>
      </c>
      <c r="G283" s="10" t="s">
        <v>150</v>
      </c>
      <c r="H283" s="10" t="s">
        <v>848</v>
      </c>
      <c r="I283" s="62">
        <v>170</v>
      </c>
      <c r="J283" s="10" t="s">
        <v>1221</v>
      </c>
      <c r="K283" s="10" t="s">
        <v>847</v>
      </c>
      <c r="L283" s="10" t="s">
        <v>1239</v>
      </c>
      <c r="M283" s="10" t="s">
        <v>1221</v>
      </c>
      <c r="N283" s="10" t="s">
        <v>1239</v>
      </c>
      <c r="O283" s="10"/>
    </row>
    <row r="284" spans="1:15" ht="18" customHeight="1" x14ac:dyDescent="0.3">
      <c r="A284" s="24">
        <v>283</v>
      </c>
      <c r="B284" s="10" t="s">
        <v>193</v>
      </c>
      <c r="C284" s="10" t="s">
        <v>16</v>
      </c>
      <c r="D284" s="62">
        <v>14</v>
      </c>
      <c r="E284" s="61" t="s">
        <v>877</v>
      </c>
      <c r="F284" s="16" t="s">
        <v>1053</v>
      </c>
      <c r="G284" s="10" t="s">
        <v>150</v>
      </c>
      <c r="H284" s="10" t="s">
        <v>849</v>
      </c>
      <c r="I284" s="62">
        <v>113</v>
      </c>
      <c r="J284" s="10" t="s">
        <v>1221</v>
      </c>
      <c r="K284" s="10" t="s">
        <v>847</v>
      </c>
      <c r="L284" s="10" t="s">
        <v>1239</v>
      </c>
      <c r="M284" s="10" t="s">
        <v>1221</v>
      </c>
      <c r="N284" s="10" t="s">
        <v>1239</v>
      </c>
      <c r="O284" s="10"/>
    </row>
    <row r="285" spans="1:15" ht="18" customHeight="1" x14ac:dyDescent="0.3">
      <c r="A285" s="24">
        <v>284</v>
      </c>
      <c r="B285" s="10" t="s">
        <v>193</v>
      </c>
      <c r="C285" s="10" t="s">
        <v>16</v>
      </c>
      <c r="D285" s="62">
        <v>14</v>
      </c>
      <c r="E285" s="61" t="s">
        <v>877</v>
      </c>
      <c r="F285" s="16" t="s">
        <v>1053</v>
      </c>
      <c r="G285" s="10" t="s">
        <v>150</v>
      </c>
      <c r="H285" s="10" t="s">
        <v>850</v>
      </c>
      <c r="I285" s="62">
        <v>170</v>
      </c>
      <c r="J285" s="10" t="s">
        <v>1221</v>
      </c>
      <c r="K285" s="10" t="s">
        <v>847</v>
      </c>
      <c r="L285" s="10" t="s">
        <v>1239</v>
      </c>
      <c r="M285" s="10" t="s">
        <v>1221</v>
      </c>
      <c r="N285" s="10" t="s">
        <v>1239</v>
      </c>
      <c r="O285" s="10"/>
    </row>
    <row r="286" spans="1:15" ht="18" customHeight="1" x14ac:dyDescent="0.3">
      <c r="A286" s="24">
        <v>285</v>
      </c>
      <c r="B286" s="10" t="s">
        <v>193</v>
      </c>
      <c r="C286" s="10" t="s">
        <v>16</v>
      </c>
      <c r="D286" s="62">
        <v>14</v>
      </c>
      <c r="E286" s="61" t="s">
        <v>877</v>
      </c>
      <c r="F286" s="16" t="s">
        <v>1053</v>
      </c>
      <c r="G286" s="10" t="s">
        <v>150</v>
      </c>
      <c r="H286" s="10" t="s">
        <v>851</v>
      </c>
      <c r="I286" s="62">
        <v>113</v>
      </c>
      <c r="J286" s="10" t="s">
        <v>1221</v>
      </c>
      <c r="K286" s="10" t="s">
        <v>847</v>
      </c>
      <c r="L286" s="10" t="s">
        <v>1239</v>
      </c>
      <c r="M286" s="10" t="s">
        <v>1221</v>
      </c>
      <c r="N286" s="10" t="s">
        <v>1239</v>
      </c>
      <c r="O286" s="10"/>
    </row>
    <row r="287" spans="1:15" ht="18" customHeight="1" x14ac:dyDescent="0.3">
      <c r="A287" s="24">
        <v>286</v>
      </c>
      <c r="B287" s="10" t="s">
        <v>193</v>
      </c>
      <c r="C287" s="10" t="s">
        <v>16</v>
      </c>
      <c r="D287" s="62">
        <v>14</v>
      </c>
      <c r="E287" s="61" t="s">
        <v>2800</v>
      </c>
      <c r="F287" s="19" t="s">
        <v>1052</v>
      </c>
      <c r="G287" s="10" t="s">
        <v>150</v>
      </c>
      <c r="H287" s="10" t="s">
        <v>850</v>
      </c>
      <c r="I287" s="62">
        <v>134</v>
      </c>
      <c r="J287" s="10" t="s">
        <v>1221</v>
      </c>
      <c r="K287" s="10" t="s">
        <v>847</v>
      </c>
      <c r="L287" s="10" t="s">
        <v>1239</v>
      </c>
      <c r="M287" s="10" t="s">
        <v>1221</v>
      </c>
      <c r="N287" s="10" t="s">
        <v>1239</v>
      </c>
      <c r="O287" s="10"/>
    </row>
    <row r="288" spans="1:15" ht="18" customHeight="1" x14ac:dyDescent="0.3">
      <c r="A288" s="24">
        <v>287</v>
      </c>
      <c r="B288" s="10" t="s">
        <v>193</v>
      </c>
      <c r="C288" s="10" t="s">
        <v>16</v>
      </c>
      <c r="D288" s="62">
        <v>14</v>
      </c>
      <c r="E288" s="61" t="s">
        <v>2800</v>
      </c>
      <c r="F288" s="19" t="s">
        <v>1052</v>
      </c>
      <c r="G288" s="10" t="s">
        <v>150</v>
      </c>
      <c r="H288" s="10" t="s">
        <v>852</v>
      </c>
      <c r="I288" s="62">
        <v>134</v>
      </c>
      <c r="J288" s="10" t="s">
        <v>1521</v>
      </c>
      <c r="K288" s="10" t="s">
        <v>847</v>
      </c>
      <c r="L288" s="10" t="s">
        <v>1239</v>
      </c>
      <c r="M288" s="10" t="s">
        <v>1221</v>
      </c>
      <c r="N288" s="10" t="s">
        <v>1239</v>
      </c>
      <c r="O288" s="10"/>
    </row>
    <row r="289" spans="1:15" ht="18" customHeight="1" x14ac:dyDescent="0.3">
      <c r="A289" s="24">
        <v>288</v>
      </c>
      <c r="B289" s="10" t="s">
        <v>193</v>
      </c>
      <c r="C289" s="10" t="s">
        <v>16</v>
      </c>
      <c r="D289" s="62">
        <v>14</v>
      </c>
      <c r="E289" s="61" t="s">
        <v>2800</v>
      </c>
      <c r="F289" s="19" t="s">
        <v>2455</v>
      </c>
      <c r="G289" s="10" t="s">
        <v>150</v>
      </c>
      <c r="H289" s="10" t="s">
        <v>851</v>
      </c>
      <c r="I289" s="62">
        <v>178</v>
      </c>
      <c r="J289" s="10" t="s">
        <v>1221</v>
      </c>
      <c r="K289" s="10" t="s">
        <v>846</v>
      </c>
      <c r="L289" s="10" t="s">
        <v>985</v>
      </c>
      <c r="M289" s="10" t="s">
        <v>1221</v>
      </c>
      <c r="N289" s="10" t="s">
        <v>1239</v>
      </c>
      <c r="O289" s="10"/>
    </row>
    <row r="290" spans="1:15" ht="18" customHeight="1" x14ac:dyDescent="0.3">
      <c r="A290" s="24">
        <v>289</v>
      </c>
      <c r="B290" s="10" t="s">
        <v>193</v>
      </c>
      <c r="C290" s="10" t="s">
        <v>16</v>
      </c>
      <c r="D290" s="62">
        <v>14</v>
      </c>
      <c r="E290" s="61" t="s">
        <v>2800</v>
      </c>
      <c r="F290" s="19" t="s">
        <v>2455</v>
      </c>
      <c r="G290" s="10" t="s">
        <v>150</v>
      </c>
      <c r="H290" s="10" t="s">
        <v>849</v>
      </c>
      <c r="I290" s="62">
        <v>178</v>
      </c>
      <c r="J290" s="10" t="s">
        <v>1521</v>
      </c>
      <c r="K290" s="10" t="s">
        <v>846</v>
      </c>
      <c r="L290" s="10" t="s">
        <v>985</v>
      </c>
      <c r="M290" s="10" t="s">
        <v>1221</v>
      </c>
      <c r="N290" s="10" t="s">
        <v>1239</v>
      </c>
      <c r="O290" s="10"/>
    </row>
    <row r="291" spans="1:15" ht="18" customHeight="1" x14ac:dyDescent="0.3">
      <c r="A291" s="24">
        <v>290</v>
      </c>
      <c r="B291" s="10" t="s">
        <v>193</v>
      </c>
      <c r="C291" s="10" t="s">
        <v>16</v>
      </c>
      <c r="D291" s="62">
        <v>14</v>
      </c>
      <c r="E291" s="61" t="s">
        <v>2800</v>
      </c>
      <c r="F291" s="19" t="s">
        <v>360</v>
      </c>
      <c r="G291" s="10" t="s">
        <v>150</v>
      </c>
      <c r="H291" s="10" t="s">
        <v>848</v>
      </c>
      <c r="I291" s="62">
        <v>134</v>
      </c>
      <c r="J291" s="10" t="s">
        <v>1221</v>
      </c>
      <c r="K291" s="10" t="s">
        <v>847</v>
      </c>
      <c r="L291" s="10" t="s">
        <v>1239</v>
      </c>
      <c r="M291" s="10" t="s">
        <v>1221</v>
      </c>
      <c r="N291" s="10" t="s">
        <v>1239</v>
      </c>
      <c r="O291" s="10"/>
    </row>
    <row r="292" spans="1:15" ht="18" customHeight="1" x14ac:dyDescent="0.3">
      <c r="A292" s="24">
        <v>291</v>
      </c>
      <c r="B292" s="10" t="s">
        <v>193</v>
      </c>
      <c r="C292" s="10" t="s">
        <v>16</v>
      </c>
      <c r="D292" s="62">
        <v>14</v>
      </c>
      <c r="E292" s="61" t="s">
        <v>2800</v>
      </c>
      <c r="F292" s="19" t="s">
        <v>2456</v>
      </c>
      <c r="G292" s="10" t="s">
        <v>150</v>
      </c>
      <c r="H292" s="10" t="s">
        <v>845</v>
      </c>
      <c r="I292" s="62">
        <v>178</v>
      </c>
      <c r="J292" s="10" t="s">
        <v>1521</v>
      </c>
      <c r="K292" s="10" t="s">
        <v>846</v>
      </c>
      <c r="L292" s="10" t="s">
        <v>985</v>
      </c>
      <c r="M292" s="10" t="s">
        <v>1221</v>
      </c>
      <c r="N292" s="10" t="s">
        <v>1239</v>
      </c>
      <c r="O292" s="10"/>
    </row>
    <row r="293" spans="1:15" ht="18" customHeight="1" x14ac:dyDescent="0.3">
      <c r="A293" s="24">
        <v>292</v>
      </c>
      <c r="B293" s="10" t="s">
        <v>193</v>
      </c>
      <c r="C293" s="10" t="s">
        <v>16</v>
      </c>
      <c r="D293" s="62">
        <v>14</v>
      </c>
      <c r="E293" s="61" t="s">
        <v>169</v>
      </c>
      <c r="F293" s="16" t="s">
        <v>362</v>
      </c>
      <c r="G293" s="10" t="s">
        <v>150</v>
      </c>
      <c r="H293" s="10" t="s">
        <v>849</v>
      </c>
      <c r="I293" s="62">
        <v>178</v>
      </c>
      <c r="J293" s="8" t="s">
        <v>846</v>
      </c>
      <c r="K293" s="10" t="s">
        <v>847</v>
      </c>
      <c r="L293" s="10" t="s">
        <v>1239</v>
      </c>
      <c r="M293" s="10" t="s">
        <v>1221</v>
      </c>
      <c r="N293" s="10" t="s">
        <v>1239</v>
      </c>
      <c r="O293" s="10"/>
    </row>
    <row r="294" spans="1:15" ht="18" customHeight="1" x14ac:dyDescent="0.3">
      <c r="A294" s="24">
        <v>293</v>
      </c>
      <c r="B294" s="10" t="s">
        <v>193</v>
      </c>
      <c r="C294" s="10" t="s">
        <v>16</v>
      </c>
      <c r="D294" s="62">
        <v>14</v>
      </c>
      <c r="E294" s="61" t="s">
        <v>169</v>
      </c>
      <c r="F294" s="16" t="s">
        <v>362</v>
      </c>
      <c r="G294" s="10" t="s">
        <v>150</v>
      </c>
      <c r="H294" s="10" t="s">
        <v>850</v>
      </c>
      <c r="I294" s="62">
        <v>187</v>
      </c>
      <c r="J294" s="8" t="s">
        <v>1221</v>
      </c>
      <c r="K294" s="10" t="s">
        <v>847</v>
      </c>
      <c r="L294" s="10" t="s">
        <v>1239</v>
      </c>
      <c r="M294" s="10" t="s">
        <v>1221</v>
      </c>
      <c r="N294" s="10" t="s">
        <v>1239</v>
      </c>
      <c r="O294" s="10"/>
    </row>
    <row r="295" spans="1:15" ht="18" customHeight="1" x14ac:dyDescent="0.3">
      <c r="A295" s="24">
        <v>294</v>
      </c>
      <c r="B295" s="10" t="s">
        <v>193</v>
      </c>
      <c r="C295" s="10" t="s">
        <v>16</v>
      </c>
      <c r="D295" s="62">
        <v>14</v>
      </c>
      <c r="E295" s="61" t="s">
        <v>169</v>
      </c>
      <c r="F295" s="16" t="s">
        <v>362</v>
      </c>
      <c r="G295" s="10" t="s">
        <v>150</v>
      </c>
      <c r="H295" s="10" t="s">
        <v>851</v>
      </c>
      <c r="I295" s="62">
        <v>187</v>
      </c>
      <c r="J295" s="8" t="s">
        <v>846</v>
      </c>
      <c r="K295" s="10" t="s">
        <v>847</v>
      </c>
      <c r="L295" s="10" t="s">
        <v>1239</v>
      </c>
      <c r="M295" s="10" t="s">
        <v>1221</v>
      </c>
      <c r="N295" s="10" t="s">
        <v>1239</v>
      </c>
      <c r="O295" s="10"/>
    </row>
    <row r="296" spans="1:15" ht="18" customHeight="1" x14ac:dyDescent="0.3">
      <c r="A296" s="24">
        <v>295</v>
      </c>
      <c r="B296" s="10" t="s">
        <v>193</v>
      </c>
      <c r="C296" s="10" t="s">
        <v>16</v>
      </c>
      <c r="D296" s="62">
        <v>14</v>
      </c>
      <c r="E296" s="61" t="s">
        <v>169</v>
      </c>
      <c r="F296" s="16" t="s">
        <v>362</v>
      </c>
      <c r="G296" s="10" t="s">
        <v>150</v>
      </c>
      <c r="H296" s="10" t="s">
        <v>852</v>
      </c>
      <c r="I296" s="62">
        <v>178</v>
      </c>
      <c r="J296" s="8" t="s">
        <v>846</v>
      </c>
      <c r="K296" s="10" t="s">
        <v>847</v>
      </c>
      <c r="L296" s="10" t="s">
        <v>1239</v>
      </c>
      <c r="M296" s="10" t="s">
        <v>1221</v>
      </c>
      <c r="N296" s="10" t="s">
        <v>1239</v>
      </c>
      <c r="O296" s="10"/>
    </row>
    <row r="297" spans="1:15" ht="18" customHeight="1" x14ac:dyDescent="0.3">
      <c r="A297" s="24">
        <v>296</v>
      </c>
      <c r="B297" s="10" t="s">
        <v>193</v>
      </c>
      <c r="C297" s="10" t="s">
        <v>1328</v>
      </c>
      <c r="D297" s="62">
        <v>14</v>
      </c>
      <c r="E297" s="61" t="s">
        <v>965</v>
      </c>
      <c r="F297" s="16" t="s">
        <v>1335</v>
      </c>
      <c r="G297" s="10" t="s">
        <v>1239</v>
      </c>
      <c r="H297" s="173" t="s">
        <v>3692</v>
      </c>
      <c r="I297" s="177">
        <v>186</v>
      </c>
      <c r="J297" s="10" t="s">
        <v>1221</v>
      </c>
      <c r="K297" s="10" t="s">
        <v>847</v>
      </c>
      <c r="L297" s="10" t="s">
        <v>1239</v>
      </c>
      <c r="M297" s="10" t="s">
        <v>1521</v>
      </c>
      <c r="N297" s="173" t="s">
        <v>2389</v>
      </c>
      <c r="O297" s="10"/>
    </row>
    <row r="298" spans="1:15" ht="18" customHeight="1" x14ac:dyDescent="0.3">
      <c r="A298" s="24">
        <v>297</v>
      </c>
      <c r="B298" s="10" t="s">
        <v>1260</v>
      </c>
      <c r="C298" s="10" t="s">
        <v>1328</v>
      </c>
      <c r="D298" s="62">
        <v>14</v>
      </c>
      <c r="E298" s="61" t="s">
        <v>2801</v>
      </c>
      <c r="F298" s="16" t="s">
        <v>2457</v>
      </c>
      <c r="G298" s="10" t="s">
        <v>1264</v>
      </c>
      <c r="H298" s="10" t="s">
        <v>2772</v>
      </c>
      <c r="I298" s="62">
        <v>116</v>
      </c>
      <c r="J298" s="10" t="s">
        <v>1521</v>
      </c>
      <c r="K298" s="10" t="s">
        <v>1521</v>
      </c>
      <c r="L298" s="10" t="s">
        <v>1516</v>
      </c>
      <c r="M298" s="10" t="s">
        <v>1221</v>
      </c>
      <c r="N298" s="10" t="s">
        <v>1239</v>
      </c>
      <c r="O298" s="10"/>
    </row>
    <row r="299" spans="1:15" ht="18" customHeight="1" x14ac:dyDescent="0.3">
      <c r="A299" s="24">
        <v>298</v>
      </c>
      <c r="B299" s="10" t="s">
        <v>1260</v>
      </c>
      <c r="C299" s="10" t="s">
        <v>1328</v>
      </c>
      <c r="D299" s="62">
        <v>14</v>
      </c>
      <c r="E299" s="61" t="s">
        <v>2801</v>
      </c>
      <c r="F299" s="16" t="s">
        <v>2457</v>
      </c>
      <c r="G299" s="10" t="s">
        <v>1264</v>
      </c>
      <c r="H299" s="10" t="s">
        <v>2378</v>
      </c>
      <c r="I299" s="62">
        <v>78</v>
      </c>
      <c r="J299" s="10" t="s">
        <v>1221</v>
      </c>
      <c r="K299" s="10" t="s">
        <v>1221</v>
      </c>
      <c r="L299" s="10" t="s">
        <v>1239</v>
      </c>
      <c r="M299" s="10" t="s">
        <v>1221</v>
      </c>
      <c r="N299" s="10" t="s">
        <v>1239</v>
      </c>
      <c r="O299" s="10"/>
    </row>
    <row r="300" spans="1:15" ht="18" customHeight="1" x14ac:dyDescent="0.3">
      <c r="A300" s="24">
        <v>299</v>
      </c>
      <c r="B300" s="10" t="s">
        <v>1260</v>
      </c>
      <c r="C300" s="10" t="s">
        <v>1328</v>
      </c>
      <c r="D300" s="62">
        <v>14</v>
      </c>
      <c r="E300" s="61" t="s">
        <v>2801</v>
      </c>
      <c r="F300" s="16" t="s">
        <v>2457</v>
      </c>
      <c r="G300" s="10" t="s">
        <v>1264</v>
      </c>
      <c r="H300" s="10" t="s">
        <v>2458</v>
      </c>
      <c r="I300" s="62">
        <v>20</v>
      </c>
      <c r="J300" s="10" t="s">
        <v>1221</v>
      </c>
      <c r="K300" s="10" t="s">
        <v>1521</v>
      </c>
      <c r="L300" s="10" t="s">
        <v>2459</v>
      </c>
      <c r="M300" s="10" t="s">
        <v>1221</v>
      </c>
      <c r="N300" s="10" t="s">
        <v>1239</v>
      </c>
      <c r="O300" s="10"/>
    </row>
    <row r="301" spans="1:15" ht="18" customHeight="1" x14ac:dyDescent="0.3">
      <c r="A301" s="24">
        <v>300</v>
      </c>
      <c r="B301" s="10" t="s">
        <v>1260</v>
      </c>
      <c r="C301" s="10" t="s">
        <v>1328</v>
      </c>
      <c r="D301" s="62">
        <v>14</v>
      </c>
      <c r="E301" s="61" t="s">
        <v>2801</v>
      </c>
      <c r="F301" s="16" t="s">
        <v>2457</v>
      </c>
      <c r="G301" s="10" t="s">
        <v>1264</v>
      </c>
      <c r="H301" s="10" t="s">
        <v>2380</v>
      </c>
      <c r="I301" s="62">
        <v>188</v>
      </c>
      <c r="J301" s="10" t="s">
        <v>1221</v>
      </c>
      <c r="K301" s="10" t="s">
        <v>1221</v>
      </c>
      <c r="L301" s="10" t="s">
        <v>1239</v>
      </c>
      <c r="M301" s="10" t="s">
        <v>1221</v>
      </c>
      <c r="N301" s="10" t="s">
        <v>1239</v>
      </c>
      <c r="O301" s="10"/>
    </row>
    <row r="302" spans="1:15" ht="18" customHeight="1" x14ac:dyDescent="0.3">
      <c r="A302" s="24">
        <v>301</v>
      </c>
      <c r="B302" s="10" t="s">
        <v>1260</v>
      </c>
      <c r="C302" s="10" t="s">
        <v>1328</v>
      </c>
      <c r="D302" s="62">
        <v>14</v>
      </c>
      <c r="E302" s="61" t="s">
        <v>2801</v>
      </c>
      <c r="F302" s="16" t="s">
        <v>2457</v>
      </c>
      <c r="G302" s="10" t="s">
        <v>1264</v>
      </c>
      <c r="H302" s="10" t="s">
        <v>2390</v>
      </c>
      <c r="I302" s="62">
        <v>144</v>
      </c>
      <c r="J302" s="10" t="s">
        <v>1221</v>
      </c>
      <c r="K302" s="10" t="s">
        <v>1221</v>
      </c>
      <c r="L302" s="10" t="s">
        <v>1239</v>
      </c>
      <c r="M302" s="10" t="s">
        <v>1221</v>
      </c>
      <c r="N302" s="10" t="s">
        <v>1239</v>
      </c>
      <c r="O302" s="10"/>
    </row>
    <row r="303" spans="1:15" ht="18" customHeight="1" x14ac:dyDescent="0.3">
      <c r="A303" s="24">
        <v>302</v>
      </c>
      <c r="B303" s="10" t="s">
        <v>1260</v>
      </c>
      <c r="C303" s="10" t="s">
        <v>1328</v>
      </c>
      <c r="D303" s="62">
        <v>14</v>
      </c>
      <c r="E303" s="61" t="s">
        <v>2801</v>
      </c>
      <c r="F303" s="16" t="s">
        <v>2457</v>
      </c>
      <c r="G303" s="10" t="s">
        <v>1264</v>
      </c>
      <c r="H303" s="10" t="s">
        <v>2382</v>
      </c>
      <c r="I303" s="62">
        <v>188</v>
      </c>
      <c r="J303" s="10" t="s">
        <v>1221</v>
      </c>
      <c r="K303" s="10" t="s">
        <v>1221</v>
      </c>
      <c r="L303" s="10" t="s">
        <v>1239</v>
      </c>
      <c r="M303" s="10" t="s">
        <v>1221</v>
      </c>
      <c r="N303" s="10" t="s">
        <v>1239</v>
      </c>
      <c r="O303" s="10"/>
    </row>
    <row r="304" spans="1:15" ht="18" customHeight="1" x14ac:dyDescent="0.3">
      <c r="A304" s="24">
        <v>303</v>
      </c>
      <c r="B304" s="10" t="s">
        <v>193</v>
      </c>
      <c r="C304" s="10" t="s">
        <v>16</v>
      </c>
      <c r="D304" s="62">
        <v>14</v>
      </c>
      <c r="E304" s="61" t="s">
        <v>168</v>
      </c>
      <c r="F304" s="16" t="s">
        <v>361</v>
      </c>
      <c r="G304" s="10" t="s">
        <v>150</v>
      </c>
      <c r="H304" s="10" t="s">
        <v>845</v>
      </c>
      <c r="I304" s="62">
        <v>233</v>
      </c>
      <c r="J304" s="8" t="s">
        <v>1221</v>
      </c>
      <c r="K304" s="10" t="s">
        <v>847</v>
      </c>
      <c r="L304" s="10" t="s">
        <v>1239</v>
      </c>
      <c r="M304" s="10" t="s">
        <v>1221</v>
      </c>
      <c r="N304" s="10" t="s">
        <v>1239</v>
      </c>
      <c r="O304" s="10"/>
    </row>
    <row r="305" spans="1:15" ht="18" customHeight="1" x14ac:dyDescent="0.3">
      <c r="A305" s="24">
        <v>304</v>
      </c>
      <c r="B305" s="10" t="s">
        <v>193</v>
      </c>
      <c r="C305" s="10" t="s">
        <v>16</v>
      </c>
      <c r="D305" s="62">
        <v>14</v>
      </c>
      <c r="E305" s="61" t="s">
        <v>168</v>
      </c>
      <c r="F305" s="16" t="s">
        <v>361</v>
      </c>
      <c r="G305" s="10" t="s">
        <v>150</v>
      </c>
      <c r="H305" s="10" t="s">
        <v>848</v>
      </c>
      <c r="I305" s="62">
        <v>229</v>
      </c>
      <c r="J305" s="8" t="s">
        <v>846</v>
      </c>
      <c r="K305" s="10" t="s">
        <v>847</v>
      </c>
      <c r="L305" s="10" t="s">
        <v>1239</v>
      </c>
      <c r="M305" s="10" t="s">
        <v>1221</v>
      </c>
      <c r="N305" s="10" t="s">
        <v>1239</v>
      </c>
      <c r="O305" s="10"/>
    </row>
    <row r="306" spans="1:15" ht="18" customHeight="1" x14ac:dyDescent="0.3">
      <c r="A306" s="24">
        <v>305</v>
      </c>
      <c r="B306" s="10" t="s">
        <v>193</v>
      </c>
      <c r="C306" s="10" t="s">
        <v>16</v>
      </c>
      <c r="D306" s="62">
        <v>14</v>
      </c>
      <c r="E306" s="61" t="s">
        <v>168</v>
      </c>
      <c r="F306" s="16" t="s">
        <v>361</v>
      </c>
      <c r="G306" s="10" t="s">
        <v>150</v>
      </c>
      <c r="H306" s="10" t="s">
        <v>849</v>
      </c>
      <c r="I306" s="62">
        <v>148</v>
      </c>
      <c r="J306" s="8" t="s">
        <v>846</v>
      </c>
      <c r="K306" s="10" t="s">
        <v>847</v>
      </c>
      <c r="L306" s="10" t="s">
        <v>1239</v>
      </c>
      <c r="M306" s="10" t="s">
        <v>1221</v>
      </c>
      <c r="N306" s="10" t="s">
        <v>1239</v>
      </c>
      <c r="O306" s="10"/>
    </row>
    <row r="307" spans="1:15" ht="18" customHeight="1" x14ac:dyDescent="0.3">
      <c r="A307" s="24">
        <v>306</v>
      </c>
      <c r="B307" s="10" t="s">
        <v>193</v>
      </c>
      <c r="C307" s="10" t="s">
        <v>16</v>
      </c>
      <c r="D307" s="62">
        <v>14</v>
      </c>
      <c r="E307" s="61" t="s">
        <v>168</v>
      </c>
      <c r="F307" s="16" t="s">
        <v>361</v>
      </c>
      <c r="G307" s="10" t="s">
        <v>150</v>
      </c>
      <c r="H307" s="10" t="s">
        <v>850</v>
      </c>
      <c r="I307" s="62">
        <v>123</v>
      </c>
      <c r="J307" s="8" t="s">
        <v>1221</v>
      </c>
      <c r="K307" s="10" t="s">
        <v>847</v>
      </c>
      <c r="L307" s="10" t="s">
        <v>1239</v>
      </c>
      <c r="M307" s="10" t="s">
        <v>1221</v>
      </c>
      <c r="N307" s="10" t="s">
        <v>1239</v>
      </c>
      <c r="O307" s="10"/>
    </row>
    <row r="308" spans="1:15" ht="18" customHeight="1" x14ac:dyDescent="0.3">
      <c r="A308" s="24">
        <v>307</v>
      </c>
      <c r="B308" s="8" t="s">
        <v>193</v>
      </c>
      <c r="C308" s="8" t="s">
        <v>16</v>
      </c>
      <c r="D308" s="8">
        <v>14</v>
      </c>
      <c r="E308" s="3" t="s">
        <v>2460</v>
      </c>
      <c r="F308" s="11" t="s">
        <v>1342</v>
      </c>
      <c r="G308" s="10" t="s">
        <v>310</v>
      </c>
      <c r="H308" s="62" t="s">
        <v>2385</v>
      </c>
      <c r="I308" s="96">
        <v>76</v>
      </c>
      <c r="J308" s="10" t="s">
        <v>1221</v>
      </c>
      <c r="K308" s="10" t="s">
        <v>847</v>
      </c>
      <c r="L308" s="10" t="s">
        <v>1239</v>
      </c>
      <c r="M308" s="10" t="s">
        <v>1521</v>
      </c>
      <c r="N308" s="10" t="s">
        <v>1234</v>
      </c>
      <c r="O308" s="10"/>
    </row>
    <row r="309" spans="1:15" ht="18" customHeight="1" x14ac:dyDescent="0.3">
      <c r="A309" s="24">
        <v>308</v>
      </c>
      <c r="B309" s="10" t="s">
        <v>193</v>
      </c>
      <c r="C309" s="10" t="s">
        <v>16</v>
      </c>
      <c r="D309" s="62">
        <v>14</v>
      </c>
      <c r="E309" s="61" t="s">
        <v>170</v>
      </c>
      <c r="F309" s="16" t="s">
        <v>365</v>
      </c>
      <c r="G309" s="10" t="s">
        <v>150</v>
      </c>
      <c r="H309" s="10" t="s">
        <v>849</v>
      </c>
      <c r="I309" s="62">
        <v>305</v>
      </c>
      <c r="J309" s="10" t="s">
        <v>1221</v>
      </c>
      <c r="K309" s="10" t="s">
        <v>847</v>
      </c>
      <c r="L309" s="10" t="s">
        <v>1239</v>
      </c>
      <c r="M309" s="10" t="s">
        <v>1221</v>
      </c>
      <c r="N309" s="10" t="s">
        <v>1239</v>
      </c>
      <c r="O309" s="10"/>
    </row>
    <row r="310" spans="1:15" ht="18" customHeight="1" x14ac:dyDescent="0.3">
      <c r="A310" s="24">
        <v>309</v>
      </c>
      <c r="B310" s="10" t="s">
        <v>193</v>
      </c>
      <c r="C310" s="10" t="s">
        <v>16</v>
      </c>
      <c r="D310" s="62">
        <v>14</v>
      </c>
      <c r="E310" s="61" t="s">
        <v>170</v>
      </c>
      <c r="F310" s="16" t="s">
        <v>365</v>
      </c>
      <c r="G310" s="10" t="s">
        <v>150</v>
      </c>
      <c r="H310" s="10" t="s">
        <v>850</v>
      </c>
      <c r="I310" s="62">
        <v>217</v>
      </c>
      <c r="J310" s="10" t="s">
        <v>1221</v>
      </c>
      <c r="K310" s="10" t="s">
        <v>847</v>
      </c>
      <c r="L310" s="10" t="s">
        <v>1239</v>
      </c>
      <c r="M310" s="10" t="s">
        <v>1221</v>
      </c>
      <c r="N310" s="10" t="s">
        <v>1239</v>
      </c>
      <c r="O310" s="10"/>
    </row>
    <row r="311" spans="1:15" ht="18" customHeight="1" x14ac:dyDescent="0.3">
      <c r="A311" s="24">
        <v>310</v>
      </c>
      <c r="B311" s="10" t="s">
        <v>193</v>
      </c>
      <c r="C311" s="10" t="s">
        <v>16</v>
      </c>
      <c r="D311" s="62">
        <v>14</v>
      </c>
      <c r="E311" s="61" t="s">
        <v>170</v>
      </c>
      <c r="F311" s="16" t="s">
        <v>365</v>
      </c>
      <c r="G311" s="10" t="s">
        <v>150</v>
      </c>
      <c r="H311" s="10" t="s">
        <v>851</v>
      </c>
      <c r="I311" s="62">
        <v>86</v>
      </c>
      <c r="J311" s="10" t="s">
        <v>1221</v>
      </c>
      <c r="K311" s="10" t="s">
        <v>847</v>
      </c>
      <c r="L311" s="10" t="s">
        <v>1239</v>
      </c>
      <c r="M311" s="10" t="s">
        <v>1221</v>
      </c>
      <c r="N311" s="10" t="s">
        <v>1239</v>
      </c>
      <c r="O311" s="10"/>
    </row>
    <row r="312" spans="1:15" ht="18" customHeight="1" x14ac:dyDescent="0.3">
      <c r="A312" s="24">
        <v>311</v>
      </c>
      <c r="B312" s="10" t="s">
        <v>193</v>
      </c>
      <c r="C312" s="10" t="s">
        <v>16</v>
      </c>
      <c r="D312" s="62">
        <v>14</v>
      </c>
      <c r="E312" s="61" t="s">
        <v>170</v>
      </c>
      <c r="F312" s="16" t="s">
        <v>365</v>
      </c>
      <c r="G312" s="10" t="s">
        <v>150</v>
      </c>
      <c r="H312" s="10" t="s">
        <v>852</v>
      </c>
      <c r="I312" s="62">
        <v>97</v>
      </c>
      <c r="J312" s="10" t="s">
        <v>1221</v>
      </c>
      <c r="K312" s="10" t="s">
        <v>847</v>
      </c>
      <c r="L312" s="10" t="s">
        <v>1239</v>
      </c>
      <c r="M312" s="10" t="s">
        <v>1221</v>
      </c>
      <c r="N312" s="10" t="s">
        <v>1239</v>
      </c>
      <c r="O312" s="10"/>
    </row>
    <row r="313" spans="1:15" ht="18" customHeight="1" x14ac:dyDescent="0.3">
      <c r="A313" s="24">
        <v>312</v>
      </c>
      <c r="B313" s="10" t="s">
        <v>193</v>
      </c>
      <c r="C313" s="10" t="s">
        <v>16</v>
      </c>
      <c r="D313" s="62">
        <v>14</v>
      </c>
      <c r="E313" s="61" t="s">
        <v>170</v>
      </c>
      <c r="F313" s="16" t="s">
        <v>365</v>
      </c>
      <c r="G313" s="10" t="s">
        <v>150</v>
      </c>
      <c r="H313" s="10" t="s">
        <v>853</v>
      </c>
      <c r="I313" s="62">
        <v>97</v>
      </c>
      <c r="J313" s="10" t="s">
        <v>1221</v>
      </c>
      <c r="K313" s="10" t="s">
        <v>847</v>
      </c>
      <c r="L313" s="10" t="s">
        <v>1239</v>
      </c>
      <c r="M313" s="10" t="s">
        <v>1221</v>
      </c>
      <c r="N313" s="10" t="s">
        <v>1239</v>
      </c>
      <c r="O313" s="10"/>
    </row>
    <row r="314" spans="1:15" ht="18" customHeight="1" x14ac:dyDescent="0.3">
      <c r="A314" s="24">
        <v>313</v>
      </c>
      <c r="B314" s="10" t="s">
        <v>193</v>
      </c>
      <c r="C314" s="10" t="s">
        <v>16</v>
      </c>
      <c r="D314" s="62">
        <v>14</v>
      </c>
      <c r="E314" s="61" t="s">
        <v>170</v>
      </c>
      <c r="F314" s="16" t="s">
        <v>365</v>
      </c>
      <c r="G314" s="10" t="s">
        <v>150</v>
      </c>
      <c r="H314" s="10" t="s">
        <v>854</v>
      </c>
      <c r="I314" s="62">
        <v>97</v>
      </c>
      <c r="J314" s="10" t="s">
        <v>1221</v>
      </c>
      <c r="K314" s="10" t="s">
        <v>847</v>
      </c>
      <c r="L314" s="10" t="s">
        <v>1239</v>
      </c>
      <c r="M314" s="10" t="s">
        <v>1221</v>
      </c>
      <c r="N314" s="10" t="s">
        <v>1239</v>
      </c>
      <c r="O314" s="10"/>
    </row>
    <row r="315" spans="1:15" ht="18" customHeight="1" x14ac:dyDescent="0.3">
      <c r="A315" s="24">
        <v>314</v>
      </c>
      <c r="B315" s="10" t="s">
        <v>193</v>
      </c>
      <c r="C315" s="10" t="s">
        <v>16</v>
      </c>
      <c r="D315" s="62">
        <v>14</v>
      </c>
      <c r="E315" s="61" t="s">
        <v>170</v>
      </c>
      <c r="F315" s="16" t="s">
        <v>365</v>
      </c>
      <c r="G315" s="10" t="s">
        <v>150</v>
      </c>
      <c r="H315" s="10" t="s">
        <v>855</v>
      </c>
      <c r="I315" s="62">
        <v>97</v>
      </c>
      <c r="J315" s="10" t="s">
        <v>1221</v>
      </c>
      <c r="K315" s="10" t="s">
        <v>847</v>
      </c>
      <c r="L315" s="10" t="s">
        <v>1239</v>
      </c>
      <c r="M315" s="10" t="s">
        <v>1221</v>
      </c>
      <c r="N315" s="10" t="s">
        <v>1239</v>
      </c>
      <c r="O315" s="10"/>
    </row>
    <row r="316" spans="1:15" ht="18" customHeight="1" x14ac:dyDescent="0.3">
      <c r="A316" s="24">
        <v>315</v>
      </c>
      <c r="B316" s="10" t="s">
        <v>193</v>
      </c>
      <c r="C316" s="10" t="s">
        <v>16</v>
      </c>
      <c r="D316" s="62">
        <v>14</v>
      </c>
      <c r="E316" s="61" t="s">
        <v>170</v>
      </c>
      <c r="F316" s="16" t="s">
        <v>365</v>
      </c>
      <c r="G316" s="10" t="s">
        <v>150</v>
      </c>
      <c r="H316" s="10" t="s">
        <v>2461</v>
      </c>
      <c r="I316" s="62">
        <v>202</v>
      </c>
      <c r="J316" s="10" t="s">
        <v>1221</v>
      </c>
      <c r="K316" s="10" t="s">
        <v>846</v>
      </c>
      <c r="L316" s="10" t="s">
        <v>1422</v>
      </c>
      <c r="M316" s="10" t="s">
        <v>1221</v>
      </c>
      <c r="N316" s="10" t="s">
        <v>1239</v>
      </c>
      <c r="O316" s="10"/>
    </row>
    <row r="317" spans="1:15" ht="18" customHeight="1" x14ac:dyDescent="0.3">
      <c r="A317" s="24">
        <v>316</v>
      </c>
      <c r="B317" s="10" t="s">
        <v>193</v>
      </c>
      <c r="C317" s="10" t="s">
        <v>16</v>
      </c>
      <c r="D317" s="62">
        <v>14</v>
      </c>
      <c r="E317" s="61" t="s">
        <v>170</v>
      </c>
      <c r="F317" s="16" t="s">
        <v>365</v>
      </c>
      <c r="G317" s="10" t="s">
        <v>150</v>
      </c>
      <c r="H317" s="173" t="s">
        <v>3473</v>
      </c>
      <c r="I317" s="62">
        <v>342</v>
      </c>
      <c r="J317" s="10" t="s">
        <v>1221</v>
      </c>
      <c r="K317" s="10" t="s">
        <v>846</v>
      </c>
      <c r="L317" s="173" t="s">
        <v>3196</v>
      </c>
      <c r="M317" s="10" t="s">
        <v>1221</v>
      </c>
      <c r="N317" s="10" t="s">
        <v>1239</v>
      </c>
      <c r="O317" s="10"/>
    </row>
    <row r="318" spans="1:15" ht="18" customHeight="1" x14ac:dyDescent="0.3">
      <c r="A318" s="24">
        <v>317</v>
      </c>
      <c r="B318" s="10" t="s">
        <v>193</v>
      </c>
      <c r="C318" s="10" t="s">
        <v>17</v>
      </c>
      <c r="D318" s="62">
        <v>15</v>
      </c>
      <c r="E318" s="16" t="s">
        <v>2462</v>
      </c>
      <c r="F318" s="16" t="s">
        <v>1348</v>
      </c>
      <c r="G318" s="10" t="s">
        <v>150</v>
      </c>
      <c r="H318" s="173" t="s">
        <v>3456</v>
      </c>
      <c r="I318" s="62">
        <v>154</v>
      </c>
      <c r="J318" s="10" t="s">
        <v>1521</v>
      </c>
      <c r="K318" s="10" t="s">
        <v>846</v>
      </c>
      <c r="L318" s="173" t="s">
        <v>3452</v>
      </c>
      <c r="M318" s="10" t="s">
        <v>1221</v>
      </c>
      <c r="N318" s="10" t="s">
        <v>1239</v>
      </c>
      <c r="O318" s="10"/>
    </row>
    <row r="319" spans="1:15" ht="18" customHeight="1" x14ac:dyDescent="0.3">
      <c r="A319" s="24">
        <v>318</v>
      </c>
      <c r="B319" s="10" t="s">
        <v>193</v>
      </c>
      <c r="C319" s="10" t="s">
        <v>17</v>
      </c>
      <c r="D319" s="62">
        <v>15</v>
      </c>
      <c r="E319" s="16" t="s">
        <v>2462</v>
      </c>
      <c r="F319" s="16" t="s">
        <v>1348</v>
      </c>
      <c r="G319" s="10" t="s">
        <v>150</v>
      </c>
      <c r="H319" s="173" t="s">
        <v>3457</v>
      </c>
      <c r="I319" s="62">
        <v>135</v>
      </c>
      <c r="J319" s="10" t="s">
        <v>1221</v>
      </c>
      <c r="K319" s="10" t="s">
        <v>846</v>
      </c>
      <c r="L319" s="173" t="s">
        <v>1422</v>
      </c>
      <c r="M319" s="10" t="s">
        <v>1221</v>
      </c>
      <c r="N319" s="10" t="s">
        <v>1239</v>
      </c>
      <c r="O319" s="10"/>
    </row>
    <row r="320" spans="1:15" ht="18" customHeight="1" x14ac:dyDescent="0.3">
      <c r="A320" s="24">
        <v>319</v>
      </c>
      <c r="B320" s="10" t="s">
        <v>193</v>
      </c>
      <c r="C320" s="10" t="s">
        <v>17</v>
      </c>
      <c r="D320" s="62">
        <v>15</v>
      </c>
      <c r="E320" s="16" t="s">
        <v>2462</v>
      </c>
      <c r="F320" s="16" t="s">
        <v>2463</v>
      </c>
      <c r="G320" s="10" t="s">
        <v>150</v>
      </c>
      <c r="H320" s="173" t="s">
        <v>3458</v>
      </c>
      <c r="I320" s="62">
        <v>138</v>
      </c>
      <c r="J320" s="10" t="s">
        <v>1221</v>
      </c>
      <c r="K320" s="10" t="s">
        <v>846</v>
      </c>
      <c r="L320" s="173" t="s">
        <v>3452</v>
      </c>
      <c r="M320" s="10" t="s">
        <v>1221</v>
      </c>
      <c r="N320" s="10" t="s">
        <v>1239</v>
      </c>
      <c r="O320" s="10"/>
    </row>
    <row r="321" spans="1:15" ht="18" customHeight="1" x14ac:dyDescent="0.3">
      <c r="A321" s="24">
        <v>320</v>
      </c>
      <c r="B321" s="10" t="s">
        <v>193</v>
      </c>
      <c r="C321" s="10" t="s">
        <v>17</v>
      </c>
      <c r="D321" s="62">
        <v>15</v>
      </c>
      <c r="E321" s="16" t="s">
        <v>2462</v>
      </c>
      <c r="F321" s="16" t="s">
        <v>2463</v>
      </c>
      <c r="G321" s="10" t="s">
        <v>150</v>
      </c>
      <c r="H321" s="173" t="s">
        <v>3459</v>
      </c>
      <c r="I321" s="62">
        <v>115</v>
      </c>
      <c r="J321" s="10" t="s">
        <v>1221</v>
      </c>
      <c r="K321" s="10" t="s">
        <v>846</v>
      </c>
      <c r="L321" s="173" t="s">
        <v>1422</v>
      </c>
      <c r="M321" s="10" t="s">
        <v>1221</v>
      </c>
      <c r="N321" s="10" t="s">
        <v>1239</v>
      </c>
      <c r="O321" s="10"/>
    </row>
    <row r="322" spans="1:15" ht="18" customHeight="1" x14ac:dyDescent="0.3">
      <c r="A322" s="24">
        <v>321</v>
      </c>
      <c r="B322" s="10" t="s">
        <v>193</v>
      </c>
      <c r="C322" s="10" t="s">
        <v>17</v>
      </c>
      <c r="D322" s="62">
        <v>15</v>
      </c>
      <c r="E322" s="16" t="s">
        <v>2462</v>
      </c>
      <c r="F322" s="16" t="s">
        <v>2463</v>
      </c>
      <c r="G322" s="10" t="s">
        <v>150</v>
      </c>
      <c r="H322" s="173" t="s">
        <v>3460</v>
      </c>
      <c r="I322" s="62">
        <v>96</v>
      </c>
      <c r="J322" s="10" t="s">
        <v>1221</v>
      </c>
      <c r="K322" s="10" t="s">
        <v>846</v>
      </c>
      <c r="L322" s="173" t="s">
        <v>3452</v>
      </c>
      <c r="M322" s="10" t="s">
        <v>1221</v>
      </c>
      <c r="N322" s="10" t="s">
        <v>1239</v>
      </c>
      <c r="O322" s="10"/>
    </row>
    <row r="323" spans="1:15" ht="18" customHeight="1" x14ac:dyDescent="0.3">
      <c r="A323" s="24">
        <v>322</v>
      </c>
      <c r="B323" s="10" t="s">
        <v>193</v>
      </c>
      <c r="C323" s="10" t="s">
        <v>17</v>
      </c>
      <c r="D323" s="62">
        <v>15</v>
      </c>
      <c r="E323" s="16" t="s">
        <v>2462</v>
      </c>
      <c r="F323" s="16" t="s">
        <v>2463</v>
      </c>
      <c r="G323" s="10" t="s">
        <v>150</v>
      </c>
      <c r="H323" s="173" t="s">
        <v>3461</v>
      </c>
      <c r="I323" s="62">
        <v>115</v>
      </c>
      <c r="J323" s="10" t="s">
        <v>1221</v>
      </c>
      <c r="K323" s="10" t="s">
        <v>846</v>
      </c>
      <c r="L323" s="173" t="s">
        <v>3452</v>
      </c>
      <c r="M323" s="10" t="s">
        <v>1221</v>
      </c>
      <c r="N323" s="10" t="s">
        <v>1239</v>
      </c>
      <c r="O323" s="10"/>
    </row>
    <row r="324" spans="1:15" ht="18" customHeight="1" x14ac:dyDescent="0.3">
      <c r="A324" s="24">
        <v>323</v>
      </c>
      <c r="B324" s="10" t="s">
        <v>193</v>
      </c>
      <c r="C324" s="10" t="s">
        <v>17</v>
      </c>
      <c r="D324" s="62">
        <v>15</v>
      </c>
      <c r="E324" s="16" t="s">
        <v>2462</v>
      </c>
      <c r="F324" s="16" t="s">
        <v>2463</v>
      </c>
      <c r="G324" s="10" t="s">
        <v>150</v>
      </c>
      <c r="H324" s="173" t="s">
        <v>3462</v>
      </c>
      <c r="I324" s="62">
        <v>44</v>
      </c>
      <c r="J324" s="10" t="s">
        <v>1221</v>
      </c>
      <c r="K324" s="10" t="s">
        <v>846</v>
      </c>
      <c r="L324" s="173" t="s">
        <v>2484</v>
      </c>
      <c r="M324" s="10" t="s">
        <v>1221</v>
      </c>
      <c r="N324" s="10" t="s">
        <v>1218</v>
      </c>
      <c r="O324" s="10"/>
    </row>
    <row r="325" spans="1:15" ht="18" customHeight="1" x14ac:dyDescent="0.3">
      <c r="A325" s="24">
        <v>324</v>
      </c>
      <c r="B325" s="10" t="s">
        <v>193</v>
      </c>
      <c r="C325" s="10" t="s">
        <v>17</v>
      </c>
      <c r="D325" s="62">
        <v>15</v>
      </c>
      <c r="E325" s="16" t="s">
        <v>2462</v>
      </c>
      <c r="F325" s="16" t="s">
        <v>2463</v>
      </c>
      <c r="G325" s="10" t="s">
        <v>150</v>
      </c>
      <c r="H325" s="173" t="s">
        <v>3463</v>
      </c>
      <c r="I325" s="62">
        <v>86</v>
      </c>
      <c r="J325" s="10" t="s">
        <v>1521</v>
      </c>
      <c r="K325" s="10" t="s">
        <v>846</v>
      </c>
      <c r="L325" s="173" t="s">
        <v>3455</v>
      </c>
      <c r="M325" s="10" t="s">
        <v>1221</v>
      </c>
      <c r="N325" s="10" t="s">
        <v>1239</v>
      </c>
      <c r="O325" s="10"/>
    </row>
    <row r="326" spans="1:15" ht="18" customHeight="1" x14ac:dyDescent="0.3">
      <c r="A326" s="24">
        <v>325</v>
      </c>
      <c r="B326" s="10" t="s">
        <v>193</v>
      </c>
      <c r="C326" s="10" t="s">
        <v>17</v>
      </c>
      <c r="D326" s="62">
        <v>15</v>
      </c>
      <c r="E326" s="61" t="s">
        <v>171</v>
      </c>
      <c r="F326" s="16" t="s">
        <v>382</v>
      </c>
      <c r="G326" s="10" t="s">
        <v>150</v>
      </c>
      <c r="H326" s="10" t="s">
        <v>849</v>
      </c>
      <c r="I326" s="62">
        <v>114</v>
      </c>
      <c r="J326" s="10" t="s">
        <v>1221</v>
      </c>
      <c r="K326" s="10" t="s">
        <v>847</v>
      </c>
      <c r="L326" s="10" t="s">
        <v>1239</v>
      </c>
      <c r="M326" s="10" t="s">
        <v>1221</v>
      </c>
      <c r="N326" s="10" t="s">
        <v>1239</v>
      </c>
      <c r="O326" s="10"/>
    </row>
    <row r="327" spans="1:15" ht="18" customHeight="1" x14ac:dyDescent="0.3">
      <c r="A327" s="24">
        <v>326</v>
      </c>
      <c r="B327" s="10" t="s">
        <v>193</v>
      </c>
      <c r="C327" s="10" t="s">
        <v>17</v>
      </c>
      <c r="D327" s="62">
        <v>15</v>
      </c>
      <c r="E327" s="61" t="s">
        <v>171</v>
      </c>
      <c r="F327" s="16" t="s">
        <v>382</v>
      </c>
      <c r="G327" s="10" t="s">
        <v>150</v>
      </c>
      <c r="H327" s="10" t="s">
        <v>850</v>
      </c>
      <c r="I327" s="62">
        <v>190</v>
      </c>
      <c r="J327" s="10" t="s">
        <v>1221</v>
      </c>
      <c r="K327" s="10" t="s">
        <v>847</v>
      </c>
      <c r="L327" s="10" t="s">
        <v>1239</v>
      </c>
      <c r="M327" s="10" t="s">
        <v>1221</v>
      </c>
      <c r="N327" s="10" t="s">
        <v>1239</v>
      </c>
      <c r="O327" s="10"/>
    </row>
    <row r="328" spans="1:15" ht="18" customHeight="1" x14ac:dyDescent="0.3">
      <c r="A328" s="24">
        <v>327</v>
      </c>
      <c r="B328" s="10" t="s">
        <v>193</v>
      </c>
      <c r="C328" s="10" t="s">
        <v>17</v>
      </c>
      <c r="D328" s="62">
        <v>15</v>
      </c>
      <c r="E328" s="61" t="s">
        <v>171</v>
      </c>
      <c r="F328" s="16" t="s">
        <v>382</v>
      </c>
      <c r="G328" s="10" t="s">
        <v>150</v>
      </c>
      <c r="H328" s="10" t="s">
        <v>2464</v>
      </c>
      <c r="I328" s="62">
        <v>210</v>
      </c>
      <c r="J328" s="10" t="s">
        <v>1221</v>
      </c>
      <c r="K328" s="10" t="s">
        <v>1521</v>
      </c>
      <c r="L328" s="10" t="s">
        <v>1422</v>
      </c>
      <c r="M328" s="10" t="s">
        <v>1221</v>
      </c>
      <c r="N328" s="10" t="s">
        <v>1239</v>
      </c>
      <c r="O328" s="10"/>
    </row>
    <row r="329" spans="1:15" ht="18" customHeight="1" x14ac:dyDescent="0.3">
      <c r="A329" s="24">
        <v>328</v>
      </c>
      <c r="B329" s="10" t="s">
        <v>193</v>
      </c>
      <c r="C329" s="10" t="s">
        <v>17</v>
      </c>
      <c r="D329" s="62">
        <v>15</v>
      </c>
      <c r="E329" s="61" t="s">
        <v>171</v>
      </c>
      <c r="F329" s="16" t="s">
        <v>382</v>
      </c>
      <c r="G329" s="10" t="s">
        <v>150</v>
      </c>
      <c r="H329" s="10" t="s">
        <v>853</v>
      </c>
      <c r="I329" s="62">
        <v>158</v>
      </c>
      <c r="J329" s="10" t="s">
        <v>1221</v>
      </c>
      <c r="K329" s="10" t="s">
        <v>847</v>
      </c>
      <c r="L329" s="10" t="s">
        <v>1239</v>
      </c>
      <c r="M329" s="10" t="s">
        <v>1221</v>
      </c>
      <c r="N329" s="10" t="s">
        <v>1239</v>
      </c>
      <c r="O329" s="10"/>
    </row>
    <row r="330" spans="1:15" ht="18" customHeight="1" x14ac:dyDescent="0.3">
      <c r="A330" s="24">
        <v>329</v>
      </c>
      <c r="B330" s="10" t="s">
        <v>193</v>
      </c>
      <c r="C330" s="10" t="s">
        <v>17</v>
      </c>
      <c r="D330" s="62">
        <v>15</v>
      </c>
      <c r="E330" s="61" t="s">
        <v>171</v>
      </c>
      <c r="F330" s="16" t="s">
        <v>382</v>
      </c>
      <c r="G330" s="10" t="s">
        <v>150</v>
      </c>
      <c r="H330" s="10" t="s">
        <v>854</v>
      </c>
      <c r="I330" s="62">
        <v>190</v>
      </c>
      <c r="J330" s="10" t="s">
        <v>1221</v>
      </c>
      <c r="K330" s="10" t="s">
        <v>847</v>
      </c>
      <c r="L330" s="10" t="s">
        <v>1239</v>
      </c>
      <c r="M330" s="10" t="s">
        <v>1221</v>
      </c>
      <c r="N330" s="10" t="s">
        <v>1239</v>
      </c>
      <c r="O330" s="10"/>
    </row>
    <row r="331" spans="1:15" ht="18" customHeight="1" x14ac:dyDescent="0.3">
      <c r="A331" s="24">
        <v>330</v>
      </c>
      <c r="B331" s="10" t="s">
        <v>193</v>
      </c>
      <c r="C331" s="10" t="s">
        <v>17</v>
      </c>
      <c r="D331" s="62">
        <v>15</v>
      </c>
      <c r="E331" s="61" t="s">
        <v>171</v>
      </c>
      <c r="F331" s="16" t="s">
        <v>382</v>
      </c>
      <c r="G331" s="10" t="s">
        <v>150</v>
      </c>
      <c r="H331" s="10" t="s">
        <v>855</v>
      </c>
      <c r="I331" s="62">
        <v>114</v>
      </c>
      <c r="J331" s="10" t="s">
        <v>1521</v>
      </c>
      <c r="K331" s="10" t="s">
        <v>847</v>
      </c>
      <c r="L331" s="10" t="s">
        <v>1239</v>
      </c>
      <c r="M331" s="10" t="s">
        <v>1221</v>
      </c>
      <c r="N331" s="10" t="s">
        <v>1239</v>
      </c>
      <c r="O331" s="10"/>
    </row>
    <row r="332" spans="1:15" ht="18" customHeight="1" x14ac:dyDescent="0.3">
      <c r="A332" s="24">
        <v>331</v>
      </c>
      <c r="B332" s="10" t="s">
        <v>193</v>
      </c>
      <c r="C332" s="10" t="s">
        <v>17</v>
      </c>
      <c r="D332" s="62">
        <v>15</v>
      </c>
      <c r="E332" s="61" t="s">
        <v>171</v>
      </c>
      <c r="F332" s="16" t="s">
        <v>382</v>
      </c>
      <c r="G332" s="10" t="s">
        <v>150</v>
      </c>
      <c r="H332" s="10" t="s">
        <v>2465</v>
      </c>
      <c r="I332" s="62">
        <v>210</v>
      </c>
      <c r="J332" s="10" t="s">
        <v>1221</v>
      </c>
      <c r="K332" s="10" t="s">
        <v>1521</v>
      </c>
      <c r="L332" s="10" t="s">
        <v>1422</v>
      </c>
      <c r="M332" s="10" t="s">
        <v>1221</v>
      </c>
      <c r="N332" s="10" t="s">
        <v>1239</v>
      </c>
      <c r="O332" s="10"/>
    </row>
    <row r="333" spans="1:15" ht="18" customHeight="1" x14ac:dyDescent="0.3">
      <c r="A333" s="24">
        <v>332</v>
      </c>
      <c r="B333" s="10" t="s">
        <v>193</v>
      </c>
      <c r="C333" s="10" t="s">
        <v>17</v>
      </c>
      <c r="D333" s="62">
        <v>15</v>
      </c>
      <c r="E333" s="61" t="s">
        <v>171</v>
      </c>
      <c r="F333" s="16" t="s">
        <v>2466</v>
      </c>
      <c r="G333" s="10" t="s">
        <v>150</v>
      </c>
      <c r="H333" s="10" t="s">
        <v>2467</v>
      </c>
      <c r="I333" s="62">
        <v>66</v>
      </c>
      <c r="J333" s="10" t="s">
        <v>1221</v>
      </c>
      <c r="K333" s="10" t="s">
        <v>846</v>
      </c>
      <c r="L333" s="10" t="s">
        <v>1422</v>
      </c>
      <c r="M333" s="10" t="s">
        <v>1221</v>
      </c>
      <c r="N333" s="10" t="s">
        <v>1239</v>
      </c>
      <c r="O333" s="10"/>
    </row>
    <row r="334" spans="1:15" ht="18" customHeight="1" x14ac:dyDescent="0.3">
      <c r="A334" s="24">
        <v>333</v>
      </c>
      <c r="B334" s="10" t="s">
        <v>193</v>
      </c>
      <c r="C334" s="10" t="s">
        <v>17</v>
      </c>
      <c r="D334" s="62">
        <v>15</v>
      </c>
      <c r="E334" s="61" t="s">
        <v>171</v>
      </c>
      <c r="F334" s="16" t="s">
        <v>2466</v>
      </c>
      <c r="G334" s="10" t="s">
        <v>150</v>
      </c>
      <c r="H334" s="173" t="s">
        <v>3474</v>
      </c>
      <c r="I334" s="62">
        <v>332</v>
      </c>
      <c r="J334" s="10" t="s">
        <v>1521</v>
      </c>
      <c r="K334" s="10" t="s">
        <v>846</v>
      </c>
      <c r="L334" s="173" t="s">
        <v>3196</v>
      </c>
      <c r="M334" s="173" t="s">
        <v>1221</v>
      </c>
      <c r="N334" s="173" t="s">
        <v>1239</v>
      </c>
      <c r="O334" s="10" t="s">
        <v>3472</v>
      </c>
    </row>
    <row r="335" spans="1:15" ht="18" customHeight="1" x14ac:dyDescent="0.3">
      <c r="A335" s="24">
        <v>334</v>
      </c>
      <c r="B335" s="10" t="s">
        <v>193</v>
      </c>
      <c r="C335" s="10" t="s">
        <v>18</v>
      </c>
      <c r="D335" s="62">
        <v>16</v>
      </c>
      <c r="E335" s="61" t="s">
        <v>174</v>
      </c>
      <c r="F335" s="16" t="s">
        <v>331</v>
      </c>
      <c r="G335" s="10" t="s">
        <v>150</v>
      </c>
      <c r="H335" s="10" t="s">
        <v>845</v>
      </c>
      <c r="I335" s="62">
        <v>123</v>
      </c>
      <c r="J335" s="10" t="s">
        <v>1221</v>
      </c>
      <c r="K335" s="10" t="s">
        <v>847</v>
      </c>
      <c r="L335" s="10" t="s">
        <v>1239</v>
      </c>
      <c r="M335" s="10" t="s">
        <v>1221</v>
      </c>
      <c r="N335" s="10" t="s">
        <v>1239</v>
      </c>
      <c r="O335" s="10"/>
    </row>
    <row r="336" spans="1:15" ht="18" customHeight="1" x14ac:dyDescent="0.3">
      <c r="A336" s="24">
        <v>335</v>
      </c>
      <c r="B336" s="10" t="s">
        <v>193</v>
      </c>
      <c r="C336" s="10" t="s">
        <v>18</v>
      </c>
      <c r="D336" s="62">
        <v>16</v>
      </c>
      <c r="E336" s="61" t="s">
        <v>174</v>
      </c>
      <c r="F336" s="16" t="s">
        <v>331</v>
      </c>
      <c r="G336" s="10" t="s">
        <v>150</v>
      </c>
      <c r="H336" s="10" t="s">
        <v>848</v>
      </c>
      <c r="I336" s="62">
        <v>153</v>
      </c>
      <c r="J336" s="10" t="s">
        <v>1221</v>
      </c>
      <c r="K336" s="10" t="s">
        <v>847</v>
      </c>
      <c r="L336" s="10" t="s">
        <v>1239</v>
      </c>
      <c r="M336" s="10" t="s">
        <v>1221</v>
      </c>
      <c r="N336" s="10" t="s">
        <v>1239</v>
      </c>
      <c r="O336" s="10"/>
    </row>
    <row r="337" spans="1:15" ht="18" customHeight="1" x14ac:dyDescent="0.3">
      <c r="A337" s="24">
        <v>336</v>
      </c>
      <c r="B337" s="10" t="s">
        <v>193</v>
      </c>
      <c r="C337" s="10" t="s">
        <v>18</v>
      </c>
      <c r="D337" s="62">
        <v>16</v>
      </c>
      <c r="E337" s="61" t="s">
        <v>174</v>
      </c>
      <c r="F337" s="16" t="s">
        <v>331</v>
      </c>
      <c r="G337" s="10" t="s">
        <v>150</v>
      </c>
      <c r="H337" s="10" t="s">
        <v>849</v>
      </c>
      <c r="I337" s="62">
        <v>132</v>
      </c>
      <c r="J337" s="10" t="s">
        <v>1221</v>
      </c>
      <c r="K337" s="10" t="s">
        <v>847</v>
      </c>
      <c r="L337" s="10" t="s">
        <v>1239</v>
      </c>
      <c r="M337" s="10" t="s">
        <v>1221</v>
      </c>
      <c r="N337" s="10" t="s">
        <v>1239</v>
      </c>
      <c r="O337" s="10"/>
    </row>
    <row r="338" spans="1:15" ht="18" customHeight="1" x14ac:dyDescent="0.3">
      <c r="A338" s="24">
        <v>337</v>
      </c>
      <c r="B338" s="10" t="s">
        <v>193</v>
      </c>
      <c r="C338" s="10" t="s">
        <v>18</v>
      </c>
      <c r="D338" s="62">
        <v>16</v>
      </c>
      <c r="E338" s="61" t="s">
        <v>174</v>
      </c>
      <c r="F338" s="16" t="s">
        <v>331</v>
      </c>
      <c r="G338" s="10" t="s">
        <v>150</v>
      </c>
      <c r="H338" s="10" t="s">
        <v>850</v>
      </c>
      <c r="I338" s="62">
        <v>122</v>
      </c>
      <c r="J338" s="10" t="s">
        <v>1221</v>
      </c>
      <c r="K338" s="10" t="s">
        <v>847</v>
      </c>
      <c r="L338" s="10" t="s">
        <v>1239</v>
      </c>
      <c r="M338" s="10" t="s">
        <v>1221</v>
      </c>
      <c r="N338" s="10" t="s">
        <v>1239</v>
      </c>
      <c r="O338" s="10"/>
    </row>
    <row r="339" spans="1:15" ht="18" customHeight="1" x14ac:dyDescent="0.3">
      <c r="A339" s="24">
        <v>338</v>
      </c>
      <c r="B339" s="10" t="s">
        <v>193</v>
      </c>
      <c r="C339" s="10" t="s">
        <v>18</v>
      </c>
      <c r="D339" s="62">
        <v>16</v>
      </c>
      <c r="E339" s="61" t="s">
        <v>174</v>
      </c>
      <c r="F339" s="16" t="s">
        <v>331</v>
      </c>
      <c r="G339" s="10" t="s">
        <v>150</v>
      </c>
      <c r="H339" s="10" t="s">
        <v>851</v>
      </c>
      <c r="I339" s="62">
        <v>153</v>
      </c>
      <c r="J339" s="10" t="s">
        <v>1221</v>
      </c>
      <c r="K339" s="10" t="s">
        <v>847</v>
      </c>
      <c r="L339" s="10" t="s">
        <v>1239</v>
      </c>
      <c r="M339" s="10" t="s">
        <v>1221</v>
      </c>
      <c r="N339" s="10" t="s">
        <v>1239</v>
      </c>
      <c r="O339" s="10"/>
    </row>
    <row r="340" spans="1:15" ht="18" customHeight="1" x14ac:dyDescent="0.3">
      <c r="A340" s="24">
        <v>339</v>
      </c>
      <c r="B340" s="10" t="s">
        <v>193</v>
      </c>
      <c r="C340" s="10" t="s">
        <v>18</v>
      </c>
      <c r="D340" s="62">
        <v>16</v>
      </c>
      <c r="E340" s="61" t="s">
        <v>174</v>
      </c>
      <c r="F340" s="16" t="s">
        <v>331</v>
      </c>
      <c r="G340" s="10" t="s">
        <v>150</v>
      </c>
      <c r="H340" s="10" t="s">
        <v>852</v>
      </c>
      <c r="I340" s="62">
        <v>132</v>
      </c>
      <c r="J340" s="10" t="s">
        <v>1221</v>
      </c>
      <c r="K340" s="10" t="s">
        <v>847</v>
      </c>
      <c r="L340" s="10" t="s">
        <v>1239</v>
      </c>
      <c r="M340" s="10" t="s">
        <v>1221</v>
      </c>
      <c r="N340" s="10" t="s">
        <v>1239</v>
      </c>
      <c r="O340" s="10"/>
    </row>
    <row r="341" spans="1:15" ht="18" customHeight="1" x14ac:dyDescent="0.3">
      <c r="A341" s="24">
        <v>340</v>
      </c>
      <c r="B341" s="10" t="s">
        <v>1260</v>
      </c>
      <c r="C341" s="10" t="s">
        <v>1425</v>
      </c>
      <c r="D341" s="62">
        <v>16</v>
      </c>
      <c r="E341" s="61" t="s">
        <v>2802</v>
      </c>
      <c r="F341" s="16" t="s">
        <v>2468</v>
      </c>
      <c r="G341" s="10" t="s">
        <v>1264</v>
      </c>
      <c r="H341" s="10" t="s">
        <v>2385</v>
      </c>
      <c r="I341" s="62">
        <v>170</v>
      </c>
      <c r="J341" s="10" t="s">
        <v>1521</v>
      </c>
      <c r="K341" s="10" t="s">
        <v>847</v>
      </c>
      <c r="L341" s="10" t="s">
        <v>1239</v>
      </c>
      <c r="M341" s="10" t="s">
        <v>1221</v>
      </c>
      <c r="N341" s="10" t="s">
        <v>1239</v>
      </c>
      <c r="O341" s="10"/>
    </row>
    <row r="342" spans="1:15" ht="18" customHeight="1" x14ac:dyDescent="0.3">
      <c r="A342" s="24">
        <v>341</v>
      </c>
      <c r="B342" s="10" t="s">
        <v>1260</v>
      </c>
      <c r="C342" s="10" t="s">
        <v>1425</v>
      </c>
      <c r="D342" s="62">
        <v>16</v>
      </c>
      <c r="E342" s="61" t="s">
        <v>2802</v>
      </c>
      <c r="F342" s="16" t="s">
        <v>2468</v>
      </c>
      <c r="G342" s="10" t="s">
        <v>1264</v>
      </c>
      <c r="H342" s="10" t="s">
        <v>2378</v>
      </c>
      <c r="I342" s="62">
        <v>139</v>
      </c>
      <c r="J342" s="10" t="s">
        <v>1221</v>
      </c>
      <c r="K342" s="10" t="s">
        <v>847</v>
      </c>
      <c r="L342" s="10" t="s">
        <v>1239</v>
      </c>
      <c r="M342" s="10" t="s">
        <v>1221</v>
      </c>
      <c r="N342" s="10" t="s">
        <v>1239</v>
      </c>
      <c r="O342" s="10"/>
    </row>
    <row r="343" spans="1:15" ht="18" customHeight="1" x14ac:dyDescent="0.3">
      <c r="A343" s="24">
        <v>342</v>
      </c>
      <c r="B343" s="10" t="s">
        <v>1260</v>
      </c>
      <c r="C343" s="10" t="s">
        <v>1425</v>
      </c>
      <c r="D343" s="62">
        <v>16</v>
      </c>
      <c r="E343" s="61" t="s">
        <v>2802</v>
      </c>
      <c r="F343" s="16" t="s">
        <v>2468</v>
      </c>
      <c r="G343" s="10" t="s">
        <v>1264</v>
      </c>
      <c r="H343" s="10" t="s">
        <v>2379</v>
      </c>
      <c r="I343" s="62">
        <v>156</v>
      </c>
      <c r="J343" s="10" t="s">
        <v>1521</v>
      </c>
      <c r="K343" s="10" t="s">
        <v>847</v>
      </c>
      <c r="L343" s="10" t="s">
        <v>1239</v>
      </c>
      <c r="M343" s="10" t="s">
        <v>1221</v>
      </c>
      <c r="N343" s="10" t="s">
        <v>1239</v>
      </c>
      <c r="O343" s="10"/>
    </row>
    <row r="344" spans="1:15" ht="18" customHeight="1" x14ac:dyDescent="0.3">
      <c r="A344" s="24">
        <v>343</v>
      </c>
      <c r="B344" s="10" t="s">
        <v>1260</v>
      </c>
      <c r="C344" s="10" t="s">
        <v>1425</v>
      </c>
      <c r="D344" s="62">
        <v>16</v>
      </c>
      <c r="E344" s="61" t="s">
        <v>2802</v>
      </c>
      <c r="F344" s="16" t="s">
        <v>2468</v>
      </c>
      <c r="G344" s="10" t="s">
        <v>1264</v>
      </c>
      <c r="H344" s="10" t="s">
        <v>2380</v>
      </c>
      <c r="I344" s="62">
        <v>170</v>
      </c>
      <c r="J344" s="10" t="s">
        <v>1221</v>
      </c>
      <c r="K344" s="10" t="s">
        <v>847</v>
      </c>
      <c r="L344" s="10" t="s">
        <v>1239</v>
      </c>
      <c r="M344" s="10" t="s">
        <v>1221</v>
      </c>
      <c r="N344" s="10" t="s">
        <v>1239</v>
      </c>
      <c r="O344" s="10"/>
    </row>
    <row r="345" spans="1:15" ht="18" customHeight="1" x14ac:dyDescent="0.3">
      <c r="A345" s="24">
        <v>344</v>
      </c>
      <c r="B345" s="10" t="s">
        <v>1260</v>
      </c>
      <c r="C345" s="10" t="s">
        <v>1425</v>
      </c>
      <c r="D345" s="62">
        <v>16</v>
      </c>
      <c r="E345" s="61" t="s">
        <v>2802</v>
      </c>
      <c r="F345" s="16" t="s">
        <v>2468</v>
      </c>
      <c r="G345" s="10" t="s">
        <v>1264</v>
      </c>
      <c r="H345" s="10" t="s">
        <v>2390</v>
      </c>
      <c r="I345" s="62">
        <v>143</v>
      </c>
      <c r="J345" s="10" t="s">
        <v>1221</v>
      </c>
      <c r="K345" s="10" t="s">
        <v>847</v>
      </c>
      <c r="L345" s="10" t="s">
        <v>1239</v>
      </c>
      <c r="M345" s="10" t="s">
        <v>1221</v>
      </c>
      <c r="N345" s="10" t="s">
        <v>1239</v>
      </c>
      <c r="O345" s="10"/>
    </row>
    <row r="346" spans="1:15" ht="18" customHeight="1" x14ac:dyDescent="0.3">
      <c r="A346" s="24">
        <v>345</v>
      </c>
      <c r="B346" s="10" t="s">
        <v>1260</v>
      </c>
      <c r="C346" s="10" t="s">
        <v>1425</v>
      </c>
      <c r="D346" s="62">
        <v>16</v>
      </c>
      <c r="E346" s="61" t="s">
        <v>2802</v>
      </c>
      <c r="F346" s="16" t="s">
        <v>2468</v>
      </c>
      <c r="G346" s="10" t="s">
        <v>1264</v>
      </c>
      <c r="H346" s="10" t="s">
        <v>2469</v>
      </c>
      <c r="I346" s="62">
        <v>156</v>
      </c>
      <c r="J346" s="10" t="s">
        <v>1221</v>
      </c>
      <c r="K346" s="10" t="s">
        <v>1521</v>
      </c>
      <c r="L346" s="10" t="s">
        <v>2470</v>
      </c>
      <c r="M346" s="10" t="s">
        <v>1221</v>
      </c>
      <c r="N346" s="10" t="s">
        <v>1239</v>
      </c>
      <c r="O346" s="10"/>
    </row>
    <row r="347" spans="1:15" ht="18" customHeight="1" x14ac:dyDescent="0.3">
      <c r="A347" s="24">
        <v>346</v>
      </c>
      <c r="B347" s="10" t="s">
        <v>193</v>
      </c>
      <c r="C347" s="10" t="s">
        <v>18</v>
      </c>
      <c r="D347" s="62">
        <v>16</v>
      </c>
      <c r="E347" s="61" t="s">
        <v>172</v>
      </c>
      <c r="F347" s="16" t="s">
        <v>329</v>
      </c>
      <c r="G347" s="10" t="s">
        <v>1278</v>
      </c>
      <c r="H347" s="10" t="s">
        <v>845</v>
      </c>
      <c r="I347" s="62">
        <v>43</v>
      </c>
      <c r="J347" s="8" t="s">
        <v>1221</v>
      </c>
      <c r="K347" s="10" t="s">
        <v>1521</v>
      </c>
      <c r="L347" s="10" t="s">
        <v>2229</v>
      </c>
      <c r="M347" s="10" t="s">
        <v>1221</v>
      </c>
      <c r="N347" s="10" t="s">
        <v>1239</v>
      </c>
      <c r="O347" s="10"/>
    </row>
    <row r="348" spans="1:15" ht="18" customHeight="1" x14ac:dyDescent="0.3">
      <c r="A348" s="24">
        <v>347</v>
      </c>
      <c r="B348" s="10" t="s">
        <v>193</v>
      </c>
      <c r="C348" s="10" t="s">
        <v>18</v>
      </c>
      <c r="D348" s="62">
        <v>16</v>
      </c>
      <c r="E348" s="61" t="s">
        <v>172</v>
      </c>
      <c r="F348" s="16" t="s">
        <v>329</v>
      </c>
      <c r="G348" s="10" t="s">
        <v>1278</v>
      </c>
      <c r="H348" s="10" t="s">
        <v>848</v>
      </c>
      <c r="I348" s="62">
        <v>90</v>
      </c>
      <c r="J348" s="8" t="s">
        <v>1221</v>
      </c>
      <c r="K348" s="10" t="s">
        <v>1521</v>
      </c>
      <c r="L348" s="10" t="s">
        <v>2229</v>
      </c>
      <c r="M348" s="10" t="s">
        <v>1221</v>
      </c>
      <c r="N348" s="10" t="s">
        <v>1239</v>
      </c>
      <c r="O348" s="10"/>
    </row>
    <row r="349" spans="1:15" ht="18" customHeight="1" x14ac:dyDescent="0.3">
      <c r="A349" s="24">
        <v>348</v>
      </c>
      <c r="B349" s="10" t="s">
        <v>193</v>
      </c>
      <c r="C349" s="10" t="s">
        <v>18</v>
      </c>
      <c r="D349" s="62">
        <v>16</v>
      </c>
      <c r="E349" s="61" t="s">
        <v>172</v>
      </c>
      <c r="F349" s="16" t="s">
        <v>329</v>
      </c>
      <c r="G349" s="10" t="s">
        <v>1278</v>
      </c>
      <c r="H349" s="10" t="s">
        <v>849</v>
      </c>
      <c r="I349" s="62">
        <v>77</v>
      </c>
      <c r="J349" s="8" t="s">
        <v>1221</v>
      </c>
      <c r="K349" s="10" t="s">
        <v>1521</v>
      </c>
      <c r="L349" s="10" t="s">
        <v>2229</v>
      </c>
      <c r="M349" s="10" t="s">
        <v>1221</v>
      </c>
      <c r="N349" s="10" t="s">
        <v>1239</v>
      </c>
      <c r="O349" s="10"/>
    </row>
    <row r="350" spans="1:15" ht="18" customHeight="1" x14ac:dyDescent="0.3">
      <c r="A350" s="24">
        <v>349</v>
      </c>
      <c r="B350" s="10" t="s">
        <v>193</v>
      </c>
      <c r="C350" s="10" t="s">
        <v>18</v>
      </c>
      <c r="D350" s="62">
        <v>16</v>
      </c>
      <c r="E350" s="61" t="s">
        <v>172</v>
      </c>
      <c r="F350" s="16" t="s">
        <v>329</v>
      </c>
      <c r="G350" s="10" t="s">
        <v>1278</v>
      </c>
      <c r="H350" s="10" t="s">
        <v>850</v>
      </c>
      <c r="I350" s="62">
        <v>73</v>
      </c>
      <c r="J350" s="8" t="s">
        <v>1221</v>
      </c>
      <c r="K350" s="10" t="s">
        <v>1521</v>
      </c>
      <c r="L350" s="10" t="s">
        <v>2229</v>
      </c>
      <c r="M350" s="10" t="s">
        <v>1221</v>
      </c>
      <c r="N350" s="10" t="s">
        <v>1239</v>
      </c>
      <c r="O350" s="10"/>
    </row>
    <row r="351" spans="1:15" ht="18" customHeight="1" x14ac:dyDescent="0.3">
      <c r="A351" s="24">
        <v>350</v>
      </c>
      <c r="B351" s="10" t="s">
        <v>193</v>
      </c>
      <c r="C351" s="10" t="s">
        <v>18</v>
      </c>
      <c r="D351" s="62">
        <v>16</v>
      </c>
      <c r="E351" s="61" t="s">
        <v>172</v>
      </c>
      <c r="F351" s="16" t="s">
        <v>329</v>
      </c>
      <c r="G351" s="10" t="s">
        <v>1278</v>
      </c>
      <c r="H351" s="10" t="s">
        <v>851</v>
      </c>
      <c r="I351" s="62">
        <v>54</v>
      </c>
      <c r="J351" s="8" t="s">
        <v>1221</v>
      </c>
      <c r="K351" s="10" t="s">
        <v>1521</v>
      </c>
      <c r="L351" s="10" t="s">
        <v>2229</v>
      </c>
      <c r="M351" s="10" t="s">
        <v>1221</v>
      </c>
      <c r="N351" s="10" t="s">
        <v>1239</v>
      </c>
      <c r="O351" s="10"/>
    </row>
    <row r="352" spans="1:15" ht="18" customHeight="1" x14ac:dyDescent="0.3">
      <c r="A352" s="24">
        <v>351</v>
      </c>
      <c r="B352" s="10" t="s">
        <v>193</v>
      </c>
      <c r="C352" s="10" t="s">
        <v>18</v>
      </c>
      <c r="D352" s="62">
        <v>16</v>
      </c>
      <c r="E352" s="61" t="s">
        <v>172</v>
      </c>
      <c r="F352" s="16" t="s">
        <v>329</v>
      </c>
      <c r="G352" s="10" t="s">
        <v>1278</v>
      </c>
      <c r="H352" s="10" t="s">
        <v>852</v>
      </c>
      <c r="I352" s="62">
        <v>107</v>
      </c>
      <c r="J352" s="8" t="s">
        <v>1221</v>
      </c>
      <c r="K352" s="10" t="s">
        <v>1521</v>
      </c>
      <c r="L352" s="10" t="s">
        <v>2229</v>
      </c>
      <c r="M352" s="10" t="s">
        <v>1221</v>
      </c>
      <c r="N352" s="10" t="s">
        <v>1239</v>
      </c>
      <c r="O352" s="10"/>
    </row>
    <row r="353" spans="1:15" ht="18" customHeight="1" x14ac:dyDescent="0.3">
      <c r="A353" s="24">
        <v>352</v>
      </c>
      <c r="B353" s="10" t="s">
        <v>193</v>
      </c>
      <c r="C353" s="10" t="s">
        <v>18</v>
      </c>
      <c r="D353" s="62">
        <v>16</v>
      </c>
      <c r="E353" s="61" t="s">
        <v>173</v>
      </c>
      <c r="F353" s="16" t="s">
        <v>330</v>
      </c>
      <c r="G353" s="10" t="s">
        <v>150</v>
      </c>
      <c r="H353" s="10" t="s">
        <v>849</v>
      </c>
      <c r="I353" s="62">
        <v>288</v>
      </c>
      <c r="J353" s="8" t="s">
        <v>846</v>
      </c>
      <c r="K353" s="10" t="s">
        <v>847</v>
      </c>
      <c r="L353" s="10" t="s">
        <v>1239</v>
      </c>
      <c r="M353" s="10" t="s">
        <v>1221</v>
      </c>
      <c r="N353" s="10" t="s">
        <v>1239</v>
      </c>
      <c r="O353" s="10"/>
    </row>
    <row r="354" spans="1:15" ht="18" customHeight="1" x14ac:dyDescent="0.3">
      <c r="A354" s="24">
        <v>353</v>
      </c>
      <c r="B354" s="10" t="s">
        <v>193</v>
      </c>
      <c r="C354" s="10" t="s">
        <v>18</v>
      </c>
      <c r="D354" s="62">
        <v>16</v>
      </c>
      <c r="E354" s="61" t="s">
        <v>173</v>
      </c>
      <c r="F354" s="16" t="s">
        <v>330</v>
      </c>
      <c r="G354" s="10" t="s">
        <v>150</v>
      </c>
      <c r="H354" s="10" t="s">
        <v>850</v>
      </c>
      <c r="I354" s="62">
        <v>192</v>
      </c>
      <c r="J354" s="8" t="s">
        <v>846</v>
      </c>
      <c r="K354" s="10" t="s">
        <v>847</v>
      </c>
      <c r="L354" s="10" t="s">
        <v>1239</v>
      </c>
      <c r="M354" s="10" t="s">
        <v>1221</v>
      </c>
      <c r="N354" s="10" t="s">
        <v>1239</v>
      </c>
      <c r="O354" s="10"/>
    </row>
    <row r="355" spans="1:15" ht="18" customHeight="1" x14ac:dyDescent="0.3">
      <c r="A355" s="24">
        <v>354</v>
      </c>
      <c r="B355" s="10" t="s">
        <v>193</v>
      </c>
      <c r="C355" s="10" t="s">
        <v>18</v>
      </c>
      <c r="D355" s="62">
        <v>16</v>
      </c>
      <c r="E355" s="61" t="s">
        <v>173</v>
      </c>
      <c r="F355" s="16" t="s">
        <v>330</v>
      </c>
      <c r="G355" s="10" t="s">
        <v>150</v>
      </c>
      <c r="H355" s="10" t="s">
        <v>851</v>
      </c>
      <c r="I355" s="62">
        <v>192</v>
      </c>
      <c r="J355" s="8" t="s">
        <v>846</v>
      </c>
      <c r="K355" s="10" t="s">
        <v>847</v>
      </c>
      <c r="L355" s="10" t="s">
        <v>1239</v>
      </c>
      <c r="M355" s="10" t="s">
        <v>1221</v>
      </c>
      <c r="N355" s="10" t="s">
        <v>1239</v>
      </c>
      <c r="O355" s="10"/>
    </row>
    <row r="356" spans="1:15" ht="18" customHeight="1" x14ac:dyDescent="0.3">
      <c r="A356" s="24">
        <v>355</v>
      </c>
      <c r="B356" s="10" t="s">
        <v>193</v>
      </c>
      <c r="C356" s="10" t="s">
        <v>18</v>
      </c>
      <c r="D356" s="62">
        <v>16</v>
      </c>
      <c r="E356" s="61" t="s">
        <v>173</v>
      </c>
      <c r="F356" s="16" t="s">
        <v>330</v>
      </c>
      <c r="G356" s="10" t="s">
        <v>150</v>
      </c>
      <c r="H356" s="10" t="s">
        <v>852</v>
      </c>
      <c r="I356" s="62">
        <v>318</v>
      </c>
      <c r="J356" s="8" t="s">
        <v>846</v>
      </c>
      <c r="K356" s="10" t="s">
        <v>847</v>
      </c>
      <c r="L356" s="10" t="s">
        <v>1239</v>
      </c>
      <c r="M356" s="10" t="s">
        <v>1221</v>
      </c>
      <c r="N356" s="10" t="s">
        <v>1239</v>
      </c>
      <c r="O356" s="10"/>
    </row>
    <row r="357" spans="1:15" ht="18" customHeight="1" x14ac:dyDescent="0.3">
      <c r="A357" s="24">
        <v>356</v>
      </c>
      <c r="B357" s="10" t="s">
        <v>193</v>
      </c>
      <c r="C357" s="10" t="s">
        <v>18</v>
      </c>
      <c r="D357" s="62">
        <v>16</v>
      </c>
      <c r="E357" s="61" t="s">
        <v>173</v>
      </c>
      <c r="F357" s="16" t="s">
        <v>330</v>
      </c>
      <c r="G357" s="10" t="s">
        <v>150</v>
      </c>
      <c r="H357" s="10" t="s">
        <v>853</v>
      </c>
      <c r="I357" s="62">
        <v>288</v>
      </c>
      <c r="J357" s="8" t="s">
        <v>1221</v>
      </c>
      <c r="K357" s="10" t="s">
        <v>847</v>
      </c>
      <c r="L357" s="10" t="s">
        <v>1239</v>
      </c>
      <c r="M357" s="10" t="s">
        <v>1221</v>
      </c>
      <c r="N357" s="10" t="s">
        <v>1239</v>
      </c>
      <c r="O357" s="10"/>
    </row>
    <row r="358" spans="1:15" ht="18" customHeight="1" x14ac:dyDescent="0.3">
      <c r="A358" s="24">
        <v>357</v>
      </c>
      <c r="B358" s="10" t="s">
        <v>193</v>
      </c>
      <c r="C358" s="10" t="s">
        <v>18</v>
      </c>
      <c r="D358" s="62">
        <v>16</v>
      </c>
      <c r="E358" s="61" t="s">
        <v>173</v>
      </c>
      <c r="F358" s="16" t="s">
        <v>330</v>
      </c>
      <c r="G358" s="10" t="s">
        <v>150</v>
      </c>
      <c r="H358" s="10" t="s">
        <v>854</v>
      </c>
      <c r="I358" s="62">
        <v>187</v>
      </c>
      <c r="J358" s="8" t="s">
        <v>1221</v>
      </c>
      <c r="K358" s="10" t="s">
        <v>847</v>
      </c>
      <c r="L358" s="10" t="s">
        <v>1239</v>
      </c>
      <c r="M358" s="10" t="s">
        <v>1221</v>
      </c>
      <c r="N358" s="10" t="s">
        <v>1239</v>
      </c>
      <c r="O358" s="10"/>
    </row>
    <row r="359" spans="1:15" ht="18" customHeight="1" x14ac:dyDescent="0.3">
      <c r="A359" s="24">
        <v>358</v>
      </c>
      <c r="B359" s="10" t="s">
        <v>193</v>
      </c>
      <c r="C359" s="10" t="s">
        <v>18</v>
      </c>
      <c r="D359" s="62">
        <v>16</v>
      </c>
      <c r="E359" s="61" t="s">
        <v>173</v>
      </c>
      <c r="F359" s="16" t="s">
        <v>330</v>
      </c>
      <c r="G359" s="10" t="s">
        <v>150</v>
      </c>
      <c r="H359" s="10" t="s">
        <v>855</v>
      </c>
      <c r="I359" s="62">
        <v>192</v>
      </c>
      <c r="J359" s="8" t="s">
        <v>1221</v>
      </c>
      <c r="K359" s="10" t="s">
        <v>847</v>
      </c>
      <c r="L359" s="10" t="s">
        <v>1239</v>
      </c>
      <c r="M359" s="10" t="s">
        <v>1221</v>
      </c>
      <c r="N359" s="10" t="s">
        <v>1239</v>
      </c>
      <c r="O359" s="10"/>
    </row>
    <row r="360" spans="1:15" ht="18" customHeight="1" x14ac:dyDescent="0.3">
      <c r="A360" s="24">
        <v>359</v>
      </c>
      <c r="B360" s="10" t="s">
        <v>193</v>
      </c>
      <c r="C360" s="10" t="s">
        <v>18</v>
      </c>
      <c r="D360" s="62">
        <v>16</v>
      </c>
      <c r="E360" s="61" t="s">
        <v>173</v>
      </c>
      <c r="F360" s="16" t="s">
        <v>330</v>
      </c>
      <c r="G360" s="10" t="s">
        <v>150</v>
      </c>
      <c r="H360" s="10" t="s">
        <v>869</v>
      </c>
      <c r="I360" s="62">
        <v>322</v>
      </c>
      <c r="J360" s="8" t="s">
        <v>846</v>
      </c>
      <c r="K360" s="10" t="s">
        <v>847</v>
      </c>
      <c r="L360" s="10" t="s">
        <v>1239</v>
      </c>
      <c r="M360" s="10" t="s">
        <v>1221</v>
      </c>
      <c r="N360" s="10" t="s">
        <v>1239</v>
      </c>
      <c r="O360" s="10"/>
    </row>
    <row r="361" spans="1:15" ht="18" customHeight="1" x14ac:dyDescent="0.3">
      <c r="A361" s="24">
        <v>360</v>
      </c>
      <c r="B361" s="10" t="s">
        <v>193</v>
      </c>
      <c r="C361" s="10" t="s">
        <v>18</v>
      </c>
      <c r="D361" s="62">
        <v>16</v>
      </c>
      <c r="E361" s="61" t="s">
        <v>173</v>
      </c>
      <c r="F361" s="16" t="s">
        <v>1088</v>
      </c>
      <c r="G361" s="10" t="s">
        <v>150</v>
      </c>
      <c r="H361" s="10" t="s">
        <v>848</v>
      </c>
      <c r="I361" s="62">
        <v>116</v>
      </c>
      <c r="J361" s="8" t="s">
        <v>846</v>
      </c>
      <c r="K361" s="10" t="s">
        <v>1521</v>
      </c>
      <c r="L361" s="10" t="s">
        <v>1302</v>
      </c>
      <c r="M361" s="10" t="s">
        <v>1221</v>
      </c>
      <c r="N361" s="10" t="s">
        <v>1239</v>
      </c>
      <c r="O361" s="10"/>
    </row>
    <row r="362" spans="1:15" ht="18" customHeight="1" x14ac:dyDescent="0.3">
      <c r="A362" s="24">
        <v>361</v>
      </c>
      <c r="B362" s="10" t="s">
        <v>193</v>
      </c>
      <c r="C362" s="10" t="s">
        <v>18</v>
      </c>
      <c r="D362" s="62">
        <v>16</v>
      </c>
      <c r="E362" s="61" t="s">
        <v>1159</v>
      </c>
      <c r="F362" s="16" t="s">
        <v>1088</v>
      </c>
      <c r="G362" s="10" t="s">
        <v>150</v>
      </c>
      <c r="H362" s="10" t="s">
        <v>1156</v>
      </c>
      <c r="I362" s="62">
        <v>32</v>
      </c>
      <c r="J362" s="8" t="s">
        <v>846</v>
      </c>
      <c r="K362" s="10" t="s">
        <v>1521</v>
      </c>
      <c r="L362" s="10" t="s">
        <v>2392</v>
      </c>
      <c r="M362" s="10" t="s">
        <v>1221</v>
      </c>
      <c r="N362" s="10" t="s">
        <v>1239</v>
      </c>
      <c r="O362" s="10"/>
    </row>
    <row r="363" spans="1:15" ht="18" customHeight="1" x14ac:dyDescent="0.3">
      <c r="A363" s="24">
        <v>362</v>
      </c>
      <c r="B363" s="10" t="s">
        <v>193</v>
      </c>
      <c r="C363" s="10" t="s">
        <v>18</v>
      </c>
      <c r="D363" s="62">
        <v>16</v>
      </c>
      <c r="E363" s="61" t="s">
        <v>876</v>
      </c>
      <c r="F363" s="16" t="s">
        <v>333</v>
      </c>
      <c r="G363" s="10" t="s">
        <v>150</v>
      </c>
      <c r="H363" s="10" t="s">
        <v>845</v>
      </c>
      <c r="I363" s="62">
        <v>198</v>
      </c>
      <c r="J363" s="10" t="s">
        <v>1221</v>
      </c>
      <c r="K363" s="10" t="s">
        <v>847</v>
      </c>
      <c r="L363" s="10" t="s">
        <v>1239</v>
      </c>
      <c r="M363" s="10" t="s">
        <v>1221</v>
      </c>
      <c r="N363" s="10" t="s">
        <v>1239</v>
      </c>
      <c r="O363" s="10"/>
    </row>
    <row r="364" spans="1:15" ht="18" customHeight="1" x14ac:dyDescent="0.3">
      <c r="A364" s="24">
        <v>363</v>
      </c>
      <c r="B364" s="10" t="s">
        <v>193</v>
      </c>
      <c r="C364" s="10" t="s">
        <v>18</v>
      </c>
      <c r="D364" s="62">
        <v>16</v>
      </c>
      <c r="E364" s="61" t="s">
        <v>876</v>
      </c>
      <c r="F364" s="16" t="s">
        <v>333</v>
      </c>
      <c r="G364" s="10" t="s">
        <v>150</v>
      </c>
      <c r="H364" s="10" t="s">
        <v>848</v>
      </c>
      <c r="I364" s="62">
        <v>174</v>
      </c>
      <c r="J364" s="10" t="s">
        <v>1221</v>
      </c>
      <c r="K364" s="10" t="s">
        <v>847</v>
      </c>
      <c r="L364" s="10" t="s">
        <v>1239</v>
      </c>
      <c r="M364" s="10" t="s">
        <v>1221</v>
      </c>
      <c r="N364" s="10" t="s">
        <v>1239</v>
      </c>
      <c r="O364" s="10"/>
    </row>
    <row r="365" spans="1:15" ht="18" customHeight="1" x14ac:dyDescent="0.3">
      <c r="A365" s="24">
        <v>364</v>
      </c>
      <c r="B365" s="10" t="s">
        <v>193</v>
      </c>
      <c r="C365" s="10" t="s">
        <v>18</v>
      </c>
      <c r="D365" s="62">
        <v>16</v>
      </c>
      <c r="E365" s="61" t="s">
        <v>876</v>
      </c>
      <c r="F365" s="16" t="s">
        <v>333</v>
      </c>
      <c r="G365" s="10" t="s">
        <v>150</v>
      </c>
      <c r="H365" s="10" t="s">
        <v>849</v>
      </c>
      <c r="I365" s="62">
        <v>210</v>
      </c>
      <c r="J365" s="10" t="s">
        <v>1221</v>
      </c>
      <c r="K365" s="10" t="s">
        <v>847</v>
      </c>
      <c r="L365" s="10" t="s">
        <v>1239</v>
      </c>
      <c r="M365" s="10" t="s">
        <v>1221</v>
      </c>
      <c r="N365" s="10" t="s">
        <v>1239</v>
      </c>
      <c r="O365" s="10"/>
    </row>
    <row r="366" spans="1:15" ht="18" customHeight="1" x14ac:dyDescent="0.3">
      <c r="A366" s="24">
        <v>365</v>
      </c>
      <c r="B366" s="10" t="s">
        <v>193</v>
      </c>
      <c r="C366" s="10" t="s">
        <v>18</v>
      </c>
      <c r="D366" s="62">
        <v>16</v>
      </c>
      <c r="E366" s="61" t="s">
        <v>876</v>
      </c>
      <c r="F366" s="16" t="s">
        <v>333</v>
      </c>
      <c r="G366" s="10" t="s">
        <v>150</v>
      </c>
      <c r="H366" s="10" t="s">
        <v>850</v>
      </c>
      <c r="I366" s="62">
        <v>95</v>
      </c>
      <c r="J366" s="10" t="s">
        <v>1221</v>
      </c>
      <c r="K366" s="10" t="s">
        <v>847</v>
      </c>
      <c r="L366" s="10" t="s">
        <v>1239</v>
      </c>
      <c r="M366" s="10" t="s">
        <v>1221</v>
      </c>
      <c r="N366" s="10" t="s">
        <v>1239</v>
      </c>
      <c r="O366" s="10"/>
    </row>
    <row r="367" spans="1:15" ht="18" customHeight="1" x14ac:dyDescent="0.3">
      <c r="A367" s="24">
        <v>366</v>
      </c>
      <c r="B367" s="10" t="s">
        <v>193</v>
      </c>
      <c r="C367" s="10" t="s">
        <v>18</v>
      </c>
      <c r="D367" s="62">
        <v>16</v>
      </c>
      <c r="E367" s="61" t="s">
        <v>876</v>
      </c>
      <c r="F367" s="16" t="s">
        <v>333</v>
      </c>
      <c r="G367" s="10" t="s">
        <v>150</v>
      </c>
      <c r="H367" s="10" t="s">
        <v>851</v>
      </c>
      <c r="I367" s="62">
        <v>174</v>
      </c>
      <c r="J367" s="10" t="s">
        <v>1221</v>
      </c>
      <c r="K367" s="10" t="s">
        <v>847</v>
      </c>
      <c r="L367" s="10" t="s">
        <v>1239</v>
      </c>
      <c r="M367" s="10" t="s">
        <v>1221</v>
      </c>
      <c r="N367" s="10" t="s">
        <v>1239</v>
      </c>
      <c r="O367" s="10"/>
    </row>
    <row r="368" spans="1:15" ht="18" customHeight="1" x14ac:dyDescent="0.3">
      <c r="A368" s="24">
        <v>367</v>
      </c>
      <c r="B368" s="10" t="s">
        <v>193</v>
      </c>
      <c r="C368" s="10" t="s">
        <v>19</v>
      </c>
      <c r="D368" s="62">
        <v>17</v>
      </c>
      <c r="E368" s="61" t="s">
        <v>175</v>
      </c>
      <c r="F368" s="16" t="s">
        <v>346</v>
      </c>
      <c r="G368" s="10" t="s">
        <v>150</v>
      </c>
      <c r="H368" s="10" t="s">
        <v>845</v>
      </c>
      <c r="I368" s="62">
        <v>124</v>
      </c>
      <c r="J368" s="8" t="s">
        <v>846</v>
      </c>
      <c r="K368" s="10" t="s">
        <v>847</v>
      </c>
      <c r="L368" s="10" t="s">
        <v>1239</v>
      </c>
      <c r="M368" s="10" t="s">
        <v>1221</v>
      </c>
      <c r="N368" s="10" t="s">
        <v>1239</v>
      </c>
      <c r="O368" s="10"/>
    </row>
    <row r="369" spans="1:15" ht="18" customHeight="1" x14ac:dyDescent="0.3">
      <c r="A369" s="24">
        <v>368</v>
      </c>
      <c r="B369" s="10" t="s">
        <v>193</v>
      </c>
      <c r="C369" s="10" t="s">
        <v>19</v>
      </c>
      <c r="D369" s="62">
        <v>17</v>
      </c>
      <c r="E369" s="61" t="s">
        <v>175</v>
      </c>
      <c r="F369" s="16" t="s">
        <v>346</v>
      </c>
      <c r="G369" s="10" t="s">
        <v>150</v>
      </c>
      <c r="H369" s="10" t="s">
        <v>848</v>
      </c>
      <c r="I369" s="62">
        <v>116</v>
      </c>
      <c r="J369" s="8" t="s">
        <v>1221</v>
      </c>
      <c r="K369" s="10" t="s">
        <v>847</v>
      </c>
      <c r="L369" s="10" t="s">
        <v>1239</v>
      </c>
      <c r="M369" s="10" t="s">
        <v>1221</v>
      </c>
      <c r="N369" s="10" t="s">
        <v>1239</v>
      </c>
      <c r="O369" s="10"/>
    </row>
    <row r="370" spans="1:15" ht="18" customHeight="1" x14ac:dyDescent="0.3">
      <c r="A370" s="24">
        <v>369</v>
      </c>
      <c r="B370" s="10" t="s">
        <v>193</v>
      </c>
      <c r="C370" s="10" t="s">
        <v>19</v>
      </c>
      <c r="D370" s="62">
        <v>17</v>
      </c>
      <c r="E370" s="61" t="s">
        <v>175</v>
      </c>
      <c r="F370" s="16" t="s">
        <v>346</v>
      </c>
      <c r="G370" s="10" t="s">
        <v>150</v>
      </c>
      <c r="H370" s="10" t="s">
        <v>849</v>
      </c>
      <c r="I370" s="62">
        <v>261</v>
      </c>
      <c r="J370" s="8" t="s">
        <v>846</v>
      </c>
      <c r="K370" s="10" t="s">
        <v>847</v>
      </c>
      <c r="L370" s="10" t="s">
        <v>1239</v>
      </c>
      <c r="M370" s="10" t="s">
        <v>1221</v>
      </c>
      <c r="N370" s="10" t="s">
        <v>1239</v>
      </c>
      <c r="O370" s="10"/>
    </row>
    <row r="371" spans="1:15" ht="18" customHeight="1" x14ac:dyDescent="0.3">
      <c r="A371" s="24">
        <v>370</v>
      </c>
      <c r="B371" s="10" t="s">
        <v>193</v>
      </c>
      <c r="C371" s="10" t="s">
        <v>19</v>
      </c>
      <c r="D371" s="62">
        <v>17</v>
      </c>
      <c r="E371" s="61" t="s">
        <v>175</v>
      </c>
      <c r="F371" s="16" t="s">
        <v>346</v>
      </c>
      <c r="G371" s="10" t="s">
        <v>150</v>
      </c>
      <c r="H371" s="10" t="s">
        <v>850</v>
      </c>
      <c r="I371" s="62">
        <v>32</v>
      </c>
      <c r="J371" s="8" t="s">
        <v>1221</v>
      </c>
      <c r="K371" s="10" t="s">
        <v>1221</v>
      </c>
      <c r="L371" s="10" t="s">
        <v>1239</v>
      </c>
      <c r="M371" s="10" t="s">
        <v>1521</v>
      </c>
      <c r="N371" s="10" t="s">
        <v>2440</v>
      </c>
      <c r="O371" s="10"/>
    </row>
    <row r="372" spans="1:15" ht="18" customHeight="1" x14ac:dyDescent="0.3">
      <c r="A372" s="24">
        <v>371</v>
      </c>
      <c r="B372" s="10" t="s">
        <v>193</v>
      </c>
      <c r="C372" s="10" t="s">
        <v>19</v>
      </c>
      <c r="D372" s="62">
        <v>17</v>
      </c>
      <c r="E372" s="61" t="s">
        <v>175</v>
      </c>
      <c r="F372" s="16" t="s">
        <v>346</v>
      </c>
      <c r="G372" s="10" t="s">
        <v>150</v>
      </c>
      <c r="H372" s="10" t="s">
        <v>851</v>
      </c>
      <c r="I372" s="62">
        <v>27</v>
      </c>
      <c r="J372" s="8" t="s">
        <v>1221</v>
      </c>
      <c r="K372" s="10" t="s">
        <v>847</v>
      </c>
      <c r="L372" s="10" t="s">
        <v>1239</v>
      </c>
      <c r="M372" s="10" t="s">
        <v>1221</v>
      </c>
      <c r="N372" s="10" t="s">
        <v>1239</v>
      </c>
      <c r="O372" s="10"/>
    </row>
    <row r="373" spans="1:15" ht="18" customHeight="1" x14ac:dyDescent="0.3">
      <c r="A373" s="24">
        <v>372</v>
      </c>
      <c r="B373" s="10" t="s">
        <v>193</v>
      </c>
      <c r="C373" s="10" t="s">
        <v>19</v>
      </c>
      <c r="D373" s="62">
        <v>17</v>
      </c>
      <c r="E373" s="61" t="s">
        <v>2803</v>
      </c>
      <c r="F373" s="19" t="s">
        <v>342</v>
      </c>
      <c r="G373" s="10" t="s">
        <v>150</v>
      </c>
      <c r="H373" s="10" t="s">
        <v>848</v>
      </c>
      <c r="I373" s="62">
        <v>171</v>
      </c>
      <c r="J373" s="10" t="s">
        <v>1521</v>
      </c>
      <c r="K373" s="10" t="s">
        <v>847</v>
      </c>
      <c r="L373" s="10" t="s">
        <v>1239</v>
      </c>
      <c r="M373" s="10" t="s">
        <v>1221</v>
      </c>
      <c r="N373" s="10" t="s">
        <v>1239</v>
      </c>
      <c r="O373" s="10"/>
    </row>
    <row r="374" spans="1:15" ht="18" customHeight="1" x14ac:dyDescent="0.3">
      <c r="A374" s="24">
        <v>373</v>
      </c>
      <c r="B374" s="10" t="s">
        <v>193</v>
      </c>
      <c r="C374" s="10" t="s">
        <v>19</v>
      </c>
      <c r="D374" s="62">
        <v>17</v>
      </c>
      <c r="E374" s="61" t="s">
        <v>2803</v>
      </c>
      <c r="F374" s="19" t="s">
        <v>342</v>
      </c>
      <c r="G374" s="10" t="s">
        <v>150</v>
      </c>
      <c r="H374" s="10" t="s">
        <v>851</v>
      </c>
      <c r="I374" s="62">
        <v>171</v>
      </c>
      <c r="J374" s="10" t="s">
        <v>1221</v>
      </c>
      <c r="K374" s="10" t="s">
        <v>847</v>
      </c>
      <c r="L374" s="10" t="s">
        <v>1239</v>
      </c>
      <c r="M374" s="10" t="s">
        <v>1221</v>
      </c>
      <c r="N374" s="10" t="s">
        <v>1239</v>
      </c>
      <c r="O374" s="10"/>
    </row>
    <row r="375" spans="1:15" ht="18" customHeight="1" x14ac:dyDescent="0.3">
      <c r="A375" s="24">
        <v>374</v>
      </c>
      <c r="B375" s="10" t="s">
        <v>193</v>
      </c>
      <c r="C375" s="10" t="s">
        <v>19</v>
      </c>
      <c r="D375" s="62">
        <v>17</v>
      </c>
      <c r="E375" s="61" t="s">
        <v>2803</v>
      </c>
      <c r="F375" s="19" t="s">
        <v>342</v>
      </c>
      <c r="G375" s="10" t="s">
        <v>150</v>
      </c>
      <c r="H375" s="10" t="s">
        <v>852</v>
      </c>
      <c r="I375" s="62">
        <v>183</v>
      </c>
      <c r="J375" s="10" t="s">
        <v>1521</v>
      </c>
      <c r="K375" s="10" t="s">
        <v>847</v>
      </c>
      <c r="L375" s="10" t="s">
        <v>1239</v>
      </c>
      <c r="M375" s="10" t="s">
        <v>1221</v>
      </c>
      <c r="N375" s="10" t="s">
        <v>1239</v>
      </c>
      <c r="O375" s="10"/>
    </row>
    <row r="376" spans="1:15" ht="18" customHeight="1" x14ac:dyDescent="0.3">
      <c r="A376" s="24">
        <v>375</v>
      </c>
      <c r="B376" s="10" t="s">
        <v>193</v>
      </c>
      <c r="C376" s="10" t="s">
        <v>19</v>
      </c>
      <c r="D376" s="62">
        <v>17</v>
      </c>
      <c r="E376" s="61" t="s">
        <v>2803</v>
      </c>
      <c r="F376" s="19" t="s">
        <v>342</v>
      </c>
      <c r="G376" s="10" t="s">
        <v>150</v>
      </c>
      <c r="H376" s="10" t="s">
        <v>853</v>
      </c>
      <c r="I376" s="62">
        <v>132</v>
      </c>
      <c r="J376" s="10" t="s">
        <v>1521</v>
      </c>
      <c r="K376" s="10" t="s">
        <v>847</v>
      </c>
      <c r="L376" s="10" t="s">
        <v>1239</v>
      </c>
      <c r="M376" s="10" t="s">
        <v>884</v>
      </c>
      <c r="N376" s="10" t="s">
        <v>1218</v>
      </c>
      <c r="O376" s="10"/>
    </row>
    <row r="377" spans="1:15" ht="18" customHeight="1" x14ac:dyDescent="0.3">
      <c r="A377" s="24">
        <v>376</v>
      </c>
      <c r="B377" s="10" t="s">
        <v>193</v>
      </c>
      <c r="C377" s="10" t="s">
        <v>19</v>
      </c>
      <c r="D377" s="62">
        <v>17</v>
      </c>
      <c r="E377" s="61" t="s">
        <v>2803</v>
      </c>
      <c r="F377" s="19" t="s">
        <v>342</v>
      </c>
      <c r="G377" s="10" t="s">
        <v>150</v>
      </c>
      <c r="H377" s="10" t="s">
        <v>2383</v>
      </c>
      <c r="I377" s="62">
        <v>132</v>
      </c>
      <c r="J377" s="10" t="s">
        <v>1221</v>
      </c>
      <c r="K377" s="10" t="s">
        <v>847</v>
      </c>
      <c r="L377" s="10" t="s">
        <v>1239</v>
      </c>
      <c r="M377" s="10" t="s">
        <v>1221</v>
      </c>
      <c r="N377" s="10" t="s">
        <v>1239</v>
      </c>
      <c r="O377" s="10"/>
    </row>
    <row r="378" spans="1:15" ht="18" customHeight="1" x14ac:dyDescent="0.3">
      <c r="A378" s="24">
        <v>377</v>
      </c>
      <c r="B378" s="10" t="s">
        <v>193</v>
      </c>
      <c r="C378" s="10" t="s">
        <v>19</v>
      </c>
      <c r="D378" s="62">
        <v>17</v>
      </c>
      <c r="E378" s="61" t="s">
        <v>2803</v>
      </c>
      <c r="F378" s="19" t="s">
        <v>342</v>
      </c>
      <c r="G378" s="10" t="s">
        <v>150</v>
      </c>
      <c r="H378" s="10" t="s">
        <v>855</v>
      </c>
      <c r="I378" s="62">
        <v>141</v>
      </c>
      <c r="J378" s="10" t="s">
        <v>1221</v>
      </c>
      <c r="K378" s="10" t="s">
        <v>847</v>
      </c>
      <c r="L378" s="10" t="s">
        <v>1239</v>
      </c>
      <c r="M378" s="10" t="s">
        <v>1221</v>
      </c>
      <c r="N378" s="10" t="s">
        <v>1239</v>
      </c>
      <c r="O378" s="10"/>
    </row>
    <row r="379" spans="1:15" ht="18" customHeight="1" x14ac:dyDescent="0.3">
      <c r="A379" s="24">
        <v>378</v>
      </c>
      <c r="B379" s="10" t="s">
        <v>193</v>
      </c>
      <c r="C379" s="10" t="s">
        <v>19</v>
      </c>
      <c r="D379" s="62">
        <v>17</v>
      </c>
      <c r="E379" s="61" t="s">
        <v>2803</v>
      </c>
      <c r="F379" s="19" t="s">
        <v>342</v>
      </c>
      <c r="G379" s="10" t="s">
        <v>150</v>
      </c>
      <c r="H379" s="10" t="s">
        <v>2471</v>
      </c>
      <c r="I379" s="62">
        <v>131</v>
      </c>
      <c r="J379" s="10" t="s">
        <v>1521</v>
      </c>
      <c r="K379" s="10" t="s">
        <v>847</v>
      </c>
      <c r="L379" s="10" t="s">
        <v>1239</v>
      </c>
      <c r="M379" s="10" t="s">
        <v>1221</v>
      </c>
      <c r="N379" s="10" t="s">
        <v>1239</v>
      </c>
      <c r="O379" s="10"/>
    </row>
    <row r="380" spans="1:15" ht="18" customHeight="1" x14ac:dyDescent="0.3">
      <c r="A380" s="24">
        <v>379</v>
      </c>
      <c r="B380" s="10" t="s">
        <v>193</v>
      </c>
      <c r="C380" s="10" t="s">
        <v>19</v>
      </c>
      <c r="D380" s="62">
        <v>17</v>
      </c>
      <c r="E380" s="61" t="s">
        <v>2803</v>
      </c>
      <c r="F380" s="19" t="s">
        <v>2472</v>
      </c>
      <c r="G380" s="10" t="s">
        <v>150</v>
      </c>
      <c r="H380" s="10" t="s">
        <v>845</v>
      </c>
      <c r="I380" s="62">
        <v>171</v>
      </c>
      <c r="J380" s="10" t="s">
        <v>1521</v>
      </c>
      <c r="K380" s="10" t="s">
        <v>846</v>
      </c>
      <c r="L380" s="10" t="s">
        <v>985</v>
      </c>
      <c r="M380" s="10" t="s">
        <v>1221</v>
      </c>
      <c r="N380" s="10" t="s">
        <v>1239</v>
      </c>
      <c r="O380" s="10"/>
    </row>
    <row r="381" spans="1:15" ht="18" customHeight="1" x14ac:dyDescent="0.3">
      <c r="A381" s="24">
        <v>380</v>
      </c>
      <c r="B381" s="10" t="s">
        <v>193</v>
      </c>
      <c r="C381" s="10" t="s">
        <v>19</v>
      </c>
      <c r="D381" s="62">
        <v>17</v>
      </c>
      <c r="E381" s="61" t="s">
        <v>2473</v>
      </c>
      <c r="F381" s="27" t="s">
        <v>344</v>
      </c>
      <c r="G381" s="10" t="s">
        <v>150</v>
      </c>
      <c r="H381" s="10" t="s">
        <v>845</v>
      </c>
      <c r="I381" s="62">
        <v>214</v>
      </c>
      <c r="J381" s="10" t="s">
        <v>1221</v>
      </c>
      <c r="K381" s="10" t="s">
        <v>847</v>
      </c>
      <c r="L381" s="10" t="s">
        <v>1239</v>
      </c>
      <c r="M381" s="10" t="s">
        <v>1221</v>
      </c>
      <c r="N381" s="10" t="s">
        <v>1239</v>
      </c>
      <c r="O381" s="10"/>
    </row>
    <row r="382" spans="1:15" ht="18" customHeight="1" x14ac:dyDescent="0.3">
      <c r="A382" s="24">
        <v>381</v>
      </c>
      <c r="B382" s="10" t="s">
        <v>193</v>
      </c>
      <c r="C382" s="10" t="s">
        <v>19</v>
      </c>
      <c r="D382" s="62">
        <v>17</v>
      </c>
      <c r="E382" s="61" t="s">
        <v>2473</v>
      </c>
      <c r="F382" s="27" t="s">
        <v>344</v>
      </c>
      <c r="G382" s="10" t="s">
        <v>150</v>
      </c>
      <c r="H382" s="10" t="s">
        <v>848</v>
      </c>
      <c r="I382" s="62">
        <v>174</v>
      </c>
      <c r="J382" s="10" t="s">
        <v>1521</v>
      </c>
      <c r="K382" s="10" t="s">
        <v>847</v>
      </c>
      <c r="L382" s="10" t="s">
        <v>1239</v>
      </c>
      <c r="M382" s="10" t="s">
        <v>1221</v>
      </c>
      <c r="N382" s="10" t="s">
        <v>1239</v>
      </c>
      <c r="O382" s="10"/>
    </row>
    <row r="383" spans="1:15" ht="18" customHeight="1" x14ac:dyDescent="0.3">
      <c r="A383" s="24">
        <v>382</v>
      </c>
      <c r="B383" s="10" t="s">
        <v>193</v>
      </c>
      <c r="C383" s="10" t="s">
        <v>19</v>
      </c>
      <c r="D383" s="62">
        <v>17</v>
      </c>
      <c r="E383" s="61" t="s">
        <v>2473</v>
      </c>
      <c r="F383" s="27" t="s">
        <v>344</v>
      </c>
      <c r="G383" s="10" t="s">
        <v>150</v>
      </c>
      <c r="H383" s="10" t="s">
        <v>2474</v>
      </c>
      <c r="I383" s="62">
        <v>69</v>
      </c>
      <c r="J383" s="10" t="s">
        <v>1221</v>
      </c>
      <c r="K383" s="10" t="s">
        <v>1521</v>
      </c>
      <c r="L383" s="10" t="s">
        <v>2475</v>
      </c>
      <c r="M383" s="10" t="s">
        <v>1221</v>
      </c>
      <c r="N383" s="10" t="s">
        <v>1239</v>
      </c>
      <c r="O383" s="10"/>
    </row>
    <row r="384" spans="1:15" ht="18" customHeight="1" x14ac:dyDescent="0.3">
      <c r="A384" s="24">
        <v>383</v>
      </c>
      <c r="B384" s="10" t="s">
        <v>193</v>
      </c>
      <c r="C384" s="10" t="s">
        <v>19</v>
      </c>
      <c r="D384" s="62">
        <v>17</v>
      </c>
      <c r="E384" s="61" t="s">
        <v>2473</v>
      </c>
      <c r="F384" s="27" t="s">
        <v>344</v>
      </c>
      <c r="G384" s="10" t="s">
        <v>150</v>
      </c>
      <c r="H384" s="10" t="s">
        <v>850</v>
      </c>
      <c r="I384" s="62">
        <v>140</v>
      </c>
      <c r="J384" s="10" t="s">
        <v>1221</v>
      </c>
      <c r="K384" s="10" t="s">
        <v>847</v>
      </c>
      <c r="L384" s="10" t="s">
        <v>1239</v>
      </c>
      <c r="M384" s="10" t="s">
        <v>1221</v>
      </c>
      <c r="N384" s="10" t="s">
        <v>1239</v>
      </c>
      <c r="O384" s="10"/>
    </row>
    <row r="385" spans="1:15" ht="18" customHeight="1" x14ac:dyDescent="0.3">
      <c r="A385" s="24">
        <v>384</v>
      </c>
      <c r="B385" s="10" t="s">
        <v>193</v>
      </c>
      <c r="C385" s="10" t="s">
        <v>19</v>
      </c>
      <c r="D385" s="62">
        <v>17</v>
      </c>
      <c r="E385" s="61" t="s">
        <v>2473</v>
      </c>
      <c r="F385" s="27" t="s">
        <v>344</v>
      </c>
      <c r="G385" s="10" t="s">
        <v>150</v>
      </c>
      <c r="H385" s="10" t="s">
        <v>2476</v>
      </c>
      <c r="I385" s="62">
        <v>69</v>
      </c>
      <c r="J385" s="10" t="s">
        <v>1221</v>
      </c>
      <c r="K385" s="10" t="s">
        <v>1521</v>
      </c>
      <c r="L385" s="10" t="s">
        <v>2475</v>
      </c>
      <c r="M385" s="10" t="s">
        <v>1221</v>
      </c>
      <c r="N385" s="10" t="s">
        <v>1239</v>
      </c>
      <c r="O385" s="10"/>
    </row>
    <row r="386" spans="1:15" ht="18" customHeight="1" x14ac:dyDescent="0.3">
      <c r="A386" s="24">
        <v>385</v>
      </c>
      <c r="B386" s="10" t="s">
        <v>193</v>
      </c>
      <c r="C386" s="10" t="s">
        <v>19</v>
      </c>
      <c r="D386" s="62">
        <v>17</v>
      </c>
      <c r="E386" s="61" t="s">
        <v>2473</v>
      </c>
      <c r="F386" s="27" t="s">
        <v>344</v>
      </c>
      <c r="G386" s="10" t="s">
        <v>150</v>
      </c>
      <c r="H386" s="10" t="s">
        <v>852</v>
      </c>
      <c r="I386" s="62">
        <v>146</v>
      </c>
      <c r="J386" s="10" t="s">
        <v>1221</v>
      </c>
      <c r="K386" s="10" t="s">
        <v>847</v>
      </c>
      <c r="L386" s="10" t="s">
        <v>1239</v>
      </c>
      <c r="M386" s="10" t="s">
        <v>1221</v>
      </c>
      <c r="N386" s="10" t="s">
        <v>1239</v>
      </c>
      <c r="O386" s="10"/>
    </row>
    <row r="387" spans="1:15" ht="18" customHeight="1" x14ac:dyDescent="0.3">
      <c r="A387" s="24">
        <v>386</v>
      </c>
      <c r="B387" s="10" t="s">
        <v>193</v>
      </c>
      <c r="C387" s="10" t="s">
        <v>19</v>
      </c>
      <c r="D387" s="62">
        <v>17</v>
      </c>
      <c r="E387" s="61" t="s">
        <v>2473</v>
      </c>
      <c r="F387" s="27" t="s">
        <v>344</v>
      </c>
      <c r="G387" s="10" t="s">
        <v>150</v>
      </c>
      <c r="H387" s="10" t="s">
        <v>2477</v>
      </c>
      <c r="I387" s="62">
        <v>30</v>
      </c>
      <c r="J387" s="10" t="s">
        <v>1221</v>
      </c>
      <c r="K387" s="10" t="s">
        <v>1521</v>
      </c>
      <c r="L387" s="10" t="s">
        <v>2478</v>
      </c>
      <c r="M387" s="10" t="s">
        <v>1221</v>
      </c>
      <c r="N387" s="10" t="s">
        <v>1239</v>
      </c>
      <c r="O387" s="10"/>
    </row>
    <row r="388" spans="1:15" ht="18" customHeight="1" x14ac:dyDescent="0.3">
      <c r="A388" s="24">
        <v>387</v>
      </c>
      <c r="B388" s="10" t="s">
        <v>193</v>
      </c>
      <c r="C388" s="10" t="s">
        <v>19</v>
      </c>
      <c r="D388" s="62">
        <v>17</v>
      </c>
      <c r="E388" s="61" t="s">
        <v>2473</v>
      </c>
      <c r="F388" s="27" t="s">
        <v>344</v>
      </c>
      <c r="G388" s="10" t="s">
        <v>150</v>
      </c>
      <c r="H388" s="10" t="s">
        <v>854</v>
      </c>
      <c r="I388" s="62">
        <v>91</v>
      </c>
      <c r="J388" s="10" t="s">
        <v>1521</v>
      </c>
      <c r="K388" s="10" t="s">
        <v>847</v>
      </c>
      <c r="L388" s="10" t="s">
        <v>1239</v>
      </c>
      <c r="M388" s="10" t="s">
        <v>1221</v>
      </c>
      <c r="N388" s="10" t="s">
        <v>1239</v>
      </c>
      <c r="O388" s="10"/>
    </row>
    <row r="389" spans="1:15" ht="18" customHeight="1" x14ac:dyDescent="0.3">
      <c r="A389" s="24">
        <v>388</v>
      </c>
      <c r="B389" s="10" t="s">
        <v>193</v>
      </c>
      <c r="C389" s="10" t="s">
        <v>19</v>
      </c>
      <c r="D389" s="62">
        <v>17</v>
      </c>
      <c r="E389" s="61" t="s">
        <v>2473</v>
      </c>
      <c r="F389" s="27" t="s">
        <v>344</v>
      </c>
      <c r="G389" s="10" t="s">
        <v>150</v>
      </c>
      <c r="H389" s="10" t="s">
        <v>855</v>
      </c>
      <c r="I389" s="62">
        <v>91</v>
      </c>
      <c r="J389" s="10" t="s">
        <v>1221</v>
      </c>
      <c r="K389" s="10" t="s">
        <v>847</v>
      </c>
      <c r="L389" s="10" t="s">
        <v>1239</v>
      </c>
      <c r="M389" s="10" t="s">
        <v>1221</v>
      </c>
      <c r="N389" s="10" t="s">
        <v>1239</v>
      </c>
      <c r="O389" s="10"/>
    </row>
    <row r="390" spans="1:15" ht="18" customHeight="1" x14ac:dyDescent="0.3">
      <c r="A390" s="24">
        <v>389</v>
      </c>
      <c r="B390" s="10" t="s">
        <v>193</v>
      </c>
      <c r="C390" s="10" t="s">
        <v>19</v>
      </c>
      <c r="D390" s="62">
        <v>17</v>
      </c>
      <c r="E390" s="61" t="s">
        <v>2473</v>
      </c>
      <c r="F390" s="27" t="s">
        <v>344</v>
      </c>
      <c r="G390" s="10" t="s">
        <v>150</v>
      </c>
      <c r="H390" s="10" t="s">
        <v>869</v>
      </c>
      <c r="I390" s="62">
        <v>91</v>
      </c>
      <c r="J390" s="10" t="s">
        <v>1221</v>
      </c>
      <c r="K390" s="10" t="s">
        <v>847</v>
      </c>
      <c r="L390" s="10" t="s">
        <v>1239</v>
      </c>
      <c r="M390" s="10" t="s">
        <v>1221</v>
      </c>
      <c r="N390" s="10" t="s">
        <v>1239</v>
      </c>
      <c r="O390" s="10"/>
    </row>
    <row r="391" spans="1:15" ht="18" customHeight="1" x14ac:dyDescent="0.3">
      <c r="A391" s="24">
        <v>390</v>
      </c>
      <c r="B391" s="10" t="s">
        <v>193</v>
      </c>
      <c r="C391" s="10" t="s">
        <v>20</v>
      </c>
      <c r="D391" s="62">
        <v>18</v>
      </c>
      <c r="E391" s="61" t="s">
        <v>908</v>
      </c>
      <c r="F391" s="16" t="s">
        <v>349</v>
      </c>
      <c r="G391" s="10" t="s">
        <v>150</v>
      </c>
      <c r="H391" s="10" t="s">
        <v>2385</v>
      </c>
      <c r="I391" s="62">
        <v>164</v>
      </c>
      <c r="J391" s="8" t="s">
        <v>1221</v>
      </c>
      <c r="K391" s="10" t="s">
        <v>847</v>
      </c>
      <c r="L391" s="10" t="s">
        <v>1239</v>
      </c>
      <c r="M391" s="10" t="s">
        <v>1221</v>
      </c>
      <c r="N391" s="10" t="s">
        <v>1239</v>
      </c>
      <c r="O391" s="10"/>
    </row>
    <row r="392" spans="1:15" ht="18" customHeight="1" x14ac:dyDescent="0.3">
      <c r="A392" s="24">
        <v>391</v>
      </c>
      <c r="B392" s="10" t="s">
        <v>193</v>
      </c>
      <c r="C392" s="10" t="s">
        <v>20</v>
      </c>
      <c r="D392" s="62">
        <v>18</v>
      </c>
      <c r="E392" s="61" t="s">
        <v>908</v>
      </c>
      <c r="F392" s="16" t="s">
        <v>349</v>
      </c>
      <c r="G392" s="10" t="s">
        <v>150</v>
      </c>
      <c r="H392" s="10" t="s">
        <v>2378</v>
      </c>
      <c r="I392" s="62">
        <v>142</v>
      </c>
      <c r="J392" s="8" t="s">
        <v>1221</v>
      </c>
      <c r="K392" s="10" t="s">
        <v>847</v>
      </c>
      <c r="L392" s="10" t="s">
        <v>1239</v>
      </c>
      <c r="M392" s="10" t="s">
        <v>1221</v>
      </c>
      <c r="N392" s="10" t="s">
        <v>1239</v>
      </c>
      <c r="O392" s="10"/>
    </row>
    <row r="393" spans="1:15" ht="18" customHeight="1" x14ac:dyDescent="0.3">
      <c r="A393" s="24">
        <v>392</v>
      </c>
      <c r="B393" s="10" t="s">
        <v>193</v>
      </c>
      <c r="C393" s="10" t="s">
        <v>20</v>
      </c>
      <c r="D393" s="62">
        <v>18</v>
      </c>
      <c r="E393" s="61" t="s">
        <v>908</v>
      </c>
      <c r="F393" s="16" t="s">
        <v>349</v>
      </c>
      <c r="G393" s="10" t="s">
        <v>150</v>
      </c>
      <c r="H393" s="10" t="s">
        <v>2380</v>
      </c>
      <c r="I393" s="62">
        <v>132</v>
      </c>
      <c r="J393" s="8" t="s">
        <v>1221</v>
      </c>
      <c r="K393" s="10" t="s">
        <v>847</v>
      </c>
      <c r="L393" s="10" t="s">
        <v>1239</v>
      </c>
      <c r="M393" s="10" t="s">
        <v>1221</v>
      </c>
      <c r="N393" s="10" t="s">
        <v>1239</v>
      </c>
      <c r="O393" s="10"/>
    </row>
    <row r="394" spans="1:15" ht="18" customHeight="1" x14ac:dyDescent="0.3">
      <c r="A394" s="24">
        <v>393</v>
      </c>
      <c r="B394" s="10" t="s">
        <v>193</v>
      </c>
      <c r="C394" s="10" t="s">
        <v>20</v>
      </c>
      <c r="D394" s="62">
        <v>18</v>
      </c>
      <c r="E394" s="61" t="s">
        <v>908</v>
      </c>
      <c r="F394" s="16" t="s">
        <v>349</v>
      </c>
      <c r="G394" s="10" t="s">
        <v>150</v>
      </c>
      <c r="H394" s="10" t="s">
        <v>2390</v>
      </c>
      <c r="I394" s="62">
        <v>332</v>
      </c>
      <c r="J394" s="8" t="s">
        <v>846</v>
      </c>
      <c r="K394" s="10" t="s">
        <v>847</v>
      </c>
      <c r="L394" s="10" t="s">
        <v>1239</v>
      </c>
      <c r="M394" s="10" t="s">
        <v>1221</v>
      </c>
      <c r="N394" s="10" t="s">
        <v>1218</v>
      </c>
      <c r="O394" s="10"/>
    </row>
    <row r="395" spans="1:15" ht="18" customHeight="1" x14ac:dyDescent="0.3">
      <c r="A395" s="24">
        <v>394</v>
      </c>
      <c r="B395" s="10" t="s">
        <v>193</v>
      </c>
      <c r="C395" s="10" t="s">
        <v>20</v>
      </c>
      <c r="D395" s="62">
        <v>18</v>
      </c>
      <c r="E395" s="61" t="s">
        <v>908</v>
      </c>
      <c r="F395" s="16" t="s">
        <v>349</v>
      </c>
      <c r="G395" s="10" t="s">
        <v>150</v>
      </c>
      <c r="H395" s="10" t="s">
        <v>2382</v>
      </c>
      <c r="I395" s="62">
        <v>184</v>
      </c>
      <c r="J395" s="8" t="s">
        <v>1221</v>
      </c>
      <c r="K395" s="10" t="s">
        <v>847</v>
      </c>
      <c r="L395" s="10" t="s">
        <v>1239</v>
      </c>
      <c r="M395" s="10" t="s">
        <v>1221</v>
      </c>
      <c r="N395" s="10" t="s">
        <v>1239</v>
      </c>
      <c r="O395" s="10"/>
    </row>
    <row r="396" spans="1:15" ht="18" customHeight="1" x14ac:dyDescent="0.3">
      <c r="A396" s="24">
        <v>395</v>
      </c>
      <c r="B396" s="10" t="s">
        <v>193</v>
      </c>
      <c r="C396" s="10" t="s">
        <v>20</v>
      </c>
      <c r="D396" s="62">
        <v>18</v>
      </c>
      <c r="E396" s="61" t="s">
        <v>908</v>
      </c>
      <c r="F396" s="16" t="s">
        <v>1089</v>
      </c>
      <c r="G396" s="10" t="s">
        <v>150</v>
      </c>
      <c r="H396" s="10" t="s">
        <v>2379</v>
      </c>
      <c r="I396" s="62">
        <v>100</v>
      </c>
      <c r="J396" s="8" t="s">
        <v>846</v>
      </c>
      <c r="K396" s="10" t="s">
        <v>846</v>
      </c>
      <c r="L396" s="10" t="s">
        <v>1302</v>
      </c>
      <c r="M396" s="10" t="s">
        <v>1221</v>
      </c>
      <c r="N396" s="10" t="s">
        <v>1239</v>
      </c>
      <c r="O396" s="10"/>
    </row>
    <row r="397" spans="1:15" ht="18" customHeight="1" x14ac:dyDescent="0.3">
      <c r="A397" s="24">
        <v>396</v>
      </c>
      <c r="B397" s="10" t="s">
        <v>193</v>
      </c>
      <c r="C397" s="10" t="s">
        <v>20</v>
      </c>
      <c r="D397" s="62">
        <v>18</v>
      </c>
      <c r="E397" s="61" t="s">
        <v>176</v>
      </c>
      <c r="F397" s="16" t="s">
        <v>1050</v>
      </c>
      <c r="G397" s="10" t="s">
        <v>150</v>
      </c>
      <c r="H397" s="10" t="s">
        <v>849</v>
      </c>
      <c r="I397" s="62">
        <v>161</v>
      </c>
      <c r="J397" s="8" t="s">
        <v>846</v>
      </c>
      <c r="K397" s="10" t="s">
        <v>847</v>
      </c>
      <c r="L397" s="10" t="s">
        <v>1239</v>
      </c>
      <c r="M397" s="10" t="s">
        <v>1221</v>
      </c>
      <c r="N397" s="10" t="s">
        <v>1239</v>
      </c>
      <c r="O397" s="10"/>
    </row>
    <row r="398" spans="1:15" ht="18" customHeight="1" x14ac:dyDescent="0.3">
      <c r="A398" s="24">
        <v>397</v>
      </c>
      <c r="B398" s="10" t="s">
        <v>193</v>
      </c>
      <c r="C398" s="10" t="s">
        <v>20</v>
      </c>
      <c r="D398" s="62">
        <v>18</v>
      </c>
      <c r="E398" s="61" t="s">
        <v>176</v>
      </c>
      <c r="F398" s="16" t="s">
        <v>1050</v>
      </c>
      <c r="G398" s="10" t="s">
        <v>150</v>
      </c>
      <c r="H398" s="10" t="s">
        <v>850</v>
      </c>
      <c r="I398" s="62">
        <v>176</v>
      </c>
      <c r="J398" s="8" t="s">
        <v>846</v>
      </c>
      <c r="K398" s="10" t="s">
        <v>847</v>
      </c>
      <c r="L398" s="10" t="s">
        <v>1239</v>
      </c>
      <c r="M398" s="10" t="s">
        <v>1221</v>
      </c>
      <c r="N398" s="10" t="s">
        <v>1239</v>
      </c>
      <c r="O398" s="10"/>
    </row>
    <row r="399" spans="1:15" ht="18" customHeight="1" x14ac:dyDescent="0.3">
      <c r="A399" s="24">
        <v>398</v>
      </c>
      <c r="B399" s="10" t="s">
        <v>193</v>
      </c>
      <c r="C399" s="10" t="s">
        <v>20</v>
      </c>
      <c r="D399" s="62">
        <v>18</v>
      </c>
      <c r="E399" s="61" t="s">
        <v>176</v>
      </c>
      <c r="F399" s="16" t="s">
        <v>1050</v>
      </c>
      <c r="G399" s="10" t="s">
        <v>150</v>
      </c>
      <c r="H399" s="10" t="s">
        <v>851</v>
      </c>
      <c r="I399" s="62">
        <v>306</v>
      </c>
      <c r="J399" s="8" t="s">
        <v>846</v>
      </c>
      <c r="K399" s="10" t="s">
        <v>847</v>
      </c>
      <c r="L399" s="10" t="s">
        <v>1239</v>
      </c>
      <c r="M399" s="10" t="s">
        <v>1221</v>
      </c>
      <c r="N399" s="10" t="s">
        <v>1239</v>
      </c>
      <c r="O399" s="10"/>
    </row>
    <row r="400" spans="1:15" ht="18" customHeight="1" x14ac:dyDescent="0.3">
      <c r="A400" s="24">
        <v>399</v>
      </c>
      <c r="B400" s="10" t="s">
        <v>193</v>
      </c>
      <c r="C400" s="10" t="s">
        <v>20</v>
      </c>
      <c r="D400" s="62">
        <v>18</v>
      </c>
      <c r="E400" s="61" t="s">
        <v>176</v>
      </c>
      <c r="F400" s="16" t="s">
        <v>1050</v>
      </c>
      <c r="G400" s="10" t="s">
        <v>150</v>
      </c>
      <c r="H400" s="10" t="s">
        <v>852</v>
      </c>
      <c r="I400" s="62">
        <v>161</v>
      </c>
      <c r="J400" s="8" t="s">
        <v>1221</v>
      </c>
      <c r="K400" s="10" t="s">
        <v>847</v>
      </c>
      <c r="L400" s="10" t="s">
        <v>1239</v>
      </c>
      <c r="M400" s="10" t="s">
        <v>1221</v>
      </c>
      <c r="N400" s="10" t="s">
        <v>1239</v>
      </c>
      <c r="O400" s="10"/>
    </row>
    <row r="401" spans="1:15" ht="18" customHeight="1" x14ac:dyDescent="0.3">
      <c r="A401" s="24">
        <v>400</v>
      </c>
      <c r="B401" s="10" t="s">
        <v>193</v>
      </c>
      <c r="C401" s="10" t="s">
        <v>20</v>
      </c>
      <c r="D401" s="62">
        <v>18</v>
      </c>
      <c r="E401" s="61" t="s">
        <v>176</v>
      </c>
      <c r="F401" s="16" t="s">
        <v>1050</v>
      </c>
      <c r="G401" s="10" t="s">
        <v>150</v>
      </c>
      <c r="H401" s="10" t="s">
        <v>853</v>
      </c>
      <c r="I401" s="62">
        <v>161</v>
      </c>
      <c r="J401" s="8" t="s">
        <v>1221</v>
      </c>
      <c r="K401" s="10" t="s">
        <v>847</v>
      </c>
      <c r="L401" s="10" t="s">
        <v>1239</v>
      </c>
      <c r="M401" s="10" t="s">
        <v>1221</v>
      </c>
      <c r="N401" s="10" t="s">
        <v>1239</v>
      </c>
      <c r="O401" s="10"/>
    </row>
    <row r="402" spans="1:15" ht="18" customHeight="1" x14ac:dyDescent="0.3">
      <c r="A402" s="24">
        <v>401</v>
      </c>
      <c r="B402" s="10" t="s">
        <v>193</v>
      </c>
      <c r="C402" s="10" t="s">
        <v>20</v>
      </c>
      <c r="D402" s="62">
        <v>18</v>
      </c>
      <c r="E402" s="61" t="s">
        <v>176</v>
      </c>
      <c r="F402" s="16" t="s">
        <v>1050</v>
      </c>
      <c r="G402" s="10" t="s">
        <v>150</v>
      </c>
      <c r="H402" s="10" t="s">
        <v>854</v>
      </c>
      <c r="I402" s="62">
        <v>176</v>
      </c>
      <c r="J402" s="8" t="s">
        <v>1221</v>
      </c>
      <c r="K402" s="10" t="s">
        <v>847</v>
      </c>
      <c r="L402" s="10" t="s">
        <v>1239</v>
      </c>
      <c r="M402" s="10" t="s">
        <v>1221</v>
      </c>
      <c r="N402" s="10" t="s">
        <v>1239</v>
      </c>
      <c r="O402" s="10"/>
    </row>
    <row r="403" spans="1:15" ht="18" customHeight="1" x14ac:dyDescent="0.3">
      <c r="A403" s="24">
        <v>402</v>
      </c>
      <c r="B403" s="10" t="s">
        <v>193</v>
      </c>
      <c r="C403" s="10" t="s">
        <v>20</v>
      </c>
      <c r="D403" s="62">
        <v>18</v>
      </c>
      <c r="E403" s="61" t="s">
        <v>176</v>
      </c>
      <c r="F403" s="16" t="s">
        <v>351</v>
      </c>
      <c r="G403" s="10" t="s">
        <v>150</v>
      </c>
      <c r="H403" s="10" t="s">
        <v>845</v>
      </c>
      <c r="I403" s="62">
        <v>304</v>
      </c>
      <c r="J403" s="8" t="s">
        <v>2372</v>
      </c>
      <c r="K403" s="10" t="s">
        <v>847</v>
      </c>
      <c r="L403" s="10" t="s">
        <v>2373</v>
      </c>
      <c r="M403" s="10" t="s">
        <v>2372</v>
      </c>
      <c r="N403" s="10" t="s">
        <v>2373</v>
      </c>
      <c r="O403" s="10"/>
    </row>
    <row r="404" spans="1:15" ht="18" customHeight="1" x14ac:dyDescent="0.3">
      <c r="A404" s="24">
        <v>403</v>
      </c>
      <c r="B404" s="10" t="s">
        <v>193</v>
      </c>
      <c r="C404" s="10" t="s">
        <v>20</v>
      </c>
      <c r="D404" s="62">
        <v>18</v>
      </c>
      <c r="E404" s="61" t="s">
        <v>176</v>
      </c>
      <c r="F404" s="16" t="s">
        <v>351</v>
      </c>
      <c r="G404" s="10" t="s">
        <v>150</v>
      </c>
      <c r="H404" s="10" t="s">
        <v>848</v>
      </c>
      <c r="I404" s="62">
        <v>161</v>
      </c>
      <c r="J404" s="8" t="s">
        <v>2372</v>
      </c>
      <c r="K404" s="10" t="s">
        <v>847</v>
      </c>
      <c r="L404" s="10" t="s">
        <v>2373</v>
      </c>
      <c r="M404" s="10" t="s">
        <v>2372</v>
      </c>
      <c r="N404" s="10" t="s">
        <v>2373</v>
      </c>
      <c r="O404" s="10"/>
    </row>
    <row r="405" spans="1:15" ht="18" customHeight="1" x14ac:dyDescent="0.3">
      <c r="A405" s="24">
        <v>404</v>
      </c>
      <c r="B405" s="10" t="s">
        <v>193</v>
      </c>
      <c r="C405" s="10" t="s">
        <v>21</v>
      </c>
      <c r="D405" s="62">
        <v>19</v>
      </c>
      <c r="E405" s="61" t="s">
        <v>177</v>
      </c>
      <c r="F405" s="16" t="s">
        <v>385</v>
      </c>
      <c r="G405" s="10" t="s">
        <v>150</v>
      </c>
      <c r="H405" s="10" t="s">
        <v>845</v>
      </c>
      <c r="I405" s="62">
        <v>227</v>
      </c>
      <c r="J405" s="8" t="s">
        <v>846</v>
      </c>
      <c r="K405" s="10" t="s">
        <v>847</v>
      </c>
      <c r="L405" s="10" t="s">
        <v>2373</v>
      </c>
      <c r="M405" s="10" t="s">
        <v>2372</v>
      </c>
      <c r="N405" s="10" t="s">
        <v>2373</v>
      </c>
      <c r="O405" s="10"/>
    </row>
    <row r="406" spans="1:15" ht="18" customHeight="1" x14ac:dyDescent="0.3">
      <c r="A406" s="24">
        <v>405</v>
      </c>
      <c r="B406" s="10" t="s">
        <v>193</v>
      </c>
      <c r="C406" s="10" t="s">
        <v>21</v>
      </c>
      <c r="D406" s="62">
        <v>19</v>
      </c>
      <c r="E406" s="61" t="s">
        <v>177</v>
      </c>
      <c r="F406" s="16" t="s">
        <v>385</v>
      </c>
      <c r="G406" s="10" t="s">
        <v>150</v>
      </c>
      <c r="H406" s="10" t="s">
        <v>848</v>
      </c>
      <c r="I406" s="62">
        <v>206</v>
      </c>
      <c r="J406" s="8" t="s">
        <v>2372</v>
      </c>
      <c r="K406" s="10" t="s">
        <v>847</v>
      </c>
      <c r="L406" s="10" t="s">
        <v>2373</v>
      </c>
      <c r="M406" s="10" t="s">
        <v>2372</v>
      </c>
      <c r="N406" s="10" t="s">
        <v>2373</v>
      </c>
      <c r="O406" s="10"/>
    </row>
    <row r="407" spans="1:15" ht="18" customHeight="1" x14ac:dyDescent="0.3">
      <c r="A407" s="24">
        <v>406</v>
      </c>
      <c r="B407" s="10" t="s">
        <v>193</v>
      </c>
      <c r="C407" s="10" t="s">
        <v>21</v>
      </c>
      <c r="D407" s="62">
        <v>19</v>
      </c>
      <c r="E407" s="61" t="s">
        <v>177</v>
      </c>
      <c r="F407" s="16" t="s">
        <v>385</v>
      </c>
      <c r="G407" s="10" t="s">
        <v>150</v>
      </c>
      <c r="H407" s="10" t="s">
        <v>849</v>
      </c>
      <c r="I407" s="62">
        <v>215</v>
      </c>
      <c r="J407" s="8" t="s">
        <v>2372</v>
      </c>
      <c r="K407" s="10" t="s">
        <v>847</v>
      </c>
      <c r="L407" s="10" t="s">
        <v>2373</v>
      </c>
      <c r="M407" s="10" t="s">
        <v>2372</v>
      </c>
      <c r="N407" s="10" t="s">
        <v>2373</v>
      </c>
      <c r="O407" s="10"/>
    </row>
    <row r="408" spans="1:15" ht="18" customHeight="1" x14ac:dyDescent="0.3">
      <c r="A408" s="24">
        <v>407</v>
      </c>
      <c r="B408" s="10" t="s">
        <v>193</v>
      </c>
      <c r="C408" s="10" t="s">
        <v>21</v>
      </c>
      <c r="D408" s="62">
        <v>19</v>
      </c>
      <c r="E408" s="61" t="s">
        <v>177</v>
      </c>
      <c r="F408" s="16" t="s">
        <v>385</v>
      </c>
      <c r="G408" s="10" t="s">
        <v>150</v>
      </c>
      <c r="H408" s="10" t="s">
        <v>850</v>
      </c>
      <c r="I408" s="62">
        <v>131</v>
      </c>
      <c r="J408" s="8" t="s">
        <v>2372</v>
      </c>
      <c r="K408" s="10" t="s">
        <v>847</v>
      </c>
      <c r="L408" s="10" t="s">
        <v>2373</v>
      </c>
      <c r="M408" s="10" t="s">
        <v>2372</v>
      </c>
      <c r="N408" s="10" t="s">
        <v>2373</v>
      </c>
      <c r="O408" s="10"/>
    </row>
    <row r="409" spans="1:15" ht="18" customHeight="1" x14ac:dyDescent="0.3">
      <c r="A409" s="24">
        <v>408</v>
      </c>
      <c r="B409" s="10" t="s">
        <v>193</v>
      </c>
      <c r="C409" s="10" t="s">
        <v>21</v>
      </c>
      <c r="D409" s="62">
        <v>19</v>
      </c>
      <c r="E409" s="61" t="s">
        <v>177</v>
      </c>
      <c r="F409" s="16" t="s">
        <v>385</v>
      </c>
      <c r="G409" s="10" t="s">
        <v>150</v>
      </c>
      <c r="H409" s="10" t="s">
        <v>851</v>
      </c>
      <c r="I409" s="62">
        <v>117</v>
      </c>
      <c r="J409" s="8" t="s">
        <v>846</v>
      </c>
      <c r="K409" s="10" t="s">
        <v>847</v>
      </c>
      <c r="L409" s="10" t="s">
        <v>2373</v>
      </c>
      <c r="M409" s="10" t="s">
        <v>2372</v>
      </c>
      <c r="N409" s="10" t="s">
        <v>2373</v>
      </c>
      <c r="O409" s="10"/>
    </row>
    <row r="410" spans="1:15" ht="18" customHeight="1" x14ac:dyDescent="0.3">
      <c r="A410" s="24">
        <v>409</v>
      </c>
      <c r="B410" s="10" t="s">
        <v>193</v>
      </c>
      <c r="C410" s="10" t="s">
        <v>21</v>
      </c>
      <c r="D410" s="62">
        <v>19</v>
      </c>
      <c r="E410" s="61" t="s">
        <v>177</v>
      </c>
      <c r="F410" s="16" t="s">
        <v>385</v>
      </c>
      <c r="G410" s="10" t="s">
        <v>150</v>
      </c>
      <c r="H410" s="10" t="s">
        <v>852</v>
      </c>
      <c r="I410" s="62">
        <v>226</v>
      </c>
      <c r="J410" s="8" t="s">
        <v>846</v>
      </c>
      <c r="K410" s="10" t="s">
        <v>847</v>
      </c>
      <c r="L410" s="10" t="s">
        <v>2373</v>
      </c>
      <c r="M410" s="10" t="s">
        <v>2372</v>
      </c>
      <c r="N410" s="10" t="s">
        <v>2373</v>
      </c>
      <c r="O410" s="10"/>
    </row>
    <row r="411" spans="1:15" ht="18" customHeight="1" x14ac:dyDescent="0.3">
      <c r="A411" s="24">
        <v>410</v>
      </c>
      <c r="B411" s="10" t="s">
        <v>193</v>
      </c>
      <c r="C411" s="10" t="s">
        <v>21</v>
      </c>
      <c r="D411" s="62">
        <v>19</v>
      </c>
      <c r="E411" s="61" t="s">
        <v>177</v>
      </c>
      <c r="F411" s="16" t="s">
        <v>385</v>
      </c>
      <c r="G411" s="10" t="s">
        <v>150</v>
      </c>
      <c r="H411" s="10" t="s">
        <v>853</v>
      </c>
      <c r="I411" s="62">
        <v>206</v>
      </c>
      <c r="J411" s="8" t="s">
        <v>846</v>
      </c>
      <c r="K411" s="10" t="s">
        <v>847</v>
      </c>
      <c r="L411" s="10" t="s">
        <v>2373</v>
      </c>
      <c r="M411" s="10" t="s">
        <v>2372</v>
      </c>
      <c r="N411" s="10" t="s">
        <v>2373</v>
      </c>
      <c r="O411" s="10"/>
    </row>
    <row r="412" spans="1:15" ht="18" customHeight="1" x14ac:dyDescent="0.3">
      <c r="A412" s="24">
        <v>411</v>
      </c>
      <c r="B412" s="10" t="s">
        <v>193</v>
      </c>
      <c r="C412" s="10" t="s">
        <v>21</v>
      </c>
      <c r="D412" s="62">
        <v>19</v>
      </c>
      <c r="E412" s="61" t="s">
        <v>2804</v>
      </c>
      <c r="F412" s="19" t="s">
        <v>383</v>
      </c>
      <c r="G412" s="10" t="s">
        <v>150</v>
      </c>
      <c r="H412" s="10" t="s">
        <v>845</v>
      </c>
      <c r="I412" s="62">
        <v>89</v>
      </c>
      <c r="J412" s="10" t="s">
        <v>2374</v>
      </c>
      <c r="K412" s="10" t="s">
        <v>2372</v>
      </c>
      <c r="L412" s="10" t="s">
        <v>2373</v>
      </c>
      <c r="M412" s="10" t="s">
        <v>2372</v>
      </c>
      <c r="N412" s="10" t="s">
        <v>2373</v>
      </c>
      <c r="O412" s="10" t="s">
        <v>1144</v>
      </c>
    </row>
    <row r="413" spans="1:15" ht="18" customHeight="1" x14ac:dyDescent="0.3">
      <c r="A413" s="24">
        <v>412</v>
      </c>
      <c r="B413" s="10" t="s">
        <v>193</v>
      </c>
      <c r="C413" s="10" t="s">
        <v>21</v>
      </c>
      <c r="D413" s="62">
        <v>19</v>
      </c>
      <c r="E413" s="61" t="s">
        <v>2804</v>
      </c>
      <c r="F413" s="19" t="s">
        <v>383</v>
      </c>
      <c r="G413" s="10" t="s">
        <v>150</v>
      </c>
      <c r="H413" s="10" t="s">
        <v>848</v>
      </c>
      <c r="I413" s="62">
        <v>72</v>
      </c>
      <c r="J413" s="10" t="s">
        <v>2374</v>
      </c>
      <c r="K413" s="10" t="s">
        <v>2372</v>
      </c>
      <c r="L413" s="10" t="s">
        <v>2373</v>
      </c>
      <c r="M413" s="10" t="s">
        <v>2372</v>
      </c>
      <c r="N413" s="10" t="s">
        <v>2373</v>
      </c>
      <c r="O413" s="10" t="s">
        <v>1144</v>
      </c>
    </row>
    <row r="414" spans="1:15" ht="18" customHeight="1" x14ac:dyDescent="0.3">
      <c r="A414" s="24">
        <v>413</v>
      </c>
      <c r="B414" s="10" t="s">
        <v>193</v>
      </c>
      <c r="C414" s="10" t="s">
        <v>21</v>
      </c>
      <c r="D414" s="62">
        <v>19</v>
      </c>
      <c r="E414" s="61" t="s">
        <v>2804</v>
      </c>
      <c r="F414" s="19" t="s">
        <v>383</v>
      </c>
      <c r="G414" s="10" t="s">
        <v>150</v>
      </c>
      <c r="H414" s="10" t="s">
        <v>849</v>
      </c>
      <c r="I414" s="62">
        <v>229</v>
      </c>
      <c r="J414" s="10" t="s">
        <v>2374</v>
      </c>
      <c r="K414" s="10" t="s">
        <v>2372</v>
      </c>
      <c r="L414" s="10" t="s">
        <v>2373</v>
      </c>
      <c r="M414" s="10" t="s">
        <v>2372</v>
      </c>
      <c r="N414" s="10" t="s">
        <v>2373</v>
      </c>
      <c r="O414" s="10" t="s">
        <v>1144</v>
      </c>
    </row>
    <row r="415" spans="1:15" ht="18" customHeight="1" x14ac:dyDescent="0.3">
      <c r="A415" s="24">
        <v>414</v>
      </c>
      <c r="B415" s="10" t="s">
        <v>193</v>
      </c>
      <c r="C415" s="10" t="s">
        <v>21</v>
      </c>
      <c r="D415" s="62">
        <v>19</v>
      </c>
      <c r="E415" s="61" t="s">
        <v>2804</v>
      </c>
      <c r="F415" s="19" t="s">
        <v>383</v>
      </c>
      <c r="G415" s="10" t="s">
        <v>150</v>
      </c>
      <c r="H415" s="10" t="s">
        <v>850</v>
      </c>
      <c r="I415" s="62">
        <v>164</v>
      </c>
      <c r="J415" s="10" t="s">
        <v>2374</v>
      </c>
      <c r="K415" s="10" t="s">
        <v>2372</v>
      </c>
      <c r="L415" s="10" t="s">
        <v>2373</v>
      </c>
      <c r="M415" s="10" t="s">
        <v>2372</v>
      </c>
      <c r="N415" s="10" t="s">
        <v>2373</v>
      </c>
      <c r="O415" s="10" t="s">
        <v>1144</v>
      </c>
    </row>
    <row r="416" spans="1:15" ht="18" customHeight="1" x14ac:dyDescent="0.3">
      <c r="A416" s="24">
        <v>415</v>
      </c>
      <c r="B416" s="10" t="s">
        <v>193</v>
      </c>
      <c r="C416" s="10" t="s">
        <v>21</v>
      </c>
      <c r="D416" s="62">
        <v>19</v>
      </c>
      <c r="E416" s="61" t="s">
        <v>2804</v>
      </c>
      <c r="F416" s="19" t="s">
        <v>383</v>
      </c>
      <c r="G416" s="10" t="s">
        <v>150</v>
      </c>
      <c r="H416" s="10" t="s">
        <v>851</v>
      </c>
      <c r="I416" s="62">
        <v>58</v>
      </c>
      <c r="J416" s="10" t="s">
        <v>2374</v>
      </c>
      <c r="K416" s="10" t="s">
        <v>2372</v>
      </c>
      <c r="L416" s="10" t="s">
        <v>2373</v>
      </c>
      <c r="M416" s="10" t="s">
        <v>2374</v>
      </c>
      <c r="N416" s="10" t="s">
        <v>1256</v>
      </c>
      <c r="O416" s="10"/>
    </row>
    <row r="417" spans="1:15" ht="18" customHeight="1" x14ac:dyDescent="0.3">
      <c r="A417" s="24">
        <v>416</v>
      </c>
      <c r="B417" s="10" t="s">
        <v>193</v>
      </c>
      <c r="C417" s="10" t="s">
        <v>21</v>
      </c>
      <c r="D417" s="62">
        <v>19</v>
      </c>
      <c r="E417" s="61" t="s">
        <v>2804</v>
      </c>
      <c r="F417" s="19" t="s">
        <v>2479</v>
      </c>
      <c r="G417" s="10" t="s">
        <v>150</v>
      </c>
      <c r="H417" s="10" t="s">
        <v>852</v>
      </c>
      <c r="I417" s="62">
        <v>120</v>
      </c>
      <c r="J417" s="10" t="s">
        <v>2374</v>
      </c>
      <c r="K417" s="10" t="s">
        <v>846</v>
      </c>
      <c r="L417" s="10" t="s">
        <v>1516</v>
      </c>
      <c r="M417" s="10" t="s">
        <v>2372</v>
      </c>
      <c r="N417" s="10" t="s">
        <v>2373</v>
      </c>
      <c r="O417" s="10"/>
    </row>
    <row r="418" spans="1:15" ht="18" customHeight="1" x14ac:dyDescent="0.3">
      <c r="A418" s="24">
        <v>417</v>
      </c>
      <c r="B418" s="10" t="s">
        <v>193</v>
      </c>
      <c r="C418" s="10" t="s">
        <v>21</v>
      </c>
      <c r="D418" s="62">
        <v>19</v>
      </c>
      <c r="E418" s="61" t="s">
        <v>2804</v>
      </c>
      <c r="F418" s="19" t="s">
        <v>2479</v>
      </c>
      <c r="G418" s="10" t="s">
        <v>150</v>
      </c>
      <c r="H418" s="10" t="s">
        <v>2480</v>
      </c>
      <c r="I418" s="62">
        <v>48</v>
      </c>
      <c r="J418" s="10" t="s">
        <v>2374</v>
      </c>
      <c r="K418" s="10" t="s">
        <v>846</v>
      </c>
      <c r="L418" s="10" t="s">
        <v>2480</v>
      </c>
      <c r="M418" s="10" t="s">
        <v>2372</v>
      </c>
      <c r="N418" s="10" t="s">
        <v>2373</v>
      </c>
      <c r="O418" s="10"/>
    </row>
    <row r="419" spans="1:15" ht="18" customHeight="1" x14ac:dyDescent="0.3">
      <c r="A419" s="24">
        <v>418</v>
      </c>
      <c r="B419" s="10" t="s">
        <v>193</v>
      </c>
      <c r="C419" s="10" t="s">
        <v>21</v>
      </c>
      <c r="D419" s="62">
        <v>19</v>
      </c>
      <c r="E419" s="61" t="s">
        <v>2804</v>
      </c>
      <c r="F419" s="19" t="s">
        <v>2479</v>
      </c>
      <c r="G419" s="10" t="s">
        <v>150</v>
      </c>
      <c r="H419" s="10" t="s">
        <v>854</v>
      </c>
      <c r="I419" s="62">
        <v>159</v>
      </c>
      <c r="J419" s="10" t="s">
        <v>2374</v>
      </c>
      <c r="K419" s="10" t="s">
        <v>846</v>
      </c>
      <c r="L419" s="10" t="s">
        <v>985</v>
      </c>
      <c r="M419" s="10" t="s">
        <v>2372</v>
      </c>
      <c r="N419" s="10" t="s">
        <v>2373</v>
      </c>
      <c r="O419" s="10"/>
    </row>
    <row r="420" spans="1:15" ht="18" customHeight="1" x14ac:dyDescent="0.3">
      <c r="A420" s="24">
        <v>419</v>
      </c>
      <c r="B420" s="10" t="s">
        <v>193</v>
      </c>
      <c r="C420" s="10" t="s">
        <v>21</v>
      </c>
      <c r="D420" s="62">
        <v>19</v>
      </c>
      <c r="E420" s="61" t="s">
        <v>2804</v>
      </c>
      <c r="F420" s="19" t="s">
        <v>2479</v>
      </c>
      <c r="G420" s="10" t="s">
        <v>150</v>
      </c>
      <c r="H420" s="10" t="s">
        <v>855</v>
      </c>
      <c r="I420" s="62">
        <v>194</v>
      </c>
      <c r="J420" s="10" t="s">
        <v>2374</v>
      </c>
      <c r="K420" s="10" t="s">
        <v>846</v>
      </c>
      <c r="L420" s="10" t="s">
        <v>985</v>
      </c>
      <c r="M420" s="10" t="s">
        <v>2372</v>
      </c>
      <c r="N420" s="10" t="s">
        <v>2373</v>
      </c>
      <c r="O420" s="10"/>
    </row>
    <row r="421" spans="1:15" ht="18" customHeight="1" x14ac:dyDescent="0.3">
      <c r="A421" s="24">
        <v>420</v>
      </c>
      <c r="B421" s="10" t="s">
        <v>193</v>
      </c>
      <c r="C421" s="10" t="s">
        <v>21</v>
      </c>
      <c r="D421" s="62">
        <v>19</v>
      </c>
      <c r="E421" s="61" t="s">
        <v>2805</v>
      </c>
      <c r="F421" s="19" t="s">
        <v>384</v>
      </c>
      <c r="G421" s="10" t="s">
        <v>150</v>
      </c>
      <c r="H421" s="10" t="s">
        <v>2379</v>
      </c>
      <c r="I421" s="62">
        <v>177</v>
      </c>
      <c r="J421" s="10" t="s">
        <v>2372</v>
      </c>
      <c r="K421" s="10" t="s">
        <v>2372</v>
      </c>
      <c r="L421" s="10" t="s">
        <v>2373</v>
      </c>
      <c r="M421" s="10" t="s">
        <v>2372</v>
      </c>
      <c r="N421" s="10" t="s">
        <v>2373</v>
      </c>
      <c r="O421" s="10"/>
    </row>
    <row r="422" spans="1:15" ht="18" customHeight="1" x14ac:dyDescent="0.3">
      <c r="A422" s="24">
        <v>421</v>
      </c>
      <c r="B422" s="10" t="s">
        <v>193</v>
      </c>
      <c r="C422" s="10" t="s">
        <v>21</v>
      </c>
      <c r="D422" s="62">
        <v>19</v>
      </c>
      <c r="E422" s="61" t="s">
        <v>2805</v>
      </c>
      <c r="F422" s="19" t="s">
        <v>384</v>
      </c>
      <c r="G422" s="10" t="s">
        <v>150</v>
      </c>
      <c r="H422" s="10" t="s">
        <v>2380</v>
      </c>
      <c r="I422" s="62">
        <v>195</v>
      </c>
      <c r="J422" s="10" t="s">
        <v>2374</v>
      </c>
      <c r="K422" s="10" t="s">
        <v>2372</v>
      </c>
      <c r="L422" s="10" t="s">
        <v>2373</v>
      </c>
      <c r="M422" s="10" t="s">
        <v>2372</v>
      </c>
      <c r="N422" s="10" t="s">
        <v>2373</v>
      </c>
      <c r="O422" s="10"/>
    </row>
    <row r="423" spans="1:15" ht="18" customHeight="1" x14ac:dyDescent="0.3">
      <c r="A423" s="24">
        <v>422</v>
      </c>
      <c r="B423" s="10" t="s">
        <v>193</v>
      </c>
      <c r="C423" s="10" t="s">
        <v>21</v>
      </c>
      <c r="D423" s="62">
        <v>19</v>
      </c>
      <c r="E423" s="61" t="s">
        <v>2805</v>
      </c>
      <c r="F423" s="19" t="s">
        <v>384</v>
      </c>
      <c r="G423" s="10" t="s">
        <v>150</v>
      </c>
      <c r="H423" s="10" t="s">
        <v>851</v>
      </c>
      <c r="I423" s="62">
        <v>320</v>
      </c>
      <c r="J423" s="10" t="s">
        <v>2372</v>
      </c>
      <c r="K423" s="10" t="s">
        <v>847</v>
      </c>
      <c r="L423" s="10" t="s">
        <v>2373</v>
      </c>
      <c r="M423" s="10" t="s">
        <v>2372</v>
      </c>
      <c r="N423" s="10" t="s">
        <v>2373</v>
      </c>
      <c r="O423" s="10"/>
    </row>
    <row r="424" spans="1:15" ht="18" customHeight="1" x14ac:dyDescent="0.3">
      <c r="A424" s="24">
        <v>423</v>
      </c>
      <c r="B424" s="10" t="s">
        <v>193</v>
      </c>
      <c r="C424" s="10" t="s">
        <v>21</v>
      </c>
      <c r="D424" s="62">
        <v>19</v>
      </c>
      <c r="E424" s="61" t="s">
        <v>2805</v>
      </c>
      <c r="F424" s="19" t="s">
        <v>384</v>
      </c>
      <c r="G424" s="10" t="s">
        <v>150</v>
      </c>
      <c r="H424" s="10" t="s">
        <v>853</v>
      </c>
      <c r="I424" s="62">
        <v>126</v>
      </c>
      <c r="J424" s="10" t="s">
        <v>2374</v>
      </c>
      <c r="K424" s="10" t="s">
        <v>847</v>
      </c>
      <c r="L424" s="10" t="s">
        <v>2373</v>
      </c>
      <c r="M424" s="10" t="s">
        <v>2372</v>
      </c>
      <c r="N424" s="10" t="s">
        <v>2373</v>
      </c>
      <c r="O424" s="10"/>
    </row>
    <row r="425" spans="1:15" ht="18" customHeight="1" x14ac:dyDescent="0.3">
      <c r="A425" s="24">
        <v>424</v>
      </c>
      <c r="B425" s="10" t="s">
        <v>193</v>
      </c>
      <c r="C425" s="10" t="s">
        <v>21</v>
      </c>
      <c r="D425" s="62">
        <v>19</v>
      </c>
      <c r="E425" s="61" t="s">
        <v>2805</v>
      </c>
      <c r="F425" s="19" t="s">
        <v>384</v>
      </c>
      <c r="G425" s="10" t="s">
        <v>150</v>
      </c>
      <c r="H425" s="10" t="s">
        <v>854</v>
      </c>
      <c r="I425" s="62">
        <v>167</v>
      </c>
      <c r="J425" s="10" t="s">
        <v>2372</v>
      </c>
      <c r="K425" s="10" t="s">
        <v>847</v>
      </c>
      <c r="L425" s="10" t="s">
        <v>2373</v>
      </c>
      <c r="M425" s="10" t="s">
        <v>2372</v>
      </c>
      <c r="N425" s="10" t="s">
        <v>2373</v>
      </c>
      <c r="O425" s="10"/>
    </row>
    <row r="426" spans="1:15" ht="18" customHeight="1" x14ac:dyDescent="0.3">
      <c r="A426" s="24">
        <v>425</v>
      </c>
      <c r="B426" s="10" t="s">
        <v>193</v>
      </c>
      <c r="C426" s="10" t="s">
        <v>21</v>
      </c>
      <c r="D426" s="62">
        <v>19</v>
      </c>
      <c r="E426" s="61" t="s">
        <v>2805</v>
      </c>
      <c r="F426" s="19" t="s">
        <v>384</v>
      </c>
      <c r="G426" s="10" t="s">
        <v>150</v>
      </c>
      <c r="H426" s="10" t="s">
        <v>855</v>
      </c>
      <c r="I426" s="62">
        <v>130</v>
      </c>
      <c r="J426" s="10" t="s">
        <v>2372</v>
      </c>
      <c r="K426" s="10" t="s">
        <v>847</v>
      </c>
      <c r="L426" s="10" t="s">
        <v>2373</v>
      </c>
      <c r="M426" s="10" t="s">
        <v>2372</v>
      </c>
      <c r="N426" s="10" t="s">
        <v>2373</v>
      </c>
      <c r="O426" s="10"/>
    </row>
    <row r="427" spans="1:15" ht="18" customHeight="1" x14ac:dyDescent="0.3">
      <c r="A427" s="24">
        <v>426</v>
      </c>
      <c r="B427" s="10" t="s">
        <v>193</v>
      </c>
      <c r="C427" s="10" t="s">
        <v>21</v>
      </c>
      <c r="D427" s="62">
        <v>19</v>
      </c>
      <c r="E427" s="61" t="s">
        <v>2805</v>
      </c>
      <c r="F427" s="19" t="s">
        <v>384</v>
      </c>
      <c r="G427" s="10" t="s">
        <v>150</v>
      </c>
      <c r="H427" s="10" t="s">
        <v>872</v>
      </c>
      <c r="I427" s="62">
        <v>358</v>
      </c>
      <c r="J427" s="10" t="s">
        <v>2372</v>
      </c>
      <c r="K427" s="10" t="s">
        <v>847</v>
      </c>
      <c r="L427" s="10" t="s">
        <v>2373</v>
      </c>
      <c r="M427" s="10" t="s">
        <v>2372</v>
      </c>
      <c r="N427" s="10" t="s">
        <v>2373</v>
      </c>
      <c r="O427" s="10"/>
    </row>
    <row r="428" spans="1:15" ht="18" customHeight="1" x14ac:dyDescent="0.3">
      <c r="A428" s="24">
        <v>427</v>
      </c>
      <c r="B428" s="10" t="s">
        <v>193</v>
      </c>
      <c r="C428" s="10" t="s">
        <v>21</v>
      </c>
      <c r="D428" s="62">
        <v>19</v>
      </c>
      <c r="E428" s="61" t="s">
        <v>2805</v>
      </c>
      <c r="F428" s="19" t="s">
        <v>2481</v>
      </c>
      <c r="G428" s="10" t="s">
        <v>150</v>
      </c>
      <c r="H428" s="10" t="s">
        <v>848</v>
      </c>
      <c r="I428" s="62">
        <v>144</v>
      </c>
      <c r="J428" s="10" t="s">
        <v>2374</v>
      </c>
      <c r="K428" s="10" t="s">
        <v>846</v>
      </c>
      <c r="L428" s="10" t="s">
        <v>188</v>
      </c>
      <c r="M428" s="10" t="s">
        <v>2372</v>
      </c>
      <c r="N428" s="10" t="s">
        <v>2373</v>
      </c>
      <c r="O428" s="10"/>
    </row>
    <row r="429" spans="1:15" ht="18" customHeight="1" x14ac:dyDescent="0.3">
      <c r="A429" s="24">
        <v>428</v>
      </c>
      <c r="B429" s="10" t="s">
        <v>193</v>
      </c>
      <c r="C429" s="10" t="s">
        <v>21</v>
      </c>
      <c r="D429" s="62">
        <v>19</v>
      </c>
      <c r="E429" s="61" t="s">
        <v>2805</v>
      </c>
      <c r="F429" s="19" t="s">
        <v>2481</v>
      </c>
      <c r="G429" s="10" t="s">
        <v>150</v>
      </c>
      <c r="H429" s="10" t="s">
        <v>852</v>
      </c>
      <c r="I429" s="62">
        <v>200</v>
      </c>
      <c r="J429" s="10" t="s">
        <v>2372</v>
      </c>
      <c r="K429" s="10" t="s">
        <v>846</v>
      </c>
      <c r="L429" s="10" t="s">
        <v>985</v>
      </c>
      <c r="M429" s="10" t="s">
        <v>2372</v>
      </c>
      <c r="N429" s="10" t="s">
        <v>2373</v>
      </c>
      <c r="O429" s="10"/>
    </row>
    <row r="430" spans="1:15" ht="18" customHeight="1" x14ac:dyDescent="0.3">
      <c r="A430" s="24">
        <v>429</v>
      </c>
      <c r="B430" s="10" t="s">
        <v>193</v>
      </c>
      <c r="C430" s="10" t="s">
        <v>21</v>
      </c>
      <c r="D430" s="62">
        <v>19</v>
      </c>
      <c r="E430" s="61" t="s">
        <v>2805</v>
      </c>
      <c r="F430" s="19" t="s">
        <v>2481</v>
      </c>
      <c r="G430" s="10" t="s">
        <v>150</v>
      </c>
      <c r="H430" s="10" t="s">
        <v>2411</v>
      </c>
      <c r="I430" s="62">
        <v>48</v>
      </c>
      <c r="J430" s="10" t="s">
        <v>2372</v>
      </c>
      <c r="K430" s="10" t="s">
        <v>846</v>
      </c>
      <c r="L430" s="10" t="s">
        <v>2412</v>
      </c>
      <c r="M430" s="10" t="s">
        <v>2372</v>
      </c>
      <c r="N430" s="10" t="s">
        <v>2373</v>
      </c>
      <c r="O430" s="10"/>
    </row>
    <row r="431" spans="1:15" ht="18" customHeight="1" x14ac:dyDescent="0.3">
      <c r="A431" s="24">
        <v>430</v>
      </c>
      <c r="B431" s="10" t="s">
        <v>193</v>
      </c>
      <c r="C431" s="10" t="s">
        <v>21</v>
      </c>
      <c r="D431" s="62">
        <v>19</v>
      </c>
      <c r="E431" s="61" t="s">
        <v>2805</v>
      </c>
      <c r="F431" s="19" t="s">
        <v>2481</v>
      </c>
      <c r="G431" s="10" t="s">
        <v>150</v>
      </c>
      <c r="H431" s="173" t="s">
        <v>3524</v>
      </c>
      <c r="I431" s="62">
        <v>387</v>
      </c>
      <c r="J431" s="10" t="s">
        <v>2374</v>
      </c>
      <c r="K431" s="10" t="s">
        <v>846</v>
      </c>
      <c r="L431" s="173" t="s">
        <v>3523</v>
      </c>
      <c r="M431" s="10" t="s">
        <v>2372</v>
      </c>
      <c r="N431" s="10" t="s">
        <v>2373</v>
      </c>
      <c r="O431" s="10" t="s">
        <v>3522</v>
      </c>
    </row>
    <row r="432" spans="1:15" ht="18" customHeight="1" x14ac:dyDescent="0.3">
      <c r="A432" s="24">
        <v>431</v>
      </c>
      <c r="B432" s="10" t="s">
        <v>193</v>
      </c>
      <c r="C432" s="10" t="s">
        <v>21</v>
      </c>
      <c r="D432" s="62">
        <v>19</v>
      </c>
      <c r="E432" s="61" t="s">
        <v>2805</v>
      </c>
      <c r="F432" s="19" t="s">
        <v>2481</v>
      </c>
      <c r="G432" s="10" t="s">
        <v>150</v>
      </c>
      <c r="H432" s="10" t="s">
        <v>2773</v>
      </c>
      <c r="I432" s="62">
        <v>462</v>
      </c>
      <c r="J432" s="10" t="s">
        <v>2374</v>
      </c>
      <c r="K432" s="10" t="s">
        <v>846</v>
      </c>
      <c r="L432" s="10" t="s">
        <v>2774</v>
      </c>
      <c r="M432" s="10" t="s">
        <v>2372</v>
      </c>
      <c r="N432" s="10" t="s">
        <v>2373</v>
      </c>
      <c r="O432" s="10"/>
    </row>
    <row r="433" spans="1:15" ht="18" customHeight="1" x14ac:dyDescent="0.3">
      <c r="A433" s="24">
        <v>432</v>
      </c>
      <c r="B433" s="10" t="s">
        <v>193</v>
      </c>
      <c r="C433" s="10" t="s">
        <v>22</v>
      </c>
      <c r="D433" s="62">
        <v>20</v>
      </c>
      <c r="E433" s="61" t="s">
        <v>962</v>
      </c>
      <c r="F433" s="11" t="s">
        <v>1370</v>
      </c>
      <c r="G433" s="10" t="s">
        <v>2373</v>
      </c>
      <c r="H433" s="10" t="s">
        <v>963</v>
      </c>
      <c r="I433" s="62">
        <v>92</v>
      </c>
      <c r="J433" s="10" t="s">
        <v>2372</v>
      </c>
      <c r="K433" s="10" t="s">
        <v>847</v>
      </c>
      <c r="L433" s="10" t="s">
        <v>2373</v>
      </c>
      <c r="M433" s="10" t="s">
        <v>2374</v>
      </c>
      <c r="N433" s="10" t="s">
        <v>2482</v>
      </c>
      <c r="O433" s="10"/>
    </row>
    <row r="434" spans="1:15" ht="18" customHeight="1" x14ac:dyDescent="0.3">
      <c r="A434" s="24">
        <v>433</v>
      </c>
      <c r="B434" s="10" t="s">
        <v>193</v>
      </c>
      <c r="C434" s="10" t="s">
        <v>22</v>
      </c>
      <c r="D434" s="62">
        <v>20</v>
      </c>
      <c r="E434" s="61" t="s">
        <v>962</v>
      </c>
      <c r="F434" s="11" t="s">
        <v>1370</v>
      </c>
      <c r="G434" s="10" t="s">
        <v>2373</v>
      </c>
      <c r="H434" s="10" t="s">
        <v>964</v>
      </c>
      <c r="I434" s="62">
        <v>58</v>
      </c>
      <c r="J434" s="10" t="s">
        <v>2374</v>
      </c>
      <c r="K434" s="10" t="s">
        <v>847</v>
      </c>
      <c r="L434" s="10" t="s">
        <v>2373</v>
      </c>
      <c r="M434" s="10" t="s">
        <v>2374</v>
      </c>
      <c r="N434" s="10" t="s">
        <v>2483</v>
      </c>
      <c r="O434" s="10"/>
    </row>
    <row r="435" spans="1:15" ht="18" customHeight="1" x14ac:dyDescent="0.3">
      <c r="A435" s="24">
        <v>434</v>
      </c>
      <c r="B435" s="10" t="s">
        <v>193</v>
      </c>
      <c r="C435" s="10" t="s">
        <v>22</v>
      </c>
      <c r="D435" s="62">
        <v>20</v>
      </c>
      <c r="E435" s="61" t="s">
        <v>178</v>
      </c>
      <c r="F435" s="16" t="s">
        <v>359</v>
      </c>
      <c r="G435" s="10" t="s">
        <v>150</v>
      </c>
      <c r="H435" s="10" t="s">
        <v>845</v>
      </c>
      <c r="I435" s="62">
        <v>123</v>
      </c>
      <c r="J435" s="10" t="s">
        <v>2372</v>
      </c>
      <c r="K435" s="10" t="s">
        <v>847</v>
      </c>
      <c r="L435" s="10" t="s">
        <v>2373</v>
      </c>
      <c r="M435" s="10" t="s">
        <v>2372</v>
      </c>
      <c r="N435" s="10" t="s">
        <v>2373</v>
      </c>
      <c r="O435" s="10"/>
    </row>
    <row r="436" spans="1:15" ht="18" customHeight="1" x14ac:dyDescent="0.3">
      <c r="A436" s="24">
        <v>435</v>
      </c>
      <c r="B436" s="10" t="s">
        <v>193</v>
      </c>
      <c r="C436" s="10" t="s">
        <v>22</v>
      </c>
      <c r="D436" s="62">
        <v>20</v>
      </c>
      <c r="E436" s="61" t="s">
        <v>178</v>
      </c>
      <c r="F436" s="16" t="s">
        <v>359</v>
      </c>
      <c r="G436" s="10" t="s">
        <v>150</v>
      </c>
      <c r="H436" s="10" t="s">
        <v>848</v>
      </c>
      <c r="I436" s="62">
        <v>198</v>
      </c>
      <c r="J436" s="10" t="s">
        <v>2372</v>
      </c>
      <c r="K436" s="10" t="s">
        <v>847</v>
      </c>
      <c r="L436" s="10" t="s">
        <v>2373</v>
      </c>
      <c r="M436" s="10" t="s">
        <v>2372</v>
      </c>
      <c r="N436" s="10" t="s">
        <v>2373</v>
      </c>
      <c r="O436" s="10"/>
    </row>
    <row r="437" spans="1:15" ht="18" customHeight="1" x14ac:dyDescent="0.3">
      <c r="A437" s="24">
        <v>436</v>
      </c>
      <c r="B437" s="10" t="s">
        <v>193</v>
      </c>
      <c r="C437" s="10" t="s">
        <v>22</v>
      </c>
      <c r="D437" s="62">
        <v>20</v>
      </c>
      <c r="E437" s="61" t="s">
        <v>178</v>
      </c>
      <c r="F437" s="16" t="s">
        <v>359</v>
      </c>
      <c r="G437" s="10" t="s">
        <v>150</v>
      </c>
      <c r="H437" s="10" t="s">
        <v>849</v>
      </c>
      <c r="I437" s="62">
        <v>123</v>
      </c>
      <c r="J437" s="10" t="s">
        <v>2372</v>
      </c>
      <c r="K437" s="10" t="s">
        <v>847</v>
      </c>
      <c r="L437" s="10" t="s">
        <v>2373</v>
      </c>
      <c r="M437" s="10" t="s">
        <v>2372</v>
      </c>
      <c r="N437" s="10" t="s">
        <v>2373</v>
      </c>
      <c r="O437" s="10"/>
    </row>
    <row r="438" spans="1:15" ht="18" customHeight="1" x14ac:dyDescent="0.3">
      <c r="A438" s="24">
        <v>437</v>
      </c>
      <c r="B438" s="10" t="s">
        <v>193</v>
      </c>
      <c r="C438" s="10" t="s">
        <v>22</v>
      </c>
      <c r="D438" s="62">
        <v>20</v>
      </c>
      <c r="E438" s="61" t="s">
        <v>178</v>
      </c>
      <c r="F438" s="16" t="s">
        <v>359</v>
      </c>
      <c r="G438" s="10" t="s">
        <v>150</v>
      </c>
      <c r="H438" s="10" t="s">
        <v>850</v>
      </c>
      <c r="I438" s="62">
        <v>123</v>
      </c>
      <c r="J438" s="10" t="s">
        <v>2372</v>
      </c>
      <c r="K438" s="10" t="s">
        <v>847</v>
      </c>
      <c r="L438" s="10" t="s">
        <v>2373</v>
      </c>
      <c r="M438" s="10" t="s">
        <v>2372</v>
      </c>
      <c r="N438" s="10" t="s">
        <v>2373</v>
      </c>
      <c r="O438" s="10"/>
    </row>
    <row r="439" spans="1:15" ht="18" customHeight="1" x14ac:dyDescent="0.3">
      <c r="A439" s="24">
        <v>438</v>
      </c>
      <c r="B439" s="10" t="s">
        <v>193</v>
      </c>
      <c r="C439" s="10" t="s">
        <v>22</v>
      </c>
      <c r="D439" s="62">
        <v>20</v>
      </c>
      <c r="E439" s="61" t="s">
        <v>178</v>
      </c>
      <c r="F439" s="16" t="s">
        <v>359</v>
      </c>
      <c r="G439" s="10" t="s">
        <v>150</v>
      </c>
      <c r="H439" s="10" t="s">
        <v>851</v>
      </c>
      <c r="I439" s="62">
        <v>198</v>
      </c>
      <c r="J439" s="10" t="s">
        <v>2372</v>
      </c>
      <c r="K439" s="10" t="s">
        <v>847</v>
      </c>
      <c r="L439" s="10" t="s">
        <v>2373</v>
      </c>
      <c r="M439" s="10" t="s">
        <v>2372</v>
      </c>
      <c r="N439" s="10" t="s">
        <v>2373</v>
      </c>
      <c r="O439" s="10"/>
    </row>
    <row r="440" spans="1:15" ht="18" customHeight="1" x14ac:dyDescent="0.3">
      <c r="A440" s="24">
        <v>439</v>
      </c>
      <c r="B440" s="10" t="s">
        <v>193</v>
      </c>
      <c r="C440" s="10" t="s">
        <v>22</v>
      </c>
      <c r="D440" s="62">
        <v>20</v>
      </c>
      <c r="E440" s="61" t="s">
        <v>178</v>
      </c>
      <c r="F440" s="16" t="s">
        <v>359</v>
      </c>
      <c r="G440" s="10" t="s">
        <v>150</v>
      </c>
      <c r="H440" s="10" t="s">
        <v>852</v>
      </c>
      <c r="I440" s="62">
        <v>123</v>
      </c>
      <c r="J440" s="10" t="s">
        <v>2374</v>
      </c>
      <c r="K440" s="10" t="s">
        <v>847</v>
      </c>
      <c r="L440" s="10" t="s">
        <v>2373</v>
      </c>
      <c r="M440" s="10" t="s">
        <v>2372</v>
      </c>
      <c r="N440" s="10" t="s">
        <v>2373</v>
      </c>
      <c r="O440" s="10"/>
    </row>
    <row r="441" spans="1:15" ht="18" customHeight="1" x14ac:dyDescent="0.3">
      <c r="A441" s="24">
        <v>440</v>
      </c>
      <c r="B441" s="99" t="s">
        <v>1259</v>
      </c>
      <c r="C441" s="99" t="s">
        <v>2732</v>
      </c>
      <c r="D441" s="99">
        <v>20</v>
      </c>
      <c r="E441" s="56" t="s">
        <v>2733</v>
      </c>
      <c r="F441" s="56" t="s">
        <v>2734</v>
      </c>
      <c r="G441" s="99" t="s">
        <v>1263</v>
      </c>
      <c r="H441" s="10" t="s">
        <v>3171</v>
      </c>
      <c r="I441" s="62">
        <v>118</v>
      </c>
      <c r="J441" s="10" t="s">
        <v>884</v>
      </c>
      <c r="K441" s="10" t="s">
        <v>884</v>
      </c>
      <c r="L441" s="10" t="s">
        <v>820</v>
      </c>
      <c r="M441" s="10" t="s">
        <v>884</v>
      </c>
      <c r="N441" s="10" t="s">
        <v>820</v>
      </c>
      <c r="O441" s="10"/>
    </row>
    <row r="442" spans="1:15" ht="18" customHeight="1" x14ac:dyDescent="0.3">
      <c r="A442" s="24">
        <v>441</v>
      </c>
      <c r="B442" s="99" t="s">
        <v>1259</v>
      </c>
      <c r="C442" s="99" t="s">
        <v>2732</v>
      </c>
      <c r="D442" s="99">
        <v>20</v>
      </c>
      <c r="E442" s="56" t="s">
        <v>2733</v>
      </c>
      <c r="F442" s="56" t="s">
        <v>2734</v>
      </c>
      <c r="G442" s="99" t="s">
        <v>1263</v>
      </c>
      <c r="H442" s="10" t="s">
        <v>3160</v>
      </c>
      <c r="I442" s="62">
        <v>97</v>
      </c>
      <c r="J442" s="10" t="s">
        <v>884</v>
      </c>
      <c r="K442" s="10" t="s">
        <v>884</v>
      </c>
      <c r="L442" s="10" t="s">
        <v>820</v>
      </c>
      <c r="M442" s="10" t="s">
        <v>884</v>
      </c>
      <c r="N442" s="10" t="s">
        <v>820</v>
      </c>
      <c r="O442" s="10"/>
    </row>
    <row r="443" spans="1:15" ht="18" customHeight="1" x14ac:dyDescent="0.3">
      <c r="A443" s="24">
        <v>442</v>
      </c>
      <c r="B443" s="99" t="s">
        <v>1259</v>
      </c>
      <c r="C443" s="99" t="s">
        <v>2732</v>
      </c>
      <c r="D443" s="99">
        <v>20</v>
      </c>
      <c r="E443" s="56" t="s">
        <v>2733</v>
      </c>
      <c r="F443" s="56" t="s">
        <v>2734</v>
      </c>
      <c r="G443" s="99" t="s">
        <v>1263</v>
      </c>
      <c r="H443" s="10" t="s">
        <v>3172</v>
      </c>
      <c r="I443" s="62">
        <v>44</v>
      </c>
      <c r="J443" s="10" t="s">
        <v>884</v>
      </c>
      <c r="K443" s="173" t="s">
        <v>860</v>
      </c>
      <c r="L443" s="173" t="s">
        <v>2229</v>
      </c>
      <c r="M443" s="10" t="s">
        <v>884</v>
      </c>
      <c r="N443" s="10" t="s">
        <v>820</v>
      </c>
      <c r="O443" s="10"/>
    </row>
    <row r="444" spans="1:15" ht="18" customHeight="1" x14ac:dyDescent="0.3">
      <c r="A444" s="24">
        <v>443</v>
      </c>
      <c r="B444" s="99" t="s">
        <v>1259</v>
      </c>
      <c r="C444" s="99" t="s">
        <v>2732</v>
      </c>
      <c r="D444" s="99">
        <v>20</v>
      </c>
      <c r="E444" s="56" t="s">
        <v>2733</v>
      </c>
      <c r="F444" s="56" t="s">
        <v>2734</v>
      </c>
      <c r="G444" s="99" t="s">
        <v>1263</v>
      </c>
      <c r="H444" s="10" t="s">
        <v>3173</v>
      </c>
      <c r="I444" s="62">
        <v>44</v>
      </c>
      <c r="J444" s="10" t="s">
        <v>884</v>
      </c>
      <c r="K444" s="173" t="s">
        <v>860</v>
      </c>
      <c r="L444" s="173" t="s">
        <v>2229</v>
      </c>
      <c r="M444" s="10" t="s">
        <v>884</v>
      </c>
      <c r="N444" s="10" t="s">
        <v>820</v>
      </c>
      <c r="O444" s="10"/>
    </row>
    <row r="445" spans="1:15" ht="18" customHeight="1" x14ac:dyDescent="0.3">
      <c r="A445" s="24">
        <v>444</v>
      </c>
      <c r="B445" s="99" t="s">
        <v>1259</v>
      </c>
      <c r="C445" s="99" t="s">
        <v>2732</v>
      </c>
      <c r="D445" s="99">
        <v>20</v>
      </c>
      <c r="E445" s="56" t="s">
        <v>2733</v>
      </c>
      <c r="F445" s="56" t="s">
        <v>2734</v>
      </c>
      <c r="G445" s="99" t="s">
        <v>1263</v>
      </c>
      <c r="H445" s="10" t="s">
        <v>3174</v>
      </c>
      <c r="I445" s="62">
        <v>132</v>
      </c>
      <c r="J445" s="10" t="s">
        <v>884</v>
      </c>
      <c r="K445" s="10" t="s">
        <v>884</v>
      </c>
      <c r="L445" s="10" t="s">
        <v>820</v>
      </c>
      <c r="M445" s="10" t="s">
        <v>884</v>
      </c>
      <c r="N445" s="10" t="s">
        <v>820</v>
      </c>
      <c r="O445" s="10"/>
    </row>
    <row r="446" spans="1:15" ht="18" customHeight="1" x14ac:dyDescent="0.3">
      <c r="A446" s="24">
        <v>445</v>
      </c>
      <c r="B446" s="99" t="s">
        <v>1259</v>
      </c>
      <c r="C446" s="99" t="s">
        <v>2732</v>
      </c>
      <c r="D446" s="99">
        <v>20</v>
      </c>
      <c r="E446" s="56" t="s">
        <v>2733</v>
      </c>
      <c r="F446" s="56" t="s">
        <v>2734</v>
      </c>
      <c r="G446" s="99" t="s">
        <v>1263</v>
      </c>
      <c r="H446" s="10" t="s">
        <v>3164</v>
      </c>
      <c r="I446" s="62">
        <v>98</v>
      </c>
      <c r="J446" s="173" t="s">
        <v>3175</v>
      </c>
      <c r="K446" s="10" t="s">
        <v>884</v>
      </c>
      <c r="L446" s="10" t="s">
        <v>820</v>
      </c>
      <c r="M446" s="10" t="s">
        <v>884</v>
      </c>
      <c r="N446" s="10" t="s">
        <v>820</v>
      </c>
      <c r="O446" s="10"/>
    </row>
    <row r="447" spans="1:15" ht="18" customHeight="1" x14ac:dyDescent="0.3">
      <c r="A447" s="24">
        <v>446</v>
      </c>
      <c r="B447" s="10" t="s">
        <v>193</v>
      </c>
      <c r="C447" s="10" t="s">
        <v>23</v>
      </c>
      <c r="D447" s="62">
        <v>21</v>
      </c>
      <c r="E447" s="61" t="s">
        <v>179</v>
      </c>
      <c r="F447" s="16" t="s">
        <v>334</v>
      </c>
      <c r="G447" s="10" t="s">
        <v>150</v>
      </c>
      <c r="H447" s="10" t="s">
        <v>845</v>
      </c>
      <c r="I447" s="62">
        <v>131</v>
      </c>
      <c r="J447" s="8" t="s">
        <v>2372</v>
      </c>
      <c r="K447" s="10" t="s">
        <v>847</v>
      </c>
      <c r="L447" s="10" t="s">
        <v>2373</v>
      </c>
      <c r="M447" s="10" t="s">
        <v>2372</v>
      </c>
      <c r="N447" s="10" t="s">
        <v>2373</v>
      </c>
      <c r="O447" s="10"/>
    </row>
    <row r="448" spans="1:15" ht="18" customHeight="1" x14ac:dyDescent="0.3">
      <c r="A448" s="24">
        <v>447</v>
      </c>
      <c r="B448" s="10" t="s">
        <v>193</v>
      </c>
      <c r="C448" s="10" t="s">
        <v>23</v>
      </c>
      <c r="D448" s="62">
        <v>21</v>
      </c>
      <c r="E448" s="61" t="s">
        <v>179</v>
      </c>
      <c r="F448" s="16" t="s">
        <v>334</v>
      </c>
      <c r="G448" s="10" t="s">
        <v>150</v>
      </c>
      <c r="H448" s="10" t="s">
        <v>848</v>
      </c>
      <c r="I448" s="62">
        <v>185</v>
      </c>
      <c r="J448" s="8" t="s">
        <v>2372</v>
      </c>
      <c r="K448" s="10" t="s">
        <v>847</v>
      </c>
      <c r="L448" s="10" t="s">
        <v>2373</v>
      </c>
      <c r="M448" s="10" t="s">
        <v>2372</v>
      </c>
      <c r="N448" s="10" t="s">
        <v>2373</v>
      </c>
      <c r="O448" s="10"/>
    </row>
    <row r="449" spans="1:15" ht="18" customHeight="1" x14ac:dyDescent="0.3">
      <c r="A449" s="24">
        <v>448</v>
      </c>
      <c r="B449" s="10" t="s">
        <v>193</v>
      </c>
      <c r="C449" s="10" t="s">
        <v>23</v>
      </c>
      <c r="D449" s="62">
        <v>21</v>
      </c>
      <c r="E449" s="61" t="s">
        <v>179</v>
      </c>
      <c r="F449" s="16" t="s">
        <v>334</v>
      </c>
      <c r="G449" s="10" t="s">
        <v>150</v>
      </c>
      <c r="H449" s="10" t="s">
        <v>849</v>
      </c>
      <c r="I449" s="62">
        <v>78</v>
      </c>
      <c r="J449" s="8" t="s">
        <v>2372</v>
      </c>
      <c r="K449" s="10" t="s">
        <v>847</v>
      </c>
      <c r="L449" s="10" t="s">
        <v>2373</v>
      </c>
      <c r="M449" s="10" t="s">
        <v>2372</v>
      </c>
      <c r="N449" s="10" t="s">
        <v>2373</v>
      </c>
      <c r="O449" s="10"/>
    </row>
    <row r="450" spans="1:15" ht="18" customHeight="1" x14ac:dyDescent="0.3">
      <c r="A450" s="24">
        <v>449</v>
      </c>
      <c r="B450" s="10" t="s">
        <v>193</v>
      </c>
      <c r="C450" s="10" t="s">
        <v>23</v>
      </c>
      <c r="D450" s="62">
        <v>21</v>
      </c>
      <c r="E450" s="61" t="s">
        <v>179</v>
      </c>
      <c r="F450" s="16" t="s">
        <v>334</v>
      </c>
      <c r="G450" s="10" t="s">
        <v>150</v>
      </c>
      <c r="H450" s="10" t="s">
        <v>850</v>
      </c>
      <c r="I450" s="62">
        <v>107</v>
      </c>
      <c r="J450" s="8" t="s">
        <v>2372</v>
      </c>
      <c r="K450" s="10" t="s">
        <v>847</v>
      </c>
      <c r="L450" s="10" t="s">
        <v>2373</v>
      </c>
      <c r="M450" s="10" t="s">
        <v>2372</v>
      </c>
      <c r="N450" s="10" t="s">
        <v>2373</v>
      </c>
      <c r="O450" s="10"/>
    </row>
    <row r="451" spans="1:15" ht="18" customHeight="1" x14ac:dyDescent="0.3">
      <c r="A451" s="24">
        <v>450</v>
      </c>
      <c r="B451" s="10" t="s">
        <v>193</v>
      </c>
      <c r="C451" s="10" t="s">
        <v>23</v>
      </c>
      <c r="D451" s="62">
        <v>21</v>
      </c>
      <c r="E451" s="61" t="s">
        <v>179</v>
      </c>
      <c r="F451" s="16" t="s">
        <v>334</v>
      </c>
      <c r="G451" s="10" t="s">
        <v>150</v>
      </c>
      <c r="H451" s="10" t="s">
        <v>851</v>
      </c>
      <c r="I451" s="62">
        <v>186</v>
      </c>
      <c r="J451" s="8" t="s">
        <v>2372</v>
      </c>
      <c r="K451" s="10" t="s">
        <v>847</v>
      </c>
      <c r="L451" s="10" t="s">
        <v>2373</v>
      </c>
      <c r="M451" s="10" t="s">
        <v>2372</v>
      </c>
      <c r="N451" s="10" t="s">
        <v>2373</v>
      </c>
      <c r="O451" s="10"/>
    </row>
    <row r="452" spans="1:15" ht="18" customHeight="1" x14ac:dyDescent="0.3">
      <c r="A452" s="24">
        <v>451</v>
      </c>
      <c r="B452" s="10" t="s">
        <v>193</v>
      </c>
      <c r="C452" s="10" t="s">
        <v>23</v>
      </c>
      <c r="D452" s="62">
        <v>21</v>
      </c>
      <c r="E452" s="61" t="s">
        <v>180</v>
      </c>
      <c r="F452" s="16" t="s">
        <v>1373</v>
      </c>
      <c r="G452" s="10" t="s">
        <v>150</v>
      </c>
      <c r="H452" s="10" t="s">
        <v>845</v>
      </c>
      <c r="I452" s="62">
        <v>240</v>
      </c>
      <c r="J452" s="8" t="s">
        <v>846</v>
      </c>
      <c r="K452" s="10" t="s">
        <v>847</v>
      </c>
      <c r="L452" s="10" t="s">
        <v>2373</v>
      </c>
      <c r="M452" s="10" t="s">
        <v>2372</v>
      </c>
      <c r="N452" s="10" t="s">
        <v>2373</v>
      </c>
      <c r="O452" s="10"/>
    </row>
    <row r="453" spans="1:15" ht="18" customHeight="1" x14ac:dyDescent="0.3">
      <c r="A453" s="24">
        <v>452</v>
      </c>
      <c r="B453" s="10" t="s">
        <v>193</v>
      </c>
      <c r="C453" s="10" t="s">
        <v>23</v>
      </c>
      <c r="D453" s="62">
        <v>21</v>
      </c>
      <c r="E453" s="61" t="s">
        <v>180</v>
      </c>
      <c r="F453" s="16" t="s">
        <v>1373</v>
      </c>
      <c r="G453" s="10" t="s">
        <v>150</v>
      </c>
      <c r="H453" s="10" t="s">
        <v>848</v>
      </c>
      <c r="I453" s="62">
        <v>165</v>
      </c>
      <c r="J453" s="8" t="s">
        <v>846</v>
      </c>
      <c r="K453" s="10" t="s">
        <v>847</v>
      </c>
      <c r="L453" s="10" t="s">
        <v>2373</v>
      </c>
      <c r="M453" s="10" t="s">
        <v>2372</v>
      </c>
      <c r="N453" s="10" t="s">
        <v>2373</v>
      </c>
      <c r="O453" s="10"/>
    </row>
    <row r="454" spans="1:15" ht="18" customHeight="1" x14ac:dyDescent="0.3">
      <c r="A454" s="24">
        <v>453</v>
      </c>
      <c r="B454" s="10" t="s">
        <v>193</v>
      </c>
      <c r="C454" s="10" t="s">
        <v>23</v>
      </c>
      <c r="D454" s="62">
        <v>21</v>
      </c>
      <c r="E454" s="61" t="s">
        <v>180</v>
      </c>
      <c r="F454" s="16" t="s">
        <v>1049</v>
      </c>
      <c r="G454" s="10" t="s">
        <v>150</v>
      </c>
      <c r="H454" s="10" t="s">
        <v>849</v>
      </c>
      <c r="I454" s="62">
        <v>242</v>
      </c>
      <c r="J454" s="8" t="s">
        <v>846</v>
      </c>
      <c r="K454" s="10" t="s">
        <v>847</v>
      </c>
      <c r="L454" s="10" t="s">
        <v>2373</v>
      </c>
      <c r="M454" s="10" t="s">
        <v>2372</v>
      </c>
      <c r="N454" s="10" t="s">
        <v>2373</v>
      </c>
      <c r="O454" s="10"/>
    </row>
    <row r="455" spans="1:15" ht="18" customHeight="1" x14ac:dyDescent="0.3">
      <c r="A455" s="24">
        <v>454</v>
      </c>
      <c r="B455" s="10" t="s">
        <v>193</v>
      </c>
      <c r="C455" s="10" t="s">
        <v>23</v>
      </c>
      <c r="D455" s="62">
        <v>21</v>
      </c>
      <c r="E455" s="61" t="s">
        <v>180</v>
      </c>
      <c r="F455" s="16" t="s">
        <v>1049</v>
      </c>
      <c r="G455" s="10" t="s">
        <v>150</v>
      </c>
      <c r="H455" s="10" t="s">
        <v>850</v>
      </c>
      <c r="I455" s="62">
        <v>160</v>
      </c>
      <c r="J455" s="8" t="s">
        <v>2372</v>
      </c>
      <c r="K455" s="10" t="s">
        <v>847</v>
      </c>
      <c r="L455" s="10" t="s">
        <v>2373</v>
      </c>
      <c r="M455" s="10" t="s">
        <v>2372</v>
      </c>
      <c r="N455" s="10" t="s">
        <v>2373</v>
      </c>
      <c r="O455" s="10"/>
    </row>
    <row r="456" spans="1:15" ht="18" customHeight="1" x14ac:dyDescent="0.3">
      <c r="A456" s="24">
        <v>455</v>
      </c>
      <c r="B456" s="10" t="s">
        <v>193</v>
      </c>
      <c r="C456" s="10" t="s">
        <v>23</v>
      </c>
      <c r="D456" s="62">
        <v>21</v>
      </c>
      <c r="E456" s="61" t="s">
        <v>180</v>
      </c>
      <c r="F456" s="16" t="s">
        <v>1049</v>
      </c>
      <c r="G456" s="10" t="s">
        <v>150</v>
      </c>
      <c r="H456" s="10" t="s">
        <v>851</v>
      </c>
      <c r="I456" s="62">
        <v>142</v>
      </c>
      <c r="J456" s="8" t="s">
        <v>2372</v>
      </c>
      <c r="K456" s="10" t="s">
        <v>847</v>
      </c>
      <c r="L456" s="10" t="s">
        <v>2373</v>
      </c>
      <c r="M456" s="10" t="s">
        <v>2372</v>
      </c>
      <c r="N456" s="10" t="s">
        <v>2373</v>
      </c>
      <c r="O456" s="10"/>
    </row>
    <row r="457" spans="1:15" ht="18" customHeight="1" x14ac:dyDescent="0.3">
      <c r="A457" s="24">
        <v>456</v>
      </c>
      <c r="B457" s="10" t="s">
        <v>193</v>
      </c>
      <c r="C457" s="10" t="s">
        <v>23</v>
      </c>
      <c r="D457" s="62">
        <v>21</v>
      </c>
      <c r="E457" s="61" t="s">
        <v>180</v>
      </c>
      <c r="F457" s="16" t="s">
        <v>1049</v>
      </c>
      <c r="G457" s="10" t="s">
        <v>150</v>
      </c>
      <c r="H457" s="10" t="s">
        <v>852</v>
      </c>
      <c r="I457" s="62">
        <v>242</v>
      </c>
      <c r="J457" s="8" t="s">
        <v>846</v>
      </c>
      <c r="K457" s="10" t="s">
        <v>847</v>
      </c>
      <c r="L457" s="10" t="s">
        <v>2373</v>
      </c>
      <c r="M457" s="10" t="s">
        <v>2372</v>
      </c>
      <c r="N457" s="10" t="s">
        <v>2373</v>
      </c>
      <c r="O457" s="10"/>
    </row>
    <row r="458" spans="1:15" ht="18" customHeight="1" x14ac:dyDescent="0.3">
      <c r="A458" s="24">
        <v>457</v>
      </c>
      <c r="B458" s="10" t="s">
        <v>193</v>
      </c>
      <c r="C458" s="10" t="s">
        <v>23</v>
      </c>
      <c r="D458" s="62">
        <v>21</v>
      </c>
      <c r="E458" s="61" t="s">
        <v>180</v>
      </c>
      <c r="F458" s="16" t="s">
        <v>1049</v>
      </c>
      <c r="G458" s="10" t="s">
        <v>150</v>
      </c>
      <c r="H458" s="10" t="s">
        <v>853</v>
      </c>
      <c r="I458" s="62">
        <v>160</v>
      </c>
      <c r="J458" s="8" t="s">
        <v>846</v>
      </c>
      <c r="K458" s="10" t="s">
        <v>847</v>
      </c>
      <c r="L458" s="10" t="s">
        <v>2373</v>
      </c>
      <c r="M458" s="10" t="s">
        <v>2372</v>
      </c>
      <c r="N458" s="10" t="s">
        <v>2373</v>
      </c>
      <c r="O458" s="10"/>
    </row>
    <row r="459" spans="1:15" ht="18" customHeight="1" x14ac:dyDescent="0.3">
      <c r="A459" s="24">
        <v>458</v>
      </c>
      <c r="B459" s="10" t="s">
        <v>193</v>
      </c>
      <c r="C459" s="10" t="s">
        <v>23</v>
      </c>
      <c r="D459" s="62">
        <v>21</v>
      </c>
      <c r="E459" s="61" t="s">
        <v>180</v>
      </c>
      <c r="F459" s="16" t="s">
        <v>1049</v>
      </c>
      <c r="G459" s="10" t="s">
        <v>150</v>
      </c>
      <c r="H459" s="10" t="s">
        <v>854</v>
      </c>
      <c r="I459" s="62">
        <v>143</v>
      </c>
      <c r="J459" s="8" t="s">
        <v>2372</v>
      </c>
      <c r="K459" s="10" t="s">
        <v>847</v>
      </c>
      <c r="L459" s="10" t="s">
        <v>2373</v>
      </c>
      <c r="M459" s="10" t="s">
        <v>2372</v>
      </c>
      <c r="N459" s="10" t="s">
        <v>2373</v>
      </c>
      <c r="O459" s="10"/>
    </row>
    <row r="460" spans="1:15" ht="18" customHeight="1" x14ac:dyDescent="0.3">
      <c r="A460" s="24">
        <v>459</v>
      </c>
      <c r="B460" s="10" t="s">
        <v>193</v>
      </c>
      <c r="C460" s="10" t="s">
        <v>24</v>
      </c>
      <c r="D460" s="62">
        <v>22</v>
      </c>
      <c r="E460" s="61" t="s">
        <v>181</v>
      </c>
      <c r="F460" s="16" t="s">
        <v>372</v>
      </c>
      <c r="G460" s="10" t="s">
        <v>150</v>
      </c>
      <c r="H460" s="10" t="s">
        <v>845</v>
      </c>
      <c r="I460" s="62">
        <v>232</v>
      </c>
      <c r="J460" s="10" t="s">
        <v>2374</v>
      </c>
      <c r="K460" s="10" t="s">
        <v>847</v>
      </c>
      <c r="L460" s="10" t="s">
        <v>2373</v>
      </c>
      <c r="M460" s="10" t="s">
        <v>2372</v>
      </c>
      <c r="N460" s="10" t="s">
        <v>2373</v>
      </c>
      <c r="O460" s="10"/>
    </row>
    <row r="461" spans="1:15" ht="18" customHeight="1" x14ac:dyDescent="0.3">
      <c r="A461" s="24">
        <v>460</v>
      </c>
      <c r="B461" s="10" t="s">
        <v>193</v>
      </c>
      <c r="C461" s="10" t="s">
        <v>24</v>
      </c>
      <c r="D461" s="62">
        <v>22</v>
      </c>
      <c r="E461" s="61" t="s">
        <v>181</v>
      </c>
      <c r="F461" s="16" t="s">
        <v>372</v>
      </c>
      <c r="G461" s="10" t="s">
        <v>150</v>
      </c>
      <c r="H461" s="10" t="s">
        <v>848</v>
      </c>
      <c r="I461" s="62">
        <v>103</v>
      </c>
      <c r="J461" s="10" t="s">
        <v>2372</v>
      </c>
      <c r="K461" s="10" t="s">
        <v>847</v>
      </c>
      <c r="L461" s="10" t="s">
        <v>2373</v>
      </c>
      <c r="M461" s="10" t="s">
        <v>2372</v>
      </c>
      <c r="N461" s="10" t="s">
        <v>2373</v>
      </c>
      <c r="O461" s="10"/>
    </row>
    <row r="462" spans="1:15" ht="18" customHeight="1" x14ac:dyDescent="0.3">
      <c r="A462" s="24">
        <v>461</v>
      </c>
      <c r="B462" s="10" t="s">
        <v>193</v>
      </c>
      <c r="C462" s="10" t="s">
        <v>24</v>
      </c>
      <c r="D462" s="62">
        <v>22</v>
      </c>
      <c r="E462" s="61" t="s">
        <v>181</v>
      </c>
      <c r="F462" s="16" t="s">
        <v>372</v>
      </c>
      <c r="G462" s="10" t="s">
        <v>150</v>
      </c>
      <c r="H462" s="10" t="s">
        <v>849</v>
      </c>
      <c r="I462" s="62">
        <v>232</v>
      </c>
      <c r="J462" s="10" t="s">
        <v>2374</v>
      </c>
      <c r="K462" s="10" t="s">
        <v>847</v>
      </c>
      <c r="L462" s="10" t="s">
        <v>2373</v>
      </c>
      <c r="M462" s="10" t="s">
        <v>2372</v>
      </c>
      <c r="N462" s="10" t="s">
        <v>2373</v>
      </c>
      <c r="O462" s="10"/>
    </row>
    <row r="463" spans="1:15" ht="18" customHeight="1" x14ac:dyDescent="0.3">
      <c r="A463" s="24">
        <v>462</v>
      </c>
      <c r="B463" s="10" t="s">
        <v>193</v>
      </c>
      <c r="C463" s="10" t="s">
        <v>24</v>
      </c>
      <c r="D463" s="62">
        <v>22</v>
      </c>
      <c r="E463" s="61" t="s">
        <v>181</v>
      </c>
      <c r="F463" s="16" t="s">
        <v>372</v>
      </c>
      <c r="G463" s="10" t="s">
        <v>150</v>
      </c>
      <c r="H463" s="10" t="s">
        <v>850</v>
      </c>
      <c r="I463" s="62">
        <v>103</v>
      </c>
      <c r="J463" s="10" t="s">
        <v>2372</v>
      </c>
      <c r="K463" s="10" t="s">
        <v>847</v>
      </c>
      <c r="L463" s="10" t="s">
        <v>2373</v>
      </c>
      <c r="M463" s="10" t="s">
        <v>2372</v>
      </c>
      <c r="N463" s="10" t="s">
        <v>2373</v>
      </c>
      <c r="O463" s="10"/>
    </row>
    <row r="464" spans="1:15" ht="18" customHeight="1" x14ac:dyDescent="0.3">
      <c r="A464" s="24">
        <v>463</v>
      </c>
      <c r="B464" s="10" t="s">
        <v>193</v>
      </c>
      <c r="C464" s="10" t="s">
        <v>24</v>
      </c>
      <c r="D464" s="62">
        <v>22</v>
      </c>
      <c r="E464" s="61" t="s">
        <v>181</v>
      </c>
      <c r="F464" s="16" t="s">
        <v>372</v>
      </c>
      <c r="G464" s="10" t="s">
        <v>150</v>
      </c>
      <c r="H464" s="10" t="s">
        <v>851</v>
      </c>
      <c r="I464" s="62">
        <v>96</v>
      </c>
      <c r="J464" s="10" t="s">
        <v>2372</v>
      </c>
      <c r="K464" s="10" t="s">
        <v>847</v>
      </c>
      <c r="L464" s="10" t="s">
        <v>2373</v>
      </c>
      <c r="M464" s="10" t="s">
        <v>2372</v>
      </c>
      <c r="N464" s="10" t="s">
        <v>2373</v>
      </c>
      <c r="O464" s="10"/>
    </row>
    <row r="465" spans="1:15" ht="18" customHeight="1" x14ac:dyDescent="0.3">
      <c r="A465" s="24">
        <v>464</v>
      </c>
      <c r="B465" s="10" t="s">
        <v>193</v>
      </c>
      <c r="C465" s="10" t="s">
        <v>24</v>
      </c>
      <c r="D465" s="62">
        <v>22</v>
      </c>
      <c r="E465" s="61" t="s">
        <v>181</v>
      </c>
      <c r="F465" s="16" t="s">
        <v>372</v>
      </c>
      <c r="G465" s="10" t="s">
        <v>150</v>
      </c>
      <c r="H465" s="10" t="s">
        <v>852</v>
      </c>
      <c r="I465" s="62">
        <v>103</v>
      </c>
      <c r="J465" s="10" t="s">
        <v>2372</v>
      </c>
      <c r="K465" s="10" t="s">
        <v>847</v>
      </c>
      <c r="L465" s="10" t="s">
        <v>2373</v>
      </c>
      <c r="M465" s="10" t="s">
        <v>2372</v>
      </c>
      <c r="N465" s="10" t="s">
        <v>2373</v>
      </c>
      <c r="O465" s="10"/>
    </row>
    <row r="466" spans="1:15" ht="18" customHeight="1" x14ac:dyDescent="0.3">
      <c r="A466" s="24">
        <v>465</v>
      </c>
      <c r="B466" s="10" t="s">
        <v>193</v>
      </c>
      <c r="C466" s="10" t="s">
        <v>24</v>
      </c>
      <c r="D466" s="62">
        <v>22</v>
      </c>
      <c r="E466" s="61" t="s">
        <v>181</v>
      </c>
      <c r="F466" s="16" t="s">
        <v>372</v>
      </c>
      <c r="G466" s="10" t="s">
        <v>150</v>
      </c>
      <c r="H466" s="10" t="s">
        <v>853</v>
      </c>
      <c r="I466" s="62">
        <v>104</v>
      </c>
      <c r="J466" s="10" t="s">
        <v>2372</v>
      </c>
      <c r="K466" s="10" t="s">
        <v>847</v>
      </c>
      <c r="L466" s="10" t="s">
        <v>2373</v>
      </c>
      <c r="M466" s="10" t="s">
        <v>2372</v>
      </c>
      <c r="N466" s="10" t="s">
        <v>2373</v>
      </c>
      <c r="O466" s="10"/>
    </row>
    <row r="467" spans="1:15" ht="18" customHeight="1" x14ac:dyDescent="0.3">
      <c r="A467" s="24">
        <v>466</v>
      </c>
      <c r="B467" s="10" t="s">
        <v>193</v>
      </c>
      <c r="C467" s="10" t="s">
        <v>24</v>
      </c>
      <c r="D467" s="62">
        <v>22</v>
      </c>
      <c r="E467" s="61" t="s">
        <v>182</v>
      </c>
      <c r="F467" s="16" t="s">
        <v>1092</v>
      </c>
      <c r="G467" s="10" t="s">
        <v>150</v>
      </c>
      <c r="H467" s="10" t="s">
        <v>1147</v>
      </c>
      <c r="I467" s="62">
        <v>92</v>
      </c>
      <c r="J467" s="10" t="s">
        <v>2372</v>
      </c>
      <c r="K467" s="10" t="s">
        <v>846</v>
      </c>
      <c r="L467" s="10" t="s">
        <v>2484</v>
      </c>
      <c r="M467" s="10" t="s">
        <v>2372</v>
      </c>
      <c r="N467" s="10" t="s">
        <v>2373</v>
      </c>
      <c r="O467" s="10"/>
    </row>
    <row r="468" spans="1:15" ht="18" customHeight="1" x14ac:dyDescent="0.3">
      <c r="A468" s="24">
        <v>467</v>
      </c>
      <c r="B468" s="10" t="s">
        <v>193</v>
      </c>
      <c r="C468" s="10" t="s">
        <v>24</v>
      </c>
      <c r="D468" s="62">
        <v>22</v>
      </c>
      <c r="E468" s="61" t="s">
        <v>182</v>
      </c>
      <c r="F468" s="16" t="s">
        <v>1092</v>
      </c>
      <c r="G468" s="10" t="s">
        <v>150</v>
      </c>
      <c r="H468" s="10" t="s">
        <v>1146</v>
      </c>
      <c r="I468" s="62">
        <v>159</v>
      </c>
      <c r="J468" s="10" t="s">
        <v>2372</v>
      </c>
      <c r="K468" s="10" t="s">
        <v>846</v>
      </c>
      <c r="L468" s="10" t="s">
        <v>2484</v>
      </c>
      <c r="M468" s="10" t="s">
        <v>2372</v>
      </c>
      <c r="N468" s="10" t="s">
        <v>2373</v>
      </c>
      <c r="O468" s="10"/>
    </row>
    <row r="469" spans="1:15" ht="18" customHeight="1" x14ac:dyDescent="0.3">
      <c r="A469" s="24">
        <v>468</v>
      </c>
      <c r="B469" s="10" t="s">
        <v>193</v>
      </c>
      <c r="C469" s="10" t="s">
        <v>24</v>
      </c>
      <c r="D469" s="62">
        <v>22</v>
      </c>
      <c r="E469" s="61" t="s">
        <v>182</v>
      </c>
      <c r="F469" s="16" t="s">
        <v>1092</v>
      </c>
      <c r="G469" s="10" t="s">
        <v>150</v>
      </c>
      <c r="H469" s="10" t="s">
        <v>1148</v>
      </c>
      <c r="I469" s="62">
        <v>175</v>
      </c>
      <c r="J469" s="10" t="s">
        <v>2372</v>
      </c>
      <c r="K469" s="10" t="s">
        <v>846</v>
      </c>
      <c r="L469" s="10" t="s">
        <v>2484</v>
      </c>
      <c r="M469" s="10" t="s">
        <v>2372</v>
      </c>
      <c r="N469" s="10" t="s">
        <v>2373</v>
      </c>
      <c r="O469" s="10"/>
    </row>
    <row r="470" spans="1:15" ht="18" customHeight="1" x14ac:dyDescent="0.3">
      <c r="A470" s="24">
        <v>469</v>
      </c>
      <c r="B470" s="10" t="s">
        <v>193</v>
      </c>
      <c r="C470" s="10" t="s">
        <v>24</v>
      </c>
      <c r="D470" s="62">
        <v>22</v>
      </c>
      <c r="E470" s="61" t="s">
        <v>182</v>
      </c>
      <c r="F470" s="16" t="s">
        <v>1092</v>
      </c>
      <c r="G470" s="10" t="s">
        <v>150</v>
      </c>
      <c r="H470" s="10" t="s">
        <v>1149</v>
      </c>
      <c r="I470" s="62">
        <v>136</v>
      </c>
      <c r="J470" s="10" t="s">
        <v>2372</v>
      </c>
      <c r="K470" s="10" t="s">
        <v>846</v>
      </c>
      <c r="L470" s="10" t="s">
        <v>2484</v>
      </c>
      <c r="M470" s="10" t="s">
        <v>2372</v>
      </c>
      <c r="N470" s="10" t="s">
        <v>2373</v>
      </c>
      <c r="O470" s="10"/>
    </row>
    <row r="471" spans="1:15" ht="18" customHeight="1" x14ac:dyDescent="0.3">
      <c r="A471" s="24">
        <v>470</v>
      </c>
      <c r="B471" s="10" t="s">
        <v>193</v>
      </c>
      <c r="C471" s="10" t="s">
        <v>24</v>
      </c>
      <c r="D471" s="62">
        <v>22</v>
      </c>
      <c r="E471" s="61" t="s">
        <v>182</v>
      </c>
      <c r="F471" s="16" t="s">
        <v>1092</v>
      </c>
      <c r="G471" s="10" t="s">
        <v>150</v>
      </c>
      <c r="H471" s="10" t="s">
        <v>1150</v>
      </c>
      <c r="I471" s="62">
        <v>118</v>
      </c>
      <c r="J471" s="10" t="s">
        <v>2374</v>
      </c>
      <c r="K471" s="10" t="s">
        <v>846</v>
      </c>
      <c r="L471" s="10" t="s">
        <v>2484</v>
      </c>
      <c r="M471" s="10" t="s">
        <v>2372</v>
      </c>
      <c r="N471" s="10" t="s">
        <v>2373</v>
      </c>
      <c r="O471" s="10"/>
    </row>
    <row r="472" spans="1:15" ht="18" customHeight="1" x14ac:dyDescent="0.3">
      <c r="A472" s="24">
        <v>471</v>
      </c>
      <c r="B472" s="10" t="s">
        <v>1260</v>
      </c>
      <c r="C472" s="10" t="s">
        <v>1376</v>
      </c>
      <c r="D472" s="62">
        <v>22</v>
      </c>
      <c r="E472" s="61" t="s">
        <v>2806</v>
      </c>
      <c r="F472" s="44" t="s">
        <v>1378</v>
      </c>
      <c r="G472" s="10" t="s">
        <v>1264</v>
      </c>
      <c r="H472" s="10" t="s">
        <v>2385</v>
      </c>
      <c r="I472" s="62">
        <v>26</v>
      </c>
      <c r="J472" s="10" t="s">
        <v>2372</v>
      </c>
      <c r="K472" s="10" t="s">
        <v>2372</v>
      </c>
      <c r="L472" s="10" t="s">
        <v>2373</v>
      </c>
      <c r="M472" s="10" t="s">
        <v>2372</v>
      </c>
      <c r="N472" s="10" t="s">
        <v>2373</v>
      </c>
      <c r="O472" s="10"/>
    </row>
    <row r="473" spans="1:15" ht="18" customHeight="1" x14ac:dyDescent="0.3">
      <c r="A473" s="24">
        <v>472</v>
      </c>
      <c r="B473" s="10" t="s">
        <v>193</v>
      </c>
      <c r="C473" s="10" t="s">
        <v>25</v>
      </c>
      <c r="D473" s="62">
        <v>23</v>
      </c>
      <c r="E473" s="61" t="s">
        <v>2485</v>
      </c>
      <c r="F473" s="27" t="s">
        <v>309</v>
      </c>
      <c r="G473" s="10" t="s">
        <v>160</v>
      </c>
      <c r="H473" s="10" t="s">
        <v>845</v>
      </c>
      <c r="I473" s="62">
        <v>230</v>
      </c>
      <c r="J473" s="10" t="s">
        <v>2374</v>
      </c>
      <c r="K473" s="10" t="s">
        <v>847</v>
      </c>
      <c r="L473" s="10" t="s">
        <v>2373</v>
      </c>
      <c r="M473" s="10" t="s">
        <v>2372</v>
      </c>
      <c r="N473" s="10" t="s">
        <v>2373</v>
      </c>
      <c r="O473" s="10"/>
    </row>
    <row r="474" spans="1:15" ht="18" customHeight="1" x14ac:dyDescent="0.3">
      <c r="A474" s="24">
        <v>473</v>
      </c>
      <c r="B474" s="10" t="s">
        <v>193</v>
      </c>
      <c r="C474" s="10" t="s">
        <v>25</v>
      </c>
      <c r="D474" s="62">
        <v>23</v>
      </c>
      <c r="E474" s="61" t="s">
        <v>2485</v>
      </c>
      <c r="F474" s="27" t="s">
        <v>309</v>
      </c>
      <c r="G474" s="10" t="s">
        <v>160</v>
      </c>
      <c r="H474" s="10" t="s">
        <v>848</v>
      </c>
      <c r="I474" s="62">
        <v>240</v>
      </c>
      <c r="J474" s="10" t="s">
        <v>2372</v>
      </c>
      <c r="K474" s="10" t="s">
        <v>847</v>
      </c>
      <c r="L474" s="10" t="s">
        <v>2373</v>
      </c>
      <c r="M474" s="10" t="s">
        <v>2372</v>
      </c>
      <c r="N474" s="10" t="s">
        <v>2373</v>
      </c>
      <c r="O474" s="10"/>
    </row>
    <row r="475" spans="1:15" ht="18" customHeight="1" x14ac:dyDescent="0.3">
      <c r="A475" s="24">
        <v>474</v>
      </c>
      <c r="B475" s="63" t="s">
        <v>3615</v>
      </c>
      <c r="C475" s="63" t="s">
        <v>3616</v>
      </c>
      <c r="D475" s="99">
        <v>23</v>
      </c>
      <c r="E475" s="3" t="s">
        <v>3617</v>
      </c>
      <c r="F475" s="3" t="s">
        <v>3618</v>
      </c>
      <c r="G475" s="63" t="s">
        <v>3603</v>
      </c>
      <c r="H475" s="10" t="s">
        <v>3598</v>
      </c>
      <c r="I475" s="62">
        <v>126</v>
      </c>
      <c r="J475" s="10" t="s">
        <v>3597</v>
      </c>
      <c r="K475" s="10" t="s">
        <v>847</v>
      </c>
      <c r="L475" s="10" t="s">
        <v>3603</v>
      </c>
      <c r="M475" s="10" t="s">
        <v>3597</v>
      </c>
      <c r="N475" s="10" t="s">
        <v>3603</v>
      </c>
      <c r="O475" s="10"/>
    </row>
    <row r="476" spans="1:15" ht="18" customHeight="1" x14ac:dyDescent="0.3">
      <c r="A476" s="24">
        <v>475</v>
      </c>
      <c r="B476" s="63" t="s">
        <v>3615</v>
      </c>
      <c r="C476" s="63" t="s">
        <v>3616</v>
      </c>
      <c r="D476" s="99">
        <v>23</v>
      </c>
      <c r="E476" s="3" t="s">
        <v>3583</v>
      </c>
      <c r="F476" s="3" t="s">
        <v>3618</v>
      </c>
      <c r="G476" s="63" t="s">
        <v>3603</v>
      </c>
      <c r="H476" s="10" t="s">
        <v>3607</v>
      </c>
      <c r="I476" s="62">
        <v>123</v>
      </c>
      <c r="J476" s="10" t="s">
        <v>3586</v>
      </c>
      <c r="K476" s="10" t="s">
        <v>847</v>
      </c>
      <c r="L476" s="10" t="s">
        <v>3603</v>
      </c>
      <c r="M476" s="10" t="s">
        <v>3586</v>
      </c>
      <c r="N476" s="10" t="s">
        <v>3571</v>
      </c>
      <c r="O476" s="10"/>
    </row>
    <row r="477" spans="1:15" ht="18" customHeight="1" x14ac:dyDescent="0.3">
      <c r="A477" s="24">
        <v>476</v>
      </c>
      <c r="B477" s="10" t="s">
        <v>1260</v>
      </c>
      <c r="C477" s="10" t="s">
        <v>25</v>
      </c>
      <c r="D477" s="62">
        <v>23</v>
      </c>
      <c r="E477" s="61" t="s">
        <v>2807</v>
      </c>
      <c r="F477" s="11" t="s">
        <v>1046</v>
      </c>
      <c r="G477" s="10" t="s">
        <v>150</v>
      </c>
      <c r="H477" s="10" t="s">
        <v>849</v>
      </c>
      <c r="I477" s="62">
        <v>172</v>
      </c>
      <c r="J477" s="10" t="s">
        <v>2374</v>
      </c>
      <c r="K477" s="10" t="s">
        <v>847</v>
      </c>
      <c r="L477" s="10" t="s">
        <v>2373</v>
      </c>
      <c r="M477" s="10" t="s">
        <v>2372</v>
      </c>
      <c r="N477" s="10" t="s">
        <v>2373</v>
      </c>
      <c r="O477" s="10"/>
    </row>
    <row r="478" spans="1:15" ht="18" customHeight="1" x14ac:dyDescent="0.3">
      <c r="A478" s="24">
        <v>477</v>
      </c>
      <c r="B478" s="10" t="s">
        <v>193</v>
      </c>
      <c r="C478" s="10" t="s">
        <v>25</v>
      </c>
      <c r="D478" s="62">
        <v>23</v>
      </c>
      <c r="E478" s="61" t="s">
        <v>2807</v>
      </c>
      <c r="F478" s="11" t="s">
        <v>1046</v>
      </c>
      <c r="G478" s="10" t="s">
        <v>150</v>
      </c>
      <c r="H478" s="10" t="s">
        <v>851</v>
      </c>
      <c r="I478" s="62">
        <v>172</v>
      </c>
      <c r="J478" s="10" t="s">
        <v>2372</v>
      </c>
      <c r="K478" s="10" t="s">
        <v>847</v>
      </c>
      <c r="L478" s="10" t="s">
        <v>2373</v>
      </c>
      <c r="M478" s="10" t="s">
        <v>2372</v>
      </c>
      <c r="N478" s="10" t="s">
        <v>2373</v>
      </c>
      <c r="O478" s="10"/>
    </row>
    <row r="479" spans="1:15" ht="18" customHeight="1" x14ac:dyDescent="0.3">
      <c r="A479" s="24">
        <v>478</v>
      </c>
      <c r="B479" s="10" t="s">
        <v>193</v>
      </c>
      <c r="C479" s="10" t="s">
        <v>25</v>
      </c>
      <c r="D479" s="62">
        <v>23</v>
      </c>
      <c r="E479" s="61" t="s">
        <v>2807</v>
      </c>
      <c r="F479" s="11" t="s">
        <v>1046</v>
      </c>
      <c r="G479" s="10" t="s">
        <v>150</v>
      </c>
      <c r="H479" s="10" t="s">
        <v>852</v>
      </c>
      <c r="I479" s="62">
        <v>124</v>
      </c>
      <c r="J479" s="10" t="s">
        <v>2374</v>
      </c>
      <c r="K479" s="10" t="s">
        <v>847</v>
      </c>
      <c r="L479" s="10" t="s">
        <v>2373</v>
      </c>
      <c r="M479" s="10" t="s">
        <v>2372</v>
      </c>
      <c r="N479" s="10" t="s">
        <v>2373</v>
      </c>
      <c r="O479" s="10"/>
    </row>
    <row r="480" spans="1:15" ht="18" customHeight="1" x14ac:dyDescent="0.3">
      <c r="A480" s="24">
        <v>479</v>
      </c>
      <c r="B480" s="10" t="s">
        <v>193</v>
      </c>
      <c r="C480" s="10" t="s">
        <v>25</v>
      </c>
      <c r="D480" s="62">
        <v>23</v>
      </c>
      <c r="E480" s="61" t="s">
        <v>2807</v>
      </c>
      <c r="F480" s="11" t="s">
        <v>2486</v>
      </c>
      <c r="G480" s="10" t="s">
        <v>150</v>
      </c>
      <c r="H480" s="10" t="s">
        <v>850</v>
      </c>
      <c r="I480" s="62">
        <v>124</v>
      </c>
      <c r="J480" s="10" t="s">
        <v>2374</v>
      </c>
      <c r="K480" s="10" t="s">
        <v>846</v>
      </c>
      <c r="L480" s="10" t="s">
        <v>985</v>
      </c>
      <c r="M480" s="10" t="s">
        <v>2372</v>
      </c>
      <c r="N480" s="10" t="s">
        <v>2373</v>
      </c>
      <c r="O480" s="10"/>
    </row>
    <row r="481" spans="1:15" ht="18" customHeight="1" x14ac:dyDescent="0.3">
      <c r="A481" s="24">
        <v>480</v>
      </c>
      <c r="B481" s="10" t="s">
        <v>193</v>
      </c>
      <c r="C481" s="10" t="s">
        <v>25</v>
      </c>
      <c r="D481" s="62">
        <v>23</v>
      </c>
      <c r="E481" s="61" t="s">
        <v>2807</v>
      </c>
      <c r="F481" s="11" t="s">
        <v>304</v>
      </c>
      <c r="G481" s="10" t="s">
        <v>150</v>
      </c>
      <c r="H481" s="10" t="s">
        <v>845</v>
      </c>
      <c r="I481" s="62">
        <v>158</v>
      </c>
      <c r="J481" s="10" t="s">
        <v>2372</v>
      </c>
      <c r="K481" s="10" t="s">
        <v>847</v>
      </c>
      <c r="L481" s="10" t="s">
        <v>2373</v>
      </c>
      <c r="M481" s="10" t="s">
        <v>2372</v>
      </c>
      <c r="N481" s="10" t="s">
        <v>2373</v>
      </c>
      <c r="O481" s="10"/>
    </row>
    <row r="482" spans="1:15" ht="18" customHeight="1" x14ac:dyDescent="0.3">
      <c r="A482" s="24">
        <v>481</v>
      </c>
      <c r="B482" s="10" t="s">
        <v>193</v>
      </c>
      <c r="C482" s="10" t="s">
        <v>25</v>
      </c>
      <c r="D482" s="62">
        <v>23</v>
      </c>
      <c r="E482" s="61" t="s">
        <v>2807</v>
      </c>
      <c r="F482" s="11" t="s">
        <v>304</v>
      </c>
      <c r="G482" s="10" t="s">
        <v>150</v>
      </c>
      <c r="H482" s="10" t="s">
        <v>848</v>
      </c>
      <c r="I482" s="62">
        <v>124</v>
      </c>
      <c r="J482" s="10" t="s">
        <v>2374</v>
      </c>
      <c r="K482" s="10" t="s">
        <v>847</v>
      </c>
      <c r="L482" s="10" t="s">
        <v>2373</v>
      </c>
      <c r="M482" s="10" t="s">
        <v>2372</v>
      </c>
      <c r="N482" s="10" t="s">
        <v>2373</v>
      </c>
      <c r="O482" s="10"/>
    </row>
    <row r="483" spans="1:15" ht="18" customHeight="1" x14ac:dyDescent="0.3">
      <c r="A483" s="24">
        <v>482</v>
      </c>
      <c r="B483" s="10" t="s">
        <v>1260</v>
      </c>
      <c r="C483" s="10" t="s">
        <v>1380</v>
      </c>
      <c r="D483" s="62">
        <v>23</v>
      </c>
      <c r="E483" s="61" t="s">
        <v>1381</v>
      </c>
      <c r="F483" s="16" t="s">
        <v>1382</v>
      </c>
      <c r="G483" s="10" t="s">
        <v>1264</v>
      </c>
      <c r="H483" s="10" t="s">
        <v>2385</v>
      </c>
      <c r="I483" s="62">
        <v>156</v>
      </c>
      <c r="J483" s="8" t="s">
        <v>846</v>
      </c>
      <c r="K483" s="10" t="s">
        <v>847</v>
      </c>
      <c r="L483" s="10" t="s">
        <v>2373</v>
      </c>
      <c r="M483" s="10" t="s">
        <v>2372</v>
      </c>
      <c r="N483" s="10" t="s">
        <v>2373</v>
      </c>
      <c r="O483" s="10"/>
    </row>
    <row r="484" spans="1:15" ht="18" customHeight="1" x14ac:dyDescent="0.3">
      <c r="A484" s="24">
        <v>483</v>
      </c>
      <c r="B484" s="10" t="s">
        <v>1260</v>
      </c>
      <c r="C484" s="10" t="s">
        <v>1380</v>
      </c>
      <c r="D484" s="62">
        <v>23</v>
      </c>
      <c r="E484" s="61" t="s">
        <v>1381</v>
      </c>
      <c r="F484" s="16" t="s">
        <v>1382</v>
      </c>
      <c r="G484" s="10" t="s">
        <v>1264</v>
      </c>
      <c r="H484" s="10" t="s">
        <v>2378</v>
      </c>
      <c r="I484" s="62">
        <v>114</v>
      </c>
      <c r="J484" s="8" t="s">
        <v>2372</v>
      </c>
      <c r="K484" s="10" t="s">
        <v>847</v>
      </c>
      <c r="L484" s="10" t="s">
        <v>2373</v>
      </c>
      <c r="M484" s="10" t="s">
        <v>2372</v>
      </c>
      <c r="N484" s="10" t="s">
        <v>2373</v>
      </c>
      <c r="O484" s="10"/>
    </row>
    <row r="485" spans="1:15" ht="18" customHeight="1" x14ac:dyDescent="0.3">
      <c r="A485" s="24">
        <v>484</v>
      </c>
      <c r="B485" s="10" t="s">
        <v>1260</v>
      </c>
      <c r="C485" s="10" t="s">
        <v>1380</v>
      </c>
      <c r="D485" s="62">
        <v>23</v>
      </c>
      <c r="E485" s="61" t="s">
        <v>1381</v>
      </c>
      <c r="F485" s="16" t="s">
        <v>1382</v>
      </c>
      <c r="G485" s="10" t="s">
        <v>1264</v>
      </c>
      <c r="H485" s="10" t="s">
        <v>2379</v>
      </c>
      <c r="I485" s="62">
        <v>28</v>
      </c>
      <c r="J485" s="8" t="s">
        <v>2372</v>
      </c>
      <c r="K485" s="10" t="s">
        <v>2374</v>
      </c>
      <c r="L485" s="10" t="s">
        <v>2487</v>
      </c>
      <c r="M485" s="10" t="s">
        <v>2372</v>
      </c>
      <c r="N485" s="10" t="s">
        <v>2373</v>
      </c>
      <c r="O485" s="10"/>
    </row>
    <row r="486" spans="1:15" ht="18" customHeight="1" x14ac:dyDescent="0.3">
      <c r="A486" s="24">
        <v>485</v>
      </c>
      <c r="B486" s="10" t="s">
        <v>1260</v>
      </c>
      <c r="C486" s="10" t="s">
        <v>1380</v>
      </c>
      <c r="D486" s="62">
        <v>23</v>
      </c>
      <c r="E486" s="61" t="s">
        <v>1381</v>
      </c>
      <c r="F486" s="16" t="s">
        <v>1382</v>
      </c>
      <c r="G486" s="10" t="s">
        <v>1264</v>
      </c>
      <c r="H486" s="10" t="s">
        <v>2380</v>
      </c>
      <c r="I486" s="62">
        <v>76</v>
      </c>
      <c r="J486" s="8" t="s">
        <v>2372</v>
      </c>
      <c r="K486" s="10" t="s">
        <v>847</v>
      </c>
      <c r="L486" s="10" t="s">
        <v>2373</v>
      </c>
      <c r="M486" s="10" t="s">
        <v>2372</v>
      </c>
      <c r="N486" s="10" t="s">
        <v>2373</v>
      </c>
      <c r="O486" s="10"/>
    </row>
    <row r="487" spans="1:15" ht="18" customHeight="1" x14ac:dyDescent="0.3">
      <c r="A487" s="24">
        <v>486</v>
      </c>
      <c r="B487" s="10" t="s">
        <v>1260</v>
      </c>
      <c r="C487" s="10" t="s">
        <v>1380</v>
      </c>
      <c r="D487" s="62">
        <v>23</v>
      </c>
      <c r="E487" s="61" t="s">
        <v>1381</v>
      </c>
      <c r="F487" s="16" t="s">
        <v>1382</v>
      </c>
      <c r="G487" s="10" t="s">
        <v>1264</v>
      </c>
      <c r="H487" s="10" t="s">
        <v>2390</v>
      </c>
      <c r="I487" s="62">
        <v>106</v>
      </c>
      <c r="J487" s="8" t="s">
        <v>2372</v>
      </c>
      <c r="K487" s="10" t="s">
        <v>847</v>
      </c>
      <c r="L487" s="10" t="s">
        <v>2373</v>
      </c>
      <c r="M487" s="10" t="s">
        <v>2372</v>
      </c>
      <c r="N487" s="10" t="s">
        <v>2373</v>
      </c>
      <c r="O487" s="10"/>
    </row>
    <row r="488" spans="1:15" ht="18" customHeight="1" x14ac:dyDescent="0.3">
      <c r="A488" s="24">
        <v>487</v>
      </c>
      <c r="B488" s="10" t="s">
        <v>1260</v>
      </c>
      <c r="C488" s="10" t="s">
        <v>1380</v>
      </c>
      <c r="D488" s="62">
        <v>23</v>
      </c>
      <c r="E488" s="61" t="s">
        <v>1381</v>
      </c>
      <c r="F488" s="16" t="s">
        <v>1382</v>
      </c>
      <c r="G488" s="10" t="s">
        <v>1264</v>
      </c>
      <c r="H488" s="10" t="s">
        <v>2382</v>
      </c>
      <c r="I488" s="62">
        <v>65</v>
      </c>
      <c r="J488" s="8" t="s">
        <v>846</v>
      </c>
      <c r="K488" s="10" t="s">
        <v>2374</v>
      </c>
      <c r="L488" s="10" t="s">
        <v>2487</v>
      </c>
      <c r="M488" s="10" t="s">
        <v>2372</v>
      </c>
      <c r="N488" s="10" t="s">
        <v>2373</v>
      </c>
      <c r="O488" s="10"/>
    </row>
    <row r="489" spans="1:15" ht="18" customHeight="1" x14ac:dyDescent="0.3">
      <c r="A489" s="24">
        <v>488</v>
      </c>
      <c r="B489" s="10" t="s">
        <v>1260</v>
      </c>
      <c r="C489" s="10" t="s">
        <v>1380</v>
      </c>
      <c r="D489" s="62">
        <v>23</v>
      </c>
      <c r="E489" s="61" t="s">
        <v>1381</v>
      </c>
      <c r="F489" s="16" t="s">
        <v>1382</v>
      </c>
      <c r="G489" s="10" t="s">
        <v>1264</v>
      </c>
      <c r="H489" s="10" t="s">
        <v>2488</v>
      </c>
      <c r="I489" s="62">
        <v>302</v>
      </c>
      <c r="J489" s="8" t="s">
        <v>2372</v>
      </c>
      <c r="K489" s="10" t="s">
        <v>847</v>
      </c>
      <c r="L489" s="10" t="s">
        <v>2373</v>
      </c>
      <c r="M489" s="10" t="s">
        <v>2372</v>
      </c>
      <c r="N489" s="10" t="s">
        <v>2373</v>
      </c>
      <c r="O489" s="10"/>
    </row>
    <row r="490" spans="1:15" ht="18" customHeight="1" x14ac:dyDescent="0.3">
      <c r="A490" s="24">
        <v>489</v>
      </c>
      <c r="B490" s="10" t="s">
        <v>193</v>
      </c>
      <c r="C490" s="10" t="s">
        <v>25</v>
      </c>
      <c r="D490" s="62">
        <v>23</v>
      </c>
      <c r="E490" s="61" t="s">
        <v>2808</v>
      </c>
      <c r="F490" s="11" t="s">
        <v>306</v>
      </c>
      <c r="G490" s="10" t="s">
        <v>150</v>
      </c>
      <c r="H490" s="10" t="s">
        <v>2489</v>
      </c>
      <c r="I490" s="62">
        <v>76</v>
      </c>
      <c r="J490" s="10" t="s">
        <v>2374</v>
      </c>
      <c r="K490" s="10" t="s">
        <v>847</v>
      </c>
      <c r="L490" s="10" t="s">
        <v>2373</v>
      </c>
      <c r="M490" s="10" t="s">
        <v>2372</v>
      </c>
      <c r="N490" s="10" t="s">
        <v>2373</v>
      </c>
      <c r="O490" s="10"/>
    </row>
    <row r="491" spans="1:15" ht="18" customHeight="1" x14ac:dyDescent="0.3">
      <c r="A491" s="24">
        <v>490</v>
      </c>
      <c r="B491" s="10" t="s">
        <v>193</v>
      </c>
      <c r="C491" s="10" t="s">
        <v>25</v>
      </c>
      <c r="D491" s="62">
        <v>23</v>
      </c>
      <c r="E491" s="61" t="s">
        <v>2808</v>
      </c>
      <c r="F491" s="11" t="s">
        <v>306</v>
      </c>
      <c r="G491" s="10" t="s">
        <v>150</v>
      </c>
      <c r="H491" s="10" t="s">
        <v>2490</v>
      </c>
      <c r="I491" s="62">
        <v>76</v>
      </c>
      <c r="J491" s="10" t="s">
        <v>2374</v>
      </c>
      <c r="K491" s="10" t="s">
        <v>847</v>
      </c>
      <c r="L491" s="10" t="s">
        <v>2373</v>
      </c>
      <c r="M491" s="10" t="s">
        <v>2372</v>
      </c>
      <c r="N491" s="10" t="s">
        <v>2373</v>
      </c>
      <c r="O491" s="10"/>
    </row>
    <row r="492" spans="1:15" ht="18" customHeight="1" x14ac:dyDescent="0.3">
      <c r="A492" s="24">
        <v>491</v>
      </c>
      <c r="B492" s="10" t="s">
        <v>193</v>
      </c>
      <c r="C492" s="10" t="s">
        <v>25</v>
      </c>
      <c r="D492" s="62">
        <v>23</v>
      </c>
      <c r="E492" s="61" t="s">
        <v>2808</v>
      </c>
      <c r="F492" s="11" t="s">
        <v>306</v>
      </c>
      <c r="G492" s="10" t="s">
        <v>150</v>
      </c>
      <c r="H492" s="10" t="s">
        <v>849</v>
      </c>
      <c r="I492" s="62">
        <v>206</v>
      </c>
      <c r="J492" s="10" t="s">
        <v>2374</v>
      </c>
      <c r="K492" s="10" t="s">
        <v>2372</v>
      </c>
      <c r="L492" s="10" t="s">
        <v>2373</v>
      </c>
      <c r="M492" s="10" t="s">
        <v>2372</v>
      </c>
      <c r="N492" s="10" t="s">
        <v>2373</v>
      </c>
      <c r="O492" s="10"/>
    </row>
    <row r="493" spans="1:15" ht="18" customHeight="1" x14ac:dyDescent="0.3">
      <c r="A493" s="24">
        <v>492</v>
      </c>
      <c r="B493" s="10" t="s">
        <v>193</v>
      </c>
      <c r="C493" s="10" t="s">
        <v>25</v>
      </c>
      <c r="D493" s="62">
        <v>23</v>
      </c>
      <c r="E493" s="61" t="s">
        <v>2808</v>
      </c>
      <c r="F493" s="11" t="s">
        <v>2491</v>
      </c>
      <c r="G493" s="10" t="s">
        <v>150</v>
      </c>
      <c r="H493" s="10" t="s">
        <v>923</v>
      </c>
      <c r="I493" s="62">
        <v>144</v>
      </c>
      <c r="J493" s="10" t="s">
        <v>2374</v>
      </c>
      <c r="K493" s="10" t="s">
        <v>846</v>
      </c>
      <c r="L493" s="10" t="s">
        <v>1516</v>
      </c>
      <c r="M493" s="10" t="s">
        <v>2372</v>
      </c>
      <c r="N493" s="10" t="s">
        <v>2373</v>
      </c>
      <c r="O493" s="10" t="s">
        <v>2492</v>
      </c>
    </row>
    <row r="494" spans="1:15" ht="18" customHeight="1" x14ac:dyDescent="0.3">
      <c r="A494" s="24">
        <v>493</v>
      </c>
      <c r="B494" s="10" t="s">
        <v>193</v>
      </c>
      <c r="C494" s="10" t="s">
        <v>25</v>
      </c>
      <c r="D494" s="62">
        <v>23</v>
      </c>
      <c r="E494" s="61" t="s">
        <v>2808</v>
      </c>
      <c r="F494" s="11" t="s">
        <v>2491</v>
      </c>
      <c r="G494" s="10" t="s">
        <v>150</v>
      </c>
      <c r="H494" s="10" t="s">
        <v>2493</v>
      </c>
      <c r="I494" s="62">
        <v>132</v>
      </c>
      <c r="J494" s="10" t="s">
        <v>2374</v>
      </c>
      <c r="K494" s="10" t="s">
        <v>2374</v>
      </c>
      <c r="L494" s="10" t="s">
        <v>2494</v>
      </c>
      <c r="M494" s="10" t="s">
        <v>2372</v>
      </c>
      <c r="N494" s="10" t="s">
        <v>2373</v>
      </c>
      <c r="O494" s="10"/>
    </row>
    <row r="495" spans="1:15" ht="18" customHeight="1" x14ac:dyDescent="0.3">
      <c r="A495" s="24">
        <v>494</v>
      </c>
      <c r="B495" s="10" t="s">
        <v>193</v>
      </c>
      <c r="C495" s="10" t="s">
        <v>25</v>
      </c>
      <c r="D495" s="62">
        <v>23</v>
      </c>
      <c r="E495" s="61" t="s">
        <v>2495</v>
      </c>
      <c r="F495" s="27" t="s">
        <v>1047</v>
      </c>
      <c r="G495" s="10" t="s">
        <v>160</v>
      </c>
      <c r="H495" s="10" t="s">
        <v>849</v>
      </c>
      <c r="I495" s="62">
        <v>70</v>
      </c>
      <c r="J495" s="8" t="s">
        <v>2372</v>
      </c>
      <c r="K495" s="10" t="s">
        <v>847</v>
      </c>
      <c r="L495" s="10" t="s">
        <v>2373</v>
      </c>
      <c r="M495" s="10" t="s">
        <v>2372</v>
      </c>
      <c r="N495" s="10" t="s">
        <v>2373</v>
      </c>
      <c r="O495" s="10"/>
    </row>
    <row r="496" spans="1:15" ht="18" customHeight="1" x14ac:dyDescent="0.3">
      <c r="A496" s="24">
        <v>495</v>
      </c>
      <c r="B496" s="10" t="s">
        <v>193</v>
      </c>
      <c r="C496" s="10" t="s">
        <v>25</v>
      </c>
      <c r="D496" s="62">
        <v>23</v>
      </c>
      <c r="E496" s="61" t="s">
        <v>2495</v>
      </c>
      <c r="F496" s="27" t="s">
        <v>1047</v>
      </c>
      <c r="G496" s="10" t="s">
        <v>160</v>
      </c>
      <c r="H496" s="10" t="s">
        <v>850</v>
      </c>
      <c r="I496" s="62">
        <v>42</v>
      </c>
      <c r="J496" s="8" t="s">
        <v>2372</v>
      </c>
      <c r="K496" s="10" t="s">
        <v>847</v>
      </c>
      <c r="L496" s="10" t="s">
        <v>2373</v>
      </c>
      <c r="M496" s="10" t="s">
        <v>2372</v>
      </c>
      <c r="N496" s="10" t="s">
        <v>2373</v>
      </c>
      <c r="O496" s="10"/>
    </row>
    <row r="497" spans="1:15" ht="18" customHeight="1" x14ac:dyDescent="0.3">
      <c r="A497" s="24">
        <v>496</v>
      </c>
      <c r="B497" s="10" t="s">
        <v>193</v>
      </c>
      <c r="C497" s="10" t="s">
        <v>25</v>
      </c>
      <c r="D497" s="62">
        <v>23</v>
      </c>
      <c r="E497" s="61" t="s">
        <v>2495</v>
      </c>
      <c r="F497" s="27" t="s">
        <v>1047</v>
      </c>
      <c r="G497" s="10" t="s">
        <v>160</v>
      </c>
      <c r="H497" s="10" t="s">
        <v>851</v>
      </c>
      <c r="I497" s="62">
        <v>35</v>
      </c>
      <c r="J497" s="8" t="s">
        <v>2372</v>
      </c>
      <c r="K497" s="10" t="s">
        <v>847</v>
      </c>
      <c r="L497" s="10" t="s">
        <v>2373</v>
      </c>
      <c r="M497" s="10" t="s">
        <v>2372</v>
      </c>
      <c r="N497" s="10" t="s">
        <v>2373</v>
      </c>
      <c r="O497" s="10"/>
    </row>
    <row r="498" spans="1:15" ht="18" customHeight="1" x14ac:dyDescent="0.3">
      <c r="A498" s="24">
        <v>497</v>
      </c>
      <c r="B498" s="10" t="s">
        <v>193</v>
      </c>
      <c r="C498" s="10" t="s">
        <v>25</v>
      </c>
      <c r="D498" s="62">
        <v>23</v>
      </c>
      <c r="E498" s="61" t="s">
        <v>2495</v>
      </c>
      <c r="F498" s="27" t="s">
        <v>1047</v>
      </c>
      <c r="G498" s="10" t="s">
        <v>160</v>
      </c>
      <c r="H498" s="10" t="s">
        <v>852</v>
      </c>
      <c r="I498" s="62">
        <v>80</v>
      </c>
      <c r="J498" s="8" t="s">
        <v>2372</v>
      </c>
      <c r="K498" s="10" t="s">
        <v>847</v>
      </c>
      <c r="L498" s="10" t="s">
        <v>2373</v>
      </c>
      <c r="M498" s="10" t="s">
        <v>2372</v>
      </c>
      <c r="N498" s="10" t="s">
        <v>2373</v>
      </c>
      <c r="O498" s="10"/>
    </row>
    <row r="499" spans="1:15" ht="18" customHeight="1" x14ac:dyDescent="0.3">
      <c r="A499" s="24">
        <v>498</v>
      </c>
      <c r="B499" s="10" t="s">
        <v>193</v>
      </c>
      <c r="C499" s="10" t="s">
        <v>25</v>
      </c>
      <c r="D499" s="62">
        <v>23</v>
      </c>
      <c r="E499" s="61" t="s">
        <v>2495</v>
      </c>
      <c r="F499" s="27" t="s">
        <v>314</v>
      </c>
      <c r="G499" s="10" t="s">
        <v>160</v>
      </c>
      <c r="H499" s="10" t="s">
        <v>845</v>
      </c>
      <c r="I499" s="62">
        <v>200</v>
      </c>
      <c r="J499" s="8" t="s">
        <v>2374</v>
      </c>
      <c r="K499" s="10" t="s">
        <v>847</v>
      </c>
      <c r="L499" s="10" t="s">
        <v>2373</v>
      </c>
      <c r="M499" s="10" t="s">
        <v>2372</v>
      </c>
      <c r="N499" s="10" t="s">
        <v>2373</v>
      </c>
      <c r="O499" s="10"/>
    </row>
    <row r="500" spans="1:15" ht="18" customHeight="1" x14ac:dyDescent="0.3">
      <c r="A500" s="24">
        <v>499</v>
      </c>
      <c r="B500" s="10" t="s">
        <v>193</v>
      </c>
      <c r="C500" s="10" t="s">
        <v>25</v>
      </c>
      <c r="D500" s="62">
        <v>23</v>
      </c>
      <c r="E500" s="61" t="s">
        <v>2495</v>
      </c>
      <c r="F500" s="27" t="s">
        <v>314</v>
      </c>
      <c r="G500" s="10" t="s">
        <v>160</v>
      </c>
      <c r="H500" s="10" t="s">
        <v>848</v>
      </c>
      <c r="I500" s="62">
        <v>143</v>
      </c>
      <c r="J500" s="8" t="s">
        <v>2374</v>
      </c>
      <c r="K500" s="10" t="s">
        <v>847</v>
      </c>
      <c r="L500" s="10" t="s">
        <v>2373</v>
      </c>
      <c r="M500" s="10" t="s">
        <v>2372</v>
      </c>
      <c r="N500" s="10" t="s">
        <v>2373</v>
      </c>
      <c r="O500" s="10"/>
    </row>
    <row r="501" spans="1:15" ht="18" customHeight="1" x14ac:dyDescent="0.3">
      <c r="A501" s="24">
        <v>500</v>
      </c>
      <c r="B501" s="10" t="s">
        <v>193</v>
      </c>
      <c r="C501" s="10" t="s">
        <v>25</v>
      </c>
      <c r="D501" s="62">
        <v>23</v>
      </c>
      <c r="E501" s="61" t="s">
        <v>183</v>
      </c>
      <c r="F501" s="16" t="s">
        <v>311</v>
      </c>
      <c r="G501" s="10" t="s">
        <v>150</v>
      </c>
      <c r="H501" s="10" t="s">
        <v>848</v>
      </c>
      <c r="I501" s="62">
        <v>432</v>
      </c>
      <c r="J501" s="10" t="s">
        <v>2372</v>
      </c>
      <c r="K501" s="10" t="s">
        <v>847</v>
      </c>
      <c r="L501" s="10" t="s">
        <v>2373</v>
      </c>
      <c r="M501" s="10" t="s">
        <v>2372</v>
      </c>
      <c r="N501" s="10" t="s">
        <v>2373</v>
      </c>
      <c r="O501" s="10"/>
    </row>
    <row r="502" spans="1:15" ht="18" customHeight="1" x14ac:dyDescent="0.3">
      <c r="A502" s="24">
        <v>501</v>
      </c>
      <c r="B502" s="10" t="s">
        <v>193</v>
      </c>
      <c r="C502" s="10" t="s">
        <v>25</v>
      </c>
      <c r="D502" s="62">
        <v>23</v>
      </c>
      <c r="E502" s="61" t="s">
        <v>183</v>
      </c>
      <c r="F502" s="16" t="s">
        <v>311</v>
      </c>
      <c r="G502" s="10" t="s">
        <v>150</v>
      </c>
      <c r="H502" s="10" t="s">
        <v>850</v>
      </c>
      <c r="I502" s="62">
        <v>332</v>
      </c>
      <c r="J502" s="10" t="s">
        <v>2372</v>
      </c>
      <c r="K502" s="10" t="s">
        <v>847</v>
      </c>
      <c r="L502" s="10" t="s">
        <v>2373</v>
      </c>
      <c r="M502" s="10" t="s">
        <v>2372</v>
      </c>
      <c r="N502" s="10" t="s">
        <v>2373</v>
      </c>
      <c r="O502" s="10"/>
    </row>
    <row r="503" spans="1:15" ht="18" customHeight="1" x14ac:dyDescent="0.3">
      <c r="A503" s="24">
        <v>502</v>
      </c>
      <c r="B503" s="10" t="s">
        <v>193</v>
      </c>
      <c r="C503" s="10" t="s">
        <v>25</v>
      </c>
      <c r="D503" s="62">
        <v>23</v>
      </c>
      <c r="E503" s="61" t="s">
        <v>183</v>
      </c>
      <c r="F503" s="16" t="s">
        <v>311</v>
      </c>
      <c r="G503" s="10" t="s">
        <v>150</v>
      </c>
      <c r="H503" s="10" t="s">
        <v>874</v>
      </c>
      <c r="I503" s="62">
        <v>36</v>
      </c>
      <c r="J503" s="10" t="s">
        <v>2372</v>
      </c>
      <c r="K503" s="10" t="s">
        <v>847</v>
      </c>
      <c r="L503" s="10" t="s">
        <v>2373</v>
      </c>
      <c r="M503" s="10" t="s">
        <v>2374</v>
      </c>
      <c r="N503" s="10" t="s">
        <v>2496</v>
      </c>
      <c r="O503" s="10"/>
    </row>
    <row r="504" spans="1:15" ht="18" customHeight="1" x14ac:dyDescent="0.3">
      <c r="A504" s="24">
        <v>503</v>
      </c>
      <c r="B504" s="10" t="s">
        <v>193</v>
      </c>
      <c r="C504" s="10" t="s">
        <v>25</v>
      </c>
      <c r="D504" s="62">
        <v>23</v>
      </c>
      <c r="E504" s="61" t="s">
        <v>183</v>
      </c>
      <c r="F504" s="16" t="s">
        <v>311</v>
      </c>
      <c r="G504" s="10" t="s">
        <v>150</v>
      </c>
      <c r="H504" s="10" t="s">
        <v>875</v>
      </c>
      <c r="I504" s="62">
        <v>30</v>
      </c>
      <c r="J504" s="10" t="s">
        <v>2372</v>
      </c>
      <c r="K504" s="10" t="s">
        <v>847</v>
      </c>
      <c r="L504" s="10" t="s">
        <v>2373</v>
      </c>
      <c r="M504" s="10" t="s">
        <v>2374</v>
      </c>
      <c r="N504" s="10" t="s">
        <v>2497</v>
      </c>
      <c r="O504" s="10"/>
    </row>
    <row r="505" spans="1:15" ht="18" customHeight="1" x14ac:dyDescent="0.3">
      <c r="A505" s="24">
        <v>504</v>
      </c>
      <c r="B505" s="10" t="s">
        <v>193</v>
      </c>
      <c r="C505" s="10" t="s">
        <v>25</v>
      </c>
      <c r="D505" s="62">
        <v>23</v>
      </c>
      <c r="E505" s="61" t="s">
        <v>183</v>
      </c>
      <c r="F505" s="16" t="s">
        <v>2498</v>
      </c>
      <c r="G505" s="10" t="s">
        <v>150</v>
      </c>
      <c r="H505" s="10" t="s">
        <v>2423</v>
      </c>
      <c r="I505" s="171">
        <v>36</v>
      </c>
      <c r="J505" s="10" t="s">
        <v>2372</v>
      </c>
      <c r="K505" s="10" t="s">
        <v>846</v>
      </c>
      <c r="L505" s="10" t="s">
        <v>2422</v>
      </c>
      <c r="M505" s="10" t="s">
        <v>2372</v>
      </c>
      <c r="N505" s="10" t="s">
        <v>2373</v>
      </c>
      <c r="O505" s="10"/>
    </row>
    <row r="506" spans="1:15" ht="18" customHeight="1" x14ac:dyDescent="0.3">
      <c r="A506" s="24">
        <v>505</v>
      </c>
      <c r="B506" s="10" t="s">
        <v>193</v>
      </c>
      <c r="C506" s="10" t="s">
        <v>25</v>
      </c>
      <c r="D506" s="62">
        <v>23</v>
      </c>
      <c r="E506" s="61" t="s">
        <v>183</v>
      </c>
      <c r="F506" s="16" t="s">
        <v>2498</v>
      </c>
      <c r="G506" s="10" t="s">
        <v>150</v>
      </c>
      <c r="H506" s="10" t="s">
        <v>2499</v>
      </c>
      <c r="I506" s="62">
        <v>36</v>
      </c>
      <c r="J506" s="10" t="s">
        <v>2372</v>
      </c>
      <c r="K506" s="10" t="s">
        <v>846</v>
      </c>
      <c r="L506" s="10" t="s">
        <v>2422</v>
      </c>
      <c r="M506" s="10" t="s">
        <v>2372</v>
      </c>
      <c r="N506" s="10" t="s">
        <v>2373</v>
      </c>
      <c r="O506" s="10"/>
    </row>
    <row r="507" spans="1:15" ht="18" customHeight="1" x14ac:dyDescent="0.3">
      <c r="A507" s="24">
        <v>506</v>
      </c>
      <c r="B507" s="10" t="s">
        <v>193</v>
      </c>
      <c r="C507" s="10" t="s">
        <v>25</v>
      </c>
      <c r="D507" s="62">
        <v>23</v>
      </c>
      <c r="E507" s="61" t="s">
        <v>183</v>
      </c>
      <c r="F507" s="16" t="s">
        <v>2498</v>
      </c>
      <c r="G507" s="10" t="s">
        <v>150</v>
      </c>
      <c r="H507" s="10" t="s">
        <v>2500</v>
      </c>
      <c r="I507" s="62">
        <v>36</v>
      </c>
      <c r="J507" s="10" t="s">
        <v>2372</v>
      </c>
      <c r="K507" s="10" t="s">
        <v>846</v>
      </c>
      <c r="L507" s="10" t="s">
        <v>2422</v>
      </c>
      <c r="M507" s="10" t="s">
        <v>2372</v>
      </c>
      <c r="N507" s="10" t="s">
        <v>2373</v>
      </c>
      <c r="O507" s="10"/>
    </row>
    <row r="508" spans="1:15" ht="18" customHeight="1" x14ac:dyDescent="0.3">
      <c r="A508" s="24">
        <v>507</v>
      </c>
      <c r="B508" s="10" t="s">
        <v>193</v>
      </c>
      <c r="C508" s="10" t="s">
        <v>25</v>
      </c>
      <c r="D508" s="62">
        <v>23</v>
      </c>
      <c r="E508" s="61" t="s">
        <v>183</v>
      </c>
      <c r="F508" s="16" t="s">
        <v>2498</v>
      </c>
      <c r="G508" s="10" t="s">
        <v>150</v>
      </c>
      <c r="H508" s="10" t="s">
        <v>2501</v>
      </c>
      <c r="I508" s="171">
        <v>36</v>
      </c>
      <c r="J508" s="10" t="s">
        <v>2372</v>
      </c>
      <c r="K508" s="10" t="s">
        <v>846</v>
      </c>
      <c r="L508" s="10" t="s">
        <v>2484</v>
      </c>
      <c r="M508" s="10" t="s">
        <v>2372</v>
      </c>
      <c r="N508" s="10" t="s">
        <v>2373</v>
      </c>
      <c r="O508" s="10"/>
    </row>
    <row r="509" spans="1:15" ht="18" customHeight="1" x14ac:dyDescent="0.3">
      <c r="A509" s="24">
        <v>508</v>
      </c>
      <c r="B509" s="10" t="s">
        <v>193</v>
      </c>
      <c r="C509" s="10" t="s">
        <v>25</v>
      </c>
      <c r="D509" s="62">
        <v>23</v>
      </c>
      <c r="E509" s="61" t="s">
        <v>183</v>
      </c>
      <c r="F509" s="16" t="s">
        <v>2498</v>
      </c>
      <c r="G509" s="10" t="s">
        <v>150</v>
      </c>
      <c r="H509" s="10" t="s">
        <v>2502</v>
      </c>
      <c r="I509" s="171">
        <v>36</v>
      </c>
      <c r="J509" s="10" t="s">
        <v>2374</v>
      </c>
      <c r="K509" s="10" t="s">
        <v>846</v>
      </c>
      <c r="L509" s="10" t="s">
        <v>2484</v>
      </c>
      <c r="M509" s="10" t="s">
        <v>2372</v>
      </c>
      <c r="N509" s="10" t="s">
        <v>2373</v>
      </c>
      <c r="O509" s="10"/>
    </row>
    <row r="510" spans="1:15" ht="18" customHeight="1" x14ac:dyDescent="0.3">
      <c r="A510" s="24">
        <v>509</v>
      </c>
      <c r="B510" s="10" t="s">
        <v>193</v>
      </c>
      <c r="C510" s="10" t="s">
        <v>25</v>
      </c>
      <c r="D510" s="62">
        <v>23</v>
      </c>
      <c r="E510" s="61" t="s">
        <v>183</v>
      </c>
      <c r="F510" s="16" t="s">
        <v>2498</v>
      </c>
      <c r="G510" s="10" t="s">
        <v>150</v>
      </c>
      <c r="H510" s="10" t="s">
        <v>2503</v>
      </c>
      <c r="I510" s="62">
        <v>166</v>
      </c>
      <c r="J510" s="10" t="s">
        <v>2372</v>
      </c>
      <c r="K510" s="10" t="s">
        <v>2374</v>
      </c>
      <c r="L510" s="10" t="s">
        <v>1422</v>
      </c>
      <c r="M510" s="10" t="s">
        <v>2372</v>
      </c>
      <c r="N510" s="10" t="s">
        <v>2373</v>
      </c>
      <c r="O510" s="10"/>
    </row>
    <row r="511" spans="1:15" ht="18" customHeight="1" x14ac:dyDescent="0.3">
      <c r="A511" s="24">
        <v>510</v>
      </c>
      <c r="B511" s="10" t="s">
        <v>193</v>
      </c>
      <c r="C511" s="10" t="s">
        <v>25</v>
      </c>
      <c r="D511" s="62">
        <v>23</v>
      </c>
      <c r="E511" s="61" t="s">
        <v>183</v>
      </c>
      <c r="F511" s="16" t="s">
        <v>2498</v>
      </c>
      <c r="G511" s="10" t="s">
        <v>150</v>
      </c>
      <c r="H511" s="10" t="s">
        <v>2504</v>
      </c>
      <c r="I511" s="62">
        <v>166</v>
      </c>
      <c r="J511" s="10" t="s">
        <v>2374</v>
      </c>
      <c r="K511" s="10" t="s">
        <v>2374</v>
      </c>
      <c r="L511" s="10" t="s">
        <v>1422</v>
      </c>
      <c r="M511" s="10" t="s">
        <v>2372</v>
      </c>
      <c r="N511" s="10" t="s">
        <v>2373</v>
      </c>
      <c r="O511" s="10"/>
    </row>
    <row r="512" spans="1:15" ht="18" customHeight="1" x14ac:dyDescent="0.3">
      <c r="A512" s="24">
        <v>511</v>
      </c>
      <c r="B512" s="10" t="s">
        <v>193</v>
      </c>
      <c r="C512" s="10" t="s">
        <v>25</v>
      </c>
      <c r="D512" s="62">
        <v>23</v>
      </c>
      <c r="E512" s="61" t="s">
        <v>183</v>
      </c>
      <c r="F512" s="16" t="s">
        <v>2498</v>
      </c>
      <c r="G512" s="10" t="s">
        <v>150</v>
      </c>
      <c r="H512" s="10" t="s">
        <v>2505</v>
      </c>
      <c r="I512" s="62">
        <v>348</v>
      </c>
      <c r="J512" s="10" t="s">
        <v>2372</v>
      </c>
      <c r="K512" s="10" t="s">
        <v>2374</v>
      </c>
      <c r="L512" s="10" t="s">
        <v>1422</v>
      </c>
      <c r="M512" s="10" t="s">
        <v>2372</v>
      </c>
      <c r="N512" s="10" t="s">
        <v>2373</v>
      </c>
      <c r="O512" s="10"/>
    </row>
    <row r="513" spans="1:15" ht="18" customHeight="1" x14ac:dyDescent="0.3">
      <c r="A513" s="24">
        <v>512</v>
      </c>
      <c r="B513" s="10" t="s">
        <v>193</v>
      </c>
      <c r="C513" s="10" t="s">
        <v>25</v>
      </c>
      <c r="D513" s="62">
        <v>23</v>
      </c>
      <c r="E513" s="61" t="s">
        <v>183</v>
      </c>
      <c r="F513" s="16" t="s">
        <v>2498</v>
      </c>
      <c r="G513" s="10" t="s">
        <v>150</v>
      </c>
      <c r="H513" s="10" t="s">
        <v>2467</v>
      </c>
      <c r="I513" s="62">
        <v>281</v>
      </c>
      <c r="J513" s="10" t="s">
        <v>2372</v>
      </c>
      <c r="K513" s="10" t="s">
        <v>2374</v>
      </c>
      <c r="L513" s="10" t="s">
        <v>1422</v>
      </c>
      <c r="M513" s="10" t="s">
        <v>2372</v>
      </c>
      <c r="N513" s="10" t="s">
        <v>2373</v>
      </c>
      <c r="O513" s="10"/>
    </row>
    <row r="514" spans="1:15" ht="18" customHeight="1" x14ac:dyDescent="0.3">
      <c r="A514" s="24">
        <v>513</v>
      </c>
      <c r="B514" s="10" t="s">
        <v>193</v>
      </c>
      <c r="C514" s="10" t="s">
        <v>25</v>
      </c>
      <c r="D514" s="62">
        <v>23</v>
      </c>
      <c r="E514" s="61" t="s">
        <v>183</v>
      </c>
      <c r="F514" s="16" t="s">
        <v>2498</v>
      </c>
      <c r="G514" s="10" t="s">
        <v>150</v>
      </c>
      <c r="H514" s="10" t="s">
        <v>2464</v>
      </c>
      <c r="I514" s="171">
        <v>285</v>
      </c>
      <c r="J514" s="10" t="s">
        <v>2372</v>
      </c>
      <c r="K514" s="10" t="s">
        <v>2374</v>
      </c>
      <c r="L514" s="10" t="s">
        <v>1422</v>
      </c>
      <c r="M514" s="10" t="s">
        <v>2372</v>
      </c>
      <c r="N514" s="10" t="s">
        <v>2373</v>
      </c>
      <c r="O514" s="10"/>
    </row>
    <row r="515" spans="1:15" ht="18" customHeight="1" x14ac:dyDescent="0.3">
      <c r="A515" s="24">
        <v>514</v>
      </c>
      <c r="B515" s="10" t="s">
        <v>193</v>
      </c>
      <c r="C515" s="10" t="s">
        <v>25</v>
      </c>
      <c r="D515" s="62">
        <v>23</v>
      </c>
      <c r="E515" s="61" t="s">
        <v>183</v>
      </c>
      <c r="F515" s="16" t="s">
        <v>2498</v>
      </c>
      <c r="G515" s="10" t="s">
        <v>150</v>
      </c>
      <c r="H515" s="10" t="s">
        <v>2506</v>
      </c>
      <c r="I515" s="62">
        <v>285</v>
      </c>
      <c r="J515" s="10" t="s">
        <v>2372</v>
      </c>
      <c r="K515" s="10" t="s">
        <v>2374</v>
      </c>
      <c r="L515" s="10" t="s">
        <v>1422</v>
      </c>
      <c r="M515" s="10" t="s">
        <v>2372</v>
      </c>
      <c r="N515" s="10" t="s">
        <v>2373</v>
      </c>
      <c r="O515" s="10"/>
    </row>
    <row r="516" spans="1:15" ht="18" customHeight="1" x14ac:dyDescent="0.3">
      <c r="A516" s="24">
        <v>515</v>
      </c>
      <c r="B516" s="10" t="s">
        <v>193</v>
      </c>
      <c r="C516" s="10" t="s">
        <v>25</v>
      </c>
      <c r="D516" s="62">
        <v>23</v>
      </c>
      <c r="E516" s="61" t="s">
        <v>183</v>
      </c>
      <c r="F516" s="16" t="s">
        <v>2498</v>
      </c>
      <c r="G516" s="10" t="s">
        <v>150</v>
      </c>
      <c r="H516" s="10" t="s">
        <v>2507</v>
      </c>
      <c r="I516" s="62">
        <v>255</v>
      </c>
      <c r="J516" s="10" t="s">
        <v>2372</v>
      </c>
      <c r="K516" s="10" t="s">
        <v>2374</v>
      </c>
      <c r="L516" s="10" t="s">
        <v>1422</v>
      </c>
      <c r="M516" s="10" t="s">
        <v>2372</v>
      </c>
      <c r="N516" s="10" t="s">
        <v>2373</v>
      </c>
      <c r="O516" s="10"/>
    </row>
    <row r="517" spans="1:15" ht="18" customHeight="1" x14ac:dyDescent="0.3">
      <c r="A517" s="24">
        <v>516</v>
      </c>
      <c r="B517" s="10" t="s">
        <v>193</v>
      </c>
      <c r="C517" s="10" t="s">
        <v>25</v>
      </c>
      <c r="D517" s="62">
        <v>23</v>
      </c>
      <c r="E517" s="61" t="s">
        <v>183</v>
      </c>
      <c r="F517" s="16" t="s">
        <v>2498</v>
      </c>
      <c r="G517" s="10" t="s">
        <v>150</v>
      </c>
      <c r="H517" s="10" t="s">
        <v>2508</v>
      </c>
      <c r="I517" s="62">
        <v>255</v>
      </c>
      <c r="J517" s="10" t="s">
        <v>2372</v>
      </c>
      <c r="K517" s="10" t="s">
        <v>2374</v>
      </c>
      <c r="L517" s="10" t="s">
        <v>1422</v>
      </c>
      <c r="M517" s="10" t="s">
        <v>2372</v>
      </c>
      <c r="N517" s="10" t="s">
        <v>2373</v>
      </c>
      <c r="O517" s="10"/>
    </row>
    <row r="518" spans="1:15" ht="18" customHeight="1" x14ac:dyDescent="0.3">
      <c r="A518" s="24">
        <v>517</v>
      </c>
      <c r="B518" s="10" t="s">
        <v>193</v>
      </c>
      <c r="C518" s="10" t="s">
        <v>25</v>
      </c>
      <c r="D518" s="62">
        <v>23</v>
      </c>
      <c r="E518" s="61" t="s">
        <v>183</v>
      </c>
      <c r="F518" s="16" t="s">
        <v>2498</v>
      </c>
      <c r="G518" s="10" t="s">
        <v>150</v>
      </c>
      <c r="H518" s="10" t="s">
        <v>1777</v>
      </c>
      <c r="I518" s="62">
        <v>378</v>
      </c>
      <c r="J518" s="10" t="s">
        <v>2374</v>
      </c>
      <c r="K518" s="10" t="s">
        <v>846</v>
      </c>
      <c r="L518" s="10" t="s">
        <v>1777</v>
      </c>
      <c r="M518" s="10" t="s">
        <v>2372</v>
      </c>
      <c r="N518" s="10" t="s">
        <v>2373</v>
      </c>
      <c r="O518" s="10" t="s">
        <v>2509</v>
      </c>
    </row>
    <row r="519" spans="1:15" ht="18" customHeight="1" x14ac:dyDescent="0.3">
      <c r="A519" s="24">
        <v>518</v>
      </c>
      <c r="B519" s="10" t="s">
        <v>193</v>
      </c>
      <c r="C519" s="10" t="s">
        <v>25</v>
      </c>
      <c r="D519" s="62">
        <v>23</v>
      </c>
      <c r="E519" s="61" t="s">
        <v>183</v>
      </c>
      <c r="F519" s="16" t="s">
        <v>2498</v>
      </c>
      <c r="G519" s="10" t="s">
        <v>150</v>
      </c>
      <c r="H519" s="10" t="s">
        <v>2510</v>
      </c>
      <c r="I519" s="62">
        <v>8</v>
      </c>
      <c r="J519" s="10" t="s">
        <v>2372</v>
      </c>
      <c r="K519" s="10" t="s">
        <v>846</v>
      </c>
      <c r="L519" s="10" t="s">
        <v>2510</v>
      </c>
      <c r="M519" s="10" t="s">
        <v>2372</v>
      </c>
      <c r="N519" s="10" t="s">
        <v>2373</v>
      </c>
      <c r="O519" s="10"/>
    </row>
    <row r="520" spans="1:15" ht="18" customHeight="1" x14ac:dyDescent="0.3">
      <c r="A520" s="24">
        <v>519</v>
      </c>
      <c r="B520" s="10" t="s">
        <v>193</v>
      </c>
      <c r="C520" s="10" t="s">
        <v>25</v>
      </c>
      <c r="D520" s="62">
        <v>23</v>
      </c>
      <c r="E520" s="61" t="s">
        <v>183</v>
      </c>
      <c r="F520" s="16" t="s">
        <v>2498</v>
      </c>
      <c r="G520" s="10" t="s">
        <v>150</v>
      </c>
      <c r="H520" s="10" t="s">
        <v>2511</v>
      </c>
      <c r="I520" s="62">
        <v>10</v>
      </c>
      <c r="J520" s="10" t="s">
        <v>2372</v>
      </c>
      <c r="K520" s="10" t="s">
        <v>846</v>
      </c>
      <c r="L520" s="10" t="s">
        <v>2511</v>
      </c>
      <c r="M520" s="10" t="s">
        <v>2372</v>
      </c>
      <c r="N520" s="10" t="s">
        <v>2373</v>
      </c>
      <c r="O520" s="10"/>
    </row>
    <row r="521" spans="1:15" ht="18" customHeight="1" x14ac:dyDescent="0.3">
      <c r="A521" s="24">
        <v>520</v>
      </c>
      <c r="B521" s="10" t="s">
        <v>193</v>
      </c>
      <c r="C521" s="10" t="s">
        <v>25</v>
      </c>
      <c r="D521" s="62">
        <v>23</v>
      </c>
      <c r="E521" s="61" t="s">
        <v>2809</v>
      </c>
      <c r="F521" s="11" t="s">
        <v>305</v>
      </c>
      <c r="G521" s="10" t="s">
        <v>150</v>
      </c>
      <c r="H521" s="10" t="s">
        <v>2413</v>
      </c>
      <c r="I521" s="62">
        <v>180</v>
      </c>
      <c r="J521" s="10" t="s">
        <v>2374</v>
      </c>
      <c r="K521" s="10" t="s">
        <v>2374</v>
      </c>
      <c r="L521" s="10" t="s">
        <v>2414</v>
      </c>
      <c r="M521" s="10" t="s">
        <v>2372</v>
      </c>
      <c r="N521" s="10" t="s">
        <v>2373</v>
      </c>
      <c r="O521" s="10"/>
    </row>
    <row r="522" spans="1:15" ht="18" customHeight="1" x14ac:dyDescent="0.3">
      <c r="A522" s="24">
        <v>521</v>
      </c>
      <c r="B522" s="10" t="s">
        <v>193</v>
      </c>
      <c r="C522" s="10" t="s">
        <v>25</v>
      </c>
      <c r="D522" s="62">
        <v>23</v>
      </c>
      <c r="E522" s="61" t="s">
        <v>2809</v>
      </c>
      <c r="F522" s="11" t="s">
        <v>305</v>
      </c>
      <c r="G522" s="10" t="s">
        <v>150</v>
      </c>
      <c r="H522" s="10" t="s">
        <v>848</v>
      </c>
      <c r="I522" s="62">
        <v>174</v>
      </c>
      <c r="J522" s="10" t="s">
        <v>2372</v>
      </c>
      <c r="K522" s="10" t="s">
        <v>847</v>
      </c>
      <c r="L522" s="10" t="s">
        <v>2373</v>
      </c>
      <c r="M522" s="10" t="s">
        <v>2372</v>
      </c>
      <c r="N522" s="10" t="s">
        <v>2373</v>
      </c>
      <c r="O522" s="10"/>
    </row>
    <row r="523" spans="1:15" ht="18" customHeight="1" x14ac:dyDescent="0.3">
      <c r="A523" s="24">
        <v>522</v>
      </c>
      <c r="B523" s="10" t="s">
        <v>193</v>
      </c>
      <c r="C523" s="10" t="s">
        <v>25</v>
      </c>
      <c r="D523" s="62">
        <v>23</v>
      </c>
      <c r="E523" s="61" t="s">
        <v>2809</v>
      </c>
      <c r="F523" s="11" t="s">
        <v>305</v>
      </c>
      <c r="G523" s="10" t="s">
        <v>150</v>
      </c>
      <c r="H523" s="10" t="s">
        <v>849</v>
      </c>
      <c r="I523" s="62">
        <v>182</v>
      </c>
      <c r="J523" s="10" t="s">
        <v>2374</v>
      </c>
      <c r="K523" s="10" t="s">
        <v>847</v>
      </c>
      <c r="L523" s="10" t="s">
        <v>2373</v>
      </c>
      <c r="M523" s="10" t="s">
        <v>2372</v>
      </c>
      <c r="N523" s="10" t="s">
        <v>2373</v>
      </c>
      <c r="O523" s="10"/>
    </row>
    <row r="524" spans="1:15" ht="18" customHeight="1" x14ac:dyDescent="0.3">
      <c r="A524" s="24">
        <v>523</v>
      </c>
      <c r="B524" s="10" t="s">
        <v>193</v>
      </c>
      <c r="C524" s="10" t="s">
        <v>25</v>
      </c>
      <c r="D524" s="62">
        <v>23</v>
      </c>
      <c r="E524" s="61" t="s">
        <v>2809</v>
      </c>
      <c r="F524" s="11" t="s">
        <v>305</v>
      </c>
      <c r="G524" s="10" t="s">
        <v>150</v>
      </c>
      <c r="H524" s="10" t="s">
        <v>935</v>
      </c>
      <c r="I524" s="62">
        <v>94</v>
      </c>
      <c r="J524" s="10" t="s">
        <v>2372</v>
      </c>
      <c r="K524" s="10" t="s">
        <v>847</v>
      </c>
      <c r="L524" s="10" t="s">
        <v>2373</v>
      </c>
      <c r="M524" s="10" t="s">
        <v>2374</v>
      </c>
      <c r="N524" s="10" t="s">
        <v>1256</v>
      </c>
      <c r="O524" s="10"/>
    </row>
    <row r="525" spans="1:15" ht="18" customHeight="1" x14ac:dyDescent="0.3">
      <c r="A525" s="24">
        <v>524</v>
      </c>
      <c r="B525" s="10" t="s">
        <v>193</v>
      </c>
      <c r="C525" s="10" t="s">
        <v>25</v>
      </c>
      <c r="D525" s="62">
        <v>23</v>
      </c>
      <c r="E525" s="61" t="s">
        <v>2809</v>
      </c>
      <c r="F525" s="11" t="s">
        <v>305</v>
      </c>
      <c r="G525" s="10" t="s">
        <v>150</v>
      </c>
      <c r="H525" s="10" t="s">
        <v>936</v>
      </c>
      <c r="I525" s="62">
        <v>108</v>
      </c>
      <c r="J525" s="10" t="s">
        <v>2374</v>
      </c>
      <c r="K525" s="10" t="s">
        <v>847</v>
      </c>
      <c r="L525" s="10" t="s">
        <v>2373</v>
      </c>
      <c r="M525" s="10" t="s">
        <v>2374</v>
      </c>
      <c r="N525" s="10" t="s">
        <v>1256</v>
      </c>
      <c r="O525" s="10"/>
    </row>
    <row r="526" spans="1:15" ht="18" customHeight="1" x14ac:dyDescent="0.3">
      <c r="A526" s="24">
        <v>525</v>
      </c>
      <c r="B526" s="10" t="s">
        <v>193</v>
      </c>
      <c r="C526" s="10" t="s">
        <v>25</v>
      </c>
      <c r="D526" s="62">
        <v>23</v>
      </c>
      <c r="E526" s="61" t="s">
        <v>2809</v>
      </c>
      <c r="F526" s="11" t="s">
        <v>305</v>
      </c>
      <c r="G526" s="10" t="s">
        <v>150</v>
      </c>
      <c r="H526" s="10" t="s">
        <v>2380</v>
      </c>
      <c r="I526" s="62">
        <v>160</v>
      </c>
      <c r="J526" s="10" t="s">
        <v>2374</v>
      </c>
      <c r="K526" s="10" t="s">
        <v>847</v>
      </c>
      <c r="L526" s="10" t="s">
        <v>2373</v>
      </c>
      <c r="M526" s="10" t="s">
        <v>2372</v>
      </c>
      <c r="N526" s="10" t="s">
        <v>2373</v>
      </c>
      <c r="O526" s="10"/>
    </row>
    <row r="527" spans="1:15" ht="18" customHeight="1" x14ac:dyDescent="0.3">
      <c r="A527" s="24">
        <v>526</v>
      </c>
      <c r="B527" s="10" t="s">
        <v>193</v>
      </c>
      <c r="C527" s="10" t="s">
        <v>25</v>
      </c>
      <c r="D527" s="62">
        <v>23</v>
      </c>
      <c r="E527" s="61" t="s">
        <v>2810</v>
      </c>
      <c r="F527" s="11" t="s">
        <v>2512</v>
      </c>
      <c r="G527" s="10" t="s">
        <v>150</v>
      </c>
      <c r="H527" s="10" t="s">
        <v>2415</v>
      </c>
      <c r="I527" s="62">
        <v>30</v>
      </c>
      <c r="J527" s="10" t="s">
        <v>2374</v>
      </c>
      <c r="K527" s="10" t="s">
        <v>846</v>
      </c>
      <c r="L527" s="10" t="s">
        <v>2416</v>
      </c>
      <c r="M527" s="10" t="s">
        <v>2372</v>
      </c>
      <c r="N527" s="10" t="s">
        <v>2373</v>
      </c>
      <c r="O527" s="10"/>
    </row>
    <row r="528" spans="1:15" ht="18" customHeight="1" x14ac:dyDescent="0.3">
      <c r="A528" s="24">
        <v>527</v>
      </c>
      <c r="B528" s="10" t="s">
        <v>193</v>
      </c>
      <c r="C528" s="10" t="s">
        <v>25</v>
      </c>
      <c r="D528" s="62">
        <v>23</v>
      </c>
      <c r="E528" s="61" t="s">
        <v>2810</v>
      </c>
      <c r="F528" s="11" t="s">
        <v>2512</v>
      </c>
      <c r="G528" s="10" t="s">
        <v>150</v>
      </c>
      <c r="H528" s="10" t="s">
        <v>2513</v>
      </c>
      <c r="I528" s="62">
        <v>46</v>
      </c>
      <c r="J528" s="10" t="s">
        <v>2374</v>
      </c>
      <c r="K528" s="10" t="s">
        <v>846</v>
      </c>
      <c r="L528" s="10" t="s">
        <v>980</v>
      </c>
      <c r="M528" s="10" t="s">
        <v>2372</v>
      </c>
      <c r="N528" s="10" t="s">
        <v>2373</v>
      </c>
      <c r="O528" s="10"/>
    </row>
    <row r="529" spans="1:15" ht="18" customHeight="1" x14ac:dyDescent="0.3">
      <c r="A529" s="24">
        <v>528</v>
      </c>
      <c r="B529" s="10" t="s">
        <v>193</v>
      </c>
      <c r="C529" s="10" t="s">
        <v>26</v>
      </c>
      <c r="D529" s="62">
        <v>24</v>
      </c>
      <c r="E529" s="61" t="s">
        <v>2514</v>
      </c>
      <c r="F529" s="16" t="s">
        <v>381</v>
      </c>
      <c r="G529" s="10" t="s">
        <v>160</v>
      </c>
      <c r="H529" s="10" t="s">
        <v>845</v>
      </c>
      <c r="I529" s="62">
        <v>246</v>
      </c>
      <c r="J529" s="10" t="s">
        <v>2372</v>
      </c>
      <c r="K529" s="10" t="s">
        <v>847</v>
      </c>
      <c r="L529" s="10" t="s">
        <v>2373</v>
      </c>
      <c r="M529" s="10" t="s">
        <v>2372</v>
      </c>
      <c r="N529" s="10" t="s">
        <v>2373</v>
      </c>
      <c r="O529" s="10"/>
    </row>
    <row r="530" spans="1:15" ht="18" customHeight="1" x14ac:dyDescent="0.3">
      <c r="A530" s="24">
        <v>529</v>
      </c>
      <c r="B530" s="10" t="s">
        <v>193</v>
      </c>
      <c r="C530" s="10" t="s">
        <v>26</v>
      </c>
      <c r="D530" s="62">
        <v>24</v>
      </c>
      <c r="E530" s="61" t="s">
        <v>2514</v>
      </c>
      <c r="F530" s="16" t="s">
        <v>381</v>
      </c>
      <c r="G530" s="10" t="s">
        <v>160</v>
      </c>
      <c r="H530" s="10" t="s">
        <v>848</v>
      </c>
      <c r="I530" s="62">
        <v>67</v>
      </c>
      <c r="J530" s="10" t="s">
        <v>2372</v>
      </c>
      <c r="K530" s="10" t="s">
        <v>847</v>
      </c>
      <c r="L530" s="10" t="s">
        <v>2373</v>
      </c>
      <c r="M530" s="10" t="s">
        <v>2372</v>
      </c>
      <c r="N530" s="10" t="s">
        <v>2373</v>
      </c>
      <c r="O530" s="10"/>
    </row>
    <row r="531" spans="1:15" ht="18" customHeight="1" x14ac:dyDescent="0.3">
      <c r="A531" s="24">
        <v>530</v>
      </c>
      <c r="B531" s="10" t="s">
        <v>193</v>
      </c>
      <c r="C531" s="10" t="s">
        <v>26</v>
      </c>
      <c r="D531" s="62">
        <v>24</v>
      </c>
      <c r="E531" s="61" t="s">
        <v>2514</v>
      </c>
      <c r="F531" s="16" t="s">
        <v>381</v>
      </c>
      <c r="G531" s="10" t="s">
        <v>160</v>
      </c>
      <c r="H531" s="10" t="s">
        <v>849</v>
      </c>
      <c r="I531" s="62">
        <v>67</v>
      </c>
      <c r="J531" s="10" t="s">
        <v>2372</v>
      </c>
      <c r="K531" s="10" t="s">
        <v>847</v>
      </c>
      <c r="L531" s="10" t="s">
        <v>2373</v>
      </c>
      <c r="M531" s="10" t="s">
        <v>2372</v>
      </c>
      <c r="N531" s="10" t="s">
        <v>2373</v>
      </c>
      <c r="O531" s="10"/>
    </row>
    <row r="532" spans="1:15" ht="18" customHeight="1" x14ac:dyDescent="0.3">
      <c r="A532" s="24">
        <v>531</v>
      </c>
      <c r="B532" s="10" t="s">
        <v>193</v>
      </c>
      <c r="C532" s="10" t="s">
        <v>26</v>
      </c>
      <c r="D532" s="62">
        <v>24</v>
      </c>
      <c r="E532" s="61" t="s">
        <v>2514</v>
      </c>
      <c r="F532" s="16" t="s">
        <v>381</v>
      </c>
      <c r="G532" s="10" t="s">
        <v>160</v>
      </c>
      <c r="H532" s="10" t="s">
        <v>850</v>
      </c>
      <c r="I532" s="62">
        <v>110</v>
      </c>
      <c r="J532" s="10" t="s">
        <v>2372</v>
      </c>
      <c r="K532" s="10" t="s">
        <v>847</v>
      </c>
      <c r="L532" s="10" t="s">
        <v>2373</v>
      </c>
      <c r="M532" s="10" t="s">
        <v>2372</v>
      </c>
      <c r="N532" s="10" t="s">
        <v>2373</v>
      </c>
      <c r="O532" s="10"/>
    </row>
    <row r="533" spans="1:15" ht="18" customHeight="1" x14ac:dyDescent="0.3">
      <c r="A533" s="24">
        <v>532</v>
      </c>
      <c r="B533" s="10" t="s">
        <v>193</v>
      </c>
      <c r="C533" s="10" t="s">
        <v>26</v>
      </c>
      <c r="D533" s="62">
        <v>24</v>
      </c>
      <c r="E533" s="61" t="s">
        <v>2514</v>
      </c>
      <c r="F533" s="16" t="s">
        <v>381</v>
      </c>
      <c r="G533" s="10" t="s">
        <v>160</v>
      </c>
      <c r="H533" s="10" t="s">
        <v>851</v>
      </c>
      <c r="I533" s="62">
        <v>105</v>
      </c>
      <c r="J533" s="10" t="s">
        <v>2372</v>
      </c>
      <c r="K533" s="10" t="s">
        <v>847</v>
      </c>
      <c r="L533" s="10" t="s">
        <v>2373</v>
      </c>
      <c r="M533" s="10" t="s">
        <v>2372</v>
      </c>
      <c r="N533" s="10" t="s">
        <v>2373</v>
      </c>
      <c r="O533" s="10"/>
    </row>
    <row r="534" spans="1:15" ht="18" customHeight="1" x14ac:dyDescent="0.3">
      <c r="A534" s="24">
        <v>533</v>
      </c>
      <c r="B534" s="10" t="s">
        <v>193</v>
      </c>
      <c r="C534" s="10" t="s">
        <v>26</v>
      </c>
      <c r="D534" s="62">
        <v>24</v>
      </c>
      <c r="E534" s="61" t="s">
        <v>2514</v>
      </c>
      <c r="F534" s="16" t="s">
        <v>381</v>
      </c>
      <c r="G534" s="10" t="s">
        <v>160</v>
      </c>
      <c r="H534" s="10" t="s">
        <v>852</v>
      </c>
      <c r="I534" s="62">
        <v>116</v>
      </c>
      <c r="J534" s="10" t="s">
        <v>2372</v>
      </c>
      <c r="K534" s="10" t="s">
        <v>847</v>
      </c>
      <c r="L534" s="10" t="s">
        <v>2373</v>
      </c>
      <c r="M534" s="10" t="s">
        <v>2372</v>
      </c>
      <c r="N534" s="10" t="s">
        <v>2373</v>
      </c>
      <c r="O534" s="10"/>
    </row>
    <row r="535" spans="1:15" ht="18" customHeight="1" x14ac:dyDescent="0.3">
      <c r="A535" s="24">
        <v>534</v>
      </c>
      <c r="B535" s="10" t="s">
        <v>193</v>
      </c>
      <c r="C535" s="10" t="s">
        <v>26</v>
      </c>
      <c r="D535" s="62">
        <v>24</v>
      </c>
      <c r="E535" s="61" t="s">
        <v>2514</v>
      </c>
      <c r="F535" s="16" t="s">
        <v>381</v>
      </c>
      <c r="G535" s="10" t="s">
        <v>160</v>
      </c>
      <c r="H535" s="10" t="s">
        <v>853</v>
      </c>
      <c r="I535" s="62">
        <v>46</v>
      </c>
      <c r="J535" s="10" t="s">
        <v>2372</v>
      </c>
      <c r="K535" s="10" t="s">
        <v>847</v>
      </c>
      <c r="L535" s="10" t="s">
        <v>2373</v>
      </c>
      <c r="M535" s="10" t="s">
        <v>2372</v>
      </c>
      <c r="N535" s="10" t="s">
        <v>2373</v>
      </c>
      <c r="O535" s="10"/>
    </row>
    <row r="536" spans="1:15" ht="18" customHeight="1" x14ac:dyDescent="0.3">
      <c r="A536" s="24">
        <v>535</v>
      </c>
      <c r="B536" s="10" t="s">
        <v>193</v>
      </c>
      <c r="C536" s="10" t="s">
        <v>26</v>
      </c>
      <c r="D536" s="62">
        <v>24</v>
      </c>
      <c r="E536" s="61" t="s">
        <v>2514</v>
      </c>
      <c r="F536" s="16" t="s">
        <v>381</v>
      </c>
      <c r="G536" s="10" t="s">
        <v>160</v>
      </c>
      <c r="H536" s="10" t="s">
        <v>854</v>
      </c>
      <c r="I536" s="62">
        <v>126</v>
      </c>
      <c r="J536" s="10" t="s">
        <v>2372</v>
      </c>
      <c r="K536" s="10" t="s">
        <v>847</v>
      </c>
      <c r="L536" s="10" t="s">
        <v>2373</v>
      </c>
      <c r="M536" s="10" t="s">
        <v>2372</v>
      </c>
      <c r="N536" s="10" t="s">
        <v>2373</v>
      </c>
      <c r="O536" s="10"/>
    </row>
    <row r="537" spans="1:15" ht="18" customHeight="1" x14ac:dyDescent="0.3">
      <c r="A537" s="24">
        <v>536</v>
      </c>
      <c r="B537" s="10" t="s">
        <v>193</v>
      </c>
      <c r="C537" s="10" t="s">
        <v>26</v>
      </c>
      <c r="D537" s="62">
        <v>24</v>
      </c>
      <c r="E537" s="61" t="s">
        <v>2514</v>
      </c>
      <c r="F537" s="16" t="s">
        <v>381</v>
      </c>
      <c r="G537" s="10" t="s">
        <v>160</v>
      </c>
      <c r="H537" s="10" t="s">
        <v>855</v>
      </c>
      <c r="I537" s="62">
        <v>124</v>
      </c>
      <c r="J537" s="10" t="s">
        <v>2374</v>
      </c>
      <c r="K537" s="10" t="s">
        <v>847</v>
      </c>
      <c r="L537" s="10" t="s">
        <v>2373</v>
      </c>
      <c r="M537" s="10" t="s">
        <v>2372</v>
      </c>
      <c r="N537" s="10" t="s">
        <v>2373</v>
      </c>
      <c r="O537" s="10"/>
    </row>
    <row r="538" spans="1:15" ht="18" customHeight="1" x14ac:dyDescent="0.3">
      <c r="A538" s="24">
        <v>537</v>
      </c>
      <c r="B538" s="10" t="s">
        <v>193</v>
      </c>
      <c r="C538" s="10" t="s">
        <v>26</v>
      </c>
      <c r="D538" s="62">
        <v>24</v>
      </c>
      <c r="E538" s="61" t="s">
        <v>910</v>
      </c>
      <c r="F538" s="16" t="s">
        <v>379</v>
      </c>
      <c r="G538" s="10" t="s">
        <v>150</v>
      </c>
      <c r="H538" s="10" t="s">
        <v>849</v>
      </c>
      <c r="I538" s="62">
        <v>158</v>
      </c>
      <c r="J538" s="8" t="s">
        <v>846</v>
      </c>
      <c r="K538" s="10" t="s">
        <v>2372</v>
      </c>
      <c r="L538" s="10" t="s">
        <v>2373</v>
      </c>
      <c r="M538" s="10" t="s">
        <v>2372</v>
      </c>
      <c r="N538" s="10" t="s">
        <v>2373</v>
      </c>
      <c r="O538" s="10"/>
    </row>
    <row r="539" spans="1:15" ht="18" customHeight="1" x14ac:dyDescent="0.3">
      <c r="A539" s="24">
        <v>538</v>
      </c>
      <c r="B539" s="10" t="s">
        <v>193</v>
      </c>
      <c r="C539" s="10" t="s">
        <v>26</v>
      </c>
      <c r="D539" s="62">
        <v>24</v>
      </c>
      <c r="E539" s="61" t="s">
        <v>910</v>
      </c>
      <c r="F539" s="16" t="s">
        <v>379</v>
      </c>
      <c r="G539" s="10" t="s">
        <v>150</v>
      </c>
      <c r="H539" s="10" t="s">
        <v>850</v>
      </c>
      <c r="I539" s="62">
        <v>268</v>
      </c>
      <c r="J539" s="8" t="s">
        <v>2372</v>
      </c>
      <c r="K539" s="10" t="s">
        <v>2372</v>
      </c>
      <c r="L539" s="10" t="s">
        <v>2373</v>
      </c>
      <c r="M539" s="10" t="s">
        <v>2372</v>
      </c>
      <c r="N539" s="10" t="s">
        <v>2373</v>
      </c>
      <c r="O539" s="9"/>
    </row>
    <row r="540" spans="1:15" ht="18" customHeight="1" x14ac:dyDescent="0.3">
      <c r="A540" s="24">
        <v>539</v>
      </c>
      <c r="B540" s="10" t="s">
        <v>193</v>
      </c>
      <c r="C540" s="10" t="s">
        <v>26</v>
      </c>
      <c r="D540" s="62">
        <v>24</v>
      </c>
      <c r="E540" s="61" t="s">
        <v>910</v>
      </c>
      <c r="F540" s="16" t="s">
        <v>379</v>
      </c>
      <c r="G540" s="10" t="s">
        <v>150</v>
      </c>
      <c r="H540" s="10" t="s">
        <v>851</v>
      </c>
      <c r="I540" s="62">
        <v>389</v>
      </c>
      <c r="J540" s="8" t="s">
        <v>846</v>
      </c>
      <c r="K540" s="10" t="s">
        <v>847</v>
      </c>
      <c r="L540" s="10" t="s">
        <v>2373</v>
      </c>
      <c r="M540" s="10" t="s">
        <v>2372</v>
      </c>
      <c r="N540" s="10" t="s">
        <v>2373</v>
      </c>
      <c r="O540" s="10" t="s">
        <v>1077</v>
      </c>
    </row>
    <row r="541" spans="1:15" ht="18" customHeight="1" x14ac:dyDescent="0.3">
      <c r="A541" s="24">
        <v>540</v>
      </c>
      <c r="B541" s="10" t="s">
        <v>193</v>
      </c>
      <c r="C541" s="10" t="s">
        <v>26</v>
      </c>
      <c r="D541" s="62">
        <v>24</v>
      </c>
      <c r="E541" s="61" t="s">
        <v>910</v>
      </c>
      <c r="F541" s="16" t="s">
        <v>379</v>
      </c>
      <c r="G541" s="10" t="s">
        <v>150</v>
      </c>
      <c r="H541" s="10" t="s">
        <v>2382</v>
      </c>
      <c r="I541" s="62">
        <v>124</v>
      </c>
      <c r="J541" s="8" t="s">
        <v>2372</v>
      </c>
      <c r="K541" s="10" t="s">
        <v>847</v>
      </c>
      <c r="L541" s="10" t="s">
        <v>2373</v>
      </c>
      <c r="M541" s="10" t="s">
        <v>2372</v>
      </c>
      <c r="N541" s="10" t="s">
        <v>2373</v>
      </c>
      <c r="O541" s="10"/>
    </row>
    <row r="542" spans="1:15" ht="18" customHeight="1" x14ac:dyDescent="0.3">
      <c r="A542" s="24">
        <v>541</v>
      </c>
      <c r="B542" s="10" t="s">
        <v>193</v>
      </c>
      <c r="C542" s="10" t="s">
        <v>26</v>
      </c>
      <c r="D542" s="62">
        <v>24</v>
      </c>
      <c r="E542" s="61" t="s">
        <v>910</v>
      </c>
      <c r="F542" s="16" t="s">
        <v>379</v>
      </c>
      <c r="G542" s="10" t="s">
        <v>150</v>
      </c>
      <c r="H542" s="10" t="s">
        <v>853</v>
      </c>
      <c r="I542" s="62">
        <v>124</v>
      </c>
      <c r="J542" s="8" t="s">
        <v>2372</v>
      </c>
      <c r="K542" s="10" t="s">
        <v>2372</v>
      </c>
      <c r="L542" s="10" t="s">
        <v>2373</v>
      </c>
      <c r="M542" s="10" t="s">
        <v>2374</v>
      </c>
      <c r="N542" s="10" t="s">
        <v>2440</v>
      </c>
      <c r="O542" s="10"/>
    </row>
    <row r="543" spans="1:15" ht="18" customHeight="1" x14ac:dyDescent="0.3">
      <c r="A543" s="24">
        <v>542</v>
      </c>
      <c r="B543" s="10" t="s">
        <v>193</v>
      </c>
      <c r="C543" s="10" t="s">
        <v>26</v>
      </c>
      <c r="D543" s="62">
        <v>24</v>
      </c>
      <c r="E543" s="61" t="s">
        <v>910</v>
      </c>
      <c r="F543" s="16" t="s">
        <v>379</v>
      </c>
      <c r="G543" s="10" t="s">
        <v>150</v>
      </c>
      <c r="H543" s="10" t="s">
        <v>854</v>
      </c>
      <c r="I543" s="62">
        <v>306</v>
      </c>
      <c r="J543" s="8" t="s">
        <v>2372</v>
      </c>
      <c r="K543" s="10" t="s">
        <v>847</v>
      </c>
      <c r="L543" s="10" t="s">
        <v>2373</v>
      </c>
      <c r="M543" s="10" t="s">
        <v>2372</v>
      </c>
      <c r="N543" s="10" t="s">
        <v>2373</v>
      </c>
      <c r="O543" s="10"/>
    </row>
    <row r="544" spans="1:15" ht="18" customHeight="1" x14ac:dyDescent="0.3">
      <c r="A544" s="24">
        <v>543</v>
      </c>
      <c r="B544" s="10" t="s">
        <v>193</v>
      </c>
      <c r="C544" s="10" t="s">
        <v>26</v>
      </c>
      <c r="D544" s="62">
        <v>24</v>
      </c>
      <c r="E544" s="61" t="s">
        <v>910</v>
      </c>
      <c r="F544" s="16" t="s">
        <v>379</v>
      </c>
      <c r="G544" s="10" t="s">
        <v>150</v>
      </c>
      <c r="H544" s="10" t="s">
        <v>2515</v>
      </c>
      <c r="I544" s="62">
        <v>360</v>
      </c>
      <c r="J544" s="8" t="s">
        <v>2372</v>
      </c>
      <c r="K544" s="10" t="s">
        <v>847</v>
      </c>
      <c r="L544" s="10" t="s">
        <v>2373</v>
      </c>
      <c r="M544" s="10" t="s">
        <v>2372</v>
      </c>
      <c r="N544" s="10" t="s">
        <v>2373</v>
      </c>
      <c r="O544" s="10" t="s">
        <v>2976</v>
      </c>
    </row>
    <row r="545" spans="1:15" ht="18" customHeight="1" x14ac:dyDescent="0.3">
      <c r="A545" s="24">
        <v>544</v>
      </c>
      <c r="B545" s="10" t="s">
        <v>193</v>
      </c>
      <c r="C545" s="10" t="s">
        <v>26</v>
      </c>
      <c r="D545" s="62">
        <v>24</v>
      </c>
      <c r="E545" s="61" t="s">
        <v>910</v>
      </c>
      <c r="F545" s="16" t="s">
        <v>379</v>
      </c>
      <c r="G545" s="10" t="s">
        <v>150</v>
      </c>
      <c r="H545" s="10" t="s">
        <v>2471</v>
      </c>
      <c r="I545" s="62">
        <v>218</v>
      </c>
      <c r="J545" s="8" t="s">
        <v>2372</v>
      </c>
      <c r="K545" s="10" t="s">
        <v>847</v>
      </c>
      <c r="L545" s="10" t="s">
        <v>2373</v>
      </c>
      <c r="M545" s="10" t="s">
        <v>2372</v>
      </c>
      <c r="N545" s="10" t="s">
        <v>2373</v>
      </c>
      <c r="O545" s="10" t="s">
        <v>2977</v>
      </c>
    </row>
    <row r="546" spans="1:15" ht="18" customHeight="1" x14ac:dyDescent="0.3">
      <c r="A546" s="24">
        <v>545</v>
      </c>
      <c r="B546" s="10" t="s">
        <v>193</v>
      </c>
      <c r="C546" s="10" t="s">
        <v>26</v>
      </c>
      <c r="D546" s="62">
        <v>24</v>
      </c>
      <c r="E546" s="61" t="s">
        <v>910</v>
      </c>
      <c r="F546" s="16" t="s">
        <v>379</v>
      </c>
      <c r="G546" s="10" t="s">
        <v>150</v>
      </c>
      <c r="H546" s="10" t="s">
        <v>926</v>
      </c>
      <c r="I546" s="62">
        <v>192</v>
      </c>
      <c r="J546" s="8" t="s">
        <v>2372</v>
      </c>
      <c r="K546" s="10" t="s">
        <v>2374</v>
      </c>
      <c r="L546" s="10" t="s">
        <v>2428</v>
      </c>
      <c r="M546" s="10" t="s">
        <v>2372</v>
      </c>
      <c r="N546" s="10" t="s">
        <v>2373</v>
      </c>
      <c r="O546" s="10"/>
    </row>
    <row r="547" spans="1:15" ht="18" customHeight="1" x14ac:dyDescent="0.3">
      <c r="A547" s="24">
        <v>546</v>
      </c>
      <c r="B547" s="10" t="s">
        <v>193</v>
      </c>
      <c r="C547" s="10" t="s">
        <v>26</v>
      </c>
      <c r="D547" s="62">
        <v>24</v>
      </c>
      <c r="E547" s="61" t="s">
        <v>910</v>
      </c>
      <c r="F547" s="16" t="s">
        <v>379</v>
      </c>
      <c r="G547" s="10" t="s">
        <v>150</v>
      </c>
      <c r="H547" s="10" t="s">
        <v>911</v>
      </c>
      <c r="I547" s="62">
        <v>231</v>
      </c>
      <c r="J547" s="8" t="s">
        <v>2372</v>
      </c>
      <c r="K547" s="10" t="s">
        <v>847</v>
      </c>
      <c r="L547" s="10" t="s">
        <v>2373</v>
      </c>
      <c r="M547" s="10" t="s">
        <v>2372</v>
      </c>
      <c r="N547" s="10" t="s">
        <v>2373</v>
      </c>
      <c r="O547" s="10"/>
    </row>
    <row r="548" spans="1:15" ht="18" customHeight="1" x14ac:dyDescent="0.3">
      <c r="A548" s="24">
        <v>547</v>
      </c>
      <c r="B548" s="10" t="s">
        <v>193</v>
      </c>
      <c r="C548" s="10" t="s">
        <v>26</v>
      </c>
      <c r="D548" s="62">
        <v>24</v>
      </c>
      <c r="E548" s="61" t="s">
        <v>910</v>
      </c>
      <c r="F548" s="16" t="s">
        <v>379</v>
      </c>
      <c r="G548" s="10" t="s">
        <v>150</v>
      </c>
      <c r="H548" s="10" t="s">
        <v>1168</v>
      </c>
      <c r="I548" s="62">
        <v>416</v>
      </c>
      <c r="J548" s="8" t="s">
        <v>846</v>
      </c>
      <c r="K548" s="10" t="s">
        <v>847</v>
      </c>
      <c r="L548" s="10" t="s">
        <v>2373</v>
      </c>
      <c r="M548" s="10" t="s">
        <v>2372</v>
      </c>
      <c r="N548" s="10" t="s">
        <v>2373</v>
      </c>
      <c r="O548" s="10" t="s">
        <v>1077</v>
      </c>
    </row>
    <row r="549" spans="1:15" ht="18" customHeight="1" x14ac:dyDescent="0.3">
      <c r="A549" s="24">
        <v>548</v>
      </c>
      <c r="B549" s="10" t="s">
        <v>193</v>
      </c>
      <c r="C549" s="10" t="s">
        <v>26</v>
      </c>
      <c r="D549" s="62">
        <v>24</v>
      </c>
      <c r="E549" s="61" t="s">
        <v>910</v>
      </c>
      <c r="F549" s="16" t="s">
        <v>379</v>
      </c>
      <c r="G549" s="10" t="s">
        <v>150</v>
      </c>
      <c r="H549" s="10" t="s">
        <v>912</v>
      </c>
      <c r="I549" s="62">
        <v>132</v>
      </c>
      <c r="J549" s="8" t="s">
        <v>2372</v>
      </c>
      <c r="K549" s="10" t="s">
        <v>847</v>
      </c>
      <c r="L549" s="10" t="s">
        <v>2373</v>
      </c>
      <c r="M549" s="10" t="s">
        <v>2372</v>
      </c>
      <c r="N549" s="10" t="s">
        <v>2373</v>
      </c>
      <c r="O549" s="10"/>
    </row>
    <row r="550" spans="1:15" ht="18" customHeight="1" x14ac:dyDescent="0.3">
      <c r="A550" s="24">
        <v>549</v>
      </c>
      <c r="B550" s="10" t="s">
        <v>193</v>
      </c>
      <c r="C550" s="10" t="s">
        <v>26</v>
      </c>
      <c r="D550" s="62">
        <v>24</v>
      </c>
      <c r="E550" s="61" t="s">
        <v>910</v>
      </c>
      <c r="F550" s="16" t="s">
        <v>379</v>
      </c>
      <c r="G550" s="10" t="s">
        <v>150</v>
      </c>
      <c r="H550" s="10" t="s">
        <v>913</v>
      </c>
      <c r="I550" s="62">
        <v>132</v>
      </c>
      <c r="J550" s="8" t="s">
        <v>2372</v>
      </c>
      <c r="K550" s="10" t="s">
        <v>847</v>
      </c>
      <c r="L550" s="10" t="s">
        <v>2373</v>
      </c>
      <c r="M550" s="10" t="s">
        <v>2372</v>
      </c>
      <c r="N550" s="10" t="s">
        <v>2373</v>
      </c>
      <c r="O550" s="10"/>
    </row>
    <row r="551" spans="1:15" ht="18" customHeight="1" x14ac:dyDescent="0.3">
      <c r="A551" s="24">
        <v>550</v>
      </c>
      <c r="B551" s="10" t="s">
        <v>193</v>
      </c>
      <c r="C551" s="10" t="s">
        <v>26</v>
      </c>
      <c r="D551" s="62">
        <v>24</v>
      </c>
      <c r="E551" s="61" t="s">
        <v>910</v>
      </c>
      <c r="F551" s="16" t="s">
        <v>379</v>
      </c>
      <c r="G551" s="10" t="s">
        <v>150</v>
      </c>
      <c r="H551" s="10" t="s">
        <v>914</v>
      </c>
      <c r="I551" s="62">
        <v>160</v>
      </c>
      <c r="J551" s="8" t="s">
        <v>2372</v>
      </c>
      <c r="K551" s="10" t="s">
        <v>847</v>
      </c>
      <c r="L551" s="10" t="s">
        <v>2373</v>
      </c>
      <c r="M551" s="10" t="s">
        <v>2372</v>
      </c>
      <c r="N551" s="10" t="s">
        <v>2373</v>
      </c>
      <c r="O551" s="10"/>
    </row>
    <row r="552" spans="1:15" ht="18" customHeight="1" x14ac:dyDescent="0.3">
      <c r="A552" s="24">
        <v>551</v>
      </c>
      <c r="B552" s="10" t="s">
        <v>193</v>
      </c>
      <c r="C552" s="10" t="s">
        <v>26</v>
      </c>
      <c r="D552" s="62">
        <v>24</v>
      </c>
      <c r="E552" s="61" t="s">
        <v>910</v>
      </c>
      <c r="F552" s="16" t="s">
        <v>379</v>
      </c>
      <c r="G552" s="10" t="s">
        <v>150</v>
      </c>
      <c r="H552" s="10" t="s">
        <v>1151</v>
      </c>
      <c r="I552" s="62">
        <v>220</v>
      </c>
      <c r="J552" s="8" t="s">
        <v>846</v>
      </c>
      <c r="K552" s="10" t="s">
        <v>2374</v>
      </c>
      <c r="L552" s="173" t="s">
        <v>3502</v>
      </c>
      <c r="M552" s="10" t="s">
        <v>2372</v>
      </c>
      <c r="N552" s="10" t="s">
        <v>2373</v>
      </c>
      <c r="O552" s="10"/>
    </row>
    <row r="553" spans="1:15" ht="18" customHeight="1" x14ac:dyDescent="0.3">
      <c r="A553" s="24">
        <v>552</v>
      </c>
      <c r="B553" s="10" t="s">
        <v>193</v>
      </c>
      <c r="C553" s="10" t="s">
        <v>26</v>
      </c>
      <c r="D553" s="62">
        <v>24</v>
      </c>
      <c r="E553" s="61" t="s">
        <v>910</v>
      </c>
      <c r="F553" s="16" t="s">
        <v>379</v>
      </c>
      <c r="G553" s="10" t="s">
        <v>150</v>
      </c>
      <c r="H553" s="10" t="s">
        <v>1169</v>
      </c>
      <c r="I553" s="62">
        <v>383</v>
      </c>
      <c r="J553" s="8" t="s">
        <v>846</v>
      </c>
      <c r="K553" s="10" t="s">
        <v>847</v>
      </c>
      <c r="L553" s="10" t="s">
        <v>2373</v>
      </c>
      <c r="M553" s="10" t="s">
        <v>2372</v>
      </c>
      <c r="N553" s="10" t="s">
        <v>2373</v>
      </c>
      <c r="O553" s="10" t="s">
        <v>1077</v>
      </c>
    </row>
    <row r="554" spans="1:15" ht="18" customHeight="1" x14ac:dyDescent="0.3">
      <c r="A554" s="24">
        <v>553</v>
      </c>
      <c r="B554" s="10" t="s">
        <v>193</v>
      </c>
      <c r="C554" s="10" t="s">
        <v>26</v>
      </c>
      <c r="D554" s="62">
        <v>24</v>
      </c>
      <c r="E554" s="61" t="s">
        <v>910</v>
      </c>
      <c r="F554" s="16" t="s">
        <v>379</v>
      </c>
      <c r="G554" s="10" t="s">
        <v>150</v>
      </c>
      <c r="H554" s="10" t="s">
        <v>1170</v>
      </c>
      <c r="I554" s="62">
        <v>295</v>
      </c>
      <c r="J554" s="8" t="s">
        <v>846</v>
      </c>
      <c r="K554" s="10" t="s">
        <v>2374</v>
      </c>
      <c r="L554" s="10" t="s">
        <v>2446</v>
      </c>
      <c r="M554" s="10" t="s">
        <v>2372</v>
      </c>
      <c r="N554" s="10" t="s">
        <v>2373</v>
      </c>
      <c r="O554" s="10" t="s">
        <v>2447</v>
      </c>
    </row>
    <row r="555" spans="1:15" ht="18" customHeight="1" x14ac:dyDescent="0.3">
      <c r="A555" s="24">
        <v>554</v>
      </c>
      <c r="B555" s="10" t="s">
        <v>193</v>
      </c>
      <c r="C555" s="10" t="s">
        <v>26</v>
      </c>
      <c r="D555" s="62">
        <v>24</v>
      </c>
      <c r="E555" s="61" t="s">
        <v>1160</v>
      </c>
      <c r="F555" s="16" t="s">
        <v>379</v>
      </c>
      <c r="G555" s="10" t="s">
        <v>150</v>
      </c>
      <c r="H555" s="10" t="s">
        <v>2385</v>
      </c>
      <c r="I555" s="62">
        <v>32</v>
      </c>
      <c r="J555" s="8" t="s">
        <v>846</v>
      </c>
      <c r="K555" s="10" t="s">
        <v>2374</v>
      </c>
      <c r="L555" s="10" t="s">
        <v>2392</v>
      </c>
      <c r="M555" s="10" t="s">
        <v>2372</v>
      </c>
      <c r="N555" s="10" t="s">
        <v>2373</v>
      </c>
      <c r="O555" s="10"/>
    </row>
    <row r="556" spans="1:15" ht="18" customHeight="1" x14ac:dyDescent="0.3">
      <c r="A556" s="24">
        <v>555</v>
      </c>
      <c r="B556" s="10" t="s">
        <v>193</v>
      </c>
      <c r="C556" s="10" t="s">
        <v>26</v>
      </c>
      <c r="D556" s="62">
        <v>24</v>
      </c>
      <c r="E556" s="61" t="s">
        <v>1160</v>
      </c>
      <c r="F556" s="16" t="s">
        <v>379</v>
      </c>
      <c r="G556" s="10" t="s">
        <v>150</v>
      </c>
      <c r="H556" s="10" t="s">
        <v>2378</v>
      </c>
      <c r="I556" s="62">
        <v>32</v>
      </c>
      <c r="J556" s="8" t="s">
        <v>2372</v>
      </c>
      <c r="K556" s="10" t="s">
        <v>2374</v>
      </c>
      <c r="L556" s="10" t="s">
        <v>2392</v>
      </c>
      <c r="M556" s="10" t="s">
        <v>2372</v>
      </c>
      <c r="N556" s="10" t="s">
        <v>2373</v>
      </c>
      <c r="O556" s="10"/>
    </row>
    <row r="557" spans="1:15" ht="18" customHeight="1" x14ac:dyDescent="0.3">
      <c r="A557" s="24">
        <v>556</v>
      </c>
      <c r="B557" s="10" t="s">
        <v>193</v>
      </c>
      <c r="C557" s="10" t="s">
        <v>26</v>
      </c>
      <c r="D557" s="62">
        <v>24</v>
      </c>
      <c r="E557" s="61" t="s">
        <v>1160</v>
      </c>
      <c r="F557" s="16" t="s">
        <v>379</v>
      </c>
      <c r="G557" s="10" t="s">
        <v>150</v>
      </c>
      <c r="H557" s="10" t="s">
        <v>2516</v>
      </c>
      <c r="I557" s="62">
        <v>8</v>
      </c>
      <c r="J557" s="8" t="s">
        <v>2372</v>
      </c>
      <c r="K557" s="10" t="s">
        <v>2374</v>
      </c>
      <c r="L557" s="10" t="s">
        <v>2392</v>
      </c>
      <c r="M557" s="10" t="s">
        <v>2372</v>
      </c>
      <c r="N557" s="10" t="s">
        <v>2373</v>
      </c>
      <c r="O557" s="10"/>
    </row>
    <row r="558" spans="1:15" ht="18" customHeight="1" x14ac:dyDescent="0.3">
      <c r="A558" s="24">
        <v>557</v>
      </c>
      <c r="B558" s="10" t="s">
        <v>193</v>
      </c>
      <c r="C558" s="10" t="s">
        <v>26</v>
      </c>
      <c r="D558" s="62">
        <v>24</v>
      </c>
      <c r="E558" s="61" t="s">
        <v>2811</v>
      </c>
      <c r="F558" s="19" t="s">
        <v>2517</v>
      </c>
      <c r="G558" s="10" t="s">
        <v>150</v>
      </c>
      <c r="H558" s="10" t="s">
        <v>848</v>
      </c>
      <c r="I558" s="62">
        <v>183</v>
      </c>
      <c r="J558" s="10" t="s">
        <v>2374</v>
      </c>
      <c r="K558" s="10" t="s">
        <v>847</v>
      </c>
      <c r="L558" s="10" t="s">
        <v>2373</v>
      </c>
      <c r="M558" s="10" t="s">
        <v>2372</v>
      </c>
      <c r="N558" s="10" t="s">
        <v>2373</v>
      </c>
      <c r="O558" s="10"/>
    </row>
    <row r="559" spans="1:15" ht="18" customHeight="1" x14ac:dyDescent="0.3">
      <c r="A559" s="24">
        <v>558</v>
      </c>
      <c r="B559" s="10" t="s">
        <v>193</v>
      </c>
      <c r="C559" s="10" t="s">
        <v>26</v>
      </c>
      <c r="D559" s="62">
        <v>24</v>
      </c>
      <c r="E559" s="61" t="s">
        <v>2811</v>
      </c>
      <c r="F559" s="19" t="s">
        <v>1056</v>
      </c>
      <c r="G559" s="10" t="s">
        <v>150</v>
      </c>
      <c r="H559" s="10" t="s">
        <v>849</v>
      </c>
      <c r="I559" s="62">
        <v>310</v>
      </c>
      <c r="J559" s="10" t="s">
        <v>2374</v>
      </c>
      <c r="K559" s="10" t="s">
        <v>847</v>
      </c>
      <c r="L559" s="10" t="s">
        <v>2373</v>
      </c>
      <c r="M559" s="10" t="s">
        <v>2372</v>
      </c>
      <c r="N559" s="10" t="s">
        <v>2373</v>
      </c>
      <c r="O559" s="10"/>
    </row>
    <row r="560" spans="1:15" ht="18" customHeight="1" x14ac:dyDescent="0.3">
      <c r="A560" s="24">
        <v>559</v>
      </c>
      <c r="B560" s="10" t="s">
        <v>193</v>
      </c>
      <c r="C560" s="10" t="s">
        <v>26</v>
      </c>
      <c r="D560" s="62">
        <v>24</v>
      </c>
      <c r="E560" s="61" t="s">
        <v>2811</v>
      </c>
      <c r="F560" s="19" t="s">
        <v>1056</v>
      </c>
      <c r="G560" s="10" t="s">
        <v>150</v>
      </c>
      <c r="H560" s="10" t="s">
        <v>850</v>
      </c>
      <c r="I560" s="62">
        <v>235</v>
      </c>
      <c r="J560" s="10" t="s">
        <v>2374</v>
      </c>
      <c r="K560" s="10" t="s">
        <v>847</v>
      </c>
      <c r="L560" s="10" t="s">
        <v>2373</v>
      </c>
      <c r="M560" s="10" t="s">
        <v>2372</v>
      </c>
      <c r="N560" s="10" t="s">
        <v>2373</v>
      </c>
      <c r="O560" s="10"/>
    </row>
    <row r="561" spans="1:15" ht="18" customHeight="1" x14ac:dyDescent="0.3">
      <c r="A561" s="24">
        <v>560</v>
      </c>
      <c r="B561" s="10" t="s">
        <v>193</v>
      </c>
      <c r="C561" s="10" t="s">
        <v>26</v>
      </c>
      <c r="D561" s="62">
        <v>24</v>
      </c>
      <c r="E561" s="61" t="s">
        <v>2811</v>
      </c>
      <c r="F561" s="19" t="s">
        <v>1056</v>
      </c>
      <c r="G561" s="10" t="s">
        <v>150</v>
      </c>
      <c r="H561" s="10" t="s">
        <v>852</v>
      </c>
      <c r="I561" s="62">
        <v>78</v>
      </c>
      <c r="J561" s="10" t="s">
        <v>2372</v>
      </c>
      <c r="K561" s="10" t="s">
        <v>847</v>
      </c>
      <c r="L561" s="10" t="s">
        <v>2373</v>
      </c>
      <c r="M561" s="10" t="s">
        <v>2372</v>
      </c>
      <c r="N561" s="10" t="s">
        <v>2373</v>
      </c>
      <c r="O561" s="10"/>
    </row>
    <row r="562" spans="1:15" ht="18" customHeight="1" x14ac:dyDescent="0.3">
      <c r="A562" s="24">
        <v>561</v>
      </c>
      <c r="B562" s="10" t="s">
        <v>193</v>
      </c>
      <c r="C562" s="10" t="s">
        <v>26</v>
      </c>
      <c r="D562" s="62">
        <v>24</v>
      </c>
      <c r="E562" s="61" t="s">
        <v>2811</v>
      </c>
      <c r="F562" s="19" t="s">
        <v>2518</v>
      </c>
      <c r="G562" s="10" t="s">
        <v>150</v>
      </c>
      <c r="H562" s="10" t="s">
        <v>845</v>
      </c>
      <c r="I562" s="62">
        <v>187</v>
      </c>
      <c r="J562" s="10" t="s">
        <v>2374</v>
      </c>
      <c r="K562" s="10" t="s">
        <v>846</v>
      </c>
      <c r="L562" s="10" t="s">
        <v>985</v>
      </c>
      <c r="M562" s="10" t="s">
        <v>2372</v>
      </c>
      <c r="N562" s="10" t="s">
        <v>2373</v>
      </c>
      <c r="O562" s="10"/>
    </row>
    <row r="563" spans="1:15" ht="18" customHeight="1" x14ac:dyDescent="0.3">
      <c r="A563" s="24">
        <v>562</v>
      </c>
      <c r="B563" s="10" t="s">
        <v>193</v>
      </c>
      <c r="C563" s="10" t="s">
        <v>26</v>
      </c>
      <c r="D563" s="62">
        <v>24</v>
      </c>
      <c r="E563" s="61" t="s">
        <v>2811</v>
      </c>
      <c r="F563" s="19" t="s">
        <v>2518</v>
      </c>
      <c r="G563" s="10" t="s">
        <v>150</v>
      </c>
      <c r="H563" s="10" t="s">
        <v>923</v>
      </c>
      <c r="I563" s="62">
        <v>72</v>
      </c>
      <c r="J563" s="10" t="s">
        <v>2374</v>
      </c>
      <c r="K563" s="10" t="s">
        <v>846</v>
      </c>
      <c r="L563" s="10" t="s">
        <v>1516</v>
      </c>
      <c r="M563" s="10" t="s">
        <v>2372</v>
      </c>
      <c r="N563" s="10" t="s">
        <v>2373</v>
      </c>
      <c r="O563" s="10"/>
    </row>
    <row r="564" spans="1:15" ht="18" customHeight="1" x14ac:dyDescent="0.3">
      <c r="A564" s="24">
        <v>563</v>
      </c>
      <c r="B564" s="10" t="s">
        <v>193</v>
      </c>
      <c r="C564" s="10" t="s">
        <v>26</v>
      </c>
      <c r="D564" s="62">
        <v>24</v>
      </c>
      <c r="E564" s="61" t="s">
        <v>2811</v>
      </c>
      <c r="F564" s="19" t="s">
        <v>2518</v>
      </c>
      <c r="G564" s="10" t="s">
        <v>150</v>
      </c>
      <c r="H564" s="10" t="s">
        <v>988</v>
      </c>
      <c r="I564" s="62">
        <v>73</v>
      </c>
      <c r="J564" s="10" t="s">
        <v>2372</v>
      </c>
      <c r="K564" s="10" t="s">
        <v>2374</v>
      </c>
      <c r="L564" s="10" t="s">
        <v>989</v>
      </c>
      <c r="M564" s="10" t="s">
        <v>2372</v>
      </c>
      <c r="N564" s="10" t="s">
        <v>2373</v>
      </c>
      <c r="O564" s="10"/>
    </row>
    <row r="565" spans="1:15" ht="18" customHeight="1" x14ac:dyDescent="0.3">
      <c r="A565" s="24">
        <v>564</v>
      </c>
      <c r="B565" s="10" t="s">
        <v>193</v>
      </c>
      <c r="C565" s="10" t="s">
        <v>27</v>
      </c>
      <c r="D565" s="62">
        <v>25</v>
      </c>
      <c r="E565" s="61" t="s">
        <v>2519</v>
      </c>
      <c r="F565" s="16" t="s">
        <v>323</v>
      </c>
      <c r="G565" s="10" t="s">
        <v>160</v>
      </c>
      <c r="H565" s="10" t="s">
        <v>845</v>
      </c>
      <c r="I565" s="62">
        <v>249</v>
      </c>
      <c r="J565" s="10" t="s">
        <v>2372</v>
      </c>
      <c r="K565" s="10" t="s">
        <v>847</v>
      </c>
      <c r="L565" s="10" t="s">
        <v>2373</v>
      </c>
      <c r="M565" s="10" t="s">
        <v>2372</v>
      </c>
      <c r="N565" s="10" t="s">
        <v>2373</v>
      </c>
      <c r="O565" s="10"/>
    </row>
    <row r="566" spans="1:15" ht="18" customHeight="1" x14ac:dyDescent="0.3">
      <c r="A566" s="24">
        <v>565</v>
      </c>
      <c r="B566" s="10" t="s">
        <v>193</v>
      </c>
      <c r="C566" s="10" t="s">
        <v>27</v>
      </c>
      <c r="D566" s="62">
        <v>25</v>
      </c>
      <c r="E566" s="61" t="s">
        <v>2519</v>
      </c>
      <c r="F566" s="16" t="s">
        <v>323</v>
      </c>
      <c r="G566" s="10" t="s">
        <v>160</v>
      </c>
      <c r="H566" s="10" t="s">
        <v>848</v>
      </c>
      <c r="I566" s="62">
        <v>249</v>
      </c>
      <c r="J566" s="10" t="s">
        <v>2372</v>
      </c>
      <c r="K566" s="10" t="s">
        <v>847</v>
      </c>
      <c r="L566" s="10" t="s">
        <v>2373</v>
      </c>
      <c r="M566" s="10" t="s">
        <v>2372</v>
      </c>
      <c r="N566" s="10" t="s">
        <v>2373</v>
      </c>
      <c r="O566" s="10"/>
    </row>
    <row r="567" spans="1:15" ht="18" customHeight="1" x14ac:dyDescent="0.3">
      <c r="A567" s="24">
        <v>566</v>
      </c>
      <c r="B567" s="10" t="s">
        <v>193</v>
      </c>
      <c r="C567" s="10" t="s">
        <v>27</v>
      </c>
      <c r="D567" s="62">
        <v>25</v>
      </c>
      <c r="E567" s="61" t="s">
        <v>2519</v>
      </c>
      <c r="F567" s="16" t="s">
        <v>323</v>
      </c>
      <c r="G567" s="10" t="s">
        <v>160</v>
      </c>
      <c r="H567" s="10" t="s">
        <v>849</v>
      </c>
      <c r="I567" s="62">
        <v>249</v>
      </c>
      <c r="J567" s="10" t="s">
        <v>2372</v>
      </c>
      <c r="K567" s="10" t="s">
        <v>847</v>
      </c>
      <c r="L567" s="10" t="s">
        <v>2373</v>
      </c>
      <c r="M567" s="10" t="s">
        <v>2372</v>
      </c>
      <c r="N567" s="10" t="s">
        <v>2373</v>
      </c>
      <c r="O567" s="10"/>
    </row>
    <row r="568" spans="1:15" ht="18" customHeight="1" x14ac:dyDescent="0.3">
      <c r="A568" s="24">
        <v>567</v>
      </c>
      <c r="B568" s="10" t="s">
        <v>193</v>
      </c>
      <c r="C568" s="10" t="s">
        <v>27</v>
      </c>
      <c r="D568" s="62">
        <v>25</v>
      </c>
      <c r="E568" s="61" t="s">
        <v>2519</v>
      </c>
      <c r="F568" s="16" t="s">
        <v>323</v>
      </c>
      <c r="G568" s="10" t="s">
        <v>160</v>
      </c>
      <c r="H568" s="10" t="s">
        <v>850</v>
      </c>
      <c r="I568" s="62">
        <v>249</v>
      </c>
      <c r="J568" s="10" t="s">
        <v>2372</v>
      </c>
      <c r="K568" s="10" t="s">
        <v>847</v>
      </c>
      <c r="L568" s="10" t="s">
        <v>2373</v>
      </c>
      <c r="M568" s="10" t="s">
        <v>2372</v>
      </c>
      <c r="N568" s="10" t="s">
        <v>2373</v>
      </c>
      <c r="O568" s="10"/>
    </row>
    <row r="569" spans="1:15" ht="18" customHeight="1" x14ac:dyDescent="0.3">
      <c r="A569" s="24">
        <v>568</v>
      </c>
      <c r="B569" s="10" t="s">
        <v>193</v>
      </c>
      <c r="C569" s="10" t="s">
        <v>27</v>
      </c>
      <c r="D569" s="62">
        <v>25</v>
      </c>
      <c r="E569" s="61" t="s">
        <v>2519</v>
      </c>
      <c r="F569" s="16" t="s">
        <v>323</v>
      </c>
      <c r="G569" s="10" t="s">
        <v>160</v>
      </c>
      <c r="H569" s="10" t="s">
        <v>851</v>
      </c>
      <c r="I569" s="62">
        <v>74</v>
      </c>
      <c r="J569" s="10" t="s">
        <v>2372</v>
      </c>
      <c r="K569" s="10" t="s">
        <v>847</v>
      </c>
      <c r="L569" s="10" t="s">
        <v>2373</v>
      </c>
      <c r="M569" s="10" t="s">
        <v>2372</v>
      </c>
      <c r="N569" s="10" t="s">
        <v>2373</v>
      </c>
      <c r="O569" s="10"/>
    </row>
    <row r="570" spans="1:15" ht="18" customHeight="1" x14ac:dyDescent="0.3">
      <c r="A570" s="24">
        <v>569</v>
      </c>
      <c r="B570" s="10" t="s">
        <v>193</v>
      </c>
      <c r="C570" s="10" t="s">
        <v>27</v>
      </c>
      <c r="D570" s="62">
        <v>25</v>
      </c>
      <c r="E570" s="61" t="s">
        <v>2519</v>
      </c>
      <c r="F570" s="16" t="s">
        <v>323</v>
      </c>
      <c r="G570" s="10" t="s">
        <v>160</v>
      </c>
      <c r="H570" s="10" t="s">
        <v>852</v>
      </c>
      <c r="I570" s="62">
        <v>54</v>
      </c>
      <c r="J570" s="10" t="s">
        <v>2372</v>
      </c>
      <c r="K570" s="10" t="s">
        <v>847</v>
      </c>
      <c r="L570" s="10" t="s">
        <v>2373</v>
      </c>
      <c r="M570" s="10" t="s">
        <v>2372</v>
      </c>
      <c r="N570" s="10" t="s">
        <v>2373</v>
      </c>
      <c r="O570" s="10"/>
    </row>
    <row r="571" spans="1:15" ht="18" customHeight="1" x14ac:dyDescent="0.3">
      <c r="A571" s="24">
        <v>570</v>
      </c>
      <c r="B571" s="10" t="s">
        <v>193</v>
      </c>
      <c r="C571" s="10" t="s">
        <v>27</v>
      </c>
      <c r="D571" s="62">
        <v>25</v>
      </c>
      <c r="E571" s="61" t="s">
        <v>2519</v>
      </c>
      <c r="F571" s="16" t="s">
        <v>323</v>
      </c>
      <c r="G571" s="10" t="s">
        <v>160</v>
      </c>
      <c r="H571" s="10" t="s">
        <v>853</v>
      </c>
      <c r="I571" s="62">
        <v>74</v>
      </c>
      <c r="J571" s="10" t="s">
        <v>2372</v>
      </c>
      <c r="K571" s="10" t="s">
        <v>847</v>
      </c>
      <c r="L571" s="10" t="s">
        <v>2373</v>
      </c>
      <c r="M571" s="10" t="s">
        <v>2372</v>
      </c>
      <c r="N571" s="10" t="s">
        <v>2373</v>
      </c>
      <c r="O571" s="10"/>
    </row>
    <row r="572" spans="1:15" ht="18" customHeight="1" x14ac:dyDescent="0.3">
      <c r="A572" s="24">
        <v>571</v>
      </c>
      <c r="B572" s="10" t="s">
        <v>193</v>
      </c>
      <c r="C572" s="10" t="s">
        <v>27</v>
      </c>
      <c r="D572" s="62">
        <v>25</v>
      </c>
      <c r="E572" s="61" t="s">
        <v>2519</v>
      </c>
      <c r="F572" s="16" t="s">
        <v>323</v>
      </c>
      <c r="G572" s="10" t="s">
        <v>160</v>
      </c>
      <c r="H572" s="10" t="s">
        <v>854</v>
      </c>
      <c r="I572" s="62">
        <v>55</v>
      </c>
      <c r="J572" s="10" t="s">
        <v>2372</v>
      </c>
      <c r="K572" s="10" t="s">
        <v>847</v>
      </c>
      <c r="L572" s="10" t="s">
        <v>2373</v>
      </c>
      <c r="M572" s="10" t="s">
        <v>2372</v>
      </c>
      <c r="N572" s="10" t="s">
        <v>2373</v>
      </c>
      <c r="O572" s="10"/>
    </row>
    <row r="573" spans="1:15" ht="18" customHeight="1" x14ac:dyDescent="0.3">
      <c r="A573" s="24">
        <v>572</v>
      </c>
      <c r="B573" s="10" t="s">
        <v>193</v>
      </c>
      <c r="C573" s="10" t="s">
        <v>27</v>
      </c>
      <c r="D573" s="62">
        <v>25</v>
      </c>
      <c r="E573" s="61" t="s">
        <v>2519</v>
      </c>
      <c r="F573" s="16" t="s">
        <v>323</v>
      </c>
      <c r="G573" s="10" t="s">
        <v>160</v>
      </c>
      <c r="H573" s="10" t="s">
        <v>855</v>
      </c>
      <c r="I573" s="62">
        <v>64</v>
      </c>
      <c r="J573" s="10" t="s">
        <v>2372</v>
      </c>
      <c r="K573" s="10" t="s">
        <v>847</v>
      </c>
      <c r="L573" s="10" t="s">
        <v>2373</v>
      </c>
      <c r="M573" s="10" t="s">
        <v>2372</v>
      </c>
      <c r="N573" s="10" t="s">
        <v>2373</v>
      </c>
      <c r="O573" s="10"/>
    </row>
    <row r="574" spans="1:15" ht="18" customHeight="1" x14ac:dyDescent="0.3">
      <c r="A574" s="24">
        <v>573</v>
      </c>
      <c r="B574" s="10" t="s">
        <v>193</v>
      </c>
      <c r="C574" s="10" t="s">
        <v>27</v>
      </c>
      <c r="D574" s="62">
        <v>25</v>
      </c>
      <c r="E574" s="61" t="s">
        <v>2519</v>
      </c>
      <c r="F574" s="16" t="s">
        <v>323</v>
      </c>
      <c r="G574" s="10" t="s">
        <v>160</v>
      </c>
      <c r="H574" s="10" t="s">
        <v>869</v>
      </c>
      <c r="I574" s="62">
        <v>35</v>
      </c>
      <c r="J574" s="10" t="s">
        <v>2372</v>
      </c>
      <c r="K574" s="10" t="s">
        <v>847</v>
      </c>
      <c r="L574" s="10" t="s">
        <v>2373</v>
      </c>
      <c r="M574" s="10" t="s">
        <v>2372</v>
      </c>
      <c r="N574" s="10" t="s">
        <v>2373</v>
      </c>
      <c r="O574" s="10"/>
    </row>
    <row r="575" spans="1:15" ht="18" customHeight="1" x14ac:dyDescent="0.3">
      <c r="A575" s="24">
        <v>574</v>
      </c>
      <c r="B575" s="10" t="s">
        <v>193</v>
      </c>
      <c r="C575" s="10" t="s">
        <v>27</v>
      </c>
      <c r="D575" s="62">
        <v>25</v>
      </c>
      <c r="E575" s="61" t="s">
        <v>2812</v>
      </c>
      <c r="F575" s="11" t="s">
        <v>1048</v>
      </c>
      <c r="G575" s="10" t="s">
        <v>150</v>
      </c>
      <c r="H575" s="10" t="s">
        <v>849</v>
      </c>
      <c r="I575" s="62">
        <v>174</v>
      </c>
      <c r="J575" s="10" t="s">
        <v>2372</v>
      </c>
      <c r="K575" s="10" t="s">
        <v>847</v>
      </c>
      <c r="L575" s="10" t="s">
        <v>2373</v>
      </c>
      <c r="M575" s="10" t="s">
        <v>2372</v>
      </c>
      <c r="N575" s="10" t="s">
        <v>2373</v>
      </c>
      <c r="O575" s="10"/>
    </row>
    <row r="576" spans="1:15" ht="18" customHeight="1" x14ac:dyDescent="0.3">
      <c r="A576" s="24">
        <v>575</v>
      </c>
      <c r="B576" s="10" t="s">
        <v>193</v>
      </c>
      <c r="C576" s="10" t="s">
        <v>27</v>
      </c>
      <c r="D576" s="62">
        <v>25</v>
      </c>
      <c r="E576" s="61" t="s">
        <v>2812</v>
      </c>
      <c r="F576" s="11" t="s">
        <v>1048</v>
      </c>
      <c r="G576" s="10" t="s">
        <v>150</v>
      </c>
      <c r="H576" s="10" t="s">
        <v>850</v>
      </c>
      <c r="I576" s="62">
        <v>174</v>
      </c>
      <c r="J576" s="10" t="s">
        <v>2372</v>
      </c>
      <c r="K576" s="10" t="s">
        <v>847</v>
      </c>
      <c r="L576" s="10" t="s">
        <v>2373</v>
      </c>
      <c r="M576" s="10" t="s">
        <v>2372</v>
      </c>
      <c r="N576" s="10" t="s">
        <v>2373</v>
      </c>
      <c r="O576" s="10"/>
    </row>
    <row r="577" spans="1:15" ht="18" customHeight="1" x14ac:dyDescent="0.3">
      <c r="A577" s="24">
        <v>576</v>
      </c>
      <c r="B577" s="10" t="s">
        <v>193</v>
      </c>
      <c r="C577" s="10" t="s">
        <v>27</v>
      </c>
      <c r="D577" s="62">
        <v>25</v>
      </c>
      <c r="E577" s="61" t="s">
        <v>2812</v>
      </c>
      <c r="F577" s="11" t="s">
        <v>1048</v>
      </c>
      <c r="G577" s="10" t="s">
        <v>150</v>
      </c>
      <c r="H577" s="10" t="s">
        <v>921</v>
      </c>
      <c r="I577" s="62">
        <v>347</v>
      </c>
      <c r="J577" s="10" t="s">
        <v>2374</v>
      </c>
      <c r="K577" s="10" t="s">
        <v>846</v>
      </c>
      <c r="L577" s="10" t="s">
        <v>2414</v>
      </c>
      <c r="M577" s="10" t="s">
        <v>2372</v>
      </c>
      <c r="N577" s="10" t="s">
        <v>2373</v>
      </c>
      <c r="O577" s="10"/>
    </row>
    <row r="578" spans="1:15" ht="18" customHeight="1" x14ac:dyDescent="0.3">
      <c r="A578" s="24">
        <v>577</v>
      </c>
      <c r="B578" s="10" t="s">
        <v>193</v>
      </c>
      <c r="C578" s="10" t="s">
        <v>27</v>
      </c>
      <c r="D578" s="62">
        <v>25</v>
      </c>
      <c r="E578" s="61" t="s">
        <v>2812</v>
      </c>
      <c r="F578" s="11" t="s">
        <v>1048</v>
      </c>
      <c r="G578" s="10" t="s">
        <v>150</v>
      </c>
      <c r="H578" s="10" t="s">
        <v>988</v>
      </c>
      <c r="I578" s="62">
        <v>213</v>
      </c>
      <c r="J578" s="10" t="s">
        <v>2374</v>
      </c>
      <c r="K578" s="10" t="s">
        <v>846</v>
      </c>
      <c r="L578" s="10" t="s">
        <v>989</v>
      </c>
      <c r="M578" s="10" t="s">
        <v>2372</v>
      </c>
      <c r="N578" s="10" t="s">
        <v>2373</v>
      </c>
      <c r="O578" s="10"/>
    </row>
    <row r="579" spans="1:15" ht="18" customHeight="1" x14ac:dyDescent="0.3">
      <c r="A579" s="24">
        <v>578</v>
      </c>
      <c r="B579" s="10" t="s">
        <v>193</v>
      </c>
      <c r="C579" s="10" t="s">
        <v>27</v>
      </c>
      <c r="D579" s="62">
        <v>25</v>
      </c>
      <c r="E579" s="61" t="s">
        <v>2812</v>
      </c>
      <c r="F579" s="11" t="s">
        <v>319</v>
      </c>
      <c r="G579" s="10" t="s">
        <v>150</v>
      </c>
      <c r="H579" s="10" t="s">
        <v>845</v>
      </c>
      <c r="I579" s="62">
        <v>170</v>
      </c>
      <c r="J579" s="10" t="s">
        <v>2374</v>
      </c>
      <c r="K579" s="10" t="s">
        <v>847</v>
      </c>
      <c r="L579" s="10" t="s">
        <v>2373</v>
      </c>
      <c r="M579" s="10" t="s">
        <v>2372</v>
      </c>
      <c r="N579" s="10" t="s">
        <v>2373</v>
      </c>
      <c r="O579" s="10"/>
    </row>
    <row r="580" spans="1:15" ht="18" customHeight="1" x14ac:dyDescent="0.3">
      <c r="A580" s="24">
        <v>579</v>
      </c>
      <c r="B580" s="10" t="s">
        <v>193</v>
      </c>
      <c r="C580" s="10" t="s">
        <v>27</v>
      </c>
      <c r="D580" s="62">
        <v>25</v>
      </c>
      <c r="E580" s="61" t="s">
        <v>2812</v>
      </c>
      <c r="F580" s="11" t="s">
        <v>319</v>
      </c>
      <c r="G580" s="10" t="s">
        <v>150</v>
      </c>
      <c r="H580" s="10" t="s">
        <v>848</v>
      </c>
      <c r="I580" s="62">
        <v>162</v>
      </c>
      <c r="J580" s="10" t="s">
        <v>2374</v>
      </c>
      <c r="K580" s="10" t="s">
        <v>846</v>
      </c>
      <c r="L580" s="10" t="s">
        <v>985</v>
      </c>
      <c r="M580" s="10" t="s">
        <v>2372</v>
      </c>
      <c r="N580" s="10" t="s">
        <v>2373</v>
      </c>
      <c r="O580" s="10"/>
    </row>
    <row r="581" spans="1:15" ht="18" customHeight="1" x14ac:dyDescent="0.3">
      <c r="A581" s="24">
        <v>580</v>
      </c>
      <c r="B581" s="10" t="s">
        <v>193</v>
      </c>
      <c r="C581" s="10" t="s">
        <v>27</v>
      </c>
      <c r="D581" s="62">
        <v>25</v>
      </c>
      <c r="E581" s="61" t="s">
        <v>184</v>
      </c>
      <c r="F581" s="16" t="s">
        <v>321</v>
      </c>
      <c r="G581" s="10" t="s">
        <v>160</v>
      </c>
      <c r="H581" s="10" t="s">
        <v>845</v>
      </c>
      <c r="I581" s="62">
        <v>164</v>
      </c>
      <c r="J581" s="8" t="s">
        <v>2372</v>
      </c>
      <c r="K581" s="10" t="s">
        <v>847</v>
      </c>
      <c r="L581" s="10" t="s">
        <v>2373</v>
      </c>
      <c r="M581" s="10" t="s">
        <v>2372</v>
      </c>
      <c r="N581" s="10" t="s">
        <v>2373</v>
      </c>
      <c r="O581" s="10"/>
    </row>
    <row r="582" spans="1:15" ht="18" customHeight="1" x14ac:dyDescent="0.3">
      <c r="A582" s="24">
        <v>581</v>
      </c>
      <c r="B582" s="10" t="s">
        <v>193</v>
      </c>
      <c r="C582" s="10" t="s">
        <v>27</v>
      </c>
      <c r="D582" s="62">
        <v>25</v>
      </c>
      <c r="E582" s="61" t="s">
        <v>184</v>
      </c>
      <c r="F582" s="16" t="s">
        <v>321</v>
      </c>
      <c r="G582" s="10" t="s">
        <v>160</v>
      </c>
      <c r="H582" s="10" t="s">
        <v>848</v>
      </c>
      <c r="I582" s="62">
        <v>108</v>
      </c>
      <c r="J582" s="8" t="s">
        <v>2372</v>
      </c>
      <c r="K582" s="10" t="s">
        <v>847</v>
      </c>
      <c r="L582" s="10" t="s">
        <v>2373</v>
      </c>
      <c r="M582" s="10" t="s">
        <v>2372</v>
      </c>
      <c r="N582" s="10" t="s">
        <v>2373</v>
      </c>
      <c r="O582" s="10"/>
    </row>
    <row r="583" spans="1:15" ht="18" customHeight="1" x14ac:dyDescent="0.3">
      <c r="A583" s="24">
        <v>582</v>
      </c>
      <c r="B583" s="10" t="s">
        <v>193</v>
      </c>
      <c r="C583" s="10" t="s">
        <v>27</v>
      </c>
      <c r="D583" s="62">
        <v>25</v>
      </c>
      <c r="E583" s="61" t="s">
        <v>184</v>
      </c>
      <c r="F583" s="16" t="s">
        <v>321</v>
      </c>
      <c r="G583" s="10" t="s">
        <v>160</v>
      </c>
      <c r="H583" s="10" t="s">
        <v>849</v>
      </c>
      <c r="I583" s="62">
        <v>180</v>
      </c>
      <c r="J583" s="8" t="s">
        <v>2374</v>
      </c>
      <c r="K583" s="10" t="s">
        <v>847</v>
      </c>
      <c r="L583" s="10" t="s">
        <v>2373</v>
      </c>
      <c r="M583" s="10" t="s">
        <v>2372</v>
      </c>
      <c r="N583" s="10" t="s">
        <v>2373</v>
      </c>
      <c r="O583" s="10"/>
    </row>
    <row r="584" spans="1:15" ht="18" customHeight="1" x14ac:dyDescent="0.3">
      <c r="A584" s="24">
        <v>583</v>
      </c>
      <c r="B584" s="10" t="s">
        <v>193</v>
      </c>
      <c r="C584" s="10" t="s">
        <v>27</v>
      </c>
      <c r="D584" s="62">
        <v>25</v>
      </c>
      <c r="E584" s="61" t="s">
        <v>184</v>
      </c>
      <c r="F584" s="16" t="s">
        <v>321</v>
      </c>
      <c r="G584" s="10" t="s">
        <v>160</v>
      </c>
      <c r="H584" s="10" t="s">
        <v>850</v>
      </c>
      <c r="I584" s="177">
        <v>164</v>
      </c>
      <c r="J584" s="8" t="s">
        <v>2372</v>
      </c>
      <c r="K584" s="10" t="s">
        <v>847</v>
      </c>
      <c r="L584" s="10" t="s">
        <v>2373</v>
      </c>
      <c r="M584" s="10" t="s">
        <v>2372</v>
      </c>
      <c r="N584" s="10" t="s">
        <v>2373</v>
      </c>
      <c r="O584" s="10"/>
    </row>
    <row r="585" spans="1:15" ht="18" customHeight="1" x14ac:dyDescent="0.3">
      <c r="A585" s="24">
        <v>584</v>
      </c>
      <c r="B585" s="10" t="s">
        <v>193</v>
      </c>
      <c r="C585" s="10" t="s">
        <v>27</v>
      </c>
      <c r="D585" s="62">
        <v>25</v>
      </c>
      <c r="E585" s="61" t="s">
        <v>184</v>
      </c>
      <c r="F585" s="16" t="s">
        <v>321</v>
      </c>
      <c r="G585" s="10" t="s">
        <v>160</v>
      </c>
      <c r="H585" s="10" t="s">
        <v>851</v>
      </c>
      <c r="I585" s="177">
        <v>108</v>
      </c>
      <c r="J585" s="8" t="s">
        <v>2372</v>
      </c>
      <c r="K585" s="10" t="s">
        <v>847</v>
      </c>
      <c r="L585" s="10" t="s">
        <v>2373</v>
      </c>
      <c r="M585" s="10" t="s">
        <v>2372</v>
      </c>
      <c r="N585" s="10" t="s">
        <v>2373</v>
      </c>
      <c r="O585" s="10"/>
    </row>
    <row r="586" spans="1:15" ht="18" customHeight="1" x14ac:dyDescent="0.3">
      <c r="A586" s="24">
        <v>585</v>
      </c>
      <c r="B586" s="10" t="s">
        <v>193</v>
      </c>
      <c r="C586" s="10" t="s">
        <v>27</v>
      </c>
      <c r="D586" s="62">
        <v>25</v>
      </c>
      <c r="E586" s="61" t="s">
        <v>184</v>
      </c>
      <c r="F586" s="16" t="s">
        <v>321</v>
      </c>
      <c r="G586" s="10" t="s">
        <v>160</v>
      </c>
      <c r="H586" s="10" t="s">
        <v>852</v>
      </c>
      <c r="I586" s="177">
        <v>180</v>
      </c>
      <c r="J586" s="8" t="s">
        <v>2372</v>
      </c>
      <c r="K586" s="10" t="s">
        <v>847</v>
      </c>
      <c r="L586" s="10" t="s">
        <v>2373</v>
      </c>
      <c r="M586" s="10" t="s">
        <v>2372</v>
      </c>
      <c r="N586" s="10" t="s">
        <v>2373</v>
      </c>
      <c r="O586" s="10"/>
    </row>
    <row r="587" spans="1:15" ht="18" customHeight="1" x14ac:dyDescent="0.3">
      <c r="A587" s="24">
        <v>586</v>
      </c>
      <c r="B587" s="10" t="s">
        <v>193</v>
      </c>
      <c r="C587" s="10" t="s">
        <v>27</v>
      </c>
      <c r="D587" s="62">
        <v>25</v>
      </c>
      <c r="E587" s="61" t="s">
        <v>184</v>
      </c>
      <c r="F587" s="16" t="s">
        <v>321</v>
      </c>
      <c r="G587" s="10" t="s">
        <v>160</v>
      </c>
      <c r="H587" s="10" t="s">
        <v>853</v>
      </c>
      <c r="I587" s="62">
        <v>212</v>
      </c>
      <c r="J587" s="8" t="s">
        <v>2372</v>
      </c>
      <c r="K587" s="10" t="s">
        <v>847</v>
      </c>
      <c r="L587" s="10" t="s">
        <v>2373</v>
      </c>
      <c r="M587" s="10" t="s">
        <v>2372</v>
      </c>
      <c r="N587" s="10" t="s">
        <v>2373</v>
      </c>
      <c r="O587" s="10"/>
    </row>
    <row r="588" spans="1:15" ht="18" customHeight="1" x14ac:dyDescent="0.3">
      <c r="A588" s="24">
        <v>587</v>
      </c>
      <c r="B588" s="10" t="s">
        <v>193</v>
      </c>
      <c r="C588" s="10" t="s">
        <v>27</v>
      </c>
      <c r="D588" s="62">
        <v>25</v>
      </c>
      <c r="E588" s="61" t="s">
        <v>184</v>
      </c>
      <c r="F588" s="16" t="s">
        <v>321</v>
      </c>
      <c r="G588" s="10" t="s">
        <v>160</v>
      </c>
      <c r="H588" s="10" t="s">
        <v>854</v>
      </c>
      <c r="I588" s="62">
        <v>120</v>
      </c>
      <c r="J588" s="8" t="s">
        <v>2372</v>
      </c>
      <c r="K588" s="10" t="s">
        <v>847</v>
      </c>
      <c r="L588" s="10" t="s">
        <v>2373</v>
      </c>
      <c r="M588" s="10" t="s">
        <v>2372</v>
      </c>
      <c r="N588" s="10" t="s">
        <v>2373</v>
      </c>
      <c r="O588" s="10"/>
    </row>
    <row r="589" spans="1:15" ht="18" customHeight="1" x14ac:dyDescent="0.3">
      <c r="A589" s="24">
        <v>588</v>
      </c>
      <c r="B589" s="10" t="s">
        <v>193</v>
      </c>
      <c r="C589" s="10" t="s">
        <v>27</v>
      </c>
      <c r="D589" s="62">
        <v>25</v>
      </c>
      <c r="E589" s="61" t="s">
        <v>184</v>
      </c>
      <c r="F589" s="16" t="s">
        <v>321</v>
      </c>
      <c r="G589" s="10" t="s">
        <v>160</v>
      </c>
      <c r="H589" s="10" t="s">
        <v>855</v>
      </c>
      <c r="I589" s="62">
        <v>224</v>
      </c>
      <c r="J589" s="8" t="s">
        <v>2372</v>
      </c>
      <c r="K589" s="10" t="s">
        <v>847</v>
      </c>
      <c r="L589" s="10" t="s">
        <v>2373</v>
      </c>
      <c r="M589" s="10" t="s">
        <v>2372</v>
      </c>
      <c r="N589" s="10" t="s">
        <v>2373</v>
      </c>
      <c r="O589" s="10"/>
    </row>
    <row r="590" spans="1:15" ht="18" customHeight="1" x14ac:dyDescent="0.3">
      <c r="A590" s="24">
        <v>589</v>
      </c>
      <c r="B590" s="10" t="s">
        <v>193</v>
      </c>
      <c r="C590" s="10" t="s">
        <v>27</v>
      </c>
      <c r="D590" s="62">
        <v>25</v>
      </c>
      <c r="E590" s="61" t="s">
        <v>184</v>
      </c>
      <c r="F590" s="16" t="s">
        <v>321</v>
      </c>
      <c r="G590" s="10" t="s">
        <v>160</v>
      </c>
      <c r="H590" s="10" t="s">
        <v>869</v>
      </c>
      <c r="I590" s="62">
        <v>282</v>
      </c>
      <c r="J590" s="8" t="s">
        <v>2372</v>
      </c>
      <c r="K590" s="10" t="s">
        <v>847</v>
      </c>
      <c r="L590" s="10" t="s">
        <v>2373</v>
      </c>
      <c r="M590" s="10" t="s">
        <v>2372</v>
      </c>
      <c r="N590" s="10" t="s">
        <v>2373</v>
      </c>
      <c r="O590" s="10"/>
    </row>
    <row r="591" spans="1:15" ht="18" customHeight="1" x14ac:dyDescent="0.3">
      <c r="A591" s="24">
        <v>590</v>
      </c>
      <c r="B591" s="10" t="s">
        <v>196</v>
      </c>
      <c r="C591" s="10" t="s">
        <v>4</v>
      </c>
      <c r="D591" s="62">
        <v>26</v>
      </c>
      <c r="E591" s="61" t="s">
        <v>262</v>
      </c>
      <c r="F591" s="27" t="s">
        <v>436</v>
      </c>
      <c r="G591" s="10" t="s">
        <v>160</v>
      </c>
      <c r="H591" s="10" t="s">
        <v>845</v>
      </c>
      <c r="I591" s="62">
        <v>206</v>
      </c>
      <c r="J591" s="10" t="s">
        <v>2372</v>
      </c>
      <c r="K591" s="10" t="s">
        <v>847</v>
      </c>
      <c r="L591" s="10" t="s">
        <v>2373</v>
      </c>
      <c r="M591" s="10" t="s">
        <v>2372</v>
      </c>
      <c r="N591" s="10" t="s">
        <v>2373</v>
      </c>
      <c r="O591" s="10"/>
    </row>
    <row r="592" spans="1:15" ht="18" customHeight="1" x14ac:dyDescent="0.3">
      <c r="A592" s="24">
        <v>591</v>
      </c>
      <c r="B592" s="10" t="s">
        <v>196</v>
      </c>
      <c r="C592" s="10" t="s">
        <v>4</v>
      </c>
      <c r="D592" s="62">
        <v>26</v>
      </c>
      <c r="E592" s="61" t="s">
        <v>262</v>
      </c>
      <c r="F592" s="27" t="s">
        <v>436</v>
      </c>
      <c r="G592" s="10" t="s">
        <v>160</v>
      </c>
      <c r="H592" s="10" t="s">
        <v>848</v>
      </c>
      <c r="I592" s="62">
        <v>164</v>
      </c>
      <c r="J592" s="10" t="s">
        <v>2374</v>
      </c>
      <c r="K592" s="10" t="s">
        <v>847</v>
      </c>
      <c r="L592" s="10" t="s">
        <v>2373</v>
      </c>
      <c r="M592" s="10" t="s">
        <v>2372</v>
      </c>
      <c r="N592" s="10" t="s">
        <v>2373</v>
      </c>
      <c r="O592" s="10"/>
    </row>
    <row r="593" spans="1:15" ht="18" customHeight="1" x14ac:dyDescent="0.3">
      <c r="A593" s="24">
        <v>592</v>
      </c>
      <c r="B593" s="10" t="s">
        <v>196</v>
      </c>
      <c r="C593" s="10" t="s">
        <v>4</v>
      </c>
      <c r="D593" s="62">
        <v>26</v>
      </c>
      <c r="E593" s="61" t="s">
        <v>262</v>
      </c>
      <c r="F593" s="27" t="s">
        <v>436</v>
      </c>
      <c r="G593" s="10" t="s">
        <v>160</v>
      </c>
      <c r="H593" s="10" t="s">
        <v>849</v>
      </c>
      <c r="I593" s="62">
        <v>130</v>
      </c>
      <c r="J593" s="10" t="s">
        <v>2372</v>
      </c>
      <c r="K593" s="10" t="s">
        <v>847</v>
      </c>
      <c r="L593" s="10" t="s">
        <v>2373</v>
      </c>
      <c r="M593" s="10" t="s">
        <v>2372</v>
      </c>
      <c r="N593" s="10" t="s">
        <v>2373</v>
      </c>
      <c r="O593" s="10"/>
    </row>
    <row r="594" spans="1:15" ht="18" customHeight="1" x14ac:dyDescent="0.3">
      <c r="A594" s="24">
        <v>593</v>
      </c>
      <c r="B594" s="10" t="s">
        <v>196</v>
      </c>
      <c r="C594" s="10" t="s">
        <v>4</v>
      </c>
      <c r="D594" s="62">
        <v>26</v>
      </c>
      <c r="E594" s="61" t="s">
        <v>262</v>
      </c>
      <c r="F594" s="27" t="s">
        <v>436</v>
      </c>
      <c r="G594" s="10" t="s">
        <v>160</v>
      </c>
      <c r="H594" s="10" t="s">
        <v>850</v>
      </c>
      <c r="I594" s="62">
        <v>151</v>
      </c>
      <c r="J594" s="10" t="s">
        <v>2372</v>
      </c>
      <c r="K594" s="10" t="s">
        <v>847</v>
      </c>
      <c r="L594" s="10" t="s">
        <v>2373</v>
      </c>
      <c r="M594" s="10" t="s">
        <v>2372</v>
      </c>
      <c r="N594" s="10" t="s">
        <v>2373</v>
      </c>
      <c r="O594" s="10"/>
    </row>
    <row r="595" spans="1:15" ht="18" customHeight="1" x14ac:dyDescent="0.3">
      <c r="A595" s="24">
        <v>594</v>
      </c>
      <c r="B595" s="10" t="s">
        <v>196</v>
      </c>
      <c r="C595" s="10" t="s">
        <v>4</v>
      </c>
      <c r="D595" s="62">
        <v>26</v>
      </c>
      <c r="E595" s="61" t="s">
        <v>262</v>
      </c>
      <c r="F595" s="27" t="s">
        <v>436</v>
      </c>
      <c r="G595" s="10" t="s">
        <v>160</v>
      </c>
      <c r="H595" s="10" t="s">
        <v>851</v>
      </c>
      <c r="I595" s="62">
        <v>148</v>
      </c>
      <c r="J595" s="10" t="s">
        <v>2372</v>
      </c>
      <c r="K595" s="10" t="s">
        <v>847</v>
      </c>
      <c r="L595" s="10" t="s">
        <v>2373</v>
      </c>
      <c r="M595" s="10" t="s">
        <v>2372</v>
      </c>
      <c r="N595" s="10" t="s">
        <v>2373</v>
      </c>
      <c r="O595" s="10"/>
    </row>
    <row r="596" spans="1:15" ht="18" customHeight="1" x14ac:dyDescent="0.3">
      <c r="A596" s="24">
        <v>595</v>
      </c>
      <c r="B596" s="10" t="s">
        <v>196</v>
      </c>
      <c r="C596" s="10" t="s">
        <v>4</v>
      </c>
      <c r="D596" s="62">
        <v>26</v>
      </c>
      <c r="E596" s="61" t="s">
        <v>262</v>
      </c>
      <c r="F596" s="27" t="s">
        <v>436</v>
      </c>
      <c r="G596" s="10" t="s">
        <v>160</v>
      </c>
      <c r="H596" s="10" t="s">
        <v>852</v>
      </c>
      <c r="I596" s="62">
        <v>154</v>
      </c>
      <c r="J596" s="10" t="s">
        <v>2372</v>
      </c>
      <c r="K596" s="10" t="s">
        <v>847</v>
      </c>
      <c r="L596" s="10" t="s">
        <v>2373</v>
      </c>
      <c r="M596" s="10" t="s">
        <v>2372</v>
      </c>
      <c r="N596" s="10" t="s">
        <v>2373</v>
      </c>
      <c r="O596" s="10"/>
    </row>
    <row r="597" spans="1:15" ht="18" customHeight="1" x14ac:dyDescent="0.3">
      <c r="A597" s="24">
        <v>596</v>
      </c>
      <c r="B597" s="10" t="s">
        <v>196</v>
      </c>
      <c r="C597" s="10" t="s">
        <v>4</v>
      </c>
      <c r="D597" s="62">
        <v>26</v>
      </c>
      <c r="E597" s="61" t="s">
        <v>262</v>
      </c>
      <c r="F597" s="27" t="s">
        <v>436</v>
      </c>
      <c r="G597" s="10" t="s">
        <v>160</v>
      </c>
      <c r="H597" s="10" t="s">
        <v>853</v>
      </c>
      <c r="I597" s="62">
        <v>153</v>
      </c>
      <c r="J597" s="10" t="s">
        <v>2372</v>
      </c>
      <c r="K597" s="10" t="s">
        <v>847</v>
      </c>
      <c r="L597" s="10" t="s">
        <v>2373</v>
      </c>
      <c r="M597" s="10" t="s">
        <v>2372</v>
      </c>
      <c r="N597" s="10" t="s">
        <v>2373</v>
      </c>
      <c r="O597" s="10"/>
    </row>
    <row r="598" spans="1:15" ht="18" customHeight="1" x14ac:dyDescent="0.3">
      <c r="A598" s="24">
        <v>597</v>
      </c>
      <c r="B598" s="10" t="s">
        <v>196</v>
      </c>
      <c r="C598" s="10" t="s">
        <v>4</v>
      </c>
      <c r="D598" s="62">
        <v>26</v>
      </c>
      <c r="E598" s="61" t="s">
        <v>262</v>
      </c>
      <c r="F598" s="27" t="s">
        <v>436</v>
      </c>
      <c r="G598" s="10" t="s">
        <v>160</v>
      </c>
      <c r="H598" s="10" t="s">
        <v>854</v>
      </c>
      <c r="I598" s="62">
        <v>134</v>
      </c>
      <c r="J598" s="10" t="s">
        <v>2374</v>
      </c>
      <c r="K598" s="10" t="s">
        <v>847</v>
      </c>
      <c r="L598" s="10" t="s">
        <v>2373</v>
      </c>
      <c r="M598" s="10" t="s">
        <v>2372</v>
      </c>
      <c r="N598" s="10" t="s">
        <v>2373</v>
      </c>
      <c r="O598" s="10"/>
    </row>
    <row r="599" spans="1:15" ht="18" customHeight="1" x14ac:dyDescent="0.3">
      <c r="A599" s="24">
        <v>598</v>
      </c>
      <c r="B599" s="10" t="s">
        <v>196</v>
      </c>
      <c r="C599" s="10" t="s">
        <v>4</v>
      </c>
      <c r="D599" s="62">
        <v>26</v>
      </c>
      <c r="E599" s="61" t="s">
        <v>262</v>
      </c>
      <c r="F599" s="27" t="s">
        <v>436</v>
      </c>
      <c r="G599" s="10" t="s">
        <v>160</v>
      </c>
      <c r="H599" s="10" t="s">
        <v>873</v>
      </c>
      <c r="I599" s="62">
        <v>132</v>
      </c>
      <c r="J599" s="10" t="s">
        <v>2372</v>
      </c>
      <c r="K599" s="10" t="s">
        <v>847</v>
      </c>
      <c r="L599" s="10" t="s">
        <v>2373</v>
      </c>
      <c r="M599" s="10" t="s">
        <v>2372</v>
      </c>
      <c r="N599" s="10" t="s">
        <v>2373</v>
      </c>
      <c r="O599" s="10" t="s">
        <v>2483</v>
      </c>
    </row>
    <row r="600" spans="1:15" ht="18" customHeight="1" x14ac:dyDescent="0.3">
      <c r="A600" s="24">
        <v>599</v>
      </c>
      <c r="B600" s="10" t="s">
        <v>196</v>
      </c>
      <c r="C600" s="10" t="s">
        <v>4</v>
      </c>
      <c r="D600" s="62">
        <v>26</v>
      </c>
      <c r="E600" s="61" t="s">
        <v>215</v>
      </c>
      <c r="F600" s="27" t="s">
        <v>434</v>
      </c>
      <c r="G600" s="10" t="s">
        <v>150</v>
      </c>
      <c r="H600" s="10" t="s">
        <v>845</v>
      </c>
      <c r="I600" s="62">
        <v>221</v>
      </c>
      <c r="J600" s="8" t="s">
        <v>846</v>
      </c>
      <c r="K600" s="10" t="s">
        <v>847</v>
      </c>
      <c r="L600" s="10" t="s">
        <v>2373</v>
      </c>
      <c r="M600" s="10" t="s">
        <v>2372</v>
      </c>
      <c r="N600" s="10" t="s">
        <v>2373</v>
      </c>
      <c r="O600" s="10"/>
    </row>
    <row r="601" spans="1:15" ht="18" customHeight="1" x14ac:dyDescent="0.3">
      <c r="A601" s="24">
        <v>600</v>
      </c>
      <c r="B601" s="10" t="s">
        <v>196</v>
      </c>
      <c r="C601" s="10" t="s">
        <v>4</v>
      </c>
      <c r="D601" s="62">
        <v>26</v>
      </c>
      <c r="E601" s="61" t="s">
        <v>215</v>
      </c>
      <c r="F601" s="27" t="s">
        <v>434</v>
      </c>
      <c r="G601" s="10" t="s">
        <v>150</v>
      </c>
      <c r="H601" s="10" t="s">
        <v>848</v>
      </c>
      <c r="I601" s="62">
        <v>179</v>
      </c>
      <c r="J601" s="8" t="s">
        <v>2372</v>
      </c>
      <c r="K601" s="10" t="s">
        <v>847</v>
      </c>
      <c r="L601" s="10" t="s">
        <v>2373</v>
      </c>
      <c r="M601" s="10" t="s">
        <v>2372</v>
      </c>
      <c r="N601" s="10" t="s">
        <v>2373</v>
      </c>
      <c r="O601" s="10"/>
    </row>
    <row r="602" spans="1:15" ht="18" customHeight="1" x14ac:dyDescent="0.3">
      <c r="A602" s="24">
        <v>601</v>
      </c>
      <c r="B602" s="10" t="s">
        <v>196</v>
      </c>
      <c r="C602" s="10" t="s">
        <v>4</v>
      </c>
      <c r="D602" s="62">
        <v>26</v>
      </c>
      <c r="E602" s="61" t="s">
        <v>215</v>
      </c>
      <c r="F602" s="27" t="s">
        <v>434</v>
      </c>
      <c r="G602" s="10" t="s">
        <v>150</v>
      </c>
      <c r="H602" s="10" t="s">
        <v>849</v>
      </c>
      <c r="I602" s="62">
        <v>182</v>
      </c>
      <c r="J602" s="8" t="s">
        <v>2372</v>
      </c>
      <c r="K602" s="10" t="s">
        <v>847</v>
      </c>
      <c r="L602" s="10" t="s">
        <v>2373</v>
      </c>
      <c r="M602" s="10" t="s">
        <v>2372</v>
      </c>
      <c r="N602" s="10" t="s">
        <v>2373</v>
      </c>
      <c r="O602" s="10"/>
    </row>
    <row r="603" spans="1:15" ht="18" customHeight="1" x14ac:dyDescent="0.3">
      <c r="A603" s="24">
        <v>602</v>
      </c>
      <c r="B603" s="10" t="s">
        <v>196</v>
      </c>
      <c r="C603" s="10" t="s">
        <v>4</v>
      </c>
      <c r="D603" s="62">
        <v>26</v>
      </c>
      <c r="E603" s="61" t="s">
        <v>215</v>
      </c>
      <c r="F603" s="27" t="s">
        <v>434</v>
      </c>
      <c r="G603" s="10" t="s">
        <v>150</v>
      </c>
      <c r="H603" s="10" t="s">
        <v>850</v>
      </c>
      <c r="I603" s="62">
        <v>109</v>
      </c>
      <c r="J603" s="8" t="s">
        <v>846</v>
      </c>
      <c r="K603" s="10" t="s">
        <v>847</v>
      </c>
      <c r="L603" s="10" t="s">
        <v>2373</v>
      </c>
      <c r="M603" s="10" t="s">
        <v>2372</v>
      </c>
      <c r="N603" s="10" t="s">
        <v>2373</v>
      </c>
      <c r="O603" s="10"/>
    </row>
    <row r="604" spans="1:15" ht="18" customHeight="1" x14ac:dyDescent="0.3">
      <c r="A604" s="24">
        <v>603</v>
      </c>
      <c r="B604" s="10" t="s">
        <v>196</v>
      </c>
      <c r="C604" s="10" t="s">
        <v>4</v>
      </c>
      <c r="D604" s="62">
        <v>26</v>
      </c>
      <c r="E604" s="61" t="s">
        <v>215</v>
      </c>
      <c r="F604" s="27" t="s">
        <v>434</v>
      </c>
      <c r="G604" s="10" t="s">
        <v>150</v>
      </c>
      <c r="H604" s="10" t="s">
        <v>851</v>
      </c>
      <c r="I604" s="62">
        <v>155</v>
      </c>
      <c r="J604" s="8" t="s">
        <v>2372</v>
      </c>
      <c r="K604" s="10" t="s">
        <v>847</v>
      </c>
      <c r="L604" s="10" t="s">
        <v>2373</v>
      </c>
      <c r="M604" s="10" t="s">
        <v>2372</v>
      </c>
      <c r="N604" s="10" t="s">
        <v>2373</v>
      </c>
      <c r="O604" s="10"/>
    </row>
    <row r="605" spans="1:15" ht="18" customHeight="1" x14ac:dyDescent="0.3">
      <c r="A605" s="24">
        <v>604</v>
      </c>
      <c r="B605" s="10" t="s">
        <v>196</v>
      </c>
      <c r="C605" s="10" t="s">
        <v>4</v>
      </c>
      <c r="D605" s="62">
        <v>26</v>
      </c>
      <c r="E605" s="61" t="s">
        <v>215</v>
      </c>
      <c r="F605" s="27" t="s">
        <v>434</v>
      </c>
      <c r="G605" s="10" t="s">
        <v>150</v>
      </c>
      <c r="H605" s="10" t="s">
        <v>852</v>
      </c>
      <c r="I605" s="62">
        <v>136</v>
      </c>
      <c r="J605" s="8" t="s">
        <v>2372</v>
      </c>
      <c r="K605" s="10" t="s">
        <v>847</v>
      </c>
      <c r="L605" s="10" t="s">
        <v>2373</v>
      </c>
      <c r="M605" s="10" t="s">
        <v>2372</v>
      </c>
      <c r="N605" s="10" t="s">
        <v>2373</v>
      </c>
      <c r="O605" s="10"/>
    </row>
    <row r="606" spans="1:15" ht="18" customHeight="1" x14ac:dyDescent="0.3">
      <c r="A606" s="24">
        <v>605</v>
      </c>
      <c r="B606" s="10" t="s">
        <v>196</v>
      </c>
      <c r="C606" s="10" t="s">
        <v>4</v>
      </c>
      <c r="D606" s="62">
        <v>26</v>
      </c>
      <c r="E606" s="61" t="s">
        <v>907</v>
      </c>
      <c r="F606" s="27" t="s">
        <v>1043</v>
      </c>
      <c r="G606" s="10" t="s">
        <v>150</v>
      </c>
      <c r="H606" s="10" t="s">
        <v>849</v>
      </c>
      <c r="I606" s="62">
        <v>192</v>
      </c>
      <c r="J606" s="8" t="s">
        <v>2372</v>
      </c>
      <c r="K606" s="10" t="s">
        <v>847</v>
      </c>
      <c r="L606" s="10" t="s">
        <v>2373</v>
      </c>
      <c r="M606" s="10" t="s">
        <v>2372</v>
      </c>
      <c r="N606" s="10" t="s">
        <v>2373</v>
      </c>
      <c r="O606" s="10"/>
    </row>
    <row r="607" spans="1:15" ht="18" customHeight="1" x14ac:dyDescent="0.3">
      <c r="A607" s="24">
        <v>606</v>
      </c>
      <c r="B607" s="10" t="s">
        <v>196</v>
      </c>
      <c r="C607" s="10" t="s">
        <v>4</v>
      </c>
      <c r="D607" s="62">
        <v>26</v>
      </c>
      <c r="E607" s="61" t="s">
        <v>907</v>
      </c>
      <c r="F607" s="27" t="s">
        <v>1043</v>
      </c>
      <c r="G607" s="10" t="s">
        <v>150</v>
      </c>
      <c r="H607" s="10" t="s">
        <v>850</v>
      </c>
      <c r="I607" s="62">
        <v>176</v>
      </c>
      <c r="J607" s="8" t="s">
        <v>2372</v>
      </c>
      <c r="K607" s="10" t="s">
        <v>847</v>
      </c>
      <c r="L607" s="10" t="s">
        <v>2373</v>
      </c>
      <c r="M607" s="10" t="s">
        <v>2372</v>
      </c>
      <c r="N607" s="10" t="s">
        <v>2373</v>
      </c>
      <c r="O607" s="10"/>
    </row>
    <row r="608" spans="1:15" ht="18" customHeight="1" x14ac:dyDescent="0.3">
      <c r="A608" s="24">
        <v>607</v>
      </c>
      <c r="B608" s="10" t="s">
        <v>196</v>
      </c>
      <c r="C608" s="10" t="s">
        <v>4</v>
      </c>
      <c r="D608" s="62">
        <v>26</v>
      </c>
      <c r="E608" s="61" t="s">
        <v>907</v>
      </c>
      <c r="F608" s="27" t="s">
        <v>1043</v>
      </c>
      <c r="G608" s="10" t="s">
        <v>150</v>
      </c>
      <c r="H608" s="10" t="s">
        <v>851</v>
      </c>
      <c r="I608" s="62">
        <v>144</v>
      </c>
      <c r="J608" s="8" t="s">
        <v>2372</v>
      </c>
      <c r="K608" s="10" t="s">
        <v>847</v>
      </c>
      <c r="L608" s="10" t="s">
        <v>2373</v>
      </c>
      <c r="M608" s="10" t="s">
        <v>2372</v>
      </c>
      <c r="N608" s="10" t="s">
        <v>2373</v>
      </c>
      <c r="O608" s="10"/>
    </row>
    <row r="609" spans="1:15" ht="18" customHeight="1" x14ac:dyDescent="0.3">
      <c r="A609" s="24">
        <v>608</v>
      </c>
      <c r="B609" s="10" t="s">
        <v>196</v>
      </c>
      <c r="C609" s="10" t="s">
        <v>4</v>
      </c>
      <c r="D609" s="62">
        <v>26</v>
      </c>
      <c r="E609" s="61" t="s">
        <v>907</v>
      </c>
      <c r="F609" s="27" t="s">
        <v>1043</v>
      </c>
      <c r="G609" s="10" t="s">
        <v>150</v>
      </c>
      <c r="H609" s="10" t="s">
        <v>852</v>
      </c>
      <c r="I609" s="62">
        <v>176</v>
      </c>
      <c r="J609" s="8" t="s">
        <v>2372</v>
      </c>
      <c r="K609" s="10" t="s">
        <v>847</v>
      </c>
      <c r="L609" s="10" t="s">
        <v>2373</v>
      </c>
      <c r="M609" s="10" t="s">
        <v>2372</v>
      </c>
      <c r="N609" s="10" t="s">
        <v>2373</v>
      </c>
      <c r="O609" s="10"/>
    </row>
    <row r="610" spans="1:15" ht="18" customHeight="1" x14ac:dyDescent="0.3">
      <c r="A610" s="24">
        <v>609</v>
      </c>
      <c r="B610" s="10" t="s">
        <v>196</v>
      </c>
      <c r="C610" s="10" t="s">
        <v>4</v>
      </c>
      <c r="D610" s="62">
        <v>26</v>
      </c>
      <c r="E610" s="61" t="s">
        <v>907</v>
      </c>
      <c r="F610" s="27" t="s">
        <v>1043</v>
      </c>
      <c r="G610" s="10" t="s">
        <v>150</v>
      </c>
      <c r="H610" s="10" t="s">
        <v>853</v>
      </c>
      <c r="I610" s="62">
        <v>132</v>
      </c>
      <c r="J610" s="8" t="s">
        <v>846</v>
      </c>
      <c r="K610" s="10" t="s">
        <v>846</v>
      </c>
      <c r="L610" s="10" t="s">
        <v>1302</v>
      </c>
      <c r="M610" s="10" t="s">
        <v>2372</v>
      </c>
      <c r="N610" s="10" t="s">
        <v>2373</v>
      </c>
      <c r="O610" s="10"/>
    </row>
    <row r="611" spans="1:15" ht="18" customHeight="1" x14ac:dyDescent="0.3">
      <c r="A611" s="24">
        <v>610</v>
      </c>
      <c r="B611" s="10" t="s">
        <v>196</v>
      </c>
      <c r="C611" s="10" t="s">
        <v>4</v>
      </c>
      <c r="D611" s="62">
        <v>26</v>
      </c>
      <c r="E611" s="61" t="s">
        <v>907</v>
      </c>
      <c r="F611" s="27" t="s">
        <v>1043</v>
      </c>
      <c r="G611" s="10" t="s">
        <v>150</v>
      </c>
      <c r="H611" s="10" t="s">
        <v>854</v>
      </c>
      <c r="I611" s="62">
        <v>407</v>
      </c>
      <c r="J611" s="8" t="s">
        <v>846</v>
      </c>
      <c r="K611" s="10" t="s">
        <v>2372</v>
      </c>
      <c r="L611" s="10" t="s">
        <v>2373</v>
      </c>
      <c r="M611" s="10" t="s">
        <v>2372</v>
      </c>
      <c r="N611" s="10" t="s">
        <v>2373</v>
      </c>
      <c r="O611" s="10" t="s">
        <v>1077</v>
      </c>
    </row>
    <row r="612" spans="1:15" ht="18" customHeight="1" x14ac:dyDescent="0.3">
      <c r="A612" s="24">
        <v>611</v>
      </c>
      <c r="B612" s="10" t="s">
        <v>196</v>
      </c>
      <c r="C612" s="10" t="s">
        <v>4</v>
      </c>
      <c r="D612" s="62">
        <v>26</v>
      </c>
      <c r="E612" s="61" t="s">
        <v>907</v>
      </c>
      <c r="F612" s="27" t="s">
        <v>1043</v>
      </c>
      <c r="G612" s="10" t="s">
        <v>150</v>
      </c>
      <c r="H612" s="10" t="s">
        <v>855</v>
      </c>
      <c r="I612" s="62">
        <v>408</v>
      </c>
      <c r="J612" s="8" t="s">
        <v>846</v>
      </c>
      <c r="K612" s="10" t="s">
        <v>846</v>
      </c>
      <c r="L612" s="10" t="s">
        <v>2446</v>
      </c>
      <c r="M612" s="10" t="s">
        <v>2372</v>
      </c>
      <c r="N612" s="10" t="s">
        <v>2373</v>
      </c>
      <c r="O612" s="10" t="s">
        <v>2447</v>
      </c>
    </row>
    <row r="613" spans="1:15" ht="18" customHeight="1" x14ac:dyDescent="0.3">
      <c r="A613" s="24">
        <v>612</v>
      </c>
      <c r="B613" s="10" t="s">
        <v>196</v>
      </c>
      <c r="C613" s="10" t="s">
        <v>4</v>
      </c>
      <c r="D613" s="62">
        <v>26</v>
      </c>
      <c r="E613" s="61" t="s">
        <v>907</v>
      </c>
      <c r="F613" s="27" t="s">
        <v>1043</v>
      </c>
      <c r="G613" s="10" t="s">
        <v>150</v>
      </c>
      <c r="H613" s="10" t="s">
        <v>869</v>
      </c>
      <c r="I613" s="62">
        <v>144</v>
      </c>
      <c r="J613" s="8" t="s">
        <v>2372</v>
      </c>
      <c r="K613" s="10" t="s">
        <v>2372</v>
      </c>
      <c r="L613" s="10" t="s">
        <v>2373</v>
      </c>
      <c r="M613" s="10" t="s">
        <v>2374</v>
      </c>
      <c r="N613" s="10" t="s">
        <v>2440</v>
      </c>
      <c r="O613" s="10"/>
    </row>
    <row r="614" spans="1:15" ht="18" customHeight="1" x14ac:dyDescent="0.3">
      <c r="A614" s="24">
        <v>613</v>
      </c>
      <c r="B614" s="10" t="s">
        <v>196</v>
      </c>
      <c r="C614" s="10" t="s">
        <v>4</v>
      </c>
      <c r="D614" s="62">
        <v>26</v>
      </c>
      <c r="E614" s="61" t="s">
        <v>1161</v>
      </c>
      <c r="F614" s="27" t="s">
        <v>1043</v>
      </c>
      <c r="G614" s="10" t="s">
        <v>150</v>
      </c>
      <c r="H614" s="10" t="s">
        <v>1156</v>
      </c>
      <c r="I614" s="62">
        <v>40</v>
      </c>
      <c r="J614" s="8" t="s">
        <v>846</v>
      </c>
      <c r="K614" s="10" t="s">
        <v>846</v>
      </c>
      <c r="L614" s="10" t="s">
        <v>2392</v>
      </c>
      <c r="M614" s="10" t="s">
        <v>2372</v>
      </c>
      <c r="N614" s="10" t="s">
        <v>2373</v>
      </c>
      <c r="O614" s="10"/>
    </row>
    <row r="615" spans="1:15" ht="18" customHeight="1" x14ac:dyDescent="0.3">
      <c r="A615" s="24">
        <v>614</v>
      </c>
      <c r="B615" s="10" t="s">
        <v>196</v>
      </c>
      <c r="C615" s="10" t="s">
        <v>4</v>
      </c>
      <c r="D615" s="62">
        <v>26</v>
      </c>
      <c r="E615" s="61" t="s">
        <v>907</v>
      </c>
      <c r="F615" s="27" t="s">
        <v>440</v>
      </c>
      <c r="G615" s="10" t="s">
        <v>150</v>
      </c>
      <c r="H615" s="10" t="s">
        <v>845</v>
      </c>
      <c r="I615" s="62">
        <v>330</v>
      </c>
      <c r="J615" s="8" t="s">
        <v>2372</v>
      </c>
      <c r="K615" s="10" t="s">
        <v>847</v>
      </c>
      <c r="L615" s="10" t="s">
        <v>2373</v>
      </c>
      <c r="M615" s="10" t="s">
        <v>2372</v>
      </c>
      <c r="N615" s="10" t="s">
        <v>2373</v>
      </c>
      <c r="O615" s="10"/>
    </row>
    <row r="616" spans="1:15" ht="18" customHeight="1" x14ac:dyDescent="0.3">
      <c r="A616" s="24">
        <v>615</v>
      </c>
      <c r="B616" s="10" t="s">
        <v>196</v>
      </c>
      <c r="C616" s="10" t="s">
        <v>4</v>
      </c>
      <c r="D616" s="62">
        <v>26</v>
      </c>
      <c r="E616" s="61" t="s">
        <v>907</v>
      </c>
      <c r="F616" s="27" t="s">
        <v>440</v>
      </c>
      <c r="G616" s="10" t="s">
        <v>150</v>
      </c>
      <c r="H616" s="10" t="s">
        <v>848</v>
      </c>
      <c r="I616" s="62">
        <v>260</v>
      </c>
      <c r="J616" s="8" t="s">
        <v>846</v>
      </c>
      <c r="K616" s="10" t="s">
        <v>847</v>
      </c>
      <c r="L616" s="10" t="s">
        <v>2373</v>
      </c>
      <c r="M616" s="10" t="s">
        <v>2372</v>
      </c>
      <c r="N616" s="10" t="s">
        <v>2373</v>
      </c>
      <c r="O616" s="10"/>
    </row>
    <row r="617" spans="1:15" ht="18" customHeight="1" x14ac:dyDescent="0.3">
      <c r="A617" s="24">
        <v>616</v>
      </c>
      <c r="B617" s="10" t="s">
        <v>196</v>
      </c>
      <c r="C617" s="10" t="s">
        <v>30</v>
      </c>
      <c r="D617" s="62">
        <v>30</v>
      </c>
      <c r="E617" s="61" t="s">
        <v>2520</v>
      </c>
      <c r="F617" s="27" t="s">
        <v>424</v>
      </c>
      <c r="G617" s="10" t="s">
        <v>150</v>
      </c>
      <c r="H617" s="10" t="s">
        <v>848</v>
      </c>
      <c r="I617" s="62">
        <v>157</v>
      </c>
      <c r="J617" s="8" t="s">
        <v>846</v>
      </c>
      <c r="K617" s="10" t="s">
        <v>847</v>
      </c>
      <c r="L617" s="10" t="s">
        <v>2373</v>
      </c>
      <c r="M617" s="10" t="s">
        <v>2372</v>
      </c>
      <c r="N617" s="10" t="s">
        <v>2373</v>
      </c>
      <c r="O617" s="10"/>
    </row>
    <row r="618" spans="1:15" ht="18" customHeight="1" x14ac:dyDescent="0.3">
      <c r="A618" s="24">
        <v>617</v>
      </c>
      <c r="B618" s="10" t="s">
        <v>196</v>
      </c>
      <c r="C618" s="10" t="s">
        <v>30</v>
      </c>
      <c r="D618" s="62">
        <v>30</v>
      </c>
      <c r="E618" s="61" t="s">
        <v>2520</v>
      </c>
      <c r="F618" s="27" t="s">
        <v>424</v>
      </c>
      <c r="G618" s="10" t="s">
        <v>150</v>
      </c>
      <c r="H618" s="10" t="s">
        <v>849</v>
      </c>
      <c r="I618" s="62">
        <v>157</v>
      </c>
      <c r="J618" s="8" t="s">
        <v>2372</v>
      </c>
      <c r="K618" s="10" t="s">
        <v>847</v>
      </c>
      <c r="L618" s="10" t="s">
        <v>2373</v>
      </c>
      <c r="M618" s="10" t="s">
        <v>2372</v>
      </c>
      <c r="N618" s="10" t="s">
        <v>2373</v>
      </c>
      <c r="O618" s="10"/>
    </row>
    <row r="619" spans="1:15" ht="18" customHeight="1" x14ac:dyDescent="0.3">
      <c r="A619" s="24">
        <v>618</v>
      </c>
      <c r="B619" s="10" t="s">
        <v>196</v>
      </c>
      <c r="C619" s="10" t="s">
        <v>30</v>
      </c>
      <c r="D619" s="62">
        <v>30</v>
      </c>
      <c r="E619" s="61" t="s">
        <v>2520</v>
      </c>
      <c r="F619" s="27" t="s">
        <v>424</v>
      </c>
      <c r="G619" s="10" t="s">
        <v>150</v>
      </c>
      <c r="H619" s="10" t="s">
        <v>850</v>
      </c>
      <c r="I619" s="62">
        <v>157</v>
      </c>
      <c r="J619" s="8" t="s">
        <v>2372</v>
      </c>
      <c r="K619" s="10" t="s">
        <v>847</v>
      </c>
      <c r="L619" s="10" t="s">
        <v>2373</v>
      </c>
      <c r="M619" s="10" t="s">
        <v>2372</v>
      </c>
      <c r="N619" s="10" t="s">
        <v>2373</v>
      </c>
      <c r="O619" s="10"/>
    </row>
    <row r="620" spans="1:15" ht="18" customHeight="1" x14ac:dyDescent="0.3">
      <c r="A620" s="24">
        <v>619</v>
      </c>
      <c r="B620" s="10" t="s">
        <v>196</v>
      </c>
      <c r="C620" s="10" t="s">
        <v>30</v>
      </c>
      <c r="D620" s="62">
        <v>30</v>
      </c>
      <c r="E620" s="61" t="s">
        <v>2520</v>
      </c>
      <c r="F620" s="27" t="s">
        <v>424</v>
      </c>
      <c r="G620" s="10" t="s">
        <v>150</v>
      </c>
      <c r="H620" s="10" t="s">
        <v>851</v>
      </c>
      <c r="I620" s="62">
        <v>262</v>
      </c>
      <c r="J620" s="8" t="s">
        <v>846</v>
      </c>
      <c r="K620" s="10" t="s">
        <v>847</v>
      </c>
      <c r="L620" s="10" t="s">
        <v>2373</v>
      </c>
      <c r="M620" s="10" t="s">
        <v>2372</v>
      </c>
      <c r="N620" s="10" t="s">
        <v>2373</v>
      </c>
      <c r="O620" s="10"/>
    </row>
    <row r="621" spans="1:15" ht="18" customHeight="1" x14ac:dyDescent="0.3">
      <c r="A621" s="24">
        <v>620</v>
      </c>
      <c r="B621" s="10" t="s">
        <v>196</v>
      </c>
      <c r="C621" s="10" t="s">
        <v>30</v>
      </c>
      <c r="D621" s="62">
        <v>30</v>
      </c>
      <c r="E621" s="61" t="s">
        <v>2520</v>
      </c>
      <c r="F621" s="27" t="s">
        <v>424</v>
      </c>
      <c r="G621" s="10" t="s">
        <v>150</v>
      </c>
      <c r="H621" s="10" t="s">
        <v>852</v>
      </c>
      <c r="I621" s="62">
        <v>270</v>
      </c>
      <c r="J621" s="8" t="s">
        <v>846</v>
      </c>
      <c r="K621" s="10" t="s">
        <v>847</v>
      </c>
      <c r="L621" s="10" t="s">
        <v>2373</v>
      </c>
      <c r="M621" s="10" t="s">
        <v>2372</v>
      </c>
      <c r="N621" s="10" t="s">
        <v>2373</v>
      </c>
      <c r="O621" s="10"/>
    </row>
    <row r="622" spans="1:15" ht="18" customHeight="1" x14ac:dyDescent="0.3">
      <c r="A622" s="24">
        <v>621</v>
      </c>
      <c r="B622" s="10" t="s">
        <v>196</v>
      </c>
      <c r="C622" s="10" t="s">
        <v>30</v>
      </c>
      <c r="D622" s="62">
        <v>30</v>
      </c>
      <c r="E622" s="61" t="s">
        <v>2520</v>
      </c>
      <c r="F622" s="27" t="s">
        <v>424</v>
      </c>
      <c r="G622" s="10" t="s">
        <v>150</v>
      </c>
      <c r="H622" s="10" t="s">
        <v>853</v>
      </c>
      <c r="I622" s="62">
        <v>211</v>
      </c>
      <c r="J622" s="8" t="s">
        <v>846</v>
      </c>
      <c r="K622" s="10" t="s">
        <v>847</v>
      </c>
      <c r="L622" s="10" t="s">
        <v>2373</v>
      </c>
      <c r="M622" s="10" t="s">
        <v>2372</v>
      </c>
      <c r="N622" s="10" t="s">
        <v>2373</v>
      </c>
      <c r="O622" s="10"/>
    </row>
    <row r="623" spans="1:15" ht="18" customHeight="1" x14ac:dyDescent="0.3">
      <c r="A623" s="24">
        <v>622</v>
      </c>
      <c r="B623" s="10" t="s">
        <v>196</v>
      </c>
      <c r="C623" s="10" t="s">
        <v>30</v>
      </c>
      <c r="D623" s="62">
        <v>30</v>
      </c>
      <c r="E623" s="61" t="s">
        <v>2520</v>
      </c>
      <c r="F623" s="27" t="s">
        <v>424</v>
      </c>
      <c r="G623" s="10" t="s">
        <v>150</v>
      </c>
      <c r="H623" s="10" t="s">
        <v>854</v>
      </c>
      <c r="I623" s="62">
        <v>237</v>
      </c>
      <c r="J623" s="8" t="s">
        <v>2372</v>
      </c>
      <c r="K623" s="10" t="s">
        <v>847</v>
      </c>
      <c r="L623" s="10" t="s">
        <v>2373</v>
      </c>
      <c r="M623" s="10" t="s">
        <v>2372</v>
      </c>
      <c r="N623" s="10" t="s">
        <v>2373</v>
      </c>
      <c r="O623" s="10"/>
    </row>
    <row r="624" spans="1:15" ht="18" customHeight="1" x14ac:dyDescent="0.3">
      <c r="A624" s="24">
        <v>623</v>
      </c>
      <c r="B624" s="10" t="s">
        <v>196</v>
      </c>
      <c r="C624" s="10" t="s">
        <v>30</v>
      </c>
      <c r="D624" s="62">
        <v>30</v>
      </c>
      <c r="E624" s="61" t="s">
        <v>2520</v>
      </c>
      <c r="F624" s="27" t="s">
        <v>424</v>
      </c>
      <c r="G624" s="10" t="s">
        <v>150</v>
      </c>
      <c r="H624" s="10" t="s">
        <v>855</v>
      </c>
      <c r="I624" s="62">
        <v>237</v>
      </c>
      <c r="J624" s="8" t="s">
        <v>846</v>
      </c>
      <c r="K624" s="10" t="s">
        <v>847</v>
      </c>
      <c r="L624" s="10" t="s">
        <v>2373</v>
      </c>
      <c r="M624" s="10" t="s">
        <v>2372</v>
      </c>
      <c r="N624" s="10" t="s">
        <v>2373</v>
      </c>
      <c r="O624" s="10"/>
    </row>
    <row r="625" spans="1:15" ht="18" customHeight="1" x14ac:dyDescent="0.3">
      <c r="A625" s="24">
        <v>624</v>
      </c>
      <c r="B625" s="10" t="s">
        <v>196</v>
      </c>
      <c r="C625" s="10" t="s">
        <v>30</v>
      </c>
      <c r="D625" s="62">
        <v>30</v>
      </c>
      <c r="E625" s="61" t="s">
        <v>2520</v>
      </c>
      <c r="F625" s="27" t="s">
        <v>424</v>
      </c>
      <c r="G625" s="10" t="s">
        <v>150</v>
      </c>
      <c r="H625" s="10" t="s">
        <v>869</v>
      </c>
      <c r="I625" s="62">
        <v>144</v>
      </c>
      <c r="J625" s="8" t="s">
        <v>2372</v>
      </c>
      <c r="K625" s="10" t="s">
        <v>847</v>
      </c>
      <c r="L625" s="10" t="s">
        <v>2373</v>
      </c>
      <c r="M625" s="10" t="s">
        <v>2372</v>
      </c>
      <c r="N625" s="10" t="s">
        <v>2373</v>
      </c>
      <c r="O625" s="10"/>
    </row>
    <row r="626" spans="1:15" ht="18" customHeight="1" x14ac:dyDescent="0.3">
      <c r="A626" s="24">
        <v>625</v>
      </c>
      <c r="B626" s="10" t="s">
        <v>196</v>
      </c>
      <c r="C626" s="10" t="s">
        <v>30</v>
      </c>
      <c r="D626" s="62">
        <v>30</v>
      </c>
      <c r="E626" s="61" t="s">
        <v>2520</v>
      </c>
      <c r="F626" s="27" t="s">
        <v>424</v>
      </c>
      <c r="G626" s="10" t="s">
        <v>150</v>
      </c>
      <c r="H626" s="10" t="s">
        <v>883</v>
      </c>
      <c r="I626" s="62">
        <v>144</v>
      </c>
      <c r="J626" s="8" t="s">
        <v>2372</v>
      </c>
      <c r="K626" s="10" t="s">
        <v>847</v>
      </c>
      <c r="L626" s="10" t="s">
        <v>2373</v>
      </c>
      <c r="M626" s="10" t="s">
        <v>2372</v>
      </c>
      <c r="N626" s="10" t="s">
        <v>2373</v>
      </c>
      <c r="O626" s="10"/>
    </row>
    <row r="627" spans="1:15" ht="18" customHeight="1" x14ac:dyDescent="0.3">
      <c r="A627" s="24">
        <v>626</v>
      </c>
      <c r="B627" s="10" t="s">
        <v>196</v>
      </c>
      <c r="C627" s="10" t="s">
        <v>30</v>
      </c>
      <c r="D627" s="62">
        <v>30</v>
      </c>
      <c r="E627" s="61" t="s">
        <v>2520</v>
      </c>
      <c r="F627" s="27" t="s">
        <v>1097</v>
      </c>
      <c r="G627" s="10" t="s">
        <v>150</v>
      </c>
      <c r="H627" s="10" t="s">
        <v>845</v>
      </c>
      <c r="I627" s="62">
        <v>86</v>
      </c>
      <c r="J627" s="8" t="s">
        <v>2372</v>
      </c>
      <c r="K627" s="10" t="s">
        <v>2374</v>
      </c>
      <c r="L627" s="10" t="s">
        <v>2521</v>
      </c>
      <c r="M627" s="10" t="s">
        <v>2372</v>
      </c>
      <c r="N627" s="10" t="s">
        <v>2373</v>
      </c>
      <c r="O627" s="9"/>
    </row>
    <row r="628" spans="1:15" ht="18" customHeight="1" x14ac:dyDescent="0.3">
      <c r="A628" s="24">
        <v>627</v>
      </c>
      <c r="B628" s="10" t="s">
        <v>196</v>
      </c>
      <c r="C628" s="10" t="s">
        <v>30</v>
      </c>
      <c r="D628" s="62">
        <v>30</v>
      </c>
      <c r="E628" s="61" t="s">
        <v>2813</v>
      </c>
      <c r="F628" s="32" t="s">
        <v>422</v>
      </c>
      <c r="G628" s="10" t="s">
        <v>150</v>
      </c>
      <c r="H628" s="10" t="s">
        <v>2379</v>
      </c>
      <c r="I628" s="62">
        <v>165</v>
      </c>
      <c r="J628" s="10" t="s">
        <v>2374</v>
      </c>
      <c r="K628" s="10" t="s">
        <v>847</v>
      </c>
      <c r="L628" s="10" t="s">
        <v>2373</v>
      </c>
      <c r="M628" s="10" t="s">
        <v>2372</v>
      </c>
      <c r="N628" s="10" t="s">
        <v>2373</v>
      </c>
      <c r="O628" s="10"/>
    </row>
    <row r="629" spans="1:15" ht="18" customHeight="1" x14ac:dyDescent="0.3">
      <c r="A629" s="24">
        <v>628</v>
      </c>
      <c r="B629" s="10" t="s">
        <v>196</v>
      </c>
      <c r="C629" s="10" t="s">
        <v>30</v>
      </c>
      <c r="D629" s="62">
        <v>30</v>
      </c>
      <c r="E629" s="61" t="s">
        <v>2813</v>
      </c>
      <c r="F629" s="32" t="s">
        <v>422</v>
      </c>
      <c r="G629" s="10" t="s">
        <v>150</v>
      </c>
      <c r="H629" s="10" t="s">
        <v>850</v>
      </c>
      <c r="I629" s="62">
        <v>237</v>
      </c>
      <c r="J629" s="10" t="s">
        <v>2374</v>
      </c>
      <c r="K629" s="10" t="s">
        <v>847</v>
      </c>
      <c r="L629" s="10" t="s">
        <v>2373</v>
      </c>
      <c r="M629" s="10" t="s">
        <v>2372</v>
      </c>
      <c r="N629" s="10" t="s">
        <v>2373</v>
      </c>
      <c r="O629" s="10"/>
    </row>
    <row r="630" spans="1:15" ht="18" customHeight="1" x14ac:dyDescent="0.3">
      <c r="A630" s="24">
        <v>629</v>
      </c>
      <c r="B630" s="10" t="s">
        <v>196</v>
      </c>
      <c r="C630" s="10" t="s">
        <v>30</v>
      </c>
      <c r="D630" s="62">
        <v>30</v>
      </c>
      <c r="E630" s="61" t="s">
        <v>2813</v>
      </c>
      <c r="F630" s="32" t="s">
        <v>422</v>
      </c>
      <c r="G630" s="10" t="s">
        <v>150</v>
      </c>
      <c r="H630" s="10" t="s">
        <v>852</v>
      </c>
      <c r="I630" s="62">
        <v>166</v>
      </c>
      <c r="J630" s="10" t="s">
        <v>2372</v>
      </c>
      <c r="K630" s="10" t="s">
        <v>847</v>
      </c>
      <c r="L630" s="10" t="s">
        <v>2373</v>
      </c>
      <c r="M630" s="10" t="s">
        <v>2372</v>
      </c>
      <c r="N630" s="10" t="s">
        <v>2373</v>
      </c>
      <c r="O630" s="10"/>
    </row>
    <row r="631" spans="1:15" ht="18" customHeight="1" x14ac:dyDescent="0.3">
      <c r="A631" s="24">
        <v>630</v>
      </c>
      <c r="B631" s="10" t="s">
        <v>196</v>
      </c>
      <c r="C631" s="10" t="s">
        <v>30</v>
      </c>
      <c r="D631" s="62">
        <v>30</v>
      </c>
      <c r="E631" s="61" t="s">
        <v>2813</v>
      </c>
      <c r="F631" s="32" t="s">
        <v>422</v>
      </c>
      <c r="G631" s="10" t="s">
        <v>150</v>
      </c>
      <c r="H631" s="10" t="s">
        <v>853</v>
      </c>
      <c r="I631" s="62">
        <v>166</v>
      </c>
      <c r="J631" s="10" t="s">
        <v>2372</v>
      </c>
      <c r="K631" s="10" t="s">
        <v>847</v>
      </c>
      <c r="L631" s="10" t="s">
        <v>2373</v>
      </c>
      <c r="M631" s="10" t="s">
        <v>2372</v>
      </c>
      <c r="N631" s="10" t="s">
        <v>2373</v>
      </c>
      <c r="O631" s="10"/>
    </row>
    <row r="632" spans="1:15" ht="18" customHeight="1" x14ac:dyDescent="0.3">
      <c r="A632" s="24">
        <v>631</v>
      </c>
      <c r="B632" s="10" t="s">
        <v>196</v>
      </c>
      <c r="C632" s="10" t="s">
        <v>30</v>
      </c>
      <c r="D632" s="62">
        <v>30</v>
      </c>
      <c r="E632" s="61" t="s">
        <v>2813</v>
      </c>
      <c r="F632" s="32" t="s">
        <v>422</v>
      </c>
      <c r="G632" s="10" t="s">
        <v>150</v>
      </c>
      <c r="H632" s="10" t="s">
        <v>854</v>
      </c>
      <c r="I632" s="62">
        <v>166</v>
      </c>
      <c r="J632" s="10" t="s">
        <v>2372</v>
      </c>
      <c r="K632" s="10" t="s">
        <v>847</v>
      </c>
      <c r="L632" s="10" t="s">
        <v>2373</v>
      </c>
      <c r="M632" s="10" t="s">
        <v>2372</v>
      </c>
      <c r="N632" s="10" t="s">
        <v>2373</v>
      </c>
      <c r="O632" s="10"/>
    </row>
    <row r="633" spans="1:15" ht="18" customHeight="1" x14ac:dyDescent="0.3">
      <c r="A633" s="24">
        <v>632</v>
      </c>
      <c r="B633" s="10" t="s">
        <v>196</v>
      </c>
      <c r="C633" s="10" t="s">
        <v>30</v>
      </c>
      <c r="D633" s="62">
        <v>30</v>
      </c>
      <c r="E633" s="61" t="s">
        <v>2813</v>
      </c>
      <c r="F633" s="32" t="s">
        <v>422</v>
      </c>
      <c r="G633" s="10" t="s">
        <v>150</v>
      </c>
      <c r="H633" s="10" t="s">
        <v>855</v>
      </c>
      <c r="I633" s="62">
        <v>237</v>
      </c>
      <c r="J633" s="10" t="s">
        <v>2374</v>
      </c>
      <c r="K633" s="10" t="s">
        <v>847</v>
      </c>
      <c r="L633" s="10" t="s">
        <v>2373</v>
      </c>
      <c r="M633" s="10" t="s">
        <v>2372</v>
      </c>
      <c r="N633" s="10" t="s">
        <v>2373</v>
      </c>
      <c r="O633" s="10"/>
    </row>
    <row r="634" spans="1:15" ht="18" customHeight="1" x14ac:dyDescent="0.3">
      <c r="A634" s="24">
        <v>633</v>
      </c>
      <c r="B634" s="10" t="s">
        <v>196</v>
      </c>
      <c r="C634" s="10" t="s">
        <v>30</v>
      </c>
      <c r="D634" s="62">
        <v>30</v>
      </c>
      <c r="E634" s="61" t="s">
        <v>2813</v>
      </c>
      <c r="F634" s="32" t="s">
        <v>422</v>
      </c>
      <c r="G634" s="10" t="s">
        <v>150</v>
      </c>
      <c r="H634" s="10" t="s">
        <v>922</v>
      </c>
      <c r="I634" s="62">
        <v>340</v>
      </c>
      <c r="J634" s="10" t="s">
        <v>2374</v>
      </c>
      <c r="K634" s="10" t="s">
        <v>847</v>
      </c>
      <c r="L634" s="10" t="s">
        <v>2373</v>
      </c>
      <c r="M634" s="10" t="s">
        <v>2372</v>
      </c>
      <c r="N634" s="10" t="s">
        <v>2373</v>
      </c>
      <c r="O634" s="10"/>
    </row>
    <row r="635" spans="1:15" ht="18" customHeight="1" x14ac:dyDescent="0.3">
      <c r="A635" s="24">
        <v>634</v>
      </c>
      <c r="B635" s="10" t="s">
        <v>196</v>
      </c>
      <c r="C635" s="10" t="s">
        <v>30</v>
      </c>
      <c r="D635" s="62">
        <v>30</v>
      </c>
      <c r="E635" s="61" t="s">
        <v>2813</v>
      </c>
      <c r="F635" s="32" t="s">
        <v>422</v>
      </c>
      <c r="G635" s="10" t="s">
        <v>150</v>
      </c>
      <c r="H635" s="10" t="s">
        <v>924</v>
      </c>
      <c r="I635" s="62">
        <v>94</v>
      </c>
      <c r="J635" s="10" t="s">
        <v>2372</v>
      </c>
      <c r="K635" s="10" t="s">
        <v>847</v>
      </c>
      <c r="L635" s="10" t="s">
        <v>2373</v>
      </c>
      <c r="M635" s="10" t="s">
        <v>2374</v>
      </c>
      <c r="N635" s="10" t="s">
        <v>1256</v>
      </c>
      <c r="O635" s="10"/>
    </row>
    <row r="636" spans="1:15" ht="18" customHeight="1" x14ac:dyDescent="0.3">
      <c r="A636" s="24">
        <v>635</v>
      </c>
      <c r="B636" s="10" t="s">
        <v>196</v>
      </c>
      <c r="C636" s="10" t="s">
        <v>30</v>
      </c>
      <c r="D636" s="62">
        <v>30</v>
      </c>
      <c r="E636" s="61" t="s">
        <v>2813</v>
      </c>
      <c r="F636" s="32" t="s">
        <v>422</v>
      </c>
      <c r="G636" s="10" t="s">
        <v>150</v>
      </c>
      <c r="H636" s="10" t="s">
        <v>925</v>
      </c>
      <c r="I636" s="62">
        <v>48</v>
      </c>
      <c r="J636" s="10" t="s">
        <v>2372</v>
      </c>
      <c r="K636" s="10" t="s">
        <v>847</v>
      </c>
      <c r="L636" s="10" t="s">
        <v>2373</v>
      </c>
      <c r="M636" s="10" t="s">
        <v>2374</v>
      </c>
      <c r="N636" s="10" t="s">
        <v>1256</v>
      </c>
      <c r="O636" s="10"/>
    </row>
    <row r="637" spans="1:15" ht="18" customHeight="1" x14ac:dyDescent="0.3">
      <c r="A637" s="24">
        <v>636</v>
      </c>
      <c r="B637" s="10" t="s">
        <v>196</v>
      </c>
      <c r="C637" s="10" t="s">
        <v>30</v>
      </c>
      <c r="D637" s="62">
        <v>30</v>
      </c>
      <c r="E637" s="61" t="s">
        <v>2813</v>
      </c>
      <c r="F637" s="32" t="s">
        <v>2522</v>
      </c>
      <c r="G637" s="10" t="s">
        <v>150</v>
      </c>
      <c r="H637" s="10" t="s">
        <v>848</v>
      </c>
      <c r="I637" s="62">
        <v>171</v>
      </c>
      <c r="J637" s="10" t="s">
        <v>2374</v>
      </c>
      <c r="K637" s="10" t="s">
        <v>846</v>
      </c>
      <c r="L637" s="10" t="s">
        <v>985</v>
      </c>
      <c r="M637" s="10" t="s">
        <v>2372</v>
      </c>
      <c r="N637" s="10" t="s">
        <v>2373</v>
      </c>
      <c r="O637" s="10"/>
    </row>
    <row r="638" spans="1:15" ht="18" customHeight="1" x14ac:dyDescent="0.3">
      <c r="A638" s="24">
        <v>637</v>
      </c>
      <c r="B638" s="10" t="s">
        <v>196</v>
      </c>
      <c r="C638" s="10" t="s">
        <v>30</v>
      </c>
      <c r="D638" s="62">
        <v>30</v>
      </c>
      <c r="E638" s="61" t="s">
        <v>2813</v>
      </c>
      <c r="F638" s="32" t="s">
        <v>2522</v>
      </c>
      <c r="G638" s="10" t="s">
        <v>150</v>
      </c>
      <c r="H638" s="10" t="s">
        <v>923</v>
      </c>
      <c r="I638" s="62">
        <v>132</v>
      </c>
      <c r="J638" s="10" t="s">
        <v>2374</v>
      </c>
      <c r="K638" s="10" t="s">
        <v>846</v>
      </c>
      <c r="L638" s="10" t="s">
        <v>188</v>
      </c>
      <c r="M638" s="10" t="s">
        <v>2372</v>
      </c>
      <c r="N638" s="10" t="s">
        <v>2373</v>
      </c>
      <c r="O638" s="10"/>
    </row>
    <row r="639" spans="1:15" ht="18" customHeight="1" x14ac:dyDescent="0.3">
      <c r="A639" s="24">
        <v>638</v>
      </c>
      <c r="B639" s="10" t="s">
        <v>196</v>
      </c>
      <c r="C639" s="10" t="s">
        <v>30</v>
      </c>
      <c r="D639" s="62">
        <v>30</v>
      </c>
      <c r="E639" s="61" t="s">
        <v>2813</v>
      </c>
      <c r="F639" s="32" t="s">
        <v>2522</v>
      </c>
      <c r="G639" s="10" t="s">
        <v>150</v>
      </c>
      <c r="H639" s="10" t="s">
        <v>921</v>
      </c>
      <c r="I639" s="62">
        <v>358</v>
      </c>
      <c r="J639" s="10" t="s">
        <v>2374</v>
      </c>
      <c r="K639" s="10" t="s">
        <v>846</v>
      </c>
      <c r="L639" s="10" t="s">
        <v>187</v>
      </c>
      <c r="M639" s="10" t="s">
        <v>2372</v>
      </c>
      <c r="N639" s="10" t="s">
        <v>2373</v>
      </c>
      <c r="O639" s="10"/>
    </row>
    <row r="640" spans="1:15" ht="18" customHeight="1" x14ac:dyDescent="0.3">
      <c r="A640" s="24">
        <v>639</v>
      </c>
      <c r="B640" s="10" t="s">
        <v>196</v>
      </c>
      <c r="C640" s="10" t="s">
        <v>30</v>
      </c>
      <c r="D640" s="62">
        <v>30</v>
      </c>
      <c r="E640" s="61" t="s">
        <v>2523</v>
      </c>
      <c r="F640" s="27" t="s">
        <v>426</v>
      </c>
      <c r="G640" s="10" t="s">
        <v>150</v>
      </c>
      <c r="H640" s="10" t="s">
        <v>848</v>
      </c>
      <c r="I640" s="62">
        <v>177</v>
      </c>
      <c r="J640" s="8" t="s">
        <v>2372</v>
      </c>
      <c r="K640" s="10" t="s">
        <v>847</v>
      </c>
      <c r="L640" s="10" t="s">
        <v>2373</v>
      </c>
      <c r="M640" s="10" t="s">
        <v>2372</v>
      </c>
      <c r="N640" s="10" t="s">
        <v>2373</v>
      </c>
      <c r="O640" s="10"/>
    </row>
    <row r="641" spans="1:15" ht="18" customHeight="1" x14ac:dyDescent="0.3">
      <c r="A641" s="24">
        <v>640</v>
      </c>
      <c r="B641" s="10" t="s">
        <v>196</v>
      </c>
      <c r="C641" s="10" t="s">
        <v>30</v>
      </c>
      <c r="D641" s="62">
        <v>30</v>
      </c>
      <c r="E641" s="61" t="s">
        <v>2523</v>
      </c>
      <c r="F641" s="27" t="s">
        <v>426</v>
      </c>
      <c r="G641" s="10" t="s">
        <v>150</v>
      </c>
      <c r="H641" s="10" t="s">
        <v>849</v>
      </c>
      <c r="I641" s="62">
        <v>177</v>
      </c>
      <c r="J641" s="8" t="s">
        <v>2372</v>
      </c>
      <c r="K641" s="10" t="s">
        <v>847</v>
      </c>
      <c r="L641" s="10" t="s">
        <v>2373</v>
      </c>
      <c r="M641" s="10" t="s">
        <v>2372</v>
      </c>
      <c r="N641" s="10" t="s">
        <v>2373</v>
      </c>
      <c r="O641" s="10"/>
    </row>
    <row r="642" spans="1:15" ht="18" customHeight="1" x14ac:dyDescent="0.3">
      <c r="A642" s="24">
        <v>641</v>
      </c>
      <c r="B642" s="10" t="s">
        <v>196</v>
      </c>
      <c r="C642" s="10" t="s">
        <v>30</v>
      </c>
      <c r="D642" s="62">
        <v>30</v>
      </c>
      <c r="E642" s="61" t="s">
        <v>2523</v>
      </c>
      <c r="F642" s="27" t="s">
        <v>426</v>
      </c>
      <c r="G642" s="10" t="s">
        <v>150</v>
      </c>
      <c r="H642" s="10" t="s">
        <v>850</v>
      </c>
      <c r="I642" s="62">
        <v>268</v>
      </c>
      <c r="J642" s="8" t="s">
        <v>846</v>
      </c>
      <c r="K642" s="10" t="s">
        <v>847</v>
      </c>
      <c r="L642" s="10" t="s">
        <v>2373</v>
      </c>
      <c r="M642" s="10" t="s">
        <v>2372</v>
      </c>
      <c r="N642" s="10" t="s">
        <v>2373</v>
      </c>
      <c r="O642" s="10"/>
    </row>
    <row r="643" spans="1:15" ht="18" customHeight="1" x14ac:dyDescent="0.3">
      <c r="A643" s="24">
        <v>642</v>
      </c>
      <c r="B643" s="10" t="s">
        <v>196</v>
      </c>
      <c r="C643" s="10" t="s">
        <v>30</v>
      </c>
      <c r="D643" s="62">
        <v>30</v>
      </c>
      <c r="E643" s="61" t="s">
        <v>2523</v>
      </c>
      <c r="F643" s="27" t="s">
        <v>426</v>
      </c>
      <c r="G643" s="10" t="s">
        <v>150</v>
      </c>
      <c r="H643" s="10" t="s">
        <v>851</v>
      </c>
      <c r="I643" s="62">
        <v>268</v>
      </c>
      <c r="J643" s="8" t="s">
        <v>846</v>
      </c>
      <c r="K643" s="10" t="s">
        <v>847</v>
      </c>
      <c r="L643" s="10" t="s">
        <v>2373</v>
      </c>
      <c r="M643" s="10" t="s">
        <v>2372</v>
      </c>
      <c r="N643" s="10" t="s">
        <v>2373</v>
      </c>
      <c r="O643" s="10"/>
    </row>
    <row r="644" spans="1:15" ht="18" customHeight="1" x14ac:dyDescent="0.3">
      <c r="A644" s="24">
        <v>643</v>
      </c>
      <c r="B644" s="10" t="s">
        <v>196</v>
      </c>
      <c r="C644" s="10" t="s">
        <v>30</v>
      </c>
      <c r="D644" s="62">
        <v>30</v>
      </c>
      <c r="E644" s="61" t="s">
        <v>2523</v>
      </c>
      <c r="F644" s="27" t="s">
        <v>426</v>
      </c>
      <c r="G644" s="10" t="s">
        <v>150</v>
      </c>
      <c r="H644" s="10" t="s">
        <v>852</v>
      </c>
      <c r="I644" s="62">
        <v>180</v>
      </c>
      <c r="J644" s="8" t="s">
        <v>2372</v>
      </c>
      <c r="K644" s="10" t="s">
        <v>847</v>
      </c>
      <c r="L644" s="10" t="s">
        <v>2373</v>
      </c>
      <c r="M644" s="10" t="s">
        <v>2372</v>
      </c>
      <c r="N644" s="10" t="s">
        <v>2373</v>
      </c>
      <c r="O644" s="10"/>
    </row>
    <row r="645" spans="1:15" ht="18" customHeight="1" x14ac:dyDescent="0.3">
      <c r="A645" s="24">
        <v>644</v>
      </c>
      <c r="B645" s="10" t="s">
        <v>196</v>
      </c>
      <c r="C645" s="10" t="s">
        <v>30</v>
      </c>
      <c r="D645" s="62">
        <v>30</v>
      </c>
      <c r="E645" s="61" t="s">
        <v>2523</v>
      </c>
      <c r="F645" s="27" t="s">
        <v>426</v>
      </c>
      <c r="G645" s="10" t="s">
        <v>150</v>
      </c>
      <c r="H645" s="10" t="s">
        <v>853</v>
      </c>
      <c r="I645" s="62">
        <v>162</v>
      </c>
      <c r="J645" s="8" t="s">
        <v>2372</v>
      </c>
      <c r="K645" s="10" t="s">
        <v>847</v>
      </c>
      <c r="L645" s="10" t="s">
        <v>2373</v>
      </c>
      <c r="M645" s="10" t="s">
        <v>2372</v>
      </c>
      <c r="N645" s="10" t="s">
        <v>2373</v>
      </c>
      <c r="O645" s="10"/>
    </row>
    <row r="646" spans="1:15" ht="18" customHeight="1" x14ac:dyDescent="0.3">
      <c r="A646" s="24">
        <v>645</v>
      </c>
      <c r="B646" s="10" t="s">
        <v>196</v>
      </c>
      <c r="C646" s="10" t="s">
        <v>30</v>
      </c>
      <c r="D646" s="62">
        <v>30</v>
      </c>
      <c r="E646" s="61" t="s">
        <v>2814</v>
      </c>
      <c r="F646" s="32" t="s">
        <v>1202</v>
      </c>
      <c r="G646" s="10" t="s">
        <v>1264</v>
      </c>
      <c r="H646" s="10" t="s">
        <v>845</v>
      </c>
      <c r="I646" s="62">
        <v>208</v>
      </c>
      <c r="J646" s="10" t="s">
        <v>2372</v>
      </c>
      <c r="K646" s="10" t="s">
        <v>847</v>
      </c>
      <c r="L646" s="10" t="s">
        <v>2373</v>
      </c>
      <c r="M646" s="10" t="s">
        <v>2372</v>
      </c>
      <c r="N646" s="10" t="s">
        <v>2373</v>
      </c>
      <c r="O646" s="10"/>
    </row>
    <row r="647" spans="1:15" ht="18" customHeight="1" x14ac:dyDescent="0.3">
      <c r="A647" s="24">
        <v>646</v>
      </c>
      <c r="B647" s="10" t="s">
        <v>196</v>
      </c>
      <c r="C647" s="10" t="s">
        <v>30</v>
      </c>
      <c r="D647" s="62">
        <v>30</v>
      </c>
      <c r="E647" s="61" t="s">
        <v>2814</v>
      </c>
      <c r="F647" s="32" t="s">
        <v>1202</v>
      </c>
      <c r="G647" s="10" t="s">
        <v>150</v>
      </c>
      <c r="H647" s="10" t="s">
        <v>848</v>
      </c>
      <c r="I647" s="62">
        <v>204</v>
      </c>
      <c r="J647" s="10" t="s">
        <v>2372</v>
      </c>
      <c r="K647" s="10" t="s">
        <v>847</v>
      </c>
      <c r="L647" s="10" t="s">
        <v>2373</v>
      </c>
      <c r="M647" s="10" t="s">
        <v>2372</v>
      </c>
      <c r="N647" s="10" t="s">
        <v>2373</v>
      </c>
      <c r="O647" s="10"/>
    </row>
    <row r="648" spans="1:15" ht="18" customHeight="1" x14ac:dyDescent="0.3">
      <c r="A648" s="24">
        <v>647</v>
      </c>
      <c r="B648" s="10" t="s">
        <v>196</v>
      </c>
      <c r="C648" s="10" t="s">
        <v>30</v>
      </c>
      <c r="D648" s="62">
        <v>30</v>
      </c>
      <c r="E648" s="61" t="s">
        <v>2814</v>
      </c>
      <c r="F648" s="32" t="s">
        <v>1202</v>
      </c>
      <c r="G648" s="10" t="s">
        <v>150</v>
      </c>
      <c r="H648" s="10" t="s">
        <v>1404</v>
      </c>
      <c r="I648" s="62">
        <v>10</v>
      </c>
      <c r="J648" s="10" t="s">
        <v>2372</v>
      </c>
      <c r="K648" s="10" t="s">
        <v>2374</v>
      </c>
      <c r="L648" s="10" t="s">
        <v>1404</v>
      </c>
      <c r="M648" s="10" t="s">
        <v>2372</v>
      </c>
      <c r="N648" s="10" t="s">
        <v>2373</v>
      </c>
      <c r="O648" s="10"/>
    </row>
    <row r="649" spans="1:15" ht="18" customHeight="1" x14ac:dyDescent="0.3">
      <c r="A649" s="24">
        <v>648</v>
      </c>
      <c r="B649" s="10" t="s">
        <v>196</v>
      </c>
      <c r="C649" s="10" t="s">
        <v>30</v>
      </c>
      <c r="D649" s="62">
        <v>30</v>
      </c>
      <c r="E649" s="61" t="s">
        <v>2814</v>
      </c>
      <c r="F649" s="32" t="s">
        <v>1202</v>
      </c>
      <c r="G649" s="10" t="s">
        <v>150</v>
      </c>
      <c r="H649" s="10" t="s">
        <v>850</v>
      </c>
      <c r="I649" s="62">
        <v>89</v>
      </c>
      <c r="J649" s="10" t="s">
        <v>2372</v>
      </c>
      <c r="K649" s="10" t="s">
        <v>847</v>
      </c>
      <c r="L649" s="10" t="s">
        <v>2373</v>
      </c>
      <c r="M649" s="10" t="s">
        <v>2372</v>
      </c>
      <c r="N649" s="10" t="s">
        <v>2373</v>
      </c>
      <c r="O649" s="10"/>
    </row>
    <row r="650" spans="1:15" ht="18" customHeight="1" x14ac:dyDescent="0.3">
      <c r="A650" s="24">
        <v>649</v>
      </c>
      <c r="B650" s="10" t="s">
        <v>196</v>
      </c>
      <c r="C650" s="10" t="s">
        <v>30</v>
      </c>
      <c r="D650" s="62">
        <v>30</v>
      </c>
      <c r="E650" s="61" t="s">
        <v>2814</v>
      </c>
      <c r="F650" s="32" t="s">
        <v>1202</v>
      </c>
      <c r="G650" s="10" t="s">
        <v>150</v>
      </c>
      <c r="H650" s="10" t="s">
        <v>851</v>
      </c>
      <c r="I650" s="62">
        <v>71</v>
      </c>
      <c r="J650" s="10" t="s">
        <v>2372</v>
      </c>
      <c r="K650" s="10" t="s">
        <v>847</v>
      </c>
      <c r="L650" s="10" t="s">
        <v>2373</v>
      </c>
      <c r="M650" s="10" t="s">
        <v>2372</v>
      </c>
      <c r="N650" s="10" t="s">
        <v>2373</v>
      </c>
      <c r="O650" s="10"/>
    </row>
    <row r="651" spans="1:15" ht="18" customHeight="1" x14ac:dyDescent="0.3">
      <c r="A651" s="24">
        <v>650</v>
      </c>
      <c r="B651" s="10" t="s">
        <v>196</v>
      </c>
      <c r="C651" s="10" t="s">
        <v>30</v>
      </c>
      <c r="D651" s="62">
        <v>30</v>
      </c>
      <c r="E651" s="61" t="s">
        <v>2814</v>
      </c>
      <c r="F651" s="32" t="s">
        <v>1202</v>
      </c>
      <c r="G651" s="10" t="s">
        <v>150</v>
      </c>
      <c r="H651" s="10" t="s">
        <v>852</v>
      </c>
      <c r="I651" s="62">
        <v>78</v>
      </c>
      <c r="J651" s="10" t="s">
        <v>2372</v>
      </c>
      <c r="K651" s="10" t="s">
        <v>847</v>
      </c>
      <c r="L651" s="10" t="s">
        <v>2373</v>
      </c>
      <c r="M651" s="10" t="s">
        <v>2372</v>
      </c>
      <c r="N651" s="10" t="s">
        <v>2373</v>
      </c>
      <c r="O651" s="10"/>
    </row>
    <row r="652" spans="1:15" ht="18" customHeight="1" x14ac:dyDescent="0.3">
      <c r="A652" s="24">
        <v>651</v>
      </c>
      <c r="B652" s="10" t="s">
        <v>196</v>
      </c>
      <c r="C652" s="10" t="s">
        <v>30</v>
      </c>
      <c r="D652" s="62">
        <v>30</v>
      </c>
      <c r="E652" s="61" t="s">
        <v>2815</v>
      </c>
      <c r="F652" s="32" t="s">
        <v>2524</v>
      </c>
      <c r="G652" s="10" t="s">
        <v>160</v>
      </c>
      <c r="H652" s="10" t="s">
        <v>845</v>
      </c>
      <c r="I652" s="62">
        <v>270</v>
      </c>
      <c r="J652" s="10" t="s">
        <v>2372</v>
      </c>
      <c r="K652" s="10" t="s">
        <v>847</v>
      </c>
      <c r="L652" s="10" t="s">
        <v>2373</v>
      </c>
      <c r="M652" s="10" t="s">
        <v>2372</v>
      </c>
      <c r="N652" s="10" t="s">
        <v>2373</v>
      </c>
      <c r="O652" s="10"/>
    </row>
    <row r="653" spans="1:15" ht="18" customHeight="1" x14ac:dyDescent="0.3">
      <c r="A653" s="24">
        <v>652</v>
      </c>
      <c r="B653" s="10" t="s">
        <v>196</v>
      </c>
      <c r="C653" s="10" t="s">
        <v>30</v>
      </c>
      <c r="D653" s="62">
        <v>30</v>
      </c>
      <c r="E653" s="61" t="s">
        <v>2815</v>
      </c>
      <c r="F653" s="32" t="s">
        <v>2524</v>
      </c>
      <c r="G653" s="10" t="s">
        <v>160</v>
      </c>
      <c r="H653" s="10" t="s">
        <v>848</v>
      </c>
      <c r="I653" s="62">
        <v>176</v>
      </c>
      <c r="J653" s="10" t="s">
        <v>2372</v>
      </c>
      <c r="K653" s="10" t="s">
        <v>847</v>
      </c>
      <c r="L653" s="10" t="s">
        <v>2373</v>
      </c>
      <c r="M653" s="10" t="s">
        <v>2372</v>
      </c>
      <c r="N653" s="10" t="s">
        <v>2373</v>
      </c>
      <c r="O653" s="10"/>
    </row>
    <row r="654" spans="1:15" ht="18" customHeight="1" x14ac:dyDescent="0.3">
      <c r="A654" s="24">
        <v>653</v>
      </c>
      <c r="B654" s="10" t="s">
        <v>196</v>
      </c>
      <c r="C654" s="10" t="s">
        <v>30</v>
      </c>
      <c r="D654" s="62">
        <v>30</v>
      </c>
      <c r="E654" s="61" t="s">
        <v>2815</v>
      </c>
      <c r="F654" s="32" t="s">
        <v>2524</v>
      </c>
      <c r="G654" s="10" t="s">
        <v>160</v>
      </c>
      <c r="H654" s="10" t="s">
        <v>849</v>
      </c>
      <c r="I654" s="62">
        <v>176</v>
      </c>
      <c r="J654" s="10" t="s">
        <v>2372</v>
      </c>
      <c r="K654" s="10" t="s">
        <v>847</v>
      </c>
      <c r="L654" s="10" t="s">
        <v>2373</v>
      </c>
      <c r="M654" s="10" t="s">
        <v>2372</v>
      </c>
      <c r="N654" s="10" t="s">
        <v>2373</v>
      </c>
      <c r="O654" s="10"/>
    </row>
    <row r="655" spans="1:15" ht="18" customHeight="1" x14ac:dyDescent="0.3">
      <c r="A655" s="24">
        <v>654</v>
      </c>
      <c r="B655" s="10" t="s">
        <v>196</v>
      </c>
      <c r="C655" s="10" t="s">
        <v>30</v>
      </c>
      <c r="D655" s="62">
        <v>30</v>
      </c>
      <c r="E655" s="61" t="s">
        <v>2815</v>
      </c>
      <c r="F655" s="32" t="s">
        <v>2524</v>
      </c>
      <c r="G655" s="10" t="s">
        <v>160</v>
      </c>
      <c r="H655" s="10" t="s">
        <v>850</v>
      </c>
      <c r="I655" s="62">
        <v>142</v>
      </c>
      <c r="J655" s="10" t="s">
        <v>2374</v>
      </c>
      <c r="K655" s="10" t="s">
        <v>847</v>
      </c>
      <c r="L655" s="10" t="s">
        <v>2373</v>
      </c>
      <c r="M655" s="10" t="s">
        <v>2372</v>
      </c>
      <c r="N655" s="10" t="s">
        <v>2373</v>
      </c>
      <c r="O655" s="10"/>
    </row>
    <row r="656" spans="1:15" ht="18" customHeight="1" x14ac:dyDescent="0.3">
      <c r="A656" s="24">
        <v>655</v>
      </c>
      <c r="B656" s="10" t="s">
        <v>196</v>
      </c>
      <c r="C656" s="10" t="s">
        <v>30</v>
      </c>
      <c r="D656" s="62">
        <v>30</v>
      </c>
      <c r="E656" s="61" t="s">
        <v>2815</v>
      </c>
      <c r="F656" s="32" t="s">
        <v>2524</v>
      </c>
      <c r="G656" s="10" t="s">
        <v>160</v>
      </c>
      <c r="H656" s="10" t="s">
        <v>851</v>
      </c>
      <c r="I656" s="62">
        <v>116</v>
      </c>
      <c r="J656" s="10" t="s">
        <v>2372</v>
      </c>
      <c r="K656" s="10" t="s">
        <v>847</v>
      </c>
      <c r="L656" s="10" t="s">
        <v>2373</v>
      </c>
      <c r="M656" s="10" t="s">
        <v>2372</v>
      </c>
      <c r="N656" s="10" t="s">
        <v>2373</v>
      </c>
      <c r="O656" s="10"/>
    </row>
    <row r="657" spans="1:15" ht="18" customHeight="1" x14ac:dyDescent="0.3">
      <c r="A657" s="24">
        <v>656</v>
      </c>
      <c r="B657" s="10" t="s">
        <v>196</v>
      </c>
      <c r="C657" s="10" t="s">
        <v>30</v>
      </c>
      <c r="D657" s="62">
        <v>30</v>
      </c>
      <c r="E657" s="61" t="s">
        <v>2815</v>
      </c>
      <c r="F657" s="32" t="s">
        <v>2524</v>
      </c>
      <c r="G657" s="10" t="s">
        <v>160</v>
      </c>
      <c r="H657" s="10" t="s">
        <v>852</v>
      </c>
      <c r="I657" s="62">
        <v>124</v>
      </c>
      <c r="J657" s="10" t="s">
        <v>2372</v>
      </c>
      <c r="K657" s="10" t="s">
        <v>847</v>
      </c>
      <c r="L657" s="10" t="s">
        <v>2373</v>
      </c>
      <c r="M657" s="10" t="s">
        <v>2372</v>
      </c>
      <c r="N657" s="10" t="s">
        <v>2373</v>
      </c>
      <c r="O657" s="10"/>
    </row>
    <row r="658" spans="1:15" ht="18" customHeight="1" x14ac:dyDescent="0.3">
      <c r="A658" s="24">
        <v>657</v>
      </c>
      <c r="B658" s="10" t="s">
        <v>196</v>
      </c>
      <c r="C658" s="10" t="s">
        <v>30</v>
      </c>
      <c r="D658" s="62">
        <v>30</v>
      </c>
      <c r="E658" s="61" t="s">
        <v>2815</v>
      </c>
      <c r="F658" s="32" t="s">
        <v>2524</v>
      </c>
      <c r="G658" s="10" t="s">
        <v>160</v>
      </c>
      <c r="H658" s="10" t="s">
        <v>853</v>
      </c>
      <c r="I658" s="62">
        <v>124</v>
      </c>
      <c r="J658" s="10" t="s">
        <v>2372</v>
      </c>
      <c r="K658" s="10" t="s">
        <v>847</v>
      </c>
      <c r="L658" s="10" t="s">
        <v>2373</v>
      </c>
      <c r="M658" s="10" t="s">
        <v>2372</v>
      </c>
      <c r="N658" s="10" t="s">
        <v>2373</v>
      </c>
      <c r="O658" s="10"/>
    </row>
    <row r="659" spans="1:15" ht="18" customHeight="1" x14ac:dyDescent="0.3">
      <c r="A659" s="24">
        <v>658</v>
      </c>
      <c r="B659" s="10" t="s">
        <v>196</v>
      </c>
      <c r="C659" s="10" t="s">
        <v>30</v>
      </c>
      <c r="D659" s="62">
        <v>30</v>
      </c>
      <c r="E659" s="61" t="s">
        <v>2815</v>
      </c>
      <c r="F659" s="32" t="s">
        <v>2524</v>
      </c>
      <c r="G659" s="10" t="s">
        <v>160</v>
      </c>
      <c r="H659" s="10" t="s">
        <v>854</v>
      </c>
      <c r="I659" s="62">
        <v>116</v>
      </c>
      <c r="J659" s="10" t="s">
        <v>2372</v>
      </c>
      <c r="K659" s="10" t="s">
        <v>847</v>
      </c>
      <c r="L659" s="10" t="s">
        <v>2373</v>
      </c>
      <c r="M659" s="10" t="s">
        <v>2372</v>
      </c>
      <c r="N659" s="10" t="s">
        <v>2373</v>
      </c>
      <c r="O659" s="10"/>
    </row>
    <row r="660" spans="1:15" ht="18" customHeight="1" x14ac:dyDescent="0.3">
      <c r="A660" s="24">
        <v>659</v>
      </c>
      <c r="B660" s="10" t="s">
        <v>196</v>
      </c>
      <c r="C660" s="10" t="s">
        <v>31</v>
      </c>
      <c r="D660" s="62">
        <v>31</v>
      </c>
      <c r="E660" s="61" t="s">
        <v>217</v>
      </c>
      <c r="F660" s="34" t="s">
        <v>1039</v>
      </c>
      <c r="G660" s="10" t="s">
        <v>150</v>
      </c>
      <c r="H660" s="10" t="s">
        <v>849</v>
      </c>
      <c r="I660" s="62">
        <v>186</v>
      </c>
      <c r="J660" s="8" t="s">
        <v>2372</v>
      </c>
      <c r="K660" s="10" t="s">
        <v>847</v>
      </c>
      <c r="L660" s="10" t="s">
        <v>2373</v>
      </c>
      <c r="M660" s="10" t="s">
        <v>2372</v>
      </c>
      <c r="N660" s="10" t="s">
        <v>2373</v>
      </c>
      <c r="O660" s="10"/>
    </row>
    <row r="661" spans="1:15" ht="18" customHeight="1" x14ac:dyDescent="0.3">
      <c r="A661" s="24">
        <v>660</v>
      </c>
      <c r="B661" s="10" t="s">
        <v>196</v>
      </c>
      <c r="C661" s="10" t="s">
        <v>31</v>
      </c>
      <c r="D661" s="62">
        <v>31</v>
      </c>
      <c r="E661" s="61" t="s">
        <v>217</v>
      </c>
      <c r="F661" s="34" t="s">
        <v>1039</v>
      </c>
      <c r="G661" s="10" t="s">
        <v>150</v>
      </c>
      <c r="H661" s="10" t="s">
        <v>850</v>
      </c>
      <c r="I661" s="62">
        <v>305</v>
      </c>
      <c r="J661" s="8" t="s">
        <v>846</v>
      </c>
      <c r="K661" s="10" t="s">
        <v>847</v>
      </c>
      <c r="L661" s="10" t="s">
        <v>2373</v>
      </c>
      <c r="M661" s="10" t="s">
        <v>2372</v>
      </c>
      <c r="N661" s="10" t="s">
        <v>2373</v>
      </c>
      <c r="O661" s="10"/>
    </row>
    <row r="662" spans="1:15" ht="18" customHeight="1" x14ac:dyDescent="0.3">
      <c r="A662" s="24">
        <v>661</v>
      </c>
      <c r="B662" s="10" t="s">
        <v>196</v>
      </c>
      <c r="C662" s="10" t="s">
        <v>31</v>
      </c>
      <c r="D662" s="62">
        <v>31</v>
      </c>
      <c r="E662" s="61" t="s">
        <v>217</v>
      </c>
      <c r="F662" s="34" t="s">
        <v>1039</v>
      </c>
      <c r="G662" s="10" t="s">
        <v>150</v>
      </c>
      <c r="H662" s="10" t="s">
        <v>851</v>
      </c>
      <c r="I662" s="62">
        <v>178</v>
      </c>
      <c r="J662" s="8" t="s">
        <v>846</v>
      </c>
      <c r="K662" s="10" t="s">
        <v>847</v>
      </c>
      <c r="L662" s="10" t="s">
        <v>2373</v>
      </c>
      <c r="M662" s="10" t="s">
        <v>2372</v>
      </c>
      <c r="N662" s="10" t="s">
        <v>2373</v>
      </c>
      <c r="O662" s="10"/>
    </row>
    <row r="663" spans="1:15" ht="18" customHeight="1" x14ac:dyDescent="0.3">
      <c r="A663" s="24">
        <v>662</v>
      </c>
      <c r="B663" s="10" t="s">
        <v>196</v>
      </c>
      <c r="C663" s="10" t="s">
        <v>31</v>
      </c>
      <c r="D663" s="62">
        <v>31</v>
      </c>
      <c r="E663" s="61" t="s">
        <v>217</v>
      </c>
      <c r="F663" s="34" t="s">
        <v>1039</v>
      </c>
      <c r="G663" s="10" t="s">
        <v>150</v>
      </c>
      <c r="H663" s="10" t="s">
        <v>852</v>
      </c>
      <c r="I663" s="62">
        <v>206</v>
      </c>
      <c r="J663" s="8" t="s">
        <v>2372</v>
      </c>
      <c r="K663" s="10" t="s">
        <v>847</v>
      </c>
      <c r="L663" s="10" t="s">
        <v>2373</v>
      </c>
      <c r="M663" s="10" t="s">
        <v>2372</v>
      </c>
      <c r="N663" s="10" t="s">
        <v>2373</v>
      </c>
      <c r="O663" s="10"/>
    </row>
    <row r="664" spans="1:15" ht="18" customHeight="1" x14ac:dyDescent="0.3">
      <c r="A664" s="24">
        <v>663</v>
      </c>
      <c r="B664" s="10" t="s">
        <v>196</v>
      </c>
      <c r="C664" s="10" t="s">
        <v>31</v>
      </c>
      <c r="D664" s="62">
        <v>31</v>
      </c>
      <c r="E664" s="61" t="s">
        <v>217</v>
      </c>
      <c r="F664" s="34" t="s">
        <v>1039</v>
      </c>
      <c r="G664" s="10" t="s">
        <v>150</v>
      </c>
      <c r="H664" s="10" t="s">
        <v>853</v>
      </c>
      <c r="I664" s="62">
        <v>224</v>
      </c>
      <c r="J664" s="8" t="s">
        <v>846</v>
      </c>
      <c r="K664" s="10" t="s">
        <v>847</v>
      </c>
      <c r="L664" s="10" t="s">
        <v>2373</v>
      </c>
      <c r="M664" s="10" t="s">
        <v>2372</v>
      </c>
      <c r="N664" s="10" t="s">
        <v>2373</v>
      </c>
      <c r="O664" s="10"/>
    </row>
    <row r="665" spans="1:15" ht="18" customHeight="1" x14ac:dyDescent="0.3">
      <c r="A665" s="24">
        <v>664</v>
      </c>
      <c r="B665" s="10" t="s">
        <v>196</v>
      </c>
      <c r="C665" s="10" t="s">
        <v>31</v>
      </c>
      <c r="D665" s="62">
        <v>31</v>
      </c>
      <c r="E665" s="61" t="s">
        <v>217</v>
      </c>
      <c r="F665" s="34" t="s">
        <v>1039</v>
      </c>
      <c r="G665" s="10" t="s">
        <v>150</v>
      </c>
      <c r="H665" s="10" t="s">
        <v>854</v>
      </c>
      <c r="I665" s="62">
        <v>113</v>
      </c>
      <c r="J665" s="8" t="s">
        <v>2372</v>
      </c>
      <c r="K665" s="10" t="s">
        <v>847</v>
      </c>
      <c r="L665" s="10" t="s">
        <v>2373</v>
      </c>
      <c r="M665" s="10" t="s">
        <v>2372</v>
      </c>
      <c r="N665" s="10" t="s">
        <v>2373</v>
      </c>
      <c r="O665" s="10"/>
    </row>
    <row r="666" spans="1:15" ht="18" customHeight="1" x14ac:dyDescent="0.3">
      <c r="A666" s="24">
        <v>665</v>
      </c>
      <c r="B666" s="10" t="s">
        <v>196</v>
      </c>
      <c r="C666" s="10" t="s">
        <v>31</v>
      </c>
      <c r="D666" s="62">
        <v>31</v>
      </c>
      <c r="E666" s="61" t="s">
        <v>217</v>
      </c>
      <c r="F666" s="34" t="s">
        <v>1039</v>
      </c>
      <c r="G666" s="10" t="s">
        <v>150</v>
      </c>
      <c r="H666" s="10" t="s">
        <v>855</v>
      </c>
      <c r="I666" s="62">
        <v>113</v>
      </c>
      <c r="J666" s="8" t="s">
        <v>2372</v>
      </c>
      <c r="K666" s="10" t="s">
        <v>847</v>
      </c>
      <c r="L666" s="10" t="s">
        <v>2373</v>
      </c>
      <c r="M666" s="10" t="s">
        <v>2372</v>
      </c>
      <c r="N666" s="10" t="s">
        <v>2373</v>
      </c>
      <c r="O666" s="10"/>
    </row>
    <row r="667" spans="1:15" ht="18" customHeight="1" x14ac:dyDescent="0.3">
      <c r="A667" s="24">
        <v>666</v>
      </c>
      <c r="B667" s="10" t="s">
        <v>196</v>
      </c>
      <c r="C667" s="10" t="s">
        <v>31</v>
      </c>
      <c r="D667" s="62">
        <v>31</v>
      </c>
      <c r="E667" s="61" t="s">
        <v>217</v>
      </c>
      <c r="F667" s="34" t="s">
        <v>421</v>
      </c>
      <c r="G667" s="10" t="s">
        <v>150</v>
      </c>
      <c r="H667" s="10" t="s">
        <v>2385</v>
      </c>
      <c r="I667" s="62">
        <v>70</v>
      </c>
      <c r="J667" s="8" t="s">
        <v>846</v>
      </c>
      <c r="K667" s="10" t="s">
        <v>847</v>
      </c>
      <c r="L667" s="10" t="s">
        <v>2373</v>
      </c>
      <c r="M667" s="10" t="s">
        <v>2372</v>
      </c>
      <c r="N667" s="10" t="s">
        <v>2373</v>
      </c>
      <c r="O667" s="10"/>
    </row>
    <row r="668" spans="1:15" ht="18" customHeight="1" x14ac:dyDescent="0.3">
      <c r="A668" s="24">
        <v>667</v>
      </c>
      <c r="B668" s="10" t="s">
        <v>196</v>
      </c>
      <c r="C668" s="10" t="s">
        <v>31</v>
      </c>
      <c r="D668" s="62">
        <v>31</v>
      </c>
      <c r="E668" s="61" t="s">
        <v>217</v>
      </c>
      <c r="F668" s="34" t="s">
        <v>421</v>
      </c>
      <c r="G668" s="10" t="s">
        <v>150</v>
      </c>
      <c r="H668" s="10" t="s">
        <v>848</v>
      </c>
      <c r="I668" s="62">
        <v>186</v>
      </c>
      <c r="J668" s="8" t="s">
        <v>2372</v>
      </c>
      <c r="K668" s="10" t="s">
        <v>847</v>
      </c>
      <c r="L668" s="10" t="s">
        <v>2373</v>
      </c>
      <c r="M668" s="10" t="s">
        <v>2372</v>
      </c>
      <c r="N668" s="10" t="s">
        <v>2373</v>
      </c>
      <c r="O668" s="10"/>
    </row>
    <row r="669" spans="1:15" ht="18" customHeight="1" x14ac:dyDescent="0.3">
      <c r="A669" s="24">
        <v>668</v>
      </c>
      <c r="B669" s="10" t="s">
        <v>196</v>
      </c>
      <c r="C669" s="10" t="s">
        <v>31</v>
      </c>
      <c r="D669" s="62">
        <v>31</v>
      </c>
      <c r="E669" s="61" t="s">
        <v>2816</v>
      </c>
      <c r="F669" s="35" t="s">
        <v>420</v>
      </c>
      <c r="G669" s="10" t="s">
        <v>150</v>
      </c>
      <c r="H669" s="10" t="s">
        <v>845</v>
      </c>
      <c r="I669" s="62">
        <v>170</v>
      </c>
      <c r="J669" s="10" t="s">
        <v>2374</v>
      </c>
      <c r="K669" s="10" t="s">
        <v>847</v>
      </c>
      <c r="L669" s="10" t="s">
        <v>2373</v>
      </c>
      <c r="M669" s="10" t="s">
        <v>2372</v>
      </c>
      <c r="N669" s="10" t="s">
        <v>2373</v>
      </c>
      <c r="O669" s="10"/>
    </row>
    <row r="670" spans="1:15" ht="18" customHeight="1" x14ac:dyDescent="0.3">
      <c r="A670" s="24">
        <v>669</v>
      </c>
      <c r="B670" s="10" t="s">
        <v>196</v>
      </c>
      <c r="C670" s="10" t="s">
        <v>31</v>
      </c>
      <c r="D670" s="62">
        <v>31</v>
      </c>
      <c r="E670" s="61" t="s">
        <v>2816</v>
      </c>
      <c r="F670" s="35" t="s">
        <v>420</v>
      </c>
      <c r="G670" s="10" t="s">
        <v>150</v>
      </c>
      <c r="H670" s="10" t="s">
        <v>848</v>
      </c>
      <c r="I670" s="62">
        <v>99</v>
      </c>
      <c r="J670" s="10" t="s">
        <v>2374</v>
      </c>
      <c r="K670" s="10" t="s">
        <v>847</v>
      </c>
      <c r="L670" s="10" t="s">
        <v>2373</v>
      </c>
      <c r="M670" s="10" t="s">
        <v>2372</v>
      </c>
      <c r="N670" s="10" t="s">
        <v>2373</v>
      </c>
      <c r="O670" s="10"/>
    </row>
    <row r="671" spans="1:15" ht="18" customHeight="1" x14ac:dyDescent="0.3">
      <c r="A671" s="24">
        <v>670</v>
      </c>
      <c r="B671" s="10" t="s">
        <v>196</v>
      </c>
      <c r="C671" s="10" t="s">
        <v>31</v>
      </c>
      <c r="D671" s="62">
        <v>31</v>
      </c>
      <c r="E671" s="61" t="s">
        <v>2816</v>
      </c>
      <c r="F671" s="35" t="s">
        <v>420</v>
      </c>
      <c r="G671" s="10" t="s">
        <v>150</v>
      </c>
      <c r="H671" s="10" t="s">
        <v>849</v>
      </c>
      <c r="I671" s="62">
        <v>97</v>
      </c>
      <c r="J671" s="10" t="s">
        <v>2374</v>
      </c>
      <c r="K671" s="10" t="s">
        <v>847</v>
      </c>
      <c r="L671" s="10" t="s">
        <v>2373</v>
      </c>
      <c r="M671" s="10" t="s">
        <v>2372</v>
      </c>
      <c r="N671" s="10" t="s">
        <v>2373</v>
      </c>
      <c r="O671" s="10"/>
    </row>
    <row r="672" spans="1:15" ht="18" customHeight="1" x14ac:dyDescent="0.3">
      <c r="A672" s="24">
        <v>671</v>
      </c>
      <c r="B672" s="10" t="s">
        <v>196</v>
      </c>
      <c r="C672" s="10" t="s">
        <v>31</v>
      </c>
      <c r="D672" s="62">
        <v>31</v>
      </c>
      <c r="E672" s="61" t="s">
        <v>2816</v>
      </c>
      <c r="F672" s="35" t="s">
        <v>420</v>
      </c>
      <c r="G672" s="10" t="s">
        <v>150</v>
      </c>
      <c r="H672" s="10" t="s">
        <v>850</v>
      </c>
      <c r="I672" s="62">
        <v>100</v>
      </c>
      <c r="J672" s="10" t="s">
        <v>2372</v>
      </c>
      <c r="K672" s="10" t="s">
        <v>847</v>
      </c>
      <c r="L672" s="10" t="s">
        <v>2373</v>
      </c>
      <c r="M672" s="10" t="s">
        <v>2372</v>
      </c>
      <c r="N672" s="10" t="s">
        <v>2373</v>
      </c>
      <c r="O672" s="10"/>
    </row>
    <row r="673" spans="1:15" ht="18" customHeight="1" x14ac:dyDescent="0.3">
      <c r="A673" s="24">
        <v>672</v>
      </c>
      <c r="B673" s="10" t="s">
        <v>196</v>
      </c>
      <c r="C673" s="10" t="s">
        <v>31</v>
      </c>
      <c r="D673" s="62">
        <v>31</v>
      </c>
      <c r="E673" s="61" t="s">
        <v>2816</v>
      </c>
      <c r="F673" s="35" t="s">
        <v>420</v>
      </c>
      <c r="G673" s="10" t="s">
        <v>150</v>
      </c>
      <c r="H673" s="10" t="s">
        <v>851</v>
      </c>
      <c r="I673" s="62">
        <v>170</v>
      </c>
      <c r="J673" s="10" t="s">
        <v>2372</v>
      </c>
      <c r="K673" s="10" t="s">
        <v>847</v>
      </c>
      <c r="L673" s="10" t="s">
        <v>2373</v>
      </c>
      <c r="M673" s="10" t="s">
        <v>2372</v>
      </c>
      <c r="N673" s="10" t="s">
        <v>2373</v>
      </c>
      <c r="O673" s="10"/>
    </row>
    <row r="674" spans="1:15" ht="18" customHeight="1" x14ac:dyDescent="0.3">
      <c r="A674" s="24">
        <v>673</v>
      </c>
      <c r="B674" s="10" t="s">
        <v>196</v>
      </c>
      <c r="C674" s="10" t="s">
        <v>31</v>
      </c>
      <c r="D674" s="62">
        <v>31</v>
      </c>
      <c r="E674" s="61" t="s">
        <v>2816</v>
      </c>
      <c r="F674" s="35" t="s">
        <v>420</v>
      </c>
      <c r="G674" s="10" t="s">
        <v>150</v>
      </c>
      <c r="H674" s="10" t="s">
        <v>853</v>
      </c>
      <c r="I674" s="62">
        <v>255</v>
      </c>
      <c r="J674" s="10" t="s">
        <v>2372</v>
      </c>
      <c r="K674" s="10" t="s">
        <v>847</v>
      </c>
      <c r="L674" s="10" t="s">
        <v>2373</v>
      </c>
      <c r="M674" s="10" t="s">
        <v>2372</v>
      </c>
      <c r="N674" s="10" t="s">
        <v>2373</v>
      </c>
      <c r="O674" s="10"/>
    </row>
    <row r="675" spans="1:15" ht="18" customHeight="1" x14ac:dyDescent="0.3">
      <c r="A675" s="24">
        <v>674</v>
      </c>
      <c r="B675" s="10" t="s">
        <v>196</v>
      </c>
      <c r="C675" s="10" t="s">
        <v>31</v>
      </c>
      <c r="D675" s="62">
        <v>31</v>
      </c>
      <c r="E675" s="61" t="s">
        <v>2816</v>
      </c>
      <c r="F675" s="35" t="s">
        <v>420</v>
      </c>
      <c r="G675" s="10" t="s">
        <v>150</v>
      </c>
      <c r="H675" s="10" t="s">
        <v>854</v>
      </c>
      <c r="I675" s="62">
        <v>224</v>
      </c>
      <c r="J675" s="10" t="s">
        <v>2372</v>
      </c>
      <c r="K675" s="10" t="s">
        <v>847</v>
      </c>
      <c r="L675" s="10" t="s">
        <v>2373</v>
      </c>
      <c r="M675" s="10" t="s">
        <v>2372</v>
      </c>
      <c r="N675" s="10" t="s">
        <v>2373</v>
      </c>
      <c r="O675" s="10"/>
    </row>
    <row r="676" spans="1:15" ht="18" customHeight="1" x14ac:dyDescent="0.3">
      <c r="A676" s="24">
        <v>675</v>
      </c>
      <c r="B676" s="10" t="s">
        <v>196</v>
      </c>
      <c r="C676" s="10" t="s">
        <v>31</v>
      </c>
      <c r="D676" s="62">
        <v>31</v>
      </c>
      <c r="E676" s="61" t="s">
        <v>2816</v>
      </c>
      <c r="F676" s="35" t="s">
        <v>420</v>
      </c>
      <c r="G676" s="10" t="s">
        <v>150</v>
      </c>
      <c r="H676" s="10" t="s">
        <v>855</v>
      </c>
      <c r="I676" s="62">
        <v>100</v>
      </c>
      <c r="J676" s="10" t="s">
        <v>2372</v>
      </c>
      <c r="K676" s="10" t="s">
        <v>847</v>
      </c>
      <c r="L676" s="10" t="s">
        <v>2373</v>
      </c>
      <c r="M676" s="10" t="s">
        <v>2372</v>
      </c>
      <c r="N676" s="10" t="s">
        <v>2373</v>
      </c>
      <c r="O676" s="10"/>
    </row>
    <row r="677" spans="1:15" ht="18" customHeight="1" x14ac:dyDescent="0.3">
      <c r="A677" s="24">
        <v>676</v>
      </c>
      <c r="B677" s="10" t="s">
        <v>196</v>
      </c>
      <c r="C677" s="10" t="s">
        <v>31</v>
      </c>
      <c r="D677" s="62">
        <v>31</v>
      </c>
      <c r="E677" s="61" t="s">
        <v>2816</v>
      </c>
      <c r="F677" s="35" t="s">
        <v>2525</v>
      </c>
      <c r="G677" s="10" t="s">
        <v>150</v>
      </c>
      <c r="H677" s="10" t="s">
        <v>852</v>
      </c>
      <c r="I677" s="62">
        <v>170</v>
      </c>
      <c r="J677" s="10" t="s">
        <v>2372</v>
      </c>
      <c r="K677" s="10" t="s">
        <v>846</v>
      </c>
      <c r="L677" s="10" t="s">
        <v>985</v>
      </c>
      <c r="M677" s="10" t="s">
        <v>2372</v>
      </c>
      <c r="N677" s="10" t="s">
        <v>2373</v>
      </c>
      <c r="O677" s="10"/>
    </row>
    <row r="678" spans="1:15" ht="18" customHeight="1" x14ac:dyDescent="0.3">
      <c r="A678" s="24">
        <v>677</v>
      </c>
      <c r="B678" s="10" t="s">
        <v>196</v>
      </c>
      <c r="C678" s="10" t="s">
        <v>32</v>
      </c>
      <c r="D678" s="62">
        <v>32</v>
      </c>
      <c r="E678" s="61" t="s">
        <v>2817</v>
      </c>
      <c r="F678" s="32" t="s">
        <v>419</v>
      </c>
      <c r="G678" s="10" t="s">
        <v>150</v>
      </c>
      <c r="H678" s="10" t="s">
        <v>845</v>
      </c>
      <c r="I678" s="62">
        <v>107</v>
      </c>
      <c r="J678" s="10" t="s">
        <v>2372</v>
      </c>
      <c r="K678" s="10" t="s">
        <v>847</v>
      </c>
      <c r="L678" s="10" t="s">
        <v>2373</v>
      </c>
      <c r="M678" s="10" t="s">
        <v>2372</v>
      </c>
      <c r="N678" s="10" t="s">
        <v>2373</v>
      </c>
      <c r="O678" s="10"/>
    </row>
    <row r="679" spans="1:15" ht="18" customHeight="1" x14ac:dyDescent="0.3">
      <c r="A679" s="24">
        <v>678</v>
      </c>
      <c r="B679" s="10" t="s">
        <v>196</v>
      </c>
      <c r="C679" s="10" t="s">
        <v>32</v>
      </c>
      <c r="D679" s="62">
        <v>32</v>
      </c>
      <c r="E679" s="61" t="s">
        <v>2817</v>
      </c>
      <c r="F679" s="32" t="s">
        <v>419</v>
      </c>
      <c r="G679" s="10" t="s">
        <v>150</v>
      </c>
      <c r="H679" s="10" t="s">
        <v>848</v>
      </c>
      <c r="I679" s="62">
        <v>122</v>
      </c>
      <c r="J679" s="10" t="s">
        <v>2372</v>
      </c>
      <c r="K679" s="10" t="s">
        <v>847</v>
      </c>
      <c r="L679" s="10" t="s">
        <v>2373</v>
      </c>
      <c r="M679" s="10" t="s">
        <v>2372</v>
      </c>
      <c r="N679" s="10" t="s">
        <v>2373</v>
      </c>
      <c r="O679" s="10"/>
    </row>
    <row r="680" spans="1:15" ht="18" customHeight="1" x14ac:dyDescent="0.3">
      <c r="A680" s="24">
        <v>679</v>
      </c>
      <c r="B680" s="10" t="s">
        <v>196</v>
      </c>
      <c r="C680" s="10" t="s">
        <v>32</v>
      </c>
      <c r="D680" s="62">
        <v>32</v>
      </c>
      <c r="E680" s="61" t="s">
        <v>2817</v>
      </c>
      <c r="F680" s="32" t="s">
        <v>419</v>
      </c>
      <c r="G680" s="10" t="s">
        <v>150</v>
      </c>
      <c r="H680" s="10" t="s">
        <v>849</v>
      </c>
      <c r="I680" s="62">
        <v>135</v>
      </c>
      <c r="J680" s="10" t="s">
        <v>2374</v>
      </c>
      <c r="K680" s="10" t="s">
        <v>847</v>
      </c>
      <c r="L680" s="10" t="s">
        <v>2373</v>
      </c>
      <c r="M680" s="10" t="s">
        <v>2372</v>
      </c>
      <c r="N680" s="10" t="s">
        <v>2373</v>
      </c>
      <c r="O680" s="10"/>
    </row>
    <row r="681" spans="1:15" ht="18" customHeight="1" x14ac:dyDescent="0.3">
      <c r="A681" s="24">
        <v>680</v>
      </c>
      <c r="B681" s="10" t="s">
        <v>196</v>
      </c>
      <c r="C681" s="10" t="s">
        <v>32</v>
      </c>
      <c r="D681" s="62">
        <v>32</v>
      </c>
      <c r="E681" s="61" t="s">
        <v>2817</v>
      </c>
      <c r="F681" s="32" t="s">
        <v>419</v>
      </c>
      <c r="G681" s="10" t="s">
        <v>150</v>
      </c>
      <c r="H681" s="10" t="s">
        <v>850</v>
      </c>
      <c r="I681" s="62">
        <v>136</v>
      </c>
      <c r="J681" s="10" t="s">
        <v>2374</v>
      </c>
      <c r="K681" s="10" t="s">
        <v>847</v>
      </c>
      <c r="L681" s="10" t="s">
        <v>2373</v>
      </c>
      <c r="M681" s="10" t="s">
        <v>2372</v>
      </c>
      <c r="N681" s="10" t="s">
        <v>2373</v>
      </c>
      <c r="O681" s="10"/>
    </row>
    <row r="682" spans="1:15" ht="18" customHeight="1" x14ac:dyDescent="0.3">
      <c r="A682" s="24">
        <v>681</v>
      </c>
      <c r="B682" s="10" t="s">
        <v>196</v>
      </c>
      <c r="C682" s="10" t="s">
        <v>32</v>
      </c>
      <c r="D682" s="62">
        <v>32</v>
      </c>
      <c r="E682" s="61" t="s">
        <v>2817</v>
      </c>
      <c r="F682" s="32" t="s">
        <v>419</v>
      </c>
      <c r="G682" s="10" t="s">
        <v>150</v>
      </c>
      <c r="H682" s="10" t="s">
        <v>851</v>
      </c>
      <c r="I682" s="62">
        <v>279</v>
      </c>
      <c r="J682" s="10" t="s">
        <v>2374</v>
      </c>
      <c r="K682" s="10" t="s">
        <v>847</v>
      </c>
      <c r="L682" s="10" t="s">
        <v>2373</v>
      </c>
      <c r="M682" s="10" t="s">
        <v>2372</v>
      </c>
      <c r="N682" s="10" t="s">
        <v>2373</v>
      </c>
      <c r="O682" s="10"/>
    </row>
    <row r="683" spans="1:15" ht="18" customHeight="1" x14ac:dyDescent="0.3">
      <c r="A683" s="24">
        <v>682</v>
      </c>
      <c r="B683" s="10" t="s">
        <v>196</v>
      </c>
      <c r="C683" s="10" t="s">
        <v>32</v>
      </c>
      <c r="D683" s="62">
        <v>32</v>
      </c>
      <c r="E683" s="61" t="s">
        <v>2817</v>
      </c>
      <c r="F683" s="32" t="s">
        <v>419</v>
      </c>
      <c r="G683" s="10" t="s">
        <v>150</v>
      </c>
      <c r="H683" s="10" t="s">
        <v>852</v>
      </c>
      <c r="I683" s="62">
        <v>122</v>
      </c>
      <c r="J683" s="10" t="s">
        <v>2372</v>
      </c>
      <c r="K683" s="10" t="s">
        <v>847</v>
      </c>
      <c r="L683" s="10" t="s">
        <v>2373</v>
      </c>
      <c r="M683" s="10" t="s">
        <v>2372</v>
      </c>
      <c r="N683" s="10" t="s">
        <v>2373</v>
      </c>
      <c r="O683" s="10"/>
    </row>
    <row r="684" spans="1:15" ht="18" customHeight="1" x14ac:dyDescent="0.3">
      <c r="A684" s="24">
        <v>683</v>
      </c>
      <c r="B684" s="10" t="s">
        <v>196</v>
      </c>
      <c r="C684" s="10" t="s">
        <v>32</v>
      </c>
      <c r="D684" s="62">
        <v>32</v>
      </c>
      <c r="E684" s="61" t="s">
        <v>2817</v>
      </c>
      <c r="F684" s="32" t="s">
        <v>419</v>
      </c>
      <c r="G684" s="10" t="s">
        <v>150</v>
      </c>
      <c r="H684" s="10" t="s">
        <v>853</v>
      </c>
      <c r="I684" s="62">
        <v>134</v>
      </c>
      <c r="J684" s="10" t="s">
        <v>2372</v>
      </c>
      <c r="K684" s="10" t="s">
        <v>847</v>
      </c>
      <c r="L684" s="10" t="s">
        <v>2373</v>
      </c>
      <c r="M684" s="10" t="s">
        <v>2372</v>
      </c>
      <c r="N684" s="10" t="s">
        <v>2373</v>
      </c>
      <c r="O684" s="10"/>
    </row>
    <row r="685" spans="1:15" ht="18" customHeight="1" x14ac:dyDescent="0.3">
      <c r="A685" s="24">
        <v>684</v>
      </c>
      <c r="B685" s="10" t="s">
        <v>196</v>
      </c>
      <c r="C685" s="10" t="s">
        <v>32</v>
      </c>
      <c r="D685" s="62">
        <v>32</v>
      </c>
      <c r="E685" s="61" t="s">
        <v>2817</v>
      </c>
      <c r="F685" s="32" t="s">
        <v>419</v>
      </c>
      <c r="G685" s="10" t="s">
        <v>150</v>
      </c>
      <c r="H685" s="10" t="s">
        <v>854</v>
      </c>
      <c r="I685" s="62">
        <v>136</v>
      </c>
      <c r="J685" s="10" t="s">
        <v>2374</v>
      </c>
      <c r="K685" s="10" t="s">
        <v>847</v>
      </c>
      <c r="L685" s="10" t="s">
        <v>2373</v>
      </c>
      <c r="M685" s="10" t="s">
        <v>2372</v>
      </c>
      <c r="N685" s="10" t="s">
        <v>2373</v>
      </c>
      <c r="O685" s="10"/>
    </row>
    <row r="686" spans="1:15" ht="18" customHeight="1" x14ac:dyDescent="0.3">
      <c r="A686" s="24">
        <v>685</v>
      </c>
      <c r="B686" s="10" t="s">
        <v>196</v>
      </c>
      <c r="C686" s="10" t="s">
        <v>33</v>
      </c>
      <c r="D686" s="62">
        <v>33</v>
      </c>
      <c r="E686" s="61" t="s">
        <v>871</v>
      </c>
      <c r="F686" s="27" t="s">
        <v>431</v>
      </c>
      <c r="G686" s="10" t="s">
        <v>160</v>
      </c>
      <c r="H686" s="10" t="s">
        <v>2385</v>
      </c>
      <c r="I686" s="62">
        <v>127</v>
      </c>
      <c r="J686" s="10" t="s">
        <v>2372</v>
      </c>
      <c r="K686" s="173" t="s">
        <v>3451</v>
      </c>
      <c r="L686" s="173" t="s">
        <v>1422</v>
      </c>
      <c r="M686" s="10" t="s">
        <v>2372</v>
      </c>
      <c r="N686" s="10" t="s">
        <v>2373</v>
      </c>
      <c r="O686" s="10"/>
    </row>
    <row r="687" spans="1:15" ht="18" customHeight="1" x14ac:dyDescent="0.3">
      <c r="A687" s="24">
        <v>686</v>
      </c>
      <c r="B687" s="10" t="s">
        <v>196</v>
      </c>
      <c r="C687" s="10" t="s">
        <v>33</v>
      </c>
      <c r="D687" s="62">
        <v>33</v>
      </c>
      <c r="E687" s="61" t="s">
        <v>871</v>
      </c>
      <c r="F687" s="27" t="s">
        <v>431</v>
      </c>
      <c r="G687" s="10" t="s">
        <v>160</v>
      </c>
      <c r="H687" s="10" t="s">
        <v>2378</v>
      </c>
      <c r="I687" s="62">
        <v>41</v>
      </c>
      <c r="J687" s="10" t="s">
        <v>2372</v>
      </c>
      <c r="K687" s="173" t="s">
        <v>3451</v>
      </c>
      <c r="L687" s="173" t="s">
        <v>1422</v>
      </c>
      <c r="M687" s="10" t="s">
        <v>2372</v>
      </c>
      <c r="N687" s="10" t="s">
        <v>2373</v>
      </c>
      <c r="O687" s="10"/>
    </row>
    <row r="688" spans="1:15" ht="18" customHeight="1" x14ac:dyDescent="0.3">
      <c r="A688" s="24">
        <v>687</v>
      </c>
      <c r="B688" s="10" t="s">
        <v>196</v>
      </c>
      <c r="C688" s="10" t="s">
        <v>33</v>
      </c>
      <c r="D688" s="62">
        <v>33</v>
      </c>
      <c r="E688" s="61" t="s">
        <v>871</v>
      </c>
      <c r="F688" s="27" t="s">
        <v>431</v>
      </c>
      <c r="G688" s="10" t="s">
        <v>160</v>
      </c>
      <c r="H688" s="10" t="s">
        <v>2379</v>
      </c>
      <c r="I688" s="62">
        <v>64</v>
      </c>
      <c r="J688" s="10" t="s">
        <v>2372</v>
      </c>
      <c r="K688" s="173" t="s">
        <v>3451</v>
      </c>
      <c r="L688" s="173" t="s">
        <v>1422</v>
      </c>
      <c r="M688" s="10" t="s">
        <v>2372</v>
      </c>
      <c r="N688" s="10" t="s">
        <v>2373</v>
      </c>
      <c r="O688" s="10"/>
    </row>
    <row r="689" spans="1:15" ht="18" customHeight="1" x14ac:dyDescent="0.3">
      <c r="A689" s="24">
        <v>688</v>
      </c>
      <c r="B689" s="10" t="s">
        <v>196</v>
      </c>
      <c r="C689" s="10" t="s">
        <v>33</v>
      </c>
      <c r="D689" s="62">
        <v>33</v>
      </c>
      <c r="E689" s="61" t="s">
        <v>871</v>
      </c>
      <c r="F689" s="27" t="s">
        <v>431</v>
      </c>
      <c r="G689" s="10" t="s">
        <v>160</v>
      </c>
      <c r="H689" s="10" t="s">
        <v>2380</v>
      </c>
      <c r="I689" s="62">
        <v>68</v>
      </c>
      <c r="J689" s="10" t="s">
        <v>2372</v>
      </c>
      <c r="K689" s="173" t="s">
        <v>3451</v>
      </c>
      <c r="L689" s="173" t="s">
        <v>3452</v>
      </c>
      <c r="M689" s="10" t="s">
        <v>2372</v>
      </c>
      <c r="N689" s="10" t="s">
        <v>2373</v>
      </c>
      <c r="O689" s="10"/>
    </row>
    <row r="690" spans="1:15" ht="18" customHeight="1" x14ac:dyDescent="0.3">
      <c r="A690" s="24">
        <v>689</v>
      </c>
      <c r="B690" s="10" t="s">
        <v>196</v>
      </c>
      <c r="C690" s="10" t="s">
        <v>33</v>
      </c>
      <c r="D690" s="62">
        <v>33</v>
      </c>
      <c r="E690" s="61" t="s">
        <v>871</v>
      </c>
      <c r="F690" s="27" t="s">
        <v>431</v>
      </c>
      <c r="G690" s="10" t="s">
        <v>160</v>
      </c>
      <c r="H690" s="10" t="s">
        <v>2390</v>
      </c>
      <c r="I690" s="62">
        <v>127</v>
      </c>
      <c r="J690" s="10" t="s">
        <v>2372</v>
      </c>
      <c r="K690" s="173" t="s">
        <v>3451</v>
      </c>
      <c r="L690" s="173" t="s">
        <v>1422</v>
      </c>
      <c r="M690" s="10" t="s">
        <v>2372</v>
      </c>
      <c r="N690" s="10" t="s">
        <v>2373</v>
      </c>
      <c r="O690" s="10"/>
    </row>
    <row r="691" spans="1:15" ht="18" customHeight="1" x14ac:dyDescent="0.3">
      <c r="A691" s="24">
        <v>690</v>
      </c>
      <c r="B691" s="10" t="s">
        <v>196</v>
      </c>
      <c r="C691" s="10" t="s">
        <v>33</v>
      </c>
      <c r="D691" s="62">
        <v>33</v>
      </c>
      <c r="E691" s="61" t="s">
        <v>871</v>
      </c>
      <c r="F691" s="27" t="s">
        <v>431</v>
      </c>
      <c r="G691" s="10" t="s">
        <v>160</v>
      </c>
      <c r="H691" s="10" t="s">
        <v>2382</v>
      </c>
      <c r="I691" s="62">
        <v>57</v>
      </c>
      <c r="J691" s="10" t="s">
        <v>2372</v>
      </c>
      <c r="K691" s="173" t="s">
        <v>3451</v>
      </c>
      <c r="L691" s="173" t="s">
        <v>3452</v>
      </c>
      <c r="M691" s="10" t="s">
        <v>2372</v>
      </c>
      <c r="N691" s="10" t="s">
        <v>2373</v>
      </c>
      <c r="O691" s="10"/>
    </row>
    <row r="692" spans="1:15" ht="18" customHeight="1" x14ac:dyDescent="0.3">
      <c r="A692" s="24">
        <v>691</v>
      </c>
      <c r="B692" s="10" t="s">
        <v>196</v>
      </c>
      <c r="C692" s="10" t="s">
        <v>33</v>
      </c>
      <c r="D692" s="62">
        <v>33</v>
      </c>
      <c r="E692" s="61" t="s">
        <v>871</v>
      </c>
      <c r="F692" s="27" t="s">
        <v>431</v>
      </c>
      <c r="G692" s="10" t="s">
        <v>160</v>
      </c>
      <c r="H692" s="10" t="s">
        <v>2431</v>
      </c>
      <c r="I692" s="62">
        <v>81</v>
      </c>
      <c r="J692" s="10" t="s">
        <v>2372</v>
      </c>
      <c r="K692" s="173" t="s">
        <v>3451</v>
      </c>
      <c r="L692" s="173" t="s">
        <v>3195</v>
      </c>
      <c r="M692" s="10" t="s">
        <v>2372</v>
      </c>
      <c r="N692" s="10" t="s">
        <v>2373</v>
      </c>
      <c r="O692" s="10"/>
    </row>
    <row r="693" spans="1:15" ht="18" customHeight="1" x14ac:dyDescent="0.3">
      <c r="A693" s="24">
        <v>692</v>
      </c>
      <c r="B693" s="10" t="s">
        <v>196</v>
      </c>
      <c r="C693" s="10" t="s">
        <v>33</v>
      </c>
      <c r="D693" s="62">
        <v>33</v>
      </c>
      <c r="E693" s="61" t="s">
        <v>871</v>
      </c>
      <c r="F693" s="27" t="s">
        <v>431</v>
      </c>
      <c r="G693" s="10" t="s">
        <v>160</v>
      </c>
      <c r="H693" s="10" t="s">
        <v>2383</v>
      </c>
      <c r="I693" s="62">
        <v>65</v>
      </c>
      <c r="J693" s="10" t="s">
        <v>2374</v>
      </c>
      <c r="K693" s="173" t="s">
        <v>3451</v>
      </c>
      <c r="L693" s="173" t="s">
        <v>3195</v>
      </c>
      <c r="M693" s="10" t="s">
        <v>2372</v>
      </c>
      <c r="N693" s="10" t="s">
        <v>2373</v>
      </c>
      <c r="O693" s="10"/>
    </row>
    <row r="694" spans="1:15" ht="18" customHeight="1" x14ac:dyDescent="0.3">
      <c r="A694" s="24">
        <v>693</v>
      </c>
      <c r="B694" s="10" t="s">
        <v>196</v>
      </c>
      <c r="C694" s="10" t="s">
        <v>33</v>
      </c>
      <c r="D694" s="62">
        <v>33</v>
      </c>
      <c r="E694" s="61" t="s">
        <v>871</v>
      </c>
      <c r="F694" s="27" t="s">
        <v>431</v>
      </c>
      <c r="G694" s="10" t="s">
        <v>160</v>
      </c>
      <c r="H694" s="10" t="s">
        <v>3465</v>
      </c>
      <c r="I694" s="62">
        <v>60</v>
      </c>
      <c r="J694" s="10" t="s">
        <v>2372</v>
      </c>
      <c r="K694" s="10" t="s">
        <v>3451</v>
      </c>
      <c r="L694" s="10" t="s">
        <v>1422</v>
      </c>
      <c r="M694" s="10" t="s">
        <v>2372</v>
      </c>
      <c r="N694" s="10" t="s">
        <v>2373</v>
      </c>
      <c r="O694" s="10"/>
    </row>
    <row r="695" spans="1:15" ht="18" customHeight="1" x14ac:dyDescent="0.3">
      <c r="A695" s="24">
        <v>694</v>
      </c>
      <c r="B695" s="10" t="s">
        <v>196</v>
      </c>
      <c r="C695" s="10" t="s">
        <v>33</v>
      </c>
      <c r="D695" s="62">
        <v>33</v>
      </c>
      <c r="E695" s="61" t="s">
        <v>2818</v>
      </c>
      <c r="F695" s="32" t="s">
        <v>1040</v>
      </c>
      <c r="G695" s="10" t="s">
        <v>150</v>
      </c>
      <c r="H695" s="10" t="s">
        <v>849</v>
      </c>
      <c r="I695" s="62">
        <v>95</v>
      </c>
      <c r="J695" s="10" t="s">
        <v>2372</v>
      </c>
      <c r="K695" s="10" t="s">
        <v>847</v>
      </c>
      <c r="L695" s="10" t="s">
        <v>2373</v>
      </c>
      <c r="M695" s="10" t="s">
        <v>2372</v>
      </c>
      <c r="N695" s="10" t="s">
        <v>2373</v>
      </c>
      <c r="O695" s="10"/>
    </row>
    <row r="696" spans="1:15" ht="18" customHeight="1" x14ac:dyDescent="0.3">
      <c r="A696" s="24">
        <v>695</v>
      </c>
      <c r="B696" s="10" t="s">
        <v>196</v>
      </c>
      <c r="C696" s="10" t="s">
        <v>33</v>
      </c>
      <c r="D696" s="62">
        <v>33</v>
      </c>
      <c r="E696" s="61" t="s">
        <v>2818</v>
      </c>
      <c r="F696" s="32" t="s">
        <v>1040</v>
      </c>
      <c r="G696" s="10" t="s">
        <v>150</v>
      </c>
      <c r="H696" s="10" t="s">
        <v>850</v>
      </c>
      <c r="I696" s="62">
        <v>93</v>
      </c>
      <c r="J696" s="10" t="s">
        <v>2372</v>
      </c>
      <c r="K696" s="10" t="s">
        <v>847</v>
      </c>
      <c r="L696" s="10" t="s">
        <v>2373</v>
      </c>
      <c r="M696" s="10" t="s">
        <v>2372</v>
      </c>
      <c r="N696" s="10" t="s">
        <v>2373</v>
      </c>
      <c r="O696" s="10"/>
    </row>
    <row r="697" spans="1:15" ht="18" customHeight="1" x14ac:dyDescent="0.3">
      <c r="A697" s="24">
        <v>696</v>
      </c>
      <c r="B697" s="10" t="s">
        <v>196</v>
      </c>
      <c r="C697" s="10" t="s">
        <v>33</v>
      </c>
      <c r="D697" s="62">
        <v>33</v>
      </c>
      <c r="E697" s="61" t="s">
        <v>2818</v>
      </c>
      <c r="F697" s="32" t="s">
        <v>1040</v>
      </c>
      <c r="G697" s="10" t="s">
        <v>150</v>
      </c>
      <c r="H697" s="10" t="s">
        <v>851</v>
      </c>
      <c r="I697" s="62">
        <v>109</v>
      </c>
      <c r="J697" s="10" t="s">
        <v>2372</v>
      </c>
      <c r="K697" s="10" t="s">
        <v>847</v>
      </c>
      <c r="L697" s="10" t="s">
        <v>2373</v>
      </c>
      <c r="M697" s="10" t="s">
        <v>2372</v>
      </c>
      <c r="N697" s="10" t="s">
        <v>2373</v>
      </c>
      <c r="O697" s="10"/>
    </row>
    <row r="698" spans="1:15" ht="18" customHeight="1" x14ac:dyDescent="0.3">
      <c r="A698" s="24">
        <v>697</v>
      </c>
      <c r="B698" s="10" t="s">
        <v>196</v>
      </c>
      <c r="C698" s="10" t="s">
        <v>33</v>
      </c>
      <c r="D698" s="62">
        <v>33</v>
      </c>
      <c r="E698" s="61" t="s">
        <v>2818</v>
      </c>
      <c r="F698" s="32" t="s">
        <v>1040</v>
      </c>
      <c r="G698" s="10" t="s">
        <v>150</v>
      </c>
      <c r="H698" s="10" t="s">
        <v>852</v>
      </c>
      <c r="I698" s="62">
        <v>92</v>
      </c>
      <c r="J698" s="10" t="s">
        <v>2372</v>
      </c>
      <c r="K698" s="10" t="s">
        <v>847</v>
      </c>
      <c r="L698" s="10" t="s">
        <v>2373</v>
      </c>
      <c r="M698" s="10" t="s">
        <v>2372</v>
      </c>
      <c r="N698" s="10" t="s">
        <v>2373</v>
      </c>
      <c r="O698" s="10"/>
    </row>
    <row r="699" spans="1:15" ht="18" customHeight="1" x14ac:dyDescent="0.3">
      <c r="A699" s="24">
        <v>698</v>
      </c>
      <c r="B699" s="10" t="s">
        <v>196</v>
      </c>
      <c r="C699" s="10" t="s">
        <v>33</v>
      </c>
      <c r="D699" s="62">
        <v>33</v>
      </c>
      <c r="E699" s="61" t="s">
        <v>2818</v>
      </c>
      <c r="F699" s="32" t="s">
        <v>1040</v>
      </c>
      <c r="G699" s="10" t="s">
        <v>150</v>
      </c>
      <c r="H699" s="10" t="s">
        <v>853</v>
      </c>
      <c r="I699" s="62">
        <v>97</v>
      </c>
      <c r="J699" s="10" t="s">
        <v>2372</v>
      </c>
      <c r="K699" s="10" t="s">
        <v>847</v>
      </c>
      <c r="L699" s="10" t="s">
        <v>2373</v>
      </c>
      <c r="M699" s="10" t="s">
        <v>2372</v>
      </c>
      <c r="N699" s="10" t="s">
        <v>2373</v>
      </c>
      <c r="O699" s="10"/>
    </row>
    <row r="700" spans="1:15" ht="18" customHeight="1" x14ac:dyDescent="0.3">
      <c r="A700" s="24">
        <v>699</v>
      </c>
      <c r="B700" s="10" t="s">
        <v>196</v>
      </c>
      <c r="C700" s="10" t="s">
        <v>33</v>
      </c>
      <c r="D700" s="62">
        <v>33</v>
      </c>
      <c r="E700" s="61" t="s">
        <v>2818</v>
      </c>
      <c r="F700" s="32" t="s">
        <v>428</v>
      </c>
      <c r="G700" s="10" t="s">
        <v>150</v>
      </c>
      <c r="H700" s="10" t="s">
        <v>845</v>
      </c>
      <c r="I700" s="62">
        <v>153</v>
      </c>
      <c r="J700" s="10" t="s">
        <v>2374</v>
      </c>
      <c r="K700" s="10" t="s">
        <v>847</v>
      </c>
      <c r="L700" s="10" t="s">
        <v>2373</v>
      </c>
      <c r="M700" s="10" t="s">
        <v>2372</v>
      </c>
      <c r="N700" s="10" t="s">
        <v>2373</v>
      </c>
      <c r="O700" s="10"/>
    </row>
    <row r="701" spans="1:15" ht="18" customHeight="1" x14ac:dyDescent="0.3">
      <c r="A701" s="24">
        <v>700</v>
      </c>
      <c r="B701" s="10" t="s">
        <v>196</v>
      </c>
      <c r="C701" s="10" t="s">
        <v>33</v>
      </c>
      <c r="D701" s="62">
        <v>33</v>
      </c>
      <c r="E701" s="61" t="s">
        <v>2818</v>
      </c>
      <c r="F701" s="32" t="s">
        <v>428</v>
      </c>
      <c r="G701" s="10" t="s">
        <v>150</v>
      </c>
      <c r="H701" s="10" t="s">
        <v>848</v>
      </c>
      <c r="I701" s="62">
        <v>117</v>
      </c>
      <c r="J701" s="10" t="s">
        <v>2374</v>
      </c>
      <c r="K701" s="10" t="s">
        <v>847</v>
      </c>
      <c r="L701" s="10" t="s">
        <v>2373</v>
      </c>
      <c r="M701" s="10" t="s">
        <v>2372</v>
      </c>
      <c r="N701" s="10" t="s">
        <v>2373</v>
      </c>
      <c r="O701" s="10"/>
    </row>
    <row r="702" spans="1:15" ht="18" customHeight="1" x14ac:dyDescent="0.3">
      <c r="A702" s="24">
        <v>701</v>
      </c>
      <c r="B702" s="10" t="s">
        <v>196</v>
      </c>
      <c r="C702" s="10" t="s">
        <v>34</v>
      </c>
      <c r="D702" s="62">
        <v>34</v>
      </c>
      <c r="E702" s="61" t="s">
        <v>2819</v>
      </c>
      <c r="F702" s="32" t="s">
        <v>441</v>
      </c>
      <c r="G702" s="10" t="s">
        <v>150</v>
      </c>
      <c r="H702" s="10" t="s">
        <v>849</v>
      </c>
      <c r="I702" s="62">
        <v>254</v>
      </c>
      <c r="J702" s="10" t="s">
        <v>2374</v>
      </c>
      <c r="K702" s="10" t="s">
        <v>847</v>
      </c>
      <c r="L702" s="10" t="s">
        <v>2373</v>
      </c>
      <c r="M702" s="10" t="s">
        <v>2372</v>
      </c>
      <c r="N702" s="10" t="s">
        <v>2373</v>
      </c>
      <c r="O702" s="10"/>
    </row>
    <row r="703" spans="1:15" ht="18" customHeight="1" x14ac:dyDescent="0.3">
      <c r="A703" s="24">
        <v>702</v>
      </c>
      <c r="B703" s="10" t="s">
        <v>196</v>
      </c>
      <c r="C703" s="10" t="s">
        <v>34</v>
      </c>
      <c r="D703" s="62">
        <v>34</v>
      </c>
      <c r="E703" s="61" t="s">
        <v>2819</v>
      </c>
      <c r="F703" s="32" t="s">
        <v>441</v>
      </c>
      <c r="G703" s="10" t="s">
        <v>150</v>
      </c>
      <c r="H703" s="10" t="s">
        <v>850</v>
      </c>
      <c r="I703" s="62">
        <v>303</v>
      </c>
      <c r="J703" s="10" t="s">
        <v>2374</v>
      </c>
      <c r="K703" s="10" t="s">
        <v>847</v>
      </c>
      <c r="L703" s="10" t="s">
        <v>2373</v>
      </c>
      <c r="M703" s="10" t="s">
        <v>2372</v>
      </c>
      <c r="N703" s="10" t="s">
        <v>2373</v>
      </c>
      <c r="O703" s="10"/>
    </row>
    <row r="704" spans="1:15" ht="18" customHeight="1" x14ac:dyDescent="0.3">
      <c r="A704" s="24">
        <v>703</v>
      </c>
      <c r="B704" s="10" t="s">
        <v>196</v>
      </c>
      <c r="C704" s="10" t="s">
        <v>34</v>
      </c>
      <c r="D704" s="62">
        <v>34</v>
      </c>
      <c r="E704" s="61" t="s">
        <v>2819</v>
      </c>
      <c r="F704" s="32" t="s">
        <v>441</v>
      </c>
      <c r="G704" s="10" t="s">
        <v>150</v>
      </c>
      <c r="H704" s="10" t="s">
        <v>851</v>
      </c>
      <c r="I704" s="62">
        <v>270</v>
      </c>
      <c r="J704" s="10" t="s">
        <v>2372</v>
      </c>
      <c r="K704" s="10" t="s">
        <v>847</v>
      </c>
      <c r="L704" s="10" t="s">
        <v>2373</v>
      </c>
      <c r="M704" s="10" t="s">
        <v>2372</v>
      </c>
      <c r="N704" s="10" t="s">
        <v>2373</v>
      </c>
      <c r="O704" s="10"/>
    </row>
    <row r="705" spans="1:15" ht="18" customHeight="1" x14ac:dyDescent="0.3">
      <c r="A705" s="24">
        <v>704</v>
      </c>
      <c r="B705" s="10" t="s">
        <v>196</v>
      </c>
      <c r="C705" s="10" t="s">
        <v>34</v>
      </c>
      <c r="D705" s="62">
        <v>34</v>
      </c>
      <c r="E705" s="61" t="s">
        <v>2819</v>
      </c>
      <c r="F705" s="32" t="s">
        <v>441</v>
      </c>
      <c r="G705" s="10" t="s">
        <v>150</v>
      </c>
      <c r="H705" s="10" t="s">
        <v>852</v>
      </c>
      <c r="I705" s="62">
        <v>326</v>
      </c>
      <c r="J705" s="10" t="s">
        <v>2374</v>
      </c>
      <c r="K705" s="10" t="s">
        <v>847</v>
      </c>
      <c r="L705" s="10" t="s">
        <v>2373</v>
      </c>
      <c r="M705" s="10" t="s">
        <v>2372</v>
      </c>
      <c r="N705" s="10" t="s">
        <v>2373</v>
      </c>
      <c r="O705" s="10"/>
    </row>
    <row r="706" spans="1:15" ht="18" customHeight="1" x14ac:dyDescent="0.3">
      <c r="A706" s="24">
        <v>705</v>
      </c>
      <c r="B706" s="10" t="s">
        <v>196</v>
      </c>
      <c r="C706" s="10" t="s">
        <v>34</v>
      </c>
      <c r="D706" s="62">
        <v>34</v>
      </c>
      <c r="E706" s="61" t="s">
        <v>2819</v>
      </c>
      <c r="F706" s="32" t="s">
        <v>441</v>
      </c>
      <c r="G706" s="10" t="s">
        <v>150</v>
      </c>
      <c r="H706" s="10" t="s">
        <v>2431</v>
      </c>
      <c r="I706" s="62">
        <v>172</v>
      </c>
      <c r="J706" s="10" t="s">
        <v>2372</v>
      </c>
      <c r="K706" s="10" t="s">
        <v>847</v>
      </c>
      <c r="L706" s="10" t="s">
        <v>2373</v>
      </c>
      <c r="M706" s="10" t="s">
        <v>2372</v>
      </c>
      <c r="N706" s="10" t="s">
        <v>2373</v>
      </c>
      <c r="O706" s="10"/>
    </row>
    <row r="707" spans="1:15" ht="18" customHeight="1" x14ac:dyDescent="0.3">
      <c r="A707" s="24">
        <v>706</v>
      </c>
      <c r="B707" s="10" t="s">
        <v>196</v>
      </c>
      <c r="C707" s="10" t="s">
        <v>34</v>
      </c>
      <c r="D707" s="62">
        <v>34</v>
      </c>
      <c r="E707" s="61" t="s">
        <v>2819</v>
      </c>
      <c r="F707" s="32" t="s">
        <v>2526</v>
      </c>
      <c r="G707" s="10" t="s">
        <v>150</v>
      </c>
      <c r="H707" s="10" t="s">
        <v>848</v>
      </c>
      <c r="I707" s="62">
        <v>228</v>
      </c>
      <c r="J707" s="10" t="s">
        <v>2372</v>
      </c>
      <c r="K707" s="10" t="s">
        <v>846</v>
      </c>
      <c r="L707" s="10" t="s">
        <v>985</v>
      </c>
      <c r="M707" s="10" t="s">
        <v>2372</v>
      </c>
      <c r="N707" s="10" t="s">
        <v>2373</v>
      </c>
      <c r="O707" s="10"/>
    </row>
    <row r="708" spans="1:15" ht="18" customHeight="1" x14ac:dyDescent="0.3">
      <c r="A708" s="24">
        <v>707</v>
      </c>
      <c r="B708" s="10" t="s">
        <v>196</v>
      </c>
      <c r="C708" s="10" t="s">
        <v>34</v>
      </c>
      <c r="D708" s="62">
        <v>34</v>
      </c>
      <c r="E708" s="61" t="s">
        <v>2819</v>
      </c>
      <c r="F708" s="32" t="s">
        <v>2526</v>
      </c>
      <c r="G708" s="10" t="s">
        <v>150</v>
      </c>
      <c r="H708" s="10" t="s">
        <v>923</v>
      </c>
      <c r="I708" s="62">
        <v>128</v>
      </c>
      <c r="J708" s="10" t="s">
        <v>2374</v>
      </c>
      <c r="K708" s="10" t="s">
        <v>846</v>
      </c>
      <c r="L708" s="10" t="s">
        <v>1516</v>
      </c>
      <c r="M708" s="10" t="s">
        <v>2372</v>
      </c>
      <c r="N708" s="10" t="s">
        <v>2373</v>
      </c>
      <c r="O708" s="10"/>
    </row>
    <row r="709" spans="1:15" ht="18" customHeight="1" x14ac:dyDescent="0.3">
      <c r="A709" s="24">
        <v>708</v>
      </c>
      <c r="B709" s="10" t="s">
        <v>196</v>
      </c>
      <c r="C709" s="10" t="s">
        <v>34</v>
      </c>
      <c r="D709" s="62">
        <v>34</v>
      </c>
      <c r="E709" s="61" t="s">
        <v>2819</v>
      </c>
      <c r="F709" s="32" t="s">
        <v>2526</v>
      </c>
      <c r="G709" s="10" t="s">
        <v>150</v>
      </c>
      <c r="H709" s="10" t="s">
        <v>2527</v>
      </c>
      <c r="I709" s="62">
        <v>381</v>
      </c>
      <c r="J709" s="10" t="s">
        <v>2372</v>
      </c>
      <c r="K709" s="10" t="s">
        <v>846</v>
      </c>
      <c r="L709" s="10" t="s">
        <v>1143</v>
      </c>
      <c r="M709" s="10" t="s">
        <v>2372</v>
      </c>
      <c r="N709" s="10" t="s">
        <v>2373</v>
      </c>
      <c r="O709" s="10"/>
    </row>
    <row r="710" spans="1:15" ht="18" customHeight="1" x14ac:dyDescent="0.3">
      <c r="A710" s="24">
        <v>709</v>
      </c>
      <c r="B710" s="10" t="s">
        <v>196</v>
      </c>
      <c r="C710" s="10" t="s">
        <v>34</v>
      </c>
      <c r="D710" s="62">
        <v>34</v>
      </c>
      <c r="E710" s="61" t="s">
        <v>2820</v>
      </c>
      <c r="F710" s="32" t="s">
        <v>2526</v>
      </c>
      <c r="G710" s="10" t="s">
        <v>150</v>
      </c>
      <c r="H710" s="10" t="s">
        <v>980</v>
      </c>
      <c r="I710" s="62">
        <v>60</v>
      </c>
      <c r="J710" s="10" t="s">
        <v>2374</v>
      </c>
      <c r="K710" s="10" t="s">
        <v>846</v>
      </c>
      <c r="L710" s="10" t="s">
        <v>980</v>
      </c>
      <c r="M710" s="10" t="s">
        <v>2372</v>
      </c>
      <c r="N710" s="10" t="s">
        <v>2373</v>
      </c>
      <c r="O710" s="10"/>
    </row>
    <row r="711" spans="1:15" ht="18" customHeight="1" x14ac:dyDescent="0.3">
      <c r="A711" s="24">
        <v>710</v>
      </c>
      <c r="B711" s="10" t="s">
        <v>196</v>
      </c>
      <c r="C711" s="10" t="s">
        <v>34</v>
      </c>
      <c r="D711" s="62">
        <v>34</v>
      </c>
      <c r="E711" s="61" t="s">
        <v>2821</v>
      </c>
      <c r="F711" s="32" t="s">
        <v>2526</v>
      </c>
      <c r="G711" s="10" t="s">
        <v>150</v>
      </c>
      <c r="H711" s="10" t="s">
        <v>2415</v>
      </c>
      <c r="I711" s="62">
        <v>30</v>
      </c>
      <c r="J711" s="10" t="s">
        <v>2374</v>
      </c>
      <c r="K711" s="10" t="s">
        <v>846</v>
      </c>
      <c r="L711" s="10" t="s">
        <v>2416</v>
      </c>
      <c r="M711" s="10" t="s">
        <v>2372</v>
      </c>
      <c r="N711" s="10" t="s">
        <v>2373</v>
      </c>
      <c r="O711" s="10"/>
    </row>
    <row r="712" spans="1:15" ht="18" customHeight="1" x14ac:dyDescent="0.3">
      <c r="A712" s="24">
        <v>711</v>
      </c>
      <c r="B712" s="10" t="s">
        <v>196</v>
      </c>
      <c r="C712" s="10" t="s">
        <v>34</v>
      </c>
      <c r="D712" s="62">
        <v>34</v>
      </c>
      <c r="E712" s="61" t="s">
        <v>230</v>
      </c>
      <c r="F712" s="27" t="s">
        <v>443</v>
      </c>
      <c r="G712" s="10" t="s">
        <v>150</v>
      </c>
      <c r="H712" s="10" t="s">
        <v>848</v>
      </c>
      <c r="I712" s="62">
        <v>155</v>
      </c>
      <c r="J712" s="8" t="s">
        <v>846</v>
      </c>
      <c r="K712" s="10" t="s">
        <v>847</v>
      </c>
      <c r="L712" s="10" t="s">
        <v>2373</v>
      </c>
      <c r="M712" s="10" t="s">
        <v>2372</v>
      </c>
      <c r="N712" s="10" t="s">
        <v>2373</v>
      </c>
      <c r="O712" s="10"/>
    </row>
    <row r="713" spans="1:15" ht="18" customHeight="1" x14ac:dyDescent="0.3">
      <c r="A713" s="24">
        <v>712</v>
      </c>
      <c r="B713" s="10" t="s">
        <v>196</v>
      </c>
      <c r="C713" s="10" t="s">
        <v>34</v>
      </c>
      <c r="D713" s="62">
        <v>34</v>
      </c>
      <c r="E713" s="61" t="s">
        <v>230</v>
      </c>
      <c r="F713" s="27" t="s">
        <v>443</v>
      </c>
      <c r="G713" s="10" t="s">
        <v>150</v>
      </c>
      <c r="H713" s="10" t="s">
        <v>850</v>
      </c>
      <c r="I713" s="62">
        <v>319</v>
      </c>
      <c r="J713" s="8" t="s">
        <v>846</v>
      </c>
      <c r="K713" s="10" t="s">
        <v>847</v>
      </c>
      <c r="L713" s="10" t="s">
        <v>2373</v>
      </c>
      <c r="M713" s="10" t="s">
        <v>2372</v>
      </c>
      <c r="N713" s="10" t="s">
        <v>2373</v>
      </c>
      <c r="O713" s="10"/>
    </row>
    <row r="714" spans="1:15" ht="18" customHeight="1" x14ac:dyDescent="0.3">
      <c r="A714" s="24">
        <v>713</v>
      </c>
      <c r="B714" s="10" t="s">
        <v>196</v>
      </c>
      <c r="C714" s="10" t="s">
        <v>34</v>
      </c>
      <c r="D714" s="62">
        <v>34</v>
      </c>
      <c r="E714" s="61" t="s">
        <v>230</v>
      </c>
      <c r="F714" s="27" t="s">
        <v>443</v>
      </c>
      <c r="G714" s="10" t="s">
        <v>150</v>
      </c>
      <c r="H714" s="10" t="s">
        <v>851</v>
      </c>
      <c r="I714" s="62">
        <v>233</v>
      </c>
      <c r="J714" s="8" t="s">
        <v>846</v>
      </c>
      <c r="K714" s="10" t="s">
        <v>847</v>
      </c>
      <c r="L714" s="10" t="s">
        <v>2373</v>
      </c>
      <c r="M714" s="10" t="s">
        <v>2372</v>
      </c>
      <c r="N714" s="10" t="s">
        <v>2373</v>
      </c>
      <c r="O714" s="10"/>
    </row>
    <row r="715" spans="1:15" ht="18" customHeight="1" x14ac:dyDescent="0.3">
      <c r="A715" s="24">
        <v>714</v>
      </c>
      <c r="B715" s="10" t="s">
        <v>196</v>
      </c>
      <c r="C715" s="10" t="s">
        <v>34</v>
      </c>
      <c r="D715" s="62">
        <v>34</v>
      </c>
      <c r="E715" s="61" t="s">
        <v>230</v>
      </c>
      <c r="F715" s="27" t="s">
        <v>443</v>
      </c>
      <c r="G715" s="10" t="s">
        <v>150</v>
      </c>
      <c r="H715" s="10" t="s">
        <v>852</v>
      </c>
      <c r="I715" s="62">
        <v>335</v>
      </c>
      <c r="J715" s="8" t="s">
        <v>846</v>
      </c>
      <c r="K715" s="10" t="s">
        <v>847</v>
      </c>
      <c r="L715" s="10" t="s">
        <v>2373</v>
      </c>
      <c r="M715" s="10" t="s">
        <v>2372</v>
      </c>
      <c r="N715" s="10" t="s">
        <v>2373</v>
      </c>
      <c r="O715" s="10"/>
    </row>
    <row r="716" spans="1:15" ht="18" customHeight="1" x14ac:dyDescent="0.3">
      <c r="A716" s="24">
        <v>715</v>
      </c>
      <c r="B716" s="10" t="s">
        <v>196</v>
      </c>
      <c r="C716" s="10" t="s">
        <v>34</v>
      </c>
      <c r="D716" s="62">
        <v>34</v>
      </c>
      <c r="E716" s="61" t="s">
        <v>230</v>
      </c>
      <c r="F716" s="27" t="s">
        <v>443</v>
      </c>
      <c r="G716" s="10" t="s">
        <v>150</v>
      </c>
      <c r="H716" s="10" t="s">
        <v>853</v>
      </c>
      <c r="I716" s="62">
        <v>116</v>
      </c>
      <c r="J716" s="8" t="s">
        <v>2372</v>
      </c>
      <c r="K716" s="10" t="s">
        <v>847</v>
      </c>
      <c r="L716" s="10" t="s">
        <v>2373</v>
      </c>
      <c r="M716" s="10" t="s">
        <v>2372</v>
      </c>
      <c r="N716" s="10" t="s">
        <v>2373</v>
      </c>
      <c r="O716" s="10"/>
    </row>
    <row r="717" spans="1:15" ht="18" customHeight="1" x14ac:dyDescent="0.3">
      <c r="A717" s="24">
        <v>716</v>
      </c>
      <c r="B717" s="10" t="s">
        <v>196</v>
      </c>
      <c r="C717" s="10" t="s">
        <v>34</v>
      </c>
      <c r="D717" s="62">
        <v>34</v>
      </c>
      <c r="E717" s="61" t="s">
        <v>230</v>
      </c>
      <c r="F717" s="27" t="s">
        <v>443</v>
      </c>
      <c r="G717" s="10" t="s">
        <v>150</v>
      </c>
      <c r="H717" s="10" t="s">
        <v>854</v>
      </c>
      <c r="I717" s="62">
        <v>93</v>
      </c>
      <c r="J717" s="8" t="s">
        <v>2372</v>
      </c>
      <c r="K717" s="10" t="s">
        <v>2372</v>
      </c>
      <c r="L717" s="10" t="s">
        <v>2373</v>
      </c>
      <c r="M717" s="10" t="s">
        <v>2374</v>
      </c>
      <c r="N717" s="10" t="s">
        <v>2440</v>
      </c>
      <c r="O717" s="10"/>
    </row>
    <row r="718" spans="1:15" ht="18" customHeight="1" x14ac:dyDescent="0.3">
      <c r="A718" s="24">
        <v>717</v>
      </c>
      <c r="B718" s="10" t="s">
        <v>196</v>
      </c>
      <c r="C718" s="10" t="s">
        <v>34</v>
      </c>
      <c r="D718" s="62">
        <v>34</v>
      </c>
      <c r="E718" s="61" t="s">
        <v>230</v>
      </c>
      <c r="F718" s="27" t="s">
        <v>443</v>
      </c>
      <c r="G718" s="10" t="s">
        <v>150</v>
      </c>
      <c r="H718" s="10" t="s">
        <v>855</v>
      </c>
      <c r="I718" s="62">
        <v>144</v>
      </c>
      <c r="J718" s="8" t="s">
        <v>846</v>
      </c>
      <c r="K718" s="10" t="s">
        <v>847</v>
      </c>
      <c r="L718" s="10" t="s">
        <v>2373</v>
      </c>
      <c r="M718" s="10" t="s">
        <v>2372</v>
      </c>
      <c r="N718" s="10" t="s">
        <v>2373</v>
      </c>
      <c r="O718" s="10"/>
    </row>
    <row r="719" spans="1:15" ht="18" customHeight="1" x14ac:dyDescent="0.3">
      <c r="A719" s="24">
        <v>718</v>
      </c>
      <c r="B719" s="10" t="s">
        <v>196</v>
      </c>
      <c r="C719" s="10" t="s">
        <v>34</v>
      </c>
      <c r="D719" s="62">
        <v>34</v>
      </c>
      <c r="E719" s="61" t="s">
        <v>230</v>
      </c>
      <c r="F719" s="27" t="s">
        <v>443</v>
      </c>
      <c r="G719" s="10" t="s">
        <v>150</v>
      </c>
      <c r="H719" s="10" t="s">
        <v>869</v>
      </c>
      <c r="I719" s="62">
        <v>107</v>
      </c>
      <c r="J719" s="8" t="s">
        <v>2372</v>
      </c>
      <c r="K719" s="10" t="s">
        <v>847</v>
      </c>
      <c r="L719" s="10" t="s">
        <v>2373</v>
      </c>
      <c r="M719" s="10" t="s">
        <v>2372</v>
      </c>
      <c r="N719" s="10" t="s">
        <v>2373</v>
      </c>
      <c r="O719" s="10"/>
    </row>
    <row r="720" spans="1:15" ht="18" customHeight="1" x14ac:dyDescent="0.3">
      <c r="A720" s="24">
        <v>719</v>
      </c>
      <c r="B720" s="10" t="s">
        <v>196</v>
      </c>
      <c r="C720" s="10" t="s">
        <v>34</v>
      </c>
      <c r="D720" s="62">
        <v>34</v>
      </c>
      <c r="E720" s="61" t="s">
        <v>230</v>
      </c>
      <c r="F720" s="27" t="s">
        <v>1100</v>
      </c>
      <c r="G720" s="10" t="s">
        <v>150</v>
      </c>
      <c r="H720" s="10" t="s">
        <v>849</v>
      </c>
      <c r="I720" s="62">
        <v>210</v>
      </c>
      <c r="J720" s="8" t="s">
        <v>2372</v>
      </c>
      <c r="K720" s="10" t="s">
        <v>2374</v>
      </c>
      <c r="L720" s="10" t="s">
        <v>2428</v>
      </c>
      <c r="M720" s="10" t="s">
        <v>2372</v>
      </c>
      <c r="N720" s="10" t="s">
        <v>2373</v>
      </c>
      <c r="O720" s="10"/>
    </row>
    <row r="721" spans="1:15" ht="18" customHeight="1" x14ac:dyDescent="0.3">
      <c r="A721" s="24">
        <v>720</v>
      </c>
      <c r="B721" s="10" t="s">
        <v>196</v>
      </c>
      <c r="C721" s="10" t="s">
        <v>34</v>
      </c>
      <c r="D721" s="62">
        <v>34</v>
      </c>
      <c r="E721" s="61" t="s">
        <v>1162</v>
      </c>
      <c r="F721" s="27" t="s">
        <v>1100</v>
      </c>
      <c r="G721" s="10" t="s">
        <v>150</v>
      </c>
      <c r="H721" s="10" t="s">
        <v>1156</v>
      </c>
      <c r="I721" s="62">
        <v>30</v>
      </c>
      <c r="J721" s="8" t="s">
        <v>846</v>
      </c>
      <c r="K721" s="10" t="s">
        <v>2374</v>
      </c>
      <c r="L721" s="10" t="s">
        <v>2392</v>
      </c>
      <c r="M721" s="10" t="s">
        <v>2372</v>
      </c>
      <c r="N721" s="10" t="s">
        <v>2373</v>
      </c>
      <c r="O721" s="10"/>
    </row>
    <row r="722" spans="1:15" ht="18" customHeight="1" x14ac:dyDescent="0.3">
      <c r="A722" s="24">
        <v>721</v>
      </c>
      <c r="B722" s="10" t="s">
        <v>196</v>
      </c>
      <c r="C722" s="10" t="s">
        <v>34</v>
      </c>
      <c r="D722" s="62">
        <v>34</v>
      </c>
      <c r="E722" s="61" t="s">
        <v>955</v>
      </c>
      <c r="F722" s="27" t="s">
        <v>1413</v>
      </c>
      <c r="G722" s="10" t="s">
        <v>2373</v>
      </c>
      <c r="H722" s="10" t="s">
        <v>957</v>
      </c>
      <c r="I722" s="62">
        <v>212</v>
      </c>
      <c r="J722" s="10" t="s">
        <v>2372</v>
      </c>
      <c r="K722" s="10" t="s">
        <v>847</v>
      </c>
      <c r="L722" s="10" t="s">
        <v>2373</v>
      </c>
      <c r="M722" s="10" t="s">
        <v>2374</v>
      </c>
      <c r="N722" s="10" t="s">
        <v>2528</v>
      </c>
      <c r="O722" s="10"/>
    </row>
    <row r="723" spans="1:15" ht="18" customHeight="1" x14ac:dyDescent="0.3">
      <c r="A723" s="24">
        <v>722</v>
      </c>
      <c r="B723" s="10" t="s">
        <v>196</v>
      </c>
      <c r="C723" s="10" t="s">
        <v>34</v>
      </c>
      <c r="D723" s="62">
        <v>34</v>
      </c>
      <c r="E723" s="61" t="s">
        <v>955</v>
      </c>
      <c r="F723" s="27" t="s">
        <v>1413</v>
      </c>
      <c r="G723" s="10" t="s">
        <v>2373</v>
      </c>
      <c r="H723" s="10" t="s">
        <v>956</v>
      </c>
      <c r="I723" s="62">
        <v>212</v>
      </c>
      <c r="J723" s="10" t="s">
        <v>2372</v>
      </c>
      <c r="K723" s="10" t="s">
        <v>847</v>
      </c>
      <c r="L723" s="10" t="s">
        <v>2373</v>
      </c>
      <c r="M723" s="10" t="s">
        <v>2374</v>
      </c>
      <c r="N723" s="10" t="s">
        <v>2529</v>
      </c>
      <c r="O723" s="10"/>
    </row>
    <row r="724" spans="1:15" ht="18" customHeight="1" x14ac:dyDescent="0.3">
      <c r="A724" s="24">
        <v>723</v>
      </c>
      <c r="B724" s="10" t="s">
        <v>196</v>
      </c>
      <c r="C724" s="10" t="s">
        <v>34</v>
      </c>
      <c r="D724" s="62">
        <v>34</v>
      </c>
      <c r="E724" s="61" t="s">
        <v>955</v>
      </c>
      <c r="F724" s="27" t="s">
        <v>1045</v>
      </c>
      <c r="G724" s="10" t="s">
        <v>2373</v>
      </c>
      <c r="H724" s="10" t="s">
        <v>959</v>
      </c>
      <c r="I724" s="62">
        <v>36</v>
      </c>
      <c r="J724" s="10" t="s">
        <v>2372</v>
      </c>
      <c r="K724" s="10" t="s">
        <v>847</v>
      </c>
      <c r="L724" s="10" t="s">
        <v>2373</v>
      </c>
      <c r="M724" s="10" t="s">
        <v>2374</v>
      </c>
      <c r="N724" s="10" t="s">
        <v>2530</v>
      </c>
      <c r="O724" s="10"/>
    </row>
    <row r="725" spans="1:15" ht="18" customHeight="1" x14ac:dyDescent="0.3">
      <c r="A725" s="24">
        <v>724</v>
      </c>
      <c r="B725" s="10" t="s">
        <v>196</v>
      </c>
      <c r="C725" s="10" t="s">
        <v>34</v>
      </c>
      <c r="D725" s="62">
        <v>34</v>
      </c>
      <c r="E725" s="61" t="s">
        <v>955</v>
      </c>
      <c r="F725" s="27" t="s">
        <v>1045</v>
      </c>
      <c r="G725" s="10" t="s">
        <v>2373</v>
      </c>
      <c r="H725" s="10" t="s">
        <v>958</v>
      </c>
      <c r="I725" s="62">
        <v>413</v>
      </c>
      <c r="J725" s="10" t="s">
        <v>2374</v>
      </c>
      <c r="K725" s="10" t="s">
        <v>847</v>
      </c>
      <c r="L725" s="10" t="s">
        <v>2373</v>
      </c>
      <c r="M725" s="10" t="s">
        <v>2372</v>
      </c>
      <c r="N725" s="10" t="s">
        <v>2373</v>
      </c>
      <c r="O725" s="10"/>
    </row>
    <row r="726" spans="1:15" ht="18" customHeight="1" x14ac:dyDescent="0.3">
      <c r="A726" s="24">
        <v>725</v>
      </c>
      <c r="B726" s="10" t="s">
        <v>196</v>
      </c>
      <c r="C726" s="10" t="s">
        <v>34</v>
      </c>
      <c r="D726" s="62">
        <v>34</v>
      </c>
      <c r="E726" s="61" t="s">
        <v>2822</v>
      </c>
      <c r="F726" s="32" t="s">
        <v>442</v>
      </c>
      <c r="G726" s="10" t="s">
        <v>160</v>
      </c>
      <c r="H726" s="10" t="s">
        <v>845</v>
      </c>
      <c r="I726" s="62">
        <v>91</v>
      </c>
      <c r="J726" s="10" t="s">
        <v>2374</v>
      </c>
      <c r="K726" s="10" t="s">
        <v>847</v>
      </c>
      <c r="L726" s="10" t="s">
        <v>2373</v>
      </c>
      <c r="M726" s="10" t="s">
        <v>2372</v>
      </c>
      <c r="N726" s="10" t="s">
        <v>2373</v>
      </c>
      <c r="O726" s="10"/>
    </row>
    <row r="727" spans="1:15" ht="18" customHeight="1" x14ac:dyDescent="0.3">
      <c r="A727" s="24">
        <v>726</v>
      </c>
      <c r="B727" s="10" t="s">
        <v>196</v>
      </c>
      <c r="C727" s="10" t="s">
        <v>34</v>
      </c>
      <c r="D727" s="62">
        <v>34</v>
      </c>
      <c r="E727" s="61" t="s">
        <v>2822</v>
      </c>
      <c r="F727" s="32" t="s">
        <v>442</v>
      </c>
      <c r="G727" s="10" t="s">
        <v>160</v>
      </c>
      <c r="H727" s="10" t="s">
        <v>848</v>
      </c>
      <c r="I727" s="62">
        <v>48</v>
      </c>
      <c r="J727" s="10" t="s">
        <v>2374</v>
      </c>
      <c r="K727" s="10" t="s">
        <v>847</v>
      </c>
      <c r="L727" s="10" t="s">
        <v>2373</v>
      </c>
      <c r="M727" s="10" t="s">
        <v>2372</v>
      </c>
      <c r="N727" s="10" t="s">
        <v>2373</v>
      </c>
      <c r="O727" s="10"/>
    </row>
    <row r="728" spans="1:15" ht="18" customHeight="1" x14ac:dyDescent="0.3">
      <c r="A728" s="24">
        <v>727</v>
      </c>
      <c r="B728" s="10" t="s">
        <v>196</v>
      </c>
      <c r="C728" s="10" t="s">
        <v>34</v>
      </c>
      <c r="D728" s="62">
        <v>34</v>
      </c>
      <c r="E728" s="61" t="s">
        <v>2822</v>
      </c>
      <c r="F728" s="32" t="s">
        <v>442</v>
      </c>
      <c r="G728" s="10" t="s">
        <v>160</v>
      </c>
      <c r="H728" s="10" t="s">
        <v>849</v>
      </c>
      <c r="I728" s="62">
        <v>78</v>
      </c>
      <c r="J728" s="10" t="s">
        <v>2372</v>
      </c>
      <c r="K728" s="10" t="s">
        <v>847</v>
      </c>
      <c r="L728" s="10" t="s">
        <v>2373</v>
      </c>
      <c r="M728" s="10" t="s">
        <v>2372</v>
      </c>
      <c r="N728" s="10" t="s">
        <v>2373</v>
      </c>
      <c r="O728" s="10"/>
    </row>
    <row r="729" spans="1:15" ht="18" customHeight="1" x14ac:dyDescent="0.3">
      <c r="A729" s="24">
        <v>728</v>
      </c>
      <c r="B729" s="10" t="s">
        <v>196</v>
      </c>
      <c r="C729" s="10" t="s">
        <v>34</v>
      </c>
      <c r="D729" s="62">
        <v>34</v>
      </c>
      <c r="E729" s="61" t="s">
        <v>2822</v>
      </c>
      <c r="F729" s="32" t="s">
        <v>442</v>
      </c>
      <c r="G729" s="10" t="s">
        <v>160</v>
      </c>
      <c r="H729" s="10" t="s">
        <v>850</v>
      </c>
      <c r="I729" s="62">
        <v>66</v>
      </c>
      <c r="J729" s="10" t="s">
        <v>2372</v>
      </c>
      <c r="K729" s="10" t="s">
        <v>847</v>
      </c>
      <c r="L729" s="10" t="s">
        <v>2373</v>
      </c>
      <c r="M729" s="10" t="s">
        <v>2372</v>
      </c>
      <c r="N729" s="10" t="s">
        <v>2373</v>
      </c>
      <c r="O729" s="10"/>
    </row>
    <row r="730" spans="1:15" ht="18" customHeight="1" x14ac:dyDescent="0.3">
      <c r="A730" s="24">
        <v>729</v>
      </c>
      <c r="B730" s="10" t="s">
        <v>196</v>
      </c>
      <c r="C730" s="10" t="s">
        <v>34</v>
      </c>
      <c r="D730" s="62">
        <v>34</v>
      </c>
      <c r="E730" s="61" t="s">
        <v>2822</v>
      </c>
      <c r="F730" s="32" t="s">
        <v>442</v>
      </c>
      <c r="G730" s="10" t="s">
        <v>160</v>
      </c>
      <c r="H730" s="10" t="s">
        <v>851</v>
      </c>
      <c r="I730" s="62">
        <v>80</v>
      </c>
      <c r="J730" s="10" t="s">
        <v>2372</v>
      </c>
      <c r="K730" s="10" t="s">
        <v>847</v>
      </c>
      <c r="L730" s="10" t="s">
        <v>2373</v>
      </c>
      <c r="M730" s="10" t="s">
        <v>2372</v>
      </c>
      <c r="N730" s="10" t="s">
        <v>2373</v>
      </c>
      <c r="O730" s="10"/>
    </row>
    <row r="731" spans="1:15" ht="18" customHeight="1" x14ac:dyDescent="0.3">
      <c r="A731" s="24">
        <v>730</v>
      </c>
      <c r="B731" s="10" t="s">
        <v>196</v>
      </c>
      <c r="C731" s="10" t="s">
        <v>34</v>
      </c>
      <c r="D731" s="62">
        <v>34</v>
      </c>
      <c r="E731" s="61" t="s">
        <v>2822</v>
      </c>
      <c r="F731" s="32" t="s">
        <v>442</v>
      </c>
      <c r="G731" s="10" t="s">
        <v>160</v>
      </c>
      <c r="H731" s="10" t="s">
        <v>852</v>
      </c>
      <c r="I731" s="62">
        <v>74</v>
      </c>
      <c r="J731" s="10" t="s">
        <v>2374</v>
      </c>
      <c r="K731" s="10" t="s">
        <v>847</v>
      </c>
      <c r="L731" s="10" t="s">
        <v>2373</v>
      </c>
      <c r="M731" s="10" t="s">
        <v>2372</v>
      </c>
      <c r="N731" s="10" t="s">
        <v>2373</v>
      </c>
      <c r="O731" s="10"/>
    </row>
    <row r="732" spans="1:15" ht="18" customHeight="1" x14ac:dyDescent="0.3">
      <c r="A732" s="24">
        <v>731</v>
      </c>
      <c r="B732" s="10" t="s">
        <v>196</v>
      </c>
      <c r="C732" s="10" t="s">
        <v>34</v>
      </c>
      <c r="D732" s="62">
        <v>34</v>
      </c>
      <c r="E732" s="61" t="s">
        <v>2531</v>
      </c>
      <c r="F732" s="16" t="s">
        <v>1044</v>
      </c>
      <c r="G732" s="10" t="s">
        <v>160</v>
      </c>
      <c r="H732" s="10" t="s">
        <v>849</v>
      </c>
      <c r="I732" s="62">
        <v>78</v>
      </c>
      <c r="J732" s="8" t="s">
        <v>2372</v>
      </c>
      <c r="K732" s="173" t="s">
        <v>3451</v>
      </c>
      <c r="L732" s="173" t="s">
        <v>2229</v>
      </c>
      <c r="M732" s="10" t="s">
        <v>2372</v>
      </c>
      <c r="N732" s="10" t="s">
        <v>2373</v>
      </c>
      <c r="O732" s="10"/>
    </row>
    <row r="733" spans="1:15" ht="18" customHeight="1" x14ac:dyDescent="0.3">
      <c r="A733" s="24">
        <v>732</v>
      </c>
      <c r="B733" s="10" t="s">
        <v>196</v>
      </c>
      <c r="C733" s="10" t="s">
        <v>34</v>
      </c>
      <c r="D733" s="62">
        <v>34</v>
      </c>
      <c r="E733" s="61" t="s">
        <v>2531</v>
      </c>
      <c r="F733" s="16" t="s">
        <v>1044</v>
      </c>
      <c r="G733" s="10" t="s">
        <v>160</v>
      </c>
      <c r="H733" s="10" t="s">
        <v>850</v>
      </c>
      <c r="I733" s="62">
        <v>78</v>
      </c>
      <c r="J733" s="8" t="s">
        <v>2374</v>
      </c>
      <c r="K733" s="173" t="s">
        <v>3451</v>
      </c>
      <c r="L733" s="173" t="s">
        <v>2229</v>
      </c>
      <c r="M733" s="10" t="s">
        <v>2372</v>
      </c>
      <c r="N733" s="10" t="s">
        <v>2373</v>
      </c>
      <c r="O733" s="10"/>
    </row>
    <row r="734" spans="1:15" ht="18" customHeight="1" x14ac:dyDescent="0.3">
      <c r="A734" s="24">
        <v>733</v>
      </c>
      <c r="B734" s="10" t="s">
        <v>196</v>
      </c>
      <c r="C734" s="10" t="s">
        <v>34</v>
      </c>
      <c r="D734" s="62">
        <v>34</v>
      </c>
      <c r="E734" s="61" t="s">
        <v>2531</v>
      </c>
      <c r="F734" s="16" t="s">
        <v>1044</v>
      </c>
      <c r="G734" s="10" t="s">
        <v>160</v>
      </c>
      <c r="H734" s="10" t="s">
        <v>851</v>
      </c>
      <c r="I734" s="62">
        <v>68</v>
      </c>
      <c r="J734" s="8" t="s">
        <v>2372</v>
      </c>
      <c r="K734" s="173" t="s">
        <v>3451</v>
      </c>
      <c r="L734" s="173" t="s">
        <v>2229</v>
      </c>
      <c r="M734" s="10" t="s">
        <v>2372</v>
      </c>
      <c r="N734" s="10" t="s">
        <v>2373</v>
      </c>
      <c r="O734" s="10"/>
    </row>
    <row r="735" spans="1:15" ht="18" customHeight="1" x14ac:dyDescent="0.3">
      <c r="A735" s="24">
        <v>734</v>
      </c>
      <c r="B735" s="10" t="s">
        <v>196</v>
      </c>
      <c r="C735" s="10" t="s">
        <v>34</v>
      </c>
      <c r="D735" s="62">
        <v>34</v>
      </c>
      <c r="E735" s="61" t="s">
        <v>2531</v>
      </c>
      <c r="F735" s="16" t="s">
        <v>1044</v>
      </c>
      <c r="G735" s="10" t="s">
        <v>160</v>
      </c>
      <c r="H735" s="10" t="s">
        <v>852</v>
      </c>
      <c r="I735" s="62">
        <v>80</v>
      </c>
      <c r="J735" s="8" t="s">
        <v>2372</v>
      </c>
      <c r="K735" s="173" t="s">
        <v>3451</v>
      </c>
      <c r="L735" s="173" t="s">
        <v>2229</v>
      </c>
      <c r="M735" s="10" t="s">
        <v>2372</v>
      </c>
      <c r="N735" s="10" t="s">
        <v>2373</v>
      </c>
      <c r="O735" s="10"/>
    </row>
    <row r="736" spans="1:15" ht="18" customHeight="1" x14ac:dyDescent="0.3">
      <c r="A736" s="24">
        <v>735</v>
      </c>
      <c r="B736" s="10" t="s">
        <v>196</v>
      </c>
      <c r="C736" s="10" t="s">
        <v>34</v>
      </c>
      <c r="D736" s="62">
        <v>34</v>
      </c>
      <c r="E736" s="61" t="s">
        <v>2531</v>
      </c>
      <c r="F736" s="16" t="s">
        <v>1044</v>
      </c>
      <c r="G736" s="10" t="s">
        <v>160</v>
      </c>
      <c r="H736" s="10" t="s">
        <v>853</v>
      </c>
      <c r="I736" s="62">
        <v>85</v>
      </c>
      <c r="J736" s="8" t="s">
        <v>2372</v>
      </c>
      <c r="K736" s="173" t="s">
        <v>3451</v>
      </c>
      <c r="L736" s="173" t="s">
        <v>2229</v>
      </c>
      <c r="M736" s="10" t="s">
        <v>2372</v>
      </c>
      <c r="N736" s="10" t="s">
        <v>2373</v>
      </c>
      <c r="O736" s="10"/>
    </row>
    <row r="737" spans="1:15" ht="18" customHeight="1" x14ac:dyDescent="0.3">
      <c r="A737" s="24">
        <v>736</v>
      </c>
      <c r="B737" s="10" t="s">
        <v>196</v>
      </c>
      <c r="C737" s="10" t="s">
        <v>34</v>
      </c>
      <c r="D737" s="62">
        <v>34</v>
      </c>
      <c r="E737" s="61" t="s">
        <v>2531</v>
      </c>
      <c r="F737" s="16" t="s">
        <v>1044</v>
      </c>
      <c r="G737" s="10" t="s">
        <v>160</v>
      </c>
      <c r="H737" s="10" t="s">
        <v>854</v>
      </c>
      <c r="I737" s="62">
        <v>78</v>
      </c>
      <c r="J737" s="8" t="s">
        <v>2372</v>
      </c>
      <c r="K737" s="173" t="s">
        <v>3451</v>
      </c>
      <c r="L737" s="173" t="s">
        <v>2229</v>
      </c>
      <c r="M737" s="10" t="s">
        <v>2372</v>
      </c>
      <c r="N737" s="10" t="s">
        <v>2373</v>
      </c>
      <c r="O737" s="10"/>
    </row>
    <row r="738" spans="1:15" ht="18" customHeight="1" x14ac:dyDescent="0.3">
      <c r="A738" s="24">
        <v>737</v>
      </c>
      <c r="B738" s="10" t="s">
        <v>196</v>
      </c>
      <c r="C738" s="10" t="s">
        <v>34</v>
      </c>
      <c r="D738" s="62">
        <v>34</v>
      </c>
      <c r="E738" s="61" t="s">
        <v>2531</v>
      </c>
      <c r="F738" s="16" t="s">
        <v>1044</v>
      </c>
      <c r="G738" s="10" t="s">
        <v>160</v>
      </c>
      <c r="H738" s="10" t="s">
        <v>855</v>
      </c>
      <c r="I738" s="62">
        <v>102</v>
      </c>
      <c r="J738" s="8" t="s">
        <v>2374</v>
      </c>
      <c r="K738" s="173" t="s">
        <v>3451</v>
      </c>
      <c r="L738" s="173" t="s">
        <v>2229</v>
      </c>
      <c r="M738" s="10" t="s">
        <v>2372</v>
      </c>
      <c r="N738" s="10" t="s">
        <v>2373</v>
      </c>
      <c r="O738" s="10"/>
    </row>
    <row r="739" spans="1:15" ht="18" customHeight="1" x14ac:dyDescent="0.3">
      <c r="A739" s="24">
        <v>738</v>
      </c>
      <c r="B739" s="10" t="s">
        <v>196</v>
      </c>
      <c r="C739" s="10" t="s">
        <v>34</v>
      </c>
      <c r="D739" s="62">
        <v>34</v>
      </c>
      <c r="E739" s="61" t="s">
        <v>2531</v>
      </c>
      <c r="F739" s="16" t="s">
        <v>1044</v>
      </c>
      <c r="G739" s="10" t="s">
        <v>160</v>
      </c>
      <c r="H739" s="10" t="s">
        <v>869</v>
      </c>
      <c r="I739" s="62">
        <v>102</v>
      </c>
      <c r="J739" s="8" t="s">
        <v>2372</v>
      </c>
      <c r="K739" s="173" t="s">
        <v>3451</v>
      </c>
      <c r="L739" s="173" t="s">
        <v>2229</v>
      </c>
      <c r="M739" s="10" t="s">
        <v>2372</v>
      </c>
      <c r="N739" s="10" t="s">
        <v>2373</v>
      </c>
      <c r="O739" s="10"/>
    </row>
    <row r="740" spans="1:15" ht="18" customHeight="1" x14ac:dyDescent="0.3">
      <c r="A740" s="24">
        <v>739</v>
      </c>
      <c r="B740" s="10" t="s">
        <v>196</v>
      </c>
      <c r="C740" s="10" t="s">
        <v>34</v>
      </c>
      <c r="D740" s="62">
        <v>34</v>
      </c>
      <c r="E740" s="61" t="s">
        <v>2531</v>
      </c>
      <c r="F740" s="16" t="s">
        <v>444</v>
      </c>
      <c r="G740" s="10" t="s">
        <v>160</v>
      </c>
      <c r="H740" s="10" t="s">
        <v>845</v>
      </c>
      <c r="I740" s="62">
        <v>78</v>
      </c>
      <c r="J740" s="8" t="s">
        <v>2372</v>
      </c>
      <c r="K740" s="173" t="s">
        <v>3451</v>
      </c>
      <c r="L740" s="173" t="s">
        <v>2229</v>
      </c>
      <c r="M740" s="10" t="s">
        <v>2372</v>
      </c>
      <c r="N740" s="10" t="s">
        <v>2373</v>
      </c>
      <c r="O740" s="10"/>
    </row>
    <row r="741" spans="1:15" ht="18" customHeight="1" x14ac:dyDescent="0.3">
      <c r="A741" s="24">
        <v>740</v>
      </c>
      <c r="B741" s="10" t="s">
        <v>196</v>
      </c>
      <c r="C741" s="10" t="s">
        <v>34</v>
      </c>
      <c r="D741" s="62">
        <v>34</v>
      </c>
      <c r="E741" s="61" t="s">
        <v>2531</v>
      </c>
      <c r="F741" s="16" t="s">
        <v>444</v>
      </c>
      <c r="G741" s="10" t="s">
        <v>160</v>
      </c>
      <c r="H741" s="10" t="s">
        <v>848</v>
      </c>
      <c r="I741" s="62">
        <v>78</v>
      </c>
      <c r="J741" s="8" t="s">
        <v>2374</v>
      </c>
      <c r="K741" s="173" t="s">
        <v>3451</v>
      </c>
      <c r="L741" s="173" t="s">
        <v>2229</v>
      </c>
      <c r="M741" s="10" t="s">
        <v>2372</v>
      </c>
      <c r="N741" s="10" t="s">
        <v>2373</v>
      </c>
      <c r="O741" s="10"/>
    </row>
    <row r="742" spans="1:15" ht="18" customHeight="1" x14ac:dyDescent="0.3">
      <c r="A742" s="24">
        <v>741</v>
      </c>
      <c r="B742" s="10" t="s">
        <v>196</v>
      </c>
      <c r="C742" s="10" t="s">
        <v>35</v>
      </c>
      <c r="D742" s="62">
        <v>35</v>
      </c>
      <c r="E742" s="61" t="s">
        <v>2823</v>
      </c>
      <c r="F742" s="32" t="s">
        <v>2533</v>
      </c>
      <c r="G742" s="10" t="s">
        <v>160</v>
      </c>
      <c r="H742" s="10" t="s">
        <v>845</v>
      </c>
      <c r="I742" s="171">
        <v>87</v>
      </c>
      <c r="J742" s="10" t="s">
        <v>2374</v>
      </c>
      <c r="K742" s="10" t="s">
        <v>847</v>
      </c>
      <c r="L742" s="10" t="s">
        <v>2373</v>
      </c>
      <c r="M742" s="10" t="s">
        <v>2372</v>
      </c>
      <c r="N742" s="10" t="s">
        <v>2373</v>
      </c>
      <c r="O742" s="10"/>
    </row>
    <row r="743" spans="1:15" ht="18" customHeight="1" x14ac:dyDescent="0.3">
      <c r="A743" s="24">
        <v>742</v>
      </c>
      <c r="B743" s="10" t="s">
        <v>196</v>
      </c>
      <c r="C743" s="10" t="s">
        <v>35</v>
      </c>
      <c r="D743" s="62">
        <v>35</v>
      </c>
      <c r="E743" s="61" t="s">
        <v>2823</v>
      </c>
      <c r="F743" s="32" t="s">
        <v>2533</v>
      </c>
      <c r="G743" s="10" t="s">
        <v>160</v>
      </c>
      <c r="H743" s="10" t="s">
        <v>848</v>
      </c>
      <c r="I743" s="171">
        <v>87</v>
      </c>
      <c r="J743" s="10" t="s">
        <v>2372</v>
      </c>
      <c r="K743" s="10" t="s">
        <v>847</v>
      </c>
      <c r="L743" s="10" t="s">
        <v>2373</v>
      </c>
      <c r="M743" s="10" t="s">
        <v>2372</v>
      </c>
      <c r="N743" s="10" t="s">
        <v>2373</v>
      </c>
      <c r="O743" s="10"/>
    </row>
    <row r="744" spans="1:15" ht="18" customHeight="1" x14ac:dyDescent="0.3">
      <c r="A744" s="24">
        <v>743</v>
      </c>
      <c r="B744" s="10" t="s">
        <v>196</v>
      </c>
      <c r="C744" s="10" t="s">
        <v>35</v>
      </c>
      <c r="D744" s="62">
        <v>35</v>
      </c>
      <c r="E744" s="61" t="s">
        <v>2823</v>
      </c>
      <c r="F744" s="32" t="s">
        <v>1042</v>
      </c>
      <c r="G744" s="10" t="s">
        <v>160</v>
      </c>
      <c r="H744" s="10" t="s">
        <v>849</v>
      </c>
      <c r="I744" s="62">
        <v>156</v>
      </c>
      <c r="J744" s="10" t="s">
        <v>2372</v>
      </c>
      <c r="K744" s="10" t="s">
        <v>847</v>
      </c>
      <c r="L744" s="10" t="s">
        <v>2373</v>
      </c>
      <c r="M744" s="10" t="s">
        <v>2372</v>
      </c>
      <c r="N744" s="10" t="s">
        <v>2373</v>
      </c>
      <c r="O744" s="10"/>
    </row>
    <row r="745" spans="1:15" ht="18" customHeight="1" x14ac:dyDescent="0.3">
      <c r="A745" s="24">
        <v>744</v>
      </c>
      <c r="B745" s="10" t="s">
        <v>196</v>
      </c>
      <c r="C745" s="10" t="s">
        <v>35</v>
      </c>
      <c r="D745" s="62">
        <v>35</v>
      </c>
      <c r="E745" s="61" t="s">
        <v>2823</v>
      </c>
      <c r="F745" s="32" t="s">
        <v>1042</v>
      </c>
      <c r="G745" s="10" t="s">
        <v>160</v>
      </c>
      <c r="H745" s="10" t="s">
        <v>850</v>
      </c>
      <c r="I745" s="62">
        <v>156</v>
      </c>
      <c r="J745" s="10" t="s">
        <v>2372</v>
      </c>
      <c r="K745" s="10" t="s">
        <v>847</v>
      </c>
      <c r="L745" s="10" t="s">
        <v>2373</v>
      </c>
      <c r="M745" s="10" t="s">
        <v>2372</v>
      </c>
      <c r="N745" s="10" t="s">
        <v>2373</v>
      </c>
      <c r="O745" s="10"/>
    </row>
    <row r="746" spans="1:15" ht="18" customHeight="1" x14ac:dyDescent="0.3">
      <c r="A746" s="24">
        <v>745</v>
      </c>
      <c r="B746" s="10" t="s">
        <v>196</v>
      </c>
      <c r="C746" s="10" t="s">
        <v>35</v>
      </c>
      <c r="D746" s="62">
        <v>35</v>
      </c>
      <c r="E746" s="61" t="s">
        <v>2823</v>
      </c>
      <c r="F746" s="32" t="s">
        <v>1042</v>
      </c>
      <c r="G746" s="10" t="s">
        <v>160</v>
      </c>
      <c r="H746" s="10" t="s">
        <v>851</v>
      </c>
      <c r="I746" s="62">
        <v>108</v>
      </c>
      <c r="J746" s="10" t="s">
        <v>2372</v>
      </c>
      <c r="K746" s="10" t="s">
        <v>847</v>
      </c>
      <c r="L746" s="10" t="s">
        <v>2373</v>
      </c>
      <c r="M746" s="10" t="s">
        <v>2372</v>
      </c>
      <c r="N746" s="10" t="s">
        <v>2373</v>
      </c>
      <c r="O746" s="10"/>
    </row>
    <row r="747" spans="1:15" ht="18" customHeight="1" x14ac:dyDescent="0.3">
      <c r="A747" s="24">
        <v>746</v>
      </c>
      <c r="B747" s="10" t="s">
        <v>196</v>
      </c>
      <c r="C747" s="10" t="s">
        <v>35</v>
      </c>
      <c r="D747" s="62">
        <v>35</v>
      </c>
      <c r="E747" s="61" t="s">
        <v>2823</v>
      </c>
      <c r="F747" s="32" t="s">
        <v>1042</v>
      </c>
      <c r="G747" s="10" t="s">
        <v>160</v>
      </c>
      <c r="H747" s="10" t="s">
        <v>852</v>
      </c>
      <c r="I747" s="62">
        <v>108</v>
      </c>
      <c r="J747" s="10" t="s">
        <v>2372</v>
      </c>
      <c r="K747" s="10" t="s">
        <v>847</v>
      </c>
      <c r="L747" s="10" t="s">
        <v>2373</v>
      </c>
      <c r="M747" s="10" t="s">
        <v>2372</v>
      </c>
      <c r="N747" s="10" t="s">
        <v>2373</v>
      </c>
      <c r="O747" s="10"/>
    </row>
    <row r="748" spans="1:15" ht="18" customHeight="1" x14ac:dyDescent="0.3">
      <c r="A748" s="24">
        <v>747</v>
      </c>
      <c r="B748" s="10" t="s">
        <v>196</v>
      </c>
      <c r="C748" s="10" t="s">
        <v>35</v>
      </c>
      <c r="D748" s="62">
        <v>35</v>
      </c>
      <c r="E748" s="61" t="s">
        <v>2823</v>
      </c>
      <c r="F748" s="32" t="s">
        <v>1042</v>
      </c>
      <c r="G748" s="10" t="s">
        <v>160</v>
      </c>
      <c r="H748" s="10" t="s">
        <v>2444</v>
      </c>
      <c r="I748" s="62">
        <v>48</v>
      </c>
      <c r="J748" s="10" t="s">
        <v>2372</v>
      </c>
      <c r="K748" s="10" t="s">
        <v>847</v>
      </c>
      <c r="L748" s="10" t="s">
        <v>2373</v>
      </c>
      <c r="M748" s="10" t="s">
        <v>2372</v>
      </c>
      <c r="N748" s="10" t="s">
        <v>2373</v>
      </c>
      <c r="O748" s="10"/>
    </row>
    <row r="749" spans="1:15" ht="18" customHeight="1" x14ac:dyDescent="0.3">
      <c r="A749" s="24">
        <v>748</v>
      </c>
      <c r="B749" s="99" t="s">
        <v>3536</v>
      </c>
      <c r="C749" s="99" t="s">
        <v>3537</v>
      </c>
      <c r="D749" s="99">
        <v>35</v>
      </c>
      <c r="E749" s="56" t="s">
        <v>3538</v>
      </c>
      <c r="F749" s="56" t="s">
        <v>3539</v>
      </c>
      <c r="G749" s="99" t="s">
        <v>3540</v>
      </c>
      <c r="H749" s="10" t="s">
        <v>3542</v>
      </c>
      <c r="I749" s="62">
        <v>94</v>
      </c>
      <c r="J749" s="10" t="s">
        <v>1221</v>
      </c>
      <c r="K749" s="173" t="s">
        <v>860</v>
      </c>
      <c r="L749" s="173" t="s">
        <v>2229</v>
      </c>
      <c r="M749" s="10" t="s">
        <v>1221</v>
      </c>
      <c r="N749" s="10" t="s">
        <v>820</v>
      </c>
      <c r="O749" s="10"/>
    </row>
    <row r="750" spans="1:15" ht="18" customHeight="1" x14ac:dyDescent="0.3">
      <c r="A750" s="24">
        <v>749</v>
      </c>
      <c r="B750" s="99" t="s">
        <v>3536</v>
      </c>
      <c r="C750" s="99" t="s">
        <v>3537</v>
      </c>
      <c r="D750" s="99">
        <v>35</v>
      </c>
      <c r="E750" s="56" t="s">
        <v>3538</v>
      </c>
      <c r="F750" s="56" t="s">
        <v>3539</v>
      </c>
      <c r="G750" s="99" t="s">
        <v>3540</v>
      </c>
      <c r="H750" s="10" t="s">
        <v>3543</v>
      </c>
      <c r="I750" s="62">
        <v>110</v>
      </c>
      <c r="J750" s="10" t="s">
        <v>1221</v>
      </c>
      <c r="K750" s="173" t="s">
        <v>860</v>
      </c>
      <c r="L750" s="173" t="s">
        <v>2229</v>
      </c>
      <c r="M750" s="10" t="s">
        <v>1221</v>
      </c>
      <c r="N750" s="10" t="s">
        <v>820</v>
      </c>
      <c r="O750" s="10"/>
    </row>
    <row r="751" spans="1:15" ht="18" customHeight="1" x14ac:dyDescent="0.3">
      <c r="A751" s="24">
        <v>750</v>
      </c>
      <c r="B751" s="99" t="s">
        <v>3536</v>
      </c>
      <c r="C751" s="99" t="s">
        <v>3537</v>
      </c>
      <c r="D751" s="99">
        <v>35</v>
      </c>
      <c r="E751" s="56" t="s">
        <v>3538</v>
      </c>
      <c r="F751" s="56" t="s">
        <v>3539</v>
      </c>
      <c r="G751" s="99" t="s">
        <v>3540</v>
      </c>
      <c r="H751" s="10" t="s">
        <v>3544</v>
      </c>
      <c r="I751" s="62">
        <v>111</v>
      </c>
      <c r="J751" s="173" t="s">
        <v>3655</v>
      </c>
      <c r="K751" s="173" t="s">
        <v>860</v>
      </c>
      <c r="L751" s="173" t="s">
        <v>2229</v>
      </c>
      <c r="M751" s="10" t="s">
        <v>1221</v>
      </c>
      <c r="N751" s="10" t="s">
        <v>820</v>
      </c>
      <c r="O751" s="10"/>
    </row>
    <row r="752" spans="1:15" ht="18" customHeight="1" x14ac:dyDescent="0.3">
      <c r="A752" s="24">
        <v>751</v>
      </c>
      <c r="B752" s="99" t="s">
        <v>3536</v>
      </c>
      <c r="C752" s="99" t="s">
        <v>3537</v>
      </c>
      <c r="D752" s="99">
        <v>35</v>
      </c>
      <c r="E752" s="56" t="s">
        <v>3538</v>
      </c>
      <c r="F752" s="56" t="s">
        <v>3539</v>
      </c>
      <c r="G752" s="99" t="s">
        <v>3540</v>
      </c>
      <c r="H752" s="10" t="s">
        <v>3545</v>
      </c>
      <c r="I752" s="62">
        <v>111</v>
      </c>
      <c r="J752" s="10" t="s">
        <v>1221</v>
      </c>
      <c r="K752" s="173" t="s">
        <v>860</v>
      </c>
      <c r="L752" s="173" t="s">
        <v>2229</v>
      </c>
      <c r="M752" s="10" t="s">
        <v>1221</v>
      </c>
      <c r="N752" s="10" t="s">
        <v>820</v>
      </c>
      <c r="O752" s="10"/>
    </row>
    <row r="753" spans="1:15" ht="18" customHeight="1" x14ac:dyDescent="0.3">
      <c r="A753" s="24">
        <v>752</v>
      </c>
      <c r="B753" s="99" t="s">
        <v>3536</v>
      </c>
      <c r="C753" s="99" t="s">
        <v>3537</v>
      </c>
      <c r="D753" s="99">
        <v>35</v>
      </c>
      <c r="E753" s="56" t="s">
        <v>3538</v>
      </c>
      <c r="F753" s="56" t="s">
        <v>3539</v>
      </c>
      <c r="G753" s="99" t="s">
        <v>3540</v>
      </c>
      <c r="H753" s="10" t="s">
        <v>3546</v>
      </c>
      <c r="I753" s="62">
        <v>124</v>
      </c>
      <c r="J753" s="10" t="s">
        <v>1221</v>
      </c>
      <c r="K753" s="173" t="s">
        <v>860</v>
      </c>
      <c r="L753" s="173" t="s">
        <v>2229</v>
      </c>
      <c r="M753" s="10" t="s">
        <v>1221</v>
      </c>
      <c r="N753" s="10" t="s">
        <v>820</v>
      </c>
      <c r="O753" s="10"/>
    </row>
    <row r="754" spans="1:15" ht="18" customHeight="1" x14ac:dyDescent="0.3">
      <c r="A754" s="24">
        <v>753</v>
      </c>
      <c r="B754" s="99" t="s">
        <v>3536</v>
      </c>
      <c r="C754" s="99" t="s">
        <v>3537</v>
      </c>
      <c r="D754" s="99">
        <v>35</v>
      </c>
      <c r="E754" s="56" t="s">
        <v>3538</v>
      </c>
      <c r="F754" s="56" t="s">
        <v>3539</v>
      </c>
      <c r="G754" s="99" t="s">
        <v>3540</v>
      </c>
      <c r="H754" s="10" t="s">
        <v>3547</v>
      </c>
      <c r="I754" s="62">
        <v>126</v>
      </c>
      <c r="J754" s="10" t="s">
        <v>1221</v>
      </c>
      <c r="K754" s="173" t="s">
        <v>860</v>
      </c>
      <c r="L754" s="173" t="s">
        <v>2229</v>
      </c>
      <c r="M754" s="10" t="s">
        <v>1221</v>
      </c>
      <c r="N754" s="10" t="s">
        <v>820</v>
      </c>
      <c r="O754" s="10"/>
    </row>
    <row r="755" spans="1:15" ht="18" customHeight="1" x14ac:dyDescent="0.3">
      <c r="A755" s="24">
        <v>754</v>
      </c>
      <c r="B755" s="10" t="s">
        <v>196</v>
      </c>
      <c r="C755" s="10" t="s">
        <v>36</v>
      </c>
      <c r="D755" s="62">
        <v>36</v>
      </c>
      <c r="E755" s="61" t="s">
        <v>263</v>
      </c>
      <c r="F755" s="19" t="s">
        <v>410</v>
      </c>
      <c r="G755" s="10" t="s">
        <v>150</v>
      </c>
      <c r="H755" s="10" t="s">
        <v>845</v>
      </c>
      <c r="I755" s="62">
        <v>167</v>
      </c>
      <c r="J755" s="10" t="s">
        <v>2374</v>
      </c>
      <c r="K755" s="10" t="s">
        <v>847</v>
      </c>
      <c r="L755" s="10" t="s">
        <v>2373</v>
      </c>
      <c r="M755" s="10" t="s">
        <v>2372</v>
      </c>
      <c r="N755" s="10" t="s">
        <v>2373</v>
      </c>
      <c r="O755" s="10"/>
    </row>
    <row r="756" spans="1:15" ht="18" customHeight="1" x14ac:dyDescent="0.3">
      <c r="A756" s="24">
        <v>755</v>
      </c>
      <c r="B756" s="10" t="s">
        <v>196</v>
      </c>
      <c r="C756" s="10" t="s">
        <v>36</v>
      </c>
      <c r="D756" s="62">
        <v>36</v>
      </c>
      <c r="E756" s="61" t="s">
        <v>263</v>
      </c>
      <c r="F756" s="19" t="s">
        <v>410</v>
      </c>
      <c r="G756" s="10" t="s">
        <v>150</v>
      </c>
      <c r="H756" s="10" t="s">
        <v>848</v>
      </c>
      <c r="I756" s="62">
        <v>105</v>
      </c>
      <c r="J756" s="10" t="s">
        <v>2372</v>
      </c>
      <c r="K756" s="10" t="s">
        <v>847</v>
      </c>
      <c r="L756" s="10" t="s">
        <v>2373</v>
      </c>
      <c r="M756" s="10" t="s">
        <v>2372</v>
      </c>
      <c r="N756" s="10" t="s">
        <v>2373</v>
      </c>
      <c r="O756" s="10"/>
    </row>
    <row r="757" spans="1:15" ht="18" customHeight="1" x14ac:dyDescent="0.3">
      <c r="A757" s="24">
        <v>756</v>
      </c>
      <c r="B757" s="10" t="s">
        <v>196</v>
      </c>
      <c r="C757" s="10" t="s">
        <v>36</v>
      </c>
      <c r="D757" s="62">
        <v>36</v>
      </c>
      <c r="E757" s="61" t="s">
        <v>263</v>
      </c>
      <c r="F757" s="19" t="s">
        <v>410</v>
      </c>
      <c r="G757" s="10" t="s">
        <v>150</v>
      </c>
      <c r="H757" s="10" t="s">
        <v>850</v>
      </c>
      <c r="I757" s="62">
        <v>99</v>
      </c>
      <c r="J757" s="10" t="s">
        <v>2372</v>
      </c>
      <c r="K757" s="10" t="s">
        <v>847</v>
      </c>
      <c r="L757" s="10" t="s">
        <v>2373</v>
      </c>
      <c r="M757" s="10" t="s">
        <v>2372</v>
      </c>
      <c r="N757" s="10" t="s">
        <v>2373</v>
      </c>
      <c r="O757" s="10"/>
    </row>
    <row r="758" spans="1:15" ht="18" customHeight="1" x14ac:dyDescent="0.3">
      <c r="A758" s="24">
        <v>757</v>
      </c>
      <c r="B758" s="10" t="s">
        <v>196</v>
      </c>
      <c r="C758" s="10" t="s">
        <v>36</v>
      </c>
      <c r="D758" s="62">
        <v>36</v>
      </c>
      <c r="E758" s="61" t="s">
        <v>263</v>
      </c>
      <c r="F758" s="19" t="s">
        <v>410</v>
      </c>
      <c r="G758" s="10" t="s">
        <v>150</v>
      </c>
      <c r="H758" s="10" t="s">
        <v>851</v>
      </c>
      <c r="I758" s="62">
        <v>167</v>
      </c>
      <c r="J758" s="10" t="s">
        <v>2372</v>
      </c>
      <c r="K758" s="10" t="s">
        <v>847</v>
      </c>
      <c r="L758" s="10" t="s">
        <v>2373</v>
      </c>
      <c r="M758" s="10" t="s">
        <v>2372</v>
      </c>
      <c r="N758" s="10" t="s">
        <v>2373</v>
      </c>
      <c r="O758" s="10"/>
    </row>
    <row r="759" spans="1:15" ht="18" customHeight="1" x14ac:dyDescent="0.3">
      <c r="A759" s="24">
        <v>758</v>
      </c>
      <c r="B759" s="10" t="s">
        <v>196</v>
      </c>
      <c r="C759" s="10" t="s">
        <v>36</v>
      </c>
      <c r="D759" s="62">
        <v>36</v>
      </c>
      <c r="E759" s="61" t="s">
        <v>263</v>
      </c>
      <c r="F759" s="19" t="s">
        <v>410</v>
      </c>
      <c r="G759" s="10" t="s">
        <v>150</v>
      </c>
      <c r="H759" s="10" t="s">
        <v>852</v>
      </c>
      <c r="I759" s="62">
        <v>155</v>
      </c>
      <c r="J759" s="10" t="s">
        <v>2372</v>
      </c>
      <c r="K759" s="10" t="s">
        <v>847</v>
      </c>
      <c r="L759" s="10" t="s">
        <v>2373</v>
      </c>
      <c r="M759" s="10" t="s">
        <v>2372</v>
      </c>
      <c r="N759" s="10" t="s">
        <v>2373</v>
      </c>
      <c r="O759" s="10"/>
    </row>
    <row r="760" spans="1:15" ht="18" customHeight="1" x14ac:dyDescent="0.3">
      <c r="A760" s="24">
        <v>759</v>
      </c>
      <c r="B760" s="10" t="s">
        <v>196</v>
      </c>
      <c r="C760" s="10" t="s">
        <v>36</v>
      </c>
      <c r="D760" s="62">
        <v>36</v>
      </c>
      <c r="E760" s="61" t="s">
        <v>263</v>
      </c>
      <c r="F760" s="19" t="s">
        <v>410</v>
      </c>
      <c r="G760" s="10" t="s">
        <v>150</v>
      </c>
      <c r="H760" s="10" t="s">
        <v>853</v>
      </c>
      <c r="I760" s="62">
        <v>273</v>
      </c>
      <c r="J760" s="10" t="s">
        <v>2372</v>
      </c>
      <c r="K760" s="10" t="s">
        <v>847</v>
      </c>
      <c r="L760" s="10" t="s">
        <v>2373</v>
      </c>
      <c r="M760" s="10" t="s">
        <v>2372</v>
      </c>
      <c r="N760" s="10" t="s">
        <v>2373</v>
      </c>
      <c r="O760" s="10"/>
    </row>
    <row r="761" spans="1:15" ht="18" customHeight="1" x14ac:dyDescent="0.3">
      <c r="A761" s="24">
        <v>760</v>
      </c>
      <c r="B761" s="10" t="s">
        <v>196</v>
      </c>
      <c r="C761" s="10" t="s">
        <v>36</v>
      </c>
      <c r="D761" s="62">
        <v>36</v>
      </c>
      <c r="E761" s="61" t="s">
        <v>263</v>
      </c>
      <c r="F761" s="19" t="s">
        <v>2534</v>
      </c>
      <c r="G761" s="10" t="s">
        <v>150</v>
      </c>
      <c r="H761" s="10" t="s">
        <v>849</v>
      </c>
      <c r="I761" s="62">
        <v>99</v>
      </c>
      <c r="J761" s="10" t="s">
        <v>2372</v>
      </c>
      <c r="K761" s="10" t="s">
        <v>2374</v>
      </c>
      <c r="L761" s="10" t="s">
        <v>1422</v>
      </c>
      <c r="M761" s="10" t="s">
        <v>2372</v>
      </c>
      <c r="N761" s="10" t="s">
        <v>2373</v>
      </c>
      <c r="O761" s="10"/>
    </row>
    <row r="762" spans="1:15" ht="18" customHeight="1" x14ac:dyDescent="0.3">
      <c r="A762" s="24">
        <v>761</v>
      </c>
      <c r="B762" s="10" t="s">
        <v>196</v>
      </c>
      <c r="C762" s="10" t="s">
        <v>36</v>
      </c>
      <c r="D762" s="62">
        <v>36</v>
      </c>
      <c r="E762" s="61" t="s">
        <v>905</v>
      </c>
      <c r="F762" s="35" t="s">
        <v>408</v>
      </c>
      <c r="G762" s="10" t="s">
        <v>150</v>
      </c>
      <c r="H762" s="10" t="s">
        <v>845</v>
      </c>
      <c r="I762" s="62">
        <v>66</v>
      </c>
      <c r="J762" s="8" t="s">
        <v>2372</v>
      </c>
      <c r="K762" s="10" t="s">
        <v>847</v>
      </c>
      <c r="L762" s="10" t="s">
        <v>2373</v>
      </c>
      <c r="M762" s="10" t="s">
        <v>2372</v>
      </c>
      <c r="N762" s="10" t="s">
        <v>2373</v>
      </c>
      <c r="O762" s="10"/>
    </row>
    <row r="763" spans="1:15" ht="18" customHeight="1" x14ac:dyDescent="0.3">
      <c r="A763" s="24">
        <v>762</v>
      </c>
      <c r="B763" s="10" t="s">
        <v>196</v>
      </c>
      <c r="C763" s="10" t="s">
        <v>36</v>
      </c>
      <c r="D763" s="62">
        <v>36</v>
      </c>
      <c r="E763" s="61" t="s">
        <v>905</v>
      </c>
      <c r="F763" s="35" t="s">
        <v>408</v>
      </c>
      <c r="G763" s="10" t="s">
        <v>150</v>
      </c>
      <c r="H763" s="10" t="s">
        <v>848</v>
      </c>
      <c r="I763" s="62">
        <v>66</v>
      </c>
      <c r="J763" s="8" t="s">
        <v>2372</v>
      </c>
      <c r="K763" s="10" t="s">
        <v>2372</v>
      </c>
      <c r="L763" s="10" t="s">
        <v>2373</v>
      </c>
      <c r="M763" s="10" t="s">
        <v>2374</v>
      </c>
      <c r="N763" s="10" t="s">
        <v>2440</v>
      </c>
      <c r="O763" s="10"/>
    </row>
    <row r="764" spans="1:15" ht="18" customHeight="1" x14ac:dyDescent="0.3">
      <c r="A764" s="24">
        <v>763</v>
      </c>
      <c r="B764" s="10" t="s">
        <v>196</v>
      </c>
      <c r="C764" s="10" t="s">
        <v>36</v>
      </c>
      <c r="D764" s="62">
        <v>36</v>
      </c>
      <c r="E764" s="61" t="s">
        <v>905</v>
      </c>
      <c r="F764" s="35" t="s">
        <v>408</v>
      </c>
      <c r="G764" s="10" t="s">
        <v>150</v>
      </c>
      <c r="H764" s="10" t="s">
        <v>849</v>
      </c>
      <c r="I764" s="62">
        <v>111</v>
      </c>
      <c r="J764" s="8" t="s">
        <v>846</v>
      </c>
      <c r="K764" s="10" t="s">
        <v>847</v>
      </c>
      <c r="L764" s="10" t="s">
        <v>2373</v>
      </c>
      <c r="M764" s="10" t="s">
        <v>2372</v>
      </c>
      <c r="N764" s="10" t="s">
        <v>2373</v>
      </c>
      <c r="O764" s="10"/>
    </row>
    <row r="765" spans="1:15" ht="18" customHeight="1" x14ac:dyDescent="0.3">
      <c r="A765" s="24">
        <v>764</v>
      </c>
      <c r="B765" s="10" t="s">
        <v>196</v>
      </c>
      <c r="C765" s="10" t="s">
        <v>36</v>
      </c>
      <c r="D765" s="62">
        <v>36</v>
      </c>
      <c r="E765" s="61" t="s">
        <v>905</v>
      </c>
      <c r="F765" s="35" t="s">
        <v>408</v>
      </c>
      <c r="G765" s="10" t="s">
        <v>150</v>
      </c>
      <c r="H765" s="10" t="s">
        <v>850</v>
      </c>
      <c r="I765" s="62">
        <v>102</v>
      </c>
      <c r="J765" s="8" t="s">
        <v>2372</v>
      </c>
      <c r="K765" s="10" t="s">
        <v>847</v>
      </c>
      <c r="L765" s="10" t="s">
        <v>2373</v>
      </c>
      <c r="M765" s="10" t="s">
        <v>2372</v>
      </c>
      <c r="N765" s="10" t="s">
        <v>2373</v>
      </c>
      <c r="O765" s="10"/>
    </row>
    <row r="766" spans="1:15" ht="18" customHeight="1" x14ac:dyDescent="0.3">
      <c r="A766" s="24">
        <v>765</v>
      </c>
      <c r="B766" s="10" t="s">
        <v>196</v>
      </c>
      <c r="C766" s="10" t="s">
        <v>36</v>
      </c>
      <c r="D766" s="62">
        <v>36</v>
      </c>
      <c r="E766" s="61" t="s">
        <v>905</v>
      </c>
      <c r="F766" s="35" t="s">
        <v>408</v>
      </c>
      <c r="G766" s="10" t="s">
        <v>150</v>
      </c>
      <c r="H766" s="10" t="s">
        <v>851</v>
      </c>
      <c r="I766" s="62">
        <v>244</v>
      </c>
      <c r="J766" s="8" t="s">
        <v>2372</v>
      </c>
      <c r="K766" s="10" t="s">
        <v>847</v>
      </c>
      <c r="L766" s="10" t="s">
        <v>2373</v>
      </c>
      <c r="M766" s="10" t="s">
        <v>2372</v>
      </c>
      <c r="N766" s="10" t="s">
        <v>2373</v>
      </c>
      <c r="O766" s="10"/>
    </row>
    <row r="767" spans="1:15" ht="18" customHeight="1" x14ac:dyDescent="0.3">
      <c r="A767" s="24">
        <v>766</v>
      </c>
      <c r="B767" s="10" t="s">
        <v>196</v>
      </c>
      <c r="C767" s="10" t="s">
        <v>36</v>
      </c>
      <c r="D767" s="62">
        <v>36</v>
      </c>
      <c r="E767" s="61" t="s">
        <v>905</v>
      </c>
      <c r="F767" s="35" t="s">
        <v>408</v>
      </c>
      <c r="G767" s="10" t="s">
        <v>150</v>
      </c>
      <c r="H767" s="10" t="s">
        <v>852</v>
      </c>
      <c r="I767" s="62">
        <v>316</v>
      </c>
      <c r="J767" s="8" t="s">
        <v>846</v>
      </c>
      <c r="K767" s="10" t="s">
        <v>847</v>
      </c>
      <c r="L767" s="10" t="s">
        <v>2373</v>
      </c>
      <c r="M767" s="10" t="s">
        <v>2372</v>
      </c>
      <c r="N767" s="10" t="s">
        <v>2373</v>
      </c>
      <c r="O767" s="10"/>
    </row>
    <row r="768" spans="1:15" ht="18" customHeight="1" x14ac:dyDescent="0.3">
      <c r="A768" s="24">
        <v>767</v>
      </c>
      <c r="B768" s="10" t="s">
        <v>196</v>
      </c>
      <c r="C768" s="10" t="s">
        <v>36</v>
      </c>
      <c r="D768" s="62">
        <v>36</v>
      </c>
      <c r="E768" s="61" t="s">
        <v>905</v>
      </c>
      <c r="F768" s="35" t="s">
        <v>408</v>
      </c>
      <c r="G768" s="10" t="s">
        <v>150</v>
      </c>
      <c r="H768" s="10" t="s">
        <v>853</v>
      </c>
      <c r="I768" s="62">
        <v>144</v>
      </c>
      <c r="J768" s="8" t="s">
        <v>2372</v>
      </c>
      <c r="K768" s="10" t="s">
        <v>847</v>
      </c>
      <c r="L768" s="10" t="s">
        <v>2373</v>
      </c>
      <c r="M768" s="10" t="s">
        <v>2372</v>
      </c>
      <c r="N768" s="10" t="s">
        <v>2373</v>
      </c>
      <c r="O768" s="10"/>
    </row>
    <row r="769" spans="1:15" ht="18" customHeight="1" x14ac:dyDescent="0.3">
      <c r="A769" s="24">
        <v>768</v>
      </c>
      <c r="B769" s="10" t="s">
        <v>1400</v>
      </c>
      <c r="C769" s="10" t="s">
        <v>1425</v>
      </c>
      <c r="D769" s="62">
        <v>37</v>
      </c>
      <c r="E769" s="61" t="s">
        <v>1426</v>
      </c>
      <c r="F769" s="44" t="s">
        <v>1427</v>
      </c>
      <c r="G769" s="24" t="s">
        <v>1278</v>
      </c>
      <c r="H769" s="10" t="s">
        <v>2385</v>
      </c>
      <c r="I769" s="62">
        <v>168</v>
      </c>
      <c r="J769" s="8" t="s">
        <v>2374</v>
      </c>
      <c r="K769" s="10" t="s">
        <v>847</v>
      </c>
      <c r="L769" s="10" t="s">
        <v>2373</v>
      </c>
      <c r="M769" s="10" t="s">
        <v>2372</v>
      </c>
      <c r="N769" s="10" t="s">
        <v>2373</v>
      </c>
      <c r="O769" s="10"/>
    </row>
    <row r="770" spans="1:15" ht="18" customHeight="1" x14ac:dyDescent="0.3">
      <c r="A770" s="24">
        <v>769</v>
      </c>
      <c r="B770" s="10" t="s">
        <v>1400</v>
      </c>
      <c r="C770" s="10" t="s">
        <v>1425</v>
      </c>
      <c r="D770" s="62">
        <v>37</v>
      </c>
      <c r="E770" s="61" t="s">
        <v>1426</v>
      </c>
      <c r="F770" s="44" t="s">
        <v>1427</v>
      </c>
      <c r="G770" s="24" t="s">
        <v>1278</v>
      </c>
      <c r="H770" s="10" t="s">
        <v>2378</v>
      </c>
      <c r="I770" s="62">
        <v>167</v>
      </c>
      <c r="J770" s="8" t="s">
        <v>2372</v>
      </c>
      <c r="K770" s="10" t="s">
        <v>847</v>
      </c>
      <c r="L770" s="10" t="s">
        <v>2373</v>
      </c>
      <c r="M770" s="10" t="s">
        <v>2372</v>
      </c>
      <c r="N770" s="10" t="s">
        <v>2373</v>
      </c>
      <c r="O770" s="10"/>
    </row>
    <row r="771" spans="1:15" ht="18" customHeight="1" x14ac:dyDescent="0.3">
      <c r="A771" s="24">
        <v>770</v>
      </c>
      <c r="B771" s="10" t="s">
        <v>1400</v>
      </c>
      <c r="C771" s="10" t="s">
        <v>1425</v>
      </c>
      <c r="D771" s="62">
        <v>37</v>
      </c>
      <c r="E771" s="61" t="s">
        <v>1426</v>
      </c>
      <c r="F771" s="44" t="s">
        <v>1427</v>
      </c>
      <c r="G771" s="24" t="s">
        <v>1278</v>
      </c>
      <c r="H771" s="10" t="s">
        <v>2379</v>
      </c>
      <c r="I771" s="62">
        <v>106</v>
      </c>
      <c r="J771" s="8" t="s">
        <v>2372</v>
      </c>
      <c r="K771" s="10" t="s">
        <v>847</v>
      </c>
      <c r="L771" s="10" t="s">
        <v>2373</v>
      </c>
      <c r="M771" s="10" t="s">
        <v>2372</v>
      </c>
      <c r="N771" s="10" t="s">
        <v>2373</v>
      </c>
      <c r="O771" s="10"/>
    </row>
    <row r="772" spans="1:15" ht="18" customHeight="1" x14ac:dyDescent="0.3">
      <c r="A772" s="24">
        <v>771</v>
      </c>
      <c r="B772" s="10" t="s">
        <v>1400</v>
      </c>
      <c r="C772" s="10" t="s">
        <v>1425</v>
      </c>
      <c r="D772" s="62">
        <v>37</v>
      </c>
      <c r="E772" s="61" t="s">
        <v>1426</v>
      </c>
      <c r="F772" s="44" t="s">
        <v>1427</v>
      </c>
      <c r="G772" s="24" t="s">
        <v>1278</v>
      </c>
      <c r="H772" s="10" t="s">
        <v>2380</v>
      </c>
      <c r="I772" s="62">
        <v>152</v>
      </c>
      <c r="J772" s="8" t="s">
        <v>2372</v>
      </c>
      <c r="K772" s="10" t="s">
        <v>847</v>
      </c>
      <c r="L772" s="10" t="s">
        <v>2373</v>
      </c>
      <c r="M772" s="10" t="s">
        <v>2372</v>
      </c>
      <c r="N772" s="10" t="s">
        <v>2373</v>
      </c>
      <c r="O772" s="10"/>
    </row>
    <row r="773" spans="1:15" ht="18" customHeight="1" x14ac:dyDescent="0.3">
      <c r="A773" s="24">
        <v>772</v>
      </c>
      <c r="B773" s="10" t="s">
        <v>1400</v>
      </c>
      <c r="C773" s="10" t="s">
        <v>1425</v>
      </c>
      <c r="D773" s="62">
        <v>37</v>
      </c>
      <c r="E773" s="61" t="s">
        <v>1426</v>
      </c>
      <c r="F773" s="44" t="s">
        <v>1427</v>
      </c>
      <c r="G773" s="24" t="s">
        <v>1278</v>
      </c>
      <c r="H773" s="10" t="s">
        <v>2390</v>
      </c>
      <c r="I773" s="62">
        <v>113</v>
      </c>
      <c r="J773" s="8" t="s">
        <v>2372</v>
      </c>
      <c r="K773" s="10" t="s">
        <v>847</v>
      </c>
      <c r="L773" s="10" t="s">
        <v>2373</v>
      </c>
      <c r="M773" s="10" t="s">
        <v>2372</v>
      </c>
      <c r="N773" s="10" t="s">
        <v>2373</v>
      </c>
      <c r="O773" s="10"/>
    </row>
    <row r="774" spans="1:15" ht="18" customHeight="1" x14ac:dyDescent="0.3">
      <c r="A774" s="24">
        <v>773</v>
      </c>
      <c r="B774" s="10" t="s">
        <v>1400</v>
      </c>
      <c r="C774" s="10" t="s">
        <v>1425</v>
      </c>
      <c r="D774" s="62">
        <v>37</v>
      </c>
      <c r="E774" s="61" t="s">
        <v>1426</v>
      </c>
      <c r="F774" s="44" t="s">
        <v>1427</v>
      </c>
      <c r="G774" s="24" t="s">
        <v>1278</v>
      </c>
      <c r="H774" s="10" t="s">
        <v>2382</v>
      </c>
      <c r="I774" s="62">
        <v>35</v>
      </c>
      <c r="J774" s="8" t="s">
        <v>2372</v>
      </c>
      <c r="K774" s="173" t="s">
        <v>3451</v>
      </c>
      <c r="L774" s="173" t="s">
        <v>3499</v>
      </c>
      <c r="M774" s="10" t="s">
        <v>2372</v>
      </c>
      <c r="N774" s="10" t="s">
        <v>2373</v>
      </c>
      <c r="O774" s="10"/>
    </row>
    <row r="775" spans="1:15" ht="18" customHeight="1" x14ac:dyDescent="0.3">
      <c r="A775" s="24">
        <v>774</v>
      </c>
      <c r="B775" s="10" t="s">
        <v>1400</v>
      </c>
      <c r="C775" s="10" t="s">
        <v>1425</v>
      </c>
      <c r="D775" s="62">
        <v>37</v>
      </c>
      <c r="E775" s="61" t="s">
        <v>1426</v>
      </c>
      <c r="F775" s="44" t="s">
        <v>1427</v>
      </c>
      <c r="G775" s="24" t="s">
        <v>1278</v>
      </c>
      <c r="H775" s="10" t="s">
        <v>2431</v>
      </c>
      <c r="I775" s="62">
        <v>69</v>
      </c>
      <c r="J775" s="8" t="s">
        <v>2372</v>
      </c>
      <c r="K775" s="173" t="s">
        <v>3451</v>
      </c>
      <c r="L775" s="173" t="s">
        <v>3499</v>
      </c>
      <c r="M775" s="10" t="s">
        <v>2372</v>
      </c>
      <c r="N775" s="10" t="s">
        <v>2373</v>
      </c>
      <c r="O775" s="10"/>
    </row>
    <row r="776" spans="1:15" ht="18" customHeight="1" x14ac:dyDescent="0.3">
      <c r="A776" s="24">
        <v>775</v>
      </c>
      <c r="B776" s="10" t="s">
        <v>196</v>
      </c>
      <c r="C776" s="10" t="s">
        <v>1425</v>
      </c>
      <c r="D776" s="62">
        <v>37</v>
      </c>
      <c r="E776" s="61" t="s">
        <v>2824</v>
      </c>
      <c r="F776" s="19" t="s">
        <v>1429</v>
      </c>
      <c r="G776" s="10" t="s">
        <v>160</v>
      </c>
      <c r="H776" s="10" t="s">
        <v>2385</v>
      </c>
      <c r="I776" s="62">
        <v>72</v>
      </c>
      <c r="J776" s="10" t="s">
        <v>2372</v>
      </c>
      <c r="K776" s="10" t="s">
        <v>847</v>
      </c>
      <c r="L776" s="10" t="s">
        <v>2373</v>
      </c>
      <c r="M776" s="10" t="s">
        <v>2372</v>
      </c>
      <c r="N776" s="10" t="s">
        <v>2373</v>
      </c>
      <c r="O776" s="10"/>
    </row>
    <row r="777" spans="1:15" ht="18" customHeight="1" x14ac:dyDescent="0.3">
      <c r="A777" s="24">
        <v>776</v>
      </c>
      <c r="B777" s="10" t="s">
        <v>196</v>
      </c>
      <c r="C777" s="10" t="s">
        <v>1425</v>
      </c>
      <c r="D777" s="62">
        <v>37</v>
      </c>
      <c r="E777" s="61" t="s">
        <v>2824</v>
      </c>
      <c r="F777" s="19" t="s">
        <v>1429</v>
      </c>
      <c r="G777" s="10" t="s">
        <v>160</v>
      </c>
      <c r="H777" s="10" t="s">
        <v>2378</v>
      </c>
      <c r="I777" s="62">
        <v>55</v>
      </c>
      <c r="J777" s="10" t="s">
        <v>2372</v>
      </c>
      <c r="K777" s="10" t="s">
        <v>847</v>
      </c>
      <c r="L777" s="10" t="s">
        <v>2373</v>
      </c>
      <c r="M777" s="10" t="s">
        <v>2372</v>
      </c>
      <c r="N777" s="10" t="s">
        <v>2373</v>
      </c>
      <c r="O777" s="10"/>
    </row>
    <row r="778" spans="1:15" ht="18" customHeight="1" x14ac:dyDescent="0.3">
      <c r="A778" s="24">
        <v>777</v>
      </c>
      <c r="B778" s="10" t="s">
        <v>196</v>
      </c>
      <c r="C778" s="10" t="s">
        <v>1425</v>
      </c>
      <c r="D778" s="62">
        <v>37</v>
      </c>
      <c r="E778" s="61" t="s">
        <v>2824</v>
      </c>
      <c r="F778" s="19" t="s">
        <v>1429</v>
      </c>
      <c r="G778" s="10" t="s">
        <v>160</v>
      </c>
      <c r="H778" s="10" t="s">
        <v>2379</v>
      </c>
      <c r="I778" s="62">
        <v>85</v>
      </c>
      <c r="J778" s="10" t="s">
        <v>2372</v>
      </c>
      <c r="K778" s="10" t="s">
        <v>847</v>
      </c>
      <c r="L778" s="10" t="s">
        <v>2373</v>
      </c>
      <c r="M778" s="10" t="s">
        <v>2372</v>
      </c>
      <c r="N778" s="10" t="s">
        <v>2373</v>
      </c>
      <c r="O778" s="10"/>
    </row>
    <row r="779" spans="1:15" ht="18" customHeight="1" x14ac:dyDescent="0.3">
      <c r="A779" s="24">
        <v>778</v>
      </c>
      <c r="B779" s="10" t="s">
        <v>196</v>
      </c>
      <c r="C779" s="10" t="s">
        <v>1425</v>
      </c>
      <c r="D779" s="62">
        <v>37</v>
      </c>
      <c r="E779" s="61" t="s">
        <v>2824</v>
      </c>
      <c r="F779" s="19" t="s">
        <v>1429</v>
      </c>
      <c r="G779" s="10" t="s">
        <v>160</v>
      </c>
      <c r="H779" s="10" t="s">
        <v>2380</v>
      </c>
      <c r="I779" s="62">
        <v>85</v>
      </c>
      <c r="J779" s="10" t="s">
        <v>2372</v>
      </c>
      <c r="K779" s="10" t="s">
        <v>847</v>
      </c>
      <c r="L779" s="10" t="s">
        <v>2373</v>
      </c>
      <c r="M779" s="10" t="s">
        <v>2372</v>
      </c>
      <c r="N779" s="10" t="s">
        <v>2373</v>
      </c>
      <c r="O779" s="10"/>
    </row>
    <row r="780" spans="1:15" ht="18" customHeight="1" x14ac:dyDescent="0.3">
      <c r="A780" s="24">
        <v>779</v>
      </c>
      <c r="B780" s="10" t="s">
        <v>196</v>
      </c>
      <c r="C780" s="10" t="s">
        <v>1425</v>
      </c>
      <c r="D780" s="62">
        <v>37</v>
      </c>
      <c r="E780" s="61" t="s">
        <v>2824</v>
      </c>
      <c r="F780" s="19" t="s">
        <v>1429</v>
      </c>
      <c r="G780" s="10" t="s">
        <v>160</v>
      </c>
      <c r="H780" s="10" t="s">
        <v>2390</v>
      </c>
      <c r="I780" s="62">
        <v>72</v>
      </c>
      <c r="J780" s="10" t="s">
        <v>2372</v>
      </c>
      <c r="K780" s="10" t="s">
        <v>847</v>
      </c>
      <c r="L780" s="10" t="s">
        <v>2373</v>
      </c>
      <c r="M780" s="10" t="s">
        <v>2372</v>
      </c>
      <c r="N780" s="10" t="s">
        <v>2373</v>
      </c>
      <c r="O780" s="10"/>
    </row>
    <row r="781" spans="1:15" ht="18" customHeight="1" x14ac:dyDescent="0.3">
      <c r="A781" s="24">
        <v>780</v>
      </c>
      <c r="B781" s="10" t="s">
        <v>196</v>
      </c>
      <c r="C781" s="10" t="s">
        <v>1425</v>
      </c>
      <c r="D781" s="62">
        <v>37</v>
      </c>
      <c r="E781" s="61" t="s">
        <v>2824</v>
      </c>
      <c r="F781" s="19" t="s">
        <v>1429</v>
      </c>
      <c r="G781" s="10" t="s">
        <v>160</v>
      </c>
      <c r="H781" s="10" t="s">
        <v>2382</v>
      </c>
      <c r="I781" s="62">
        <v>62</v>
      </c>
      <c r="J781" s="10" t="s">
        <v>2372</v>
      </c>
      <c r="K781" s="10" t="s">
        <v>847</v>
      </c>
      <c r="L781" s="10" t="s">
        <v>2373</v>
      </c>
      <c r="M781" s="10" t="s">
        <v>2372</v>
      </c>
      <c r="N781" s="10" t="s">
        <v>2373</v>
      </c>
      <c r="O781" s="10"/>
    </row>
    <row r="782" spans="1:15" ht="18" customHeight="1" x14ac:dyDescent="0.3">
      <c r="A782" s="24">
        <v>781</v>
      </c>
      <c r="B782" s="10" t="s">
        <v>196</v>
      </c>
      <c r="C782" s="10" t="s">
        <v>37</v>
      </c>
      <c r="D782" s="62">
        <v>38</v>
      </c>
      <c r="E782" s="61" t="s">
        <v>2825</v>
      </c>
      <c r="F782" s="32" t="s">
        <v>433</v>
      </c>
      <c r="G782" s="10" t="s">
        <v>150</v>
      </c>
      <c r="H782" s="10" t="s">
        <v>845</v>
      </c>
      <c r="I782" s="62">
        <v>250</v>
      </c>
      <c r="J782" s="10" t="s">
        <v>2372</v>
      </c>
      <c r="K782" s="10" t="s">
        <v>847</v>
      </c>
      <c r="L782" s="10" t="s">
        <v>2373</v>
      </c>
      <c r="M782" s="10" t="s">
        <v>2372</v>
      </c>
      <c r="N782" s="10" t="s">
        <v>2373</v>
      </c>
      <c r="O782" s="10"/>
    </row>
    <row r="783" spans="1:15" ht="18" customHeight="1" x14ac:dyDescent="0.3">
      <c r="A783" s="24">
        <v>782</v>
      </c>
      <c r="B783" s="10" t="s">
        <v>196</v>
      </c>
      <c r="C783" s="10" t="s">
        <v>37</v>
      </c>
      <c r="D783" s="62">
        <v>38</v>
      </c>
      <c r="E783" s="61" t="s">
        <v>2825</v>
      </c>
      <c r="F783" s="32" t="s">
        <v>433</v>
      </c>
      <c r="G783" s="10" t="s">
        <v>150</v>
      </c>
      <c r="H783" s="10" t="s">
        <v>848</v>
      </c>
      <c r="I783" s="62">
        <v>174</v>
      </c>
      <c r="J783" s="10" t="s">
        <v>2374</v>
      </c>
      <c r="K783" s="10" t="s">
        <v>847</v>
      </c>
      <c r="L783" s="10" t="s">
        <v>2373</v>
      </c>
      <c r="M783" s="10" t="s">
        <v>2372</v>
      </c>
      <c r="N783" s="10" t="s">
        <v>2373</v>
      </c>
      <c r="O783" s="10"/>
    </row>
    <row r="784" spans="1:15" ht="18" customHeight="1" x14ac:dyDescent="0.3">
      <c r="A784" s="24">
        <v>783</v>
      </c>
      <c r="B784" s="10" t="s">
        <v>196</v>
      </c>
      <c r="C784" s="10" t="s">
        <v>37</v>
      </c>
      <c r="D784" s="62">
        <v>38</v>
      </c>
      <c r="E784" s="61" t="s">
        <v>2825</v>
      </c>
      <c r="F784" s="32" t="s">
        <v>433</v>
      </c>
      <c r="G784" s="10" t="s">
        <v>150</v>
      </c>
      <c r="H784" s="10" t="s">
        <v>849</v>
      </c>
      <c r="I784" s="62">
        <v>140</v>
      </c>
      <c r="J784" s="10" t="s">
        <v>2374</v>
      </c>
      <c r="K784" s="10" t="s">
        <v>847</v>
      </c>
      <c r="L784" s="10" t="s">
        <v>2373</v>
      </c>
      <c r="M784" s="10" t="s">
        <v>2372</v>
      </c>
      <c r="N784" s="10" t="s">
        <v>2373</v>
      </c>
      <c r="O784" s="10"/>
    </row>
    <row r="785" spans="1:15" ht="18" customHeight="1" x14ac:dyDescent="0.3">
      <c r="A785" s="24">
        <v>784</v>
      </c>
      <c r="B785" s="10" t="s">
        <v>196</v>
      </c>
      <c r="C785" s="10" t="s">
        <v>37</v>
      </c>
      <c r="D785" s="62">
        <v>38</v>
      </c>
      <c r="E785" s="61" t="s">
        <v>2825</v>
      </c>
      <c r="F785" s="32" t="s">
        <v>433</v>
      </c>
      <c r="G785" s="10" t="s">
        <v>150</v>
      </c>
      <c r="H785" s="10" t="s">
        <v>850</v>
      </c>
      <c r="I785" s="62">
        <v>186</v>
      </c>
      <c r="J785" s="10" t="s">
        <v>2372</v>
      </c>
      <c r="K785" s="10" t="s">
        <v>847</v>
      </c>
      <c r="L785" s="10" t="s">
        <v>2373</v>
      </c>
      <c r="M785" s="10" t="s">
        <v>2372</v>
      </c>
      <c r="N785" s="10" t="s">
        <v>2373</v>
      </c>
      <c r="O785" s="10"/>
    </row>
    <row r="786" spans="1:15" ht="18" customHeight="1" x14ac:dyDescent="0.3">
      <c r="A786" s="24">
        <v>785</v>
      </c>
      <c r="B786" s="10" t="s">
        <v>196</v>
      </c>
      <c r="C786" s="10" t="s">
        <v>37</v>
      </c>
      <c r="D786" s="62">
        <v>38</v>
      </c>
      <c r="E786" s="61" t="s">
        <v>2825</v>
      </c>
      <c r="F786" s="32" t="s">
        <v>433</v>
      </c>
      <c r="G786" s="10" t="s">
        <v>150</v>
      </c>
      <c r="H786" s="10" t="s">
        <v>851</v>
      </c>
      <c r="I786" s="62">
        <v>201</v>
      </c>
      <c r="J786" s="10" t="s">
        <v>2372</v>
      </c>
      <c r="K786" s="10" t="s">
        <v>847</v>
      </c>
      <c r="L786" s="10" t="s">
        <v>2373</v>
      </c>
      <c r="M786" s="10" t="s">
        <v>2372</v>
      </c>
      <c r="N786" s="10" t="s">
        <v>2373</v>
      </c>
      <c r="O786" s="10"/>
    </row>
    <row r="787" spans="1:15" ht="18" customHeight="1" x14ac:dyDescent="0.3">
      <c r="A787" s="24">
        <v>786</v>
      </c>
      <c r="B787" s="10" t="s">
        <v>196</v>
      </c>
      <c r="C787" s="10" t="s">
        <v>37</v>
      </c>
      <c r="D787" s="62">
        <v>38</v>
      </c>
      <c r="E787" s="61" t="s">
        <v>2825</v>
      </c>
      <c r="F787" s="32" t="s">
        <v>433</v>
      </c>
      <c r="G787" s="10" t="s">
        <v>150</v>
      </c>
      <c r="H787" s="10" t="s">
        <v>852</v>
      </c>
      <c r="I787" s="62">
        <v>130</v>
      </c>
      <c r="J787" s="10" t="s">
        <v>2374</v>
      </c>
      <c r="K787" s="10" t="s">
        <v>2374</v>
      </c>
      <c r="L787" s="10" t="s">
        <v>2470</v>
      </c>
      <c r="M787" s="10" t="s">
        <v>2372</v>
      </c>
      <c r="N787" s="10" t="s">
        <v>2373</v>
      </c>
      <c r="O787" s="10"/>
    </row>
    <row r="788" spans="1:15" ht="18" customHeight="1" x14ac:dyDescent="0.3">
      <c r="A788" s="24">
        <v>787</v>
      </c>
      <c r="B788" s="10" t="s">
        <v>196</v>
      </c>
      <c r="C788" s="10" t="s">
        <v>37</v>
      </c>
      <c r="D788" s="62">
        <v>38</v>
      </c>
      <c r="E788" s="61" t="s">
        <v>2825</v>
      </c>
      <c r="F788" s="32" t="s">
        <v>433</v>
      </c>
      <c r="G788" s="10" t="s">
        <v>150</v>
      </c>
      <c r="H788" s="10" t="s">
        <v>853</v>
      </c>
      <c r="I788" s="62">
        <v>218</v>
      </c>
      <c r="J788" s="10" t="s">
        <v>2372</v>
      </c>
      <c r="K788" s="10" t="s">
        <v>847</v>
      </c>
      <c r="L788" s="10" t="s">
        <v>2373</v>
      </c>
      <c r="M788" s="10" t="s">
        <v>2372</v>
      </c>
      <c r="N788" s="10" t="s">
        <v>2373</v>
      </c>
      <c r="O788" s="10"/>
    </row>
    <row r="789" spans="1:15" ht="18" customHeight="1" x14ac:dyDescent="0.3">
      <c r="A789" s="24">
        <v>788</v>
      </c>
      <c r="B789" s="10" t="s">
        <v>196</v>
      </c>
      <c r="C789" s="10" t="s">
        <v>37</v>
      </c>
      <c r="D789" s="62">
        <v>38</v>
      </c>
      <c r="E789" s="61" t="s">
        <v>2825</v>
      </c>
      <c r="F789" s="32" t="s">
        <v>433</v>
      </c>
      <c r="G789" s="10" t="s">
        <v>150</v>
      </c>
      <c r="H789" s="10" t="s">
        <v>854</v>
      </c>
      <c r="I789" s="62">
        <v>84</v>
      </c>
      <c r="J789" s="10" t="s">
        <v>2374</v>
      </c>
      <c r="K789" s="10" t="s">
        <v>2374</v>
      </c>
      <c r="L789" s="10" t="s">
        <v>1516</v>
      </c>
      <c r="M789" s="10" t="s">
        <v>2372</v>
      </c>
      <c r="N789" s="10" t="s">
        <v>2373</v>
      </c>
      <c r="O789" s="10"/>
    </row>
    <row r="790" spans="1:15" ht="18" customHeight="1" x14ac:dyDescent="0.3">
      <c r="A790" s="24">
        <v>789</v>
      </c>
      <c r="B790" s="10" t="s">
        <v>196</v>
      </c>
      <c r="C790" s="10" t="s">
        <v>38</v>
      </c>
      <c r="D790" s="62">
        <v>40</v>
      </c>
      <c r="E790" s="61" t="s">
        <v>1433</v>
      </c>
      <c r="F790" s="27" t="s">
        <v>1434</v>
      </c>
      <c r="G790" s="10" t="s">
        <v>150</v>
      </c>
      <c r="H790" s="10" t="s">
        <v>2761</v>
      </c>
      <c r="I790" s="8">
        <v>250</v>
      </c>
      <c r="J790" s="10" t="s">
        <v>2374</v>
      </c>
      <c r="K790" s="10" t="s">
        <v>2374</v>
      </c>
      <c r="L790" s="10" t="s">
        <v>1422</v>
      </c>
      <c r="M790" s="10" t="s">
        <v>2372</v>
      </c>
      <c r="N790" s="10" t="s">
        <v>2373</v>
      </c>
      <c r="O790" s="10"/>
    </row>
    <row r="791" spans="1:15" ht="18" customHeight="1" x14ac:dyDescent="0.3">
      <c r="A791" s="24">
        <v>790</v>
      </c>
      <c r="B791" s="10" t="s">
        <v>196</v>
      </c>
      <c r="C791" s="10" t="s">
        <v>38</v>
      </c>
      <c r="D791" s="62">
        <v>40</v>
      </c>
      <c r="E791" s="61" t="s">
        <v>1433</v>
      </c>
      <c r="F791" s="27" t="s">
        <v>1434</v>
      </c>
      <c r="G791" s="10" t="s">
        <v>150</v>
      </c>
      <c r="H791" s="10" t="s">
        <v>2764</v>
      </c>
      <c r="I791" s="8">
        <v>250</v>
      </c>
      <c r="J791" s="10" t="s">
        <v>2374</v>
      </c>
      <c r="K791" s="10" t="s">
        <v>2374</v>
      </c>
      <c r="L791" s="10" t="s">
        <v>1422</v>
      </c>
      <c r="M791" s="10" t="s">
        <v>2372</v>
      </c>
      <c r="N791" s="10" t="s">
        <v>2373</v>
      </c>
      <c r="O791" s="10"/>
    </row>
    <row r="792" spans="1:15" ht="18" customHeight="1" x14ac:dyDescent="0.3">
      <c r="A792" s="24">
        <v>791</v>
      </c>
      <c r="B792" s="10" t="s">
        <v>196</v>
      </c>
      <c r="C792" s="10" t="s">
        <v>38</v>
      </c>
      <c r="D792" s="62">
        <v>40</v>
      </c>
      <c r="E792" s="61" t="s">
        <v>1433</v>
      </c>
      <c r="F792" s="27" t="s">
        <v>1041</v>
      </c>
      <c r="G792" s="10" t="s">
        <v>150</v>
      </c>
      <c r="H792" s="10" t="s">
        <v>2765</v>
      </c>
      <c r="I792" s="8">
        <v>143</v>
      </c>
      <c r="J792" s="10" t="s">
        <v>2374</v>
      </c>
      <c r="K792" s="10" t="s">
        <v>2374</v>
      </c>
      <c r="L792" s="10" t="s">
        <v>1422</v>
      </c>
      <c r="M792" s="10" t="s">
        <v>2372</v>
      </c>
      <c r="N792" s="10" t="s">
        <v>2373</v>
      </c>
      <c r="O792" s="10"/>
    </row>
    <row r="793" spans="1:15" ht="18" customHeight="1" x14ac:dyDescent="0.3">
      <c r="A793" s="24">
        <v>792</v>
      </c>
      <c r="B793" s="10" t="s">
        <v>196</v>
      </c>
      <c r="C793" s="10" t="s">
        <v>38</v>
      </c>
      <c r="D793" s="62">
        <v>40</v>
      </c>
      <c r="E793" s="61" t="s">
        <v>1433</v>
      </c>
      <c r="F793" s="27" t="s">
        <v>1041</v>
      </c>
      <c r="G793" s="10" t="s">
        <v>150</v>
      </c>
      <c r="H793" s="10" t="s">
        <v>2766</v>
      </c>
      <c r="I793" s="8">
        <v>148</v>
      </c>
      <c r="J793" s="10" t="s">
        <v>2372</v>
      </c>
      <c r="K793" s="10" t="s">
        <v>2374</v>
      </c>
      <c r="L793" s="10" t="s">
        <v>1422</v>
      </c>
      <c r="M793" s="10" t="s">
        <v>2372</v>
      </c>
      <c r="N793" s="10" t="s">
        <v>2373</v>
      </c>
      <c r="O793" s="10"/>
    </row>
    <row r="794" spans="1:15" ht="18" customHeight="1" x14ac:dyDescent="0.3">
      <c r="A794" s="24">
        <v>793</v>
      </c>
      <c r="B794" s="10" t="s">
        <v>196</v>
      </c>
      <c r="C794" s="10" t="s">
        <v>38</v>
      </c>
      <c r="D794" s="62">
        <v>40</v>
      </c>
      <c r="E794" s="61" t="s">
        <v>1433</v>
      </c>
      <c r="F794" s="27" t="s">
        <v>1041</v>
      </c>
      <c r="G794" s="10" t="s">
        <v>150</v>
      </c>
      <c r="H794" s="10" t="s">
        <v>2767</v>
      </c>
      <c r="I794" s="8">
        <v>143</v>
      </c>
      <c r="J794" s="10" t="s">
        <v>2372</v>
      </c>
      <c r="K794" s="10" t="s">
        <v>2374</v>
      </c>
      <c r="L794" s="10" t="s">
        <v>1422</v>
      </c>
      <c r="M794" s="10" t="s">
        <v>2372</v>
      </c>
      <c r="N794" s="10" t="s">
        <v>2373</v>
      </c>
      <c r="O794" s="10"/>
    </row>
    <row r="795" spans="1:15" ht="18" customHeight="1" x14ac:dyDescent="0.3">
      <c r="A795" s="24">
        <v>794</v>
      </c>
      <c r="B795" s="10" t="s">
        <v>196</v>
      </c>
      <c r="C795" s="10" t="s">
        <v>38</v>
      </c>
      <c r="D795" s="62">
        <v>40</v>
      </c>
      <c r="E795" s="61" t="s">
        <v>1433</v>
      </c>
      <c r="F795" s="27" t="s">
        <v>1041</v>
      </c>
      <c r="G795" s="10" t="s">
        <v>150</v>
      </c>
      <c r="H795" s="10" t="s">
        <v>2768</v>
      </c>
      <c r="I795" s="8">
        <v>191</v>
      </c>
      <c r="J795" s="10" t="s">
        <v>2374</v>
      </c>
      <c r="K795" s="10" t="s">
        <v>2374</v>
      </c>
      <c r="L795" s="10" t="s">
        <v>1422</v>
      </c>
      <c r="M795" s="10" t="s">
        <v>2372</v>
      </c>
      <c r="N795" s="10" t="s">
        <v>2373</v>
      </c>
      <c r="O795" s="10"/>
    </row>
    <row r="796" spans="1:15" ht="18" customHeight="1" x14ac:dyDescent="0.3">
      <c r="A796" s="24">
        <v>795</v>
      </c>
      <c r="B796" s="10" t="s">
        <v>196</v>
      </c>
      <c r="C796" s="10" t="s">
        <v>38</v>
      </c>
      <c r="D796" s="62">
        <v>40</v>
      </c>
      <c r="E796" s="61" t="s">
        <v>1433</v>
      </c>
      <c r="F796" s="27" t="s">
        <v>1041</v>
      </c>
      <c r="G796" s="10" t="s">
        <v>150</v>
      </c>
      <c r="H796" s="10" t="s">
        <v>2769</v>
      </c>
      <c r="I796" s="8">
        <v>194</v>
      </c>
      <c r="J796" s="10" t="s">
        <v>2374</v>
      </c>
      <c r="K796" s="10" t="s">
        <v>2374</v>
      </c>
      <c r="L796" s="10" t="s">
        <v>1422</v>
      </c>
      <c r="M796" s="10" t="s">
        <v>2372</v>
      </c>
      <c r="N796" s="10" t="s">
        <v>2373</v>
      </c>
      <c r="O796" s="10"/>
    </row>
    <row r="797" spans="1:15" ht="18" customHeight="1" x14ac:dyDescent="0.3">
      <c r="A797" s="24">
        <v>796</v>
      </c>
      <c r="B797" s="10" t="s">
        <v>196</v>
      </c>
      <c r="C797" s="10" t="s">
        <v>39</v>
      </c>
      <c r="D797" s="62">
        <v>41</v>
      </c>
      <c r="E797" s="61" t="s">
        <v>906</v>
      </c>
      <c r="F797" s="16" t="s">
        <v>418</v>
      </c>
      <c r="G797" s="10" t="s">
        <v>150</v>
      </c>
      <c r="H797" s="10" t="s">
        <v>845</v>
      </c>
      <c r="I797" s="62">
        <v>322</v>
      </c>
      <c r="J797" s="8" t="s">
        <v>846</v>
      </c>
      <c r="K797" s="10" t="s">
        <v>847</v>
      </c>
      <c r="L797" s="10" t="s">
        <v>2373</v>
      </c>
      <c r="M797" s="10" t="s">
        <v>2372</v>
      </c>
      <c r="N797" s="10" t="s">
        <v>2373</v>
      </c>
      <c r="O797" s="10"/>
    </row>
    <row r="798" spans="1:15" ht="18" customHeight="1" x14ac:dyDescent="0.3">
      <c r="A798" s="24">
        <v>797</v>
      </c>
      <c r="B798" s="10" t="s">
        <v>196</v>
      </c>
      <c r="C798" s="10" t="s">
        <v>39</v>
      </c>
      <c r="D798" s="62">
        <v>41</v>
      </c>
      <c r="E798" s="61" t="s">
        <v>906</v>
      </c>
      <c r="F798" s="16" t="s">
        <v>418</v>
      </c>
      <c r="G798" s="10" t="s">
        <v>150</v>
      </c>
      <c r="H798" s="10" t="s">
        <v>848</v>
      </c>
      <c r="I798" s="62">
        <v>118</v>
      </c>
      <c r="J798" s="8" t="s">
        <v>846</v>
      </c>
      <c r="K798" s="10" t="s">
        <v>847</v>
      </c>
      <c r="L798" s="10" t="s">
        <v>2373</v>
      </c>
      <c r="M798" s="10" t="s">
        <v>2372</v>
      </c>
      <c r="N798" s="10" t="s">
        <v>2373</v>
      </c>
      <c r="O798" s="10"/>
    </row>
    <row r="799" spans="1:15" ht="18" customHeight="1" x14ac:dyDescent="0.3">
      <c r="A799" s="24">
        <v>798</v>
      </c>
      <c r="B799" s="10" t="s">
        <v>196</v>
      </c>
      <c r="C799" s="10" t="s">
        <v>39</v>
      </c>
      <c r="D799" s="62">
        <v>41</v>
      </c>
      <c r="E799" s="61" t="s">
        <v>906</v>
      </c>
      <c r="F799" s="16" t="s">
        <v>418</v>
      </c>
      <c r="G799" s="10" t="s">
        <v>150</v>
      </c>
      <c r="H799" s="10" t="s">
        <v>849</v>
      </c>
      <c r="I799" s="62">
        <v>190</v>
      </c>
      <c r="J799" s="8" t="s">
        <v>2372</v>
      </c>
      <c r="K799" s="10" t="s">
        <v>847</v>
      </c>
      <c r="L799" s="10" t="s">
        <v>2373</v>
      </c>
      <c r="M799" s="10" t="s">
        <v>2372</v>
      </c>
      <c r="N799" s="10" t="s">
        <v>2373</v>
      </c>
      <c r="O799" s="10"/>
    </row>
    <row r="800" spans="1:15" ht="18" customHeight="1" x14ac:dyDescent="0.3">
      <c r="A800" s="24">
        <v>799</v>
      </c>
      <c r="B800" s="10" t="s">
        <v>196</v>
      </c>
      <c r="C800" s="10" t="s">
        <v>39</v>
      </c>
      <c r="D800" s="62">
        <v>41</v>
      </c>
      <c r="E800" s="61" t="s">
        <v>906</v>
      </c>
      <c r="F800" s="16" t="s">
        <v>418</v>
      </c>
      <c r="G800" s="10" t="s">
        <v>150</v>
      </c>
      <c r="H800" s="10" t="s">
        <v>850</v>
      </c>
      <c r="I800" s="62">
        <v>192</v>
      </c>
      <c r="J800" s="8" t="s">
        <v>2372</v>
      </c>
      <c r="K800" s="10" t="s">
        <v>847</v>
      </c>
      <c r="L800" s="10" t="s">
        <v>2373</v>
      </c>
      <c r="M800" s="10" t="s">
        <v>2372</v>
      </c>
      <c r="N800" s="10" t="s">
        <v>2373</v>
      </c>
      <c r="O800" s="10"/>
    </row>
    <row r="801" spans="1:15" ht="18" customHeight="1" x14ac:dyDescent="0.3">
      <c r="A801" s="24">
        <v>800</v>
      </c>
      <c r="B801" s="10" t="s">
        <v>196</v>
      </c>
      <c r="C801" s="10" t="s">
        <v>39</v>
      </c>
      <c r="D801" s="62">
        <v>41</v>
      </c>
      <c r="E801" s="61" t="s">
        <v>906</v>
      </c>
      <c r="F801" s="16" t="s">
        <v>418</v>
      </c>
      <c r="G801" s="10" t="s">
        <v>150</v>
      </c>
      <c r="H801" s="10" t="s">
        <v>851</v>
      </c>
      <c r="I801" s="62">
        <v>96</v>
      </c>
      <c r="J801" s="8" t="s">
        <v>2372</v>
      </c>
      <c r="K801" s="10" t="s">
        <v>847</v>
      </c>
      <c r="L801" s="10" t="s">
        <v>2373</v>
      </c>
      <c r="M801" s="10" t="s">
        <v>2372</v>
      </c>
      <c r="N801" s="10" t="s">
        <v>2373</v>
      </c>
      <c r="O801" s="10"/>
    </row>
    <row r="802" spans="1:15" ht="18" customHeight="1" x14ac:dyDescent="0.3">
      <c r="A802" s="24">
        <v>801</v>
      </c>
      <c r="B802" s="10" t="s">
        <v>196</v>
      </c>
      <c r="C802" s="10" t="s">
        <v>39</v>
      </c>
      <c r="D802" s="62">
        <v>41</v>
      </c>
      <c r="E802" s="61" t="s">
        <v>906</v>
      </c>
      <c r="F802" s="16" t="s">
        <v>418</v>
      </c>
      <c r="G802" s="10" t="s">
        <v>150</v>
      </c>
      <c r="H802" s="10" t="s">
        <v>852</v>
      </c>
      <c r="I802" s="62">
        <v>96</v>
      </c>
      <c r="J802" s="8" t="s">
        <v>2372</v>
      </c>
      <c r="K802" s="10" t="s">
        <v>847</v>
      </c>
      <c r="L802" s="10" t="s">
        <v>2373</v>
      </c>
      <c r="M802" s="10" t="s">
        <v>2372</v>
      </c>
      <c r="N802" s="10" t="s">
        <v>2373</v>
      </c>
      <c r="O802" s="10"/>
    </row>
    <row r="803" spans="1:15" ht="18" customHeight="1" x14ac:dyDescent="0.3">
      <c r="A803" s="24">
        <v>802</v>
      </c>
      <c r="B803" s="10" t="s">
        <v>196</v>
      </c>
      <c r="C803" s="10" t="s">
        <v>39</v>
      </c>
      <c r="D803" s="62">
        <v>41</v>
      </c>
      <c r="E803" s="61" t="s">
        <v>280</v>
      </c>
      <c r="F803" s="27" t="s">
        <v>414</v>
      </c>
      <c r="G803" s="10" t="s">
        <v>160</v>
      </c>
      <c r="H803" s="10" t="s">
        <v>845</v>
      </c>
      <c r="I803" s="62">
        <v>95</v>
      </c>
      <c r="J803" s="10" t="s">
        <v>2374</v>
      </c>
      <c r="K803" s="10" t="s">
        <v>847</v>
      </c>
      <c r="L803" s="10" t="s">
        <v>2373</v>
      </c>
      <c r="M803" s="10" t="s">
        <v>2372</v>
      </c>
      <c r="N803" s="10" t="s">
        <v>2373</v>
      </c>
      <c r="O803" s="10"/>
    </row>
    <row r="804" spans="1:15" ht="18" customHeight="1" x14ac:dyDescent="0.3">
      <c r="A804" s="24">
        <v>803</v>
      </c>
      <c r="B804" s="10" t="s">
        <v>196</v>
      </c>
      <c r="C804" s="10" t="s">
        <v>39</v>
      </c>
      <c r="D804" s="62">
        <v>41</v>
      </c>
      <c r="E804" s="61" t="s">
        <v>280</v>
      </c>
      <c r="F804" s="27" t="s">
        <v>414</v>
      </c>
      <c r="G804" s="10" t="s">
        <v>160</v>
      </c>
      <c r="H804" s="10" t="s">
        <v>848</v>
      </c>
      <c r="I804" s="62">
        <v>104</v>
      </c>
      <c r="J804" s="10" t="s">
        <v>2372</v>
      </c>
      <c r="K804" s="10" t="s">
        <v>847</v>
      </c>
      <c r="L804" s="10" t="s">
        <v>2373</v>
      </c>
      <c r="M804" s="10" t="s">
        <v>2372</v>
      </c>
      <c r="N804" s="10" t="s">
        <v>2373</v>
      </c>
      <c r="O804" s="10"/>
    </row>
    <row r="805" spans="1:15" ht="18" customHeight="1" x14ac:dyDescent="0.3">
      <c r="A805" s="24">
        <v>804</v>
      </c>
      <c r="B805" s="10" t="s">
        <v>196</v>
      </c>
      <c r="C805" s="10" t="s">
        <v>39</v>
      </c>
      <c r="D805" s="62">
        <v>41</v>
      </c>
      <c r="E805" s="61" t="s">
        <v>280</v>
      </c>
      <c r="F805" s="27" t="s">
        <v>414</v>
      </c>
      <c r="G805" s="10" t="s">
        <v>160</v>
      </c>
      <c r="H805" s="10" t="s">
        <v>849</v>
      </c>
      <c r="I805" s="62">
        <v>99</v>
      </c>
      <c r="J805" s="10" t="s">
        <v>2372</v>
      </c>
      <c r="K805" s="10" t="s">
        <v>847</v>
      </c>
      <c r="L805" s="10" t="s">
        <v>2373</v>
      </c>
      <c r="M805" s="10" t="s">
        <v>2372</v>
      </c>
      <c r="N805" s="10" t="s">
        <v>2373</v>
      </c>
      <c r="O805" s="10"/>
    </row>
    <row r="806" spans="1:15" ht="18" customHeight="1" x14ac:dyDescent="0.3">
      <c r="A806" s="24">
        <v>805</v>
      </c>
      <c r="B806" s="10" t="s">
        <v>196</v>
      </c>
      <c r="C806" s="10" t="s">
        <v>39</v>
      </c>
      <c r="D806" s="62">
        <v>41</v>
      </c>
      <c r="E806" s="61" t="s">
        <v>280</v>
      </c>
      <c r="F806" s="27" t="s">
        <v>414</v>
      </c>
      <c r="G806" s="10" t="s">
        <v>160</v>
      </c>
      <c r="H806" s="10" t="s">
        <v>850</v>
      </c>
      <c r="I806" s="62">
        <v>95</v>
      </c>
      <c r="J806" s="10" t="s">
        <v>2372</v>
      </c>
      <c r="K806" s="10" t="s">
        <v>847</v>
      </c>
      <c r="L806" s="10" t="s">
        <v>2373</v>
      </c>
      <c r="M806" s="10" t="s">
        <v>2372</v>
      </c>
      <c r="N806" s="10" t="s">
        <v>2373</v>
      </c>
      <c r="O806" s="10"/>
    </row>
    <row r="807" spans="1:15" ht="18" customHeight="1" x14ac:dyDescent="0.3">
      <c r="A807" s="24">
        <v>806</v>
      </c>
      <c r="B807" s="10" t="s">
        <v>196</v>
      </c>
      <c r="C807" s="10" t="s">
        <v>39</v>
      </c>
      <c r="D807" s="62">
        <v>41</v>
      </c>
      <c r="E807" s="61" t="s">
        <v>280</v>
      </c>
      <c r="F807" s="27" t="s">
        <v>414</v>
      </c>
      <c r="G807" s="10" t="s">
        <v>160</v>
      </c>
      <c r="H807" s="10" t="s">
        <v>851</v>
      </c>
      <c r="I807" s="62">
        <v>84</v>
      </c>
      <c r="J807" s="10" t="s">
        <v>2372</v>
      </c>
      <c r="K807" s="10" t="s">
        <v>847</v>
      </c>
      <c r="L807" s="10" t="s">
        <v>2373</v>
      </c>
      <c r="M807" s="10" t="s">
        <v>2372</v>
      </c>
      <c r="N807" s="10" t="s">
        <v>2373</v>
      </c>
      <c r="O807" s="10"/>
    </row>
    <row r="808" spans="1:15" ht="18" customHeight="1" x14ac:dyDescent="0.3">
      <c r="A808" s="24">
        <v>807</v>
      </c>
      <c r="B808" s="10" t="s">
        <v>196</v>
      </c>
      <c r="C808" s="10" t="s">
        <v>39</v>
      </c>
      <c r="D808" s="62">
        <v>41</v>
      </c>
      <c r="E808" s="61" t="s">
        <v>280</v>
      </c>
      <c r="F808" s="27" t="s">
        <v>414</v>
      </c>
      <c r="G808" s="10" t="s">
        <v>160</v>
      </c>
      <c r="H808" s="10" t="s">
        <v>852</v>
      </c>
      <c r="I808" s="62">
        <v>101</v>
      </c>
      <c r="J808" s="10" t="s">
        <v>2372</v>
      </c>
      <c r="K808" s="10" t="s">
        <v>847</v>
      </c>
      <c r="L808" s="10" t="s">
        <v>2373</v>
      </c>
      <c r="M808" s="10" t="s">
        <v>2372</v>
      </c>
      <c r="N808" s="10" t="s">
        <v>2373</v>
      </c>
      <c r="O808" s="10"/>
    </row>
    <row r="809" spans="1:15" ht="18" customHeight="1" x14ac:dyDescent="0.3">
      <c r="A809" s="24">
        <v>808</v>
      </c>
      <c r="B809" s="10" t="s">
        <v>196</v>
      </c>
      <c r="C809" s="10" t="s">
        <v>39</v>
      </c>
      <c r="D809" s="62">
        <v>41</v>
      </c>
      <c r="E809" s="61" t="s">
        <v>2826</v>
      </c>
      <c r="F809" s="19" t="s">
        <v>412</v>
      </c>
      <c r="G809" s="10" t="s">
        <v>160</v>
      </c>
      <c r="H809" s="10" t="s">
        <v>845</v>
      </c>
      <c r="I809" s="171">
        <v>90</v>
      </c>
      <c r="J809" s="10" t="s">
        <v>2372</v>
      </c>
      <c r="K809" s="10" t="s">
        <v>847</v>
      </c>
      <c r="L809" s="10" t="s">
        <v>2373</v>
      </c>
      <c r="M809" s="10" t="s">
        <v>2372</v>
      </c>
      <c r="N809" s="10" t="s">
        <v>2373</v>
      </c>
      <c r="O809" s="10"/>
    </row>
    <row r="810" spans="1:15" ht="18" customHeight="1" x14ac:dyDescent="0.3">
      <c r="A810" s="24">
        <v>809</v>
      </c>
      <c r="B810" s="10" t="s">
        <v>196</v>
      </c>
      <c r="C810" s="10" t="s">
        <v>39</v>
      </c>
      <c r="D810" s="62">
        <v>41</v>
      </c>
      <c r="E810" s="61" t="s">
        <v>2826</v>
      </c>
      <c r="F810" s="19" t="s">
        <v>412</v>
      </c>
      <c r="G810" s="10" t="s">
        <v>160</v>
      </c>
      <c r="H810" s="10" t="s">
        <v>848</v>
      </c>
      <c r="I810" s="171">
        <v>85</v>
      </c>
      <c r="J810" s="10" t="s">
        <v>2374</v>
      </c>
      <c r="K810" s="10" t="s">
        <v>847</v>
      </c>
      <c r="L810" s="10" t="s">
        <v>2373</v>
      </c>
      <c r="M810" s="10" t="s">
        <v>2372</v>
      </c>
      <c r="N810" s="10" t="s">
        <v>2373</v>
      </c>
      <c r="O810" s="10"/>
    </row>
    <row r="811" spans="1:15" ht="18" customHeight="1" x14ac:dyDescent="0.3">
      <c r="A811" s="24">
        <v>810</v>
      </c>
      <c r="B811" s="10" t="s">
        <v>196</v>
      </c>
      <c r="C811" s="10" t="s">
        <v>39</v>
      </c>
      <c r="D811" s="62">
        <v>41</v>
      </c>
      <c r="E811" s="61" t="s">
        <v>2826</v>
      </c>
      <c r="F811" s="19" t="s">
        <v>412</v>
      </c>
      <c r="G811" s="10" t="s">
        <v>160</v>
      </c>
      <c r="H811" s="10" t="s">
        <v>849</v>
      </c>
      <c r="I811" s="171">
        <v>96</v>
      </c>
      <c r="J811" s="10" t="s">
        <v>2372</v>
      </c>
      <c r="K811" s="10" t="s">
        <v>847</v>
      </c>
      <c r="L811" s="10" t="s">
        <v>2373</v>
      </c>
      <c r="M811" s="10" t="s">
        <v>2372</v>
      </c>
      <c r="N811" s="10" t="s">
        <v>2373</v>
      </c>
      <c r="O811" s="10"/>
    </row>
    <row r="812" spans="1:15" ht="18" customHeight="1" x14ac:dyDescent="0.3">
      <c r="A812" s="24">
        <v>811</v>
      </c>
      <c r="B812" s="10" t="s">
        <v>196</v>
      </c>
      <c r="C812" s="10" t="s">
        <v>39</v>
      </c>
      <c r="D812" s="62">
        <v>41</v>
      </c>
      <c r="E812" s="61" t="s">
        <v>2826</v>
      </c>
      <c r="F812" s="19" t="s">
        <v>412</v>
      </c>
      <c r="G812" s="10" t="s">
        <v>160</v>
      </c>
      <c r="H812" s="10" t="s">
        <v>850</v>
      </c>
      <c r="I812" s="171">
        <v>76</v>
      </c>
      <c r="J812" s="10" t="s">
        <v>2372</v>
      </c>
      <c r="K812" s="10" t="s">
        <v>847</v>
      </c>
      <c r="L812" s="10" t="s">
        <v>2373</v>
      </c>
      <c r="M812" s="10" t="s">
        <v>2372</v>
      </c>
      <c r="N812" s="10" t="s">
        <v>2373</v>
      </c>
      <c r="O812" s="10"/>
    </row>
    <row r="813" spans="1:15" ht="18" customHeight="1" x14ac:dyDescent="0.3">
      <c r="A813" s="24">
        <v>812</v>
      </c>
      <c r="B813" s="10" t="s">
        <v>196</v>
      </c>
      <c r="C813" s="10" t="s">
        <v>39</v>
      </c>
      <c r="D813" s="62">
        <v>41</v>
      </c>
      <c r="E813" s="61" t="s">
        <v>2826</v>
      </c>
      <c r="F813" s="19" t="s">
        <v>412</v>
      </c>
      <c r="G813" s="10" t="s">
        <v>160</v>
      </c>
      <c r="H813" s="10" t="s">
        <v>851</v>
      </c>
      <c r="I813" s="171">
        <v>52</v>
      </c>
      <c r="J813" s="10" t="s">
        <v>2372</v>
      </c>
      <c r="K813" s="10" t="s">
        <v>847</v>
      </c>
      <c r="L813" s="10" t="s">
        <v>2373</v>
      </c>
      <c r="M813" s="10" t="s">
        <v>2372</v>
      </c>
      <c r="N813" s="10" t="s">
        <v>2373</v>
      </c>
      <c r="O813" s="10"/>
    </row>
    <row r="814" spans="1:15" ht="18" customHeight="1" x14ac:dyDescent="0.3">
      <c r="A814" s="24">
        <v>813</v>
      </c>
      <c r="B814" s="10" t="s">
        <v>196</v>
      </c>
      <c r="C814" s="10" t="s">
        <v>39</v>
      </c>
      <c r="D814" s="62">
        <v>41</v>
      </c>
      <c r="E814" s="61" t="s">
        <v>2826</v>
      </c>
      <c r="F814" s="19" t="s">
        <v>412</v>
      </c>
      <c r="G814" s="10" t="s">
        <v>160</v>
      </c>
      <c r="H814" s="10" t="s">
        <v>852</v>
      </c>
      <c r="I814" s="171">
        <v>41</v>
      </c>
      <c r="J814" s="10" t="s">
        <v>2372</v>
      </c>
      <c r="K814" s="10" t="s">
        <v>847</v>
      </c>
      <c r="L814" s="10" t="s">
        <v>2373</v>
      </c>
      <c r="M814" s="10" t="s">
        <v>2372</v>
      </c>
      <c r="N814" s="10" t="s">
        <v>2373</v>
      </c>
      <c r="O814" s="10"/>
    </row>
    <row r="815" spans="1:15" ht="18" customHeight="1" x14ac:dyDescent="0.3">
      <c r="A815" s="24">
        <v>814</v>
      </c>
      <c r="B815" s="10" t="s">
        <v>196</v>
      </c>
      <c r="C815" s="10" t="s">
        <v>39</v>
      </c>
      <c r="D815" s="62">
        <v>41</v>
      </c>
      <c r="E815" s="61" t="s">
        <v>2826</v>
      </c>
      <c r="F815" s="19" t="s">
        <v>412</v>
      </c>
      <c r="G815" s="10" t="s">
        <v>160</v>
      </c>
      <c r="H815" s="10" t="s">
        <v>853</v>
      </c>
      <c r="I815" s="171">
        <v>75</v>
      </c>
      <c r="J815" s="10" t="s">
        <v>2372</v>
      </c>
      <c r="K815" s="10" t="s">
        <v>847</v>
      </c>
      <c r="L815" s="10" t="s">
        <v>2373</v>
      </c>
      <c r="M815" s="10" t="s">
        <v>2372</v>
      </c>
      <c r="N815" s="10" t="s">
        <v>2373</v>
      </c>
      <c r="O815" s="10"/>
    </row>
    <row r="816" spans="1:15" ht="18" customHeight="1" x14ac:dyDescent="0.3">
      <c r="A816" s="24">
        <v>815</v>
      </c>
      <c r="B816" s="10" t="s">
        <v>196</v>
      </c>
      <c r="C816" s="10" t="s">
        <v>39</v>
      </c>
      <c r="D816" s="62">
        <v>41</v>
      </c>
      <c r="E816" s="61" t="s">
        <v>2826</v>
      </c>
      <c r="F816" s="19" t="s">
        <v>412</v>
      </c>
      <c r="G816" s="10" t="s">
        <v>160</v>
      </c>
      <c r="H816" s="10" t="s">
        <v>854</v>
      </c>
      <c r="I816" s="62">
        <v>77</v>
      </c>
      <c r="J816" s="10" t="s">
        <v>2372</v>
      </c>
      <c r="K816" s="10" t="s">
        <v>847</v>
      </c>
      <c r="L816" s="10" t="s">
        <v>2373</v>
      </c>
      <c r="M816" s="10" t="s">
        <v>2372</v>
      </c>
      <c r="N816" s="10" t="s">
        <v>2373</v>
      </c>
      <c r="O816" s="10"/>
    </row>
    <row r="817" spans="1:15" ht="18" customHeight="1" x14ac:dyDescent="0.3">
      <c r="A817" s="24">
        <v>816</v>
      </c>
      <c r="B817" s="10" t="s">
        <v>196</v>
      </c>
      <c r="C817" s="10" t="s">
        <v>39</v>
      </c>
      <c r="D817" s="62">
        <v>41</v>
      </c>
      <c r="E817" s="61" t="s">
        <v>2826</v>
      </c>
      <c r="F817" s="19" t="s">
        <v>412</v>
      </c>
      <c r="G817" s="10" t="s">
        <v>160</v>
      </c>
      <c r="H817" s="10" t="s">
        <v>855</v>
      </c>
      <c r="I817" s="171">
        <v>35</v>
      </c>
      <c r="J817" s="10" t="s">
        <v>2372</v>
      </c>
      <c r="K817" s="10" t="s">
        <v>847</v>
      </c>
      <c r="L817" s="10" t="s">
        <v>2373</v>
      </c>
      <c r="M817" s="10" t="s">
        <v>2372</v>
      </c>
      <c r="N817" s="10" t="s">
        <v>2373</v>
      </c>
      <c r="O817" s="10"/>
    </row>
    <row r="818" spans="1:15" ht="18" customHeight="1" x14ac:dyDescent="0.3">
      <c r="A818" s="24">
        <v>817</v>
      </c>
      <c r="B818" s="10" t="s">
        <v>197</v>
      </c>
      <c r="C818" s="10" t="s">
        <v>4</v>
      </c>
      <c r="D818" s="62">
        <v>42</v>
      </c>
      <c r="E818" s="61" t="s">
        <v>953</v>
      </c>
      <c r="F818" s="16" t="s">
        <v>1441</v>
      </c>
      <c r="G818" s="10" t="s">
        <v>2373</v>
      </c>
      <c r="H818" s="10" t="s">
        <v>954</v>
      </c>
      <c r="I818" s="62">
        <v>55</v>
      </c>
      <c r="J818" s="10" t="s">
        <v>2372</v>
      </c>
      <c r="K818" s="10" t="s">
        <v>847</v>
      </c>
      <c r="L818" s="10" t="s">
        <v>2373</v>
      </c>
      <c r="M818" s="10" t="s">
        <v>2374</v>
      </c>
      <c r="N818" s="10" t="s">
        <v>2535</v>
      </c>
      <c r="O818" s="10"/>
    </row>
    <row r="819" spans="1:15" ht="18" customHeight="1" x14ac:dyDescent="0.3">
      <c r="A819" s="24">
        <v>818</v>
      </c>
      <c r="B819" s="10" t="s">
        <v>197</v>
      </c>
      <c r="C819" s="10" t="s">
        <v>4</v>
      </c>
      <c r="D819" s="62">
        <v>42</v>
      </c>
      <c r="E819" s="61" t="s">
        <v>2536</v>
      </c>
      <c r="F819" s="16" t="s">
        <v>472</v>
      </c>
      <c r="G819" s="10" t="s">
        <v>160</v>
      </c>
      <c r="H819" s="10" t="s">
        <v>845</v>
      </c>
      <c r="I819" s="62">
        <v>62</v>
      </c>
      <c r="J819" s="8" t="s">
        <v>2372</v>
      </c>
      <c r="K819" s="173" t="s">
        <v>3451</v>
      </c>
      <c r="L819" s="173" t="s">
        <v>3499</v>
      </c>
      <c r="M819" s="10" t="s">
        <v>2372</v>
      </c>
      <c r="N819" s="10" t="s">
        <v>2373</v>
      </c>
      <c r="O819" s="10"/>
    </row>
    <row r="820" spans="1:15" ht="18" customHeight="1" x14ac:dyDescent="0.3">
      <c r="A820" s="24">
        <v>819</v>
      </c>
      <c r="B820" s="10" t="s">
        <v>197</v>
      </c>
      <c r="C820" s="10" t="s">
        <v>4</v>
      </c>
      <c r="D820" s="62">
        <v>42</v>
      </c>
      <c r="E820" s="61" t="s">
        <v>2536</v>
      </c>
      <c r="F820" s="16" t="s">
        <v>472</v>
      </c>
      <c r="G820" s="10" t="s">
        <v>160</v>
      </c>
      <c r="H820" s="10" t="s">
        <v>848</v>
      </c>
      <c r="I820" s="62">
        <v>59</v>
      </c>
      <c r="J820" s="8" t="s">
        <v>2372</v>
      </c>
      <c r="K820" s="173" t="s">
        <v>3451</v>
      </c>
      <c r="L820" s="173" t="s">
        <v>3499</v>
      </c>
      <c r="M820" s="10" t="s">
        <v>2372</v>
      </c>
      <c r="N820" s="10" t="s">
        <v>2373</v>
      </c>
      <c r="O820" s="10"/>
    </row>
    <row r="821" spans="1:15" ht="18" customHeight="1" x14ac:dyDescent="0.3">
      <c r="A821" s="24">
        <v>820</v>
      </c>
      <c r="B821" s="10" t="s">
        <v>197</v>
      </c>
      <c r="C821" s="10" t="s">
        <v>4</v>
      </c>
      <c r="D821" s="62">
        <v>42</v>
      </c>
      <c r="E821" s="61" t="s">
        <v>2536</v>
      </c>
      <c r="F821" s="16" t="s">
        <v>472</v>
      </c>
      <c r="G821" s="10" t="s">
        <v>160</v>
      </c>
      <c r="H821" s="10" t="s">
        <v>849</v>
      </c>
      <c r="I821" s="62">
        <v>93</v>
      </c>
      <c r="J821" s="8" t="s">
        <v>2372</v>
      </c>
      <c r="K821" s="173" t="s">
        <v>3451</v>
      </c>
      <c r="L821" s="173" t="s">
        <v>3499</v>
      </c>
      <c r="M821" s="10" t="s">
        <v>2372</v>
      </c>
      <c r="N821" s="10" t="s">
        <v>2373</v>
      </c>
      <c r="O821" s="10"/>
    </row>
    <row r="822" spans="1:15" ht="18" customHeight="1" x14ac:dyDescent="0.3">
      <c r="A822" s="24">
        <v>821</v>
      </c>
      <c r="B822" s="10" t="s">
        <v>197</v>
      </c>
      <c r="C822" s="10" t="s">
        <v>4</v>
      </c>
      <c r="D822" s="62">
        <v>42</v>
      </c>
      <c r="E822" s="61" t="s">
        <v>2536</v>
      </c>
      <c r="F822" s="16" t="s">
        <v>472</v>
      </c>
      <c r="G822" s="10" t="s">
        <v>160</v>
      </c>
      <c r="H822" s="10" t="s">
        <v>850</v>
      </c>
      <c r="I822" s="62">
        <v>70</v>
      </c>
      <c r="J822" s="8" t="s">
        <v>2372</v>
      </c>
      <c r="K822" s="173" t="s">
        <v>3451</v>
      </c>
      <c r="L822" s="173" t="s">
        <v>3499</v>
      </c>
      <c r="M822" s="10" t="s">
        <v>2372</v>
      </c>
      <c r="N822" s="10" t="s">
        <v>2373</v>
      </c>
      <c r="O822" s="10"/>
    </row>
    <row r="823" spans="1:15" ht="18" customHeight="1" x14ac:dyDescent="0.3">
      <c r="A823" s="24">
        <v>822</v>
      </c>
      <c r="B823" s="10" t="s">
        <v>197</v>
      </c>
      <c r="C823" s="10" t="s">
        <v>4</v>
      </c>
      <c r="D823" s="62">
        <v>42</v>
      </c>
      <c r="E823" s="61" t="s">
        <v>2536</v>
      </c>
      <c r="F823" s="16" t="s">
        <v>472</v>
      </c>
      <c r="G823" s="10" t="s">
        <v>160</v>
      </c>
      <c r="H823" s="10" t="s">
        <v>851</v>
      </c>
      <c r="I823" s="62">
        <v>86</v>
      </c>
      <c r="J823" s="8" t="s">
        <v>2372</v>
      </c>
      <c r="K823" s="173" t="s">
        <v>3451</v>
      </c>
      <c r="L823" s="173" t="s">
        <v>3499</v>
      </c>
      <c r="M823" s="10" t="s">
        <v>2372</v>
      </c>
      <c r="N823" s="10" t="s">
        <v>2373</v>
      </c>
      <c r="O823" s="10"/>
    </row>
    <row r="824" spans="1:15" ht="18" customHeight="1" x14ac:dyDescent="0.3">
      <c r="A824" s="24">
        <v>823</v>
      </c>
      <c r="B824" s="10" t="s">
        <v>197</v>
      </c>
      <c r="C824" s="10" t="s">
        <v>4</v>
      </c>
      <c r="D824" s="62">
        <v>42</v>
      </c>
      <c r="E824" s="61" t="s">
        <v>2536</v>
      </c>
      <c r="F824" s="16" t="s">
        <v>472</v>
      </c>
      <c r="G824" s="10" t="s">
        <v>160</v>
      </c>
      <c r="H824" s="10" t="s">
        <v>852</v>
      </c>
      <c r="I824" s="62">
        <v>78</v>
      </c>
      <c r="J824" s="8" t="s">
        <v>2372</v>
      </c>
      <c r="K824" s="173" t="s">
        <v>3451</v>
      </c>
      <c r="L824" s="173" t="s">
        <v>3499</v>
      </c>
      <c r="M824" s="10" t="s">
        <v>2372</v>
      </c>
      <c r="N824" s="10" t="s">
        <v>2373</v>
      </c>
      <c r="O824" s="10"/>
    </row>
    <row r="825" spans="1:15" ht="18" customHeight="1" x14ac:dyDescent="0.3">
      <c r="A825" s="24">
        <v>824</v>
      </c>
      <c r="B825" s="10" t="s">
        <v>197</v>
      </c>
      <c r="C825" s="10" t="s">
        <v>4</v>
      </c>
      <c r="D825" s="62">
        <v>42</v>
      </c>
      <c r="E825" s="61" t="s">
        <v>2536</v>
      </c>
      <c r="F825" s="16" t="s">
        <v>472</v>
      </c>
      <c r="G825" s="10" t="s">
        <v>160</v>
      </c>
      <c r="H825" s="10" t="s">
        <v>853</v>
      </c>
      <c r="I825" s="62">
        <v>94</v>
      </c>
      <c r="J825" s="8" t="s">
        <v>2372</v>
      </c>
      <c r="K825" s="173" t="s">
        <v>3451</v>
      </c>
      <c r="L825" s="173" t="s">
        <v>3499</v>
      </c>
      <c r="M825" s="10" t="s">
        <v>2372</v>
      </c>
      <c r="N825" s="10" t="s">
        <v>2373</v>
      </c>
      <c r="O825" s="10"/>
    </row>
    <row r="826" spans="1:15" ht="18" customHeight="1" x14ac:dyDescent="0.3">
      <c r="A826" s="24">
        <v>825</v>
      </c>
      <c r="B826" s="10" t="s">
        <v>197</v>
      </c>
      <c r="C826" s="10" t="s">
        <v>4</v>
      </c>
      <c r="D826" s="62">
        <v>42</v>
      </c>
      <c r="E826" s="61" t="s">
        <v>2536</v>
      </c>
      <c r="F826" s="16" t="s">
        <v>472</v>
      </c>
      <c r="G826" s="10" t="s">
        <v>160</v>
      </c>
      <c r="H826" s="10" t="s">
        <v>854</v>
      </c>
      <c r="I826" s="62">
        <v>66</v>
      </c>
      <c r="J826" s="8" t="s">
        <v>2372</v>
      </c>
      <c r="K826" s="173" t="s">
        <v>3451</v>
      </c>
      <c r="L826" s="173" t="s">
        <v>3499</v>
      </c>
      <c r="M826" s="10" t="s">
        <v>2372</v>
      </c>
      <c r="N826" s="10" t="s">
        <v>2373</v>
      </c>
      <c r="O826" s="10"/>
    </row>
    <row r="827" spans="1:15" ht="18" customHeight="1" x14ac:dyDescent="0.3">
      <c r="A827" s="24">
        <v>826</v>
      </c>
      <c r="B827" s="10" t="s">
        <v>197</v>
      </c>
      <c r="C827" s="10" t="s">
        <v>4</v>
      </c>
      <c r="D827" s="62">
        <v>42</v>
      </c>
      <c r="E827" s="61" t="s">
        <v>2536</v>
      </c>
      <c r="F827" s="16" t="s">
        <v>472</v>
      </c>
      <c r="G827" s="10" t="s">
        <v>160</v>
      </c>
      <c r="H827" s="10" t="s">
        <v>855</v>
      </c>
      <c r="I827" s="62">
        <v>55</v>
      </c>
      <c r="J827" s="8" t="s">
        <v>2372</v>
      </c>
      <c r="K827" s="173" t="s">
        <v>3451</v>
      </c>
      <c r="L827" s="173" t="s">
        <v>3499</v>
      </c>
      <c r="M827" s="10" t="s">
        <v>2372</v>
      </c>
      <c r="N827" s="10" t="s">
        <v>2373</v>
      </c>
      <c r="O827" s="10"/>
    </row>
    <row r="828" spans="1:15" ht="18" customHeight="1" x14ac:dyDescent="0.3">
      <c r="A828" s="24">
        <v>827</v>
      </c>
      <c r="B828" s="10" t="s">
        <v>197</v>
      </c>
      <c r="C828" s="10" t="s">
        <v>4</v>
      </c>
      <c r="D828" s="62">
        <v>42</v>
      </c>
      <c r="E828" s="61" t="s">
        <v>2827</v>
      </c>
      <c r="F828" s="19" t="s">
        <v>470</v>
      </c>
      <c r="G828" s="10" t="s">
        <v>150</v>
      </c>
      <c r="H828" s="10" t="s">
        <v>845</v>
      </c>
      <c r="I828" s="62">
        <v>108</v>
      </c>
      <c r="J828" s="10" t="s">
        <v>2374</v>
      </c>
      <c r="K828" s="10" t="s">
        <v>847</v>
      </c>
      <c r="L828" s="10" t="s">
        <v>2373</v>
      </c>
      <c r="M828" s="10" t="s">
        <v>2372</v>
      </c>
      <c r="N828" s="10" t="s">
        <v>2373</v>
      </c>
      <c r="O828" s="10"/>
    </row>
    <row r="829" spans="1:15" ht="18" customHeight="1" x14ac:dyDescent="0.3">
      <c r="A829" s="24">
        <v>828</v>
      </c>
      <c r="B829" s="10" t="s">
        <v>197</v>
      </c>
      <c r="C829" s="10" t="s">
        <v>4</v>
      </c>
      <c r="D829" s="62">
        <v>42</v>
      </c>
      <c r="E829" s="61" t="s">
        <v>2827</v>
      </c>
      <c r="F829" s="19" t="s">
        <v>470</v>
      </c>
      <c r="G829" s="10" t="s">
        <v>150</v>
      </c>
      <c r="H829" s="10" t="s">
        <v>848</v>
      </c>
      <c r="I829" s="62">
        <v>97</v>
      </c>
      <c r="J829" s="10" t="s">
        <v>2372</v>
      </c>
      <c r="K829" s="10" t="s">
        <v>847</v>
      </c>
      <c r="L829" s="10" t="s">
        <v>2373</v>
      </c>
      <c r="M829" s="10" t="s">
        <v>2372</v>
      </c>
      <c r="N829" s="10" t="s">
        <v>2373</v>
      </c>
      <c r="O829" s="10"/>
    </row>
    <row r="830" spans="1:15" ht="18" customHeight="1" x14ac:dyDescent="0.3">
      <c r="A830" s="24">
        <v>829</v>
      </c>
      <c r="B830" s="10" t="s">
        <v>197</v>
      </c>
      <c r="C830" s="10" t="s">
        <v>4</v>
      </c>
      <c r="D830" s="62">
        <v>42</v>
      </c>
      <c r="E830" s="61" t="s">
        <v>2827</v>
      </c>
      <c r="F830" s="19" t="s">
        <v>470</v>
      </c>
      <c r="G830" s="10" t="s">
        <v>150</v>
      </c>
      <c r="H830" s="10" t="s">
        <v>849</v>
      </c>
      <c r="I830" s="62">
        <v>136</v>
      </c>
      <c r="J830" s="10" t="s">
        <v>2374</v>
      </c>
      <c r="K830" s="10" t="s">
        <v>847</v>
      </c>
      <c r="L830" s="10" t="s">
        <v>2373</v>
      </c>
      <c r="M830" s="10" t="s">
        <v>2372</v>
      </c>
      <c r="N830" s="10" t="s">
        <v>2373</v>
      </c>
      <c r="O830" s="10"/>
    </row>
    <row r="831" spans="1:15" ht="18" customHeight="1" x14ac:dyDescent="0.3">
      <c r="A831" s="24">
        <v>830</v>
      </c>
      <c r="B831" s="10" t="s">
        <v>197</v>
      </c>
      <c r="C831" s="10" t="s">
        <v>4</v>
      </c>
      <c r="D831" s="62">
        <v>42</v>
      </c>
      <c r="E831" s="61" t="s">
        <v>2827</v>
      </c>
      <c r="F831" s="19" t="s">
        <v>470</v>
      </c>
      <c r="G831" s="10" t="s">
        <v>150</v>
      </c>
      <c r="H831" s="10" t="s">
        <v>850</v>
      </c>
      <c r="I831" s="62">
        <v>115</v>
      </c>
      <c r="J831" s="10" t="s">
        <v>2372</v>
      </c>
      <c r="K831" s="10" t="s">
        <v>847</v>
      </c>
      <c r="L831" s="10" t="s">
        <v>2373</v>
      </c>
      <c r="M831" s="10" t="s">
        <v>2372</v>
      </c>
      <c r="N831" s="10" t="s">
        <v>2373</v>
      </c>
      <c r="O831" s="10"/>
    </row>
    <row r="832" spans="1:15" ht="18" customHeight="1" x14ac:dyDescent="0.3">
      <c r="A832" s="24">
        <v>831</v>
      </c>
      <c r="B832" s="10" t="s">
        <v>197</v>
      </c>
      <c r="C832" s="10" t="s">
        <v>4</v>
      </c>
      <c r="D832" s="62">
        <v>42</v>
      </c>
      <c r="E832" s="61" t="s">
        <v>2827</v>
      </c>
      <c r="F832" s="19" t="s">
        <v>470</v>
      </c>
      <c r="G832" s="10" t="s">
        <v>150</v>
      </c>
      <c r="H832" s="10" t="s">
        <v>851</v>
      </c>
      <c r="I832" s="62">
        <v>127</v>
      </c>
      <c r="J832" s="10" t="s">
        <v>2372</v>
      </c>
      <c r="K832" s="10" t="s">
        <v>847</v>
      </c>
      <c r="L832" s="10" t="s">
        <v>2373</v>
      </c>
      <c r="M832" s="10" t="s">
        <v>2372</v>
      </c>
      <c r="N832" s="10" t="s">
        <v>2373</v>
      </c>
      <c r="O832" s="10"/>
    </row>
    <row r="833" spans="1:15" ht="18" customHeight="1" x14ac:dyDescent="0.3">
      <c r="A833" s="24">
        <v>832</v>
      </c>
      <c r="B833" s="10" t="s">
        <v>197</v>
      </c>
      <c r="C833" s="10" t="s">
        <v>4</v>
      </c>
      <c r="D833" s="62">
        <v>42</v>
      </c>
      <c r="E833" s="61" t="s">
        <v>2827</v>
      </c>
      <c r="F833" s="19" t="s">
        <v>470</v>
      </c>
      <c r="G833" s="10" t="s">
        <v>150</v>
      </c>
      <c r="H833" s="10" t="s">
        <v>852</v>
      </c>
      <c r="I833" s="62">
        <v>127</v>
      </c>
      <c r="J833" s="10" t="s">
        <v>2374</v>
      </c>
      <c r="K833" s="10" t="s">
        <v>847</v>
      </c>
      <c r="L833" s="10" t="s">
        <v>2373</v>
      </c>
      <c r="M833" s="10" t="s">
        <v>2372</v>
      </c>
      <c r="N833" s="10" t="s">
        <v>2373</v>
      </c>
      <c r="O833" s="10"/>
    </row>
    <row r="834" spans="1:15" ht="18" customHeight="1" x14ac:dyDescent="0.3">
      <c r="A834" s="24">
        <v>833</v>
      </c>
      <c r="B834" s="10" t="s">
        <v>197</v>
      </c>
      <c r="C834" s="10" t="s">
        <v>4</v>
      </c>
      <c r="D834" s="62">
        <v>42</v>
      </c>
      <c r="E834" s="61" t="s">
        <v>218</v>
      </c>
      <c r="F834" s="16" t="s">
        <v>471</v>
      </c>
      <c r="G834" s="10" t="s">
        <v>150</v>
      </c>
      <c r="H834" s="10" t="s">
        <v>848</v>
      </c>
      <c r="I834" s="62">
        <v>149</v>
      </c>
      <c r="J834" s="8" t="s">
        <v>2372</v>
      </c>
      <c r="K834" s="10" t="s">
        <v>847</v>
      </c>
      <c r="L834" s="10" t="s">
        <v>2373</v>
      </c>
      <c r="M834" s="173" t="s">
        <v>860</v>
      </c>
      <c r="N834" s="173" t="s">
        <v>2440</v>
      </c>
      <c r="O834" s="10"/>
    </row>
    <row r="835" spans="1:15" ht="18" customHeight="1" x14ac:dyDescent="0.3">
      <c r="A835" s="24">
        <v>834</v>
      </c>
      <c r="B835" s="10" t="s">
        <v>197</v>
      </c>
      <c r="C835" s="10" t="s">
        <v>4</v>
      </c>
      <c r="D835" s="62">
        <v>42</v>
      </c>
      <c r="E835" s="61" t="s">
        <v>218</v>
      </c>
      <c r="F835" s="16" t="s">
        <v>471</v>
      </c>
      <c r="G835" s="10" t="s">
        <v>150</v>
      </c>
      <c r="H835" s="10" t="s">
        <v>849</v>
      </c>
      <c r="I835" s="62">
        <v>203</v>
      </c>
      <c r="J835" s="8" t="s">
        <v>2372</v>
      </c>
      <c r="K835" s="10" t="s">
        <v>847</v>
      </c>
      <c r="L835" s="10" t="s">
        <v>2373</v>
      </c>
      <c r="M835" s="10" t="s">
        <v>2372</v>
      </c>
      <c r="N835" s="10" t="s">
        <v>2373</v>
      </c>
      <c r="O835" s="10"/>
    </row>
    <row r="836" spans="1:15" ht="18" customHeight="1" x14ac:dyDescent="0.3">
      <c r="A836" s="24">
        <v>835</v>
      </c>
      <c r="B836" s="10" t="s">
        <v>197</v>
      </c>
      <c r="C836" s="10" t="s">
        <v>4</v>
      </c>
      <c r="D836" s="62">
        <v>42</v>
      </c>
      <c r="E836" s="61" t="s">
        <v>218</v>
      </c>
      <c r="F836" s="16" t="s">
        <v>471</v>
      </c>
      <c r="G836" s="10" t="s">
        <v>150</v>
      </c>
      <c r="H836" s="10" t="s">
        <v>850</v>
      </c>
      <c r="I836" s="62">
        <v>160</v>
      </c>
      <c r="J836" s="8" t="s">
        <v>846</v>
      </c>
      <c r="K836" s="10" t="s">
        <v>847</v>
      </c>
      <c r="L836" s="10" t="s">
        <v>2373</v>
      </c>
      <c r="M836" s="10" t="s">
        <v>2372</v>
      </c>
      <c r="N836" s="10" t="s">
        <v>2373</v>
      </c>
      <c r="O836" s="10"/>
    </row>
    <row r="837" spans="1:15" ht="18" customHeight="1" x14ac:dyDescent="0.3">
      <c r="A837" s="24">
        <v>836</v>
      </c>
      <c r="B837" s="10" t="s">
        <v>197</v>
      </c>
      <c r="C837" s="10" t="s">
        <v>4</v>
      </c>
      <c r="D837" s="62">
        <v>42</v>
      </c>
      <c r="E837" s="61" t="s">
        <v>218</v>
      </c>
      <c r="F837" s="16" t="s">
        <v>471</v>
      </c>
      <c r="G837" s="10" t="s">
        <v>150</v>
      </c>
      <c r="H837" s="10" t="s">
        <v>851</v>
      </c>
      <c r="I837" s="62">
        <v>149</v>
      </c>
      <c r="J837" s="8" t="s">
        <v>2372</v>
      </c>
      <c r="K837" s="10" t="s">
        <v>847</v>
      </c>
      <c r="L837" s="10" t="s">
        <v>2373</v>
      </c>
      <c r="M837" s="10" t="s">
        <v>2372</v>
      </c>
      <c r="N837" s="10" t="s">
        <v>2373</v>
      </c>
      <c r="O837" s="10"/>
    </row>
    <row r="838" spans="1:15" ht="18" customHeight="1" x14ac:dyDescent="0.3">
      <c r="A838" s="24">
        <v>837</v>
      </c>
      <c r="B838" s="10" t="s">
        <v>197</v>
      </c>
      <c r="C838" s="10" t="s">
        <v>4</v>
      </c>
      <c r="D838" s="62">
        <v>42</v>
      </c>
      <c r="E838" s="61" t="s">
        <v>218</v>
      </c>
      <c r="F838" s="16" t="s">
        <v>471</v>
      </c>
      <c r="G838" s="10" t="s">
        <v>150</v>
      </c>
      <c r="H838" s="10" t="s">
        <v>852</v>
      </c>
      <c r="I838" s="62">
        <v>203</v>
      </c>
      <c r="J838" s="8" t="s">
        <v>846</v>
      </c>
      <c r="K838" s="10" t="s">
        <v>847</v>
      </c>
      <c r="L838" s="10" t="s">
        <v>2373</v>
      </c>
      <c r="M838" s="10" t="s">
        <v>2372</v>
      </c>
      <c r="N838" s="10" t="s">
        <v>2373</v>
      </c>
      <c r="O838" s="10"/>
    </row>
    <row r="839" spans="1:15" ht="18" customHeight="1" x14ac:dyDescent="0.3">
      <c r="A839" s="24">
        <v>838</v>
      </c>
      <c r="B839" s="10" t="s">
        <v>197</v>
      </c>
      <c r="C839" s="10" t="s">
        <v>4</v>
      </c>
      <c r="D839" s="62">
        <v>42</v>
      </c>
      <c r="E839" s="61" t="s">
        <v>218</v>
      </c>
      <c r="F839" s="16" t="s">
        <v>471</v>
      </c>
      <c r="G839" s="10" t="s">
        <v>150</v>
      </c>
      <c r="H839" s="10" t="s">
        <v>853</v>
      </c>
      <c r="I839" s="62">
        <v>160</v>
      </c>
      <c r="J839" s="8" t="s">
        <v>846</v>
      </c>
      <c r="K839" s="10" t="s">
        <v>847</v>
      </c>
      <c r="L839" s="10" t="s">
        <v>2373</v>
      </c>
      <c r="M839" s="10" t="s">
        <v>2372</v>
      </c>
      <c r="N839" s="10" t="s">
        <v>2373</v>
      </c>
      <c r="O839" s="10"/>
    </row>
    <row r="840" spans="1:15" ht="18" customHeight="1" x14ac:dyDescent="0.3">
      <c r="A840" s="24">
        <v>839</v>
      </c>
      <c r="B840" s="10" t="s">
        <v>197</v>
      </c>
      <c r="C840" s="10" t="s">
        <v>4</v>
      </c>
      <c r="D840" s="62">
        <v>42</v>
      </c>
      <c r="E840" s="61" t="s">
        <v>218</v>
      </c>
      <c r="F840" s="16" t="s">
        <v>471</v>
      </c>
      <c r="G840" s="10" t="s">
        <v>150</v>
      </c>
      <c r="H840" s="10" t="s">
        <v>854</v>
      </c>
      <c r="I840" s="62">
        <v>149</v>
      </c>
      <c r="J840" s="8" t="s">
        <v>2372</v>
      </c>
      <c r="K840" s="10" t="s">
        <v>847</v>
      </c>
      <c r="L840" s="10" t="s">
        <v>2373</v>
      </c>
      <c r="M840" s="10" t="s">
        <v>2372</v>
      </c>
      <c r="N840" s="10" t="s">
        <v>2373</v>
      </c>
      <c r="O840" s="10"/>
    </row>
    <row r="841" spans="1:15" ht="18" customHeight="1" x14ac:dyDescent="0.3">
      <c r="A841" s="24">
        <v>840</v>
      </c>
      <c r="B841" s="10" t="s">
        <v>197</v>
      </c>
      <c r="C841" s="10" t="s">
        <v>4</v>
      </c>
      <c r="D841" s="62">
        <v>42</v>
      </c>
      <c r="E841" s="61" t="s">
        <v>218</v>
      </c>
      <c r="F841" s="16" t="s">
        <v>471</v>
      </c>
      <c r="G841" s="10" t="s">
        <v>150</v>
      </c>
      <c r="H841" s="10" t="s">
        <v>855</v>
      </c>
      <c r="I841" s="62">
        <v>203</v>
      </c>
      <c r="J841" s="8" t="s">
        <v>846</v>
      </c>
      <c r="K841" s="10" t="s">
        <v>847</v>
      </c>
      <c r="L841" s="10" t="s">
        <v>2373</v>
      </c>
      <c r="M841" s="10" t="s">
        <v>2372</v>
      </c>
      <c r="N841" s="10" t="s">
        <v>2373</v>
      </c>
      <c r="O841" s="10"/>
    </row>
    <row r="842" spans="1:15" ht="18" customHeight="1" x14ac:dyDescent="0.3">
      <c r="A842" s="24">
        <v>841</v>
      </c>
      <c r="B842" s="10" t="s">
        <v>197</v>
      </c>
      <c r="C842" s="10" t="s">
        <v>4</v>
      </c>
      <c r="D842" s="62">
        <v>42</v>
      </c>
      <c r="E842" s="61" t="s">
        <v>1163</v>
      </c>
      <c r="F842" s="16" t="s">
        <v>471</v>
      </c>
      <c r="G842" s="10" t="s">
        <v>150</v>
      </c>
      <c r="H842" s="10" t="s">
        <v>1156</v>
      </c>
      <c r="I842" s="62">
        <v>36</v>
      </c>
      <c r="J842" s="8" t="s">
        <v>846</v>
      </c>
      <c r="K842" s="10" t="s">
        <v>2374</v>
      </c>
      <c r="L842" s="10" t="s">
        <v>2392</v>
      </c>
      <c r="M842" s="10" t="s">
        <v>2372</v>
      </c>
      <c r="N842" s="10" t="s">
        <v>2373</v>
      </c>
      <c r="O842" s="10"/>
    </row>
    <row r="843" spans="1:15" ht="18" customHeight="1" x14ac:dyDescent="0.3">
      <c r="A843" s="24">
        <v>842</v>
      </c>
      <c r="B843" s="10" t="s">
        <v>197</v>
      </c>
      <c r="C843" s="10" t="s">
        <v>4</v>
      </c>
      <c r="D843" s="62">
        <v>42</v>
      </c>
      <c r="E843" s="61" t="s">
        <v>2828</v>
      </c>
      <c r="F843" s="19" t="s">
        <v>1032</v>
      </c>
      <c r="G843" s="10" t="s">
        <v>150</v>
      </c>
      <c r="H843" s="10" t="s">
        <v>849</v>
      </c>
      <c r="I843" s="177">
        <v>99</v>
      </c>
      <c r="J843" s="10" t="s">
        <v>2374</v>
      </c>
      <c r="K843" s="10" t="s">
        <v>847</v>
      </c>
      <c r="L843" s="10" t="s">
        <v>2373</v>
      </c>
      <c r="M843" s="10" t="s">
        <v>2372</v>
      </c>
      <c r="N843" s="10" t="s">
        <v>2373</v>
      </c>
      <c r="O843" s="10"/>
    </row>
    <row r="844" spans="1:15" ht="18" customHeight="1" x14ac:dyDescent="0.3">
      <c r="A844" s="24">
        <v>843</v>
      </c>
      <c r="B844" s="10" t="s">
        <v>197</v>
      </c>
      <c r="C844" s="10" t="s">
        <v>4</v>
      </c>
      <c r="D844" s="62">
        <v>42</v>
      </c>
      <c r="E844" s="61" t="s">
        <v>2828</v>
      </c>
      <c r="F844" s="19" t="s">
        <v>1032</v>
      </c>
      <c r="G844" s="10" t="s">
        <v>150</v>
      </c>
      <c r="H844" s="10" t="s">
        <v>850</v>
      </c>
      <c r="I844" s="177">
        <v>99</v>
      </c>
      <c r="J844" s="10" t="s">
        <v>2372</v>
      </c>
      <c r="K844" s="10" t="s">
        <v>847</v>
      </c>
      <c r="L844" s="10" t="s">
        <v>2373</v>
      </c>
      <c r="M844" s="10" t="s">
        <v>2372</v>
      </c>
      <c r="N844" s="10" t="s">
        <v>2373</v>
      </c>
      <c r="O844" s="10"/>
    </row>
    <row r="845" spans="1:15" ht="18" customHeight="1" x14ac:dyDescent="0.3">
      <c r="A845" s="24">
        <v>844</v>
      </c>
      <c r="B845" s="10" t="s">
        <v>197</v>
      </c>
      <c r="C845" s="10" t="s">
        <v>4</v>
      </c>
      <c r="D845" s="62">
        <v>42</v>
      </c>
      <c r="E845" s="61" t="s">
        <v>2828</v>
      </c>
      <c r="F845" s="19" t="s">
        <v>2537</v>
      </c>
      <c r="G845" s="10" t="s">
        <v>150</v>
      </c>
      <c r="H845" s="10" t="s">
        <v>2425</v>
      </c>
      <c r="I845" s="62">
        <v>66</v>
      </c>
      <c r="J845" s="10" t="s">
        <v>2374</v>
      </c>
      <c r="K845" s="10" t="s">
        <v>2374</v>
      </c>
      <c r="L845" s="10" t="s">
        <v>2426</v>
      </c>
      <c r="M845" s="10" t="s">
        <v>2372</v>
      </c>
      <c r="N845" s="10" t="s">
        <v>2373</v>
      </c>
      <c r="O845" s="10"/>
    </row>
    <row r="846" spans="1:15" ht="18" customHeight="1" x14ac:dyDescent="0.3">
      <c r="A846" s="24">
        <v>845</v>
      </c>
      <c r="B846" s="10" t="s">
        <v>197</v>
      </c>
      <c r="C846" s="10" t="s">
        <v>4</v>
      </c>
      <c r="D846" s="62">
        <v>42</v>
      </c>
      <c r="E846" s="61" t="s">
        <v>2828</v>
      </c>
      <c r="F846" s="19" t="s">
        <v>469</v>
      </c>
      <c r="G846" s="10" t="s">
        <v>150</v>
      </c>
      <c r="H846" s="10" t="s">
        <v>845</v>
      </c>
      <c r="I846" s="177">
        <v>242</v>
      </c>
      <c r="J846" s="10" t="s">
        <v>2372</v>
      </c>
      <c r="K846" s="10" t="s">
        <v>847</v>
      </c>
      <c r="L846" s="10" t="s">
        <v>2373</v>
      </c>
      <c r="M846" s="10" t="s">
        <v>2372</v>
      </c>
      <c r="N846" s="10" t="s">
        <v>2373</v>
      </c>
      <c r="O846" s="10"/>
    </row>
    <row r="847" spans="1:15" ht="18" customHeight="1" x14ac:dyDescent="0.3">
      <c r="A847" s="24">
        <v>846</v>
      </c>
      <c r="B847" s="10" t="s">
        <v>197</v>
      </c>
      <c r="C847" s="10" t="s">
        <v>4</v>
      </c>
      <c r="D847" s="62">
        <v>42</v>
      </c>
      <c r="E847" s="61" t="s">
        <v>2828</v>
      </c>
      <c r="F847" s="19" t="s">
        <v>469</v>
      </c>
      <c r="G847" s="10" t="s">
        <v>150</v>
      </c>
      <c r="H847" s="10" t="s">
        <v>848</v>
      </c>
      <c r="I847" s="177">
        <v>194</v>
      </c>
      <c r="J847" s="10" t="s">
        <v>2372</v>
      </c>
      <c r="K847" s="10" t="s">
        <v>847</v>
      </c>
      <c r="L847" s="10" t="s">
        <v>2373</v>
      </c>
      <c r="M847" s="10" t="s">
        <v>2372</v>
      </c>
      <c r="N847" s="10" t="s">
        <v>2373</v>
      </c>
      <c r="O847" s="10"/>
    </row>
    <row r="848" spans="1:15" ht="18" customHeight="1" x14ac:dyDescent="0.3">
      <c r="A848" s="24">
        <v>847</v>
      </c>
      <c r="B848" s="10" t="s">
        <v>197</v>
      </c>
      <c r="C848" s="10" t="s">
        <v>4</v>
      </c>
      <c r="D848" s="62">
        <v>42</v>
      </c>
      <c r="E848" s="61" t="s">
        <v>2829</v>
      </c>
      <c r="F848" s="19" t="s">
        <v>1203</v>
      </c>
      <c r="G848" s="10" t="s">
        <v>150</v>
      </c>
      <c r="H848" s="10" t="s">
        <v>845</v>
      </c>
      <c r="I848" s="62">
        <v>113</v>
      </c>
      <c r="J848" s="10" t="s">
        <v>847</v>
      </c>
      <c r="K848" s="10" t="s">
        <v>847</v>
      </c>
      <c r="L848" s="10" t="s">
        <v>2373</v>
      </c>
      <c r="M848" s="10" t="s">
        <v>2374</v>
      </c>
      <c r="N848" s="10" t="s">
        <v>394</v>
      </c>
      <c r="O848" s="10"/>
    </row>
    <row r="849" spans="1:15" ht="18" customHeight="1" x14ac:dyDescent="0.3">
      <c r="A849" s="24">
        <v>848</v>
      </c>
      <c r="B849" s="10" t="s">
        <v>197</v>
      </c>
      <c r="C849" s="10" t="s">
        <v>4</v>
      </c>
      <c r="D849" s="62">
        <v>42</v>
      </c>
      <c r="E849" s="61" t="s">
        <v>2829</v>
      </c>
      <c r="F849" s="19" t="s">
        <v>1203</v>
      </c>
      <c r="G849" s="10" t="s">
        <v>150</v>
      </c>
      <c r="H849" s="10" t="s">
        <v>848</v>
      </c>
      <c r="I849" s="62">
        <v>113</v>
      </c>
      <c r="J849" s="10" t="s">
        <v>847</v>
      </c>
      <c r="K849" s="10" t="s">
        <v>847</v>
      </c>
      <c r="L849" s="10" t="s">
        <v>2373</v>
      </c>
      <c r="M849" s="10" t="s">
        <v>2372</v>
      </c>
      <c r="N849" s="10" t="s">
        <v>2373</v>
      </c>
      <c r="O849" s="10"/>
    </row>
    <row r="850" spans="1:15" ht="18" customHeight="1" x14ac:dyDescent="0.3">
      <c r="A850" s="24">
        <v>849</v>
      </c>
      <c r="B850" s="10" t="s">
        <v>197</v>
      </c>
      <c r="C850" s="10" t="s">
        <v>4</v>
      </c>
      <c r="D850" s="62">
        <v>42</v>
      </c>
      <c r="E850" s="61" t="s">
        <v>2829</v>
      </c>
      <c r="F850" s="19" t="s">
        <v>1203</v>
      </c>
      <c r="G850" s="10" t="s">
        <v>150</v>
      </c>
      <c r="H850" s="10" t="s">
        <v>849</v>
      </c>
      <c r="I850" s="62">
        <v>227</v>
      </c>
      <c r="J850" s="10" t="s">
        <v>847</v>
      </c>
      <c r="K850" s="10" t="s">
        <v>847</v>
      </c>
      <c r="L850" s="10" t="s">
        <v>2373</v>
      </c>
      <c r="M850" s="10" t="s">
        <v>2372</v>
      </c>
      <c r="N850" s="10" t="s">
        <v>2373</v>
      </c>
      <c r="O850" s="10"/>
    </row>
    <row r="851" spans="1:15" ht="18" customHeight="1" x14ac:dyDescent="0.3">
      <c r="A851" s="24">
        <v>850</v>
      </c>
      <c r="B851" s="10" t="s">
        <v>197</v>
      </c>
      <c r="C851" s="10" t="s">
        <v>4</v>
      </c>
      <c r="D851" s="62">
        <v>42</v>
      </c>
      <c r="E851" s="61" t="s">
        <v>2829</v>
      </c>
      <c r="F851" s="19" t="s">
        <v>1203</v>
      </c>
      <c r="G851" s="10" t="s">
        <v>150</v>
      </c>
      <c r="H851" s="10" t="s">
        <v>850</v>
      </c>
      <c r="I851" s="62">
        <v>93</v>
      </c>
      <c r="J851" s="10" t="s">
        <v>847</v>
      </c>
      <c r="K851" s="10" t="s">
        <v>847</v>
      </c>
      <c r="L851" s="10" t="s">
        <v>2373</v>
      </c>
      <c r="M851" s="10" t="s">
        <v>2372</v>
      </c>
      <c r="N851" s="10" t="s">
        <v>2373</v>
      </c>
      <c r="O851" s="10"/>
    </row>
    <row r="852" spans="1:15" ht="18" customHeight="1" x14ac:dyDescent="0.3">
      <c r="A852" s="24">
        <v>851</v>
      </c>
      <c r="B852" s="10" t="s">
        <v>197</v>
      </c>
      <c r="C852" s="10" t="s">
        <v>4</v>
      </c>
      <c r="D852" s="62">
        <v>42</v>
      </c>
      <c r="E852" s="61" t="s">
        <v>2829</v>
      </c>
      <c r="F852" s="19" t="s">
        <v>1203</v>
      </c>
      <c r="G852" s="10" t="s">
        <v>150</v>
      </c>
      <c r="H852" s="10" t="s">
        <v>851</v>
      </c>
      <c r="I852" s="62">
        <v>109</v>
      </c>
      <c r="J852" s="10" t="s">
        <v>847</v>
      </c>
      <c r="K852" s="10" t="s">
        <v>847</v>
      </c>
      <c r="L852" s="10" t="s">
        <v>2373</v>
      </c>
      <c r="M852" s="10" t="s">
        <v>2372</v>
      </c>
      <c r="N852" s="10" t="s">
        <v>2373</v>
      </c>
      <c r="O852" s="10"/>
    </row>
    <row r="853" spans="1:15" ht="18" customHeight="1" x14ac:dyDescent="0.3">
      <c r="A853" s="24">
        <v>852</v>
      </c>
      <c r="B853" s="10" t="s">
        <v>197</v>
      </c>
      <c r="C853" s="10" t="s">
        <v>4</v>
      </c>
      <c r="D853" s="62">
        <v>42</v>
      </c>
      <c r="E853" s="61" t="s">
        <v>2829</v>
      </c>
      <c r="F853" s="19" t="s">
        <v>1203</v>
      </c>
      <c r="G853" s="10" t="s">
        <v>150</v>
      </c>
      <c r="H853" s="10" t="s">
        <v>852</v>
      </c>
      <c r="I853" s="62">
        <v>137</v>
      </c>
      <c r="J853" s="10" t="s">
        <v>847</v>
      </c>
      <c r="K853" s="10" t="s">
        <v>847</v>
      </c>
      <c r="L853" s="10" t="s">
        <v>2373</v>
      </c>
      <c r="M853" s="10" t="s">
        <v>2372</v>
      </c>
      <c r="N853" s="10" t="s">
        <v>2373</v>
      </c>
      <c r="O853" s="10"/>
    </row>
    <row r="854" spans="1:15" ht="18" customHeight="1" x14ac:dyDescent="0.3">
      <c r="A854" s="24">
        <v>853</v>
      </c>
      <c r="B854" s="10" t="s">
        <v>197</v>
      </c>
      <c r="C854" s="10" t="s">
        <v>4</v>
      </c>
      <c r="D854" s="62">
        <v>42</v>
      </c>
      <c r="E854" s="61" t="s">
        <v>2829</v>
      </c>
      <c r="F854" s="19" t="s">
        <v>1203</v>
      </c>
      <c r="G854" s="10" t="s">
        <v>150</v>
      </c>
      <c r="H854" s="10" t="s">
        <v>2431</v>
      </c>
      <c r="I854" s="62">
        <v>379</v>
      </c>
      <c r="J854" s="10" t="s">
        <v>847</v>
      </c>
      <c r="K854" s="10" t="s">
        <v>847</v>
      </c>
      <c r="L854" s="10" t="s">
        <v>2373</v>
      </c>
      <c r="M854" s="10" t="s">
        <v>2372</v>
      </c>
      <c r="N854" s="10" t="s">
        <v>2373</v>
      </c>
      <c r="O854" s="10"/>
    </row>
    <row r="855" spans="1:15" ht="18" customHeight="1" x14ac:dyDescent="0.3">
      <c r="A855" s="24">
        <v>854</v>
      </c>
      <c r="B855" s="10" t="s">
        <v>197</v>
      </c>
      <c r="C855" s="10" t="s">
        <v>29</v>
      </c>
      <c r="D855" s="62">
        <v>43</v>
      </c>
      <c r="E855" s="61" t="s">
        <v>258</v>
      </c>
      <c r="F855" s="27" t="s">
        <v>455</v>
      </c>
      <c r="G855" s="10" t="s">
        <v>150</v>
      </c>
      <c r="H855" s="10" t="s">
        <v>848</v>
      </c>
      <c r="I855" s="62">
        <v>156</v>
      </c>
      <c r="J855" s="10" t="s">
        <v>2374</v>
      </c>
      <c r="K855" s="10" t="s">
        <v>847</v>
      </c>
      <c r="L855" s="10" t="s">
        <v>2373</v>
      </c>
      <c r="M855" s="10" t="s">
        <v>2372</v>
      </c>
      <c r="N855" s="10" t="s">
        <v>2373</v>
      </c>
      <c r="O855" s="10"/>
    </row>
    <row r="856" spans="1:15" ht="18" customHeight="1" x14ac:dyDescent="0.3">
      <c r="A856" s="24">
        <v>855</v>
      </c>
      <c r="B856" s="10" t="s">
        <v>197</v>
      </c>
      <c r="C856" s="10" t="s">
        <v>29</v>
      </c>
      <c r="D856" s="62">
        <v>43</v>
      </c>
      <c r="E856" s="61" t="s">
        <v>258</v>
      </c>
      <c r="F856" s="27" t="s">
        <v>455</v>
      </c>
      <c r="G856" s="10" t="s">
        <v>150</v>
      </c>
      <c r="H856" s="10" t="s">
        <v>849</v>
      </c>
      <c r="I856" s="62">
        <v>118</v>
      </c>
      <c r="J856" s="10" t="s">
        <v>2372</v>
      </c>
      <c r="K856" s="10" t="s">
        <v>847</v>
      </c>
      <c r="L856" s="10" t="s">
        <v>2373</v>
      </c>
      <c r="M856" s="10" t="s">
        <v>2372</v>
      </c>
      <c r="N856" s="10" t="s">
        <v>2373</v>
      </c>
      <c r="O856" s="10"/>
    </row>
    <row r="857" spans="1:15" ht="18" customHeight="1" x14ac:dyDescent="0.3">
      <c r="A857" s="24">
        <v>856</v>
      </c>
      <c r="B857" s="10" t="s">
        <v>197</v>
      </c>
      <c r="C857" s="10" t="s">
        <v>29</v>
      </c>
      <c r="D857" s="62">
        <v>43</v>
      </c>
      <c r="E857" s="61" t="s">
        <v>258</v>
      </c>
      <c r="F857" s="27" t="s">
        <v>455</v>
      </c>
      <c r="G857" s="10" t="s">
        <v>150</v>
      </c>
      <c r="H857" s="10" t="s">
        <v>850</v>
      </c>
      <c r="I857" s="62">
        <v>116</v>
      </c>
      <c r="J857" s="10" t="s">
        <v>2372</v>
      </c>
      <c r="K857" s="10" t="s">
        <v>847</v>
      </c>
      <c r="L857" s="10" t="s">
        <v>2373</v>
      </c>
      <c r="M857" s="10" t="s">
        <v>2372</v>
      </c>
      <c r="N857" s="10" t="s">
        <v>2373</v>
      </c>
      <c r="O857" s="10"/>
    </row>
    <row r="858" spans="1:15" ht="18" customHeight="1" x14ac:dyDescent="0.3">
      <c r="A858" s="24">
        <v>857</v>
      </c>
      <c r="B858" s="10" t="s">
        <v>197</v>
      </c>
      <c r="C858" s="10" t="s">
        <v>29</v>
      </c>
      <c r="D858" s="62">
        <v>43</v>
      </c>
      <c r="E858" s="61" t="s">
        <v>258</v>
      </c>
      <c r="F858" s="27" t="s">
        <v>455</v>
      </c>
      <c r="G858" s="10" t="s">
        <v>150</v>
      </c>
      <c r="H858" s="10" t="s">
        <v>851</v>
      </c>
      <c r="I858" s="62">
        <v>118</v>
      </c>
      <c r="J858" s="10" t="s">
        <v>2372</v>
      </c>
      <c r="K858" s="10" t="s">
        <v>847</v>
      </c>
      <c r="L858" s="10" t="s">
        <v>2373</v>
      </c>
      <c r="M858" s="10" t="s">
        <v>2372</v>
      </c>
      <c r="N858" s="10" t="s">
        <v>2373</v>
      </c>
      <c r="O858" s="10"/>
    </row>
    <row r="859" spans="1:15" ht="18" customHeight="1" x14ac:dyDescent="0.3">
      <c r="A859" s="24">
        <v>858</v>
      </c>
      <c r="B859" s="10" t="s">
        <v>197</v>
      </c>
      <c r="C859" s="10" t="s">
        <v>29</v>
      </c>
      <c r="D859" s="62">
        <v>43</v>
      </c>
      <c r="E859" s="61" t="s">
        <v>258</v>
      </c>
      <c r="F859" s="27" t="s">
        <v>455</v>
      </c>
      <c r="G859" s="10" t="s">
        <v>150</v>
      </c>
      <c r="H859" s="10" t="s">
        <v>852</v>
      </c>
      <c r="I859" s="62">
        <v>180</v>
      </c>
      <c r="J859" s="10" t="s">
        <v>2372</v>
      </c>
      <c r="K859" s="10" t="s">
        <v>847</v>
      </c>
      <c r="L859" s="10" t="s">
        <v>2373</v>
      </c>
      <c r="M859" s="10" t="s">
        <v>2372</v>
      </c>
      <c r="N859" s="10" t="s">
        <v>2373</v>
      </c>
      <c r="O859" s="10"/>
    </row>
    <row r="860" spans="1:15" ht="18" customHeight="1" x14ac:dyDescent="0.3">
      <c r="A860" s="24">
        <v>859</v>
      </c>
      <c r="B860" s="10" t="s">
        <v>197</v>
      </c>
      <c r="C860" s="10" t="s">
        <v>29</v>
      </c>
      <c r="D860" s="62">
        <v>43</v>
      </c>
      <c r="E860" s="61" t="s">
        <v>258</v>
      </c>
      <c r="F860" s="27" t="s">
        <v>455</v>
      </c>
      <c r="G860" s="10" t="s">
        <v>150</v>
      </c>
      <c r="H860" s="10" t="s">
        <v>2763</v>
      </c>
      <c r="I860" s="62">
        <v>213</v>
      </c>
      <c r="J860" s="10" t="s">
        <v>2374</v>
      </c>
      <c r="K860" s="10" t="s">
        <v>846</v>
      </c>
      <c r="L860" s="10" t="s">
        <v>1777</v>
      </c>
      <c r="M860" s="10" t="s">
        <v>2372</v>
      </c>
      <c r="N860" s="10" t="s">
        <v>2373</v>
      </c>
      <c r="O860" s="10"/>
    </row>
    <row r="861" spans="1:15" ht="18" customHeight="1" x14ac:dyDescent="0.3">
      <c r="A861" s="24">
        <v>860</v>
      </c>
      <c r="B861" s="10" t="s">
        <v>197</v>
      </c>
      <c r="C861" s="10" t="s">
        <v>29</v>
      </c>
      <c r="D861" s="62">
        <v>43</v>
      </c>
      <c r="E861" s="61" t="s">
        <v>903</v>
      </c>
      <c r="F861" s="9" t="s">
        <v>452</v>
      </c>
      <c r="G861" s="10" t="s">
        <v>150</v>
      </c>
      <c r="H861" s="10" t="s">
        <v>848</v>
      </c>
      <c r="I861" s="62">
        <v>184</v>
      </c>
      <c r="J861" s="8" t="s">
        <v>846</v>
      </c>
      <c r="K861" s="10" t="s">
        <v>847</v>
      </c>
      <c r="L861" s="10" t="s">
        <v>2373</v>
      </c>
      <c r="M861" s="10" t="s">
        <v>2372</v>
      </c>
      <c r="N861" s="10" t="s">
        <v>2373</v>
      </c>
      <c r="O861" s="10"/>
    </row>
    <row r="862" spans="1:15" ht="18" customHeight="1" x14ac:dyDescent="0.3">
      <c r="A862" s="24">
        <v>861</v>
      </c>
      <c r="B862" s="10" t="s">
        <v>197</v>
      </c>
      <c r="C862" s="10" t="s">
        <v>29</v>
      </c>
      <c r="D862" s="62">
        <v>43</v>
      </c>
      <c r="E862" s="61" t="s">
        <v>903</v>
      </c>
      <c r="F862" s="9" t="s">
        <v>452</v>
      </c>
      <c r="G862" s="10" t="s">
        <v>150</v>
      </c>
      <c r="H862" s="10" t="s">
        <v>849</v>
      </c>
      <c r="I862" s="62">
        <v>166</v>
      </c>
      <c r="J862" s="8" t="s">
        <v>2372</v>
      </c>
      <c r="K862" s="10" t="s">
        <v>847</v>
      </c>
      <c r="L862" s="10" t="s">
        <v>2373</v>
      </c>
      <c r="M862" s="10" t="s">
        <v>2372</v>
      </c>
      <c r="N862" s="10" t="s">
        <v>2373</v>
      </c>
      <c r="O862" s="10"/>
    </row>
    <row r="863" spans="1:15" ht="18" customHeight="1" x14ac:dyDescent="0.3">
      <c r="A863" s="24">
        <v>862</v>
      </c>
      <c r="B863" s="10" t="s">
        <v>197</v>
      </c>
      <c r="C863" s="10" t="s">
        <v>29</v>
      </c>
      <c r="D863" s="62">
        <v>43</v>
      </c>
      <c r="E863" s="61" t="s">
        <v>903</v>
      </c>
      <c r="F863" s="9" t="s">
        <v>452</v>
      </c>
      <c r="G863" s="10" t="s">
        <v>150</v>
      </c>
      <c r="H863" s="10" t="s">
        <v>850</v>
      </c>
      <c r="I863" s="62">
        <v>166</v>
      </c>
      <c r="J863" s="8" t="s">
        <v>2372</v>
      </c>
      <c r="K863" s="10" t="s">
        <v>847</v>
      </c>
      <c r="L863" s="10" t="s">
        <v>2373</v>
      </c>
      <c r="M863" s="10" t="s">
        <v>2372</v>
      </c>
      <c r="N863" s="10" t="s">
        <v>2373</v>
      </c>
      <c r="O863" s="10"/>
    </row>
    <row r="864" spans="1:15" ht="18" customHeight="1" x14ac:dyDescent="0.3">
      <c r="A864" s="24">
        <v>863</v>
      </c>
      <c r="B864" s="10" t="s">
        <v>197</v>
      </c>
      <c r="C864" s="10" t="s">
        <v>29</v>
      </c>
      <c r="D864" s="62">
        <v>43</v>
      </c>
      <c r="E864" s="61" t="s">
        <v>903</v>
      </c>
      <c r="F864" s="9" t="s">
        <v>452</v>
      </c>
      <c r="G864" s="10" t="s">
        <v>150</v>
      </c>
      <c r="H864" s="10" t="s">
        <v>852</v>
      </c>
      <c r="I864" s="62">
        <v>416</v>
      </c>
      <c r="J864" s="8" t="s">
        <v>846</v>
      </c>
      <c r="K864" s="10" t="s">
        <v>847</v>
      </c>
      <c r="L864" s="10" t="s">
        <v>2373</v>
      </c>
      <c r="M864" s="10" t="s">
        <v>2372</v>
      </c>
      <c r="N864" s="10" t="s">
        <v>2373</v>
      </c>
      <c r="O864" s="10"/>
    </row>
    <row r="865" spans="1:15" ht="18" customHeight="1" x14ac:dyDescent="0.3">
      <c r="A865" s="24">
        <v>864</v>
      </c>
      <c r="B865" s="10" t="s">
        <v>197</v>
      </c>
      <c r="C865" s="10" t="s">
        <v>29</v>
      </c>
      <c r="D865" s="62">
        <v>43</v>
      </c>
      <c r="E865" s="61" t="s">
        <v>903</v>
      </c>
      <c r="F865" s="9" t="s">
        <v>1102</v>
      </c>
      <c r="G865" s="10" t="s">
        <v>150</v>
      </c>
      <c r="H865" s="10" t="s">
        <v>845</v>
      </c>
      <c r="I865" s="62">
        <v>176</v>
      </c>
      <c r="J865" s="8" t="s">
        <v>846</v>
      </c>
      <c r="K865" s="10" t="s">
        <v>847</v>
      </c>
      <c r="L865" s="10" t="s">
        <v>310</v>
      </c>
      <c r="M865" s="10" t="s">
        <v>2372</v>
      </c>
      <c r="N865" s="10" t="s">
        <v>2373</v>
      </c>
      <c r="O865" s="10"/>
    </row>
    <row r="866" spans="1:15" ht="18" customHeight="1" x14ac:dyDescent="0.3">
      <c r="A866" s="24">
        <v>865</v>
      </c>
      <c r="B866" s="10" t="s">
        <v>197</v>
      </c>
      <c r="C866" s="10" t="s">
        <v>29</v>
      </c>
      <c r="D866" s="62">
        <v>43</v>
      </c>
      <c r="E866" s="61" t="s">
        <v>903</v>
      </c>
      <c r="F866" s="9" t="s">
        <v>1102</v>
      </c>
      <c r="G866" s="10" t="s">
        <v>150</v>
      </c>
      <c r="H866" s="10" t="s">
        <v>851</v>
      </c>
      <c r="I866" s="62">
        <v>286</v>
      </c>
      <c r="J866" s="8" t="s">
        <v>2372</v>
      </c>
      <c r="K866" s="10" t="s">
        <v>847</v>
      </c>
      <c r="L866" s="10" t="s">
        <v>310</v>
      </c>
      <c r="M866" s="10" t="s">
        <v>2372</v>
      </c>
      <c r="N866" s="10" t="s">
        <v>2373</v>
      </c>
      <c r="O866" s="10"/>
    </row>
    <row r="867" spans="1:15" ht="18" customHeight="1" x14ac:dyDescent="0.3">
      <c r="A867" s="24">
        <v>866</v>
      </c>
      <c r="B867" s="10" t="s">
        <v>197</v>
      </c>
      <c r="C867" s="10" t="s">
        <v>29</v>
      </c>
      <c r="D867" s="62">
        <v>43</v>
      </c>
      <c r="E867" s="61" t="s">
        <v>1452</v>
      </c>
      <c r="F867" s="32" t="s">
        <v>451</v>
      </c>
      <c r="G867" s="10" t="s">
        <v>160</v>
      </c>
      <c r="H867" s="10" t="s">
        <v>845</v>
      </c>
      <c r="I867" s="62">
        <v>84</v>
      </c>
      <c r="J867" s="10" t="s">
        <v>2374</v>
      </c>
      <c r="K867" s="10" t="s">
        <v>2374</v>
      </c>
      <c r="L867" s="10" t="s">
        <v>2538</v>
      </c>
      <c r="M867" s="10" t="s">
        <v>2372</v>
      </c>
      <c r="N867" s="10" t="s">
        <v>2373</v>
      </c>
      <c r="O867" s="10"/>
    </row>
    <row r="868" spans="1:15" ht="18" customHeight="1" x14ac:dyDescent="0.3">
      <c r="A868" s="24">
        <v>867</v>
      </c>
      <c r="B868" s="10" t="s">
        <v>197</v>
      </c>
      <c r="C868" s="10" t="s">
        <v>29</v>
      </c>
      <c r="D868" s="62">
        <v>43</v>
      </c>
      <c r="E868" s="61" t="s">
        <v>1452</v>
      </c>
      <c r="F868" s="32" t="s">
        <v>451</v>
      </c>
      <c r="G868" s="10" t="s">
        <v>160</v>
      </c>
      <c r="H868" s="10" t="s">
        <v>848</v>
      </c>
      <c r="I868" s="62">
        <v>126</v>
      </c>
      <c r="J868" s="10" t="s">
        <v>2374</v>
      </c>
      <c r="K868" s="10" t="s">
        <v>2374</v>
      </c>
      <c r="L868" s="10" t="s">
        <v>2538</v>
      </c>
      <c r="M868" s="10" t="s">
        <v>2372</v>
      </c>
      <c r="N868" s="10" t="s">
        <v>2373</v>
      </c>
      <c r="O868" s="10"/>
    </row>
    <row r="869" spans="1:15" ht="18" customHeight="1" x14ac:dyDescent="0.3">
      <c r="A869" s="24">
        <v>868</v>
      </c>
      <c r="B869" s="10" t="s">
        <v>197</v>
      </c>
      <c r="C869" s="10" t="s">
        <v>29</v>
      </c>
      <c r="D869" s="62">
        <v>43</v>
      </c>
      <c r="E869" s="61" t="s">
        <v>1452</v>
      </c>
      <c r="F869" s="32" t="s">
        <v>451</v>
      </c>
      <c r="G869" s="10" t="s">
        <v>160</v>
      </c>
      <c r="H869" s="10" t="s">
        <v>849</v>
      </c>
      <c r="I869" s="62">
        <v>60</v>
      </c>
      <c r="J869" s="10" t="s">
        <v>2372</v>
      </c>
      <c r="K869" s="10" t="s">
        <v>2374</v>
      </c>
      <c r="L869" s="10" t="s">
        <v>2538</v>
      </c>
      <c r="M869" s="10" t="s">
        <v>2372</v>
      </c>
      <c r="N869" s="10" t="s">
        <v>2373</v>
      </c>
      <c r="O869" s="10"/>
    </row>
    <row r="870" spans="1:15" ht="18" customHeight="1" x14ac:dyDescent="0.3">
      <c r="A870" s="24">
        <v>869</v>
      </c>
      <c r="B870" s="10" t="s">
        <v>197</v>
      </c>
      <c r="C870" s="10" t="s">
        <v>29</v>
      </c>
      <c r="D870" s="62">
        <v>43</v>
      </c>
      <c r="E870" s="61" t="s">
        <v>1452</v>
      </c>
      <c r="F870" s="32" t="s">
        <v>451</v>
      </c>
      <c r="G870" s="10" t="s">
        <v>160</v>
      </c>
      <c r="H870" s="10" t="s">
        <v>850</v>
      </c>
      <c r="I870" s="62">
        <v>62</v>
      </c>
      <c r="J870" s="10" t="s">
        <v>2374</v>
      </c>
      <c r="K870" s="10" t="s">
        <v>2374</v>
      </c>
      <c r="L870" s="10" t="s">
        <v>2538</v>
      </c>
      <c r="M870" s="10" t="s">
        <v>2372</v>
      </c>
      <c r="N870" s="10" t="s">
        <v>2373</v>
      </c>
      <c r="O870" s="10"/>
    </row>
    <row r="871" spans="1:15" ht="18" customHeight="1" x14ac:dyDescent="0.3">
      <c r="A871" s="24">
        <v>870</v>
      </c>
      <c r="B871" s="10" t="s">
        <v>197</v>
      </c>
      <c r="C871" s="10" t="s">
        <v>29</v>
      </c>
      <c r="D871" s="62">
        <v>43</v>
      </c>
      <c r="E871" s="61" t="s">
        <v>1452</v>
      </c>
      <c r="F871" s="32" t="s">
        <v>451</v>
      </c>
      <c r="G871" s="10" t="s">
        <v>160</v>
      </c>
      <c r="H871" s="10" t="s">
        <v>851</v>
      </c>
      <c r="I871" s="62">
        <v>62</v>
      </c>
      <c r="J871" s="10" t="s">
        <v>2372</v>
      </c>
      <c r="K871" s="10" t="s">
        <v>2374</v>
      </c>
      <c r="L871" s="10" t="s">
        <v>2538</v>
      </c>
      <c r="M871" s="10" t="s">
        <v>2372</v>
      </c>
      <c r="N871" s="10" t="s">
        <v>2373</v>
      </c>
      <c r="O871" s="10"/>
    </row>
    <row r="872" spans="1:15" ht="18" customHeight="1" x14ac:dyDescent="0.3">
      <c r="A872" s="24">
        <v>871</v>
      </c>
      <c r="B872" s="10" t="s">
        <v>197</v>
      </c>
      <c r="C872" s="10" t="s">
        <v>29</v>
      </c>
      <c r="D872" s="62">
        <v>43</v>
      </c>
      <c r="E872" s="61" t="s">
        <v>1452</v>
      </c>
      <c r="F872" s="32" t="s">
        <v>451</v>
      </c>
      <c r="G872" s="10" t="s">
        <v>160</v>
      </c>
      <c r="H872" s="10" t="s">
        <v>852</v>
      </c>
      <c r="I872" s="62">
        <v>61</v>
      </c>
      <c r="J872" s="10" t="s">
        <v>2372</v>
      </c>
      <c r="K872" s="10" t="s">
        <v>2374</v>
      </c>
      <c r="L872" s="10" t="s">
        <v>2538</v>
      </c>
      <c r="M872" s="10" t="s">
        <v>2372</v>
      </c>
      <c r="N872" s="10" t="s">
        <v>2373</v>
      </c>
      <c r="O872" s="10"/>
    </row>
    <row r="873" spans="1:15" ht="18" customHeight="1" x14ac:dyDescent="0.3">
      <c r="A873" s="24">
        <v>872</v>
      </c>
      <c r="B873" s="10" t="s">
        <v>197</v>
      </c>
      <c r="C873" s="10" t="s">
        <v>29</v>
      </c>
      <c r="D873" s="62">
        <v>43</v>
      </c>
      <c r="E873" s="61" t="s">
        <v>1452</v>
      </c>
      <c r="F873" s="32" t="s">
        <v>451</v>
      </c>
      <c r="G873" s="10" t="s">
        <v>160</v>
      </c>
      <c r="H873" s="10" t="s">
        <v>853</v>
      </c>
      <c r="I873" s="62">
        <v>61</v>
      </c>
      <c r="J873" s="10" t="s">
        <v>2372</v>
      </c>
      <c r="K873" s="10" t="s">
        <v>2374</v>
      </c>
      <c r="L873" s="10" t="s">
        <v>2538</v>
      </c>
      <c r="M873" s="10" t="s">
        <v>2372</v>
      </c>
      <c r="N873" s="10" t="s">
        <v>2373</v>
      </c>
      <c r="O873" s="10"/>
    </row>
    <row r="874" spans="1:15" ht="18" customHeight="1" x14ac:dyDescent="0.3">
      <c r="A874" s="24">
        <v>873</v>
      </c>
      <c r="B874" s="10" t="s">
        <v>197</v>
      </c>
      <c r="C874" s="10" t="s">
        <v>29</v>
      </c>
      <c r="D874" s="62">
        <v>43</v>
      </c>
      <c r="E874" s="61" t="s">
        <v>259</v>
      </c>
      <c r="F874" s="32" t="s">
        <v>451</v>
      </c>
      <c r="G874" s="10" t="s">
        <v>1264</v>
      </c>
      <c r="H874" s="10" t="s">
        <v>2539</v>
      </c>
      <c r="I874" s="62">
        <v>85</v>
      </c>
      <c r="J874" s="10" t="s">
        <v>2372</v>
      </c>
      <c r="K874" s="10" t="s">
        <v>2374</v>
      </c>
      <c r="L874" s="10" t="s">
        <v>1422</v>
      </c>
      <c r="M874" s="10" t="s">
        <v>2372</v>
      </c>
      <c r="N874" s="10" t="s">
        <v>2373</v>
      </c>
      <c r="O874" s="10"/>
    </row>
    <row r="875" spans="1:15" ht="18" customHeight="1" x14ac:dyDescent="0.3">
      <c r="A875" s="24">
        <v>874</v>
      </c>
      <c r="B875" s="10" t="s">
        <v>197</v>
      </c>
      <c r="C875" s="10" t="s">
        <v>29</v>
      </c>
      <c r="D875" s="62">
        <v>43</v>
      </c>
      <c r="E875" s="61" t="s">
        <v>259</v>
      </c>
      <c r="F875" s="32" t="s">
        <v>451</v>
      </c>
      <c r="G875" s="10" t="s">
        <v>1264</v>
      </c>
      <c r="H875" s="10" t="s">
        <v>2465</v>
      </c>
      <c r="I875" s="62">
        <v>39</v>
      </c>
      <c r="J875" s="10" t="s">
        <v>2372</v>
      </c>
      <c r="K875" s="10" t="s">
        <v>2374</v>
      </c>
      <c r="L875" s="10" t="s">
        <v>1422</v>
      </c>
      <c r="M875" s="10" t="s">
        <v>2372</v>
      </c>
      <c r="N875" s="10" t="s">
        <v>2373</v>
      </c>
      <c r="O875" s="10"/>
    </row>
    <row r="876" spans="1:15" ht="18" customHeight="1" x14ac:dyDescent="0.3">
      <c r="A876" s="24">
        <v>875</v>
      </c>
      <c r="B876" s="10" t="s">
        <v>197</v>
      </c>
      <c r="C876" s="10" t="s">
        <v>29</v>
      </c>
      <c r="D876" s="62">
        <v>43</v>
      </c>
      <c r="E876" s="61" t="s">
        <v>259</v>
      </c>
      <c r="F876" s="32" t="s">
        <v>451</v>
      </c>
      <c r="G876" s="10" t="s">
        <v>1264</v>
      </c>
      <c r="H876" s="10" t="s">
        <v>1186</v>
      </c>
      <c r="I876" s="62">
        <v>79</v>
      </c>
      <c r="J876" s="10" t="s">
        <v>2374</v>
      </c>
      <c r="K876" s="10" t="s">
        <v>2374</v>
      </c>
      <c r="L876" s="10" t="s">
        <v>1422</v>
      </c>
      <c r="M876" s="10" t="s">
        <v>2372</v>
      </c>
      <c r="N876" s="10" t="s">
        <v>2373</v>
      </c>
      <c r="O876" s="10"/>
    </row>
    <row r="877" spans="1:15" ht="18" customHeight="1" x14ac:dyDescent="0.3">
      <c r="A877" s="24">
        <v>876</v>
      </c>
      <c r="B877" s="10" t="s">
        <v>197</v>
      </c>
      <c r="C877" s="10" t="s">
        <v>29</v>
      </c>
      <c r="D877" s="62">
        <v>43</v>
      </c>
      <c r="E877" s="61" t="s">
        <v>259</v>
      </c>
      <c r="F877" s="32" t="s">
        <v>451</v>
      </c>
      <c r="G877" s="10" t="s">
        <v>1264</v>
      </c>
      <c r="H877" s="10" t="s">
        <v>1187</v>
      </c>
      <c r="I877" s="62">
        <v>151</v>
      </c>
      <c r="J877" s="10" t="s">
        <v>2372</v>
      </c>
      <c r="K877" s="10" t="s">
        <v>2374</v>
      </c>
      <c r="L877" s="10" t="s">
        <v>1422</v>
      </c>
      <c r="M877" s="10" t="s">
        <v>2372</v>
      </c>
      <c r="N877" s="10" t="s">
        <v>2373</v>
      </c>
      <c r="O877" s="10"/>
    </row>
    <row r="878" spans="1:15" ht="18" customHeight="1" x14ac:dyDescent="0.3">
      <c r="A878" s="24">
        <v>877</v>
      </c>
      <c r="B878" s="10" t="s">
        <v>197</v>
      </c>
      <c r="C878" s="10" t="s">
        <v>29</v>
      </c>
      <c r="D878" s="62">
        <v>43</v>
      </c>
      <c r="E878" s="61" t="s">
        <v>259</v>
      </c>
      <c r="F878" s="32" t="s">
        <v>451</v>
      </c>
      <c r="G878" s="10" t="s">
        <v>1264</v>
      </c>
      <c r="H878" s="10" t="s">
        <v>1188</v>
      </c>
      <c r="I878" s="62">
        <v>102</v>
      </c>
      <c r="J878" s="10" t="s">
        <v>2372</v>
      </c>
      <c r="K878" s="10" t="s">
        <v>2374</v>
      </c>
      <c r="L878" s="10" t="s">
        <v>1422</v>
      </c>
      <c r="M878" s="10" t="s">
        <v>2372</v>
      </c>
      <c r="N878" s="10" t="s">
        <v>2373</v>
      </c>
      <c r="O878" s="10"/>
    </row>
    <row r="879" spans="1:15" ht="18" customHeight="1" x14ac:dyDescent="0.3">
      <c r="A879" s="24">
        <v>878</v>
      </c>
      <c r="B879" s="10" t="s">
        <v>197</v>
      </c>
      <c r="C879" s="10" t="s">
        <v>29</v>
      </c>
      <c r="D879" s="62">
        <v>43</v>
      </c>
      <c r="E879" s="61" t="s">
        <v>259</v>
      </c>
      <c r="F879" s="32" t="s">
        <v>451</v>
      </c>
      <c r="G879" s="10" t="s">
        <v>1264</v>
      </c>
      <c r="H879" s="10" t="s">
        <v>1189</v>
      </c>
      <c r="I879" s="62">
        <v>87</v>
      </c>
      <c r="J879" s="10" t="s">
        <v>2372</v>
      </c>
      <c r="K879" s="10" t="s">
        <v>2374</v>
      </c>
      <c r="L879" s="10" t="s">
        <v>1422</v>
      </c>
      <c r="M879" s="10" t="s">
        <v>2372</v>
      </c>
      <c r="N879" s="10" t="s">
        <v>2373</v>
      </c>
      <c r="O879" s="10"/>
    </row>
    <row r="880" spans="1:15" ht="18" customHeight="1" x14ac:dyDescent="0.3">
      <c r="A880" s="24">
        <v>879</v>
      </c>
      <c r="B880" s="10" t="s">
        <v>197</v>
      </c>
      <c r="C880" s="10" t="s">
        <v>29</v>
      </c>
      <c r="D880" s="62">
        <v>43</v>
      </c>
      <c r="E880" s="61" t="s">
        <v>259</v>
      </c>
      <c r="F880" s="32" t="s">
        <v>451</v>
      </c>
      <c r="G880" s="10" t="s">
        <v>1264</v>
      </c>
      <c r="H880" s="10" t="s">
        <v>1190</v>
      </c>
      <c r="I880" s="62">
        <v>87</v>
      </c>
      <c r="J880" s="10" t="s">
        <v>2372</v>
      </c>
      <c r="K880" s="10" t="s">
        <v>2374</v>
      </c>
      <c r="L880" s="10" t="s">
        <v>1422</v>
      </c>
      <c r="M880" s="10" t="s">
        <v>2372</v>
      </c>
      <c r="N880" s="10" t="s">
        <v>2373</v>
      </c>
      <c r="O880" s="10"/>
    </row>
    <row r="881" spans="1:15" ht="18" customHeight="1" x14ac:dyDescent="0.3">
      <c r="A881" s="24">
        <v>880</v>
      </c>
      <c r="B881" s="10" t="s">
        <v>197</v>
      </c>
      <c r="C881" s="10" t="s">
        <v>28</v>
      </c>
      <c r="D881" s="62">
        <v>44</v>
      </c>
      <c r="E881" s="61" t="s">
        <v>214</v>
      </c>
      <c r="F881" s="16" t="s">
        <v>1031</v>
      </c>
      <c r="G881" s="10" t="s">
        <v>150</v>
      </c>
      <c r="H881" s="10" t="s">
        <v>849</v>
      </c>
      <c r="I881" s="62">
        <v>149</v>
      </c>
      <c r="J881" s="8" t="s">
        <v>846</v>
      </c>
      <c r="K881" s="10" t="s">
        <v>847</v>
      </c>
      <c r="L881" s="10" t="s">
        <v>2373</v>
      </c>
      <c r="M881" s="10" t="s">
        <v>2372</v>
      </c>
      <c r="N881" s="10" t="s">
        <v>2373</v>
      </c>
      <c r="O881" s="10"/>
    </row>
    <row r="882" spans="1:15" ht="18" customHeight="1" x14ac:dyDescent="0.3">
      <c r="A882" s="24">
        <v>881</v>
      </c>
      <c r="B882" s="10" t="s">
        <v>197</v>
      </c>
      <c r="C882" s="10" t="s">
        <v>28</v>
      </c>
      <c r="D882" s="62">
        <v>44</v>
      </c>
      <c r="E882" s="61" t="s">
        <v>214</v>
      </c>
      <c r="F882" s="16" t="s">
        <v>1031</v>
      </c>
      <c r="G882" s="10" t="s">
        <v>150</v>
      </c>
      <c r="H882" s="10" t="s">
        <v>850</v>
      </c>
      <c r="I882" s="62">
        <v>179</v>
      </c>
      <c r="J882" s="8" t="s">
        <v>2372</v>
      </c>
      <c r="K882" s="10" t="s">
        <v>847</v>
      </c>
      <c r="L882" s="10" t="s">
        <v>2373</v>
      </c>
      <c r="M882" s="10" t="s">
        <v>2372</v>
      </c>
      <c r="N882" s="10" t="s">
        <v>2373</v>
      </c>
      <c r="O882" s="10"/>
    </row>
    <row r="883" spans="1:15" ht="18" customHeight="1" x14ac:dyDescent="0.3">
      <c r="A883" s="24">
        <v>882</v>
      </c>
      <c r="B883" s="10" t="s">
        <v>197</v>
      </c>
      <c r="C883" s="10" t="s">
        <v>28</v>
      </c>
      <c r="D883" s="62">
        <v>44</v>
      </c>
      <c r="E883" s="61" t="s">
        <v>214</v>
      </c>
      <c r="F883" s="16" t="s">
        <v>1031</v>
      </c>
      <c r="G883" s="10" t="s">
        <v>150</v>
      </c>
      <c r="H883" s="10" t="s">
        <v>851</v>
      </c>
      <c r="I883" s="62">
        <v>183</v>
      </c>
      <c r="J883" s="8" t="s">
        <v>2372</v>
      </c>
      <c r="K883" s="10" t="s">
        <v>847</v>
      </c>
      <c r="L883" s="10" t="s">
        <v>2373</v>
      </c>
      <c r="M883" s="10" t="s">
        <v>2372</v>
      </c>
      <c r="N883" s="10" t="s">
        <v>2373</v>
      </c>
      <c r="O883" s="10"/>
    </row>
    <row r="884" spans="1:15" ht="18" customHeight="1" x14ac:dyDescent="0.3">
      <c r="A884" s="24">
        <v>883</v>
      </c>
      <c r="B884" s="10" t="s">
        <v>197</v>
      </c>
      <c r="C884" s="10" t="s">
        <v>28</v>
      </c>
      <c r="D884" s="62">
        <v>44</v>
      </c>
      <c r="E884" s="61" t="s">
        <v>214</v>
      </c>
      <c r="F884" s="16" t="s">
        <v>1031</v>
      </c>
      <c r="G884" s="10" t="s">
        <v>150</v>
      </c>
      <c r="H884" s="10" t="s">
        <v>852</v>
      </c>
      <c r="I884" s="62">
        <v>194</v>
      </c>
      <c r="J884" s="8" t="s">
        <v>2372</v>
      </c>
      <c r="K884" s="10" t="s">
        <v>847</v>
      </c>
      <c r="L884" s="10" t="s">
        <v>2373</v>
      </c>
      <c r="M884" s="10" t="s">
        <v>2372</v>
      </c>
      <c r="N884" s="10" t="s">
        <v>2373</v>
      </c>
      <c r="O884" s="10"/>
    </row>
    <row r="885" spans="1:15" ht="18" customHeight="1" x14ac:dyDescent="0.3">
      <c r="A885" s="24">
        <v>884</v>
      </c>
      <c r="B885" s="10" t="s">
        <v>197</v>
      </c>
      <c r="C885" s="10" t="s">
        <v>28</v>
      </c>
      <c r="D885" s="62">
        <v>44</v>
      </c>
      <c r="E885" s="61" t="s">
        <v>214</v>
      </c>
      <c r="F885" s="16" t="s">
        <v>1031</v>
      </c>
      <c r="G885" s="10" t="s">
        <v>150</v>
      </c>
      <c r="H885" s="10" t="s">
        <v>853</v>
      </c>
      <c r="I885" s="62">
        <v>262</v>
      </c>
      <c r="J885" s="8" t="s">
        <v>846</v>
      </c>
      <c r="K885" s="10" t="s">
        <v>847</v>
      </c>
      <c r="L885" s="10" t="s">
        <v>2373</v>
      </c>
      <c r="M885" s="10" t="s">
        <v>2372</v>
      </c>
      <c r="N885" s="10" t="s">
        <v>2373</v>
      </c>
      <c r="O885" s="10"/>
    </row>
    <row r="886" spans="1:15" ht="18" customHeight="1" x14ac:dyDescent="0.3">
      <c r="A886" s="24">
        <v>885</v>
      </c>
      <c r="B886" s="10" t="s">
        <v>197</v>
      </c>
      <c r="C886" s="10" t="s">
        <v>28</v>
      </c>
      <c r="D886" s="62">
        <v>44</v>
      </c>
      <c r="E886" s="61" t="s">
        <v>214</v>
      </c>
      <c r="F886" s="16" t="s">
        <v>463</v>
      </c>
      <c r="G886" s="10" t="s">
        <v>150</v>
      </c>
      <c r="H886" s="10" t="s">
        <v>845</v>
      </c>
      <c r="I886" s="62">
        <v>184</v>
      </c>
      <c r="J886" s="8" t="s">
        <v>2372</v>
      </c>
      <c r="K886" s="10" t="s">
        <v>847</v>
      </c>
      <c r="L886" s="10" t="s">
        <v>2373</v>
      </c>
      <c r="M886" s="10" t="s">
        <v>2372</v>
      </c>
      <c r="N886" s="10" t="s">
        <v>2373</v>
      </c>
      <c r="O886" s="10"/>
    </row>
    <row r="887" spans="1:15" ht="18" customHeight="1" x14ac:dyDescent="0.3">
      <c r="A887" s="24">
        <v>886</v>
      </c>
      <c r="B887" s="10" t="s">
        <v>197</v>
      </c>
      <c r="C887" s="10" t="s">
        <v>28</v>
      </c>
      <c r="D887" s="62">
        <v>44</v>
      </c>
      <c r="E887" s="61" t="s">
        <v>214</v>
      </c>
      <c r="F887" s="16" t="s">
        <v>463</v>
      </c>
      <c r="G887" s="10" t="s">
        <v>150</v>
      </c>
      <c r="H887" s="10" t="s">
        <v>848</v>
      </c>
      <c r="I887" s="62">
        <v>149</v>
      </c>
      <c r="J887" s="8" t="s">
        <v>2372</v>
      </c>
      <c r="K887" s="10" t="s">
        <v>847</v>
      </c>
      <c r="L887" s="10" t="s">
        <v>2373</v>
      </c>
      <c r="M887" s="10" t="s">
        <v>2372</v>
      </c>
      <c r="N887" s="10" t="s">
        <v>2373</v>
      </c>
      <c r="O887" s="10"/>
    </row>
    <row r="888" spans="1:15" ht="18" customHeight="1" x14ac:dyDescent="0.3">
      <c r="A888" s="24">
        <v>887</v>
      </c>
      <c r="B888" s="10" t="s">
        <v>197</v>
      </c>
      <c r="C888" s="10" t="s">
        <v>33</v>
      </c>
      <c r="D888" s="62">
        <v>46</v>
      </c>
      <c r="E888" s="61" t="s">
        <v>264</v>
      </c>
      <c r="F888" s="11" t="s">
        <v>462</v>
      </c>
      <c r="G888" s="10" t="s">
        <v>160</v>
      </c>
      <c r="H888" s="10" t="s">
        <v>845</v>
      </c>
      <c r="I888" s="177">
        <v>99</v>
      </c>
      <c r="J888" s="10" t="s">
        <v>2372</v>
      </c>
      <c r="K888" s="173" t="s">
        <v>847</v>
      </c>
      <c r="L888" s="173" t="s">
        <v>2373</v>
      </c>
      <c r="M888" s="10" t="s">
        <v>2372</v>
      </c>
      <c r="N888" s="10" t="s">
        <v>2373</v>
      </c>
      <c r="O888" s="10"/>
    </row>
    <row r="889" spans="1:15" ht="18" customHeight="1" x14ac:dyDescent="0.3">
      <c r="A889" s="24">
        <v>888</v>
      </c>
      <c r="B889" s="10" t="s">
        <v>197</v>
      </c>
      <c r="C889" s="10" t="s">
        <v>33</v>
      </c>
      <c r="D889" s="62">
        <v>46</v>
      </c>
      <c r="E889" s="61" t="s">
        <v>264</v>
      </c>
      <c r="F889" s="11" t="s">
        <v>462</v>
      </c>
      <c r="G889" s="10" t="s">
        <v>160</v>
      </c>
      <c r="H889" s="10" t="s">
        <v>848</v>
      </c>
      <c r="I889" s="177">
        <v>94</v>
      </c>
      <c r="J889" s="10" t="s">
        <v>2372</v>
      </c>
      <c r="K889" s="173" t="s">
        <v>847</v>
      </c>
      <c r="L889" s="173" t="s">
        <v>2373</v>
      </c>
      <c r="M889" s="10" t="s">
        <v>2372</v>
      </c>
      <c r="N889" s="10" t="s">
        <v>2373</v>
      </c>
      <c r="O889" s="10"/>
    </row>
    <row r="890" spans="1:15" ht="18" customHeight="1" x14ac:dyDescent="0.3">
      <c r="A890" s="24">
        <v>889</v>
      </c>
      <c r="B890" s="10" t="s">
        <v>197</v>
      </c>
      <c r="C890" s="10" t="s">
        <v>33</v>
      </c>
      <c r="D890" s="62">
        <v>46</v>
      </c>
      <c r="E890" s="61" t="s">
        <v>264</v>
      </c>
      <c r="F890" s="11" t="s">
        <v>462</v>
      </c>
      <c r="G890" s="10" t="s">
        <v>160</v>
      </c>
      <c r="H890" s="10" t="s">
        <v>849</v>
      </c>
      <c r="I890" s="177">
        <v>86</v>
      </c>
      <c r="J890" s="10" t="s">
        <v>2374</v>
      </c>
      <c r="K890" s="173" t="s">
        <v>3551</v>
      </c>
      <c r="L890" s="173" t="s">
        <v>1422</v>
      </c>
      <c r="M890" s="10" t="s">
        <v>2372</v>
      </c>
      <c r="N890" s="10" t="s">
        <v>2373</v>
      </c>
      <c r="O890" s="10"/>
    </row>
    <row r="891" spans="1:15" ht="18" customHeight="1" x14ac:dyDescent="0.3">
      <c r="A891" s="24">
        <v>890</v>
      </c>
      <c r="B891" s="10" t="s">
        <v>197</v>
      </c>
      <c r="C891" s="10" t="s">
        <v>33</v>
      </c>
      <c r="D891" s="62">
        <v>46</v>
      </c>
      <c r="E891" s="61" t="s">
        <v>264</v>
      </c>
      <c r="F891" s="11" t="s">
        <v>462</v>
      </c>
      <c r="G891" s="10" t="s">
        <v>160</v>
      </c>
      <c r="H891" s="10" t="s">
        <v>850</v>
      </c>
      <c r="I891" s="177">
        <v>96</v>
      </c>
      <c r="J891" s="10" t="s">
        <v>2374</v>
      </c>
      <c r="K891" s="173" t="s">
        <v>3551</v>
      </c>
      <c r="L891" s="173" t="s">
        <v>1422</v>
      </c>
      <c r="M891" s="10" t="s">
        <v>2372</v>
      </c>
      <c r="N891" s="10" t="s">
        <v>2373</v>
      </c>
      <c r="O891" s="10"/>
    </row>
    <row r="892" spans="1:15" ht="18" customHeight="1" x14ac:dyDescent="0.3">
      <c r="A892" s="24">
        <v>891</v>
      </c>
      <c r="B892" s="10" t="s">
        <v>197</v>
      </c>
      <c r="C892" s="10" t="s">
        <v>33</v>
      </c>
      <c r="D892" s="62">
        <v>46</v>
      </c>
      <c r="E892" s="61" t="s">
        <v>264</v>
      </c>
      <c r="F892" s="11" t="s">
        <v>462</v>
      </c>
      <c r="G892" s="10" t="s">
        <v>160</v>
      </c>
      <c r="H892" s="10" t="s">
        <v>851</v>
      </c>
      <c r="I892" s="177">
        <v>94</v>
      </c>
      <c r="J892" s="10" t="s">
        <v>2372</v>
      </c>
      <c r="K892" s="173" t="s">
        <v>3551</v>
      </c>
      <c r="L892" s="173" t="s">
        <v>1422</v>
      </c>
      <c r="M892" s="10" t="s">
        <v>2372</v>
      </c>
      <c r="N892" s="10" t="s">
        <v>2373</v>
      </c>
      <c r="O892" s="10"/>
    </row>
    <row r="893" spans="1:15" ht="18" customHeight="1" x14ac:dyDescent="0.3">
      <c r="A893" s="24">
        <v>892</v>
      </c>
      <c r="B893" s="10" t="s">
        <v>197</v>
      </c>
      <c r="C893" s="10" t="s">
        <v>33</v>
      </c>
      <c r="D893" s="62">
        <v>46</v>
      </c>
      <c r="E893" s="61" t="s">
        <v>264</v>
      </c>
      <c r="F893" s="11" t="s">
        <v>462</v>
      </c>
      <c r="G893" s="10" t="s">
        <v>160</v>
      </c>
      <c r="H893" s="10" t="s">
        <v>852</v>
      </c>
      <c r="I893" s="177">
        <v>108</v>
      </c>
      <c r="J893" s="10" t="s">
        <v>2372</v>
      </c>
      <c r="K893" s="173" t="s">
        <v>3551</v>
      </c>
      <c r="L893" s="173" t="s">
        <v>1422</v>
      </c>
      <c r="M893" s="10" t="s">
        <v>2372</v>
      </c>
      <c r="N893" s="10" t="s">
        <v>2373</v>
      </c>
      <c r="O893" s="10"/>
    </row>
    <row r="894" spans="1:15" ht="18" customHeight="1" x14ac:dyDescent="0.3">
      <c r="A894" s="24">
        <v>893</v>
      </c>
      <c r="B894" s="10" t="s">
        <v>1458</v>
      </c>
      <c r="C894" s="10" t="s">
        <v>1459</v>
      </c>
      <c r="D894" s="62">
        <v>46</v>
      </c>
      <c r="E894" s="61" t="s">
        <v>2830</v>
      </c>
      <c r="F894" s="44" t="s">
        <v>1461</v>
      </c>
      <c r="G894" s="10" t="s">
        <v>1278</v>
      </c>
      <c r="H894" s="10" t="s">
        <v>2385</v>
      </c>
      <c r="I894" s="62">
        <v>87</v>
      </c>
      <c r="J894" s="10" t="s">
        <v>2372</v>
      </c>
      <c r="K894" s="10" t="s">
        <v>847</v>
      </c>
      <c r="L894" s="10" t="s">
        <v>2373</v>
      </c>
      <c r="M894" s="10" t="s">
        <v>2372</v>
      </c>
      <c r="N894" s="10" t="s">
        <v>2373</v>
      </c>
      <c r="O894" s="10"/>
    </row>
    <row r="895" spans="1:15" ht="18" customHeight="1" x14ac:dyDescent="0.3">
      <c r="A895" s="24">
        <v>894</v>
      </c>
      <c r="B895" s="10" t="s">
        <v>1458</v>
      </c>
      <c r="C895" s="10" t="s">
        <v>1459</v>
      </c>
      <c r="D895" s="62">
        <v>46</v>
      </c>
      <c r="E895" s="61" t="s">
        <v>2830</v>
      </c>
      <c r="F895" s="44" t="s">
        <v>1461</v>
      </c>
      <c r="G895" s="10" t="s">
        <v>1278</v>
      </c>
      <c r="H895" s="10" t="s">
        <v>2378</v>
      </c>
      <c r="I895" s="62">
        <v>107</v>
      </c>
      <c r="J895" s="10" t="s">
        <v>2372</v>
      </c>
      <c r="K895" s="10" t="s">
        <v>847</v>
      </c>
      <c r="L895" s="10" t="s">
        <v>2373</v>
      </c>
      <c r="M895" s="10" t="s">
        <v>2372</v>
      </c>
      <c r="N895" s="10" t="s">
        <v>2373</v>
      </c>
      <c r="O895" s="10"/>
    </row>
    <row r="896" spans="1:15" ht="18" customHeight="1" x14ac:dyDescent="0.3">
      <c r="A896" s="24">
        <v>895</v>
      </c>
      <c r="B896" s="10" t="s">
        <v>1458</v>
      </c>
      <c r="C896" s="10" t="s">
        <v>1459</v>
      </c>
      <c r="D896" s="62">
        <v>46</v>
      </c>
      <c r="E896" s="61" t="s">
        <v>2830</v>
      </c>
      <c r="F896" s="44" t="s">
        <v>1461</v>
      </c>
      <c r="G896" s="10" t="s">
        <v>1278</v>
      </c>
      <c r="H896" s="10" t="s">
        <v>2379</v>
      </c>
      <c r="I896" s="62">
        <v>87</v>
      </c>
      <c r="J896" s="10" t="s">
        <v>2372</v>
      </c>
      <c r="K896" s="10" t="s">
        <v>847</v>
      </c>
      <c r="L896" s="10" t="s">
        <v>2373</v>
      </c>
      <c r="M896" s="10" t="s">
        <v>2372</v>
      </c>
      <c r="N896" s="10" t="s">
        <v>2373</v>
      </c>
      <c r="O896" s="10"/>
    </row>
    <row r="897" spans="1:15" ht="18" customHeight="1" x14ac:dyDescent="0.3">
      <c r="A897" s="24">
        <v>896</v>
      </c>
      <c r="B897" s="10" t="s">
        <v>1458</v>
      </c>
      <c r="C897" s="10" t="s">
        <v>1459</v>
      </c>
      <c r="D897" s="62">
        <v>46</v>
      </c>
      <c r="E897" s="61" t="s">
        <v>2830</v>
      </c>
      <c r="F897" s="44" t="s">
        <v>1461</v>
      </c>
      <c r="G897" s="10" t="s">
        <v>1278</v>
      </c>
      <c r="H897" s="10" t="s">
        <v>2380</v>
      </c>
      <c r="I897" s="62">
        <v>107</v>
      </c>
      <c r="J897" s="10" t="s">
        <v>2372</v>
      </c>
      <c r="K897" s="10" t="s">
        <v>847</v>
      </c>
      <c r="L897" s="10" t="s">
        <v>2373</v>
      </c>
      <c r="M897" s="10" t="s">
        <v>2372</v>
      </c>
      <c r="N897" s="10" t="s">
        <v>2373</v>
      </c>
      <c r="O897" s="10"/>
    </row>
    <row r="898" spans="1:15" ht="18" customHeight="1" x14ac:dyDescent="0.3">
      <c r="A898" s="24">
        <v>897</v>
      </c>
      <c r="B898" s="10" t="s">
        <v>1458</v>
      </c>
      <c r="C898" s="10" t="s">
        <v>1459</v>
      </c>
      <c r="D898" s="62">
        <v>46</v>
      </c>
      <c r="E898" s="61" t="s">
        <v>2830</v>
      </c>
      <c r="F898" s="44" t="s">
        <v>1461</v>
      </c>
      <c r="G898" s="10" t="s">
        <v>1278</v>
      </c>
      <c r="H898" s="10" t="s">
        <v>2390</v>
      </c>
      <c r="I898" s="62">
        <v>84</v>
      </c>
      <c r="J898" s="10" t="s">
        <v>2372</v>
      </c>
      <c r="K898" s="10" t="s">
        <v>847</v>
      </c>
      <c r="L898" s="10" t="s">
        <v>2373</v>
      </c>
      <c r="M898" s="10" t="s">
        <v>2372</v>
      </c>
      <c r="N898" s="10" t="s">
        <v>2373</v>
      </c>
      <c r="O898" s="10"/>
    </row>
    <row r="899" spans="1:15" ht="18" customHeight="1" x14ac:dyDescent="0.3">
      <c r="A899" s="24">
        <v>898</v>
      </c>
      <c r="B899" s="10" t="s">
        <v>1458</v>
      </c>
      <c r="C899" s="10" t="s">
        <v>1459</v>
      </c>
      <c r="D899" s="62">
        <v>46</v>
      </c>
      <c r="E899" s="61" t="s">
        <v>2830</v>
      </c>
      <c r="F899" s="44" t="s">
        <v>1461</v>
      </c>
      <c r="G899" s="10" t="s">
        <v>1278</v>
      </c>
      <c r="H899" s="10" t="s">
        <v>2382</v>
      </c>
      <c r="I899" s="62">
        <v>84</v>
      </c>
      <c r="J899" s="10" t="s">
        <v>2372</v>
      </c>
      <c r="K899" s="10" t="s">
        <v>847</v>
      </c>
      <c r="L899" s="10" t="s">
        <v>2373</v>
      </c>
      <c r="M899" s="10" t="s">
        <v>2372</v>
      </c>
      <c r="N899" s="10" t="s">
        <v>2373</v>
      </c>
      <c r="O899" s="10"/>
    </row>
    <row r="900" spans="1:15" ht="18" customHeight="1" x14ac:dyDescent="0.3">
      <c r="A900" s="24">
        <v>899</v>
      </c>
      <c r="B900" s="24" t="s">
        <v>1458</v>
      </c>
      <c r="C900" s="24" t="s">
        <v>1459</v>
      </c>
      <c r="D900" s="24">
        <v>46</v>
      </c>
      <c r="E900" s="44" t="s">
        <v>1463</v>
      </c>
      <c r="F900" s="44" t="s">
        <v>1464</v>
      </c>
      <c r="G900" s="24" t="s">
        <v>1264</v>
      </c>
      <c r="H900" s="10" t="s">
        <v>2385</v>
      </c>
      <c r="I900" s="62">
        <v>177</v>
      </c>
      <c r="J900" s="10" t="s">
        <v>2372</v>
      </c>
      <c r="K900" s="10" t="s">
        <v>847</v>
      </c>
      <c r="L900" s="10" t="s">
        <v>2373</v>
      </c>
      <c r="M900" s="10" t="s">
        <v>2372</v>
      </c>
      <c r="N900" s="10" t="s">
        <v>2373</v>
      </c>
      <c r="O900" s="10"/>
    </row>
    <row r="901" spans="1:15" ht="18" customHeight="1" x14ac:dyDescent="0.3">
      <c r="A901" s="24">
        <v>900</v>
      </c>
      <c r="B901" s="24" t="s">
        <v>1458</v>
      </c>
      <c r="C901" s="24" t="s">
        <v>1459</v>
      </c>
      <c r="D901" s="24">
        <v>46</v>
      </c>
      <c r="E901" s="44" t="s">
        <v>1463</v>
      </c>
      <c r="F901" s="44" t="s">
        <v>1464</v>
      </c>
      <c r="G901" s="24" t="s">
        <v>1264</v>
      </c>
      <c r="H901" s="10" t="s">
        <v>2378</v>
      </c>
      <c r="I901" s="62">
        <v>322</v>
      </c>
      <c r="J901" s="10" t="s">
        <v>2372</v>
      </c>
      <c r="K901" s="10" t="s">
        <v>847</v>
      </c>
      <c r="L901" s="10" t="s">
        <v>2373</v>
      </c>
      <c r="M901" s="10" t="s">
        <v>2372</v>
      </c>
      <c r="N901" s="10" t="s">
        <v>2373</v>
      </c>
      <c r="O901" s="10"/>
    </row>
    <row r="902" spans="1:15" ht="18" customHeight="1" x14ac:dyDescent="0.3">
      <c r="A902" s="24">
        <v>901</v>
      </c>
      <c r="B902" s="24" t="s">
        <v>1458</v>
      </c>
      <c r="C902" s="24" t="s">
        <v>1459</v>
      </c>
      <c r="D902" s="24">
        <v>46</v>
      </c>
      <c r="E902" s="44" t="s">
        <v>1463</v>
      </c>
      <c r="F902" s="44" t="s">
        <v>1464</v>
      </c>
      <c r="G902" s="24" t="s">
        <v>1264</v>
      </c>
      <c r="H902" s="10" t="s">
        <v>2379</v>
      </c>
      <c r="I902" s="62">
        <v>189</v>
      </c>
      <c r="J902" s="10" t="s">
        <v>2372</v>
      </c>
      <c r="K902" s="10" t="s">
        <v>847</v>
      </c>
      <c r="L902" s="10" t="s">
        <v>2373</v>
      </c>
      <c r="M902" s="10" t="s">
        <v>2372</v>
      </c>
      <c r="N902" s="10" t="s">
        <v>2373</v>
      </c>
      <c r="O902" s="10"/>
    </row>
    <row r="903" spans="1:15" ht="18" customHeight="1" x14ac:dyDescent="0.3">
      <c r="A903" s="24">
        <v>902</v>
      </c>
      <c r="B903" s="24" t="s">
        <v>1458</v>
      </c>
      <c r="C903" s="24" t="s">
        <v>1459</v>
      </c>
      <c r="D903" s="24">
        <v>46</v>
      </c>
      <c r="E903" s="44" t="s">
        <v>1463</v>
      </c>
      <c r="F903" s="44" t="s">
        <v>1464</v>
      </c>
      <c r="G903" s="24" t="s">
        <v>1264</v>
      </c>
      <c r="H903" s="10" t="s">
        <v>2410</v>
      </c>
      <c r="I903" s="62">
        <v>120</v>
      </c>
      <c r="J903" s="10" t="s">
        <v>2372</v>
      </c>
      <c r="K903" s="10" t="s">
        <v>2374</v>
      </c>
      <c r="L903" s="10" t="s">
        <v>2749</v>
      </c>
      <c r="M903" s="10" t="s">
        <v>2372</v>
      </c>
      <c r="N903" s="10" t="s">
        <v>2373</v>
      </c>
      <c r="O903" s="10"/>
    </row>
    <row r="904" spans="1:15" ht="18" customHeight="1" x14ac:dyDescent="0.3">
      <c r="A904" s="24">
        <v>903</v>
      </c>
      <c r="B904" s="24" t="s">
        <v>1458</v>
      </c>
      <c r="C904" s="24" t="s">
        <v>1459</v>
      </c>
      <c r="D904" s="24">
        <v>46</v>
      </c>
      <c r="E904" s="44" t="s">
        <v>1463</v>
      </c>
      <c r="F904" s="44" t="s">
        <v>1464</v>
      </c>
      <c r="G904" s="24" t="s">
        <v>1264</v>
      </c>
      <c r="H904" s="10" t="s">
        <v>2390</v>
      </c>
      <c r="I904" s="62">
        <v>151</v>
      </c>
      <c r="J904" s="10" t="s">
        <v>2372</v>
      </c>
      <c r="K904" s="10" t="s">
        <v>847</v>
      </c>
      <c r="L904" s="10" t="s">
        <v>2373</v>
      </c>
      <c r="M904" s="10" t="s">
        <v>2372</v>
      </c>
      <c r="N904" s="10" t="s">
        <v>2373</v>
      </c>
      <c r="O904" s="10"/>
    </row>
    <row r="905" spans="1:15" ht="18" customHeight="1" x14ac:dyDescent="0.3">
      <c r="A905" s="24">
        <v>904</v>
      </c>
      <c r="B905" s="24" t="s">
        <v>1458</v>
      </c>
      <c r="C905" s="24" t="s">
        <v>1459</v>
      </c>
      <c r="D905" s="24">
        <v>46</v>
      </c>
      <c r="E905" s="44" t="s">
        <v>1463</v>
      </c>
      <c r="F905" s="44" t="s">
        <v>1464</v>
      </c>
      <c r="G905" s="24" t="s">
        <v>1264</v>
      </c>
      <c r="H905" s="10" t="s">
        <v>2382</v>
      </c>
      <c r="I905" s="62">
        <v>177</v>
      </c>
      <c r="J905" s="10" t="s">
        <v>2372</v>
      </c>
      <c r="K905" s="10" t="s">
        <v>847</v>
      </c>
      <c r="L905" s="10" t="s">
        <v>2373</v>
      </c>
      <c r="M905" s="10" t="s">
        <v>2372</v>
      </c>
      <c r="N905" s="10" t="s">
        <v>2373</v>
      </c>
      <c r="O905" s="10"/>
    </row>
    <row r="906" spans="1:15" ht="18" customHeight="1" x14ac:dyDescent="0.3">
      <c r="A906" s="24">
        <v>905</v>
      </c>
      <c r="B906" s="24" t="s">
        <v>1458</v>
      </c>
      <c r="C906" s="24" t="s">
        <v>1459</v>
      </c>
      <c r="D906" s="24">
        <v>46</v>
      </c>
      <c r="E906" s="44" t="s">
        <v>1463</v>
      </c>
      <c r="F906" s="44" t="s">
        <v>1464</v>
      </c>
      <c r="G906" s="24" t="s">
        <v>1264</v>
      </c>
      <c r="H906" s="10" t="s">
        <v>2413</v>
      </c>
      <c r="I906" s="62">
        <v>241</v>
      </c>
      <c r="J906" s="10" t="s">
        <v>2372</v>
      </c>
      <c r="K906" s="10" t="s">
        <v>2374</v>
      </c>
      <c r="L906" s="10" t="s">
        <v>2414</v>
      </c>
      <c r="M906" s="10" t="s">
        <v>2372</v>
      </c>
      <c r="N906" s="10" t="s">
        <v>2373</v>
      </c>
      <c r="O906" s="10"/>
    </row>
    <row r="907" spans="1:15" ht="18" customHeight="1" x14ac:dyDescent="0.3">
      <c r="A907" s="24">
        <v>906</v>
      </c>
      <c r="B907" s="24" t="s">
        <v>1458</v>
      </c>
      <c r="C907" s="24" t="s">
        <v>1459</v>
      </c>
      <c r="D907" s="24">
        <v>46</v>
      </c>
      <c r="E907" s="44" t="s">
        <v>1463</v>
      </c>
      <c r="F907" s="44" t="s">
        <v>1464</v>
      </c>
      <c r="G907" s="24" t="s">
        <v>1264</v>
      </c>
      <c r="H907" s="10" t="s">
        <v>2383</v>
      </c>
      <c r="I907" s="62">
        <v>151</v>
      </c>
      <c r="J907" s="10" t="s">
        <v>2372</v>
      </c>
      <c r="K907" s="10" t="s">
        <v>847</v>
      </c>
      <c r="L907" s="10" t="s">
        <v>2373</v>
      </c>
      <c r="M907" s="10" t="s">
        <v>2372</v>
      </c>
      <c r="N907" s="10" t="s">
        <v>2373</v>
      </c>
      <c r="O907" s="10"/>
    </row>
    <row r="908" spans="1:15" ht="18" customHeight="1" x14ac:dyDescent="0.3">
      <c r="A908" s="24">
        <v>907</v>
      </c>
      <c r="B908" s="10" t="s">
        <v>197</v>
      </c>
      <c r="C908" s="10" t="s">
        <v>33</v>
      </c>
      <c r="D908" s="62">
        <v>46</v>
      </c>
      <c r="E908" s="61" t="s">
        <v>2540</v>
      </c>
      <c r="F908" s="16" t="s">
        <v>1030</v>
      </c>
      <c r="G908" s="10" t="s">
        <v>160</v>
      </c>
      <c r="H908" s="10" t="s">
        <v>849</v>
      </c>
      <c r="I908" s="62">
        <v>58</v>
      </c>
      <c r="J908" s="8" t="s">
        <v>2374</v>
      </c>
      <c r="K908" s="173" t="s">
        <v>3450</v>
      </c>
      <c r="L908" s="173" t="s">
        <v>2229</v>
      </c>
      <c r="M908" s="10" t="s">
        <v>2372</v>
      </c>
      <c r="N908" s="10" t="s">
        <v>2373</v>
      </c>
      <c r="O908" s="10"/>
    </row>
    <row r="909" spans="1:15" ht="18" customHeight="1" x14ac:dyDescent="0.3">
      <c r="A909" s="24">
        <v>908</v>
      </c>
      <c r="B909" s="10" t="s">
        <v>197</v>
      </c>
      <c r="C909" s="10" t="s">
        <v>33</v>
      </c>
      <c r="D909" s="62">
        <v>46</v>
      </c>
      <c r="E909" s="61" t="s">
        <v>2540</v>
      </c>
      <c r="F909" s="16" t="s">
        <v>1030</v>
      </c>
      <c r="G909" s="10" t="s">
        <v>160</v>
      </c>
      <c r="H909" s="10" t="s">
        <v>850</v>
      </c>
      <c r="I909" s="62">
        <v>126</v>
      </c>
      <c r="J909" s="8" t="s">
        <v>2372</v>
      </c>
      <c r="K909" s="173" t="s">
        <v>3450</v>
      </c>
      <c r="L909" s="173" t="s">
        <v>2229</v>
      </c>
      <c r="M909" s="10" t="s">
        <v>2372</v>
      </c>
      <c r="N909" s="10" t="s">
        <v>2373</v>
      </c>
      <c r="O909" s="10"/>
    </row>
    <row r="910" spans="1:15" ht="18" customHeight="1" x14ac:dyDescent="0.3">
      <c r="A910" s="24">
        <v>909</v>
      </c>
      <c r="B910" s="10" t="s">
        <v>197</v>
      </c>
      <c r="C910" s="10" t="s">
        <v>33</v>
      </c>
      <c r="D910" s="62">
        <v>46</v>
      </c>
      <c r="E910" s="61" t="s">
        <v>2540</v>
      </c>
      <c r="F910" s="16" t="s">
        <v>1030</v>
      </c>
      <c r="G910" s="10" t="s">
        <v>160</v>
      </c>
      <c r="H910" s="10" t="s">
        <v>851</v>
      </c>
      <c r="I910" s="62">
        <v>58</v>
      </c>
      <c r="J910" s="8" t="s">
        <v>2372</v>
      </c>
      <c r="K910" s="173" t="s">
        <v>3450</v>
      </c>
      <c r="L910" s="173" t="s">
        <v>2229</v>
      </c>
      <c r="M910" s="10" t="s">
        <v>2372</v>
      </c>
      <c r="N910" s="10" t="s">
        <v>2373</v>
      </c>
      <c r="O910" s="10"/>
    </row>
    <row r="911" spans="1:15" ht="18" customHeight="1" x14ac:dyDescent="0.3">
      <c r="A911" s="24">
        <v>910</v>
      </c>
      <c r="B911" s="10" t="s">
        <v>197</v>
      </c>
      <c r="C911" s="10" t="s">
        <v>33</v>
      </c>
      <c r="D911" s="62">
        <v>46</v>
      </c>
      <c r="E911" s="61" t="s">
        <v>2540</v>
      </c>
      <c r="F911" s="16" t="s">
        <v>1030</v>
      </c>
      <c r="G911" s="10" t="s">
        <v>160</v>
      </c>
      <c r="H911" s="10" t="s">
        <v>852</v>
      </c>
      <c r="I911" s="62">
        <v>58</v>
      </c>
      <c r="J911" s="8" t="s">
        <v>2374</v>
      </c>
      <c r="K911" s="173" t="s">
        <v>3450</v>
      </c>
      <c r="L911" s="173" t="s">
        <v>2229</v>
      </c>
      <c r="M911" s="10" t="s">
        <v>2372</v>
      </c>
      <c r="N911" s="10" t="s">
        <v>2373</v>
      </c>
      <c r="O911" s="10"/>
    </row>
    <row r="912" spans="1:15" ht="18" customHeight="1" x14ac:dyDescent="0.3">
      <c r="A912" s="24">
        <v>911</v>
      </c>
      <c r="B912" s="10" t="s">
        <v>197</v>
      </c>
      <c r="C912" s="10" t="s">
        <v>33</v>
      </c>
      <c r="D912" s="62">
        <v>46</v>
      </c>
      <c r="E912" s="61" t="s">
        <v>2540</v>
      </c>
      <c r="F912" s="16" t="s">
        <v>460</v>
      </c>
      <c r="G912" s="10" t="s">
        <v>160</v>
      </c>
      <c r="H912" s="10" t="s">
        <v>845</v>
      </c>
      <c r="I912" s="62">
        <v>126</v>
      </c>
      <c r="J912" s="8" t="s">
        <v>2374</v>
      </c>
      <c r="K912" s="173" t="s">
        <v>3450</v>
      </c>
      <c r="L912" s="173" t="s">
        <v>2229</v>
      </c>
      <c r="M912" s="10" t="s">
        <v>2372</v>
      </c>
      <c r="N912" s="10" t="s">
        <v>2373</v>
      </c>
      <c r="O912" s="10"/>
    </row>
    <row r="913" spans="1:15" ht="18" customHeight="1" x14ac:dyDescent="0.3">
      <c r="A913" s="24">
        <v>912</v>
      </c>
      <c r="B913" s="10" t="s">
        <v>197</v>
      </c>
      <c r="C913" s="10" t="s">
        <v>33</v>
      </c>
      <c r="D913" s="62">
        <v>46</v>
      </c>
      <c r="E913" s="61" t="s">
        <v>2540</v>
      </c>
      <c r="F913" s="16" t="s">
        <v>460</v>
      </c>
      <c r="G913" s="10" t="s">
        <v>160</v>
      </c>
      <c r="H913" s="10" t="s">
        <v>848</v>
      </c>
      <c r="I913" s="62">
        <v>58</v>
      </c>
      <c r="J913" s="8" t="s">
        <v>2372</v>
      </c>
      <c r="K913" s="173" t="s">
        <v>3450</v>
      </c>
      <c r="L913" s="173" t="s">
        <v>2229</v>
      </c>
      <c r="M913" s="10" t="s">
        <v>2372</v>
      </c>
      <c r="N913" s="10" t="s">
        <v>2373</v>
      </c>
      <c r="O913" s="10"/>
    </row>
    <row r="914" spans="1:15" ht="18" customHeight="1" x14ac:dyDescent="0.3">
      <c r="A914" s="24">
        <v>913</v>
      </c>
      <c r="B914" s="10" t="s">
        <v>197</v>
      </c>
      <c r="C914" s="10" t="s">
        <v>40</v>
      </c>
      <c r="D914" s="62">
        <v>47</v>
      </c>
      <c r="E914" s="61" t="s">
        <v>2831</v>
      </c>
      <c r="F914" s="19" t="s">
        <v>467</v>
      </c>
      <c r="G914" s="10" t="s">
        <v>150</v>
      </c>
      <c r="H914" s="10" t="s">
        <v>845</v>
      </c>
      <c r="I914" s="62">
        <v>162</v>
      </c>
      <c r="J914" s="10" t="s">
        <v>2372</v>
      </c>
      <c r="K914" s="10" t="s">
        <v>847</v>
      </c>
      <c r="L914" s="10" t="s">
        <v>2373</v>
      </c>
      <c r="M914" s="10" t="s">
        <v>2372</v>
      </c>
      <c r="N914" s="10" t="s">
        <v>2373</v>
      </c>
      <c r="O914" s="10"/>
    </row>
    <row r="915" spans="1:15" ht="18" customHeight="1" x14ac:dyDescent="0.3">
      <c r="A915" s="24">
        <v>914</v>
      </c>
      <c r="B915" s="10" t="s">
        <v>197</v>
      </c>
      <c r="C915" s="10" t="s">
        <v>40</v>
      </c>
      <c r="D915" s="62">
        <v>47</v>
      </c>
      <c r="E915" s="61" t="s">
        <v>2831</v>
      </c>
      <c r="F915" s="19" t="s">
        <v>467</v>
      </c>
      <c r="G915" s="10" t="s">
        <v>150</v>
      </c>
      <c r="H915" s="10" t="s">
        <v>848</v>
      </c>
      <c r="I915" s="62">
        <v>186</v>
      </c>
      <c r="J915" s="10" t="s">
        <v>2374</v>
      </c>
      <c r="K915" s="10" t="s">
        <v>847</v>
      </c>
      <c r="L915" s="10" t="s">
        <v>2373</v>
      </c>
      <c r="M915" s="10" t="s">
        <v>2372</v>
      </c>
      <c r="N915" s="10" t="s">
        <v>2373</v>
      </c>
      <c r="O915" s="10"/>
    </row>
    <row r="916" spans="1:15" ht="18" customHeight="1" x14ac:dyDescent="0.3">
      <c r="A916" s="24">
        <v>915</v>
      </c>
      <c r="B916" s="10" t="s">
        <v>197</v>
      </c>
      <c r="C916" s="10" t="s">
        <v>40</v>
      </c>
      <c r="D916" s="62">
        <v>47</v>
      </c>
      <c r="E916" s="61" t="s">
        <v>2831</v>
      </c>
      <c r="F916" s="19" t="s">
        <v>467</v>
      </c>
      <c r="G916" s="10" t="s">
        <v>150</v>
      </c>
      <c r="H916" s="10" t="s">
        <v>849</v>
      </c>
      <c r="I916" s="62">
        <v>129</v>
      </c>
      <c r="J916" s="10" t="s">
        <v>2374</v>
      </c>
      <c r="K916" s="10" t="s">
        <v>847</v>
      </c>
      <c r="L916" s="10" t="s">
        <v>2373</v>
      </c>
      <c r="M916" s="10" t="s">
        <v>2372</v>
      </c>
      <c r="N916" s="10" t="s">
        <v>2373</v>
      </c>
      <c r="O916" s="10"/>
    </row>
    <row r="917" spans="1:15" ht="18" customHeight="1" x14ac:dyDescent="0.3">
      <c r="A917" s="24">
        <v>916</v>
      </c>
      <c r="B917" s="10" t="s">
        <v>197</v>
      </c>
      <c r="C917" s="10" t="s">
        <v>40</v>
      </c>
      <c r="D917" s="62">
        <v>47</v>
      </c>
      <c r="E917" s="61" t="s">
        <v>2831</v>
      </c>
      <c r="F917" s="19" t="s">
        <v>467</v>
      </c>
      <c r="G917" s="10" t="s">
        <v>150</v>
      </c>
      <c r="H917" s="10" t="s">
        <v>850</v>
      </c>
      <c r="I917" s="62">
        <v>124</v>
      </c>
      <c r="J917" s="10" t="s">
        <v>2372</v>
      </c>
      <c r="K917" s="10" t="s">
        <v>847</v>
      </c>
      <c r="L917" s="10" t="s">
        <v>2373</v>
      </c>
      <c r="M917" s="10" t="s">
        <v>2372</v>
      </c>
      <c r="N917" s="10" t="s">
        <v>2373</v>
      </c>
      <c r="O917" s="10"/>
    </row>
    <row r="918" spans="1:15" ht="18" customHeight="1" x14ac:dyDescent="0.3">
      <c r="A918" s="24">
        <v>917</v>
      </c>
      <c r="B918" s="10" t="s">
        <v>197</v>
      </c>
      <c r="C918" s="10" t="s">
        <v>40</v>
      </c>
      <c r="D918" s="62">
        <v>47</v>
      </c>
      <c r="E918" s="61" t="s">
        <v>2831</v>
      </c>
      <c r="F918" s="19" t="s">
        <v>467</v>
      </c>
      <c r="G918" s="10" t="s">
        <v>150</v>
      </c>
      <c r="H918" s="10" t="s">
        <v>851</v>
      </c>
      <c r="I918" s="62">
        <v>138</v>
      </c>
      <c r="J918" s="10" t="s">
        <v>2372</v>
      </c>
      <c r="K918" s="10" t="s">
        <v>847</v>
      </c>
      <c r="L918" s="10" t="s">
        <v>2373</v>
      </c>
      <c r="M918" s="10" t="s">
        <v>2372</v>
      </c>
      <c r="N918" s="10" t="s">
        <v>2373</v>
      </c>
      <c r="O918" s="10"/>
    </row>
    <row r="919" spans="1:15" ht="18" customHeight="1" x14ac:dyDescent="0.3">
      <c r="A919" s="24">
        <v>918</v>
      </c>
      <c r="B919" s="10" t="s">
        <v>197</v>
      </c>
      <c r="C919" s="10" t="s">
        <v>40</v>
      </c>
      <c r="D919" s="62">
        <v>47</v>
      </c>
      <c r="E919" s="61" t="s">
        <v>2831</v>
      </c>
      <c r="F919" s="19" t="s">
        <v>467</v>
      </c>
      <c r="G919" s="10" t="s">
        <v>150</v>
      </c>
      <c r="H919" s="10" t="s">
        <v>852</v>
      </c>
      <c r="I919" s="62">
        <v>124</v>
      </c>
      <c r="J919" s="10" t="s">
        <v>2372</v>
      </c>
      <c r="K919" s="10" t="s">
        <v>847</v>
      </c>
      <c r="L919" s="10" t="s">
        <v>2373</v>
      </c>
      <c r="M919" s="10" t="s">
        <v>2372</v>
      </c>
      <c r="N919" s="10" t="s">
        <v>2373</v>
      </c>
      <c r="O919" s="10"/>
    </row>
    <row r="920" spans="1:15" ht="18" customHeight="1" x14ac:dyDescent="0.3">
      <c r="A920" s="24">
        <v>919</v>
      </c>
      <c r="B920" s="10" t="s">
        <v>197</v>
      </c>
      <c r="C920" s="10" t="s">
        <v>40</v>
      </c>
      <c r="D920" s="62">
        <v>47</v>
      </c>
      <c r="E920" s="61" t="s">
        <v>2831</v>
      </c>
      <c r="F920" s="19" t="s">
        <v>467</v>
      </c>
      <c r="G920" s="10" t="s">
        <v>150</v>
      </c>
      <c r="H920" s="10" t="s">
        <v>853</v>
      </c>
      <c r="I920" s="62">
        <v>138</v>
      </c>
      <c r="J920" s="10" t="s">
        <v>2374</v>
      </c>
      <c r="K920" s="10" t="s">
        <v>847</v>
      </c>
      <c r="L920" s="10" t="s">
        <v>2373</v>
      </c>
      <c r="M920" s="10" t="s">
        <v>2372</v>
      </c>
      <c r="N920" s="10" t="s">
        <v>2373</v>
      </c>
      <c r="O920" s="10"/>
    </row>
    <row r="921" spans="1:15" ht="18" customHeight="1" x14ac:dyDescent="0.3">
      <c r="A921" s="24">
        <v>920</v>
      </c>
      <c r="B921" s="10" t="s">
        <v>197</v>
      </c>
      <c r="C921" s="10" t="s">
        <v>40</v>
      </c>
      <c r="D921" s="62">
        <v>47</v>
      </c>
      <c r="E921" s="61" t="s">
        <v>2831</v>
      </c>
      <c r="F921" s="19" t="s">
        <v>467</v>
      </c>
      <c r="G921" s="10" t="s">
        <v>150</v>
      </c>
      <c r="H921" s="10" t="s">
        <v>855</v>
      </c>
      <c r="I921" s="62">
        <v>187</v>
      </c>
      <c r="J921" s="10" t="s">
        <v>2374</v>
      </c>
      <c r="K921" s="10" t="s">
        <v>847</v>
      </c>
      <c r="L921" s="10" t="s">
        <v>2373</v>
      </c>
      <c r="M921" s="10" t="s">
        <v>2372</v>
      </c>
      <c r="N921" s="10" t="s">
        <v>2373</v>
      </c>
      <c r="O921" s="10"/>
    </row>
    <row r="922" spans="1:15" ht="18" customHeight="1" x14ac:dyDescent="0.3">
      <c r="A922" s="24">
        <v>921</v>
      </c>
      <c r="B922" s="10" t="s">
        <v>197</v>
      </c>
      <c r="C922" s="10" t="s">
        <v>40</v>
      </c>
      <c r="D922" s="62">
        <v>47</v>
      </c>
      <c r="E922" s="61" t="s">
        <v>2831</v>
      </c>
      <c r="F922" s="19" t="s">
        <v>467</v>
      </c>
      <c r="G922" s="10" t="s">
        <v>150</v>
      </c>
      <c r="H922" s="10" t="s">
        <v>869</v>
      </c>
      <c r="I922" s="62">
        <v>162</v>
      </c>
      <c r="J922" s="10" t="s">
        <v>2374</v>
      </c>
      <c r="K922" s="10" t="s">
        <v>847</v>
      </c>
      <c r="L922" s="10" t="s">
        <v>2373</v>
      </c>
      <c r="M922" s="10" t="s">
        <v>2372</v>
      </c>
      <c r="N922" s="10" t="s">
        <v>2373</v>
      </c>
      <c r="O922" s="10"/>
    </row>
    <row r="923" spans="1:15" ht="18" customHeight="1" x14ac:dyDescent="0.3">
      <c r="A923" s="24">
        <v>922</v>
      </c>
      <c r="B923" s="10" t="s">
        <v>197</v>
      </c>
      <c r="C923" s="10" t="s">
        <v>40</v>
      </c>
      <c r="D923" s="62">
        <v>47</v>
      </c>
      <c r="E923" s="61" t="s">
        <v>2831</v>
      </c>
      <c r="F923" s="19" t="s">
        <v>2541</v>
      </c>
      <c r="G923" s="10" t="s">
        <v>150</v>
      </c>
      <c r="H923" s="10" t="s">
        <v>854</v>
      </c>
      <c r="I923" s="62">
        <v>108</v>
      </c>
      <c r="J923" s="10" t="s">
        <v>2374</v>
      </c>
      <c r="K923" s="10" t="s">
        <v>846</v>
      </c>
      <c r="L923" s="10" t="s">
        <v>188</v>
      </c>
      <c r="M923" s="10" t="s">
        <v>2372</v>
      </c>
      <c r="N923" s="10" t="s">
        <v>2373</v>
      </c>
      <c r="O923" s="10"/>
    </row>
    <row r="924" spans="1:15" ht="18" customHeight="1" x14ac:dyDescent="0.3">
      <c r="A924" s="24">
        <v>923</v>
      </c>
      <c r="B924" s="10" t="s">
        <v>197</v>
      </c>
      <c r="C924" s="10" t="s">
        <v>40</v>
      </c>
      <c r="D924" s="62">
        <v>47</v>
      </c>
      <c r="E924" s="61" t="s">
        <v>2832</v>
      </c>
      <c r="F924" s="19" t="s">
        <v>465</v>
      </c>
      <c r="G924" s="10" t="s">
        <v>150</v>
      </c>
      <c r="H924" s="10" t="s">
        <v>845</v>
      </c>
      <c r="I924" s="62">
        <v>222</v>
      </c>
      <c r="J924" s="10" t="s">
        <v>2374</v>
      </c>
      <c r="K924" s="10" t="s">
        <v>847</v>
      </c>
      <c r="L924" s="10" t="s">
        <v>2373</v>
      </c>
      <c r="M924" s="10" t="s">
        <v>2372</v>
      </c>
      <c r="N924" s="10" t="s">
        <v>2373</v>
      </c>
      <c r="O924" s="10"/>
    </row>
    <row r="925" spans="1:15" ht="18" customHeight="1" x14ac:dyDescent="0.3">
      <c r="A925" s="24">
        <v>924</v>
      </c>
      <c r="B925" s="10" t="s">
        <v>197</v>
      </c>
      <c r="C925" s="10" t="s">
        <v>40</v>
      </c>
      <c r="D925" s="62">
        <v>47</v>
      </c>
      <c r="E925" s="61" t="s">
        <v>2832</v>
      </c>
      <c r="F925" s="19" t="s">
        <v>465</v>
      </c>
      <c r="G925" s="10" t="s">
        <v>150</v>
      </c>
      <c r="H925" s="10" t="s">
        <v>848</v>
      </c>
      <c r="I925" s="62">
        <v>208</v>
      </c>
      <c r="J925" s="10" t="s">
        <v>2372</v>
      </c>
      <c r="K925" s="10" t="s">
        <v>847</v>
      </c>
      <c r="L925" s="10" t="s">
        <v>2373</v>
      </c>
      <c r="M925" s="10" t="s">
        <v>2372</v>
      </c>
      <c r="N925" s="10" t="s">
        <v>2373</v>
      </c>
      <c r="O925" s="10"/>
    </row>
    <row r="926" spans="1:15" ht="18" customHeight="1" x14ac:dyDescent="0.3">
      <c r="A926" s="24">
        <v>925</v>
      </c>
      <c r="B926" s="10" t="s">
        <v>197</v>
      </c>
      <c r="C926" s="10" t="s">
        <v>40</v>
      </c>
      <c r="D926" s="62">
        <v>47</v>
      </c>
      <c r="E926" s="61" t="s">
        <v>2832</v>
      </c>
      <c r="F926" s="19" t="s">
        <v>465</v>
      </c>
      <c r="G926" s="10" t="s">
        <v>150</v>
      </c>
      <c r="H926" s="10" t="s">
        <v>849</v>
      </c>
      <c r="I926" s="62">
        <v>208</v>
      </c>
      <c r="J926" s="10" t="s">
        <v>2374</v>
      </c>
      <c r="K926" s="10" t="s">
        <v>847</v>
      </c>
      <c r="L926" s="10" t="s">
        <v>2373</v>
      </c>
      <c r="M926" s="10" t="s">
        <v>2372</v>
      </c>
      <c r="N926" s="10" t="s">
        <v>2373</v>
      </c>
      <c r="O926" s="10"/>
    </row>
    <row r="927" spans="1:15" ht="18" customHeight="1" x14ac:dyDescent="0.3">
      <c r="A927" s="24">
        <v>926</v>
      </c>
      <c r="B927" s="10" t="s">
        <v>197</v>
      </c>
      <c r="C927" s="10" t="s">
        <v>40</v>
      </c>
      <c r="D927" s="62">
        <v>47</v>
      </c>
      <c r="E927" s="61" t="s">
        <v>2832</v>
      </c>
      <c r="F927" s="19" t="s">
        <v>465</v>
      </c>
      <c r="G927" s="10" t="s">
        <v>150</v>
      </c>
      <c r="H927" s="10" t="s">
        <v>850</v>
      </c>
      <c r="I927" s="62">
        <v>166</v>
      </c>
      <c r="J927" s="10" t="s">
        <v>2372</v>
      </c>
      <c r="K927" s="10" t="s">
        <v>847</v>
      </c>
      <c r="L927" s="10" t="s">
        <v>2373</v>
      </c>
      <c r="M927" s="10" t="s">
        <v>2372</v>
      </c>
      <c r="N927" s="10" t="s">
        <v>2373</v>
      </c>
      <c r="O927" s="10"/>
    </row>
    <row r="928" spans="1:15" ht="18" customHeight="1" x14ac:dyDescent="0.3">
      <c r="A928" s="24">
        <v>927</v>
      </c>
      <c r="B928" s="99" t="s">
        <v>3065</v>
      </c>
      <c r="C928" s="99" t="s">
        <v>3066</v>
      </c>
      <c r="D928" s="99">
        <v>48</v>
      </c>
      <c r="E928" s="30" t="s">
        <v>3063</v>
      </c>
      <c r="F928" s="30" t="s">
        <v>3064</v>
      </c>
      <c r="G928" s="99" t="s">
        <v>3067</v>
      </c>
      <c r="H928" s="10" t="s">
        <v>3069</v>
      </c>
      <c r="I928" s="62">
        <v>190</v>
      </c>
      <c r="J928" s="10" t="s">
        <v>3076</v>
      </c>
      <c r="K928" s="10" t="s">
        <v>884</v>
      </c>
      <c r="L928" s="10" t="s">
        <v>820</v>
      </c>
      <c r="M928" s="10" t="s">
        <v>884</v>
      </c>
      <c r="N928" s="10" t="s">
        <v>820</v>
      </c>
      <c r="O928" s="10"/>
    </row>
    <row r="929" spans="1:15" ht="18" customHeight="1" x14ac:dyDescent="0.3">
      <c r="A929" s="24">
        <v>928</v>
      </c>
      <c r="B929" s="99" t="s">
        <v>3065</v>
      </c>
      <c r="C929" s="99" t="s">
        <v>3066</v>
      </c>
      <c r="D929" s="99">
        <v>48</v>
      </c>
      <c r="E929" s="30" t="s">
        <v>3063</v>
      </c>
      <c r="F929" s="30" t="s">
        <v>3064</v>
      </c>
      <c r="G929" s="99" t="s">
        <v>3067</v>
      </c>
      <c r="H929" s="10" t="s">
        <v>3070</v>
      </c>
      <c r="I929" s="62">
        <v>138</v>
      </c>
      <c r="J929" s="10" t="s">
        <v>884</v>
      </c>
      <c r="K929" s="10" t="s">
        <v>884</v>
      </c>
      <c r="L929" s="10" t="s">
        <v>820</v>
      </c>
      <c r="M929" s="10" t="s">
        <v>884</v>
      </c>
      <c r="N929" s="10" t="s">
        <v>820</v>
      </c>
      <c r="O929" s="10"/>
    </row>
    <row r="930" spans="1:15" ht="18" customHeight="1" x14ac:dyDescent="0.3">
      <c r="A930" s="24">
        <v>929</v>
      </c>
      <c r="B930" s="99" t="s">
        <v>3065</v>
      </c>
      <c r="C930" s="99" t="s">
        <v>3066</v>
      </c>
      <c r="D930" s="99">
        <v>48</v>
      </c>
      <c r="E930" s="30" t="s">
        <v>3063</v>
      </c>
      <c r="F930" s="30" t="s">
        <v>3064</v>
      </c>
      <c r="G930" s="99" t="s">
        <v>3067</v>
      </c>
      <c r="H930" s="10" t="s">
        <v>3071</v>
      </c>
      <c r="I930" s="62">
        <v>34</v>
      </c>
      <c r="J930" s="10" t="s">
        <v>884</v>
      </c>
      <c r="K930" s="10" t="s">
        <v>884</v>
      </c>
      <c r="L930" s="10" t="s">
        <v>820</v>
      </c>
      <c r="M930" s="10" t="s">
        <v>884</v>
      </c>
      <c r="N930" s="10" t="s">
        <v>820</v>
      </c>
      <c r="O930" s="10"/>
    </row>
    <row r="931" spans="1:15" ht="18" customHeight="1" x14ac:dyDescent="0.3">
      <c r="A931" s="24">
        <v>930</v>
      </c>
      <c r="B931" s="99" t="s">
        <v>3065</v>
      </c>
      <c r="C931" s="99" t="s">
        <v>3066</v>
      </c>
      <c r="D931" s="99">
        <v>48</v>
      </c>
      <c r="E931" s="30" t="s">
        <v>3063</v>
      </c>
      <c r="F931" s="30" t="s">
        <v>3064</v>
      </c>
      <c r="G931" s="99" t="s">
        <v>3067</v>
      </c>
      <c r="H931" s="10" t="s">
        <v>3072</v>
      </c>
      <c r="I931" s="62">
        <v>128</v>
      </c>
      <c r="J931" s="10" t="s">
        <v>3077</v>
      </c>
      <c r="K931" s="10" t="s">
        <v>3077</v>
      </c>
      <c r="L931" s="173" t="s">
        <v>3048</v>
      </c>
      <c r="M931" s="10" t="s">
        <v>884</v>
      </c>
      <c r="N931" s="10" t="s">
        <v>820</v>
      </c>
      <c r="O931" s="10"/>
    </row>
    <row r="932" spans="1:15" ht="18" customHeight="1" x14ac:dyDescent="0.3">
      <c r="A932" s="24">
        <v>931</v>
      </c>
      <c r="B932" s="99" t="s">
        <v>3065</v>
      </c>
      <c r="C932" s="99" t="s">
        <v>3066</v>
      </c>
      <c r="D932" s="99">
        <v>48</v>
      </c>
      <c r="E932" s="30" t="s">
        <v>3063</v>
      </c>
      <c r="F932" s="30" t="s">
        <v>3064</v>
      </c>
      <c r="G932" s="99" t="s">
        <v>3067</v>
      </c>
      <c r="H932" s="10" t="s">
        <v>3073</v>
      </c>
      <c r="I932" s="62">
        <v>190</v>
      </c>
      <c r="J932" s="10" t="s">
        <v>884</v>
      </c>
      <c r="K932" s="10" t="s">
        <v>884</v>
      </c>
      <c r="L932" s="10" t="s">
        <v>820</v>
      </c>
      <c r="M932" s="10" t="s">
        <v>884</v>
      </c>
      <c r="N932" s="10" t="s">
        <v>820</v>
      </c>
      <c r="O932" s="10"/>
    </row>
    <row r="933" spans="1:15" ht="18" customHeight="1" x14ac:dyDescent="0.3">
      <c r="A933" s="24">
        <v>932</v>
      </c>
      <c r="B933" s="99" t="s">
        <v>3065</v>
      </c>
      <c r="C933" s="99" t="s">
        <v>3066</v>
      </c>
      <c r="D933" s="99">
        <v>48</v>
      </c>
      <c r="E933" s="30" t="s">
        <v>3063</v>
      </c>
      <c r="F933" s="30" t="s">
        <v>3064</v>
      </c>
      <c r="G933" s="99" t="s">
        <v>3067</v>
      </c>
      <c r="H933" s="10" t="s">
        <v>3074</v>
      </c>
      <c r="I933" s="62">
        <v>138</v>
      </c>
      <c r="J933" s="10" t="s">
        <v>884</v>
      </c>
      <c r="K933" s="10" t="s">
        <v>884</v>
      </c>
      <c r="L933" s="10" t="s">
        <v>820</v>
      </c>
      <c r="M933" s="10" t="s">
        <v>884</v>
      </c>
      <c r="N933" s="10" t="s">
        <v>820</v>
      </c>
      <c r="O933" s="10"/>
    </row>
    <row r="934" spans="1:15" ht="18" customHeight="1" x14ac:dyDescent="0.3">
      <c r="A934" s="24">
        <v>933</v>
      </c>
      <c r="B934" s="99" t="s">
        <v>3065</v>
      </c>
      <c r="C934" s="99" t="s">
        <v>3066</v>
      </c>
      <c r="D934" s="99">
        <v>48</v>
      </c>
      <c r="E934" s="30" t="s">
        <v>3063</v>
      </c>
      <c r="F934" s="30" t="s">
        <v>3064</v>
      </c>
      <c r="G934" s="99" t="s">
        <v>3067</v>
      </c>
      <c r="H934" s="10" t="s">
        <v>3075</v>
      </c>
      <c r="I934" s="62">
        <v>34</v>
      </c>
      <c r="J934" s="10" t="s">
        <v>884</v>
      </c>
      <c r="K934" s="10" t="s">
        <v>884</v>
      </c>
      <c r="L934" s="10" t="s">
        <v>820</v>
      </c>
      <c r="M934" s="10" t="s">
        <v>884</v>
      </c>
      <c r="N934" s="10" t="s">
        <v>820</v>
      </c>
      <c r="O934" s="10"/>
    </row>
    <row r="935" spans="1:15" ht="18" customHeight="1" x14ac:dyDescent="0.3">
      <c r="A935" s="24">
        <v>934</v>
      </c>
      <c r="B935" s="10" t="s">
        <v>197</v>
      </c>
      <c r="C935" s="10" t="s">
        <v>41</v>
      </c>
      <c r="D935" s="62">
        <v>48</v>
      </c>
      <c r="E935" s="61" t="s">
        <v>229</v>
      </c>
      <c r="F935" s="9" t="s">
        <v>450</v>
      </c>
      <c r="G935" s="10" t="s">
        <v>150</v>
      </c>
      <c r="H935" s="10" t="s">
        <v>845</v>
      </c>
      <c r="I935" s="62">
        <v>166</v>
      </c>
      <c r="J935" s="8" t="s">
        <v>2372</v>
      </c>
      <c r="K935" s="10" t="s">
        <v>847</v>
      </c>
      <c r="L935" s="10" t="s">
        <v>2373</v>
      </c>
      <c r="M935" s="10" t="s">
        <v>2372</v>
      </c>
      <c r="N935" s="10" t="s">
        <v>2373</v>
      </c>
      <c r="O935" s="10"/>
    </row>
    <row r="936" spans="1:15" ht="18" customHeight="1" x14ac:dyDescent="0.3">
      <c r="A936" s="24">
        <v>935</v>
      </c>
      <c r="B936" s="10" t="s">
        <v>197</v>
      </c>
      <c r="C936" s="10" t="s">
        <v>41</v>
      </c>
      <c r="D936" s="62">
        <v>48</v>
      </c>
      <c r="E936" s="61" t="s">
        <v>229</v>
      </c>
      <c r="F936" s="9" t="s">
        <v>450</v>
      </c>
      <c r="G936" s="10" t="s">
        <v>150</v>
      </c>
      <c r="H936" s="10" t="s">
        <v>848</v>
      </c>
      <c r="I936" s="62">
        <v>135</v>
      </c>
      <c r="J936" s="8" t="s">
        <v>2372</v>
      </c>
      <c r="K936" s="10" t="s">
        <v>847</v>
      </c>
      <c r="L936" s="10" t="s">
        <v>2373</v>
      </c>
      <c r="M936" s="10" t="s">
        <v>2372</v>
      </c>
      <c r="N936" s="10" t="s">
        <v>2373</v>
      </c>
      <c r="O936" s="10"/>
    </row>
    <row r="937" spans="1:15" ht="18" customHeight="1" x14ac:dyDescent="0.3">
      <c r="A937" s="24">
        <v>936</v>
      </c>
      <c r="B937" s="10" t="s">
        <v>197</v>
      </c>
      <c r="C937" s="10" t="s">
        <v>41</v>
      </c>
      <c r="D937" s="62">
        <v>48</v>
      </c>
      <c r="E937" s="61" t="s">
        <v>229</v>
      </c>
      <c r="F937" s="9" t="s">
        <v>450</v>
      </c>
      <c r="G937" s="10" t="s">
        <v>150</v>
      </c>
      <c r="H937" s="10" t="s">
        <v>849</v>
      </c>
      <c r="I937" s="62">
        <v>247</v>
      </c>
      <c r="J937" s="8" t="s">
        <v>846</v>
      </c>
      <c r="K937" s="10" t="s">
        <v>847</v>
      </c>
      <c r="L937" s="10" t="s">
        <v>2373</v>
      </c>
      <c r="M937" s="10" t="s">
        <v>2372</v>
      </c>
      <c r="N937" s="10" t="s">
        <v>2373</v>
      </c>
      <c r="O937" s="10"/>
    </row>
    <row r="938" spans="1:15" ht="18" customHeight="1" x14ac:dyDescent="0.3">
      <c r="A938" s="24">
        <v>937</v>
      </c>
      <c r="B938" s="10" t="s">
        <v>197</v>
      </c>
      <c r="C938" s="10" t="s">
        <v>41</v>
      </c>
      <c r="D938" s="62">
        <v>48</v>
      </c>
      <c r="E938" s="61" t="s">
        <v>229</v>
      </c>
      <c r="F938" s="9" t="s">
        <v>450</v>
      </c>
      <c r="G938" s="10" t="s">
        <v>150</v>
      </c>
      <c r="H938" s="10" t="s">
        <v>850</v>
      </c>
      <c r="I938" s="62">
        <v>166</v>
      </c>
      <c r="J938" s="8" t="s">
        <v>846</v>
      </c>
      <c r="K938" s="10" t="s">
        <v>847</v>
      </c>
      <c r="L938" s="10" t="s">
        <v>2373</v>
      </c>
      <c r="M938" s="10" t="s">
        <v>2372</v>
      </c>
      <c r="N938" s="10" t="s">
        <v>2373</v>
      </c>
      <c r="O938" s="10"/>
    </row>
    <row r="939" spans="1:15" ht="18" customHeight="1" x14ac:dyDescent="0.3">
      <c r="A939" s="24">
        <v>938</v>
      </c>
      <c r="B939" s="10" t="s">
        <v>197</v>
      </c>
      <c r="C939" s="10" t="s">
        <v>41</v>
      </c>
      <c r="D939" s="62">
        <v>48</v>
      </c>
      <c r="E939" s="61" t="s">
        <v>229</v>
      </c>
      <c r="F939" s="9" t="s">
        <v>450</v>
      </c>
      <c r="G939" s="10" t="s">
        <v>150</v>
      </c>
      <c r="H939" s="10" t="s">
        <v>851</v>
      </c>
      <c r="I939" s="62">
        <v>135</v>
      </c>
      <c r="J939" s="8" t="s">
        <v>846</v>
      </c>
      <c r="K939" s="10" t="s">
        <v>847</v>
      </c>
      <c r="L939" s="10" t="s">
        <v>2373</v>
      </c>
      <c r="M939" s="10" t="s">
        <v>2372</v>
      </c>
      <c r="N939" s="10" t="s">
        <v>2373</v>
      </c>
      <c r="O939" s="10"/>
    </row>
    <row r="940" spans="1:15" ht="18" customHeight="1" x14ac:dyDescent="0.3">
      <c r="A940" s="24">
        <v>939</v>
      </c>
      <c r="B940" s="10" t="s">
        <v>197</v>
      </c>
      <c r="C940" s="10" t="s">
        <v>41</v>
      </c>
      <c r="D940" s="62">
        <v>48</v>
      </c>
      <c r="E940" s="61" t="s">
        <v>229</v>
      </c>
      <c r="F940" s="9" t="s">
        <v>450</v>
      </c>
      <c r="G940" s="10" t="s">
        <v>150</v>
      </c>
      <c r="H940" s="10" t="s">
        <v>852</v>
      </c>
      <c r="I940" s="62">
        <v>247</v>
      </c>
      <c r="J940" s="8" t="s">
        <v>846</v>
      </c>
      <c r="K940" s="10" t="s">
        <v>847</v>
      </c>
      <c r="L940" s="10" t="s">
        <v>2373</v>
      </c>
      <c r="M940" s="10" t="s">
        <v>2372</v>
      </c>
      <c r="N940" s="10" t="s">
        <v>2373</v>
      </c>
      <c r="O940" s="10"/>
    </row>
    <row r="941" spans="1:15" ht="18" customHeight="1" x14ac:dyDescent="0.3">
      <c r="A941" s="24">
        <v>940</v>
      </c>
      <c r="B941" s="10" t="s">
        <v>197</v>
      </c>
      <c r="C941" s="10" t="s">
        <v>41</v>
      </c>
      <c r="D941" s="62">
        <v>48</v>
      </c>
      <c r="E941" s="61" t="s">
        <v>229</v>
      </c>
      <c r="F941" s="9" t="s">
        <v>450</v>
      </c>
      <c r="G941" s="10" t="s">
        <v>150</v>
      </c>
      <c r="H941" s="10" t="s">
        <v>853</v>
      </c>
      <c r="I941" s="62">
        <v>166</v>
      </c>
      <c r="J941" s="8" t="s">
        <v>846</v>
      </c>
      <c r="K941" s="10" t="s">
        <v>847</v>
      </c>
      <c r="L941" s="10" t="s">
        <v>2373</v>
      </c>
      <c r="M941" s="10" t="s">
        <v>2372</v>
      </c>
      <c r="N941" s="10" t="s">
        <v>2373</v>
      </c>
      <c r="O941" s="10"/>
    </row>
    <row r="942" spans="1:15" ht="18" customHeight="1" x14ac:dyDescent="0.3">
      <c r="A942" s="24">
        <v>941</v>
      </c>
      <c r="B942" s="10" t="s">
        <v>197</v>
      </c>
      <c r="C942" s="10" t="s">
        <v>41</v>
      </c>
      <c r="D942" s="62">
        <v>48</v>
      </c>
      <c r="E942" s="61" t="s">
        <v>229</v>
      </c>
      <c r="F942" s="9" t="s">
        <v>450</v>
      </c>
      <c r="G942" s="10" t="s">
        <v>150</v>
      </c>
      <c r="H942" s="10" t="s">
        <v>854</v>
      </c>
      <c r="I942" s="62">
        <v>135</v>
      </c>
      <c r="J942" s="8" t="s">
        <v>2372</v>
      </c>
      <c r="K942" s="10" t="s">
        <v>847</v>
      </c>
      <c r="L942" s="10" t="s">
        <v>2373</v>
      </c>
      <c r="M942" s="10" t="s">
        <v>2372</v>
      </c>
      <c r="N942" s="10" t="s">
        <v>2373</v>
      </c>
      <c r="O942" s="10"/>
    </row>
    <row r="943" spans="1:15" ht="18" customHeight="1" x14ac:dyDescent="0.3">
      <c r="A943" s="24">
        <v>942</v>
      </c>
      <c r="B943" s="10" t="s">
        <v>197</v>
      </c>
      <c r="C943" s="10" t="s">
        <v>41</v>
      </c>
      <c r="D943" s="62">
        <v>48</v>
      </c>
      <c r="E943" s="61" t="s">
        <v>229</v>
      </c>
      <c r="F943" s="9" t="s">
        <v>450</v>
      </c>
      <c r="G943" s="10" t="s">
        <v>150</v>
      </c>
      <c r="H943" s="10" t="s">
        <v>855</v>
      </c>
      <c r="I943" s="62">
        <v>247</v>
      </c>
      <c r="J943" s="8" t="s">
        <v>846</v>
      </c>
      <c r="K943" s="10" t="s">
        <v>847</v>
      </c>
      <c r="L943" s="10" t="s">
        <v>2373</v>
      </c>
      <c r="M943" s="10" t="s">
        <v>2372</v>
      </c>
      <c r="N943" s="10" t="s">
        <v>2373</v>
      </c>
      <c r="O943" s="10"/>
    </row>
    <row r="944" spans="1:15" ht="18" customHeight="1" x14ac:dyDescent="0.3">
      <c r="A944" s="24">
        <v>943</v>
      </c>
      <c r="B944" s="10" t="s">
        <v>197</v>
      </c>
      <c r="C944" s="10" t="s">
        <v>41</v>
      </c>
      <c r="D944" s="62">
        <v>48</v>
      </c>
      <c r="E944" s="61" t="s">
        <v>901</v>
      </c>
      <c r="F944" s="16" t="s">
        <v>449</v>
      </c>
      <c r="G944" s="10" t="s">
        <v>150</v>
      </c>
      <c r="H944" s="10" t="s">
        <v>845</v>
      </c>
      <c r="I944" s="71">
        <v>173</v>
      </c>
      <c r="J944" s="8" t="s">
        <v>2372</v>
      </c>
      <c r="K944" s="10" t="s">
        <v>847</v>
      </c>
      <c r="L944" s="10" t="s">
        <v>2373</v>
      </c>
      <c r="M944" s="10" t="s">
        <v>2372</v>
      </c>
      <c r="N944" s="10" t="s">
        <v>2373</v>
      </c>
      <c r="O944" s="10"/>
    </row>
    <row r="945" spans="1:15" ht="18" customHeight="1" x14ac:dyDescent="0.3">
      <c r="A945" s="24">
        <v>944</v>
      </c>
      <c r="B945" s="10" t="s">
        <v>197</v>
      </c>
      <c r="C945" s="10" t="s">
        <v>41</v>
      </c>
      <c r="D945" s="62">
        <v>48</v>
      </c>
      <c r="E945" s="61" t="s">
        <v>901</v>
      </c>
      <c r="F945" s="16" t="s">
        <v>449</v>
      </c>
      <c r="G945" s="10" t="s">
        <v>150</v>
      </c>
      <c r="H945" s="10" t="s">
        <v>848</v>
      </c>
      <c r="I945" s="71">
        <v>159</v>
      </c>
      <c r="J945" s="8" t="s">
        <v>2372</v>
      </c>
      <c r="K945" s="10" t="s">
        <v>847</v>
      </c>
      <c r="L945" s="10" t="s">
        <v>2373</v>
      </c>
      <c r="M945" s="10" t="s">
        <v>2372</v>
      </c>
      <c r="N945" s="10" t="s">
        <v>2373</v>
      </c>
      <c r="O945" s="10"/>
    </row>
    <row r="946" spans="1:15" ht="18" customHeight="1" x14ac:dyDescent="0.3">
      <c r="A946" s="24">
        <v>945</v>
      </c>
      <c r="B946" s="10" t="s">
        <v>197</v>
      </c>
      <c r="C946" s="10" t="s">
        <v>41</v>
      </c>
      <c r="D946" s="62">
        <v>48</v>
      </c>
      <c r="E946" s="61" t="s">
        <v>901</v>
      </c>
      <c r="F946" s="16" t="s">
        <v>449</v>
      </c>
      <c r="G946" s="10" t="s">
        <v>150</v>
      </c>
      <c r="H946" s="10" t="s">
        <v>849</v>
      </c>
      <c r="I946" s="179">
        <v>114</v>
      </c>
      <c r="J946" s="8" t="s">
        <v>2372</v>
      </c>
      <c r="K946" s="10" t="s">
        <v>847</v>
      </c>
      <c r="L946" s="10" t="s">
        <v>2373</v>
      </c>
      <c r="M946" s="10" t="s">
        <v>2372</v>
      </c>
      <c r="N946" s="10" t="s">
        <v>2373</v>
      </c>
      <c r="O946" s="10"/>
    </row>
    <row r="947" spans="1:15" ht="18" customHeight="1" x14ac:dyDescent="0.3">
      <c r="A947" s="24">
        <v>946</v>
      </c>
      <c r="B947" s="10" t="s">
        <v>197</v>
      </c>
      <c r="C947" s="10" t="s">
        <v>41</v>
      </c>
      <c r="D947" s="62">
        <v>48</v>
      </c>
      <c r="E947" s="61" t="s">
        <v>901</v>
      </c>
      <c r="F947" s="16" t="s">
        <v>449</v>
      </c>
      <c r="G947" s="10" t="s">
        <v>150</v>
      </c>
      <c r="H947" s="10" t="s">
        <v>850</v>
      </c>
      <c r="I947" s="71">
        <v>157</v>
      </c>
      <c r="J947" s="8" t="s">
        <v>2372</v>
      </c>
      <c r="K947" s="10" t="s">
        <v>847</v>
      </c>
      <c r="L947" s="10" t="s">
        <v>2373</v>
      </c>
      <c r="M947" s="10" t="s">
        <v>2372</v>
      </c>
      <c r="N947" s="10" t="s">
        <v>2373</v>
      </c>
      <c r="O947" s="10"/>
    </row>
    <row r="948" spans="1:15" ht="18" customHeight="1" x14ac:dyDescent="0.3">
      <c r="A948" s="24">
        <v>947</v>
      </c>
      <c r="B948" s="10" t="s">
        <v>197</v>
      </c>
      <c r="C948" s="10" t="s">
        <v>41</v>
      </c>
      <c r="D948" s="62">
        <v>48</v>
      </c>
      <c r="E948" s="61" t="s">
        <v>901</v>
      </c>
      <c r="F948" s="16" t="s">
        <v>449</v>
      </c>
      <c r="G948" s="10" t="s">
        <v>150</v>
      </c>
      <c r="H948" s="10" t="s">
        <v>851</v>
      </c>
      <c r="I948" s="71">
        <v>171</v>
      </c>
      <c r="J948" s="8" t="s">
        <v>846</v>
      </c>
      <c r="K948" s="10" t="s">
        <v>847</v>
      </c>
      <c r="L948" s="10" t="s">
        <v>2373</v>
      </c>
      <c r="M948" s="10" t="s">
        <v>2372</v>
      </c>
      <c r="N948" s="10" t="s">
        <v>2373</v>
      </c>
      <c r="O948" s="10"/>
    </row>
    <row r="949" spans="1:15" ht="18" customHeight="1" x14ac:dyDescent="0.3">
      <c r="A949" s="24">
        <v>948</v>
      </c>
      <c r="B949" s="10" t="s">
        <v>197</v>
      </c>
      <c r="C949" s="10" t="s">
        <v>41</v>
      </c>
      <c r="D949" s="62">
        <v>48</v>
      </c>
      <c r="E949" s="61" t="s">
        <v>901</v>
      </c>
      <c r="F949" s="16" t="s">
        <v>449</v>
      </c>
      <c r="G949" s="10" t="s">
        <v>150</v>
      </c>
      <c r="H949" s="10" t="s">
        <v>852</v>
      </c>
      <c r="I949" s="179">
        <v>114</v>
      </c>
      <c r="J949" s="8" t="s">
        <v>2372</v>
      </c>
      <c r="K949" s="10" t="s">
        <v>847</v>
      </c>
      <c r="L949" s="10" t="s">
        <v>2373</v>
      </c>
      <c r="M949" s="10" t="s">
        <v>2372</v>
      </c>
      <c r="N949" s="10" t="s">
        <v>2373</v>
      </c>
      <c r="O949" s="10"/>
    </row>
    <row r="950" spans="1:15" ht="18" customHeight="1" x14ac:dyDescent="0.3">
      <c r="A950" s="24">
        <v>949</v>
      </c>
      <c r="B950" s="10" t="s">
        <v>197</v>
      </c>
      <c r="C950" s="10" t="s">
        <v>41</v>
      </c>
      <c r="D950" s="62">
        <v>48</v>
      </c>
      <c r="E950" s="61" t="s">
        <v>901</v>
      </c>
      <c r="F950" s="16" t="s">
        <v>1103</v>
      </c>
      <c r="G950" s="10" t="s">
        <v>150</v>
      </c>
      <c r="H950" s="10" t="s">
        <v>853</v>
      </c>
      <c r="I950" s="71">
        <v>392</v>
      </c>
      <c r="J950" s="8" t="s">
        <v>846</v>
      </c>
      <c r="K950" s="10" t="s">
        <v>2374</v>
      </c>
      <c r="L950" s="10" t="s">
        <v>2446</v>
      </c>
      <c r="M950" s="10" t="s">
        <v>2372</v>
      </c>
      <c r="N950" s="10" t="s">
        <v>2373</v>
      </c>
      <c r="O950" s="10" t="s">
        <v>2447</v>
      </c>
    </row>
    <row r="951" spans="1:15" ht="18" customHeight="1" x14ac:dyDescent="0.3">
      <c r="A951" s="24">
        <v>950</v>
      </c>
      <c r="B951" s="10" t="s">
        <v>197</v>
      </c>
      <c r="C951" s="10" t="s">
        <v>41</v>
      </c>
      <c r="D951" s="62">
        <v>48</v>
      </c>
      <c r="E951" s="61" t="s">
        <v>2833</v>
      </c>
      <c r="F951" s="32" t="s">
        <v>447</v>
      </c>
      <c r="G951" s="10" t="s">
        <v>150</v>
      </c>
      <c r="H951" s="10" t="s">
        <v>845</v>
      </c>
      <c r="I951" s="62">
        <v>182</v>
      </c>
      <c r="J951" s="10" t="s">
        <v>2374</v>
      </c>
      <c r="K951" s="10" t="s">
        <v>847</v>
      </c>
      <c r="L951" s="10" t="s">
        <v>2373</v>
      </c>
      <c r="M951" s="10" t="s">
        <v>2372</v>
      </c>
      <c r="N951" s="10" t="s">
        <v>2373</v>
      </c>
      <c r="O951" s="10"/>
    </row>
    <row r="952" spans="1:15" ht="18" customHeight="1" x14ac:dyDescent="0.3">
      <c r="A952" s="24">
        <v>951</v>
      </c>
      <c r="B952" s="10" t="s">
        <v>197</v>
      </c>
      <c r="C952" s="10" t="s">
        <v>41</v>
      </c>
      <c r="D952" s="62">
        <v>48</v>
      </c>
      <c r="E952" s="61" t="s">
        <v>2833</v>
      </c>
      <c r="F952" s="32" t="s">
        <v>447</v>
      </c>
      <c r="G952" s="10" t="s">
        <v>150</v>
      </c>
      <c r="H952" s="10" t="s">
        <v>848</v>
      </c>
      <c r="I952" s="62">
        <v>182</v>
      </c>
      <c r="J952" s="10" t="s">
        <v>2372</v>
      </c>
      <c r="K952" s="10" t="s">
        <v>847</v>
      </c>
      <c r="L952" s="10" t="s">
        <v>2373</v>
      </c>
      <c r="M952" s="10" t="s">
        <v>2372</v>
      </c>
      <c r="N952" s="10" t="s">
        <v>2373</v>
      </c>
      <c r="O952" s="10"/>
    </row>
    <row r="953" spans="1:15" ht="18" customHeight="1" x14ac:dyDescent="0.3">
      <c r="A953" s="24">
        <v>952</v>
      </c>
      <c r="B953" s="10" t="s">
        <v>197</v>
      </c>
      <c r="C953" s="10" t="s">
        <v>41</v>
      </c>
      <c r="D953" s="62">
        <v>48</v>
      </c>
      <c r="E953" s="61" t="s">
        <v>2833</v>
      </c>
      <c r="F953" s="32" t="s">
        <v>447</v>
      </c>
      <c r="G953" s="10" t="s">
        <v>150</v>
      </c>
      <c r="H953" s="10" t="s">
        <v>849</v>
      </c>
      <c r="I953" s="62">
        <v>157</v>
      </c>
      <c r="J953" s="10" t="s">
        <v>2374</v>
      </c>
      <c r="K953" s="10" t="s">
        <v>846</v>
      </c>
      <c r="L953" s="10" t="s">
        <v>985</v>
      </c>
      <c r="M953" s="10" t="s">
        <v>2372</v>
      </c>
      <c r="N953" s="10" t="s">
        <v>2373</v>
      </c>
      <c r="O953" s="10"/>
    </row>
    <row r="954" spans="1:15" ht="18" customHeight="1" x14ac:dyDescent="0.3">
      <c r="A954" s="24">
        <v>953</v>
      </c>
      <c r="B954" s="10" t="s">
        <v>197</v>
      </c>
      <c r="C954" s="10" t="s">
        <v>41</v>
      </c>
      <c r="D954" s="62">
        <v>48</v>
      </c>
      <c r="E954" s="61" t="s">
        <v>2833</v>
      </c>
      <c r="F954" s="32" t="s">
        <v>447</v>
      </c>
      <c r="G954" s="10" t="s">
        <v>150</v>
      </c>
      <c r="H954" s="10" t="s">
        <v>850</v>
      </c>
      <c r="I954" s="62">
        <v>182</v>
      </c>
      <c r="J954" s="10" t="s">
        <v>2374</v>
      </c>
      <c r="K954" s="10" t="s">
        <v>847</v>
      </c>
      <c r="L954" s="10" t="s">
        <v>2373</v>
      </c>
      <c r="M954" s="10" t="s">
        <v>2372</v>
      </c>
      <c r="N954" s="10" t="s">
        <v>2373</v>
      </c>
      <c r="O954" s="10"/>
    </row>
    <row r="955" spans="1:15" ht="18" customHeight="1" x14ac:dyDescent="0.3">
      <c r="A955" s="24">
        <v>954</v>
      </c>
      <c r="B955" s="10" t="s">
        <v>197</v>
      </c>
      <c r="C955" s="10" t="s">
        <v>41</v>
      </c>
      <c r="D955" s="62">
        <v>48</v>
      </c>
      <c r="E955" s="61" t="s">
        <v>2833</v>
      </c>
      <c r="F955" s="32" t="s">
        <v>447</v>
      </c>
      <c r="G955" s="10" t="s">
        <v>150</v>
      </c>
      <c r="H955" s="10" t="s">
        <v>851</v>
      </c>
      <c r="I955" s="62">
        <v>182</v>
      </c>
      <c r="J955" s="10" t="s">
        <v>2372</v>
      </c>
      <c r="K955" s="10" t="s">
        <v>847</v>
      </c>
      <c r="L955" s="10" t="s">
        <v>2373</v>
      </c>
      <c r="M955" s="10" t="s">
        <v>2372</v>
      </c>
      <c r="N955" s="10" t="s">
        <v>2373</v>
      </c>
      <c r="O955" s="10"/>
    </row>
    <row r="956" spans="1:15" ht="18" customHeight="1" x14ac:dyDescent="0.3">
      <c r="A956" s="24">
        <v>955</v>
      </c>
      <c r="B956" s="10" t="s">
        <v>197</v>
      </c>
      <c r="C956" s="10" t="s">
        <v>41</v>
      </c>
      <c r="D956" s="62">
        <v>48</v>
      </c>
      <c r="E956" s="61" t="s">
        <v>2833</v>
      </c>
      <c r="F956" s="32" t="s">
        <v>447</v>
      </c>
      <c r="G956" s="10" t="s">
        <v>150</v>
      </c>
      <c r="H956" s="10" t="s">
        <v>852</v>
      </c>
      <c r="I956" s="62">
        <v>157</v>
      </c>
      <c r="J956" s="10" t="s">
        <v>2372</v>
      </c>
      <c r="K956" s="10" t="s">
        <v>847</v>
      </c>
      <c r="L956" s="10" t="s">
        <v>2373</v>
      </c>
      <c r="M956" s="10" t="s">
        <v>2372</v>
      </c>
      <c r="N956" s="10" t="s">
        <v>2373</v>
      </c>
      <c r="O956" s="10"/>
    </row>
    <row r="957" spans="1:15" ht="18" customHeight="1" x14ac:dyDescent="0.3">
      <c r="A957" s="24">
        <v>956</v>
      </c>
      <c r="B957" s="10" t="s">
        <v>197</v>
      </c>
      <c r="C957" s="10" t="s">
        <v>42</v>
      </c>
      <c r="D957" s="62">
        <v>49</v>
      </c>
      <c r="E957" s="61" t="s">
        <v>902</v>
      </c>
      <c r="F957" s="9" t="s">
        <v>1471</v>
      </c>
      <c r="G957" s="10" t="s">
        <v>160</v>
      </c>
      <c r="H957" s="10" t="s">
        <v>845</v>
      </c>
      <c r="I957" s="62">
        <v>172</v>
      </c>
      <c r="J957" s="8" t="s">
        <v>2374</v>
      </c>
      <c r="K957" s="10" t="s">
        <v>847</v>
      </c>
      <c r="L957" s="10" t="s">
        <v>2373</v>
      </c>
      <c r="M957" s="10" t="s">
        <v>2372</v>
      </c>
      <c r="N957" s="10" t="s">
        <v>2373</v>
      </c>
      <c r="O957" s="10"/>
    </row>
    <row r="958" spans="1:15" ht="18" customHeight="1" x14ac:dyDescent="0.3">
      <c r="A958" s="24">
        <v>957</v>
      </c>
      <c r="B958" s="10" t="s">
        <v>197</v>
      </c>
      <c r="C958" s="10" t="s">
        <v>42</v>
      </c>
      <c r="D958" s="62">
        <v>49</v>
      </c>
      <c r="E958" s="61" t="s">
        <v>902</v>
      </c>
      <c r="F958" s="9" t="s">
        <v>1471</v>
      </c>
      <c r="G958" s="10" t="s">
        <v>160</v>
      </c>
      <c r="H958" s="10" t="s">
        <v>848</v>
      </c>
      <c r="I958" s="62">
        <v>46</v>
      </c>
      <c r="J958" s="8" t="s">
        <v>2372</v>
      </c>
      <c r="K958" s="173" t="s">
        <v>3450</v>
      </c>
      <c r="L958" s="173" t="s">
        <v>3499</v>
      </c>
      <c r="M958" s="10" t="s">
        <v>2372</v>
      </c>
      <c r="N958" s="10" t="s">
        <v>2373</v>
      </c>
      <c r="O958" s="10"/>
    </row>
    <row r="959" spans="1:15" ht="18" customHeight="1" x14ac:dyDescent="0.3">
      <c r="A959" s="24">
        <v>958</v>
      </c>
      <c r="B959" s="10" t="s">
        <v>197</v>
      </c>
      <c r="C959" s="10" t="s">
        <v>42</v>
      </c>
      <c r="D959" s="62">
        <v>49</v>
      </c>
      <c r="E959" s="61" t="s">
        <v>902</v>
      </c>
      <c r="F959" s="9" t="s">
        <v>1029</v>
      </c>
      <c r="G959" s="10" t="s">
        <v>160</v>
      </c>
      <c r="H959" s="10" t="s">
        <v>849</v>
      </c>
      <c r="I959" s="62">
        <v>149</v>
      </c>
      <c r="J959" s="8" t="s">
        <v>2372</v>
      </c>
      <c r="K959" s="10" t="s">
        <v>847</v>
      </c>
      <c r="L959" s="10" t="s">
        <v>2373</v>
      </c>
      <c r="M959" s="10" t="s">
        <v>2372</v>
      </c>
      <c r="N959" s="10" t="s">
        <v>2373</v>
      </c>
      <c r="O959" s="10"/>
    </row>
    <row r="960" spans="1:15" ht="18" customHeight="1" x14ac:dyDescent="0.3">
      <c r="A960" s="24">
        <v>959</v>
      </c>
      <c r="B960" s="10" t="s">
        <v>197</v>
      </c>
      <c r="C960" s="10" t="s">
        <v>42</v>
      </c>
      <c r="D960" s="62">
        <v>49</v>
      </c>
      <c r="E960" s="61" t="s">
        <v>902</v>
      </c>
      <c r="F960" s="9" t="s">
        <v>1029</v>
      </c>
      <c r="G960" s="10" t="s">
        <v>160</v>
      </c>
      <c r="H960" s="10" t="s">
        <v>850</v>
      </c>
      <c r="I960" s="62">
        <v>172</v>
      </c>
      <c r="J960" s="8" t="s">
        <v>2372</v>
      </c>
      <c r="K960" s="10" t="s">
        <v>847</v>
      </c>
      <c r="L960" s="10" t="s">
        <v>2373</v>
      </c>
      <c r="M960" s="10" t="s">
        <v>2372</v>
      </c>
      <c r="N960" s="10" t="s">
        <v>2373</v>
      </c>
      <c r="O960" s="10"/>
    </row>
    <row r="961" spans="1:15" ht="18" customHeight="1" x14ac:dyDescent="0.3">
      <c r="A961" s="24">
        <v>960</v>
      </c>
      <c r="B961" s="10" t="s">
        <v>197</v>
      </c>
      <c r="C961" s="10" t="s">
        <v>42</v>
      </c>
      <c r="D961" s="62">
        <v>49</v>
      </c>
      <c r="E961" s="61" t="s">
        <v>902</v>
      </c>
      <c r="F961" s="9" t="s">
        <v>1029</v>
      </c>
      <c r="G961" s="10" t="s">
        <v>160</v>
      </c>
      <c r="H961" s="10" t="s">
        <v>851</v>
      </c>
      <c r="I961" s="62">
        <v>46</v>
      </c>
      <c r="J961" s="8" t="s">
        <v>2372</v>
      </c>
      <c r="K961" s="173" t="s">
        <v>3450</v>
      </c>
      <c r="L961" s="173" t="s">
        <v>3499</v>
      </c>
      <c r="M961" s="10" t="s">
        <v>2372</v>
      </c>
      <c r="N961" s="10" t="s">
        <v>2373</v>
      </c>
      <c r="O961" s="10"/>
    </row>
    <row r="962" spans="1:15" ht="18" customHeight="1" x14ac:dyDescent="0.3">
      <c r="A962" s="24">
        <v>961</v>
      </c>
      <c r="B962" s="10" t="s">
        <v>197</v>
      </c>
      <c r="C962" s="10" t="s">
        <v>42</v>
      </c>
      <c r="D962" s="62">
        <v>49</v>
      </c>
      <c r="E962" s="61" t="s">
        <v>902</v>
      </c>
      <c r="F962" s="9" t="s">
        <v>1029</v>
      </c>
      <c r="G962" s="10" t="s">
        <v>160</v>
      </c>
      <c r="H962" s="10" t="s">
        <v>852</v>
      </c>
      <c r="I962" s="62">
        <v>149</v>
      </c>
      <c r="J962" s="8" t="s">
        <v>2372</v>
      </c>
      <c r="K962" s="10" t="s">
        <v>847</v>
      </c>
      <c r="L962" s="10" t="s">
        <v>2373</v>
      </c>
      <c r="M962" s="10" t="s">
        <v>2372</v>
      </c>
      <c r="N962" s="10" t="s">
        <v>2373</v>
      </c>
      <c r="O962" s="10"/>
    </row>
    <row r="963" spans="1:15" ht="18" customHeight="1" x14ac:dyDescent="0.3">
      <c r="A963" s="24">
        <v>962</v>
      </c>
      <c r="B963" s="10" t="s">
        <v>194</v>
      </c>
      <c r="C963" s="10" t="s">
        <v>4</v>
      </c>
      <c r="D963" s="62">
        <v>50</v>
      </c>
      <c r="E963" s="61" t="s">
        <v>2542</v>
      </c>
      <c r="F963" s="11" t="s">
        <v>1473</v>
      </c>
      <c r="G963" s="10" t="s">
        <v>2373</v>
      </c>
      <c r="H963" s="10" t="s">
        <v>2385</v>
      </c>
      <c r="I963" s="62">
        <v>404</v>
      </c>
      <c r="J963" s="10" t="s">
        <v>2372</v>
      </c>
      <c r="K963" s="10" t="s">
        <v>847</v>
      </c>
      <c r="L963" s="10" t="s">
        <v>2373</v>
      </c>
      <c r="M963" s="10" t="s">
        <v>2372</v>
      </c>
      <c r="N963" s="10" t="s">
        <v>2373</v>
      </c>
      <c r="O963" s="10"/>
    </row>
    <row r="964" spans="1:15" ht="18" customHeight="1" x14ac:dyDescent="0.3">
      <c r="A964" s="24">
        <v>963</v>
      </c>
      <c r="B964" s="10" t="s">
        <v>194</v>
      </c>
      <c r="C964" s="10" t="s">
        <v>4</v>
      </c>
      <c r="D964" s="62">
        <v>50</v>
      </c>
      <c r="E964" s="61" t="s">
        <v>2542</v>
      </c>
      <c r="F964" s="11" t="s">
        <v>1473</v>
      </c>
      <c r="G964" s="10" t="s">
        <v>2373</v>
      </c>
      <c r="H964" s="10" t="s">
        <v>848</v>
      </c>
      <c r="I964" s="62">
        <v>114</v>
      </c>
      <c r="J964" s="10" t="s">
        <v>2372</v>
      </c>
      <c r="K964" s="10" t="s">
        <v>847</v>
      </c>
      <c r="L964" s="10" t="s">
        <v>2373</v>
      </c>
      <c r="M964" s="10" t="s">
        <v>2372</v>
      </c>
      <c r="N964" s="10" t="s">
        <v>2373</v>
      </c>
      <c r="O964" s="10"/>
    </row>
    <row r="965" spans="1:15" ht="18" customHeight="1" x14ac:dyDescent="0.3">
      <c r="A965" s="24">
        <v>964</v>
      </c>
      <c r="B965" s="10" t="s">
        <v>194</v>
      </c>
      <c r="C965" s="10" t="s">
        <v>4</v>
      </c>
      <c r="D965" s="62">
        <v>50</v>
      </c>
      <c r="E965" s="61" t="s">
        <v>2542</v>
      </c>
      <c r="F965" s="11" t="s">
        <v>1066</v>
      </c>
      <c r="G965" s="10" t="s">
        <v>2373</v>
      </c>
      <c r="H965" s="10" t="s">
        <v>849</v>
      </c>
      <c r="I965" s="62">
        <v>112</v>
      </c>
      <c r="J965" s="10" t="s">
        <v>2372</v>
      </c>
      <c r="K965" s="10" t="s">
        <v>847</v>
      </c>
      <c r="L965" s="10" t="s">
        <v>2373</v>
      </c>
      <c r="M965" s="10" t="s">
        <v>2372</v>
      </c>
      <c r="N965" s="10" t="s">
        <v>2373</v>
      </c>
      <c r="O965" s="10"/>
    </row>
    <row r="966" spans="1:15" ht="18" customHeight="1" x14ac:dyDescent="0.3">
      <c r="A966" s="24">
        <v>965</v>
      </c>
      <c r="B966" s="10" t="s">
        <v>194</v>
      </c>
      <c r="C966" s="10" t="s">
        <v>4</v>
      </c>
      <c r="D966" s="62">
        <v>50</v>
      </c>
      <c r="E966" s="61" t="s">
        <v>2542</v>
      </c>
      <c r="F966" s="11" t="s">
        <v>1066</v>
      </c>
      <c r="G966" s="10" t="s">
        <v>2373</v>
      </c>
      <c r="H966" s="10" t="s">
        <v>850</v>
      </c>
      <c r="I966" s="62">
        <v>98</v>
      </c>
      <c r="J966" s="10" t="s">
        <v>2372</v>
      </c>
      <c r="K966" s="10" t="s">
        <v>847</v>
      </c>
      <c r="L966" s="10" t="s">
        <v>2373</v>
      </c>
      <c r="M966" s="10" t="s">
        <v>2372</v>
      </c>
      <c r="N966" s="10" t="s">
        <v>2373</v>
      </c>
      <c r="O966" s="10"/>
    </row>
    <row r="967" spans="1:15" ht="18" customHeight="1" x14ac:dyDescent="0.3">
      <c r="A967" s="24">
        <v>966</v>
      </c>
      <c r="B967" s="10" t="s">
        <v>194</v>
      </c>
      <c r="C967" s="10" t="s">
        <v>4</v>
      </c>
      <c r="D967" s="62">
        <v>50</v>
      </c>
      <c r="E967" s="61" t="s">
        <v>2542</v>
      </c>
      <c r="F967" s="11" t="s">
        <v>1066</v>
      </c>
      <c r="G967" s="10" t="s">
        <v>2373</v>
      </c>
      <c r="H967" s="10" t="s">
        <v>851</v>
      </c>
      <c r="I967" s="62">
        <v>81</v>
      </c>
      <c r="J967" s="10" t="s">
        <v>2372</v>
      </c>
      <c r="K967" s="10" t="s">
        <v>847</v>
      </c>
      <c r="L967" s="10" t="s">
        <v>2373</v>
      </c>
      <c r="M967" s="10" t="s">
        <v>2372</v>
      </c>
      <c r="N967" s="10" t="s">
        <v>2373</v>
      </c>
      <c r="O967" s="10"/>
    </row>
    <row r="968" spans="1:15" ht="18" customHeight="1" x14ac:dyDescent="0.3">
      <c r="A968" s="24">
        <v>967</v>
      </c>
      <c r="B968" s="10" t="s">
        <v>194</v>
      </c>
      <c r="C968" s="10" t="s">
        <v>4</v>
      </c>
      <c r="D968" s="62">
        <v>50</v>
      </c>
      <c r="E968" s="61" t="s">
        <v>274</v>
      </c>
      <c r="F968" s="16" t="s">
        <v>497</v>
      </c>
      <c r="G968" s="10" t="s">
        <v>160</v>
      </c>
      <c r="H968" s="10" t="s">
        <v>845</v>
      </c>
      <c r="I968" s="62">
        <v>148</v>
      </c>
      <c r="J968" s="10" t="s">
        <v>2372</v>
      </c>
      <c r="K968" s="10" t="s">
        <v>847</v>
      </c>
      <c r="L968" s="10" t="s">
        <v>2373</v>
      </c>
      <c r="M968" s="10" t="s">
        <v>2372</v>
      </c>
      <c r="N968" s="10" t="s">
        <v>2373</v>
      </c>
      <c r="O968" s="10"/>
    </row>
    <row r="969" spans="1:15" ht="18" customHeight="1" x14ac:dyDescent="0.3">
      <c r="A969" s="24">
        <v>968</v>
      </c>
      <c r="B969" s="10" t="s">
        <v>194</v>
      </c>
      <c r="C969" s="10" t="s">
        <v>4</v>
      </c>
      <c r="D969" s="62">
        <v>50</v>
      </c>
      <c r="E969" s="61" t="s">
        <v>274</v>
      </c>
      <c r="F969" s="16" t="s">
        <v>497</v>
      </c>
      <c r="G969" s="10" t="s">
        <v>160</v>
      </c>
      <c r="H969" s="10" t="s">
        <v>848</v>
      </c>
      <c r="I969" s="62">
        <v>104</v>
      </c>
      <c r="J969" s="10" t="s">
        <v>2372</v>
      </c>
      <c r="K969" s="10" t="s">
        <v>847</v>
      </c>
      <c r="L969" s="10" t="s">
        <v>2373</v>
      </c>
      <c r="M969" s="10" t="s">
        <v>2372</v>
      </c>
      <c r="N969" s="10" t="s">
        <v>2373</v>
      </c>
      <c r="O969" s="10"/>
    </row>
    <row r="970" spans="1:15" ht="18" customHeight="1" x14ac:dyDescent="0.3">
      <c r="A970" s="24">
        <v>969</v>
      </c>
      <c r="B970" s="10" t="s">
        <v>194</v>
      </c>
      <c r="C970" s="10" t="s">
        <v>4</v>
      </c>
      <c r="D970" s="62">
        <v>50</v>
      </c>
      <c r="E970" s="61" t="s">
        <v>274</v>
      </c>
      <c r="F970" s="16" t="s">
        <v>497</v>
      </c>
      <c r="G970" s="10" t="s">
        <v>160</v>
      </c>
      <c r="H970" s="10" t="s">
        <v>849</v>
      </c>
      <c r="I970" s="62">
        <v>115</v>
      </c>
      <c r="J970" s="10" t="s">
        <v>2372</v>
      </c>
      <c r="K970" s="10" t="s">
        <v>847</v>
      </c>
      <c r="L970" s="10" t="s">
        <v>2373</v>
      </c>
      <c r="M970" s="10" t="s">
        <v>2372</v>
      </c>
      <c r="N970" s="10" t="s">
        <v>2373</v>
      </c>
      <c r="O970" s="10"/>
    </row>
    <row r="971" spans="1:15" ht="18" customHeight="1" x14ac:dyDescent="0.3">
      <c r="A971" s="24">
        <v>970</v>
      </c>
      <c r="B971" s="10" t="s">
        <v>194</v>
      </c>
      <c r="C971" s="10" t="s">
        <v>4</v>
      </c>
      <c r="D971" s="62">
        <v>50</v>
      </c>
      <c r="E971" s="61" t="s">
        <v>274</v>
      </c>
      <c r="F971" s="16" t="s">
        <v>497</v>
      </c>
      <c r="G971" s="10" t="s">
        <v>160</v>
      </c>
      <c r="H971" s="10" t="s">
        <v>850</v>
      </c>
      <c r="I971" s="62">
        <v>94</v>
      </c>
      <c r="J971" s="10" t="s">
        <v>2372</v>
      </c>
      <c r="K971" s="10" t="s">
        <v>847</v>
      </c>
      <c r="L971" s="10" t="s">
        <v>2373</v>
      </c>
      <c r="M971" s="10" t="s">
        <v>2372</v>
      </c>
      <c r="N971" s="10" t="s">
        <v>2373</v>
      </c>
      <c r="O971" s="10"/>
    </row>
    <row r="972" spans="1:15" ht="18" customHeight="1" x14ac:dyDescent="0.3">
      <c r="A972" s="24">
        <v>971</v>
      </c>
      <c r="B972" s="10" t="s">
        <v>194</v>
      </c>
      <c r="C972" s="10" t="s">
        <v>4</v>
      </c>
      <c r="D972" s="62">
        <v>50</v>
      </c>
      <c r="E972" s="61" t="s">
        <v>274</v>
      </c>
      <c r="F972" s="16" t="s">
        <v>497</v>
      </c>
      <c r="G972" s="10" t="s">
        <v>160</v>
      </c>
      <c r="H972" s="10" t="s">
        <v>851</v>
      </c>
      <c r="I972" s="62">
        <v>104</v>
      </c>
      <c r="J972" s="10" t="s">
        <v>2372</v>
      </c>
      <c r="K972" s="10" t="s">
        <v>847</v>
      </c>
      <c r="L972" s="10" t="s">
        <v>2373</v>
      </c>
      <c r="M972" s="10" t="s">
        <v>2372</v>
      </c>
      <c r="N972" s="10" t="s">
        <v>2373</v>
      </c>
      <c r="O972" s="10"/>
    </row>
    <row r="973" spans="1:15" ht="18" customHeight="1" x14ac:dyDescent="0.3">
      <c r="A973" s="24">
        <v>972</v>
      </c>
      <c r="B973" s="10" t="s">
        <v>194</v>
      </c>
      <c r="C973" s="10" t="s">
        <v>4</v>
      </c>
      <c r="D973" s="62">
        <v>50</v>
      </c>
      <c r="E973" s="61" t="s">
        <v>274</v>
      </c>
      <c r="F973" s="16" t="s">
        <v>497</v>
      </c>
      <c r="G973" s="10" t="s">
        <v>160</v>
      </c>
      <c r="H973" s="10" t="s">
        <v>852</v>
      </c>
      <c r="I973" s="62">
        <v>112</v>
      </c>
      <c r="J973" s="10" t="s">
        <v>2372</v>
      </c>
      <c r="K973" s="10" t="s">
        <v>847</v>
      </c>
      <c r="L973" s="10" t="s">
        <v>2373</v>
      </c>
      <c r="M973" s="10" t="s">
        <v>2372</v>
      </c>
      <c r="N973" s="10" t="s">
        <v>2373</v>
      </c>
      <c r="O973" s="10"/>
    </row>
    <row r="974" spans="1:15" ht="18" customHeight="1" x14ac:dyDescent="0.3">
      <c r="A974" s="24">
        <v>973</v>
      </c>
      <c r="B974" s="10" t="s">
        <v>194</v>
      </c>
      <c r="C974" s="10" t="s">
        <v>4</v>
      </c>
      <c r="D974" s="62">
        <v>50</v>
      </c>
      <c r="E974" s="61" t="s">
        <v>916</v>
      </c>
      <c r="F974" s="16" t="s">
        <v>1478</v>
      </c>
      <c r="G974" s="10" t="s">
        <v>160</v>
      </c>
      <c r="H974" s="10" t="s">
        <v>845</v>
      </c>
      <c r="I974" s="62">
        <v>88</v>
      </c>
      <c r="J974" s="8" t="s">
        <v>2372</v>
      </c>
      <c r="K974" s="10" t="s">
        <v>847</v>
      </c>
      <c r="L974" s="10" t="s">
        <v>2373</v>
      </c>
      <c r="M974" s="10" t="s">
        <v>2372</v>
      </c>
      <c r="N974" s="10" t="s">
        <v>2373</v>
      </c>
      <c r="O974" s="10"/>
    </row>
    <row r="975" spans="1:15" ht="18" customHeight="1" x14ac:dyDescent="0.3">
      <c r="A975" s="24">
        <v>974</v>
      </c>
      <c r="B975" s="10" t="s">
        <v>194</v>
      </c>
      <c r="C975" s="10" t="s">
        <v>4</v>
      </c>
      <c r="D975" s="62">
        <v>50</v>
      </c>
      <c r="E975" s="61" t="s">
        <v>916</v>
      </c>
      <c r="F975" s="16" t="s">
        <v>1478</v>
      </c>
      <c r="G975" s="10" t="s">
        <v>160</v>
      </c>
      <c r="H975" s="10" t="s">
        <v>848</v>
      </c>
      <c r="I975" s="62">
        <v>89</v>
      </c>
      <c r="J975" s="8" t="s">
        <v>2372</v>
      </c>
      <c r="K975" s="10" t="s">
        <v>847</v>
      </c>
      <c r="L975" s="10" t="s">
        <v>2373</v>
      </c>
      <c r="M975" s="10" t="s">
        <v>2372</v>
      </c>
      <c r="N975" s="10" t="s">
        <v>2373</v>
      </c>
      <c r="O975" s="10"/>
    </row>
    <row r="976" spans="1:15" ht="18" customHeight="1" x14ac:dyDescent="0.3">
      <c r="A976" s="24">
        <v>975</v>
      </c>
      <c r="B976" s="10" t="s">
        <v>194</v>
      </c>
      <c r="C976" s="10" t="s">
        <v>4</v>
      </c>
      <c r="D976" s="62">
        <v>50</v>
      </c>
      <c r="E976" s="61" t="s">
        <v>916</v>
      </c>
      <c r="F976" s="16" t="s">
        <v>1478</v>
      </c>
      <c r="G976" s="10" t="s">
        <v>160</v>
      </c>
      <c r="H976" s="10" t="s">
        <v>849</v>
      </c>
      <c r="I976" s="62">
        <v>93</v>
      </c>
      <c r="J976" s="8" t="s">
        <v>2372</v>
      </c>
      <c r="K976" s="10" t="s">
        <v>847</v>
      </c>
      <c r="L976" s="10" t="s">
        <v>2373</v>
      </c>
      <c r="M976" s="10" t="s">
        <v>2372</v>
      </c>
      <c r="N976" s="10" t="s">
        <v>2373</v>
      </c>
      <c r="O976" s="10"/>
    </row>
    <row r="977" spans="1:15" ht="18" customHeight="1" x14ac:dyDescent="0.3">
      <c r="A977" s="24">
        <v>976</v>
      </c>
      <c r="B977" s="10" t="s">
        <v>194</v>
      </c>
      <c r="C977" s="10" t="s">
        <v>29</v>
      </c>
      <c r="D977" s="62">
        <v>51</v>
      </c>
      <c r="E977" s="61" t="s">
        <v>2543</v>
      </c>
      <c r="F977" s="19" t="s">
        <v>1482</v>
      </c>
      <c r="G977" s="10" t="s">
        <v>2373</v>
      </c>
      <c r="H977" s="10" t="s">
        <v>845</v>
      </c>
      <c r="I977" s="62">
        <v>253</v>
      </c>
      <c r="J977" s="10" t="s">
        <v>2372</v>
      </c>
      <c r="K977" s="10" t="s">
        <v>847</v>
      </c>
      <c r="L977" s="10" t="s">
        <v>2373</v>
      </c>
      <c r="M977" s="10" t="s">
        <v>2374</v>
      </c>
      <c r="N977" s="10" t="s">
        <v>1234</v>
      </c>
      <c r="O977" s="10"/>
    </row>
    <row r="978" spans="1:15" ht="18" customHeight="1" x14ac:dyDescent="0.3">
      <c r="A978" s="24">
        <v>977</v>
      </c>
      <c r="B978" s="63" t="s">
        <v>3083</v>
      </c>
      <c r="C978" s="63" t="s">
        <v>3086</v>
      </c>
      <c r="D978" s="99">
        <v>52</v>
      </c>
      <c r="E978" s="3" t="s">
        <v>3082</v>
      </c>
      <c r="F978" s="3" t="s">
        <v>3084</v>
      </c>
      <c r="G978" s="63" t="s">
        <v>3085</v>
      </c>
      <c r="H978" s="10" t="s">
        <v>3087</v>
      </c>
      <c r="I978" s="62">
        <v>59</v>
      </c>
      <c r="J978" s="173" t="s">
        <v>3092</v>
      </c>
      <c r="K978" s="10" t="s">
        <v>884</v>
      </c>
      <c r="L978" s="10" t="s">
        <v>820</v>
      </c>
      <c r="M978" s="10" t="s">
        <v>884</v>
      </c>
      <c r="N978" s="10" t="s">
        <v>820</v>
      </c>
      <c r="O978" s="10"/>
    </row>
    <row r="979" spans="1:15" ht="18" customHeight="1" x14ac:dyDescent="0.3">
      <c r="A979" s="24">
        <v>978</v>
      </c>
      <c r="B979" s="63" t="s">
        <v>3083</v>
      </c>
      <c r="C979" s="63" t="s">
        <v>3086</v>
      </c>
      <c r="D979" s="99">
        <v>52</v>
      </c>
      <c r="E979" s="3" t="s">
        <v>3082</v>
      </c>
      <c r="F979" s="3" t="s">
        <v>3084</v>
      </c>
      <c r="G979" s="63" t="s">
        <v>3085</v>
      </c>
      <c r="H979" s="10" t="s">
        <v>3088</v>
      </c>
      <c r="I979" s="62">
        <v>102</v>
      </c>
      <c r="J979" s="173" t="s">
        <v>3092</v>
      </c>
      <c r="K979" s="10" t="s">
        <v>884</v>
      </c>
      <c r="L979" s="10" t="s">
        <v>820</v>
      </c>
      <c r="M979" s="10" t="s">
        <v>884</v>
      </c>
      <c r="N979" s="10" t="s">
        <v>820</v>
      </c>
      <c r="O979" s="10"/>
    </row>
    <row r="980" spans="1:15" ht="18" customHeight="1" x14ac:dyDescent="0.3">
      <c r="A980" s="24">
        <v>979</v>
      </c>
      <c r="B980" s="63" t="s">
        <v>3083</v>
      </c>
      <c r="C980" s="63" t="s">
        <v>3086</v>
      </c>
      <c r="D980" s="99">
        <v>52</v>
      </c>
      <c r="E980" s="3" t="s">
        <v>3082</v>
      </c>
      <c r="F980" s="3" t="s">
        <v>3084</v>
      </c>
      <c r="G980" s="63" t="s">
        <v>3085</v>
      </c>
      <c r="H980" s="10" t="s">
        <v>3089</v>
      </c>
      <c r="I980" s="62">
        <v>64</v>
      </c>
      <c r="J980" s="173" t="s">
        <v>3092</v>
      </c>
      <c r="K980" s="10" t="s">
        <v>884</v>
      </c>
      <c r="L980" s="10" t="s">
        <v>820</v>
      </c>
      <c r="M980" s="10" t="s">
        <v>884</v>
      </c>
      <c r="N980" s="10" t="s">
        <v>820</v>
      </c>
      <c r="O980" s="10"/>
    </row>
    <row r="981" spans="1:15" ht="18" customHeight="1" x14ac:dyDescent="0.3">
      <c r="A981" s="24">
        <v>980</v>
      </c>
      <c r="B981" s="63" t="s">
        <v>3083</v>
      </c>
      <c r="C981" s="63" t="s">
        <v>3086</v>
      </c>
      <c r="D981" s="99">
        <v>52</v>
      </c>
      <c r="E981" s="3" t="s">
        <v>3082</v>
      </c>
      <c r="F981" s="3" t="s">
        <v>3084</v>
      </c>
      <c r="G981" s="63" t="s">
        <v>3085</v>
      </c>
      <c r="H981" s="10" t="s">
        <v>3090</v>
      </c>
      <c r="I981" s="62">
        <v>58</v>
      </c>
      <c r="J981" s="173" t="s">
        <v>3092</v>
      </c>
      <c r="K981" s="10" t="s">
        <v>884</v>
      </c>
      <c r="L981" s="10" t="s">
        <v>820</v>
      </c>
      <c r="M981" s="10" t="s">
        <v>884</v>
      </c>
      <c r="N981" s="10" t="s">
        <v>820</v>
      </c>
      <c r="O981" s="10"/>
    </row>
    <row r="982" spans="1:15" ht="18" customHeight="1" x14ac:dyDescent="0.3">
      <c r="A982" s="24">
        <v>981</v>
      </c>
      <c r="B982" s="63" t="s">
        <v>3083</v>
      </c>
      <c r="C982" s="63" t="s">
        <v>3086</v>
      </c>
      <c r="D982" s="99">
        <v>52</v>
      </c>
      <c r="E982" s="3" t="s">
        <v>3082</v>
      </c>
      <c r="F982" s="3" t="s">
        <v>3084</v>
      </c>
      <c r="G982" s="63" t="s">
        <v>3085</v>
      </c>
      <c r="H982" s="10" t="s">
        <v>3091</v>
      </c>
      <c r="I982" s="62">
        <v>90</v>
      </c>
      <c r="J982" s="173" t="s">
        <v>3092</v>
      </c>
      <c r="K982" s="10" t="s">
        <v>884</v>
      </c>
      <c r="L982" s="10" t="s">
        <v>820</v>
      </c>
      <c r="M982" s="10" t="s">
        <v>884</v>
      </c>
      <c r="N982" s="10" t="s">
        <v>820</v>
      </c>
      <c r="O982" s="10"/>
    </row>
    <row r="983" spans="1:15" ht="18" customHeight="1" x14ac:dyDescent="0.3">
      <c r="A983" s="24">
        <v>982</v>
      </c>
      <c r="B983" s="10" t="s">
        <v>1474</v>
      </c>
      <c r="C983" s="10" t="s">
        <v>1485</v>
      </c>
      <c r="D983" s="62">
        <v>52</v>
      </c>
      <c r="E983" s="61" t="s">
        <v>2834</v>
      </c>
      <c r="F983" s="11" t="s">
        <v>1487</v>
      </c>
      <c r="G983" s="10" t="s">
        <v>1264</v>
      </c>
      <c r="H983" s="10" t="s">
        <v>2385</v>
      </c>
      <c r="I983" s="62">
        <v>183</v>
      </c>
      <c r="J983" s="10" t="s">
        <v>2372</v>
      </c>
      <c r="K983" s="10" t="s">
        <v>847</v>
      </c>
      <c r="L983" s="10" t="s">
        <v>2373</v>
      </c>
      <c r="M983" s="10" t="s">
        <v>2372</v>
      </c>
      <c r="N983" s="10" t="s">
        <v>2373</v>
      </c>
      <c r="O983" s="10"/>
    </row>
    <row r="984" spans="1:15" ht="18" customHeight="1" x14ac:dyDescent="0.3">
      <c r="A984" s="24">
        <v>983</v>
      </c>
      <c r="B984" s="10" t="s">
        <v>1474</v>
      </c>
      <c r="C984" s="10" t="s">
        <v>1485</v>
      </c>
      <c r="D984" s="62">
        <v>52</v>
      </c>
      <c r="E984" s="61" t="s">
        <v>2834</v>
      </c>
      <c r="F984" s="11" t="s">
        <v>1487</v>
      </c>
      <c r="G984" s="10" t="s">
        <v>1264</v>
      </c>
      <c r="H984" s="10" t="s">
        <v>2378</v>
      </c>
      <c r="I984" s="62">
        <v>140</v>
      </c>
      <c r="J984" s="10" t="s">
        <v>2374</v>
      </c>
      <c r="K984" s="10" t="s">
        <v>847</v>
      </c>
      <c r="L984" s="10" t="s">
        <v>2373</v>
      </c>
      <c r="M984" s="10" t="s">
        <v>2372</v>
      </c>
      <c r="N984" s="10" t="s">
        <v>2373</v>
      </c>
      <c r="O984" s="10"/>
    </row>
    <row r="985" spans="1:15" ht="18" customHeight="1" x14ac:dyDescent="0.3">
      <c r="A985" s="24">
        <v>984</v>
      </c>
      <c r="B985" s="10" t="s">
        <v>1474</v>
      </c>
      <c r="C985" s="10" t="s">
        <v>1485</v>
      </c>
      <c r="D985" s="62">
        <v>52</v>
      </c>
      <c r="E985" s="61" t="s">
        <v>2834</v>
      </c>
      <c r="F985" s="11" t="s">
        <v>1487</v>
      </c>
      <c r="G985" s="10" t="s">
        <v>1264</v>
      </c>
      <c r="H985" s="10" t="s">
        <v>2379</v>
      </c>
      <c r="I985" s="62">
        <v>183</v>
      </c>
      <c r="J985" s="10" t="s">
        <v>2372</v>
      </c>
      <c r="K985" s="10" t="s">
        <v>847</v>
      </c>
      <c r="L985" s="10" t="s">
        <v>2373</v>
      </c>
      <c r="M985" s="10" t="s">
        <v>2372</v>
      </c>
      <c r="N985" s="10" t="s">
        <v>2373</v>
      </c>
      <c r="O985" s="10"/>
    </row>
    <row r="986" spans="1:15" ht="18" customHeight="1" x14ac:dyDescent="0.3">
      <c r="A986" s="24">
        <v>985</v>
      </c>
      <c r="B986" s="10" t="s">
        <v>1474</v>
      </c>
      <c r="C986" s="10" t="s">
        <v>1485</v>
      </c>
      <c r="D986" s="62">
        <v>52</v>
      </c>
      <c r="E986" s="61" t="s">
        <v>2834</v>
      </c>
      <c r="F986" s="11" t="s">
        <v>1487</v>
      </c>
      <c r="G986" s="10" t="s">
        <v>1264</v>
      </c>
      <c r="H986" s="10" t="s">
        <v>2380</v>
      </c>
      <c r="I986" s="62">
        <v>183</v>
      </c>
      <c r="J986" s="10" t="s">
        <v>2372</v>
      </c>
      <c r="K986" s="10" t="s">
        <v>847</v>
      </c>
      <c r="L986" s="10" t="s">
        <v>2373</v>
      </c>
      <c r="M986" s="10" t="s">
        <v>2372</v>
      </c>
      <c r="N986" s="10" t="s">
        <v>2373</v>
      </c>
      <c r="O986" s="10"/>
    </row>
    <row r="987" spans="1:15" ht="18" customHeight="1" x14ac:dyDescent="0.3">
      <c r="A987" s="24">
        <v>986</v>
      </c>
      <c r="B987" s="10" t="s">
        <v>1474</v>
      </c>
      <c r="C987" s="10" t="s">
        <v>1485</v>
      </c>
      <c r="D987" s="62">
        <v>52</v>
      </c>
      <c r="E987" s="61" t="s">
        <v>2834</v>
      </c>
      <c r="F987" s="11" t="s">
        <v>1487</v>
      </c>
      <c r="G987" s="10" t="s">
        <v>1264</v>
      </c>
      <c r="H987" s="10" t="s">
        <v>2390</v>
      </c>
      <c r="I987" s="62">
        <v>140</v>
      </c>
      <c r="J987" s="10" t="s">
        <v>2372</v>
      </c>
      <c r="K987" s="10" t="s">
        <v>847</v>
      </c>
      <c r="L987" s="10" t="s">
        <v>2373</v>
      </c>
      <c r="M987" s="10" t="s">
        <v>2372</v>
      </c>
      <c r="N987" s="10" t="s">
        <v>2373</v>
      </c>
      <c r="O987" s="10"/>
    </row>
    <row r="988" spans="1:15" ht="18" customHeight="1" x14ac:dyDescent="0.3">
      <c r="A988" s="24">
        <v>987</v>
      </c>
      <c r="B988" s="10" t="s">
        <v>1474</v>
      </c>
      <c r="C988" s="10" t="s">
        <v>1485</v>
      </c>
      <c r="D988" s="62">
        <v>52</v>
      </c>
      <c r="E988" s="61" t="s">
        <v>2834</v>
      </c>
      <c r="F988" s="11" t="s">
        <v>1487</v>
      </c>
      <c r="G988" s="10" t="s">
        <v>1264</v>
      </c>
      <c r="H988" s="10" t="s">
        <v>2382</v>
      </c>
      <c r="I988" s="62">
        <v>183</v>
      </c>
      <c r="J988" s="10" t="s">
        <v>2372</v>
      </c>
      <c r="K988" s="10" t="s">
        <v>847</v>
      </c>
      <c r="L988" s="10" t="s">
        <v>2373</v>
      </c>
      <c r="M988" s="10" t="s">
        <v>2372</v>
      </c>
      <c r="N988" s="10" t="s">
        <v>2373</v>
      </c>
      <c r="O988" s="10"/>
    </row>
    <row r="989" spans="1:15" ht="18" customHeight="1" x14ac:dyDescent="0.3">
      <c r="A989" s="24">
        <v>988</v>
      </c>
      <c r="B989" s="10" t="s">
        <v>194</v>
      </c>
      <c r="C989" s="10" t="s">
        <v>1485</v>
      </c>
      <c r="D989" s="62">
        <v>52</v>
      </c>
      <c r="E989" s="61" t="s">
        <v>2544</v>
      </c>
      <c r="F989" s="11" t="s">
        <v>1488</v>
      </c>
      <c r="G989" s="10" t="s">
        <v>2373</v>
      </c>
      <c r="H989" s="10" t="s">
        <v>845</v>
      </c>
      <c r="I989" s="62">
        <v>112</v>
      </c>
      <c r="J989" s="10" t="s">
        <v>2372</v>
      </c>
      <c r="K989" s="10" t="s">
        <v>847</v>
      </c>
      <c r="L989" s="10" t="s">
        <v>2373</v>
      </c>
      <c r="M989" s="10" t="s">
        <v>2374</v>
      </c>
      <c r="N989" s="10" t="s">
        <v>1234</v>
      </c>
      <c r="O989" s="10"/>
    </row>
    <row r="990" spans="1:15" ht="18" customHeight="1" x14ac:dyDescent="0.3">
      <c r="A990" s="24">
        <v>989</v>
      </c>
      <c r="B990" s="10" t="s">
        <v>194</v>
      </c>
      <c r="C990" s="10" t="s">
        <v>1485</v>
      </c>
      <c r="D990" s="62">
        <v>52</v>
      </c>
      <c r="E990" s="61" t="s">
        <v>2544</v>
      </c>
      <c r="F990" s="11" t="s">
        <v>1488</v>
      </c>
      <c r="G990" s="10" t="s">
        <v>2373</v>
      </c>
      <c r="H990" s="10" t="s">
        <v>848</v>
      </c>
      <c r="I990" s="62">
        <v>136</v>
      </c>
      <c r="J990" s="10" t="s">
        <v>2372</v>
      </c>
      <c r="K990" s="10" t="s">
        <v>847</v>
      </c>
      <c r="L990" s="10" t="s">
        <v>2373</v>
      </c>
      <c r="M990" s="10" t="s">
        <v>2374</v>
      </c>
      <c r="N990" s="10" t="s">
        <v>2389</v>
      </c>
      <c r="O990" s="10"/>
    </row>
    <row r="991" spans="1:15" ht="18" customHeight="1" x14ac:dyDescent="0.3">
      <c r="A991" s="24">
        <v>990</v>
      </c>
      <c r="B991" s="10" t="s">
        <v>194</v>
      </c>
      <c r="C991" s="10" t="s">
        <v>1485</v>
      </c>
      <c r="D991" s="62">
        <v>52</v>
      </c>
      <c r="E991" s="61" t="s">
        <v>2544</v>
      </c>
      <c r="F991" s="11" t="s">
        <v>1064</v>
      </c>
      <c r="G991" s="10" t="s">
        <v>2373</v>
      </c>
      <c r="H991" s="10" t="s">
        <v>849</v>
      </c>
      <c r="I991" s="62">
        <v>98</v>
      </c>
      <c r="J991" s="10" t="s">
        <v>2372</v>
      </c>
      <c r="K991" s="10" t="s">
        <v>847</v>
      </c>
      <c r="L991" s="10" t="s">
        <v>2373</v>
      </c>
      <c r="M991" s="10" t="s">
        <v>2374</v>
      </c>
      <c r="N991" s="10" t="s">
        <v>2545</v>
      </c>
      <c r="O991" s="10"/>
    </row>
    <row r="992" spans="1:15" ht="18" customHeight="1" x14ac:dyDescent="0.3">
      <c r="A992" s="24">
        <v>991</v>
      </c>
      <c r="B992" s="10" t="s">
        <v>194</v>
      </c>
      <c r="C992" s="10" t="s">
        <v>1485</v>
      </c>
      <c r="D992" s="62">
        <v>52</v>
      </c>
      <c r="E992" s="61" t="s">
        <v>2544</v>
      </c>
      <c r="F992" s="11" t="s">
        <v>1064</v>
      </c>
      <c r="G992" s="10" t="s">
        <v>2373</v>
      </c>
      <c r="H992" s="10" t="s">
        <v>850</v>
      </c>
      <c r="I992" s="62">
        <v>150</v>
      </c>
      <c r="J992" s="10" t="s">
        <v>2372</v>
      </c>
      <c r="K992" s="10" t="s">
        <v>847</v>
      </c>
      <c r="L992" s="10" t="s">
        <v>2373</v>
      </c>
      <c r="M992" s="10" t="s">
        <v>2374</v>
      </c>
      <c r="N992" s="10" t="s">
        <v>2546</v>
      </c>
      <c r="O992" s="10"/>
    </row>
    <row r="993" spans="1:15" ht="18" customHeight="1" x14ac:dyDescent="0.3">
      <c r="A993" s="24">
        <v>992</v>
      </c>
      <c r="B993" s="10" t="s">
        <v>1474</v>
      </c>
      <c r="C993" s="10" t="s">
        <v>1485</v>
      </c>
      <c r="D993" s="62">
        <v>52</v>
      </c>
      <c r="E993" s="61" t="s">
        <v>2835</v>
      </c>
      <c r="F993" s="44" t="s">
        <v>1493</v>
      </c>
      <c r="G993" s="10" t="s">
        <v>1278</v>
      </c>
      <c r="H993" s="10" t="s">
        <v>2385</v>
      </c>
      <c r="I993" s="62">
        <v>87</v>
      </c>
      <c r="J993" s="10" t="s">
        <v>2372</v>
      </c>
      <c r="K993" s="10" t="s">
        <v>2372</v>
      </c>
      <c r="L993" s="10" t="s">
        <v>2373</v>
      </c>
      <c r="M993" s="10" t="s">
        <v>2372</v>
      </c>
      <c r="N993" s="10" t="s">
        <v>2373</v>
      </c>
      <c r="O993" s="10"/>
    </row>
    <row r="994" spans="1:15" ht="18" customHeight="1" x14ac:dyDescent="0.3">
      <c r="A994" s="24">
        <v>993</v>
      </c>
      <c r="B994" s="10" t="s">
        <v>1474</v>
      </c>
      <c r="C994" s="10" t="s">
        <v>1485</v>
      </c>
      <c r="D994" s="62">
        <v>52</v>
      </c>
      <c r="E994" s="61" t="s">
        <v>2835</v>
      </c>
      <c r="F994" s="44" t="s">
        <v>1493</v>
      </c>
      <c r="G994" s="10" t="s">
        <v>1278</v>
      </c>
      <c r="H994" s="10" t="s">
        <v>2378</v>
      </c>
      <c r="I994" s="62">
        <v>88</v>
      </c>
      <c r="J994" s="10" t="s">
        <v>2372</v>
      </c>
      <c r="K994" s="10" t="s">
        <v>2372</v>
      </c>
      <c r="L994" s="10" t="s">
        <v>2373</v>
      </c>
      <c r="M994" s="10" t="s">
        <v>2372</v>
      </c>
      <c r="N994" s="10" t="s">
        <v>2373</v>
      </c>
      <c r="O994" s="10"/>
    </row>
    <row r="995" spans="1:15" ht="18" customHeight="1" x14ac:dyDescent="0.3">
      <c r="A995" s="24">
        <v>994</v>
      </c>
      <c r="B995" s="10" t="s">
        <v>1474</v>
      </c>
      <c r="C995" s="10" t="s">
        <v>1485</v>
      </c>
      <c r="D995" s="62">
        <v>52</v>
      </c>
      <c r="E995" s="61" t="s">
        <v>2835</v>
      </c>
      <c r="F995" s="44" t="s">
        <v>1493</v>
      </c>
      <c r="G995" s="10" t="s">
        <v>1278</v>
      </c>
      <c r="H995" s="10" t="s">
        <v>2379</v>
      </c>
      <c r="I995" s="62">
        <v>87</v>
      </c>
      <c r="J995" s="10" t="s">
        <v>2372</v>
      </c>
      <c r="K995" s="10" t="s">
        <v>2372</v>
      </c>
      <c r="L995" s="10" t="s">
        <v>2373</v>
      </c>
      <c r="M995" s="10" t="s">
        <v>2372</v>
      </c>
      <c r="N995" s="10" t="s">
        <v>2373</v>
      </c>
      <c r="O995" s="10"/>
    </row>
    <row r="996" spans="1:15" ht="18" customHeight="1" x14ac:dyDescent="0.3">
      <c r="A996" s="24">
        <v>995</v>
      </c>
      <c r="B996" s="10" t="s">
        <v>1474</v>
      </c>
      <c r="C996" s="10" t="s">
        <v>1485</v>
      </c>
      <c r="D996" s="62">
        <v>52</v>
      </c>
      <c r="E996" s="61" t="s">
        <v>2835</v>
      </c>
      <c r="F996" s="44" t="s">
        <v>1493</v>
      </c>
      <c r="G996" s="10" t="s">
        <v>1278</v>
      </c>
      <c r="H996" s="10" t="s">
        <v>2380</v>
      </c>
      <c r="I996" s="62">
        <v>102</v>
      </c>
      <c r="J996" s="10" t="s">
        <v>2372</v>
      </c>
      <c r="K996" s="10" t="s">
        <v>2372</v>
      </c>
      <c r="L996" s="10" t="s">
        <v>2373</v>
      </c>
      <c r="M996" s="10" t="s">
        <v>2372</v>
      </c>
      <c r="N996" s="10" t="s">
        <v>2373</v>
      </c>
      <c r="O996" s="10"/>
    </row>
    <row r="997" spans="1:15" ht="18" customHeight="1" x14ac:dyDescent="0.3">
      <c r="A997" s="24">
        <v>996</v>
      </c>
      <c r="B997" s="10" t="s">
        <v>1474</v>
      </c>
      <c r="C997" s="10" t="s">
        <v>1485</v>
      </c>
      <c r="D997" s="62">
        <v>52</v>
      </c>
      <c r="E997" s="61" t="s">
        <v>2835</v>
      </c>
      <c r="F997" s="44" t="s">
        <v>1493</v>
      </c>
      <c r="G997" s="10" t="s">
        <v>1278</v>
      </c>
      <c r="H997" s="10" t="s">
        <v>2390</v>
      </c>
      <c r="I997" s="62">
        <v>88</v>
      </c>
      <c r="J997" s="10" t="s">
        <v>2372</v>
      </c>
      <c r="K997" s="10" t="s">
        <v>2372</v>
      </c>
      <c r="L997" s="10" t="s">
        <v>2373</v>
      </c>
      <c r="M997" s="10" t="s">
        <v>2372</v>
      </c>
      <c r="N997" s="10" t="s">
        <v>2373</v>
      </c>
      <c r="O997" s="10"/>
    </row>
    <row r="998" spans="1:15" ht="18" customHeight="1" x14ac:dyDescent="0.3">
      <c r="A998" s="24">
        <v>997</v>
      </c>
      <c r="B998" s="10" t="s">
        <v>1474</v>
      </c>
      <c r="C998" s="10" t="s">
        <v>1485</v>
      </c>
      <c r="D998" s="62">
        <v>52</v>
      </c>
      <c r="E998" s="61" t="s">
        <v>2835</v>
      </c>
      <c r="F998" s="44" t="s">
        <v>1493</v>
      </c>
      <c r="G998" s="10" t="s">
        <v>1278</v>
      </c>
      <c r="H998" s="10" t="s">
        <v>2382</v>
      </c>
      <c r="I998" s="62">
        <v>84</v>
      </c>
      <c r="J998" s="10" t="s">
        <v>2372</v>
      </c>
      <c r="K998" s="10" t="s">
        <v>2372</v>
      </c>
      <c r="L998" s="10" t="s">
        <v>2373</v>
      </c>
      <c r="M998" s="10" t="s">
        <v>2372</v>
      </c>
      <c r="N998" s="10" t="s">
        <v>2373</v>
      </c>
      <c r="O998" s="10"/>
    </row>
    <row r="999" spans="1:15" ht="18" customHeight="1" x14ac:dyDescent="0.3">
      <c r="A999" s="24">
        <v>998</v>
      </c>
      <c r="B999" s="10" t="s">
        <v>194</v>
      </c>
      <c r="C999" s="10" t="s">
        <v>1485</v>
      </c>
      <c r="D999" s="62">
        <v>52</v>
      </c>
      <c r="E999" s="61" t="s">
        <v>244</v>
      </c>
      <c r="F999" s="19" t="s">
        <v>1494</v>
      </c>
      <c r="G999" s="10" t="s">
        <v>150</v>
      </c>
      <c r="H999" s="10" t="s">
        <v>845</v>
      </c>
      <c r="I999" s="62">
        <v>187</v>
      </c>
      <c r="J999" s="8" t="s">
        <v>2372</v>
      </c>
      <c r="K999" s="10" t="s">
        <v>847</v>
      </c>
      <c r="L999" s="10" t="s">
        <v>2373</v>
      </c>
      <c r="M999" s="10" t="s">
        <v>2372</v>
      </c>
      <c r="N999" s="10" t="s">
        <v>2373</v>
      </c>
      <c r="O999" s="10"/>
    </row>
    <row r="1000" spans="1:15" ht="18" customHeight="1" x14ac:dyDescent="0.3">
      <c r="A1000" s="24">
        <v>999</v>
      </c>
      <c r="B1000" s="10" t="s">
        <v>194</v>
      </c>
      <c r="C1000" s="10" t="s">
        <v>1485</v>
      </c>
      <c r="D1000" s="62">
        <v>52</v>
      </c>
      <c r="E1000" s="61" t="s">
        <v>244</v>
      </c>
      <c r="F1000" s="19" t="s">
        <v>1494</v>
      </c>
      <c r="G1000" s="10" t="s">
        <v>150</v>
      </c>
      <c r="H1000" s="10" t="s">
        <v>848</v>
      </c>
      <c r="I1000" s="62">
        <v>123</v>
      </c>
      <c r="J1000" s="8" t="s">
        <v>846</v>
      </c>
      <c r="K1000" s="10" t="s">
        <v>847</v>
      </c>
      <c r="L1000" s="10" t="s">
        <v>2373</v>
      </c>
      <c r="M1000" s="10" t="s">
        <v>2372</v>
      </c>
      <c r="N1000" s="10" t="s">
        <v>2373</v>
      </c>
      <c r="O1000" s="10"/>
    </row>
    <row r="1001" spans="1:15" ht="18" customHeight="1" x14ac:dyDescent="0.3">
      <c r="A1001" s="24">
        <v>1000</v>
      </c>
      <c r="B1001" s="10" t="s">
        <v>194</v>
      </c>
      <c r="C1001" s="10" t="s">
        <v>1485</v>
      </c>
      <c r="D1001" s="62">
        <v>52</v>
      </c>
      <c r="E1001" s="61" t="s">
        <v>244</v>
      </c>
      <c r="F1001" s="19" t="s">
        <v>1063</v>
      </c>
      <c r="G1001" s="10" t="s">
        <v>150</v>
      </c>
      <c r="H1001" s="10" t="s">
        <v>849</v>
      </c>
      <c r="I1001" s="62">
        <v>100</v>
      </c>
      <c r="J1001" s="8" t="s">
        <v>2372</v>
      </c>
      <c r="K1001" s="10" t="s">
        <v>847</v>
      </c>
      <c r="L1001" s="10" t="s">
        <v>2373</v>
      </c>
      <c r="M1001" s="10" t="s">
        <v>2372</v>
      </c>
      <c r="N1001" s="10" t="s">
        <v>2373</v>
      </c>
      <c r="O1001" s="10"/>
    </row>
    <row r="1002" spans="1:15" ht="18" customHeight="1" x14ac:dyDescent="0.3">
      <c r="A1002" s="24">
        <v>1001</v>
      </c>
      <c r="B1002" s="10" t="s">
        <v>194</v>
      </c>
      <c r="C1002" s="10" t="s">
        <v>1485</v>
      </c>
      <c r="D1002" s="62">
        <v>52</v>
      </c>
      <c r="E1002" s="61" t="s">
        <v>244</v>
      </c>
      <c r="F1002" s="19" t="s">
        <v>1063</v>
      </c>
      <c r="G1002" s="10" t="s">
        <v>150</v>
      </c>
      <c r="H1002" s="10" t="s">
        <v>850</v>
      </c>
      <c r="I1002" s="62">
        <v>128</v>
      </c>
      <c r="J1002" s="8" t="s">
        <v>2372</v>
      </c>
      <c r="K1002" s="10" t="s">
        <v>847</v>
      </c>
      <c r="L1002" s="10" t="s">
        <v>2373</v>
      </c>
      <c r="M1002" s="10" t="s">
        <v>2372</v>
      </c>
      <c r="N1002" s="10" t="s">
        <v>2373</v>
      </c>
      <c r="O1002" s="10"/>
    </row>
    <row r="1003" spans="1:15" ht="18" customHeight="1" x14ac:dyDescent="0.3">
      <c r="A1003" s="24">
        <v>1002</v>
      </c>
      <c r="B1003" s="10" t="s">
        <v>194</v>
      </c>
      <c r="C1003" s="10" t="s">
        <v>1485</v>
      </c>
      <c r="D1003" s="62">
        <v>52</v>
      </c>
      <c r="E1003" s="61" t="s">
        <v>2836</v>
      </c>
      <c r="F1003" s="19" t="s">
        <v>1496</v>
      </c>
      <c r="G1003" s="10" t="s">
        <v>1278</v>
      </c>
      <c r="H1003" s="10" t="s">
        <v>845</v>
      </c>
      <c r="I1003" s="62">
        <v>142</v>
      </c>
      <c r="J1003" s="10" t="s">
        <v>2374</v>
      </c>
      <c r="K1003" s="10" t="s">
        <v>847</v>
      </c>
      <c r="L1003" s="10" t="s">
        <v>2373</v>
      </c>
      <c r="M1003" s="10" t="s">
        <v>2372</v>
      </c>
      <c r="N1003" s="10" t="s">
        <v>2373</v>
      </c>
      <c r="O1003" s="10"/>
    </row>
    <row r="1004" spans="1:15" ht="18" customHeight="1" x14ac:dyDescent="0.3">
      <c r="A1004" s="24">
        <v>1003</v>
      </c>
      <c r="B1004" s="10" t="s">
        <v>194</v>
      </c>
      <c r="C1004" s="10" t="s">
        <v>1485</v>
      </c>
      <c r="D1004" s="62">
        <v>52</v>
      </c>
      <c r="E1004" s="61" t="s">
        <v>2836</v>
      </c>
      <c r="F1004" s="19" t="s">
        <v>1496</v>
      </c>
      <c r="G1004" s="10" t="s">
        <v>1278</v>
      </c>
      <c r="H1004" s="10" t="s">
        <v>848</v>
      </c>
      <c r="I1004" s="62">
        <v>142</v>
      </c>
      <c r="J1004" s="10" t="s">
        <v>2374</v>
      </c>
      <c r="K1004" s="10" t="s">
        <v>847</v>
      </c>
      <c r="L1004" s="10" t="s">
        <v>2373</v>
      </c>
      <c r="M1004" s="10" t="s">
        <v>2372</v>
      </c>
      <c r="N1004" s="10" t="s">
        <v>2373</v>
      </c>
      <c r="O1004" s="10"/>
    </row>
    <row r="1005" spans="1:15" ht="18" customHeight="1" x14ac:dyDescent="0.3">
      <c r="A1005" s="24">
        <v>1004</v>
      </c>
      <c r="B1005" s="10" t="s">
        <v>194</v>
      </c>
      <c r="C1005" s="10" t="s">
        <v>1485</v>
      </c>
      <c r="D1005" s="62">
        <v>52</v>
      </c>
      <c r="E1005" s="61" t="s">
        <v>2836</v>
      </c>
      <c r="F1005" s="19" t="s">
        <v>1062</v>
      </c>
      <c r="G1005" s="10" t="s">
        <v>1278</v>
      </c>
      <c r="H1005" s="10" t="s">
        <v>849</v>
      </c>
      <c r="I1005" s="62">
        <v>68</v>
      </c>
      <c r="J1005" s="10" t="s">
        <v>2374</v>
      </c>
      <c r="K1005" s="10" t="s">
        <v>847</v>
      </c>
      <c r="L1005" s="10" t="s">
        <v>2373</v>
      </c>
      <c r="M1005" s="10" t="s">
        <v>2372</v>
      </c>
      <c r="N1005" s="10" t="s">
        <v>2373</v>
      </c>
      <c r="O1005" s="10"/>
    </row>
    <row r="1006" spans="1:15" ht="18" customHeight="1" x14ac:dyDescent="0.3">
      <c r="A1006" s="24">
        <v>1005</v>
      </c>
      <c r="B1006" s="10" t="s">
        <v>194</v>
      </c>
      <c r="C1006" s="10" t="s">
        <v>1485</v>
      </c>
      <c r="D1006" s="62">
        <v>52</v>
      </c>
      <c r="E1006" s="61" t="s">
        <v>2836</v>
      </c>
      <c r="F1006" s="19" t="s">
        <v>1062</v>
      </c>
      <c r="G1006" s="10" t="s">
        <v>1278</v>
      </c>
      <c r="H1006" s="10" t="s">
        <v>850</v>
      </c>
      <c r="I1006" s="62">
        <v>121</v>
      </c>
      <c r="J1006" s="10" t="s">
        <v>2374</v>
      </c>
      <c r="K1006" s="10" t="s">
        <v>847</v>
      </c>
      <c r="L1006" s="10" t="s">
        <v>2373</v>
      </c>
      <c r="M1006" s="10" t="s">
        <v>2372</v>
      </c>
      <c r="N1006" s="10" t="s">
        <v>2373</v>
      </c>
      <c r="O1006" s="10"/>
    </row>
    <row r="1007" spans="1:15" ht="18" customHeight="1" x14ac:dyDescent="0.3">
      <c r="A1007" s="24">
        <v>1006</v>
      </c>
      <c r="B1007" s="10" t="s">
        <v>194</v>
      </c>
      <c r="C1007" s="10" t="s">
        <v>1485</v>
      </c>
      <c r="D1007" s="62">
        <v>52</v>
      </c>
      <c r="E1007" s="61" t="s">
        <v>2836</v>
      </c>
      <c r="F1007" s="19" t="s">
        <v>1062</v>
      </c>
      <c r="G1007" s="10" t="s">
        <v>1278</v>
      </c>
      <c r="H1007" s="10" t="s">
        <v>851</v>
      </c>
      <c r="I1007" s="62">
        <v>139</v>
      </c>
      <c r="J1007" s="10" t="s">
        <v>2372</v>
      </c>
      <c r="K1007" s="10" t="s">
        <v>847</v>
      </c>
      <c r="L1007" s="10" t="s">
        <v>2373</v>
      </c>
      <c r="M1007" s="10" t="s">
        <v>2372</v>
      </c>
      <c r="N1007" s="10" t="s">
        <v>2373</v>
      </c>
      <c r="O1007" s="10"/>
    </row>
    <row r="1008" spans="1:15" ht="18" customHeight="1" x14ac:dyDescent="0.3">
      <c r="A1008" s="24">
        <v>1007</v>
      </c>
      <c r="B1008" s="10" t="s">
        <v>194</v>
      </c>
      <c r="C1008" s="10" t="s">
        <v>1485</v>
      </c>
      <c r="D1008" s="62">
        <v>52</v>
      </c>
      <c r="E1008" s="61" t="s">
        <v>2836</v>
      </c>
      <c r="F1008" s="19" t="s">
        <v>1062</v>
      </c>
      <c r="G1008" s="10" t="s">
        <v>1278</v>
      </c>
      <c r="H1008" s="10" t="s">
        <v>852</v>
      </c>
      <c r="I1008" s="62">
        <v>138</v>
      </c>
      <c r="J1008" s="10" t="s">
        <v>2372</v>
      </c>
      <c r="K1008" s="10" t="s">
        <v>847</v>
      </c>
      <c r="L1008" s="10" t="s">
        <v>2373</v>
      </c>
      <c r="M1008" s="10" t="s">
        <v>2372</v>
      </c>
      <c r="N1008" s="10" t="s">
        <v>2373</v>
      </c>
      <c r="O1008" s="10"/>
    </row>
    <row r="1009" spans="1:15" ht="18" customHeight="1" x14ac:dyDescent="0.3">
      <c r="A1009" s="24">
        <v>1008</v>
      </c>
      <c r="B1009" s="10" t="s">
        <v>194</v>
      </c>
      <c r="C1009" s="10" t="s">
        <v>1485</v>
      </c>
      <c r="D1009" s="62">
        <v>52</v>
      </c>
      <c r="E1009" s="61" t="s">
        <v>2836</v>
      </c>
      <c r="F1009" s="19" t="s">
        <v>1062</v>
      </c>
      <c r="G1009" s="10" t="s">
        <v>1278</v>
      </c>
      <c r="H1009" s="10" t="s">
        <v>853</v>
      </c>
      <c r="I1009" s="62">
        <v>65</v>
      </c>
      <c r="J1009" s="10" t="s">
        <v>2372</v>
      </c>
      <c r="K1009" s="10" t="s">
        <v>847</v>
      </c>
      <c r="L1009" s="10" t="s">
        <v>2373</v>
      </c>
      <c r="M1009" s="10" t="s">
        <v>2372</v>
      </c>
      <c r="N1009" s="10" t="s">
        <v>2373</v>
      </c>
      <c r="O1009" s="10"/>
    </row>
    <row r="1010" spans="1:15" ht="18" customHeight="1" x14ac:dyDescent="0.3">
      <c r="A1010" s="24">
        <v>1009</v>
      </c>
      <c r="B1010" s="10" t="s">
        <v>194</v>
      </c>
      <c r="C1010" s="10" t="s">
        <v>1485</v>
      </c>
      <c r="D1010" s="62">
        <v>52</v>
      </c>
      <c r="E1010" s="61" t="s">
        <v>2836</v>
      </c>
      <c r="F1010" s="19" t="s">
        <v>1062</v>
      </c>
      <c r="G1010" s="10" t="s">
        <v>1278</v>
      </c>
      <c r="H1010" s="10" t="s">
        <v>854</v>
      </c>
      <c r="I1010" s="62">
        <v>68</v>
      </c>
      <c r="J1010" s="10" t="s">
        <v>2372</v>
      </c>
      <c r="K1010" s="10" t="s">
        <v>847</v>
      </c>
      <c r="L1010" s="10" t="s">
        <v>2373</v>
      </c>
      <c r="M1010" s="10" t="s">
        <v>2372</v>
      </c>
      <c r="N1010" s="10" t="s">
        <v>2373</v>
      </c>
      <c r="O1010" s="10"/>
    </row>
    <row r="1011" spans="1:15" ht="18" customHeight="1" x14ac:dyDescent="0.3">
      <c r="A1011" s="24">
        <v>1010</v>
      </c>
      <c r="B1011" s="10" t="s">
        <v>194</v>
      </c>
      <c r="C1011" s="10" t="s">
        <v>1485</v>
      </c>
      <c r="D1011" s="62">
        <v>52</v>
      </c>
      <c r="E1011" s="61" t="s">
        <v>2836</v>
      </c>
      <c r="F1011" s="19" t="s">
        <v>1062</v>
      </c>
      <c r="G1011" s="10" t="s">
        <v>1278</v>
      </c>
      <c r="H1011" s="10" t="s">
        <v>855</v>
      </c>
      <c r="I1011" s="62">
        <v>121</v>
      </c>
      <c r="J1011" s="10" t="s">
        <v>2372</v>
      </c>
      <c r="K1011" s="10" t="s">
        <v>847</v>
      </c>
      <c r="L1011" s="10" t="s">
        <v>2373</v>
      </c>
      <c r="M1011" s="10" t="s">
        <v>2372</v>
      </c>
      <c r="N1011" s="10" t="s">
        <v>2373</v>
      </c>
      <c r="O1011" s="10"/>
    </row>
    <row r="1012" spans="1:15" ht="18" customHeight="1" x14ac:dyDescent="0.3">
      <c r="A1012" s="24">
        <v>1011</v>
      </c>
      <c r="B1012" s="10" t="s">
        <v>194</v>
      </c>
      <c r="C1012" s="10" t="s">
        <v>43</v>
      </c>
      <c r="D1012" s="62">
        <v>53</v>
      </c>
      <c r="E1012" s="61" t="s">
        <v>2837</v>
      </c>
      <c r="F1012" s="19" t="s">
        <v>493</v>
      </c>
      <c r="G1012" s="10" t="s">
        <v>150</v>
      </c>
      <c r="H1012" s="10" t="s">
        <v>845</v>
      </c>
      <c r="I1012" s="62">
        <v>165</v>
      </c>
      <c r="J1012" s="10" t="s">
        <v>2374</v>
      </c>
      <c r="K1012" s="10" t="s">
        <v>847</v>
      </c>
      <c r="L1012" s="10" t="s">
        <v>2373</v>
      </c>
      <c r="M1012" s="10" t="s">
        <v>2372</v>
      </c>
      <c r="N1012" s="10" t="s">
        <v>2373</v>
      </c>
      <c r="O1012" s="10"/>
    </row>
    <row r="1013" spans="1:15" ht="18" customHeight="1" x14ac:dyDescent="0.3">
      <c r="A1013" s="24">
        <v>1012</v>
      </c>
      <c r="B1013" s="10" t="s">
        <v>194</v>
      </c>
      <c r="C1013" s="10" t="s">
        <v>43</v>
      </c>
      <c r="D1013" s="62">
        <v>53</v>
      </c>
      <c r="E1013" s="61" t="s">
        <v>2837</v>
      </c>
      <c r="F1013" s="19" t="s">
        <v>493</v>
      </c>
      <c r="G1013" s="10" t="s">
        <v>150</v>
      </c>
      <c r="H1013" s="10" t="s">
        <v>848</v>
      </c>
      <c r="I1013" s="62">
        <v>117</v>
      </c>
      <c r="J1013" s="10" t="s">
        <v>2372</v>
      </c>
      <c r="K1013" s="10" t="s">
        <v>847</v>
      </c>
      <c r="L1013" s="10" t="s">
        <v>2373</v>
      </c>
      <c r="M1013" s="10" t="s">
        <v>2372</v>
      </c>
      <c r="N1013" s="10" t="s">
        <v>2373</v>
      </c>
      <c r="O1013" s="10"/>
    </row>
    <row r="1014" spans="1:15" ht="18" customHeight="1" x14ac:dyDescent="0.3">
      <c r="A1014" s="24">
        <v>1013</v>
      </c>
      <c r="B1014" s="10" t="s">
        <v>194</v>
      </c>
      <c r="C1014" s="10" t="s">
        <v>43</v>
      </c>
      <c r="D1014" s="62">
        <v>53</v>
      </c>
      <c r="E1014" s="61" t="s">
        <v>2837</v>
      </c>
      <c r="F1014" s="19" t="s">
        <v>493</v>
      </c>
      <c r="G1014" s="10" t="s">
        <v>150</v>
      </c>
      <c r="H1014" s="10" t="s">
        <v>849</v>
      </c>
      <c r="I1014" s="62">
        <v>143</v>
      </c>
      <c r="J1014" s="10" t="s">
        <v>2374</v>
      </c>
      <c r="K1014" s="10" t="s">
        <v>847</v>
      </c>
      <c r="L1014" s="10" t="s">
        <v>2373</v>
      </c>
      <c r="M1014" s="10" t="s">
        <v>2372</v>
      </c>
      <c r="N1014" s="10" t="s">
        <v>2373</v>
      </c>
      <c r="O1014" s="10"/>
    </row>
    <row r="1015" spans="1:15" ht="18" customHeight="1" x14ac:dyDescent="0.3">
      <c r="A1015" s="24">
        <v>1014</v>
      </c>
      <c r="B1015" s="10" t="s">
        <v>194</v>
      </c>
      <c r="C1015" s="10" t="s">
        <v>43</v>
      </c>
      <c r="D1015" s="62">
        <v>53</v>
      </c>
      <c r="E1015" s="61" t="s">
        <v>2837</v>
      </c>
      <c r="F1015" s="19" t="s">
        <v>493</v>
      </c>
      <c r="G1015" s="10" t="s">
        <v>150</v>
      </c>
      <c r="H1015" s="10" t="s">
        <v>850</v>
      </c>
      <c r="I1015" s="62">
        <v>231</v>
      </c>
      <c r="J1015" s="10" t="s">
        <v>2372</v>
      </c>
      <c r="K1015" s="10" t="s">
        <v>847</v>
      </c>
      <c r="L1015" s="10" t="s">
        <v>2373</v>
      </c>
      <c r="M1015" s="10" t="s">
        <v>2372</v>
      </c>
      <c r="N1015" s="10" t="s">
        <v>2373</v>
      </c>
      <c r="O1015" s="10"/>
    </row>
    <row r="1016" spans="1:15" ht="18" customHeight="1" x14ac:dyDescent="0.3">
      <c r="A1016" s="24">
        <v>1015</v>
      </c>
      <c r="B1016" s="10" t="s">
        <v>194</v>
      </c>
      <c r="C1016" s="10" t="s">
        <v>43</v>
      </c>
      <c r="D1016" s="62">
        <v>53</v>
      </c>
      <c r="E1016" s="61" t="s">
        <v>2837</v>
      </c>
      <c r="F1016" s="19" t="s">
        <v>493</v>
      </c>
      <c r="G1016" s="10" t="s">
        <v>150</v>
      </c>
      <c r="H1016" s="10" t="s">
        <v>851</v>
      </c>
      <c r="I1016" s="62">
        <v>231</v>
      </c>
      <c r="J1016" s="10" t="s">
        <v>2372</v>
      </c>
      <c r="K1016" s="10" t="s">
        <v>847</v>
      </c>
      <c r="L1016" s="10" t="s">
        <v>2373</v>
      </c>
      <c r="M1016" s="10" t="s">
        <v>2372</v>
      </c>
      <c r="N1016" s="10" t="s">
        <v>2373</v>
      </c>
      <c r="O1016" s="10"/>
    </row>
    <row r="1017" spans="1:15" ht="18" customHeight="1" x14ac:dyDescent="0.3">
      <c r="A1017" s="24">
        <v>1016</v>
      </c>
      <c r="B1017" s="10" t="s">
        <v>194</v>
      </c>
      <c r="C1017" s="10" t="s">
        <v>43</v>
      </c>
      <c r="D1017" s="62">
        <v>53</v>
      </c>
      <c r="E1017" s="61" t="s">
        <v>2837</v>
      </c>
      <c r="F1017" s="19" t="s">
        <v>493</v>
      </c>
      <c r="G1017" s="10" t="s">
        <v>150</v>
      </c>
      <c r="H1017" s="10" t="s">
        <v>852</v>
      </c>
      <c r="I1017" s="62">
        <v>145</v>
      </c>
      <c r="J1017" s="10" t="s">
        <v>2372</v>
      </c>
      <c r="K1017" s="10" t="s">
        <v>847</v>
      </c>
      <c r="L1017" s="10" t="s">
        <v>2373</v>
      </c>
      <c r="M1017" s="10" t="s">
        <v>2372</v>
      </c>
      <c r="N1017" s="10" t="s">
        <v>2373</v>
      </c>
      <c r="O1017" s="10"/>
    </row>
    <row r="1018" spans="1:15" ht="18" customHeight="1" x14ac:dyDescent="0.3">
      <c r="A1018" s="24">
        <v>1017</v>
      </c>
      <c r="B1018" s="10" t="s">
        <v>194</v>
      </c>
      <c r="C1018" s="10" t="s">
        <v>43</v>
      </c>
      <c r="D1018" s="62">
        <v>53</v>
      </c>
      <c r="E1018" s="61" t="s">
        <v>2837</v>
      </c>
      <c r="F1018" s="19" t="s">
        <v>493</v>
      </c>
      <c r="G1018" s="10" t="s">
        <v>150</v>
      </c>
      <c r="H1018" s="10" t="s">
        <v>853</v>
      </c>
      <c r="I1018" s="62">
        <v>117</v>
      </c>
      <c r="J1018" s="10" t="s">
        <v>2372</v>
      </c>
      <c r="K1018" s="10" t="s">
        <v>847</v>
      </c>
      <c r="L1018" s="10" t="s">
        <v>2373</v>
      </c>
      <c r="M1018" s="10" t="s">
        <v>2372</v>
      </c>
      <c r="N1018" s="10" t="s">
        <v>2373</v>
      </c>
      <c r="O1018" s="10"/>
    </row>
    <row r="1019" spans="1:15" ht="18" customHeight="1" x14ac:dyDescent="0.3">
      <c r="A1019" s="24">
        <v>1018</v>
      </c>
      <c r="B1019" s="10" t="s">
        <v>194</v>
      </c>
      <c r="C1019" s="10" t="s">
        <v>43</v>
      </c>
      <c r="D1019" s="62">
        <v>53</v>
      </c>
      <c r="E1019" s="61" t="s">
        <v>2837</v>
      </c>
      <c r="F1019" s="19" t="s">
        <v>493</v>
      </c>
      <c r="G1019" s="10" t="s">
        <v>150</v>
      </c>
      <c r="H1019" s="10" t="s">
        <v>854</v>
      </c>
      <c r="I1019" s="62">
        <v>165</v>
      </c>
      <c r="J1019" s="10" t="s">
        <v>2372</v>
      </c>
      <c r="K1019" s="10" t="s">
        <v>847</v>
      </c>
      <c r="L1019" s="10" t="s">
        <v>2373</v>
      </c>
      <c r="M1019" s="10" t="s">
        <v>2372</v>
      </c>
      <c r="N1019" s="10" t="s">
        <v>2373</v>
      </c>
      <c r="O1019" s="10"/>
    </row>
    <row r="1020" spans="1:15" ht="18" customHeight="1" x14ac:dyDescent="0.3">
      <c r="A1020" s="24">
        <v>1019</v>
      </c>
      <c r="B1020" s="10" t="s">
        <v>194</v>
      </c>
      <c r="C1020" s="10" t="s">
        <v>43</v>
      </c>
      <c r="D1020" s="62">
        <v>53</v>
      </c>
      <c r="E1020" s="61" t="s">
        <v>2837</v>
      </c>
      <c r="F1020" s="19" t="s">
        <v>493</v>
      </c>
      <c r="G1020" s="10" t="s">
        <v>150</v>
      </c>
      <c r="H1020" s="10" t="s">
        <v>855</v>
      </c>
      <c r="I1020" s="62">
        <v>184</v>
      </c>
      <c r="J1020" s="10" t="s">
        <v>2372</v>
      </c>
      <c r="K1020" s="10" t="s">
        <v>847</v>
      </c>
      <c r="L1020" s="10" t="s">
        <v>2373</v>
      </c>
      <c r="M1020" s="10" t="s">
        <v>2372</v>
      </c>
      <c r="N1020" s="10" t="s">
        <v>2373</v>
      </c>
      <c r="O1020" s="10"/>
    </row>
    <row r="1021" spans="1:15" ht="18" customHeight="1" x14ac:dyDescent="0.3">
      <c r="A1021" s="24">
        <v>1020</v>
      </c>
      <c r="B1021" s="10" t="s">
        <v>194</v>
      </c>
      <c r="C1021" s="10" t="s">
        <v>43</v>
      </c>
      <c r="D1021" s="62">
        <v>53</v>
      </c>
      <c r="E1021" s="61" t="s">
        <v>2547</v>
      </c>
      <c r="F1021" s="16" t="s">
        <v>496</v>
      </c>
      <c r="G1021" s="10" t="s">
        <v>150</v>
      </c>
      <c r="H1021" s="10" t="s">
        <v>845</v>
      </c>
      <c r="I1021" s="62">
        <v>200</v>
      </c>
      <c r="J1021" s="10" t="s">
        <v>2372</v>
      </c>
      <c r="K1021" s="10" t="s">
        <v>847</v>
      </c>
      <c r="L1021" s="10" t="s">
        <v>2373</v>
      </c>
      <c r="M1021" s="10" t="s">
        <v>2372</v>
      </c>
      <c r="N1021" s="10" t="s">
        <v>2373</v>
      </c>
      <c r="O1021" s="10"/>
    </row>
    <row r="1022" spans="1:15" ht="18" customHeight="1" x14ac:dyDescent="0.3">
      <c r="A1022" s="24">
        <v>1021</v>
      </c>
      <c r="B1022" s="10" t="s">
        <v>194</v>
      </c>
      <c r="C1022" s="10" t="s">
        <v>43</v>
      </c>
      <c r="D1022" s="62">
        <v>53</v>
      </c>
      <c r="E1022" s="61" t="s">
        <v>2547</v>
      </c>
      <c r="F1022" s="16" t="s">
        <v>496</v>
      </c>
      <c r="G1022" s="10" t="s">
        <v>150</v>
      </c>
      <c r="H1022" s="10" t="s">
        <v>849</v>
      </c>
      <c r="I1022" s="62">
        <v>147</v>
      </c>
      <c r="J1022" s="10" t="s">
        <v>2372</v>
      </c>
      <c r="K1022" s="10" t="s">
        <v>847</v>
      </c>
      <c r="L1022" s="10" t="s">
        <v>2373</v>
      </c>
      <c r="M1022" s="10" t="s">
        <v>2372</v>
      </c>
      <c r="N1022" s="10" t="s">
        <v>2373</v>
      </c>
      <c r="O1022" s="10"/>
    </row>
    <row r="1023" spans="1:15" ht="18" customHeight="1" x14ac:dyDescent="0.3">
      <c r="A1023" s="24">
        <v>1022</v>
      </c>
      <c r="B1023" s="10" t="s">
        <v>194</v>
      </c>
      <c r="C1023" s="10" t="s">
        <v>43</v>
      </c>
      <c r="D1023" s="62">
        <v>53</v>
      </c>
      <c r="E1023" s="61" t="s">
        <v>2547</v>
      </c>
      <c r="F1023" s="16" t="s">
        <v>496</v>
      </c>
      <c r="G1023" s="10" t="s">
        <v>150</v>
      </c>
      <c r="H1023" s="10" t="s">
        <v>850</v>
      </c>
      <c r="I1023" s="62">
        <v>199</v>
      </c>
      <c r="J1023" s="10" t="s">
        <v>2372</v>
      </c>
      <c r="K1023" s="10" t="s">
        <v>847</v>
      </c>
      <c r="L1023" s="10" t="s">
        <v>2373</v>
      </c>
      <c r="M1023" s="10" t="s">
        <v>2372</v>
      </c>
      <c r="N1023" s="10" t="s">
        <v>2373</v>
      </c>
      <c r="O1023" s="10"/>
    </row>
    <row r="1024" spans="1:15" ht="18" customHeight="1" x14ac:dyDescent="0.3">
      <c r="A1024" s="24">
        <v>1023</v>
      </c>
      <c r="B1024" s="10" t="s">
        <v>194</v>
      </c>
      <c r="C1024" s="10" t="s">
        <v>43</v>
      </c>
      <c r="D1024" s="62">
        <v>53</v>
      </c>
      <c r="E1024" s="61" t="s">
        <v>2547</v>
      </c>
      <c r="F1024" s="16" t="s">
        <v>496</v>
      </c>
      <c r="G1024" s="10" t="s">
        <v>150</v>
      </c>
      <c r="H1024" s="10" t="s">
        <v>851</v>
      </c>
      <c r="I1024" s="62">
        <v>165</v>
      </c>
      <c r="J1024" s="10" t="s">
        <v>2374</v>
      </c>
      <c r="K1024" s="10" t="s">
        <v>847</v>
      </c>
      <c r="L1024" s="10" t="s">
        <v>2373</v>
      </c>
      <c r="M1024" s="10" t="s">
        <v>2372</v>
      </c>
      <c r="N1024" s="10" t="s">
        <v>2373</v>
      </c>
      <c r="O1024" s="10"/>
    </row>
    <row r="1025" spans="1:15" ht="18" customHeight="1" x14ac:dyDescent="0.3">
      <c r="A1025" s="24">
        <v>1024</v>
      </c>
      <c r="B1025" s="10" t="s">
        <v>194</v>
      </c>
      <c r="C1025" s="10" t="s">
        <v>43</v>
      </c>
      <c r="D1025" s="62">
        <v>53</v>
      </c>
      <c r="E1025" s="61" t="s">
        <v>2547</v>
      </c>
      <c r="F1025" s="16" t="s">
        <v>496</v>
      </c>
      <c r="G1025" s="10" t="s">
        <v>150</v>
      </c>
      <c r="H1025" s="10" t="s">
        <v>853</v>
      </c>
      <c r="I1025" s="62">
        <v>214</v>
      </c>
      <c r="J1025" s="10" t="s">
        <v>2372</v>
      </c>
      <c r="K1025" s="10" t="s">
        <v>847</v>
      </c>
      <c r="L1025" s="10" t="s">
        <v>2373</v>
      </c>
      <c r="M1025" s="10" t="s">
        <v>2372</v>
      </c>
      <c r="N1025" s="10" t="s">
        <v>2373</v>
      </c>
      <c r="O1025" s="10"/>
    </row>
    <row r="1026" spans="1:15" ht="18" customHeight="1" x14ac:dyDescent="0.3">
      <c r="A1026" s="24">
        <v>1025</v>
      </c>
      <c r="B1026" s="10" t="s">
        <v>194</v>
      </c>
      <c r="C1026" s="10" t="s">
        <v>43</v>
      </c>
      <c r="D1026" s="62">
        <v>53</v>
      </c>
      <c r="E1026" s="61" t="s">
        <v>2547</v>
      </c>
      <c r="F1026" s="16" t="s">
        <v>496</v>
      </c>
      <c r="G1026" s="10" t="s">
        <v>150</v>
      </c>
      <c r="H1026" s="10" t="s">
        <v>854</v>
      </c>
      <c r="I1026" s="62">
        <v>175</v>
      </c>
      <c r="J1026" s="10" t="s">
        <v>2372</v>
      </c>
      <c r="K1026" s="10" t="s">
        <v>847</v>
      </c>
      <c r="L1026" s="10" t="s">
        <v>2373</v>
      </c>
      <c r="M1026" s="10" t="s">
        <v>2372</v>
      </c>
      <c r="N1026" s="10" t="s">
        <v>2373</v>
      </c>
      <c r="O1026" s="10"/>
    </row>
    <row r="1027" spans="1:15" ht="18" customHeight="1" x14ac:dyDescent="0.3">
      <c r="A1027" s="24">
        <v>1026</v>
      </c>
      <c r="B1027" s="10" t="s">
        <v>194</v>
      </c>
      <c r="C1027" s="10" t="s">
        <v>43</v>
      </c>
      <c r="D1027" s="62">
        <v>53</v>
      </c>
      <c r="E1027" s="61" t="s">
        <v>2547</v>
      </c>
      <c r="F1027" s="16" t="s">
        <v>496</v>
      </c>
      <c r="G1027" s="10" t="s">
        <v>150</v>
      </c>
      <c r="H1027" s="10" t="s">
        <v>848</v>
      </c>
      <c r="I1027" s="62">
        <v>116</v>
      </c>
      <c r="J1027" s="10" t="s">
        <v>2372</v>
      </c>
      <c r="K1027" s="10" t="s">
        <v>2374</v>
      </c>
      <c r="L1027" s="10" t="s">
        <v>1422</v>
      </c>
      <c r="M1027" s="10" t="s">
        <v>2372</v>
      </c>
      <c r="N1027" s="10" t="s">
        <v>2373</v>
      </c>
      <c r="O1027" s="10"/>
    </row>
    <row r="1028" spans="1:15" ht="18" customHeight="1" x14ac:dyDescent="0.3">
      <c r="A1028" s="24">
        <v>1027</v>
      </c>
      <c r="B1028" s="10" t="s">
        <v>194</v>
      </c>
      <c r="C1028" s="10" t="s">
        <v>43</v>
      </c>
      <c r="D1028" s="62">
        <v>53</v>
      </c>
      <c r="E1028" s="61" t="s">
        <v>2547</v>
      </c>
      <c r="F1028" s="16" t="s">
        <v>496</v>
      </c>
      <c r="G1028" s="10" t="s">
        <v>150</v>
      </c>
      <c r="H1028" s="173" t="s">
        <v>3474</v>
      </c>
      <c r="I1028" s="62">
        <v>326</v>
      </c>
      <c r="J1028" s="10" t="s">
        <v>2374</v>
      </c>
      <c r="K1028" s="10" t="s">
        <v>846</v>
      </c>
      <c r="L1028" s="173" t="s">
        <v>3196</v>
      </c>
      <c r="M1028" s="10" t="s">
        <v>2372</v>
      </c>
      <c r="N1028" s="10" t="s">
        <v>2373</v>
      </c>
      <c r="O1028" s="10"/>
    </row>
    <row r="1029" spans="1:15" ht="18" customHeight="1" x14ac:dyDescent="0.3">
      <c r="A1029" s="24">
        <v>1028</v>
      </c>
      <c r="B1029" s="10" t="s">
        <v>194</v>
      </c>
      <c r="C1029" s="10" t="s">
        <v>43</v>
      </c>
      <c r="D1029" s="62">
        <v>53</v>
      </c>
      <c r="E1029" s="61" t="s">
        <v>2838</v>
      </c>
      <c r="F1029" s="19" t="s">
        <v>494</v>
      </c>
      <c r="G1029" s="10" t="s">
        <v>150</v>
      </c>
      <c r="H1029" s="10" t="s">
        <v>845</v>
      </c>
      <c r="I1029" s="62">
        <v>207</v>
      </c>
      <c r="J1029" s="10" t="s">
        <v>2372</v>
      </c>
      <c r="K1029" s="10" t="s">
        <v>847</v>
      </c>
      <c r="L1029" s="10" t="s">
        <v>2373</v>
      </c>
      <c r="M1029" s="10" t="s">
        <v>2372</v>
      </c>
      <c r="N1029" s="10" t="s">
        <v>2373</v>
      </c>
      <c r="O1029" s="10"/>
    </row>
    <row r="1030" spans="1:15" ht="18" customHeight="1" x14ac:dyDescent="0.3">
      <c r="A1030" s="24">
        <v>1029</v>
      </c>
      <c r="B1030" s="10" t="s">
        <v>194</v>
      </c>
      <c r="C1030" s="10" t="s">
        <v>43</v>
      </c>
      <c r="D1030" s="62">
        <v>53</v>
      </c>
      <c r="E1030" s="61" t="s">
        <v>2838</v>
      </c>
      <c r="F1030" s="19" t="s">
        <v>494</v>
      </c>
      <c r="G1030" s="10" t="s">
        <v>150</v>
      </c>
      <c r="H1030" s="10" t="s">
        <v>848</v>
      </c>
      <c r="I1030" s="62">
        <v>216</v>
      </c>
      <c r="J1030" s="10" t="s">
        <v>2374</v>
      </c>
      <c r="K1030" s="10" t="s">
        <v>847</v>
      </c>
      <c r="L1030" s="10" t="s">
        <v>2373</v>
      </c>
      <c r="M1030" s="10" t="s">
        <v>2372</v>
      </c>
      <c r="N1030" s="10" t="s">
        <v>2373</v>
      </c>
      <c r="O1030" s="10"/>
    </row>
    <row r="1031" spans="1:15" ht="18" customHeight="1" x14ac:dyDescent="0.3">
      <c r="A1031" s="24">
        <v>1030</v>
      </c>
      <c r="B1031" s="10" t="s">
        <v>194</v>
      </c>
      <c r="C1031" s="10" t="s">
        <v>43</v>
      </c>
      <c r="D1031" s="62">
        <v>53</v>
      </c>
      <c r="E1031" s="61" t="s">
        <v>2838</v>
      </c>
      <c r="F1031" s="19" t="s">
        <v>494</v>
      </c>
      <c r="G1031" s="10" t="s">
        <v>150</v>
      </c>
      <c r="H1031" s="10" t="s">
        <v>849</v>
      </c>
      <c r="I1031" s="62">
        <v>167</v>
      </c>
      <c r="J1031" s="10" t="s">
        <v>2372</v>
      </c>
      <c r="K1031" s="10" t="s">
        <v>847</v>
      </c>
      <c r="L1031" s="10" t="s">
        <v>2373</v>
      </c>
      <c r="M1031" s="10" t="s">
        <v>2372</v>
      </c>
      <c r="N1031" s="10" t="s">
        <v>2373</v>
      </c>
      <c r="O1031" s="10"/>
    </row>
    <row r="1032" spans="1:15" ht="18" customHeight="1" x14ac:dyDescent="0.3">
      <c r="A1032" s="24">
        <v>1031</v>
      </c>
      <c r="B1032" s="10" t="s">
        <v>194</v>
      </c>
      <c r="C1032" s="10" t="s">
        <v>43</v>
      </c>
      <c r="D1032" s="62">
        <v>53</v>
      </c>
      <c r="E1032" s="61" t="s">
        <v>2838</v>
      </c>
      <c r="F1032" s="19" t="s">
        <v>494</v>
      </c>
      <c r="G1032" s="10" t="s">
        <v>150</v>
      </c>
      <c r="H1032" s="10" t="s">
        <v>850</v>
      </c>
      <c r="I1032" s="62">
        <v>224</v>
      </c>
      <c r="J1032" s="10" t="s">
        <v>2372</v>
      </c>
      <c r="K1032" s="10" t="s">
        <v>847</v>
      </c>
      <c r="L1032" s="10" t="s">
        <v>2373</v>
      </c>
      <c r="M1032" s="10" t="s">
        <v>2372</v>
      </c>
      <c r="N1032" s="10" t="s">
        <v>2373</v>
      </c>
      <c r="O1032" s="10"/>
    </row>
    <row r="1033" spans="1:15" ht="18" customHeight="1" x14ac:dyDescent="0.3">
      <c r="A1033" s="24">
        <v>1032</v>
      </c>
      <c r="B1033" s="10" t="s">
        <v>194</v>
      </c>
      <c r="C1033" s="10" t="s">
        <v>43</v>
      </c>
      <c r="D1033" s="62">
        <v>53</v>
      </c>
      <c r="E1033" s="61" t="s">
        <v>2838</v>
      </c>
      <c r="F1033" s="19" t="s">
        <v>494</v>
      </c>
      <c r="G1033" s="10" t="s">
        <v>150</v>
      </c>
      <c r="H1033" s="10" t="s">
        <v>851</v>
      </c>
      <c r="I1033" s="62">
        <v>232</v>
      </c>
      <c r="J1033" s="10" t="s">
        <v>2372</v>
      </c>
      <c r="K1033" s="10" t="s">
        <v>847</v>
      </c>
      <c r="L1033" s="10" t="s">
        <v>2373</v>
      </c>
      <c r="M1033" s="10" t="s">
        <v>2372</v>
      </c>
      <c r="N1033" s="10" t="s">
        <v>2373</v>
      </c>
      <c r="O1033" s="10"/>
    </row>
    <row r="1034" spans="1:15" ht="18" customHeight="1" x14ac:dyDescent="0.3">
      <c r="A1034" s="24">
        <v>1033</v>
      </c>
      <c r="B1034" s="10" t="s">
        <v>194</v>
      </c>
      <c r="C1034" s="10" t="s">
        <v>43</v>
      </c>
      <c r="D1034" s="62">
        <v>53</v>
      </c>
      <c r="E1034" s="61" t="s">
        <v>2838</v>
      </c>
      <c r="F1034" s="19" t="s">
        <v>494</v>
      </c>
      <c r="G1034" s="10" t="s">
        <v>150</v>
      </c>
      <c r="H1034" s="10" t="s">
        <v>852</v>
      </c>
      <c r="I1034" s="62">
        <v>167</v>
      </c>
      <c r="J1034" s="10" t="s">
        <v>2374</v>
      </c>
      <c r="K1034" s="10" t="s">
        <v>847</v>
      </c>
      <c r="L1034" s="10" t="s">
        <v>2373</v>
      </c>
      <c r="M1034" s="10" t="s">
        <v>2372</v>
      </c>
      <c r="N1034" s="10" t="s">
        <v>2373</v>
      </c>
      <c r="O1034" s="10"/>
    </row>
    <row r="1035" spans="1:15" ht="18" customHeight="1" x14ac:dyDescent="0.3">
      <c r="A1035" s="24">
        <v>1034</v>
      </c>
      <c r="B1035" s="10" t="s">
        <v>1474</v>
      </c>
      <c r="C1035" s="10" t="s">
        <v>1498</v>
      </c>
      <c r="D1035" s="62">
        <v>53</v>
      </c>
      <c r="E1035" s="61" t="s">
        <v>2839</v>
      </c>
      <c r="F1035" s="19" t="s">
        <v>1503</v>
      </c>
      <c r="G1035" s="10" t="s">
        <v>1278</v>
      </c>
      <c r="H1035" s="10" t="s">
        <v>2385</v>
      </c>
      <c r="I1035" s="62">
        <v>212</v>
      </c>
      <c r="J1035" s="10" t="s">
        <v>2372</v>
      </c>
      <c r="K1035" s="10" t="s">
        <v>2372</v>
      </c>
      <c r="L1035" s="10" t="s">
        <v>2373</v>
      </c>
      <c r="M1035" s="10" t="s">
        <v>2372</v>
      </c>
      <c r="N1035" s="10" t="s">
        <v>2373</v>
      </c>
      <c r="O1035" s="10"/>
    </row>
    <row r="1036" spans="1:15" ht="18" customHeight="1" x14ac:dyDescent="0.3">
      <c r="A1036" s="24">
        <v>1035</v>
      </c>
      <c r="B1036" s="10" t="s">
        <v>1474</v>
      </c>
      <c r="C1036" s="10" t="s">
        <v>1498</v>
      </c>
      <c r="D1036" s="62">
        <v>53</v>
      </c>
      <c r="E1036" s="61" t="s">
        <v>2839</v>
      </c>
      <c r="F1036" s="19" t="s">
        <v>1503</v>
      </c>
      <c r="G1036" s="10" t="s">
        <v>1278</v>
      </c>
      <c r="H1036" s="10" t="s">
        <v>2378</v>
      </c>
      <c r="I1036" s="62">
        <v>134</v>
      </c>
      <c r="J1036" s="10" t="s">
        <v>2374</v>
      </c>
      <c r="K1036" s="10" t="s">
        <v>2372</v>
      </c>
      <c r="L1036" s="10" t="s">
        <v>2373</v>
      </c>
      <c r="M1036" s="10" t="s">
        <v>2372</v>
      </c>
      <c r="N1036" s="10" t="s">
        <v>2373</v>
      </c>
      <c r="O1036" s="10"/>
    </row>
    <row r="1037" spans="1:15" ht="18" customHeight="1" x14ac:dyDescent="0.3">
      <c r="A1037" s="24">
        <v>1036</v>
      </c>
      <c r="B1037" s="10" t="s">
        <v>1474</v>
      </c>
      <c r="C1037" s="10" t="s">
        <v>1498</v>
      </c>
      <c r="D1037" s="62">
        <v>53</v>
      </c>
      <c r="E1037" s="61" t="s">
        <v>2839</v>
      </c>
      <c r="F1037" s="19" t="s">
        <v>1503</v>
      </c>
      <c r="G1037" s="10" t="s">
        <v>1278</v>
      </c>
      <c r="H1037" s="10" t="s">
        <v>2379</v>
      </c>
      <c r="I1037" s="62">
        <v>58</v>
      </c>
      <c r="J1037" s="10" t="s">
        <v>2372</v>
      </c>
      <c r="K1037" s="10" t="s">
        <v>2372</v>
      </c>
      <c r="L1037" s="10" t="s">
        <v>2373</v>
      </c>
      <c r="M1037" s="10" t="s">
        <v>2372</v>
      </c>
      <c r="N1037" s="10" t="s">
        <v>2373</v>
      </c>
      <c r="O1037" s="10"/>
    </row>
    <row r="1038" spans="1:15" ht="18" customHeight="1" x14ac:dyDescent="0.3">
      <c r="A1038" s="24">
        <v>1037</v>
      </c>
      <c r="B1038" s="10" t="s">
        <v>1474</v>
      </c>
      <c r="C1038" s="10" t="s">
        <v>1498</v>
      </c>
      <c r="D1038" s="62">
        <v>53</v>
      </c>
      <c r="E1038" s="61" t="s">
        <v>2839</v>
      </c>
      <c r="F1038" s="19" t="s">
        <v>1503</v>
      </c>
      <c r="G1038" s="10" t="s">
        <v>1278</v>
      </c>
      <c r="H1038" s="10" t="s">
        <v>2380</v>
      </c>
      <c r="I1038" s="62">
        <v>59</v>
      </c>
      <c r="J1038" s="10" t="s">
        <v>2372</v>
      </c>
      <c r="K1038" s="10" t="s">
        <v>2372</v>
      </c>
      <c r="L1038" s="10" t="s">
        <v>2373</v>
      </c>
      <c r="M1038" s="10" t="s">
        <v>2372</v>
      </c>
      <c r="N1038" s="10" t="s">
        <v>2373</v>
      </c>
      <c r="O1038" s="10"/>
    </row>
    <row r="1039" spans="1:15" ht="18" customHeight="1" x14ac:dyDescent="0.3">
      <c r="A1039" s="24">
        <v>1038</v>
      </c>
      <c r="B1039" s="10" t="s">
        <v>1474</v>
      </c>
      <c r="C1039" s="10" t="s">
        <v>1498</v>
      </c>
      <c r="D1039" s="62">
        <v>53</v>
      </c>
      <c r="E1039" s="61" t="s">
        <v>2839</v>
      </c>
      <c r="F1039" s="19" t="s">
        <v>1503</v>
      </c>
      <c r="G1039" s="10" t="s">
        <v>1278</v>
      </c>
      <c r="H1039" s="10" t="s">
        <v>2390</v>
      </c>
      <c r="I1039" s="62">
        <v>25</v>
      </c>
      <c r="J1039" s="10" t="s">
        <v>2372</v>
      </c>
      <c r="K1039" s="10" t="s">
        <v>2372</v>
      </c>
      <c r="L1039" s="10" t="s">
        <v>2373</v>
      </c>
      <c r="M1039" s="10" t="s">
        <v>2372</v>
      </c>
      <c r="N1039" s="10" t="s">
        <v>2373</v>
      </c>
      <c r="O1039" s="10"/>
    </row>
    <row r="1040" spans="1:15" ht="18" customHeight="1" x14ac:dyDescent="0.3">
      <c r="A1040" s="24">
        <v>1039</v>
      </c>
      <c r="B1040" s="10" t="s">
        <v>1474</v>
      </c>
      <c r="C1040" s="10" t="s">
        <v>1498</v>
      </c>
      <c r="D1040" s="62">
        <v>53</v>
      </c>
      <c r="E1040" s="61" t="s">
        <v>2839</v>
      </c>
      <c r="F1040" s="19" t="s">
        <v>1503</v>
      </c>
      <c r="G1040" s="10" t="s">
        <v>1278</v>
      </c>
      <c r="H1040" s="10" t="s">
        <v>2382</v>
      </c>
      <c r="I1040" s="62">
        <v>102</v>
      </c>
      <c r="J1040" s="10" t="s">
        <v>2372</v>
      </c>
      <c r="K1040" s="10" t="s">
        <v>2372</v>
      </c>
      <c r="L1040" s="10" t="s">
        <v>2373</v>
      </c>
      <c r="M1040" s="10" t="s">
        <v>2372</v>
      </c>
      <c r="N1040" s="10" t="s">
        <v>2373</v>
      </c>
      <c r="O1040" s="10"/>
    </row>
    <row r="1041" spans="1:15" ht="18" customHeight="1" x14ac:dyDescent="0.3">
      <c r="A1041" s="24">
        <v>1040</v>
      </c>
      <c r="B1041" s="10" t="s">
        <v>1474</v>
      </c>
      <c r="C1041" s="10" t="s">
        <v>1498</v>
      </c>
      <c r="D1041" s="62">
        <v>53</v>
      </c>
      <c r="E1041" s="61" t="s">
        <v>2839</v>
      </c>
      <c r="F1041" s="19" t="s">
        <v>1503</v>
      </c>
      <c r="G1041" s="10" t="s">
        <v>1278</v>
      </c>
      <c r="H1041" s="10" t="s">
        <v>2431</v>
      </c>
      <c r="I1041" s="62">
        <v>104</v>
      </c>
      <c r="J1041" s="10" t="s">
        <v>2372</v>
      </c>
      <c r="K1041" s="10" t="s">
        <v>2372</v>
      </c>
      <c r="L1041" s="10" t="s">
        <v>2373</v>
      </c>
      <c r="M1041" s="10" t="s">
        <v>2372</v>
      </c>
      <c r="N1041" s="10" t="s">
        <v>2373</v>
      </c>
      <c r="O1041" s="10"/>
    </row>
    <row r="1042" spans="1:15" ht="18" customHeight="1" x14ac:dyDescent="0.3">
      <c r="A1042" s="24">
        <v>1041</v>
      </c>
      <c r="B1042" s="10" t="s">
        <v>194</v>
      </c>
      <c r="C1042" s="10" t="s">
        <v>44</v>
      </c>
      <c r="D1042" s="62">
        <v>54</v>
      </c>
      <c r="E1042" s="61" t="s">
        <v>879</v>
      </c>
      <c r="F1042" s="11" t="s">
        <v>482</v>
      </c>
      <c r="G1042" s="10" t="s">
        <v>160</v>
      </c>
      <c r="H1042" s="10" t="s">
        <v>845</v>
      </c>
      <c r="I1042" s="62">
        <v>178</v>
      </c>
      <c r="J1042" s="10" t="s">
        <v>2372</v>
      </c>
      <c r="K1042" s="10" t="s">
        <v>847</v>
      </c>
      <c r="L1042" s="10" t="s">
        <v>2373</v>
      </c>
      <c r="M1042" s="10" t="s">
        <v>2372</v>
      </c>
      <c r="N1042" s="10" t="s">
        <v>2373</v>
      </c>
      <c r="O1042" s="10"/>
    </row>
    <row r="1043" spans="1:15" ht="18" customHeight="1" x14ac:dyDescent="0.3">
      <c r="A1043" s="24">
        <v>1042</v>
      </c>
      <c r="B1043" s="10" t="s">
        <v>194</v>
      </c>
      <c r="C1043" s="10" t="s">
        <v>44</v>
      </c>
      <c r="D1043" s="62">
        <v>54</v>
      </c>
      <c r="E1043" s="61" t="s">
        <v>879</v>
      </c>
      <c r="F1043" s="11" t="s">
        <v>482</v>
      </c>
      <c r="G1043" s="10" t="s">
        <v>160</v>
      </c>
      <c r="H1043" s="10" t="s">
        <v>2548</v>
      </c>
      <c r="I1043" s="62">
        <v>180</v>
      </c>
      <c r="J1043" s="10" t="s">
        <v>2372</v>
      </c>
      <c r="K1043" s="10" t="s">
        <v>846</v>
      </c>
      <c r="L1043" s="10" t="s">
        <v>1422</v>
      </c>
      <c r="M1043" s="10" t="s">
        <v>2372</v>
      </c>
      <c r="N1043" s="10" t="s">
        <v>2373</v>
      </c>
      <c r="O1043" s="10"/>
    </row>
    <row r="1044" spans="1:15" ht="18" customHeight="1" x14ac:dyDescent="0.3">
      <c r="A1044" s="24">
        <v>1043</v>
      </c>
      <c r="B1044" s="10" t="s">
        <v>194</v>
      </c>
      <c r="C1044" s="10" t="s">
        <v>44</v>
      </c>
      <c r="D1044" s="62">
        <v>54</v>
      </c>
      <c r="E1044" s="61" t="s">
        <v>879</v>
      </c>
      <c r="F1044" s="11" t="s">
        <v>482</v>
      </c>
      <c r="G1044" s="10" t="s">
        <v>160</v>
      </c>
      <c r="H1044" s="10" t="s">
        <v>849</v>
      </c>
      <c r="I1044" s="62">
        <v>172</v>
      </c>
      <c r="J1044" s="10" t="s">
        <v>2372</v>
      </c>
      <c r="K1044" s="10" t="s">
        <v>847</v>
      </c>
      <c r="L1044" s="10" t="s">
        <v>2373</v>
      </c>
      <c r="M1044" s="10" t="s">
        <v>2372</v>
      </c>
      <c r="N1044" s="10" t="s">
        <v>2373</v>
      </c>
      <c r="O1044" s="10"/>
    </row>
    <row r="1045" spans="1:15" ht="18" customHeight="1" x14ac:dyDescent="0.3">
      <c r="A1045" s="24">
        <v>1044</v>
      </c>
      <c r="B1045" s="10" t="s">
        <v>194</v>
      </c>
      <c r="C1045" s="10" t="s">
        <v>44</v>
      </c>
      <c r="D1045" s="62">
        <v>54</v>
      </c>
      <c r="E1045" s="61" t="s">
        <v>879</v>
      </c>
      <c r="F1045" s="11" t="s">
        <v>482</v>
      </c>
      <c r="G1045" s="10" t="s">
        <v>160</v>
      </c>
      <c r="H1045" s="10" t="s">
        <v>850</v>
      </c>
      <c r="I1045" s="62">
        <v>177</v>
      </c>
      <c r="J1045" s="10" t="s">
        <v>2372</v>
      </c>
      <c r="K1045" s="10" t="s">
        <v>847</v>
      </c>
      <c r="L1045" s="10" t="s">
        <v>2373</v>
      </c>
      <c r="M1045" s="10" t="s">
        <v>2372</v>
      </c>
      <c r="N1045" s="10" t="s">
        <v>2373</v>
      </c>
      <c r="O1045" s="10"/>
    </row>
    <row r="1046" spans="1:15" ht="18" customHeight="1" x14ac:dyDescent="0.3">
      <c r="A1046" s="24">
        <v>1045</v>
      </c>
      <c r="B1046" s="10" t="s">
        <v>194</v>
      </c>
      <c r="C1046" s="10" t="s">
        <v>44</v>
      </c>
      <c r="D1046" s="62">
        <v>54</v>
      </c>
      <c r="E1046" s="61" t="s">
        <v>879</v>
      </c>
      <c r="F1046" s="11" t="s">
        <v>482</v>
      </c>
      <c r="G1046" s="10" t="s">
        <v>160</v>
      </c>
      <c r="H1046" s="10" t="s">
        <v>851</v>
      </c>
      <c r="I1046" s="62">
        <v>177</v>
      </c>
      <c r="J1046" s="10" t="s">
        <v>2372</v>
      </c>
      <c r="K1046" s="10" t="s">
        <v>847</v>
      </c>
      <c r="L1046" s="10" t="s">
        <v>2373</v>
      </c>
      <c r="M1046" s="10" t="s">
        <v>2372</v>
      </c>
      <c r="N1046" s="10" t="s">
        <v>2373</v>
      </c>
      <c r="O1046" s="10"/>
    </row>
    <row r="1047" spans="1:15" ht="18" customHeight="1" x14ac:dyDescent="0.3">
      <c r="A1047" s="24">
        <v>1046</v>
      </c>
      <c r="B1047" s="10" t="s">
        <v>194</v>
      </c>
      <c r="C1047" s="10" t="s">
        <v>44</v>
      </c>
      <c r="D1047" s="62">
        <v>54</v>
      </c>
      <c r="E1047" s="61" t="s">
        <v>879</v>
      </c>
      <c r="F1047" s="11" t="s">
        <v>482</v>
      </c>
      <c r="G1047" s="10" t="s">
        <v>160</v>
      </c>
      <c r="H1047" s="10" t="s">
        <v>852</v>
      </c>
      <c r="I1047" s="62">
        <v>177</v>
      </c>
      <c r="J1047" s="10" t="s">
        <v>2372</v>
      </c>
      <c r="K1047" s="10" t="s">
        <v>847</v>
      </c>
      <c r="L1047" s="10" t="s">
        <v>2373</v>
      </c>
      <c r="M1047" s="10" t="s">
        <v>2372</v>
      </c>
      <c r="N1047" s="10" t="s">
        <v>2373</v>
      </c>
      <c r="O1047" s="10"/>
    </row>
    <row r="1048" spans="1:15" ht="18" customHeight="1" x14ac:dyDescent="0.3">
      <c r="A1048" s="24">
        <v>1047</v>
      </c>
      <c r="B1048" s="10" t="s">
        <v>194</v>
      </c>
      <c r="C1048" s="10" t="s">
        <v>44</v>
      </c>
      <c r="D1048" s="62">
        <v>54</v>
      </c>
      <c r="E1048" s="61" t="s">
        <v>879</v>
      </c>
      <c r="F1048" s="11" t="s">
        <v>482</v>
      </c>
      <c r="G1048" s="10" t="s">
        <v>160</v>
      </c>
      <c r="H1048" s="10" t="s">
        <v>853</v>
      </c>
      <c r="I1048" s="62">
        <v>62</v>
      </c>
      <c r="J1048" s="10" t="s">
        <v>2372</v>
      </c>
      <c r="K1048" s="10" t="s">
        <v>847</v>
      </c>
      <c r="L1048" s="10" t="s">
        <v>2373</v>
      </c>
      <c r="M1048" s="10" t="s">
        <v>2372</v>
      </c>
      <c r="N1048" s="10" t="s">
        <v>2373</v>
      </c>
      <c r="O1048" s="10"/>
    </row>
    <row r="1049" spans="1:15" ht="18" customHeight="1" x14ac:dyDescent="0.3">
      <c r="A1049" s="24">
        <v>1048</v>
      </c>
      <c r="B1049" s="10" t="s">
        <v>194</v>
      </c>
      <c r="C1049" s="10" t="s">
        <v>44</v>
      </c>
      <c r="D1049" s="62">
        <v>54</v>
      </c>
      <c r="E1049" s="61" t="s">
        <v>879</v>
      </c>
      <c r="F1049" s="11" t="s">
        <v>482</v>
      </c>
      <c r="G1049" s="10" t="s">
        <v>160</v>
      </c>
      <c r="H1049" s="10" t="s">
        <v>854</v>
      </c>
      <c r="I1049" s="62">
        <v>66</v>
      </c>
      <c r="J1049" s="10" t="s">
        <v>2372</v>
      </c>
      <c r="K1049" s="10" t="s">
        <v>847</v>
      </c>
      <c r="L1049" s="10" t="s">
        <v>2373</v>
      </c>
      <c r="M1049" s="10" t="s">
        <v>2372</v>
      </c>
      <c r="N1049" s="10" t="s">
        <v>2373</v>
      </c>
      <c r="O1049" s="10"/>
    </row>
    <row r="1050" spans="1:15" ht="18" customHeight="1" x14ac:dyDescent="0.3">
      <c r="A1050" s="24">
        <v>1049</v>
      </c>
      <c r="B1050" s="10" t="s">
        <v>194</v>
      </c>
      <c r="C1050" s="10" t="s">
        <v>44</v>
      </c>
      <c r="D1050" s="62">
        <v>54</v>
      </c>
      <c r="E1050" s="61" t="s">
        <v>2840</v>
      </c>
      <c r="F1050" s="19" t="s">
        <v>479</v>
      </c>
      <c r="G1050" s="173" t="s">
        <v>3520</v>
      </c>
      <c r="H1050" s="10" t="s">
        <v>845</v>
      </c>
      <c r="I1050" s="171">
        <v>194</v>
      </c>
      <c r="J1050" s="10" t="s">
        <v>2372</v>
      </c>
      <c r="K1050" s="10" t="s">
        <v>847</v>
      </c>
      <c r="L1050" s="10" t="s">
        <v>2373</v>
      </c>
      <c r="M1050" s="10" t="s">
        <v>2372</v>
      </c>
      <c r="N1050" s="10" t="s">
        <v>2373</v>
      </c>
      <c r="O1050" s="10"/>
    </row>
    <row r="1051" spans="1:15" ht="18" customHeight="1" x14ac:dyDescent="0.3">
      <c r="A1051" s="24">
        <v>1050</v>
      </c>
      <c r="B1051" s="10" t="s">
        <v>194</v>
      </c>
      <c r="C1051" s="10" t="s">
        <v>44</v>
      </c>
      <c r="D1051" s="62">
        <v>54</v>
      </c>
      <c r="E1051" s="61" t="s">
        <v>2840</v>
      </c>
      <c r="F1051" s="19" t="s">
        <v>479</v>
      </c>
      <c r="G1051" s="173" t="s">
        <v>3520</v>
      </c>
      <c r="H1051" s="10" t="s">
        <v>848</v>
      </c>
      <c r="I1051" s="171">
        <v>150</v>
      </c>
      <c r="J1051" s="10" t="s">
        <v>2374</v>
      </c>
      <c r="K1051" s="10" t="s">
        <v>847</v>
      </c>
      <c r="L1051" s="10" t="s">
        <v>2373</v>
      </c>
      <c r="M1051" s="10" t="s">
        <v>2372</v>
      </c>
      <c r="N1051" s="10" t="s">
        <v>2373</v>
      </c>
      <c r="O1051" s="10"/>
    </row>
    <row r="1052" spans="1:15" ht="18" customHeight="1" x14ac:dyDescent="0.3">
      <c r="A1052" s="24">
        <v>1051</v>
      </c>
      <c r="B1052" s="10" t="s">
        <v>194</v>
      </c>
      <c r="C1052" s="10" t="s">
        <v>44</v>
      </c>
      <c r="D1052" s="62">
        <v>54</v>
      </c>
      <c r="E1052" s="61" t="s">
        <v>2840</v>
      </c>
      <c r="F1052" s="19" t="s">
        <v>479</v>
      </c>
      <c r="G1052" s="173" t="s">
        <v>3520</v>
      </c>
      <c r="H1052" s="10" t="s">
        <v>849</v>
      </c>
      <c r="I1052" s="171">
        <v>47</v>
      </c>
      <c r="J1052" s="10" t="s">
        <v>2374</v>
      </c>
      <c r="K1052" s="10" t="s">
        <v>847</v>
      </c>
      <c r="L1052" s="10" t="s">
        <v>2373</v>
      </c>
      <c r="M1052" s="10" t="s">
        <v>2372</v>
      </c>
      <c r="N1052" s="10" t="s">
        <v>2373</v>
      </c>
      <c r="O1052" s="10"/>
    </row>
    <row r="1053" spans="1:15" ht="18" customHeight="1" x14ac:dyDescent="0.3">
      <c r="A1053" s="24">
        <v>1052</v>
      </c>
      <c r="B1053" s="10" t="s">
        <v>194</v>
      </c>
      <c r="C1053" s="10" t="s">
        <v>44</v>
      </c>
      <c r="D1053" s="62">
        <v>54</v>
      </c>
      <c r="E1053" s="61" t="s">
        <v>2840</v>
      </c>
      <c r="F1053" s="19" t="s">
        <v>479</v>
      </c>
      <c r="G1053" s="173" t="s">
        <v>3520</v>
      </c>
      <c r="H1053" s="10" t="s">
        <v>850</v>
      </c>
      <c r="I1053" s="171">
        <v>40</v>
      </c>
      <c r="J1053" s="10" t="s">
        <v>2372</v>
      </c>
      <c r="K1053" s="10" t="s">
        <v>847</v>
      </c>
      <c r="L1053" s="10" t="s">
        <v>2373</v>
      </c>
      <c r="M1053" s="10" t="s">
        <v>2372</v>
      </c>
      <c r="N1053" s="10" t="s">
        <v>2373</v>
      </c>
      <c r="O1053" s="10"/>
    </row>
    <row r="1054" spans="1:15" ht="18" customHeight="1" x14ac:dyDescent="0.3">
      <c r="A1054" s="24">
        <v>1053</v>
      </c>
      <c r="B1054" s="10" t="s">
        <v>194</v>
      </c>
      <c r="C1054" s="10" t="s">
        <v>44</v>
      </c>
      <c r="D1054" s="62">
        <v>54</v>
      </c>
      <c r="E1054" s="61" t="s">
        <v>2840</v>
      </c>
      <c r="F1054" s="19" t="s">
        <v>479</v>
      </c>
      <c r="G1054" s="173" t="s">
        <v>3520</v>
      </c>
      <c r="H1054" s="10" t="s">
        <v>851</v>
      </c>
      <c r="I1054" s="171">
        <v>46</v>
      </c>
      <c r="J1054" s="10" t="s">
        <v>2372</v>
      </c>
      <c r="K1054" s="10" t="s">
        <v>847</v>
      </c>
      <c r="L1054" s="10" t="s">
        <v>2373</v>
      </c>
      <c r="M1054" s="10" t="s">
        <v>2372</v>
      </c>
      <c r="N1054" s="10" t="s">
        <v>2373</v>
      </c>
      <c r="O1054" s="10"/>
    </row>
    <row r="1055" spans="1:15" ht="18" customHeight="1" x14ac:dyDescent="0.3">
      <c r="A1055" s="24">
        <v>1054</v>
      </c>
      <c r="B1055" s="10" t="s">
        <v>194</v>
      </c>
      <c r="C1055" s="10" t="s">
        <v>44</v>
      </c>
      <c r="D1055" s="62">
        <v>54</v>
      </c>
      <c r="E1055" s="61" t="s">
        <v>2841</v>
      </c>
      <c r="F1055" s="19" t="s">
        <v>478</v>
      </c>
      <c r="G1055" s="10" t="s">
        <v>150</v>
      </c>
      <c r="H1055" s="10" t="s">
        <v>845</v>
      </c>
      <c r="I1055" s="62">
        <v>141</v>
      </c>
      <c r="J1055" s="10" t="s">
        <v>2372</v>
      </c>
      <c r="K1055" s="10" t="s">
        <v>847</v>
      </c>
      <c r="L1055" s="10" t="s">
        <v>2373</v>
      </c>
      <c r="M1055" s="10" t="s">
        <v>2374</v>
      </c>
      <c r="N1055" s="10" t="s">
        <v>1256</v>
      </c>
      <c r="O1055" s="10"/>
    </row>
    <row r="1056" spans="1:15" ht="18" customHeight="1" x14ac:dyDescent="0.3">
      <c r="A1056" s="24">
        <v>1055</v>
      </c>
      <c r="B1056" s="10" t="s">
        <v>194</v>
      </c>
      <c r="C1056" s="10" t="s">
        <v>44</v>
      </c>
      <c r="D1056" s="62">
        <v>54</v>
      </c>
      <c r="E1056" s="61" t="s">
        <v>2841</v>
      </c>
      <c r="F1056" s="19" t="s">
        <v>478</v>
      </c>
      <c r="G1056" s="10" t="s">
        <v>150</v>
      </c>
      <c r="H1056" s="10" t="s">
        <v>849</v>
      </c>
      <c r="I1056" s="62">
        <v>227</v>
      </c>
      <c r="J1056" s="10" t="s">
        <v>2374</v>
      </c>
      <c r="K1056" s="10" t="s">
        <v>847</v>
      </c>
      <c r="L1056" s="10" t="s">
        <v>2373</v>
      </c>
      <c r="M1056" s="10" t="s">
        <v>2372</v>
      </c>
      <c r="N1056" s="10" t="s">
        <v>2373</v>
      </c>
      <c r="O1056" s="10"/>
    </row>
    <row r="1057" spans="1:15" ht="18" customHeight="1" x14ac:dyDescent="0.3">
      <c r="A1057" s="24">
        <v>1056</v>
      </c>
      <c r="B1057" s="10" t="s">
        <v>194</v>
      </c>
      <c r="C1057" s="10" t="s">
        <v>44</v>
      </c>
      <c r="D1057" s="62">
        <v>54</v>
      </c>
      <c r="E1057" s="61" t="s">
        <v>2841</v>
      </c>
      <c r="F1057" s="19" t="s">
        <v>478</v>
      </c>
      <c r="G1057" s="10" t="s">
        <v>150</v>
      </c>
      <c r="H1057" s="10" t="s">
        <v>851</v>
      </c>
      <c r="I1057" s="62">
        <v>174</v>
      </c>
      <c r="J1057" s="10" t="s">
        <v>2374</v>
      </c>
      <c r="K1057" s="10" t="s">
        <v>847</v>
      </c>
      <c r="L1057" s="10" t="s">
        <v>2373</v>
      </c>
      <c r="M1057" s="10" t="s">
        <v>2372</v>
      </c>
      <c r="N1057" s="10" t="s">
        <v>2373</v>
      </c>
      <c r="O1057" s="10"/>
    </row>
    <row r="1058" spans="1:15" ht="18" customHeight="1" x14ac:dyDescent="0.3">
      <c r="A1058" s="24">
        <v>1057</v>
      </c>
      <c r="B1058" s="10" t="s">
        <v>194</v>
      </c>
      <c r="C1058" s="10" t="s">
        <v>44</v>
      </c>
      <c r="D1058" s="62">
        <v>54</v>
      </c>
      <c r="E1058" s="61" t="s">
        <v>2841</v>
      </c>
      <c r="F1058" s="19" t="s">
        <v>478</v>
      </c>
      <c r="G1058" s="10" t="s">
        <v>150</v>
      </c>
      <c r="H1058" s="10" t="s">
        <v>852</v>
      </c>
      <c r="I1058" s="62">
        <v>141</v>
      </c>
      <c r="J1058" s="10" t="s">
        <v>2372</v>
      </c>
      <c r="K1058" s="10" t="s">
        <v>847</v>
      </c>
      <c r="L1058" s="10" t="s">
        <v>2373</v>
      </c>
      <c r="M1058" s="10" t="s">
        <v>2372</v>
      </c>
      <c r="N1058" s="10" t="s">
        <v>2373</v>
      </c>
      <c r="O1058" s="10"/>
    </row>
    <row r="1059" spans="1:15" ht="18" customHeight="1" x14ac:dyDescent="0.3">
      <c r="A1059" s="24">
        <v>1058</v>
      </c>
      <c r="B1059" s="10" t="s">
        <v>194</v>
      </c>
      <c r="C1059" s="10" t="s">
        <v>44</v>
      </c>
      <c r="D1059" s="62">
        <v>54</v>
      </c>
      <c r="E1059" s="61" t="s">
        <v>2841</v>
      </c>
      <c r="F1059" s="19" t="s">
        <v>478</v>
      </c>
      <c r="G1059" s="10" t="s">
        <v>150</v>
      </c>
      <c r="H1059" s="10" t="s">
        <v>853</v>
      </c>
      <c r="I1059" s="62">
        <v>152</v>
      </c>
      <c r="J1059" s="10" t="s">
        <v>2372</v>
      </c>
      <c r="K1059" s="10" t="s">
        <v>847</v>
      </c>
      <c r="L1059" s="10" t="s">
        <v>2373</v>
      </c>
      <c r="M1059" s="10" t="s">
        <v>2372</v>
      </c>
      <c r="N1059" s="10" t="s">
        <v>2373</v>
      </c>
      <c r="O1059" s="10"/>
    </row>
    <row r="1060" spans="1:15" ht="18" customHeight="1" x14ac:dyDescent="0.3">
      <c r="A1060" s="24">
        <v>1059</v>
      </c>
      <c r="B1060" s="10" t="s">
        <v>194</v>
      </c>
      <c r="C1060" s="10" t="s">
        <v>44</v>
      </c>
      <c r="D1060" s="62">
        <v>54</v>
      </c>
      <c r="E1060" s="61" t="s">
        <v>2841</v>
      </c>
      <c r="F1060" s="19" t="s">
        <v>478</v>
      </c>
      <c r="G1060" s="10" t="s">
        <v>150</v>
      </c>
      <c r="H1060" s="10" t="s">
        <v>854</v>
      </c>
      <c r="I1060" s="62">
        <v>209</v>
      </c>
      <c r="J1060" s="10" t="s">
        <v>2374</v>
      </c>
      <c r="K1060" s="10" t="s">
        <v>847</v>
      </c>
      <c r="L1060" s="10" t="s">
        <v>2373</v>
      </c>
      <c r="M1060" s="10" t="s">
        <v>2372</v>
      </c>
      <c r="N1060" s="10" t="s">
        <v>2373</v>
      </c>
      <c r="O1060" s="10"/>
    </row>
    <row r="1061" spans="1:15" ht="18" customHeight="1" x14ac:dyDescent="0.3">
      <c r="A1061" s="24">
        <v>1060</v>
      </c>
      <c r="B1061" s="10" t="s">
        <v>194</v>
      </c>
      <c r="C1061" s="10" t="s">
        <v>44</v>
      </c>
      <c r="D1061" s="62">
        <v>54</v>
      </c>
      <c r="E1061" s="61" t="s">
        <v>2841</v>
      </c>
      <c r="F1061" s="19" t="s">
        <v>478</v>
      </c>
      <c r="G1061" s="10" t="s">
        <v>150</v>
      </c>
      <c r="H1061" s="10" t="s">
        <v>2471</v>
      </c>
      <c r="I1061" s="171">
        <v>276</v>
      </c>
      <c r="J1061" s="10" t="s">
        <v>2372</v>
      </c>
      <c r="K1061" s="10" t="s">
        <v>847</v>
      </c>
      <c r="L1061" s="10" t="s">
        <v>2373</v>
      </c>
      <c r="M1061" s="10" t="s">
        <v>2372</v>
      </c>
      <c r="N1061" s="10" t="s">
        <v>2373</v>
      </c>
      <c r="O1061" s="10"/>
    </row>
    <row r="1062" spans="1:15" ht="18" customHeight="1" x14ac:dyDescent="0.3">
      <c r="A1062" s="24">
        <v>1061</v>
      </c>
      <c r="B1062" s="10" t="s">
        <v>194</v>
      </c>
      <c r="C1062" s="10" t="s">
        <v>44</v>
      </c>
      <c r="D1062" s="62">
        <v>54</v>
      </c>
      <c r="E1062" s="61" t="s">
        <v>2841</v>
      </c>
      <c r="F1062" s="19" t="s">
        <v>478</v>
      </c>
      <c r="G1062" s="10" t="s">
        <v>150</v>
      </c>
      <c r="H1062" s="10" t="s">
        <v>883</v>
      </c>
      <c r="I1062" s="62">
        <v>211</v>
      </c>
      <c r="J1062" s="10" t="s">
        <v>2374</v>
      </c>
      <c r="K1062" s="10" t="s">
        <v>847</v>
      </c>
      <c r="L1062" s="10" t="s">
        <v>2373</v>
      </c>
      <c r="M1062" s="10" t="s">
        <v>2372</v>
      </c>
      <c r="N1062" s="10" t="s">
        <v>2373</v>
      </c>
      <c r="O1062" s="10"/>
    </row>
    <row r="1063" spans="1:15" ht="18" customHeight="1" x14ac:dyDescent="0.3">
      <c r="A1063" s="24">
        <v>1062</v>
      </c>
      <c r="B1063" s="10" t="s">
        <v>194</v>
      </c>
      <c r="C1063" s="10" t="s">
        <v>44</v>
      </c>
      <c r="D1063" s="62">
        <v>54</v>
      </c>
      <c r="E1063" s="61" t="s">
        <v>2841</v>
      </c>
      <c r="F1063" s="19" t="s">
        <v>478</v>
      </c>
      <c r="G1063" s="10" t="s">
        <v>150</v>
      </c>
      <c r="H1063" s="10" t="s">
        <v>922</v>
      </c>
      <c r="I1063" s="62">
        <v>152</v>
      </c>
      <c r="J1063" s="10" t="s">
        <v>2372</v>
      </c>
      <c r="K1063" s="10" t="s">
        <v>847</v>
      </c>
      <c r="L1063" s="10" t="s">
        <v>2373</v>
      </c>
      <c r="M1063" s="10" t="s">
        <v>2372</v>
      </c>
      <c r="N1063" s="10" t="s">
        <v>2373</v>
      </c>
      <c r="O1063" s="10"/>
    </row>
    <row r="1064" spans="1:15" ht="18" customHeight="1" x14ac:dyDescent="0.3">
      <c r="A1064" s="24">
        <v>1063</v>
      </c>
      <c r="B1064" s="10" t="s">
        <v>194</v>
      </c>
      <c r="C1064" s="10" t="s">
        <v>44</v>
      </c>
      <c r="D1064" s="62">
        <v>54</v>
      </c>
      <c r="E1064" s="61" t="s">
        <v>2841</v>
      </c>
      <c r="F1064" s="19" t="s">
        <v>478</v>
      </c>
      <c r="G1064" s="10" t="s">
        <v>150</v>
      </c>
      <c r="H1064" s="10" t="s">
        <v>926</v>
      </c>
      <c r="I1064" s="62">
        <v>213</v>
      </c>
      <c r="J1064" s="10" t="s">
        <v>2374</v>
      </c>
      <c r="K1064" s="10" t="s">
        <v>847</v>
      </c>
      <c r="L1064" s="10" t="s">
        <v>2373</v>
      </c>
      <c r="M1064" s="10" t="s">
        <v>2372</v>
      </c>
      <c r="N1064" s="10" t="s">
        <v>2373</v>
      </c>
      <c r="O1064" s="10"/>
    </row>
    <row r="1065" spans="1:15" ht="18" customHeight="1" x14ac:dyDescent="0.3">
      <c r="A1065" s="24">
        <v>1064</v>
      </c>
      <c r="B1065" s="10" t="s">
        <v>194</v>
      </c>
      <c r="C1065" s="10" t="s">
        <v>44</v>
      </c>
      <c r="D1065" s="62">
        <v>54</v>
      </c>
      <c r="E1065" s="61" t="s">
        <v>2841</v>
      </c>
      <c r="F1065" s="19" t="s">
        <v>478</v>
      </c>
      <c r="G1065" s="10" t="s">
        <v>150</v>
      </c>
      <c r="H1065" s="10" t="s">
        <v>911</v>
      </c>
      <c r="I1065" s="62">
        <v>213</v>
      </c>
      <c r="J1065" s="10" t="s">
        <v>2372</v>
      </c>
      <c r="K1065" s="10" t="s">
        <v>847</v>
      </c>
      <c r="L1065" s="10" t="s">
        <v>2373</v>
      </c>
      <c r="M1065" s="10" t="s">
        <v>2372</v>
      </c>
      <c r="N1065" s="10" t="s">
        <v>2373</v>
      </c>
      <c r="O1065" s="10"/>
    </row>
    <row r="1066" spans="1:15" ht="18" customHeight="1" x14ac:dyDescent="0.3">
      <c r="A1066" s="24">
        <v>1065</v>
      </c>
      <c r="B1066" s="10" t="s">
        <v>194</v>
      </c>
      <c r="C1066" s="10" t="s">
        <v>44</v>
      </c>
      <c r="D1066" s="62">
        <v>54</v>
      </c>
      <c r="E1066" s="61" t="s">
        <v>2841</v>
      </c>
      <c r="F1066" s="19" t="s">
        <v>2549</v>
      </c>
      <c r="G1066" s="10" t="s">
        <v>150</v>
      </c>
      <c r="H1066" s="10" t="s">
        <v>848</v>
      </c>
      <c r="I1066" s="62">
        <v>169</v>
      </c>
      <c r="J1066" s="10" t="s">
        <v>2374</v>
      </c>
      <c r="K1066" s="10" t="s">
        <v>846</v>
      </c>
      <c r="L1066" s="10" t="s">
        <v>985</v>
      </c>
      <c r="M1066" s="10" t="s">
        <v>2372</v>
      </c>
      <c r="N1066" s="10" t="s">
        <v>2373</v>
      </c>
      <c r="O1066" s="10"/>
    </row>
    <row r="1067" spans="1:15" ht="18" customHeight="1" x14ac:dyDescent="0.3">
      <c r="A1067" s="24">
        <v>1066</v>
      </c>
      <c r="B1067" s="10" t="s">
        <v>194</v>
      </c>
      <c r="C1067" s="10" t="s">
        <v>44</v>
      </c>
      <c r="D1067" s="62">
        <v>54</v>
      </c>
      <c r="E1067" s="61" t="s">
        <v>2841</v>
      </c>
      <c r="F1067" s="19" t="s">
        <v>2549</v>
      </c>
      <c r="G1067" s="10" t="s">
        <v>150</v>
      </c>
      <c r="H1067" s="10" t="s">
        <v>850</v>
      </c>
      <c r="I1067" s="62">
        <v>184</v>
      </c>
      <c r="J1067" s="10" t="s">
        <v>2374</v>
      </c>
      <c r="K1067" s="10" t="s">
        <v>846</v>
      </c>
      <c r="L1067" s="10" t="s">
        <v>188</v>
      </c>
      <c r="M1067" s="10" t="s">
        <v>2372</v>
      </c>
      <c r="N1067" s="10" t="s">
        <v>2373</v>
      </c>
      <c r="O1067" s="10"/>
    </row>
    <row r="1068" spans="1:15" ht="18" customHeight="1" x14ac:dyDescent="0.3">
      <c r="A1068" s="24">
        <v>1067</v>
      </c>
      <c r="B1068" s="10" t="s">
        <v>194</v>
      </c>
      <c r="C1068" s="10" t="s">
        <v>44</v>
      </c>
      <c r="D1068" s="62">
        <v>54</v>
      </c>
      <c r="E1068" s="61" t="s">
        <v>2841</v>
      </c>
      <c r="F1068" s="19" t="s">
        <v>2549</v>
      </c>
      <c r="G1068" s="10" t="s">
        <v>150</v>
      </c>
      <c r="H1068" s="10" t="s">
        <v>2413</v>
      </c>
      <c r="I1068" s="62">
        <v>326</v>
      </c>
      <c r="J1068" s="10" t="s">
        <v>2374</v>
      </c>
      <c r="K1068" s="10" t="s">
        <v>846</v>
      </c>
      <c r="L1068" s="10" t="s">
        <v>187</v>
      </c>
      <c r="M1068" s="10" t="s">
        <v>2372</v>
      </c>
      <c r="N1068" s="10" t="s">
        <v>2373</v>
      </c>
      <c r="O1068" s="10"/>
    </row>
    <row r="1069" spans="1:15" ht="18" customHeight="1" x14ac:dyDescent="0.3">
      <c r="A1069" s="24">
        <v>1068</v>
      </c>
      <c r="B1069" s="10" t="s">
        <v>194</v>
      </c>
      <c r="C1069" s="10" t="s">
        <v>45</v>
      </c>
      <c r="D1069" s="62">
        <v>55</v>
      </c>
      <c r="E1069" s="61" t="s">
        <v>2550</v>
      </c>
      <c r="F1069" s="19" t="s">
        <v>1508</v>
      </c>
      <c r="G1069" s="10" t="s">
        <v>2373</v>
      </c>
      <c r="H1069" s="10" t="s">
        <v>848</v>
      </c>
      <c r="I1069" s="62">
        <v>108</v>
      </c>
      <c r="J1069" s="10" t="s">
        <v>2372</v>
      </c>
      <c r="K1069" s="10" t="s">
        <v>847</v>
      </c>
      <c r="L1069" s="10" t="s">
        <v>2373</v>
      </c>
      <c r="M1069" s="10" t="s">
        <v>2372</v>
      </c>
      <c r="N1069" s="10" t="s">
        <v>2373</v>
      </c>
      <c r="O1069" s="10"/>
    </row>
    <row r="1070" spans="1:15" ht="18" customHeight="1" x14ac:dyDescent="0.3">
      <c r="A1070" s="24">
        <v>1069</v>
      </c>
      <c r="B1070" s="10" t="s">
        <v>194</v>
      </c>
      <c r="C1070" s="10" t="s">
        <v>45</v>
      </c>
      <c r="D1070" s="62">
        <v>55</v>
      </c>
      <c r="E1070" s="61" t="s">
        <v>2550</v>
      </c>
      <c r="F1070" s="19" t="s">
        <v>1508</v>
      </c>
      <c r="G1070" s="10" t="s">
        <v>2373</v>
      </c>
      <c r="H1070" s="10" t="s">
        <v>845</v>
      </c>
      <c r="I1070" s="62">
        <v>137</v>
      </c>
      <c r="J1070" s="10" t="s">
        <v>2374</v>
      </c>
      <c r="K1070" s="10" t="s">
        <v>847</v>
      </c>
      <c r="L1070" s="10" t="s">
        <v>2373</v>
      </c>
      <c r="M1070" s="10" t="s">
        <v>2372</v>
      </c>
      <c r="N1070" s="10" t="s">
        <v>2373</v>
      </c>
      <c r="O1070" s="10"/>
    </row>
    <row r="1071" spans="1:15" ht="18" customHeight="1" x14ac:dyDescent="0.3">
      <c r="A1071" s="24">
        <v>1070</v>
      </c>
      <c r="B1071" s="10" t="s">
        <v>194</v>
      </c>
      <c r="C1071" s="10" t="s">
        <v>45</v>
      </c>
      <c r="D1071" s="62">
        <v>55</v>
      </c>
      <c r="E1071" s="61" t="s">
        <v>224</v>
      </c>
      <c r="F1071" s="16" t="s">
        <v>486</v>
      </c>
      <c r="G1071" s="10" t="s">
        <v>150</v>
      </c>
      <c r="H1071" s="10" t="s">
        <v>845</v>
      </c>
      <c r="I1071" s="62">
        <v>120</v>
      </c>
      <c r="J1071" s="8" t="s">
        <v>2372</v>
      </c>
      <c r="K1071" s="10" t="s">
        <v>847</v>
      </c>
      <c r="L1071" s="10" t="s">
        <v>2373</v>
      </c>
      <c r="M1071" s="10" t="s">
        <v>2372</v>
      </c>
      <c r="N1071" s="10" t="s">
        <v>2373</v>
      </c>
      <c r="O1071" s="10"/>
    </row>
    <row r="1072" spans="1:15" ht="18" customHeight="1" x14ac:dyDescent="0.3">
      <c r="A1072" s="24">
        <v>1071</v>
      </c>
      <c r="B1072" s="10" t="s">
        <v>194</v>
      </c>
      <c r="C1072" s="10" t="s">
        <v>45</v>
      </c>
      <c r="D1072" s="62">
        <v>55</v>
      </c>
      <c r="E1072" s="61" t="s">
        <v>224</v>
      </c>
      <c r="F1072" s="16" t="s">
        <v>486</v>
      </c>
      <c r="G1072" s="10" t="s">
        <v>150</v>
      </c>
      <c r="H1072" s="10" t="s">
        <v>848</v>
      </c>
      <c r="I1072" s="62">
        <v>133</v>
      </c>
      <c r="J1072" s="8" t="s">
        <v>846</v>
      </c>
      <c r="K1072" s="10" t="s">
        <v>847</v>
      </c>
      <c r="L1072" s="10" t="s">
        <v>2373</v>
      </c>
      <c r="M1072" s="10" t="s">
        <v>2372</v>
      </c>
      <c r="N1072" s="10" t="s">
        <v>2373</v>
      </c>
      <c r="O1072" s="10"/>
    </row>
    <row r="1073" spans="1:15" ht="18" customHeight="1" x14ac:dyDescent="0.3">
      <c r="A1073" s="24">
        <v>1072</v>
      </c>
      <c r="B1073" s="10" t="s">
        <v>194</v>
      </c>
      <c r="C1073" s="10" t="s">
        <v>45</v>
      </c>
      <c r="D1073" s="62">
        <v>55</v>
      </c>
      <c r="E1073" s="61" t="s">
        <v>224</v>
      </c>
      <c r="F1073" s="16" t="s">
        <v>486</v>
      </c>
      <c r="G1073" s="10" t="s">
        <v>150</v>
      </c>
      <c r="H1073" s="10" t="s">
        <v>849</v>
      </c>
      <c r="I1073" s="62">
        <v>96</v>
      </c>
      <c r="J1073" s="8" t="s">
        <v>2372</v>
      </c>
      <c r="K1073" s="10" t="s">
        <v>847</v>
      </c>
      <c r="L1073" s="10" t="s">
        <v>2373</v>
      </c>
      <c r="M1073" s="10" t="s">
        <v>2372</v>
      </c>
      <c r="N1073" s="10" t="s">
        <v>2373</v>
      </c>
      <c r="O1073" s="10"/>
    </row>
    <row r="1074" spans="1:15" ht="18" customHeight="1" x14ac:dyDescent="0.3">
      <c r="A1074" s="24">
        <v>1073</v>
      </c>
      <c r="B1074" s="10" t="s">
        <v>194</v>
      </c>
      <c r="C1074" s="10" t="s">
        <v>45</v>
      </c>
      <c r="D1074" s="62">
        <v>55</v>
      </c>
      <c r="E1074" s="61" t="s">
        <v>224</v>
      </c>
      <c r="F1074" s="16" t="s">
        <v>486</v>
      </c>
      <c r="G1074" s="10" t="s">
        <v>150</v>
      </c>
      <c r="H1074" s="10" t="s">
        <v>850</v>
      </c>
      <c r="I1074" s="62">
        <v>141</v>
      </c>
      <c r="J1074" s="8" t="s">
        <v>2372</v>
      </c>
      <c r="K1074" s="10" t="s">
        <v>847</v>
      </c>
      <c r="L1074" s="10" t="s">
        <v>2373</v>
      </c>
      <c r="M1074" s="10" t="s">
        <v>2372</v>
      </c>
      <c r="N1074" s="10" t="s">
        <v>2373</v>
      </c>
      <c r="O1074" s="10"/>
    </row>
    <row r="1075" spans="1:15" ht="18" customHeight="1" x14ac:dyDescent="0.3">
      <c r="A1075" s="24">
        <v>1074</v>
      </c>
      <c r="B1075" s="10" t="s">
        <v>194</v>
      </c>
      <c r="C1075" s="10" t="s">
        <v>45</v>
      </c>
      <c r="D1075" s="62">
        <v>55</v>
      </c>
      <c r="E1075" s="61" t="s">
        <v>224</v>
      </c>
      <c r="F1075" s="16" t="s">
        <v>486</v>
      </c>
      <c r="G1075" s="10" t="s">
        <v>150</v>
      </c>
      <c r="H1075" s="10" t="s">
        <v>851</v>
      </c>
      <c r="I1075" s="62">
        <v>174</v>
      </c>
      <c r="J1075" s="8" t="s">
        <v>2372</v>
      </c>
      <c r="K1075" s="10" t="s">
        <v>847</v>
      </c>
      <c r="L1075" s="10" t="s">
        <v>2373</v>
      </c>
      <c r="M1075" s="10" t="s">
        <v>2372</v>
      </c>
      <c r="N1075" s="10" t="s">
        <v>2373</v>
      </c>
      <c r="O1075" s="10"/>
    </row>
    <row r="1076" spans="1:15" ht="18" customHeight="1" x14ac:dyDescent="0.3">
      <c r="A1076" s="24">
        <v>1075</v>
      </c>
      <c r="B1076" s="10" t="s">
        <v>194</v>
      </c>
      <c r="C1076" s="10" t="s">
        <v>45</v>
      </c>
      <c r="D1076" s="62">
        <v>55</v>
      </c>
      <c r="E1076" s="61" t="s">
        <v>224</v>
      </c>
      <c r="F1076" s="16" t="s">
        <v>486</v>
      </c>
      <c r="G1076" s="10" t="s">
        <v>150</v>
      </c>
      <c r="H1076" s="10" t="s">
        <v>852</v>
      </c>
      <c r="I1076" s="62">
        <v>127</v>
      </c>
      <c r="J1076" s="8" t="s">
        <v>2372</v>
      </c>
      <c r="K1076" s="10" t="s">
        <v>847</v>
      </c>
      <c r="L1076" s="10" t="s">
        <v>2373</v>
      </c>
      <c r="M1076" s="10" t="s">
        <v>2372</v>
      </c>
      <c r="N1076" s="10" t="s">
        <v>2373</v>
      </c>
      <c r="O1076" s="10"/>
    </row>
    <row r="1077" spans="1:15" ht="18" customHeight="1" x14ac:dyDescent="0.3">
      <c r="A1077" s="24">
        <v>1076</v>
      </c>
      <c r="B1077" s="10" t="s">
        <v>194</v>
      </c>
      <c r="C1077" s="10" t="s">
        <v>45</v>
      </c>
      <c r="D1077" s="62">
        <v>55</v>
      </c>
      <c r="E1077" s="61" t="s">
        <v>224</v>
      </c>
      <c r="F1077" s="16" t="s">
        <v>486</v>
      </c>
      <c r="G1077" s="10" t="s">
        <v>150</v>
      </c>
      <c r="H1077" s="10" t="s">
        <v>853</v>
      </c>
      <c r="I1077" s="62">
        <v>115</v>
      </c>
      <c r="J1077" s="8" t="s">
        <v>2372</v>
      </c>
      <c r="K1077" s="10" t="s">
        <v>847</v>
      </c>
      <c r="L1077" s="10" t="s">
        <v>2373</v>
      </c>
      <c r="M1077" s="10" t="s">
        <v>2372</v>
      </c>
      <c r="N1077" s="10" t="s">
        <v>2373</v>
      </c>
      <c r="O1077" s="10"/>
    </row>
    <row r="1078" spans="1:15" ht="18" customHeight="1" x14ac:dyDescent="0.3">
      <c r="A1078" s="24">
        <v>1077</v>
      </c>
      <c r="B1078" s="10" t="s">
        <v>194</v>
      </c>
      <c r="C1078" s="10" t="s">
        <v>45</v>
      </c>
      <c r="D1078" s="62">
        <v>55</v>
      </c>
      <c r="E1078" s="61" t="s">
        <v>224</v>
      </c>
      <c r="F1078" s="16" t="s">
        <v>486</v>
      </c>
      <c r="G1078" s="10" t="s">
        <v>150</v>
      </c>
      <c r="H1078" s="10" t="s">
        <v>854</v>
      </c>
      <c r="I1078" s="62">
        <v>183</v>
      </c>
      <c r="J1078" s="8" t="s">
        <v>2372</v>
      </c>
      <c r="K1078" s="10" t="s">
        <v>847</v>
      </c>
      <c r="L1078" s="10" t="s">
        <v>2373</v>
      </c>
      <c r="M1078" s="10" t="s">
        <v>2372</v>
      </c>
      <c r="N1078" s="10" t="s">
        <v>2373</v>
      </c>
      <c r="O1078" s="10"/>
    </row>
    <row r="1079" spans="1:15" ht="18" customHeight="1" x14ac:dyDescent="0.3">
      <c r="A1079" s="24">
        <v>1078</v>
      </c>
      <c r="B1079" s="10" t="s">
        <v>194</v>
      </c>
      <c r="C1079" s="10" t="s">
        <v>45</v>
      </c>
      <c r="D1079" s="62">
        <v>55</v>
      </c>
      <c r="E1079" s="61" t="s">
        <v>224</v>
      </c>
      <c r="F1079" s="16" t="s">
        <v>486</v>
      </c>
      <c r="G1079" s="10" t="s">
        <v>150</v>
      </c>
      <c r="H1079" s="10" t="s">
        <v>855</v>
      </c>
      <c r="I1079" s="62">
        <v>201</v>
      </c>
      <c r="J1079" s="8" t="s">
        <v>846</v>
      </c>
      <c r="K1079" s="10" t="s">
        <v>847</v>
      </c>
      <c r="L1079" s="10" t="s">
        <v>2373</v>
      </c>
      <c r="M1079" s="10" t="s">
        <v>2372</v>
      </c>
      <c r="N1079" s="10" t="s">
        <v>2373</v>
      </c>
      <c r="O1079" s="10"/>
    </row>
    <row r="1080" spans="1:15" ht="18" customHeight="1" x14ac:dyDescent="0.3">
      <c r="A1080" s="24">
        <v>1079</v>
      </c>
      <c r="B1080" s="10" t="s">
        <v>194</v>
      </c>
      <c r="C1080" s="10" t="s">
        <v>45</v>
      </c>
      <c r="D1080" s="62">
        <v>55</v>
      </c>
      <c r="E1080" s="61" t="s">
        <v>223</v>
      </c>
      <c r="F1080" s="16" t="s">
        <v>485</v>
      </c>
      <c r="G1080" s="10" t="s">
        <v>150</v>
      </c>
      <c r="H1080" s="10" t="s">
        <v>845</v>
      </c>
      <c r="I1080" s="62">
        <v>224</v>
      </c>
      <c r="J1080" s="8" t="s">
        <v>846</v>
      </c>
      <c r="K1080" s="10" t="s">
        <v>847</v>
      </c>
      <c r="L1080" s="10" t="s">
        <v>2373</v>
      </c>
      <c r="M1080" s="10" t="s">
        <v>2372</v>
      </c>
      <c r="N1080" s="10" t="s">
        <v>2373</v>
      </c>
      <c r="O1080" s="10"/>
    </row>
    <row r="1081" spans="1:15" ht="18" customHeight="1" x14ac:dyDescent="0.3">
      <c r="A1081" s="24">
        <v>1080</v>
      </c>
      <c r="B1081" s="10" t="s">
        <v>194</v>
      </c>
      <c r="C1081" s="10" t="s">
        <v>45</v>
      </c>
      <c r="D1081" s="62">
        <v>55</v>
      </c>
      <c r="E1081" s="61" t="s">
        <v>223</v>
      </c>
      <c r="F1081" s="16" t="s">
        <v>485</v>
      </c>
      <c r="G1081" s="10" t="s">
        <v>150</v>
      </c>
      <c r="H1081" s="10" t="s">
        <v>848</v>
      </c>
      <c r="I1081" s="62">
        <v>206</v>
      </c>
      <c r="J1081" s="8" t="s">
        <v>2372</v>
      </c>
      <c r="K1081" s="10" t="s">
        <v>847</v>
      </c>
      <c r="L1081" s="10" t="s">
        <v>2373</v>
      </c>
      <c r="M1081" s="10" t="s">
        <v>2372</v>
      </c>
      <c r="N1081" s="10" t="s">
        <v>2373</v>
      </c>
      <c r="O1081" s="10"/>
    </row>
    <row r="1082" spans="1:15" ht="18" customHeight="1" x14ac:dyDescent="0.3">
      <c r="A1082" s="24">
        <v>1081</v>
      </c>
      <c r="B1082" s="10" t="s">
        <v>194</v>
      </c>
      <c r="C1082" s="10" t="s">
        <v>45</v>
      </c>
      <c r="D1082" s="62">
        <v>55</v>
      </c>
      <c r="E1082" s="61" t="s">
        <v>223</v>
      </c>
      <c r="F1082" s="16" t="s">
        <v>485</v>
      </c>
      <c r="G1082" s="10" t="s">
        <v>150</v>
      </c>
      <c r="H1082" s="10" t="s">
        <v>849</v>
      </c>
      <c r="I1082" s="62">
        <v>180</v>
      </c>
      <c r="J1082" s="8" t="s">
        <v>846</v>
      </c>
      <c r="K1082" s="10" t="s">
        <v>847</v>
      </c>
      <c r="L1082" s="10" t="s">
        <v>2373</v>
      </c>
      <c r="M1082" s="10" t="s">
        <v>2372</v>
      </c>
      <c r="N1082" s="10" t="s">
        <v>2373</v>
      </c>
      <c r="O1082" s="10"/>
    </row>
    <row r="1083" spans="1:15" ht="18" customHeight="1" x14ac:dyDescent="0.3">
      <c r="A1083" s="24">
        <v>1082</v>
      </c>
      <c r="B1083" s="10" t="s">
        <v>194</v>
      </c>
      <c r="C1083" s="10" t="s">
        <v>45</v>
      </c>
      <c r="D1083" s="62">
        <v>55</v>
      </c>
      <c r="E1083" s="61" t="s">
        <v>223</v>
      </c>
      <c r="F1083" s="16" t="s">
        <v>485</v>
      </c>
      <c r="G1083" s="10" t="s">
        <v>150</v>
      </c>
      <c r="H1083" s="10" t="s">
        <v>850</v>
      </c>
      <c r="I1083" s="62">
        <v>167</v>
      </c>
      <c r="J1083" s="8" t="s">
        <v>2372</v>
      </c>
      <c r="K1083" s="10" t="s">
        <v>847</v>
      </c>
      <c r="L1083" s="10" t="s">
        <v>2373</v>
      </c>
      <c r="M1083" s="10" t="s">
        <v>2372</v>
      </c>
      <c r="N1083" s="10" t="s">
        <v>2373</v>
      </c>
      <c r="O1083" s="10"/>
    </row>
    <row r="1084" spans="1:15" ht="18" customHeight="1" x14ac:dyDescent="0.3">
      <c r="A1084" s="24">
        <v>1083</v>
      </c>
      <c r="B1084" s="10" t="s">
        <v>194</v>
      </c>
      <c r="C1084" s="10" t="s">
        <v>45</v>
      </c>
      <c r="D1084" s="62">
        <v>55</v>
      </c>
      <c r="E1084" s="61" t="s">
        <v>223</v>
      </c>
      <c r="F1084" s="16" t="s">
        <v>485</v>
      </c>
      <c r="G1084" s="10" t="s">
        <v>150</v>
      </c>
      <c r="H1084" s="10" t="s">
        <v>851</v>
      </c>
      <c r="I1084" s="62">
        <v>221</v>
      </c>
      <c r="J1084" s="8" t="s">
        <v>846</v>
      </c>
      <c r="K1084" s="10" t="s">
        <v>847</v>
      </c>
      <c r="L1084" s="10" t="s">
        <v>2373</v>
      </c>
      <c r="M1084" s="10" t="s">
        <v>2372</v>
      </c>
      <c r="N1084" s="10" t="s">
        <v>2373</v>
      </c>
      <c r="O1084" s="10"/>
    </row>
    <row r="1085" spans="1:15" ht="18" customHeight="1" x14ac:dyDescent="0.3">
      <c r="A1085" s="24">
        <v>1084</v>
      </c>
      <c r="B1085" s="10" t="s">
        <v>194</v>
      </c>
      <c r="C1085" s="10" t="s">
        <v>45</v>
      </c>
      <c r="D1085" s="62">
        <v>55</v>
      </c>
      <c r="E1085" s="61" t="s">
        <v>223</v>
      </c>
      <c r="F1085" s="16" t="s">
        <v>485</v>
      </c>
      <c r="G1085" s="10" t="s">
        <v>150</v>
      </c>
      <c r="H1085" s="10" t="s">
        <v>852</v>
      </c>
      <c r="I1085" s="62">
        <v>164</v>
      </c>
      <c r="J1085" s="8" t="s">
        <v>2372</v>
      </c>
      <c r="K1085" s="10" t="s">
        <v>847</v>
      </c>
      <c r="L1085" s="10" t="s">
        <v>2373</v>
      </c>
      <c r="M1085" s="10" t="s">
        <v>2372</v>
      </c>
      <c r="N1085" s="10" t="s">
        <v>2373</v>
      </c>
      <c r="O1085" s="10"/>
    </row>
    <row r="1086" spans="1:15" ht="18" customHeight="1" x14ac:dyDescent="0.3">
      <c r="A1086" s="24">
        <v>1085</v>
      </c>
      <c r="B1086" s="10" t="s">
        <v>194</v>
      </c>
      <c r="C1086" s="10" t="s">
        <v>45</v>
      </c>
      <c r="D1086" s="62">
        <v>55</v>
      </c>
      <c r="E1086" s="61" t="s">
        <v>223</v>
      </c>
      <c r="F1086" s="16" t="s">
        <v>485</v>
      </c>
      <c r="G1086" s="10" t="s">
        <v>150</v>
      </c>
      <c r="H1086" s="10" t="s">
        <v>853</v>
      </c>
      <c r="I1086" s="62">
        <v>144</v>
      </c>
      <c r="J1086" s="8" t="s">
        <v>846</v>
      </c>
      <c r="K1086" s="10" t="s">
        <v>847</v>
      </c>
      <c r="L1086" s="10" t="s">
        <v>2373</v>
      </c>
      <c r="M1086" s="10" t="s">
        <v>2372</v>
      </c>
      <c r="N1086" s="10" t="s">
        <v>2373</v>
      </c>
      <c r="O1086" s="10"/>
    </row>
    <row r="1087" spans="1:15" ht="18" customHeight="1" x14ac:dyDescent="0.3">
      <c r="A1087" s="24">
        <v>1086</v>
      </c>
      <c r="B1087" s="10" t="s">
        <v>194</v>
      </c>
      <c r="C1087" s="10" t="s">
        <v>45</v>
      </c>
      <c r="D1087" s="62">
        <v>55</v>
      </c>
      <c r="E1087" s="61" t="s">
        <v>223</v>
      </c>
      <c r="F1087" s="16" t="s">
        <v>485</v>
      </c>
      <c r="G1087" s="10" t="s">
        <v>150</v>
      </c>
      <c r="H1087" s="10" t="s">
        <v>854</v>
      </c>
      <c r="I1087" s="62">
        <v>134</v>
      </c>
      <c r="J1087" s="8" t="s">
        <v>2372</v>
      </c>
      <c r="K1087" s="10" t="s">
        <v>847</v>
      </c>
      <c r="L1087" s="10" t="s">
        <v>2373</v>
      </c>
      <c r="M1087" s="10" t="s">
        <v>2372</v>
      </c>
      <c r="N1087" s="10" t="s">
        <v>2373</v>
      </c>
      <c r="O1087" s="10"/>
    </row>
    <row r="1088" spans="1:15" ht="18" customHeight="1" x14ac:dyDescent="0.3">
      <c r="A1088" s="24">
        <v>1087</v>
      </c>
      <c r="B1088" s="10" t="s">
        <v>194</v>
      </c>
      <c r="C1088" s="10" t="s">
        <v>45</v>
      </c>
      <c r="D1088" s="62">
        <v>55</v>
      </c>
      <c r="E1088" s="61" t="s">
        <v>223</v>
      </c>
      <c r="F1088" s="16" t="s">
        <v>485</v>
      </c>
      <c r="G1088" s="10" t="s">
        <v>150</v>
      </c>
      <c r="H1088" s="10" t="s">
        <v>855</v>
      </c>
      <c r="I1088" s="62">
        <v>83</v>
      </c>
      <c r="J1088" s="8" t="s">
        <v>2372</v>
      </c>
      <c r="K1088" s="10" t="s">
        <v>2372</v>
      </c>
      <c r="L1088" s="10" t="s">
        <v>2373</v>
      </c>
      <c r="M1088" s="10" t="s">
        <v>2374</v>
      </c>
      <c r="N1088" s="10" t="s">
        <v>2440</v>
      </c>
      <c r="O1088" s="10"/>
    </row>
    <row r="1089" spans="1:15" ht="18" customHeight="1" x14ac:dyDescent="0.3">
      <c r="A1089" s="24">
        <v>1088</v>
      </c>
      <c r="B1089" s="10" t="s">
        <v>194</v>
      </c>
      <c r="C1089" s="10" t="s">
        <v>45</v>
      </c>
      <c r="D1089" s="62">
        <v>55</v>
      </c>
      <c r="E1089" s="61" t="s">
        <v>2842</v>
      </c>
      <c r="F1089" s="19" t="s">
        <v>483</v>
      </c>
      <c r="G1089" s="10" t="s">
        <v>160</v>
      </c>
      <c r="H1089" s="10" t="s">
        <v>845</v>
      </c>
      <c r="I1089" s="62">
        <v>92</v>
      </c>
      <c r="J1089" s="10" t="s">
        <v>2372</v>
      </c>
      <c r="K1089" s="10" t="s">
        <v>847</v>
      </c>
      <c r="L1089" s="10" t="s">
        <v>2373</v>
      </c>
      <c r="M1089" s="10" t="s">
        <v>2372</v>
      </c>
      <c r="N1089" s="10" t="s">
        <v>2373</v>
      </c>
      <c r="O1089" s="10"/>
    </row>
    <row r="1090" spans="1:15" ht="18" customHeight="1" x14ac:dyDescent="0.3">
      <c r="A1090" s="24">
        <v>1089</v>
      </c>
      <c r="B1090" s="10" t="s">
        <v>194</v>
      </c>
      <c r="C1090" s="10" t="s">
        <v>45</v>
      </c>
      <c r="D1090" s="62">
        <v>55</v>
      </c>
      <c r="E1090" s="61" t="s">
        <v>2842</v>
      </c>
      <c r="F1090" s="19" t="s">
        <v>483</v>
      </c>
      <c r="G1090" s="10" t="s">
        <v>160</v>
      </c>
      <c r="H1090" s="10" t="s">
        <v>848</v>
      </c>
      <c r="I1090" s="62">
        <v>234</v>
      </c>
      <c r="J1090" s="10" t="s">
        <v>2372</v>
      </c>
      <c r="K1090" s="10" t="s">
        <v>847</v>
      </c>
      <c r="L1090" s="10" t="s">
        <v>2373</v>
      </c>
      <c r="M1090" s="10" t="s">
        <v>2372</v>
      </c>
      <c r="N1090" s="10" t="s">
        <v>2373</v>
      </c>
      <c r="O1090" s="10"/>
    </row>
    <row r="1091" spans="1:15" ht="18" customHeight="1" x14ac:dyDescent="0.3">
      <c r="A1091" s="24">
        <v>1090</v>
      </c>
      <c r="B1091" s="10" t="s">
        <v>194</v>
      </c>
      <c r="C1091" s="10" t="s">
        <v>45</v>
      </c>
      <c r="D1091" s="62">
        <v>55</v>
      </c>
      <c r="E1091" s="61" t="s">
        <v>2842</v>
      </c>
      <c r="F1091" s="19" t="s">
        <v>483</v>
      </c>
      <c r="G1091" s="10" t="s">
        <v>160</v>
      </c>
      <c r="H1091" s="10" t="s">
        <v>849</v>
      </c>
      <c r="I1091" s="62">
        <v>142</v>
      </c>
      <c r="J1091" s="10" t="s">
        <v>2372</v>
      </c>
      <c r="K1091" s="10" t="s">
        <v>847</v>
      </c>
      <c r="L1091" s="10" t="s">
        <v>2373</v>
      </c>
      <c r="M1091" s="10" t="s">
        <v>2372</v>
      </c>
      <c r="N1091" s="10" t="s">
        <v>2373</v>
      </c>
      <c r="O1091" s="10"/>
    </row>
    <row r="1092" spans="1:15" ht="18" customHeight="1" x14ac:dyDescent="0.3">
      <c r="A1092" s="24">
        <v>1091</v>
      </c>
      <c r="B1092" s="10" t="s">
        <v>194</v>
      </c>
      <c r="C1092" s="10" t="s">
        <v>45</v>
      </c>
      <c r="D1092" s="62">
        <v>55</v>
      </c>
      <c r="E1092" s="61" t="s">
        <v>2842</v>
      </c>
      <c r="F1092" s="19" t="s">
        <v>483</v>
      </c>
      <c r="G1092" s="10" t="s">
        <v>160</v>
      </c>
      <c r="H1092" s="10" t="s">
        <v>850</v>
      </c>
      <c r="I1092" s="62">
        <v>154</v>
      </c>
      <c r="J1092" s="10" t="s">
        <v>2372</v>
      </c>
      <c r="K1092" s="10" t="s">
        <v>847</v>
      </c>
      <c r="L1092" s="10" t="s">
        <v>2373</v>
      </c>
      <c r="M1092" s="10" t="s">
        <v>2372</v>
      </c>
      <c r="N1092" s="10" t="s">
        <v>2373</v>
      </c>
      <c r="O1092" s="10"/>
    </row>
    <row r="1093" spans="1:15" ht="18" customHeight="1" x14ac:dyDescent="0.3">
      <c r="A1093" s="24">
        <v>1092</v>
      </c>
      <c r="B1093" s="10" t="s">
        <v>194</v>
      </c>
      <c r="C1093" s="10" t="s">
        <v>45</v>
      </c>
      <c r="D1093" s="62">
        <v>55</v>
      </c>
      <c r="E1093" s="61" t="s">
        <v>2842</v>
      </c>
      <c r="F1093" s="19" t="s">
        <v>483</v>
      </c>
      <c r="G1093" s="10" t="s">
        <v>160</v>
      </c>
      <c r="H1093" s="10" t="s">
        <v>851</v>
      </c>
      <c r="I1093" s="62">
        <v>154</v>
      </c>
      <c r="J1093" s="10" t="s">
        <v>2374</v>
      </c>
      <c r="K1093" s="10" t="s">
        <v>847</v>
      </c>
      <c r="L1093" s="10" t="s">
        <v>2373</v>
      </c>
      <c r="M1093" s="10" t="s">
        <v>2372</v>
      </c>
      <c r="N1093" s="10" t="s">
        <v>2373</v>
      </c>
      <c r="O1093" s="10"/>
    </row>
    <row r="1094" spans="1:15" ht="18" customHeight="1" x14ac:dyDescent="0.3">
      <c r="A1094" s="24">
        <v>1093</v>
      </c>
      <c r="B1094" s="10" t="s">
        <v>194</v>
      </c>
      <c r="C1094" s="10" t="s">
        <v>45</v>
      </c>
      <c r="D1094" s="62">
        <v>55</v>
      </c>
      <c r="E1094" s="61" t="s">
        <v>2842</v>
      </c>
      <c r="F1094" s="19" t="s">
        <v>483</v>
      </c>
      <c r="G1094" s="10" t="s">
        <v>160</v>
      </c>
      <c r="H1094" s="10" t="s">
        <v>852</v>
      </c>
      <c r="I1094" s="62">
        <v>92</v>
      </c>
      <c r="J1094" s="10" t="s">
        <v>2372</v>
      </c>
      <c r="K1094" s="10" t="s">
        <v>847</v>
      </c>
      <c r="L1094" s="10" t="s">
        <v>2373</v>
      </c>
      <c r="M1094" s="10" t="s">
        <v>2372</v>
      </c>
      <c r="N1094" s="10" t="s">
        <v>2373</v>
      </c>
      <c r="O1094" s="10"/>
    </row>
    <row r="1095" spans="1:15" ht="18" customHeight="1" x14ac:dyDescent="0.3">
      <c r="A1095" s="24">
        <v>1094</v>
      </c>
      <c r="B1095" s="10" t="s">
        <v>194</v>
      </c>
      <c r="C1095" s="10" t="s">
        <v>45</v>
      </c>
      <c r="D1095" s="62">
        <v>55</v>
      </c>
      <c r="E1095" s="61" t="s">
        <v>2842</v>
      </c>
      <c r="F1095" s="19" t="s">
        <v>483</v>
      </c>
      <c r="G1095" s="10" t="s">
        <v>160</v>
      </c>
      <c r="H1095" s="10" t="s">
        <v>853</v>
      </c>
      <c r="I1095" s="62">
        <v>234</v>
      </c>
      <c r="J1095" s="10" t="s">
        <v>2372</v>
      </c>
      <c r="K1095" s="10" t="s">
        <v>847</v>
      </c>
      <c r="L1095" s="10" t="s">
        <v>2373</v>
      </c>
      <c r="M1095" s="10" t="s">
        <v>2372</v>
      </c>
      <c r="N1095" s="10" t="s">
        <v>2373</v>
      </c>
      <c r="O1095" s="10"/>
    </row>
    <row r="1096" spans="1:15" ht="18" customHeight="1" x14ac:dyDescent="0.3">
      <c r="A1096" s="24">
        <v>1095</v>
      </c>
      <c r="B1096" s="10" t="s">
        <v>194</v>
      </c>
      <c r="C1096" s="10" t="s">
        <v>45</v>
      </c>
      <c r="D1096" s="62">
        <v>55</v>
      </c>
      <c r="E1096" s="61" t="s">
        <v>2842</v>
      </c>
      <c r="F1096" s="19" t="s">
        <v>483</v>
      </c>
      <c r="G1096" s="10" t="s">
        <v>160</v>
      </c>
      <c r="H1096" s="10" t="s">
        <v>854</v>
      </c>
      <c r="I1096" s="62">
        <v>142</v>
      </c>
      <c r="J1096" s="10" t="s">
        <v>2372</v>
      </c>
      <c r="K1096" s="10" t="s">
        <v>847</v>
      </c>
      <c r="L1096" s="10" t="s">
        <v>2373</v>
      </c>
      <c r="M1096" s="10" t="s">
        <v>2372</v>
      </c>
      <c r="N1096" s="10" t="s">
        <v>2373</v>
      </c>
      <c r="O1096" s="10"/>
    </row>
    <row r="1097" spans="1:15" ht="18" customHeight="1" x14ac:dyDescent="0.3">
      <c r="A1097" s="24">
        <v>1096</v>
      </c>
      <c r="B1097" s="10" t="s">
        <v>194</v>
      </c>
      <c r="C1097" s="10" t="s">
        <v>45</v>
      </c>
      <c r="D1097" s="62">
        <v>55</v>
      </c>
      <c r="E1097" s="61" t="s">
        <v>2842</v>
      </c>
      <c r="F1097" s="19" t="s">
        <v>483</v>
      </c>
      <c r="G1097" s="10" t="s">
        <v>160</v>
      </c>
      <c r="H1097" s="10" t="s">
        <v>855</v>
      </c>
      <c r="I1097" s="62">
        <v>154</v>
      </c>
      <c r="J1097" s="10" t="s">
        <v>2374</v>
      </c>
      <c r="K1097" s="10" t="s">
        <v>847</v>
      </c>
      <c r="L1097" s="10" t="s">
        <v>2373</v>
      </c>
      <c r="M1097" s="10" t="s">
        <v>2372</v>
      </c>
      <c r="N1097" s="10" t="s">
        <v>2373</v>
      </c>
      <c r="O1097" s="10"/>
    </row>
    <row r="1098" spans="1:15" ht="18" customHeight="1" x14ac:dyDescent="0.3">
      <c r="A1098" s="24">
        <v>1097</v>
      </c>
      <c r="B1098" s="10" t="s">
        <v>194</v>
      </c>
      <c r="C1098" s="10" t="s">
        <v>45</v>
      </c>
      <c r="D1098" s="62">
        <v>55</v>
      </c>
      <c r="E1098" s="61" t="s">
        <v>2842</v>
      </c>
      <c r="F1098" s="19" t="s">
        <v>483</v>
      </c>
      <c r="G1098" s="10" t="s">
        <v>160</v>
      </c>
      <c r="H1098" s="10" t="s">
        <v>869</v>
      </c>
      <c r="I1098" s="62">
        <v>154</v>
      </c>
      <c r="J1098" s="10" t="s">
        <v>2372</v>
      </c>
      <c r="K1098" s="10" t="s">
        <v>847</v>
      </c>
      <c r="L1098" s="10" t="s">
        <v>2373</v>
      </c>
      <c r="M1098" s="10" t="s">
        <v>2372</v>
      </c>
      <c r="N1098" s="10" t="s">
        <v>2373</v>
      </c>
      <c r="O1098" s="10"/>
    </row>
    <row r="1099" spans="1:15" ht="18" customHeight="1" x14ac:dyDescent="0.3">
      <c r="A1099" s="24">
        <v>1098</v>
      </c>
      <c r="B1099" s="8" t="s">
        <v>1474</v>
      </c>
      <c r="C1099" s="8" t="s">
        <v>1512</v>
      </c>
      <c r="D1099" s="8">
        <v>55</v>
      </c>
      <c r="E1099" s="16" t="s">
        <v>1513</v>
      </c>
      <c r="F1099" s="16" t="s">
        <v>1514</v>
      </c>
      <c r="G1099" s="8" t="s">
        <v>1264</v>
      </c>
      <c r="H1099" s="10" t="s">
        <v>2385</v>
      </c>
      <c r="I1099" s="62">
        <v>156</v>
      </c>
      <c r="J1099" s="8" t="s">
        <v>846</v>
      </c>
      <c r="K1099" s="10" t="s">
        <v>847</v>
      </c>
      <c r="L1099" s="10" t="s">
        <v>2373</v>
      </c>
      <c r="M1099" s="10" t="s">
        <v>2372</v>
      </c>
      <c r="N1099" s="10" t="s">
        <v>2373</v>
      </c>
      <c r="O1099" s="10"/>
    </row>
    <row r="1100" spans="1:15" ht="18" customHeight="1" x14ac:dyDescent="0.3">
      <c r="A1100" s="24">
        <v>1099</v>
      </c>
      <c r="B1100" s="8" t="s">
        <v>1474</v>
      </c>
      <c r="C1100" s="8" t="s">
        <v>1512</v>
      </c>
      <c r="D1100" s="8">
        <v>55</v>
      </c>
      <c r="E1100" s="16" t="s">
        <v>1513</v>
      </c>
      <c r="F1100" s="16" t="s">
        <v>1514</v>
      </c>
      <c r="G1100" s="8" t="s">
        <v>1264</v>
      </c>
      <c r="H1100" s="10" t="s">
        <v>2378</v>
      </c>
      <c r="I1100" s="62">
        <v>156</v>
      </c>
      <c r="J1100" s="8" t="s">
        <v>2372</v>
      </c>
      <c r="K1100" s="10" t="s">
        <v>847</v>
      </c>
      <c r="L1100" s="10" t="s">
        <v>2373</v>
      </c>
      <c r="M1100" s="10" t="s">
        <v>2372</v>
      </c>
      <c r="N1100" s="10" t="s">
        <v>2373</v>
      </c>
      <c r="O1100" s="10"/>
    </row>
    <row r="1101" spans="1:15" ht="18" customHeight="1" x14ac:dyDescent="0.3">
      <c r="A1101" s="24">
        <v>1100</v>
      </c>
      <c r="B1101" s="8" t="s">
        <v>1474</v>
      </c>
      <c r="C1101" s="8" t="s">
        <v>1512</v>
      </c>
      <c r="D1101" s="8">
        <v>55</v>
      </c>
      <c r="E1101" s="16" t="s">
        <v>1513</v>
      </c>
      <c r="F1101" s="16" t="s">
        <v>1514</v>
      </c>
      <c r="G1101" s="8" t="s">
        <v>1264</v>
      </c>
      <c r="H1101" s="10" t="s">
        <v>2379</v>
      </c>
      <c r="I1101" s="62">
        <v>156</v>
      </c>
      <c r="J1101" s="8" t="s">
        <v>2372</v>
      </c>
      <c r="K1101" s="10" t="s">
        <v>847</v>
      </c>
      <c r="L1101" s="10" t="s">
        <v>2373</v>
      </c>
      <c r="M1101" s="10" t="s">
        <v>2372</v>
      </c>
      <c r="N1101" s="10" t="s">
        <v>2373</v>
      </c>
      <c r="O1101" s="10"/>
    </row>
    <row r="1102" spans="1:15" ht="18" customHeight="1" x14ac:dyDescent="0.3">
      <c r="A1102" s="24">
        <v>1101</v>
      </c>
      <c r="B1102" s="8" t="s">
        <v>1474</v>
      </c>
      <c r="C1102" s="8" t="s">
        <v>1512</v>
      </c>
      <c r="D1102" s="8">
        <v>55</v>
      </c>
      <c r="E1102" s="16" t="s">
        <v>1513</v>
      </c>
      <c r="F1102" s="16" t="s">
        <v>1514</v>
      </c>
      <c r="G1102" s="8" t="s">
        <v>1264</v>
      </c>
      <c r="H1102" s="10" t="s">
        <v>2380</v>
      </c>
      <c r="I1102" s="62">
        <v>72</v>
      </c>
      <c r="J1102" s="8" t="s">
        <v>2372</v>
      </c>
      <c r="K1102" s="10" t="s">
        <v>2374</v>
      </c>
      <c r="L1102" s="10" t="s">
        <v>2229</v>
      </c>
      <c r="M1102" s="10" t="s">
        <v>2372</v>
      </c>
      <c r="N1102" s="10" t="s">
        <v>2373</v>
      </c>
      <c r="O1102" s="10"/>
    </row>
    <row r="1103" spans="1:15" ht="18" customHeight="1" x14ac:dyDescent="0.3">
      <c r="A1103" s="24">
        <v>1102</v>
      </c>
      <c r="B1103" s="8" t="s">
        <v>1474</v>
      </c>
      <c r="C1103" s="8" t="s">
        <v>1512</v>
      </c>
      <c r="D1103" s="8">
        <v>55</v>
      </c>
      <c r="E1103" s="16" t="s">
        <v>1513</v>
      </c>
      <c r="F1103" s="16" t="s">
        <v>1514</v>
      </c>
      <c r="G1103" s="8" t="s">
        <v>1264</v>
      </c>
      <c r="H1103" s="10" t="s">
        <v>2390</v>
      </c>
      <c r="I1103" s="62">
        <v>266</v>
      </c>
      <c r="J1103" s="8" t="s">
        <v>846</v>
      </c>
      <c r="K1103" s="10" t="s">
        <v>847</v>
      </c>
      <c r="L1103" s="10" t="s">
        <v>2373</v>
      </c>
      <c r="M1103" s="10" t="s">
        <v>2372</v>
      </c>
      <c r="N1103" s="10" t="s">
        <v>2373</v>
      </c>
      <c r="O1103" s="10"/>
    </row>
    <row r="1104" spans="1:15" ht="18" customHeight="1" x14ac:dyDescent="0.3">
      <c r="A1104" s="24">
        <v>1103</v>
      </c>
      <c r="B1104" s="8" t="s">
        <v>1474</v>
      </c>
      <c r="C1104" s="8" t="s">
        <v>1512</v>
      </c>
      <c r="D1104" s="8">
        <v>55</v>
      </c>
      <c r="E1104" s="16" t="s">
        <v>1513</v>
      </c>
      <c r="F1104" s="16" t="s">
        <v>1514</v>
      </c>
      <c r="G1104" s="8" t="s">
        <v>1264</v>
      </c>
      <c r="H1104" s="10" t="s">
        <v>2382</v>
      </c>
      <c r="I1104" s="62">
        <v>156</v>
      </c>
      <c r="J1104" s="8" t="s">
        <v>2372</v>
      </c>
      <c r="K1104" s="10" t="s">
        <v>847</v>
      </c>
      <c r="L1104" s="10" t="s">
        <v>2373</v>
      </c>
      <c r="M1104" s="10" t="s">
        <v>2372</v>
      </c>
      <c r="N1104" s="10" t="s">
        <v>2373</v>
      </c>
      <c r="O1104" s="10"/>
    </row>
    <row r="1105" spans="1:15" ht="18" customHeight="1" x14ac:dyDescent="0.3">
      <c r="A1105" s="24">
        <v>1104</v>
      </c>
      <c r="B1105" s="8" t="s">
        <v>1474</v>
      </c>
      <c r="C1105" s="8" t="s">
        <v>1512</v>
      </c>
      <c r="D1105" s="8">
        <v>55</v>
      </c>
      <c r="E1105" s="16" t="s">
        <v>1513</v>
      </c>
      <c r="F1105" s="16" t="s">
        <v>1514</v>
      </c>
      <c r="G1105" s="8" t="s">
        <v>1264</v>
      </c>
      <c r="H1105" s="10" t="s">
        <v>2431</v>
      </c>
      <c r="I1105" s="62">
        <v>72</v>
      </c>
      <c r="J1105" s="8" t="s">
        <v>2372</v>
      </c>
      <c r="K1105" s="10" t="s">
        <v>2374</v>
      </c>
      <c r="L1105" s="10" t="s">
        <v>2229</v>
      </c>
      <c r="M1105" s="10" t="s">
        <v>2372</v>
      </c>
      <c r="N1105" s="10" t="s">
        <v>2373</v>
      </c>
      <c r="O1105" s="10"/>
    </row>
    <row r="1106" spans="1:15" ht="18" customHeight="1" x14ac:dyDescent="0.3">
      <c r="A1106" s="24">
        <v>1105</v>
      </c>
      <c r="B1106" s="10" t="s">
        <v>194</v>
      </c>
      <c r="C1106" s="10" t="s">
        <v>46</v>
      </c>
      <c r="D1106" s="62">
        <v>56</v>
      </c>
      <c r="E1106" s="61" t="s">
        <v>2843</v>
      </c>
      <c r="F1106" s="11" t="s">
        <v>474</v>
      </c>
      <c r="G1106" s="10" t="s">
        <v>150</v>
      </c>
      <c r="H1106" s="10" t="s">
        <v>848</v>
      </c>
      <c r="I1106" s="62">
        <v>114</v>
      </c>
      <c r="J1106" s="10" t="s">
        <v>2372</v>
      </c>
      <c r="K1106" s="10" t="s">
        <v>847</v>
      </c>
      <c r="L1106" s="10" t="s">
        <v>2373</v>
      </c>
      <c r="M1106" s="10" t="s">
        <v>2372</v>
      </c>
      <c r="N1106" s="10" t="s">
        <v>2373</v>
      </c>
      <c r="O1106" s="10"/>
    </row>
    <row r="1107" spans="1:15" ht="18" customHeight="1" x14ac:dyDescent="0.3">
      <c r="A1107" s="24">
        <v>1106</v>
      </c>
      <c r="B1107" s="10" t="s">
        <v>194</v>
      </c>
      <c r="C1107" s="10" t="s">
        <v>46</v>
      </c>
      <c r="D1107" s="62">
        <v>56</v>
      </c>
      <c r="E1107" s="61" t="s">
        <v>2843</v>
      </c>
      <c r="F1107" s="11" t="s">
        <v>474</v>
      </c>
      <c r="G1107" s="10" t="s">
        <v>150</v>
      </c>
      <c r="H1107" s="10" t="s">
        <v>849</v>
      </c>
      <c r="I1107" s="62">
        <v>143</v>
      </c>
      <c r="J1107" s="10" t="s">
        <v>2374</v>
      </c>
      <c r="K1107" s="10" t="s">
        <v>847</v>
      </c>
      <c r="L1107" s="10" t="s">
        <v>2373</v>
      </c>
      <c r="M1107" s="10" t="s">
        <v>2372</v>
      </c>
      <c r="N1107" s="10" t="s">
        <v>2373</v>
      </c>
      <c r="O1107" s="10"/>
    </row>
    <row r="1108" spans="1:15" ht="18" customHeight="1" x14ac:dyDescent="0.3">
      <c r="A1108" s="24">
        <v>1107</v>
      </c>
      <c r="B1108" s="10" t="s">
        <v>194</v>
      </c>
      <c r="C1108" s="10" t="s">
        <v>46</v>
      </c>
      <c r="D1108" s="62">
        <v>56</v>
      </c>
      <c r="E1108" s="61" t="s">
        <v>2843</v>
      </c>
      <c r="F1108" s="11" t="s">
        <v>474</v>
      </c>
      <c r="G1108" s="10" t="s">
        <v>150</v>
      </c>
      <c r="H1108" s="10" t="s">
        <v>851</v>
      </c>
      <c r="I1108" s="62">
        <v>282</v>
      </c>
      <c r="J1108" s="10" t="s">
        <v>2374</v>
      </c>
      <c r="K1108" s="10" t="s">
        <v>847</v>
      </c>
      <c r="L1108" s="10" t="s">
        <v>2373</v>
      </c>
      <c r="M1108" s="10" t="s">
        <v>2372</v>
      </c>
      <c r="N1108" s="10" t="s">
        <v>2373</v>
      </c>
      <c r="O1108" s="10"/>
    </row>
    <row r="1109" spans="1:15" ht="18" customHeight="1" x14ac:dyDescent="0.3">
      <c r="A1109" s="24">
        <v>1108</v>
      </c>
      <c r="B1109" s="10" t="s">
        <v>194</v>
      </c>
      <c r="C1109" s="10" t="s">
        <v>46</v>
      </c>
      <c r="D1109" s="62">
        <v>56</v>
      </c>
      <c r="E1109" s="61" t="s">
        <v>2843</v>
      </c>
      <c r="F1109" s="11" t="s">
        <v>474</v>
      </c>
      <c r="G1109" s="10" t="s">
        <v>150</v>
      </c>
      <c r="H1109" s="10" t="s">
        <v>852</v>
      </c>
      <c r="I1109" s="62">
        <v>114</v>
      </c>
      <c r="J1109" s="10" t="s">
        <v>2372</v>
      </c>
      <c r="K1109" s="10" t="s">
        <v>847</v>
      </c>
      <c r="L1109" s="10" t="s">
        <v>2373</v>
      </c>
      <c r="M1109" s="10" t="s">
        <v>2372</v>
      </c>
      <c r="N1109" s="10" t="s">
        <v>2373</v>
      </c>
      <c r="O1109" s="10"/>
    </row>
    <row r="1110" spans="1:15" ht="18" customHeight="1" x14ac:dyDescent="0.3">
      <c r="A1110" s="24">
        <v>1109</v>
      </c>
      <c r="B1110" s="10" t="s">
        <v>194</v>
      </c>
      <c r="C1110" s="10" t="s">
        <v>46</v>
      </c>
      <c r="D1110" s="62">
        <v>56</v>
      </c>
      <c r="E1110" s="61" t="s">
        <v>2843</v>
      </c>
      <c r="F1110" s="11" t="s">
        <v>474</v>
      </c>
      <c r="G1110" s="10" t="s">
        <v>150</v>
      </c>
      <c r="H1110" s="10" t="s">
        <v>853</v>
      </c>
      <c r="I1110" s="62">
        <v>143</v>
      </c>
      <c r="J1110" s="10" t="s">
        <v>2374</v>
      </c>
      <c r="K1110" s="10" t="s">
        <v>847</v>
      </c>
      <c r="L1110" s="10" t="s">
        <v>2373</v>
      </c>
      <c r="M1110" s="10" t="s">
        <v>2372</v>
      </c>
      <c r="N1110" s="10" t="s">
        <v>2373</v>
      </c>
      <c r="O1110" s="10"/>
    </row>
    <row r="1111" spans="1:15" ht="18" customHeight="1" x14ac:dyDescent="0.3">
      <c r="A1111" s="24">
        <v>1110</v>
      </c>
      <c r="B1111" s="10" t="s">
        <v>194</v>
      </c>
      <c r="C1111" s="10" t="s">
        <v>46</v>
      </c>
      <c r="D1111" s="62">
        <v>56</v>
      </c>
      <c r="E1111" s="61" t="s">
        <v>2843</v>
      </c>
      <c r="F1111" s="11" t="s">
        <v>474</v>
      </c>
      <c r="G1111" s="10" t="s">
        <v>150</v>
      </c>
      <c r="H1111" s="10" t="s">
        <v>854</v>
      </c>
      <c r="I1111" s="62">
        <v>132</v>
      </c>
      <c r="J1111" s="10" t="s">
        <v>2372</v>
      </c>
      <c r="K1111" s="10" t="s">
        <v>847</v>
      </c>
      <c r="L1111" s="10" t="s">
        <v>2373</v>
      </c>
      <c r="M1111" s="10" t="s">
        <v>2372</v>
      </c>
      <c r="N1111" s="10" t="s">
        <v>2373</v>
      </c>
      <c r="O1111" s="10"/>
    </row>
    <row r="1112" spans="1:15" ht="18" customHeight="1" x14ac:dyDescent="0.3">
      <c r="A1112" s="24">
        <v>1111</v>
      </c>
      <c r="B1112" s="10" t="s">
        <v>194</v>
      </c>
      <c r="C1112" s="10" t="s">
        <v>46</v>
      </c>
      <c r="D1112" s="62">
        <v>56</v>
      </c>
      <c r="E1112" s="61" t="s">
        <v>2843</v>
      </c>
      <c r="F1112" s="11" t="s">
        <v>2551</v>
      </c>
      <c r="G1112" s="10" t="s">
        <v>150</v>
      </c>
      <c r="H1112" s="10" t="s">
        <v>845</v>
      </c>
      <c r="I1112" s="62">
        <v>233</v>
      </c>
      <c r="J1112" s="10" t="s">
        <v>2374</v>
      </c>
      <c r="K1112" s="10" t="s">
        <v>2372</v>
      </c>
      <c r="L1112" s="10" t="s">
        <v>2373</v>
      </c>
      <c r="M1112" s="10" t="s">
        <v>2372</v>
      </c>
      <c r="N1112" s="10" t="s">
        <v>2373</v>
      </c>
      <c r="O1112" s="10"/>
    </row>
    <row r="1113" spans="1:15" ht="18" customHeight="1" x14ac:dyDescent="0.3">
      <c r="A1113" s="24">
        <v>1112</v>
      </c>
      <c r="B1113" s="10" t="s">
        <v>194</v>
      </c>
      <c r="C1113" s="10" t="s">
        <v>46</v>
      </c>
      <c r="D1113" s="62">
        <v>56</v>
      </c>
      <c r="E1113" s="61" t="s">
        <v>2843</v>
      </c>
      <c r="F1113" s="11" t="s">
        <v>2551</v>
      </c>
      <c r="G1113" s="10" t="s">
        <v>150</v>
      </c>
      <c r="H1113" s="10" t="s">
        <v>850</v>
      </c>
      <c r="I1113" s="62">
        <v>96</v>
      </c>
      <c r="J1113" s="10" t="s">
        <v>2374</v>
      </c>
      <c r="K1113" s="10" t="s">
        <v>846</v>
      </c>
      <c r="L1113" s="10" t="s">
        <v>188</v>
      </c>
      <c r="M1113" s="10" t="s">
        <v>2372</v>
      </c>
      <c r="N1113" s="10" t="s">
        <v>2373</v>
      </c>
      <c r="O1113" s="10"/>
    </row>
    <row r="1114" spans="1:15" ht="18" customHeight="1" x14ac:dyDescent="0.3">
      <c r="A1114" s="24">
        <v>1113</v>
      </c>
      <c r="B1114" s="99" t="s">
        <v>3083</v>
      </c>
      <c r="C1114" s="99" t="s">
        <v>3094</v>
      </c>
      <c r="D1114" s="99">
        <v>57</v>
      </c>
      <c r="E1114" s="56" t="s">
        <v>3093</v>
      </c>
      <c r="F1114" s="56" t="s">
        <v>3095</v>
      </c>
      <c r="G1114" s="99" t="s">
        <v>3096</v>
      </c>
      <c r="H1114" s="10" t="s">
        <v>3087</v>
      </c>
      <c r="I1114" s="62">
        <v>135</v>
      </c>
      <c r="J1114" s="10" t="s">
        <v>884</v>
      </c>
      <c r="K1114" s="10" t="s">
        <v>884</v>
      </c>
      <c r="L1114" s="10" t="s">
        <v>820</v>
      </c>
      <c r="M1114" s="10" t="s">
        <v>884</v>
      </c>
      <c r="N1114" s="10" t="s">
        <v>820</v>
      </c>
      <c r="O1114" s="10"/>
    </row>
    <row r="1115" spans="1:15" ht="18" customHeight="1" x14ac:dyDescent="0.3">
      <c r="A1115" s="24">
        <v>1114</v>
      </c>
      <c r="B1115" s="99" t="s">
        <v>3083</v>
      </c>
      <c r="C1115" s="99" t="s">
        <v>3094</v>
      </c>
      <c r="D1115" s="99">
        <v>57</v>
      </c>
      <c r="E1115" s="56" t="s">
        <v>3093</v>
      </c>
      <c r="F1115" s="56" t="s">
        <v>3095</v>
      </c>
      <c r="G1115" s="99" t="s">
        <v>3096</v>
      </c>
      <c r="H1115" s="10" t="s">
        <v>3088</v>
      </c>
      <c r="I1115" s="62">
        <v>122</v>
      </c>
      <c r="J1115" s="10" t="s">
        <v>884</v>
      </c>
      <c r="K1115" s="10" t="s">
        <v>884</v>
      </c>
      <c r="L1115" s="10" t="s">
        <v>820</v>
      </c>
      <c r="M1115" s="10" t="s">
        <v>884</v>
      </c>
      <c r="N1115" s="10" t="s">
        <v>820</v>
      </c>
      <c r="O1115" s="10"/>
    </row>
    <row r="1116" spans="1:15" ht="18" customHeight="1" x14ac:dyDescent="0.3">
      <c r="A1116" s="24">
        <v>1115</v>
      </c>
      <c r="B1116" s="99" t="s">
        <v>3083</v>
      </c>
      <c r="C1116" s="99" t="s">
        <v>3094</v>
      </c>
      <c r="D1116" s="99">
        <v>57</v>
      </c>
      <c r="E1116" s="56" t="s">
        <v>3093</v>
      </c>
      <c r="F1116" s="56" t="s">
        <v>3095</v>
      </c>
      <c r="G1116" s="99" t="s">
        <v>3096</v>
      </c>
      <c r="H1116" s="10" t="s">
        <v>3097</v>
      </c>
      <c r="I1116" s="62">
        <v>113</v>
      </c>
      <c r="J1116" s="10" t="s">
        <v>884</v>
      </c>
      <c r="K1116" s="10" t="s">
        <v>884</v>
      </c>
      <c r="L1116" s="10" t="s">
        <v>820</v>
      </c>
      <c r="M1116" s="10" t="s">
        <v>884</v>
      </c>
      <c r="N1116" s="10" t="s">
        <v>820</v>
      </c>
      <c r="O1116" s="10"/>
    </row>
    <row r="1117" spans="1:15" ht="18" customHeight="1" x14ac:dyDescent="0.3">
      <c r="A1117" s="24">
        <v>1116</v>
      </c>
      <c r="B1117" s="99" t="s">
        <v>3083</v>
      </c>
      <c r="C1117" s="99" t="s">
        <v>3094</v>
      </c>
      <c r="D1117" s="99">
        <v>57</v>
      </c>
      <c r="E1117" s="56" t="s">
        <v>3093</v>
      </c>
      <c r="F1117" s="56" t="s">
        <v>3095</v>
      </c>
      <c r="G1117" s="99" t="s">
        <v>3096</v>
      </c>
      <c r="H1117" s="10" t="s">
        <v>3098</v>
      </c>
      <c r="I1117" s="62">
        <v>145</v>
      </c>
      <c r="J1117" s="10" t="s">
        <v>884</v>
      </c>
      <c r="K1117" s="10" t="s">
        <v>884</v>
      </c>
      <c r="L1117" s="10" t="s">
        <v>820</v>
      </c>
      <c r="M1117" s="10" t="s">
        <v>884</v>
      </c>
      <c r="N1117" s="10" t="s">
        <v>820</v>
      </c>
      <c r="O1117" s="10"/>
    </row>
    <row r="1118" spans="1:15" ht="18" customHeight="1" x14ac:dyDescent="0.3">
      <c r="A1118" s="24">
        <v>1117</v>
      </c>
      <c r="B1118" s="10" t="s">
        <v>194</v>
      </c>
      <c r="C1118" s="10" t="s">
        <v>28</v>
      </c>
      <c r="D1118" s="62">
        <v>57</v>
      </c>
      <c r="E1118" s="61" t="s">
        <v>243</v>
      </c>
      <c r="F1118" s="9" t="s">
        <v>490</v>
      </c>
      <c r="G1118" s="10" t="s">
        <v>150</v>
      </c>
      <c r="H1118" s="10" t="s">
        <v>845</v>
      </c>
      <c r="I1118" s="62">
        <v>173</v>
      </c>
      <c r="J1118" s="8" t="s">
        <v>846</v>
      </c>
      <c r="K1118" s="10" t="s">
        <v>847</v>
      </c>
      <c r="L1118" s="10" t="s">
        <v>2373</v>
      </c>
      <c r="M1118" s="10" t="s">
        <v>2372</v>
      </c>
      <c r="N1118" s="10" t="s">
        <v>2373</v>
      </c>
      <c r="O1118" s="10"/>
    </row>
    <row r="1119" spans="1:15" ht="18" customHeight="1" x14ac:dyDescent="0.3">
      <c r="A1119" s="24">
        <v>1118</v>
      </c>
      <c r="B1119" s="10" t="s">
        <v>194</v>
      </c>
      <c r="C1119" s="10" t="s">
        <v>28</v>
      </c>
      <c r="D1119" s="62">
        <v>57</v>
      </c>
      <c r="E1119" s="61" t="s">
        <v>243</v>
      </c>
      <c r="F1119" s="9" t="s">
        <v>490</v>
      </c>
      <c r="G1119" s="10" t="s">
        <v>150</v>
      </c>
      <c r="H1119" s="10" t="s">
        <v>848</v>
      </c>
      <c r="I1119" s="62">
        <v>173</v>
      </c>
      <c r="J1119" s="8" t="s">
        <v>2372</v>
      </c>
      <c r="K1119" s="10" t="s">
        <v>847</v>
      </c>
      <c r="L1119" s="10" t="s">
        <v>2373</v>
      </c>
      <c r="M1119" s="10" t="s">
        <v>2372</v>
      </c>
      <c r="N1119" s="10" t="s">
        <v>2373</v>
      </c>
      <c r="O1119" s="10"/>
    </row>
    <row r="1120" spans="1:15" ht="18" customHeight="1" x14ac:dyDescent="0.3">
      <c r="A1120" s="24">
        <v>1119</v>
      </c>
      <c r="B1120" s="10" t="s">
        <v>194</v>
      </c>
      <c r="C1120" s="10" t="s">
        <v>28</v>
      </c>
      <c r="D1120" s="62">
        <v>57</v>
      </c>
      <c r="E1120" s="61" t="s">
        <v>243</v>
      </c>
      <c r="F1120" s="9" t="s">
        <v>490</v>
      </c>
      <c r="G1120" s="10" t="s">
        <v>150</v>
      </c>
      <c r="H1120" s="10" t="s">
        <v>849</v>
      </c>
      <c r="I1120" s="62">
        <v>202</v>
      </c>
      <c r="J1120" s="8" t="s">
        <v>2372</v>
      </c>
      <c r="K1120" s="10" t="s">
        <v>847</v>
      </c>
      <c r="L1120" s="10" t="s">
        <v>2373</v>
      </c>
      <c r="M1120" s="10" t="s">
        <v>2372</v>
      </c>
      <c r="N1120" s="10" t="s">
        <v>2373</v>
      </c>
      <c r="O1120" s="10"/>
    </row>
    <row r="1121" spans="1:15" ht="18" customHeight="1" x14ac:dyDescent="0.3">
      <c r="A1121" s="24">
        <v>1120</v>
      </c>
      <c r="B1121" s="10" t="s">
        <v>194</v>
      </c>
      <c r="C1121" s="10" t="s">
        <v>28</v>
      </c>
      <c r="D1121" s="62">
        <v>57</v>
      </c>
      <c r="E1121" s="61" t="s">
        <v>243</v>
      </c>
      <c r="F1121" s="9" t="s">
        <v>490</v>
      </c>
      <c r="G1121" s="10" t="s">
        <v>150</v>
      </c>
      <c r="H1121" s="10" t="s">
        <v>850</v>
      </c>
      <c r="I1121" s="62">
        <v>202</v>
      </c>
      <c r="J1121" s="8" t="s">
        <v>2372</v>
      </c>
      <c r="K1121" s="10" t="s">
        <v>847</v>
      </c>
      <c r="L1121" s="10" t="s">
        <v>2373</v>
      </c>
      <c r="M1121" s="10" t="s">
        <v>2372</v>
      </c>
      <c r="N1121" s="10" t="s">
        <v>2373</v>
      </c>
      <c r="O1121" s="10"/>
    </row>
    <row r="1122" spans="1:15" ht="18" customHeight="1" x14ac:dyDescent="0.3">
      <c r="A1122" s="24">
        <v>1121</v>
      </c>
      <c r="B1122" s="10" t="s">
        <v>194</v>
      </c>
      <c r="C1122" s="10" t="s">
        <v>28</v>
      </c>
      <c r="D1122" s="62">
        <v>57</v>
      </c>
      <c r="E1122" s="61" t="s">
        <v>243</v>
      </c>
      <c r="F1122" s="9" t="s">
        <v>490</v>
      </c>
      <c r="G1122" s="10" t="s">
        <v>150</v>
      </c>
      <c r="H1122" s="10" t="s">
        <v>851</v>
      </c>
      <c r="I1122" s="62">
        <v>202</v>
      </c>
      <c r="J1122" s="8" t="s">
        <v>2372</v>
      </c>
      <c r="K1122" s="10" t="s">
        <v>847</v>
      </c>
      <c r="L1122" s="10" t="s">
        <v>2373</v>
      </c>
      <c r="M1122" s="10" t="s">
        <v>2372</v>
      </c>
      <c r="N1122" s="10" t="s">
        <v>2373</v>
      </c>
      <c r="O1122" s="10"/>
    </row>
    <row r="1123" spans="1:15" ht="18" customHeight="1" x14ac:dyDescent="0.3">
      <c r="A1123" s="24">
        <v>1122</v>
      </c>
      <c r="B1123" s="10" t="s">
        <v>194</v>
      </c>
      <c r="C1123" s="10" t="s">
        <v>28</v>
      </c>
      <c r="D1123" s="62">
        <v>57</v>
      </c>
      <c r="E1123" s="61" t="s">
        <v>243</v>
      </c>
      <c r="F1123" s="9" t="s">
        <v>490</v>
      </c>
      <c r="G1123" s="10" t="s">
        <v>150</v>
      </c>
      <c r="H1123" s="10" t="s">
        <v>852</v>
      </c>
      <c r="I1123" s="62">
        <v>203</v>
      </c>
      <c r="J1123" s="8" t="s">
        <v>846</v>
      </c>
      <c r="K1123" s="10" t="s">
        <v>847</v>
      </c>
      <c r="L1123" s="10" t="s">
        <v>2373</v>
      </c>
      <c r="M1123" s="10" t="s">
        <v>2372</v>
      </c>
      <c r="N1123" s="10" t="s">
        <v>2373</v>
      </c>
      <c r="O1123" s="10"/>
    </row>
    <row r="1124" spans="1:15" ht="18" customHeight="1" x14ac:dyDescent="0.3">
      <c r="A1124" s="24">
        <v>1123</v>
      </c>
      <c r="B1124" s="10" t="s">
        <v>194</v>
      </c>
      <c r="C1124" s="10" t="s">
        <v>28</v>
      </c>
      <c r="D1124" s="62">
        <v>57</v>
      </c>
      <c r="E1124" s="61" t="s">
        <v>2552</v>
      </c>
      <c r="F1124" s="11" t="s">
        <v>1065</v>
      </c>
      <c r="G1124" s="10" t="s">
        <v>160</v>
      </c>
      <c r="H1124" s="10" t="s">
        <v>849</v>
      </c>
      <c r="I1124" s="62">
        <v>151</v>
      </c>
      <c r="J1124" s="10" t="s">
        <v>2372</v>
      </c>
      <c r="K1124" s="10" t="s">
        <v>847</v>
      </c>
      <c r="L1124" s="10" t="s">
        <v>2373</v>
      </c>
      <c r="M1124" s="10" t="s">
        <v>2372</v>
      </c>
      <c r="N1124" s="10" t="s">
        <v>2373</v>
      </c>
      <c r="O1124" s="10"/>
    </row>
    <row r="1125" spans="1:15" ht="18" customHeight="1" x14ac:dyDescent="0.3">
      <c r="A1125" s="24">
        <v>1124</v>
      </c>
      <c r="B1125" s="10" t="s">
        <v>194</v>
      </c>
      <c r="C1125" s="10" t="s">
        <v>28</v>
      </c>
      <c r="D1125" s="62">
        <v>57</v>
      </c>
      <c r="E1125" s="61" t="s">
        <v>2552</v>
      </c>
      <c r="F1125" s="11" t="s">
        <v>1065</v>
      </c>
      <c r="G1125" s="10" t="s">
        <v>160</v>
      </c>
      <c r="H1125" s="10" t="s">
        <v>850</v>
      </c>
      <c r="I1125" s="62">
        <v>208</v>
      </c>
      <c r="J1125" s="10" t="s">
        <v>2372</v>
      </c>
      <c r="K1125" s="10" t="s">
        <v>847</v>
      </c>
      <c r="L1125" s="10" t="s">
        <v>2373</v>
      </c>
      <c r="M1125" s="10" t="s">
        <v>2372</v>
      </c>
      <c r="N1125" s="10" t="s">
        <v>2373</v>
      </c>
      <c r="O1125" s="10"/>
    </row>
    <row r="1126" spans="1:15" ht="18" customHeight="1" x14ac:dyDescent="0.3">
      <c r="A1126" s="24">
        <v>1125</v>
      </c>
      <c r="B1126" s="10" t="s">
        <v>194</v>
      </c>
      <c r="C1126" s="10" t="s">
        <v>28</v>
      </c>
      <c r="D1126" s="62">
        <v>57</v>
      </c>
      <c r="E1126" s="61" t="s">
        <v>2552</v>
      </c>
      <c r="F1126" s="11" t="s">
        <v>1065</v>
      </c>
      <c r="G1126" s="10" t="s">
        <v>160</v>
      </c>
      <c r="H1126" s="10" t="s">
        <v>851</v>
      </c>
      <c r="I1126" s="62">
        <v>201</v>
      </c>
      <c r="J1126" s="10" t="s">
        <v>2372</v>
      </c>
      <c r="K1126" s="10" t="s">
        <v>847</v>
      </c>
      <c r="L1126" s="10" t="s">
        <v>2373</v>
      </c>
      <c r="M1126" s="10" t="s">
        <v>2372</v>
      </c>
      <c r="N1126" s="10" t="s">
        <v>2373</v>
      </c>
      <c r="O1126" s="10"/>
    </row>
    <row r="1127" spans="1:15" ht="18" customHeight="1" x14ac:dyDescent="0.3">
      <c r="A1127" s="24">
        <v>1126</v>
      </c>
      <c r="B1127" s="10" t="s">
        <v>194</v>
      </c>
      <c r="C1127" s="10" t="s">
        <v>28</v>
      </c>
      <c r="D1127" s="62">
        <v>57</v>
      </c>
      <c r="E1127" s="61" t="s">
        <v>2552</v>
      </c>
      <c r="F1127" s="11" t="s">
        <v>492</v>
      </c>
      <c r="G1127" s="10" t="s">
        <v>160</v>
      </c>
      <c r="H1127" s="10" t="s">
        <v>848</v>
      </c>
      <c r="I1127" s="62">
        <v>151</v>
      </c>
      <c r="J1127" s="10" t="s">
        <v>2374</v>
      </c>
      <c r="K1127" s="10" t="s">
        <v>847</v>
      </c>
      <c r="L1127" s="10" t="s">
        <v>2373</v>
      </c>
      <c r="M1127" s="10" t="s">
        <v>2372</v>
      </c>
      <c r="N1127" s="10" t="s">
        <v>2373</v>
      </c>
      <c r="O1127" s="10"/>
    </row>
    <row r="1128" spans="1:15" ht="18" customHeight="1" x14ac:dyDescent="0.3">
      <c r="A1128" s="24">
        <v>1127</v>
      </c>
      <c r="B1128" s="10" t="s">
        <v>194</v>
      </c>
      <c r="C1128" s="10" t="s">
        <v>28</v>
      </c>
      <c r="D1128" s="62">
        <v>57</v>
      </c>
      <c r="E1128" s="61" t="s">
        <v>2552</v>
      </c>
      <c r="F1128" s="11" t="s">
        <v>1106</v>
      </c>
      <c r="G1128" s="10" t="s">
        <v>160</v>
      </c>
      <c r="H1128" s="10" t="s">
        <v>845</v>
      </c>
      <c r="I1128" s="62">
        <v>60</v>
      </c>
      <c r="J1128" s="10" t="s">
        <v>2372</v>
      </c>
      <c r="K1128" s="10" t="s">
        <v>2374</v>
      </c>
      <c r="L1128" s="10" t="s">
        <v>1422</v>
      </c>
      <c r="M1128" s="10" t="s">
        <v>2372</v>
      </c>
      <c r="N1128" s="10" t="s">
        <v>2373</v>
      </c>
      <c r="O1128" s="10"/>
    </row>
    <row r="1129" spans="1:15" ht="18" customHeight="1" x14ac:dyDescent="0.3">
      <c r="A1129" s="24">
        <v>1128</v>
      </c>
      <c r="B1129" s="99" t="s">
        <v>3185</v>
      </c>
      <c r="C1129" s="99" t="s">
        <v>3186</v>
      </c>
      <c r="D1129" s="99">
        <v>57</v>
      </c>
      <c r="E1129" s="56" t="s">
        <v>3184</v>
      </c>
      <c r="F1129" s="56" t="s">
        <v>3187</v>
      </c>
      <c r="G1129" s="99" t="s">
        <v>3157</v>
      </c>
      <c r="H1129" s="10" t="s">
        <v>3188</v>
      </c>
      <c r="I1129" s="62">
        <v>74</v>
      </c>
      <c r="J1129" s="173" t="s">
        <v>3182</v>
      </c>
      <c r="K1129" s="173" t="s">
        <v>3175</v>
      </c>
      <c r="L1129" s="173" t="s">
        <v>3191</v>
      </c>
      <c r="M1129" s="10" t="s">
        <v>884</v>
      </c>
      <c r="N1129" s="10" t="s">
        <v>820</v>
      </c>
      <c r="O1129" s="10"/>
    </row>
    <row r="1130" spans="1:15" ht="18" customHeight="1" x14ac:dyDescent="0.3">
      <c r="A1130" s="24">
        <v>1129</v>
      </c>
      <c r="B1130" s="99" t="s">
        <v>3185</v>
      </c>
      <c r="C1130" s="99" t="s">
        <v>3186</v>
      </c>
      <c r="D1130" s="99">
        <v>57</v>
      </c>
      <c r="E1130" s="56" t="s">
        <v>3184</v>
      </c>
      <c r="F1130" s="56" t="s">
        <v>3187</v>
      </c>
      <c r="G1130" s="99" t="s">
        <v>3157</v>
      </c>
      <c r="H1130" s="10" t="s">
        <v>3189</v>
      </c>
      <c r="I1130" s="62">
        <v>57</v>
      </c>
      <c r="J1130" s="173" t="s">
        <v>3182</v>
      </c>
      <c r="K1130" s="173" t="s">
        <v>3175</v>
      </c>
      <c r="L1130" s="173" t="s">
        <v>3191</v>
      </c>
      <c r="M1130" s="10" t="s">
        <v>884</v>
      </c>
      <c r="N1130" s="10" t="s">
        <v>820</v>
      </c>
      <c r="O1130" s="10"/>
    </row>
    <row r="1131" spans="1:15" ht="18" customHeight="1" x14ac:dyDescent="0.3">
      <c r="A1131" s="24">
        <v>1130</v>
      </c>
      <c r="B1131" s="99" t="s">
        <v>3185</v>
      </c>
      <c r="C1131" s="99" t="s">
        <v>3186</v>
      </c>
      <c r="D1131" s="99">
        <v>57</v>
      </c>
      <c r="E1131" s="56" t="s">
        <v>3184</v>
      </c>
      <c r="F1131" s="56" t="s">
        <v>3187</v>
      </c>
      <c r="G1131" s="99" t="s">
        <v>3157</v>
      </c>
      <c r="H1131" s="10" t="s">
        <v>3161</v>
      </c>
      <c r="I1131" s="62">
        <v>77</v>
      </c>
      <c r="J1131" s="173" t="s">
        <v>3182</v>
      </c>
      <c r="K1131" s="173" t="s">
        <v>3175</v>
      </c>
      <c r="L1131" s="173" t="s">
        <v>3191</v>
      </c>
      <c r="M1131" s="10" t="s">
        <v>884</v>
      </c>
      <c r="N1131" s="10" t="s">
        <v>820</v>
      </c>
      <c r="O1131" s="10"/>
    </row>
    <row r="1132" spans="1:15" ht="18" customHeight="1" x14ac:dyDescent="0.3">
      <c r="A1132" s="24">
        <v>1131</v>
      </c>
      <c r="B1132" s="99" t="s">
        <v>3185</v>
      </c>
      <c r="C1132" s="99" t="s">
        <v>3186</v>
      </c>
      <c r="D1132" s="99">
        <v>57</v>
      </c>
      <c r="E1132" s="56" t="s">
        <v>3184</v>
      </c>
      <c r="F1132" s="56" t="s">
        <v>3187</v>
      </c>
      <c r="G1132" s="99" t="s">
        <v>3157</v>
      </c>
      <c r="H1132" s="10" t="s">
        <v>3162</v>
      </c>
      <c r="I1132" s="62">
        <v>74</v>
      </c>
      <c r="J1132" s="173" t="s">
        <v>3182</v>
      </c>
      <c r="K1132" s="173" t="s">
        <v>3175</v>
      </c>
      <c r="L1132" s="173" t="s">
        <v>3191</v>
      </c>
      <c r="M1132" s="10" t="s">
        <v>884</v>
      </c>
      <c r="N1132" s="10" t="s">
        <v>820</v>
      </c>
      <c r="O1132" s="10"/>
    </row>
    <row r="1133" spans="1:15" ht="18" customHeight="1" x14ac:dyDescent="0.3">
      <c r="A1133" s="24">
        <v>1132</v>
      </c>
      <c r="B1133" s="99" t="s">
        <v>3185</v>
      </c>
      <c r="C1133" s="99" t="s">
        <v>3186</v>
      </c>
      <c r="D1133" s="99">
        <v>57</v>
      </c>
      <c r="E1133" s="56" t="s">
        <v>3184</v>
      </c>
      <c r="F1133" s="56" t="s">
        <v>3187</v>
      </c>
      <c r="G1133" s="99" t="s">
        <v>3157</v>
      </c>
      <c r="H1133" s="10" t="s">
        <v>3181</v>
      </c>
      <c r="I1133" s="62">
        <v>57</v>
      </c>
      <c r="J1133" s="173" t="s">
        <v>3182</v>
      </c>
      <c r="K1133" s="173" t="s">
        <v>3175</v>
      </c>
      <c r="L1133" s="173" t="s">
        <v>3191</v>
      </c>
      <c r="M1133" s="10" t="s">
        <v>884</v>
      </c>
      <c r="N1133" s="10" t="s">
        <v>820</v>
      </c>
      <c r="O1133" s="10"/>
    </row>
    <row r="1134" spans="1:15" ht="18" customHeight="1" x14ac:dyDescent="0.3">
      <c r="A1134" s="24">
        <v>1133</v>
      </c>
      <c r="B1134" s="99" t="s">
        <v>3185</v>
      </c>
      <c r="C1134" s="99" t="s">
        <v>3186</v>
      </c>
      <c r="D1134" s="99">
        <v>57</v>
      </c>
      <c r="E1134" s="56" t="s">
        <v>3184</v>
      </c>
      <c r="F1134" s="56" t="s">
        <v>3187</v>
      </c>
      <c r="G1134" s="99" t="s">
        <v>3157</v>
      </c>
      <c r="H1134" s="10" t="s">
        <v>3190</v>
      </c>
      <c r="I1134" s="62">
        <v>77</v>
      </c>
      <c r="J1134" s="173" t="s">
        <v>3182</v>
      </c>
      <c r="K1134" s="173" t="s">
        <v>3175</v>
      </c>
      <c r="L1134" s="173" t="s">
        <v>3191</v>
      </c>
      <c r="M1134" s="10" t="s">
        <v>884</v>
      </c>
      <c r="N1134" s="10" t="s">
        <v>820</v>
      </c>
      <c r="O1134" s="10"/>
    </row>
    <row r="1135" spans="1:15" ht="18" customHeight="1" x14ac:dyDescent="0.3">
      <c r="A1135" s="24">
        <v>1134</v>
      </c>
      <c r="B1135" s="99" t="s">
        <v>3185</v>
      </c>
      <c r="C1135" s="99" t="s">
        <v>3186</v>
      </c>
      <c r="D1135" s="99">
        <v>57</v>
      </c>
      <c r="E1135" s="56" t="s">
        <v>3184</v>
      </c>
      <c r="F1135" s="56" t="s">
        <v>3187</v>
      </c>
      <c r="G1135" s="99" t="s">
        <v>3157</v>
      </c>
      <c r="H1135" s="10" t="s">
        <v>3165</v>
      </c>
      <c r="I1135" s="62">
        <v>90</v>
      </c>
      <c r="J1135" s="173" t="s">
        <v>3167</v>
      </c>
      <c r="K1135" s="173" t="s">
        <v>3175</v>
      </c>
      <c r="L1135" s="173" t="s">
        <v>3191</v>
      </c>
      <c r="M1135" s="10" t="s">
        <v>884</v>
      </c>
      <c r="N1135" s="10" t="s">
        <v>820</v>
      </c>
      <c r="O1135" s="10"/>
    </row>
    <row r="1136" spans="1:15" ht="18" customHeight="1" x14ac:dyDescent="0.3">
      <c r="A1136" s="24">
        <v>1135</v>
      </c>
      <c r="B1136" s="10" t="s">
        <v>194</v>
      </c>
      <c r="C1136" s="10" t="s">
        <v>28</v>
      </c>
      <c r="D1136" s="62">
        <v>57</v>
      </c>
      <c r="E1136" s="61" t="s">
        <v>2844</v>
      </c>
      <c r="F1136" s="19" t="s">
        <v>487</v>
      </c>
      <c r="G1136" s="10" t="s">
        <v>160</v>
      </c>
      <c r="H1136" s="10" t="s">
        <v>845</v>
      </c>
      <c r="I1136" s="171">
        <v>158</v>
      </c>
      <c r="J1136" s="10" t="s">
        <v>2372</v>
      </c>
      <c r="K1136" s="10" t="s">
        <v>847</v>
      </c>
      <c r="L1136" s="10" t="s">
        <v>2373</v>
      </c>
      <c r="M1136" s="10" t="s">
        <v>2372</v>
      </c>
      <c r="N1136" s="10" t="s">
        <v>2373</v>
      </c>
      <c r="O1136" s="10"/>
    </row>
    <row r="1137" spans="1:15" ht="18" customHeight="1" x14ac:dyDescent="0.3">
      <c r="A1137" s="24">
        <v>1136</v>
      </c>
      <c r="B1137" s="10" t="s">
        <v>194</v>
      </c>
      <c r="C1137" s="10" t="s">
        <v>28</v>
      </c>
      <c r="D1137" s="62">
        <v>57</v>
      </c>
      <c r="E1137" s="61" t="s">
        <v>2844</v>
      </c>
      <c r="F1137" s="19" t="s">
        <v>487</v>
      </c>
      <c r="G1137" s="10" t="s">
        <v>160</v>
      </c>
      <c r="H1137" s="10" t="s">
        <v>2378</v>
      </c>
      <c r="I1137" s="62">
        <v>24</v>
      </c>
      <c r="J1137" s="10" t="s">
        <v>2372</v>
      </c>
      <c r="K1137" s="10" t="s">
        <v>2372</v>
      </c>
      <c r="L1137" s="10" t="s">
        <v>2373</v>
      </c>
      <c r="M1137" s="10" t="s">
        <v>2372</v>
      </c>
      <c r="N1137" s="10" t="s">
        <v>2373</v>
      </c>
      <c r="O1137" s="10"/>
    </row>
    <row r="1138" spans="1:15" ht="18" customHeight="1" x14ac:dyDescent="0.3">
      <c r="A1138" s="24">
        <v>1137</v>
      </c>
      <c r="B1138" s="10" t="s">
        <v>194</v>
      </c>
      <c r="C1138" s="10" t="s">
        <v>28</v>
      </c>
      <c r="D1138" s="62">
        <v>57</v>
      </c>
      <c r="E1138" s="61" t="s">
        <v>2844</v>
      </c>
      <c r="F1138" s="19" t="s">
        <v>487</v>
      </c>
      <c r="G1138" s="10" t="s">
        <v>160</v>
      </c>
      <c r="H1138" s="10" t="s">
        <v>849</v>
      </c>
      <c r="I1138" s="171">
        <v>158</v>
      </c>
      <c r="J1138" s="10" t="s">
        <v>2372</v>
      </c>
      <c r="K1138" s="10" t="s">
        <v>847</v>
      </c>
      <c r="L1138" s="10" t="s">
        <v>2373</v>
      </c>
      <c r="M1138" s="10" t="s">
        <v>2372</v>
      </c>
      <c r="N1138" s="10" t="s">
        <v>2373</v>
      </c>
      <c r="O1138" s="10"/>
    </row>
    <row r="1139" spans="1:15" ht="18" customHeight="1" x14ac:dyDescent="0.3">
      <c r="A1139" s="24">
        <v>1138</v>
      </c>
      <c r="B1139" s="10" t="s">
        <v>194</v>
      </c>
      <c r="C1139" s="10" t="s">
        <v>28</v>
      </c>
      <c r="D1139" s="62">
        <v>57</v>
      </c>
      <c r="E1139" s="61" t="s">
        <v>2844</v>
      </c>
      <c r="F1139" s="19" t="s">
        <v>487</v>
      </c>
      <c r="G1139" s="10" t="s">
        <v>160</v>
      </c>
      <c r="H1139" s="10" t="s">
        <v>850</v>
      </c>
      <c r="I1139" s="171">
        <v>211</v>
      </c>
      <c r="J1139" s="10" t="s">
        <v>2372</v>
      </c>
      <c r="K1139" s="10" t="s">
        <v>847</v>
      </c>
      <c r="L1139" s="10" t="s">
        <v>2373</v>
      </c>
      <c r="M1139" s="10" t="s">
        <v>2372</v>
      </c>
      <c r="N1139" s="10" t="s">
        <v>2373</v>
      </c>
      <c r="O1139" s="10"/>
    </row>
    <row r="1140" spans="1:15" ht="18" customHeight="1" x14ac:dyDescent="0.3">
      <c r="A1140" s="24">
        <v>1139</v>
      </c>
      <c r="B1140" s="10" t="s">
        <v>194</v>
      </c>
      <c r="C1140" s="10" t="s">
        <v>28</v>
      </c>
      <c r="D1140" s="62">
        <v>57</v>
      </c>
      <c r="E1140" s="61" t="s">
        <v>2844</v>
      </c>
      <c r="F1140" s="19" t="s">
        <v>487</v>
      </c>
      <c r="G1140" s="10" t="s">
        <v>160</v>
      </c>
      <c r="H1140" s="10" t="s">
        <v>851</v>
      </c>
      <c r="I1140" s="171">
        <v>134</v>
      </c>
      <c r="J1140" s="10" t="s">
        <v>2372</v>
      </c>
      <c r="K1140" s="10" t="s">
        <v>847</v>
      </c>
      <c r="L1140" s="10" t="s">
        <v>2373</v>
      </c>
      <c r="M1140" s="10" t="s">
        <v>2372</v>
      </c>
      <c r="N1140" s="10" t="s">
        <v>2373</v>
      </c>
      <c r="O1140" s="10"/>
    </row>
    <row r="1141" spans="1:15" ht="18" customHeight="1" x14ac:dyDescent="0.3">
      <c r="A1141" s="24">
        <v>1140</v>
      </c>
      <c r="B1141" s="10" t="s">
        <v>194</v>
      </c>
      <c r="C1141" s="10" t="s">
        <v>28</v>
      </c>
      <c r="D1141" s="62">
        <v>57</v>
      </c>
      <c r="E1141" s="61" t="s">
        <v>2844</v>
      </c>
      <c r="F1141" s="19" t="s">
        <v>487</v>
      </c>
      <c r="G1141" s="10" t="s">
        <v>160</v>
      </c>
      <c r="H1141" s="10" t="s">
        <v>852</v>
      </c>
      <c r="I1141" s="171">
        <v>181</v>
      </c>
      <c r="J1141" s="10" t="s">
        <v>2374</v>
      </c>
      <c r="K1141" s="10" t="s">
        <v>847</v>
      </c>
      <c r="L1141" s="10" t="s">
        <v>2373</v>
      </c>
      <c r="M1141" s="10" t="s">
        <v>2372</v>
      </c>
      <c r="N1141" s="10" t="s">
        <v>2373</v>
      </c>
      <c r="O1141" s="10"/>
    </row>
    <row r="1142" spans="1:15" ht="18" customHeight="1" x14ac:dyDescent="0.3">
      <c r="A1142" s="24">
        <v>1141</v>
      </c>
      <c r="B1142" s="10" t="s">
        <v>194</v>
      </c>
      <c r="C1142" s="10" t="s">
        <v>28</v>
      </c>
      <c r="D1142" s="62">
        <v>57</v>
      </c>
      <c r="E1142" s="61" t="s">
        <v>2844</v>
      </c>
      <c r="F1142" s="19" t="s">
        <v>487</v>
      </c>
      <c r="G1142" s="10" t="s">
        <v>160</v>
      </c>
      <c r="H1142" s="10" t="s">
        <v>853</v>
      </c>
      <c r="I1142" s="171">
        <v>180</v>
      </c>
      <c r="J1142" s="10" t="s">
        <v>2372</v>
      </c>
      <c r="K1142" s="10" t="s">
        <v>847</v>
      </c>
      <c r="L1142" s="10" t="s">
        <v>2373</v>
      </c>
      <c r="M1142" s="10" t="s">
        <v>2372</v>
      </c>
      <c r="N1142" s="10" t="s">
        <v>2373</v>
      </c>
      <c r="O1142" s="10"/>
    </row>
    <row r="1143" spans="1:15" ht="18" customHeight="1" x14ac:dyDescent="0.3">
      <c r="A1143" s="24">
        <v>1142</v>
      </c>
      <c r="B1143" s="10" t="s">
        <v>194</v>
      </c>
      <c r="C1143" s="10" t="s">
        <v>28</v>
      </c>
      <c r="D1143" s="62">
        <v>57</v>
      </c>
      <c r="E1143" s="61" t="s">
        <v>285</v>
      </c>
      <c r="F1143" s="11" t="s">
        <v>488</v>
      </c>
      <c r="G1143" s="10" t="s">
        <v>160</v>
      </c>
      <c r="H1143" s="10" t="s">
        <v>845</v>
      </c>
      <c r="I1143" s="62">
        <v>167</v>
      </c>
      <c r="J1143" s="10" t="s">
        <v>2372</v>
      </c>
      <c r="K1143" s="10" t="s">
        <v>847</v>
      </c>
      <c r="L1143" s="10" t="s">
        <v>2373</v>
      </c>
      <c r="M1143" s="10" t="s">
        <v>2372</v>
      </c>
      <c r="N1143" s="10" t="s">
        <v>2373</v>
      </c>
      <c r="O1143" s="10"/>
    </row>
    <row r="1144" spans="1:15" ht="18" customHeight="1" x14ac:dyDescent="0.3">
      <c r="A1144" s="24">
        <v>1143</v>
      </c>
      <c r="B1144" s="10" t="s">
        <v>194</v>
      </c>
      <c r="C1144" s="10" t="s">
        <v>28</v>
      </c>
      <c r="D1144" s="62">
        <v>57</v>
      </c>
      <c r="E1144" s="61" t="s">
        <v>285</v>
      </c>
      <c r="F1144" s="11" t="s">
        <v>488</v>
      </c>
      <c r="G1144" s="10" t="s">
        <v>160</v>
      </c>
      <c r="H1144" s="10" t="s">
        <v>848</v>
      </c>
      <c r="I1144" s="62">
        <v>139</v>
      </c>
      <c r="J1144" s="10" t="s">
        <v>2372</v>
      </c>
      <c r="K1144" s="10" t="s">
        <v>847</v>
      </c>
      <c r="L1144" s="10" t="s">
        <v>2373</v>
      </c>
      <c r="M1144" s="10" t="s">
        <v>2372</v>
      </c>
      <c r="N1144" s="10" t="s">
        <v>2373</v>
      </c>
      <c r="O1144" s="10"/>
    </row>
    <row r="1145" spans="1:15" ht="18" customHeight="1" x14ac:dyDescent="0.3">
      <c r="A1145" s="24">
        <v>1144</v>
      </c>
      <c r="B1145" s="10" t="s">
        <v>194</v>
      </c>
      <c r="C1145" s="10" t="s">
        <v>28</v>
      </c>
      <c r="D1145" s="62">
        <v>57</v>
      </c>
      <c r="E1145" s="61" t="s">
        <v>285</v>
      </c>
      <c r="F1145" s="11" t="s">
        <v>488</v>
      </c>
      <c r="G1145" s="10" t="s">
        <v>160</v>
      </c>
      <c r="H1145" s="10" t="s">
        <v>849</v>
      </c>
      <c r="I1145" s="62">
        <v>34</v>
      </c>
      <c r="J1145" s="10" t="s">
        <v>2372</v>
      </c>
      <c r="K1145" s="10" t="s">
        <v>847</v>
      </c>
      <c r="L1145" s="10" t="s">
        <v>2373</v>
      </c>
      <c r="M1145" s="10" t="s">
        <v>2372</v>
      </c>
      <c r="N1145" s="10" t="s">
        <v>2373</v>
      </c>
      <c r="O1145" s="10"/>
    </row>
    <row r="1146" spans="1:15" ht="18" customHeight="1" x14ac:dyDescent="0.3">
      <c r="A1146" s="24">
        <v>1145</v>
      </c>
      <c r="B1146" s="10" t="s">
        <v>194</v>
      </c>
      <c r="C1146" s="10" t="s">
        <v>28</v>
      </c>
      <c r="D1146" s="62">
        <v>57</v>
      </c>
      <c r="E1146" s="61" t="s">
        <v>285</v>
      </c>
      <c r="F1146" s="11" t="s">
        <v>488</v>
      </c>
      <c r="G1146" s="10" t="s">
        <v>160</v>
      </c>
      <c r="H1146" s="10" t="s">
        <v>850</v>
      </c>
      <c r="I1146" s="62">
        <v>43</v>
      </c>
      <c r="J1146" s="10" t="s">
        <v>2372</v>
      </c>
      <c r="K1146" s="10" t="s">
        <v>2374</v>
      </c>
      <c r="L1146" s="10" t="s">
        <v>1422</v>
      </c>
      <c r="M1146" s="10" t="s">
        <v>2372</v>
      </c>
      <c r="N1146" s="10" t="s">
        <v>2373</v>
      </c>
      <c r="O1146" s="10"/>
    </row>
    <row r="1147" spans="1:15" ht="18" customHeight="1" x14ac:dyDescent="0.3">
      <c r="A1147" s="24">
        <v>1146</v>
      </c>
      <c r="B1147" s="10" t="s">
        <v>194</v>
      </c>
      <c r="C1147" s="10" t="s">
        <v>28</v>
      </c>
      <c r="D1147" s="62">
        <v>57</v>
      </c>
      <c r="E1147" s="61" t="s">
        <v>285</v>
      </c>
      <c r="F1147" s="11" t="s">
        <v>488</v>
      </c>
      <c r="G1147" s="10" t="s">
        <v>160</v>
      </c>
      <c r="H1147" s="10" t="s">
        <v>851</v>
      </c>
      <c r="I1147" s="62">
        <v>107</v>
      </c>
      <c r="J1147" s="10" t="s">
        <v>2374</v>
      </c>
      <c r="K1147" s="10" t="s">
        <v>2374</v>
      </c>
      <c r="L1147" s="10" t="s">
        <v>1422</v>
      </c>
      <c r="M1147" s="10" t="s">
        <v>2372</v>
      </c>
      <c r="N1147" s="10" t="s">
        <v>2373</v>
      </c>
      <c r="O1147" s="10"/>
    </row>
    <row r="1148" spans="1:15" ht="18" customHeight="1" x14ac:dyDescent="0.3">
      <c r="A1148" s="24">
        <v>1147</v>
      </c>
      <c r="B1148" s="10" t="s">
        <v>194</v>
      </c>
      <c r="C1148" s="10" t="s">
        <v>28</v>
      </c>
      <c r="D1148" s="62">
        <v>57</v>
      </c>
      <c r="E1148" s="61" t="s">
        <v>285</v>
      </c>
      <c r="F1148" s="11" t="s">
        <v>488</v>
      </c>
      <c r="G1148" s="10" t="s">
        <v>160</v>
      </c>
      <c r="H1148" s="10" t="s">
        <v>852</v>
      </c>
      <c r="I1148" s="62">
        <v>139</v>
      </c>
      <c r="J1148" s="10" t="s">
        <v>2372</v>
      </c>
      <c r="K1148" s="10" t="s">
        <v>847</v>
      </c>
      <c r="L1148" s="10" t="s">
        <v>2373</v>
      </c>
      <c r="M1148" s="10" t="s">
        <v>2372</v>
      </c>
      <c r="N1148" s="10" t="s">
        <v>2373</v>
      </c>
      <c r="O1148" s="10"/>
    </row>
    <row r="1149" spans="1:15" ht="18" customHeight="1" x14ac:dyDescent="0.3">
      <c r="A1149" s="24">
        <v>1148</v>
      </c>
      <c r="B1149" s="10" t="s">
        <v>194</v>
      </c>
      <c r="C1149" s="10" t="s">
        <v>28</v>
      </c>
      <c r="D1149" s="62">
        <v>57</v>
      </c>
      <c r="E1149" s="61" t="s">
        <v>285</v>
      </c>
      <c r="F1149" s="11" t="s">
        <v>488</v>
      </c>
      <c r="G1149" s="10" t="s">
        <v>160</v>
      </c>
      <c r="H1149" s="10" t="s">
        <v>853</v>
      </c>
      <c r="I1149" s="62">
        <v>155</v>
      </c>
      <c r="J1149" s="10" t="s">
        <v>2372</v>
      </c>
      <c r="K1149" s="10" t="s">
        <v>847</v>
      </c>
      <c r="L1149" s="10" t="s">
        <v>2373</v>
      </c>
      <c r="M1149" s="10" t="s">
        <v>2372</v>
      </c>
      <c r="N1149" s="10" t="s">
        <v>2373</v>
      </c>
      <c r="O1149" s="10"/>
    </row>
    <row r="1150" spans="1:15" ht="18" customHeight="1" x14ac:dyDescent="0.3">
      <c r="A1150" s="24">
        <v>1149</v>
      </c>
      <c r="B1150" s="10" t="s">
        <v>1479</v>
      </c>
      <c r="C1150" s="10" t="s">
        <v>1518</v>
      </c>
      <c r="D1150" s="8">
        <v>58</v>
      </c>
      <c r="E1150" s="3" t="s">
        <v>1519</v>
      </c>
      <c r="F1150" s="11" t="s">
        <v>1520</v>
      </c>
      <c r="G1150" s="10" t="s">
        <v>2553</v>
      </c>
      <c r="H1150" s="62" t="s">
        <v>2385</v>
      </c>
      <c r="I1150" s="96">
        <v>89</v>
      </c>
      <c r="J1150" s="10" t="s">
        <v>2374</v>
      </c>
      <c r="K1150" s="10" t="s">
        <v>847</v>
      </c>
      <c r="L1150" s="10" t="s">
        <v>2373</v>
      </c>
      <c r="M1150" s="10" t="s">
        <v>2372</v>
      </c>
      <c r="N1150" s="10" t="s">
        <v>2373</v>
      </c>
      <c r="O1150" s="10"/>
    </row>
    <row r="1151" spans="1:15" ht="18" customHeight="1" x14ac:dyDescent="0.3">
      <c r="A1151" s="24">
        <v>1150</v>
      </c>
      <c r="B1151" s="10" t="s">
        <v>74</v>
      </c>
      <c r="C1151" s="10" t="s">
        <v>29</v>
      </c>
      <c r="D1151" s="62">
        <v>60</v>
      </c>
      <c r="E1151" s="61" t="s">
        <v>511</v>
      </c>
      <c r="F1151" s="16" t="s">
        <v>512</v>
      </c>
      <c r="G1151" s="10" t="s">
        <v>150</v>
      </c>
      <c r="H1151" s="10" t="s">
        <v>848</v>
      </c>
      <c r="I1151" s="62">
        <v>132</v>
      </c>
      <c r="J1151" s="8" t="s">
        <v>846</v>
      </c>
      <c r="K1151" s="10" t="s">
        <v>847</v>
      </c>
      <c r="L1151" s="10" t="s">
        <v>2373</v>
      </c>
      <c r="M1151" s="10" t="s">
        <v>2372</v>
      </c>
      <c r="N1151" s="10" t="s">
        <v>2373</v>
      </c>
      <c r="O1151" s="10"/>
    </row>
    <row r="1152" spans="1:15" ht="18" customHeight="1" x14ac:dyDescent="0.3">
      <c r="A1152" s="24">
        <v>1151</v>
      </c>
      <c r="B1152" s="10" t="s">
        <v>74</v>
      </c>
      <c r="C1152" s="10" t="s">
        <v>29</v>
      </c>
      <c r="D1152" s="62">
        <v>60</v>
      </c>
      <c r="E1152" s="61" t="s">
        <v>511</v>
      </c>
      <c r="F1152" s="16" t="s">
        <v>512</v>
      </c>
      <c r="G1152" s="10" t="s">
        <v>150</v>
      </c>
      <c r="H1152" s="10" t="s">
        <v>849</v>
      </c>
      <c r="I1152" s="62">
        <v>286</v>
      </c>
      <c r="J1152" s="8" t="s">
        <v>846</v>
      </c>
      <c r="K1152" s="10" t="s">
        <v>847</v>
      </c>
      <c r="L1152" s="10" t="s">
        <v>2373</v>
      </c>
      <c r="M1152" s="10" t="s">
        <v>2372</v>
      </c>
      <c r="N1152" s="10" t="s">
        <v>2373</v>
      </c>
      <c r="O1152" s="10"/>
    </row>
    <row r="1153" spans="1:15" ht="18" customHeight="1" x14ac:dyDescent="0.3">
      <c r="A1153" s="24">
        <v>1152</v>
      </c>
      <c r="B1153" s="10" t="s">
        <v>74</v>
      </c>
      <c r="C1153" s="10" t="s">
        <v>29</v>
      </c>
      <c r="D1153" s="62">
        <v>60</v>
      </c>
      <c r="E1153" s="61" t="s">
        <v>511</v>
      </c>
      <c r="F1153" s="16" t="s">
        <v>512</v>
      </c>
      <c r="G1153" s="10" t="s">
        <v>150</v>
      </c>
      <c r="H1153" s="10" t="s">
        <v>850</v>
      </c>
      <c r="I1153" s="62">
        <v>156</v>
      </c>
      <c r="J1153" s="8" t="s">
        <v>846</v>
      </c>
      <c r="K1153" s="10" t="s">
        <v>847</v>
      </c>
      <c r="L1153" s="10" t="s">
        <v>2373</v>
      </c>
      <c r="M1153" s="10" t="s">
        <v>2372</v>
      </c>
      <c r="N1153" s="10" t="s">
        <v>2373</v>
      </c>
      <c r="O1153" s="10"/>
    </row>
    <row r="1154" spans="1:15" ht="18" customHeight="1" x14ac:dyDescent="0.3">
      <c r="A1154" s="24">
        <v>1153</v>
      </c>
      <c r="B1154" s="10" t="s">
        <v>74</v>
      </c>
      <c r="C1154" s="10" t="s">
        <v>29</v>
      </c>
      <c r="D1154" s="62">
        <v>60</v>
      </c>
      <c r="E1154" s="61" t="s">
        <v>511</v>
      </c>
      <c r="F1154" s="16" t="s">
        <v>512</v>
      </c>
      <c r="G1154" s="10" t="s">
        <v>150</v>
      </c>
      <c r="H1154" s="10" t="s">
        <v>851</v>
      </c>
      <c r="I1154" s="62">
        <v>156</v>
      </c>
      <c r="J1154" s="8" t="s">
        <v>2372</v>
      </c>
      <c r="K1154" s="10" t="s">
        <v>847</v>
      </c>
      <c r="L1154" s="10" t="s">
        <v>2373</v>
      </c>
      <c r="M1154" s="10" t="s">
        <v>2372</v>
      </c>
      <c r="N1154" s="10" t="s">
        <v>2373</v>
      </c>
      <c r="O1154" s="10"/>
    </row>
    <row r="1155" spans="1:15" ht="18" customHeight="1" x14ac:dyDescent="0.3">
      <c r="A1155" s="24">
        <v>1154</v>
      </c>
      <c r="B1155" s="10" t="s">
        <v>74</v>
      </c>
      <c r="C1155" s="10" t="s">
        <v>29</v>
      </c>
      <c r="D1155" s="62">
        <v>60</v>
      </c>
      <c r="E1155" s="61" t="s">
        <v>511</v>
      </c>
      <c r="F1155" s="16" t="s">
        <v>512</v>
      </c>
      <c r="G1155" s="10" t="s">
        <v>150</v>
      </c>
      <c r="H1155" s="10" t="s">
        <v>852</v>
      </c>
      <c r="I1155" s="62">
        <v>264</v>
      </c>
      <c r="J1155" s="8" t="s">
        <v>2372</v>
      </c>
      <c r="K1155" s="10" t="s">
        <v>847</v>
      </c>
      <c r="L1155" s="10" t="s">
        <v>2373</v>
      </c>
      <c r="M1155" s="10" t="s">
        <v>2372</v>
      </c>
      <c r="N1155" s="10" t="s">
        <v>2373</v>
      </c>
      <c r="O1155" s="10"/>
    </row>
    <row r="1156" spans="1:15" ht="18" customHeight="1" x14ac:dyDescent="0.3">
      <c r="A1156" s="24">
        <v>1155</v>
      </c>
      <c r="B1156" s="10" t="s">
        <v>74</v>
      </c>
      <c r="C1156" s="10" t="s">
        <v>29</v>
      </c>
      <c r="D1156" s="62">
        <v>60</v>
      </c>
      <c r="E1156" s="61" t="s">
        <v>1164</v>
      </c>
      <c r="F1156" s="16" t="s">
        <v>1107</v>
      </c>
      <c r="G1156" s="10" t="s">
        <v>150</v>
      </c>
      <c r="H1156" s="10" t="s">
        <v>1156</v>
      </c>
      <c r="I1156" s="62">
        <v>30</v>
      </c>
      <c r="J1156" s="8" t="s">
        <v>2372</v>
      </c>
      <c r="K1156" s="10" t="s">
        <v>846</v>
      </c>
      <c r="L1156" s="10" t="s">
        <v>2392</v>
      </c>
      <c r="M1156" s="10" t="s">
        <v>2372</v>
      </c>
      <c r="N1156" s="10" t="s">
        <v>2373</v>
      </c>
      <c r="O1156" s="10"/>
    </row>
    <row r="1157" spans="1:15" ht="18" customHeight="1" x14ac:dyDescent="0.3">
      <c r="A1157" s="24">
        <v>1156</v>
      </c>
      <c r="B1157" s="10" t="s">
        <v>74</v>
      </c>
      <c r="C1157" s="10" t="s">
        <v>29</v>
      </c>
      <c r="D1157" s="62">
        <v>60</v>
      </c>
      <c r="E1157" s="61" t="s">
        <v>952</v>
      </c>
      <c r="F1157" s="16" t="s">
        <v>1526</v>
      </c>
      <c r="G1157" s="10" t="s">
        <v>2373</v>
      </c>
      <c r="H1157" s="10" t="s">
        <v>845</v>
      </c>
      <c r="I1157" s="62">
        <v>105</v>
      </c>
      <c r="J1157" s="10" t="s">
        <v>2372</v>
      </c>
      <c r="K1157" s="10" t="s">
        <v>847</v>
      </c>
      <c r="L1157" s="10" t="s">
        <v>2373</v>
      </c>
      <c r="M1157" s="10" t="s">
        <v>2374</v>
      </c>
      <c r="N1157" s="10" t="s">
        <v>1234</v>
      </c>
      <c r="O1157" s="10"/>
    </row>
    <row r="1158" spans="1:15" ht="18" customHeight="1" x14ac:dyDescent="0.3">
      <c r="A1158" s="24">
        <v>1157</v>
      </c>
      <c r="B1158" s="10" t="s">
        <v>2554</v>
      </c>
      <c r="C1158" s="10" t="s">
        <v>1574</v>
      </c>
      <c r="D1158" s="62">
        <v>60</v>
      </c>
      <c r="E1158" s="61" t="s">
        <v>2845</v>
      </c>
      <c r="F1158" s="44" t="s">
        <v>2555</v>
      </c>
      <c r="G1158" s="10" t="s">
        <v>1264</v>
      </c>
      <c r="H1158" s="10" t="s">
        <v>2385</v>
      </c>
      <c r="I1158" s="62">
        <v>134</v>
      </c>
      <c r="J1158" s="10" t="s">
        <v>2372</v>
      </c>
      <c r="K1158" s="10" t="s">
        <v>847</v>
      </c>
      <c r="L1158" s="10" t="s">
        <v>2373</v>
      </c>
      <c r="M1158" s="10" t="s">
        <v>2372</v>
      </c>
      <c r="N1158" s="10" t="s">
        <v>2373</v>
      </c>
      <c r="O1158" s="10"/>
    </row>
    <row r="1159" spans="1:15" ht="18" customHeight="1" x14ac:dyDescent="0.3">
      <c r="A1159" s="24">
        <v>1158</v>
      </c>
      <c r="B1159" s="10" t="s">
        <v>2554</v>
      </c>
      <c r="C1159" s="10" t="s">
        <v>1574</v>
      </c>
      <c r="D1159" s="62">
        <v>60</v>
      </c>
      <c r="E1159" s="61" t="s">
        <v>2845</v>
      </c>
      <c r="F1159" s="44" t="s">
        <v>2555</v>
      </c>
      <c r="G1159" s="10" t="s">
        <v>1264</v>
      </c>
      <c r="H1159" s="10" t="s">
        <v>2378</v>
      </c>
      <c r="I1159" s="62">
        <v>72</v>
      </c>
      <c r="J1159" s="10" t="s">
        <v>2374</v>
      </c>
      <c r="K1159" s="10" t="s">
        <v>847</v>
      </c>
      <c r="L1159" s="10" t="s">
        <v>2373</v>
      </c>
      <c r="M1159" s="10" t="s">
        <v>2372</v>
      </c>
      <c r="N1159" s="10" t="s">
        <v>2373</v>
      </c>
      <c r="O1159" s="10"/>
    </row>
    <row r="1160" spans="1:15" ht="18" customHeight="1" x14ac:dyDescent="0.3">
      <c r="A1160" s="24">
        <v>1159</v>
      </c>
      <c r="B1160" s="10" t="s">
        <v>2554</v>
      </c>
      <c r="C1160" s="10" t="s">
        <v>1574</v>
      </c>
      <c r="D1160" s="62">
        <v>60</v>
      </c>
      <c r="E1160" s="61" t="s">
        <v>2845</v>
      </c>
      <c r="F1160" s="44" t="s">
        <v>2555</v>
      </c>
      <c r="G1160" s="10" t="s">
        <v>1264</v>
      </c>
      <c r="H1160" s="10" t="s">
        <v>2379</v>
      </c>
      <c r="I1160" s="62">
        <v>72</v>
      </c>
      <c r="J1160" s="10" t="s">
        <v>2372</v>
      </c>
      <c r="K1160" s="10" t="s">
        <v>847</v>
      </c>
      <c r="L1160" s="10" t="s">
        <v>2373</v>
      </c>
      <c r="M1160" s="10" t="s">
        <v>2372</v>
      </c>
      <c r="N1160" s="10" t="s">
        <v>2373</v>
      </c>
      <c r="O1160" s="10"/>
    </row>
    <row r="1161" spans="1:15" ht="18" customHeight="1" x14ac:dyDescent="0.3">
      <c r="A1161" s="24">
        <v>1160</v>
      </c>
      <c r="B1161" s="10" t="s">
        <v>2554</v>
      </c>
      <c r="C1161" s="10" t="s">
        <v>1574</v>
      </c>
      <c r="D1161" s="62">
        <v>60</v>
      </c>
      <c r="E1161" s="61" t="s">
        <v>2845</v>
      </c>
      <c r="F1161" s="44" t="s">
        <v>2555</v>
      </c>
      <c r="G1161" s="10" t="s">
        <v>1264</v>
      </c>
      <c r="H1161" s="10" t="s">
        <v>2380</v>
      </c>
      <c r="I1161" s="62">
        <v>66</v>
      </c>
      <c r="J1161" s="10" t="s">
        <v>2372</v>
      </c>
      <c r="K1161" s="10" t="s">
        <v>847</v>
      </c>
      <c r="L1161" s="10" t="s">
        <v>2373</v>
      </c>
      <c r="M1161" s="10" t="s">
        <v>2372</v>
      </c>
      <c r="N1161" s="10" t="s">
        <v>2373</v>
      </c>
      <c r="O1161" s="10"/>
    </row>
    <row r="1162" spans="1:15" ht="18" customHeight="1" x14ac:dyDescent="0.3">
      <c r="A1162" s="24">
        <v>1161</v>
      </c>
      <c r="B1162" s="10" t="s">
        <v>2554</v>
      </c>
      <c r="C1162" s="10" t="s">
        <v>1574</v>
      </c>
      <c r="D1162" s="62">
        <v>60</v>
      </c>
      <c r="E1162" s="61" t="s">
        <v>2845</v>
      </c>
      <c r="F1162" s="44" t="s">
        <v>2555</v>
      </c>
      <c r="G1162" s="10" t="s">
        <v>1264</v>
      </c>
      <c r="H1162" s="10" t="s">
        <v>2390</v>
      </c>
      <c r="I1162" s="62">
        <v>81</v>
      </c>
      <c r="J1162" s="10" t="s">
        <v>2372</v>
      </c>
      <c r="K1162" s="10" t="s">
        <v>847</v>
      </c>
      <c r="L1162" s="10" t="s">
        <v>2373</v>
      </c>
      <c r="M1162" s="10" t="s">
        <v>2372</v>
      </c>
      <c r="N1162" s="10" t="s">
        <v>2373</v>
      </c>
      <c r="O1162" s="10"/>
    </row>
    <row r="1163" spans="1:15" ht="18" customHeight="1" x14ac:dyDescent="0.3">
      <c r="A1163" s="24">
        <v>1162</v>
      </c>
      <c r="B1163" s="10" t="s">
        <v>2554</v>
      </c>
      <c r="C1163" s="10" t="s">
        <v>1574</v>
      </c>
      <c r="D1163" s="62">
        <v>60</v>
      </c>
      <c r="E1163" s="61" t="s">
        <v>2845</v>
      </c>
      <c r="F1163" s="44" t="s">
        <v>2555</v>
      </c>
      <c r="G1163" s="10" t="s">
        <v>1264</v>
      </c>
      <c r="H1163" s="10" t="s">
        <v>2382</v>
      </c>
      <c r="I1163" s="62">
        <v>72</v>
      </c>
      <c r="J1163" s="10" t="s">
        <v>2372</v>
      </c>
      <c r="K1163" s="10" t="s">
        <v>847</v>
      </c>
      <c r="L1163" s="10" t="s">
        <v>2373</v>
      </c>
      <c r="M1163" s="10" t="s">
        <v>2372</v>
      </c>
      <c r="N1163" s="10" t="s">
        <v>2373</v>
      </c>
      <c r="O1163" s="10"/>
    </row>
    <row r="1164" spans="1:15" ht="18" customHeight="1" x14ac:dyDescent="0.3">
      <c r="A1164" s="24">
        <v>1163</v>
      </c>
      <c r="B1164" s="10" t="s">
        <v>2554</v>
      </c>
      <c r="C1164" s="10" t="s">
        <v>1574</v>
      </c>
      <c r="D1164" s="62">
        <v>60</v>
      </c>
      <c r="E1164" s="61" t="s">
        <v>2845</v>
      </c>
      <c r="F1164" s="44" t="s">
        <v>2555</v>
      </c>
      <c r="G1164" s="10" t="s">
        <v>1264</v>
      </c>
      <c r="H1164" s="10" t="s">
        <v>2431</v>
      </c>
      <c r="I1164" s="62">
        <v>72</v>
      </c>
      <c r="J1164" s="10" t="s">
        <v>2372</v>
      </c>
      <c r="K1164" s="10" t="s">
        <v>847</v>
      </c>
      <c r="L1164" s="10" t="s">
        <v>2373</v>
      </c>
      <c r="M1164" s="10" t="s">
        <v>2372</v>
      </c>
      <c r="N1164" s="10" t="s">
        <v>2373</v>
      </c>
      <c r="O1164" s="10"/>
    </row>
    <row r="1165" spans="1:15" ht="18" customHeight="1" x14ac:dyDescent="0.3">
      <c r="A1165" s="24">
        <v>1164</v>
      </c>
      <c r="B1165" s="10" t="s">
        <v>2554</v>
      </c>
      <c r="C1165" s="10" t="s">
        <v>1574</v>
      </c>
      <c r="D1165" s="62">
        <v>60</v>
      </c>
      <c r="E1165" s="61" t="s">
        <v>2845</v>
      </c>
      <c r="F1165" s="44" t="s">
        <v>2555</v>
      </c>
      <c r="G1165" s="10" t="s">
        <v>1264</v>
      </c>
      <c r="H1165" s="10" t="s">
        <v>2556</v>
      </c>
      <c r="I1165" s="62">
        <v>66</v>
      </c>
      <c r="J1165" s="10" t="s">
        <v>2372</v>
      </c>
      <c r="K1165" s="10" t="s">
        <v>2374</v>
      </c>
      <c r="L1165" s="10" t="s">
        <v>2426</v>
      </c>
      <c r="M1165" s="10" t="s">
        <v>2372</v>
      </c>
      <c r="N1165" s="10" t="s">
        <v>2373</v>
      </c>
      <c r="O1165" s="10"/>
    </row>
    <row r="1166" spans="1:15" ht="18" customHeight="1" x14ac:dyDescent="0.3">
      <c r="A1166" s="24">
        <v>1165</v>
      </c>
      <c r="B1166" s="10" t="s">
        <v>2554</v>
      </c>
      <c r="C1166" s="10" t="s">
        <v>1574</v>
      </c>
      <c r="D1166" s="62">
        <v>60</v>
      </c>
      <c r="E1166" s="61" t="s">
        <v>2845</v>
      </c>
      <c r="F1166" s="44" t="s">
        <v>2555</v>
      </c>
      <c r="G1166" s="10" t="s">
        <v>1264</v>
      </c>
      <c r="H1166" s="10" t="s">
        <v>2515</v>
      </c>
      <c r="I1166" s="62">
        <v>320</v>
      </c>
      <c r="J1166" s="10" t="s">
        <v>2374</v>
      </c>
      <c r="K1166" s="10" t="s">
        <v>2372</v>
      </c>
      <c r="L1166" s="10" t="s">
        <v>2373</v>
      </c>
      <c r="M1166" s="10" t="s">
        <v>2372</v>
      </c>
      <c r="N1166" s="10" t="s">
        <v>2373</v>
      </c>
      <c r="O1166" s="10"/>
    </row>
    <row r="1167" spans="1:15" ht="18" customHeight="1" x14ac:dyDescent="0.3">
      <c r="A1167" s="24">
        <v>1166</v>
      </c>
      <c r="B1167" s="10" t="s">
        <v>74</v>
      </c>
      <c r="C1167" s="10" t="s">
        <v>29</v>
      </c>
      <c r="D1167" s="62">
        <v>60</v>
      </c>
      <c r="E1167" s="61" t="s">
        <v>2846</v>
      </c>
      <c r="F1167" s="11" t="s">
        <v>509</v>
      </c>
      <c r="G1167" s="10" t="s">
        <v>160</v>
      </c>
      <c r="H1167" s="10" t="s">
        <v>845</v>
      </c>
      <c r="I1167" s="171">
        <v>209</v>
      </c>
      <c r="J1167" s="10" t="s">
        <v>2372</v>
      </c>
      <c r="K1167" s="10" t="s">
        <v>847</v>
      </c>
      <c r="L1167" s="10" t="s">
        <v>2373</v>
      </c>
      <c r="M1167" s="10" t="s">
        <v>2372</v>
      </c>
      <c r="N1167" s="10" t="s">
        <v>2373</v>
      </c>
      <c r="O1167" s="10"/>
    </row>
    <row r="1168" spans="1:15" ht="18" customHeight="1" x14ac:dyDescent="0.3">
      <c r="A1168" s="24">
        <v>1167</v>
      </c>
      <c r="B1168" s="10" t="s">
        <v>74</v>
      </c>
      <c r="C1168" s="10" t="s">
        <v>29</v>
      </c>
      <c r="D1168" s="62">
        <v>60</v>
      </c>
      <c r="E1168" s="61" t="s">
        <v>2846</v>
      </c>
      <c r="F1168" s="11" t="s">
        <v>509</v>
      </c>
      <c r="G1168" s="10" t="s">
        <v>160</v>
      </c>
      <c r="H1168" s="10" t="s">
        <v>848</v>
      </c>
      <c r="I1168" s="62">
        <v>135</v>
      </c>
      <c r="J1168" s="10" t="s">
        <v>2372</v>
      </c>
      <c r="K1168" s="10" t="s">
        <v>847</v>
      </c>
      <c r="L1168" s="10" t="s">
        <v>2373</v>
      </c>
      <c r="M1168" s="10" t="s">
        <v>2372</v>
      </c>
      <c r="N1168" s="10" t="s">
        <v>2373</v>
      </c>
      <c r="O1168" s="10"/>
    </row>
    <row r="1169" spans="1:15" ht="18" customHeight="1" x14ac:dyDescent="0.3">
      <c r="A1169" s="24">
        <v>1168</v>
      </c>
      <c r="B1169" s="10" t="s">
        <v>74</v>
      </c>
      <c r="C1169" s="10" t="s">
        <v>29</v>
      </c>
      <c r="D1169" s="62">
        <v>60</v>
      </c>
      <c r="E1169" s="61" t="s">
        <v>2846</v>
      </c>
      <c r="F1169" s="11" t="s">
        <v>509</v>
      </c>
      <c r="G1169" s="10" t="s">
        <v>160</v>
      </c>
      <c r="H1169" s="10" t="s">
        <v>849</v>
      </c>
      <c r="I1169" s="171">
        <v>88</v>
      </c>
      <c r="J1169" s="10" t="s">
        <v>2372</v>
      </c>
      <c r="K1169" s="10" t="s">
        <v>847</v>
      </c>
      <c r="L1169" s="10" t="s">
        <v>2373</v>
      </c>
      <c r="M1169" s="10" t="s">
        <v>2372</v>
      </c>
      <c r="N1169" s="10" t="s">
        <v>2373</v>
      </c>
      <c r="O1169" s="10"/>
    </row>
    <row r="1170" spans="1:15" ht="18" customHeight="1" x14ac:dyDescent="0.3">
      <c r="A1170" s="24">
        <v>1169</v>
      </c>
      <c r="B1170" s="10" t="s">
        <v>74</v>
      </c>
      <c r="C1170" s="10" t="s">
        <v>29</v>
      </c>
      <c r="D1170" s="62">
        <v>60</v>
      </c>
      <c r="E1170" s="61" t="s">
        <v>2846</v>
      </c>
      <c r="F1170" s="11" t="s">
        <v>509</v>
      </c>
      <c r="G1170" s="10" t="s">
        <v>160</v>
      </c>
      <c r="H1170" s="10" t="s">
        <v>850</v>
      </c>
      <c r="I1170" s="171">
        <v>98</v>
      </c>
      <c r="J1170" s="10" t="s">
        <v>2372</v>
      </c>
      <c r="K1170" s="10" t="s">
        <v>847</v>
      </c>
      <c r="L1170" s="10" t="s">
        <v>2373</v>
      </c>
      <c r="M1170" s="10" t="s">
        <v>2372</v>
      </c>
      <c r="N1170" s="10" t="s">
        <v>2373</v>
      </c>
      <c r="O1170" s="10"/>
    </row>
    <row r="1171" spans="1:15" ht="18" customHeight="1" x14ac:dyDescent="0.3">
      <c r="A1171" s="24">
        <v>1170</v>
      </c>
      <c r="B1171" s="10" t="s">
        <v>74</v>
      </c>
      <c r="C1171" s="10" t="s">
        <v>29</v>
      </c>
      <c r="D1171" s="62">
        <v>60</v>
      </c>
      <c r="E1171" s="61" t="s">
        <v>2846</v>
      </c>
      <c r="F1171" s="11" t="s">
        <v>509</v>
      </c>
      <c r="G1171" s="10" t="s">
        <v>160</v>
      </c>
      <c r="H1171" s="10" t="s">
        <v>851</v>
      </c>
      <c r="I1171" s="171">
        <v>122</v>
      </c>
      <c r="J1171" s="10" t="s">
        <v>2372</v>
      </c>
      <c r="K1171" s="10" t="s">
        <v>847</v>
      </c>
      <c r="L1171" s="10" t="s">
        <v>2373</v>
      </c>
      <c r="M1171" s="10" t="s">
        <v>2372</v>
      </c>
      <c r="N1171" s="10" t="s">
        <v>2373</v>
      </c>
      <c r="O1171" s="10"/>
    </row>
    <row r="1172" spans="1:15" ht="18" customHeight="1" x14ac:dyDescent="0.3">
      <c r="A1172" s="24">
        <v>1171</v>
      </c>
      <c r="B1172" s="10" t="s">
        <v>74</v>
      </c>
      <c r="C1172" s="10" t="s">
        <v>29</v>
      </c>
      <c r="D1172" s="62">
        <v>60</v>
      </c>
      <c r="E1172" s="61" t="s">
        <v>201</v>
      </c>
      <c r="F1172" s="16" t="s">
        <v>1533</v>
      </c>
      <c r="G1172" s="10" t="s">
        <v>2373</v>
      </c>
      <c r="H1172" s="10" t="s">
        <v>845</v>
      </c>
      <c r="I1172" s="62">
        <v>856</v>
      </c>
      <c r="J1172" s="10" t="s">
        <v>2372</v>
      </c>
      <c r="K1172" s="10" t="s">
        <v>847</v>
      </c>
      <c r="L1172" s="10" t="s">
        <v>2373</v>
      </c>
      <c r="M1172" s="10" t="s">
        <v>2374</v>
      </c>
      <c r="N1172" s="10" t="s">
        <v>1234</v>
      </c>
      <c r="O1172" s="10"/>
    </row>
    <row r="1173" spans="1:15" ht="18" customHeight="1" x14ac:dyDescent="0.3">
      <c r="A1173" s="24">
        <v>1172</v>
      </c>
      <c r="B1173" s="10" t="s">
        <v>74</v>
      </c>
      <c r="C1173" s="10" t="s">
        <v>29</v>
      </c>
      <c r="D1173" s="62">
        <v>60</v>
      </c>
      <c r="E1173" s="61" t="s">
        <v>900</v>
      </c>
      <c r="F1173" s="16" t="s">
        <v>1027</v>
      </c>
      <c r="G1173" s="10" t="s">
        <v>160</v>
      </c>
      <c r="H1173" s="10" t="s">
        <v>849</v>
      </c>
      <c r="I1173" s="62">
        <v>42</v>
      </c>
      <c r="J1173" s="8" t="s">
        <v>2374</v>
      </c>
      <c r="K1173" s="173" t="s">
        <v>860</v>
      </c>
      <c r="L1173" s="173" t="s">
        <v>2229</v>
      </c>
      <c r="M1173" s="10" t="s">
        <v>2372</v>
      </c>
      <c r="N1173" s="10" t="s">
        <v>2373</v>
      </c>
      <c r="O1173" s="10"/>
    </row>
    <row r="1174" spans="1:15" ht="18" customHeight="1" x14ac:dyDescent="0.3">
      <c r="A1174" s="24">
        <v>1173</v>
      </c>
      <c r="B1174" s="10" t="s">
        <v>74</v>
      </c>
      <c r="C1174" s="10" t="s">
        <v>29</v>
      </c>
      <c r="D1174" s="62">
        <v>60</v>
      </c>
      <c r="E1174" s="61" t="s">
        <v>900</v>
      </c>
      <c r="F1174" s="16" t="s">
        <v>1027</v>
      </c>
      <c r="G1174" s="10" t="s">
        <v>160</v>
      </c>
      <c r="H1174" s="10" t="s">
        <v>2380</v>
      </c>
      <c r="I1174" s="62">
        <v>84</v>
      </c>
      <c r="J1174" s="8" t="s">
        <v>2372</v>
      </c>
      <c r="K1174" s="173" t="s">
        <v>860</v>
      </c>
      <c r="L1174" s="173" t="s">
        <v>2229</v>
      </c>
      <c r="M1174" s="10" t="s">
        <v>2372</v>
      </c>
      <c r="N1174" s="10" t="s">
        <v>2373</v>
      </c>
      <c r="O1174" s="10"/>
    </row>
    <row r="1175" spans="1:15" ht="18" customHeight="1" x14ac:dyDescent="0.3">
      <c r="A1175" s="24">
        <v>1174</v>
      </c>
      <c r="B1175" s="10" t="s">
        <v>74</v>
      </c>
      <c r="C1175" s="10" t="s">
        <v>29</v>
      </c>
      <c r="D1175" s="62">
        <v>60</v>
      </c>
      <c r="E1175" s="61" t="s">
        <v>900</v>
      </c>
      <c r="F1175" s="16" t="s">
        <v>1027</v>
      </c>
      <c r="G1175" s="10" t="s">
        <v>160</v>
      </c>
      <c r="H1175" s="10" t="s">
        <v>2390</v>
      </c>
      <c r="I1175" s="62">
        <v>67</v>
      </c>
      <c r="J1175" s="8" t="s">
        <v>2374</v>
      </c>
      <c r="K1175" s="173" t="s">
        <v>860</v>
      </c>
      <c r="L1175" s="173" t="s">
        <v>2229</v>
      </c>
      <c r="M1175" s="10" t="s">
        <v>2372</v>
      </c>
      <c r="N1175" s="10" t="s">
        <v>2373</v>
      </c>
      <c r="O1175" s="10"/>
    </row>
    <row r="1176" spans="1:15" ht="18" customHeight="1" x14ac:dyDescent="0.3">
      <c r="A1176" s="24">
        <v>1175</v>
      </c>
      <c r="B1176" s="10" t="s">
        <v>74</v>
      </c>
      <c r="C1176" s="10" t="s">
        <v>29</v>
      </c>
      <c r="D1176" s="62">
        <v>60</v>
      </c>
      <c r="E1176" s="61" t="s">
        <v>900</v>
      </c>
      <c r="F1176" s="16" t="s">
        <v>1027</v>
      </c>
      <c r="G1176" s="10" t="s">
        <v>160</v>
      </c>
      <c r="H1176" s="10" t="s">
        <v>2382</v>
      </c>
      <c r="I1176" s="62">
        <v>145</v>
      </c>
      <c r="J1176" s="8" t="s">
        <v>2374</v>
      </c>
      <c r="K1176" s="173" t="s">
        <v>860</v>
      </c>
      <c r="L1176" s="173" t="s">
        <v>2229</v>
      </c>
      <c r="M1176" s="10" t="s">
        <v>2372</v>
      </c>
      <c r="N1176" s="10" t="s">
        <v>2373</v>
      </c>
      <c r="O1176" s="10"/>
    </row>
    <row r="1177" spans="1:15" ht="18" customHeight="1" x14ac:dyDescent="0.3">
      <c r="A1177" s="24">
        <v>1176</v>
      </c>
      <c r="B1177" s="10" t="s">
        <v>74</v>
      </c>
      <c r="C1177" s="10" t="s">
        <v>29</v>
      </c>
      <c r="D1177" s="62">
        <v>60</v>
      </c>
      <c r="E1177" s="61" t="s">
        <v>900</v>
      </c>
      <c r="F1177" s="16" t="s">
        <v>1027</v>
      </c>
      <c r="G1177" s="10" t="s">
        <v>160</v>
      </c>
      <c r="H1177" s="10" t="s">
        <v>855</v>
      </c>
      <c r="I1177" s="62">
        <v>43</v>
      </c>
      <c r="J1177" s="8" t="s">
        <v>2374</v>
      </c>
      <c r="K1177" s="173" t="s">
        <v>860</v>
      </c>
      <c r="L1177" s="173" t="s">
        <v>2229</v>
      </c>
      <c r="M1177" s="10" t="s">
        <v>2372</v>
      </c>
      <c r="N1177" s="10" t="s">
        <v>2373</v>
      </c>
      <c r="O1177" s="10"/>
    </row>
    <row r="1178" spans="1:15" ht="18" customHeight="1" x14ac:dyDescent="0.3">
      <c r="A1178" s="24">
        <v>1177</v>
      </c>
      <c r="B1178" s="10" t="s">
        <v>74</v>
      </c>
      <c r="C1178" s="10" t="s">
        <v>29</v>
      </c>
      <c r="D1178" s="62">
        <v>60</v>
      </c>
      <c r="E1178" s="61" t="s">
        <v>900</v>
      </c>
      <c r="F1178" s="16" t="s">
        <v>514</v>
      </c>
      <c r="G1178" s="10" t="s">
        <v>160</v>
      </c>
      <c r="H1178" s="10" t="s">
        <v>2385</v>
      </c>
      <c r="I1178" s="62">
        <v>190</v>
      </c>
      <c r="J1178" s="8" t="s">
        <v>2374</v>
      </c>
      <c r="K1178" s="173" t="s">
        <v>860</v>
      </c>
      <c r="L1178" s="173" t="s">
        <v>2229</v>
      </c>
      <c r="M1178" s="10" t="s">
        <v>2372</v>
      </c>
      <c r="N1178" s="10" t="s">
        <v>2373</v>
      </c>
      <c r="O1178" s="10"/>
    </row>
    <row r="1179" spans="1:15" ht="18" customHeight="1" x14ac:dyDescent="0.3">
      <c r="A1179" s="24">
        <v>1178</v>
      </c>
      <c r="B1179" s="10" t="s">
        <v>74</v>
      </c>
      <c r="C1179" s="10" t="s">
        <v>29</v>
      </c>
      <c r="D1179" s="62">
        <v>60</v>
      </c>
      <c r="E1179" s="61" t="s">
        <v>900</v>
      </c>
      <c r="F1179" s="16" t="s">
        <v>514</v>
      </c>
      <c r="G1179" s="10" t="s">
        <v>160</v>
      </c>
      <c r="H1179" s="10" t="s">
        <v>2378</v>
      </c>
      <c r="I1179" s="62">
        <v>74</v>
      </c>
      <c r="J1179" s="8" t="s">
        <v>2374</v>
      </c>
      <c r="K1179" s="173" t="s">
        <v>860</v>
      </c>
      <c r="L1179" s="173" t="s">
        <v>2229</v>
      </c>
      <c r="M1179" s="10" t="s">
        <v>2372</v>
      </c>
      <c r="N1179" s="10" t="s">
        <v>2373</v>
      </c>
      <c r="O1179" s="10"/>
    </row>
    <row r="1180" spans="1:15" ht="18" customHeight="1" x14ac:dyDescent="0.3">
      <c r="A1180" s="24">
        <v>1179</v>
      </c>
      <c r="B1180" s="10" t="s">
        <v>74</v>
      </c>
      <c r="C1180" s="10" t="s">
        <v>29</v>
      </c>
      <c r="D1180" s="62">
        <v>60</v>
      </c>
      <c r="E1180" s="61" t="s">
        <v>900</v>
      </c>
      <c r="F1180" s="16" t="s">
        <v>1108</v>
      </c>
      <c r="G1180" s="10" t="s">
        <v>160</v>
      </c>
      <c r="H1180" s="10" t="s">
        <v>853</v>
      </c>
      <c r="I1180" s="62">
        <v>24</v>
      </c>
      <c r="J1180" s="8" t="s">
        <v>2374</v>
      </c>
      <c r="K1180" s="173" t="s">
        <v>860</v>
      </c>
      <c r="L1180" s="173" t="s">
        <v>2229</v>
      </c>
      <c r="M1180" s="10" t="s">
        <v>2372</v>
      </c>
      <c r="N1180" s="10" t="s">
        <v>2373</v>
      </c>
      <c r="O1180" s="9"/>
    </row>
    <row r="1181" spans="1:15" ht="18" customHeight="1" x14ac:dyDescent="0.3">
      <c r="A1181" s="24">
        <v>1180</v>
      </c>
      <c r="B1181" s="10" t="s">
        <v>74</v>
      </c>
      <c r="C1181" s="10" t="s">
        <v>29</v>
      </c>
      <c r="D1181" s="62">
        <v>60</v>
      </c>
      <c r="E1181" s="61" t="s">
        <v>900</v>
      </c>
      <c r="F1181" s="16" t="s">
        <v>1108</v>
      </c>
      <c r="G1181" s="10" t="s">
        <v>160</v>
      </c>
      <c r="H1181" s="10" t="s">
        <v>854</v>
      </c>
      <c r="I1181" s="62">
        <v>24</v>
      </c>
      <c r="J1181" s="8" t="s">
        <v>2374</v>
      </c>
      <c r="K1181" s="173" t="s">
        <v>860</v>
      </c>
      <c r="L1181" s="173" t="s">
        <v>2229</v>
      </c>
      <c r="M1181" s="10" t="s">
        <v>2372</v>
      </c>
      <c r="N1181" s="10" t="s">
        <v>2373</v>
      </c>
      <c r="O1181" s="9"/>
    </row>
    <row r="1182" spans="1:15" ht="18" customHeight="1" x14ac:dyDescent="0.3">
      <c r="A1182" s="24">
        <v>1181</v>
      </c>
      <c r="B1182" s="10" t="s">
        <v>74</v>
      </c>
      <c r="C1182" s="10" t="s">
        <v>28</v>
      </c>
      <c r="D1182" s="62">
        <v>61</v>
      </c>
      <c r="E1182" s="61" t="s">
        <v>2847</v>
      </c>
      <c r="F1182" s="19" t="s">
        <v>518</v>
      </c>
      <c r="G1182" s="10" t="s">
        <v>150</v>
      </c>
      <c r="H1182" s="10" t="s">
        <v>845</v>
      </c>
      <c r="I1182" s="62">
        <v>194</v>
      </c>
      <c r="J1182" s="10" t="s">
        <v>2372</v>
      </c>
      <c r="K1182" s="10" t="s">
        <v>847</v>
      </c>
      <c r="L1182" s="10" t="s">
        <v>2373</v>
      </c>
      <c r="M1182" s="10" t="s">
        <v>2372</v>
      </c>
      <c r="N1182" s="10" t="s">
        <v>2373</v>
      </c>
      <c r="O1182" s="10"/>
    </row>
    <row r="1183" spans="1:15" ht="18" customHeight="1" x14ac:dyDescent="0.3">
      <c r="A1183" s="24">
        <v>1182</v>
      </c>
      <c r="B1183" s="10" t="s">
        <v>74</v>
      </c>
      <c r="C1183" s="10" t="s">
        <v>28</v>
      </c>
      <c r="D1183" s="62">
        <v>61</v>
      </c>
      <c r="E1183" s="61" t="s">
        <v>2847</v>
      </c>
      <c r="F1183" s="19" t="s">
        <v>518</v>
      </c>
      <c r="G1183" s="10" t="s">
        <v>150</v>
      </c>
      <c r="H1183" s="10" t="s">
        <v>848</v>
      </c>
      <c r="I1183" s="62">
        <v>208</v>
      </c>
      <c r="J1183" s="10" t="s">
        <v>2372</v>
      </c>
      <c r="K1183" s="10" t="s">
        <v>847</v>
      </c>
      <c r="L1183" s="10" t="s">
        <v>2373</v>
      </c>
      <c r="M1183" s="10" t="s">
        <v>2372</v>
      </c>
      <c r="N1183" s="10" t="s">
        <v>2373</v>
      </c>
      <c r="O1183" s="10"/>
    </row>
    <row r="1184" spans="1:15" ht="18" customHeight="1" x14ac:dyDescent="0.3">
      <c r="A1184" s="24">
        <v>1183</v>
      </c>
      <c r="B1184" s="10" t="s">
        <v>74</v>
      </c>
      <c r="C1184" s="10" t="s">
        <v>28</v>
      </c>
      <c r="D1184" s="62">
        <v>61</v>
      </c>
      <c r="E1184" s="61" t="s">
        <v>2847</v>
      </c>
      <c r="F1184" s="19" t="s">
        <v>518</v>
      </c>
      <c r="G1184" s="10" t="s">
        <v>150</v>
      </c>
      <c r="H1184" s="10" t="s">
        <v>851</v>
      </c>
      <c r="I1184" s="62">
        <v>117</v>
      </c>
      <c r="J1184" s="10" t="s">
        <v>2372</v>
      </c>
      <c r="K1184" s="10" t="s">
        <v>847</v>
      </c>
      <c r="L1184" s="10" t="s">
        <v>2373</v>
      </c>
      <c r="M1184" s="10" t="s">
        <v>2374</v>
      </c>
      <c r="N1184" s="10" t="s">
        <v>1256</v>
      </c>
      <c r="O1184" s="10"/>
    </row>
    <row r="1185" spans="1:15" ht="18" customHeight="1" x14ac:dyDescent="0.3">
      <c r="A1185" s="24">
        <v>1184</v>
      </c>
      <c r="B1185" s="10" t="s">
        <v>74</v>
      </c>
      <c r="C1185" s="10" t="s">
        <v>28</v>
      </c>
      <c r="D1185" s="62">
        <v>61</v>
      </c>
      <c r="E1185" s="61" t="s">
        <v>2847</v>
      </c>
      <c r="F1185" s="19" t="s">
        <v>518</v>
      </c>
      <c r="G1185" s="10" t="s">
        <v>150</v>
      </c>
      <c r="H1185" s="10" t="s">
        <v>853</v>
      </c>
      <c r="I1185" s="62">
        <v>215</v>
      </c>
      <c r="J1185" s="10" t="s">
        <v>2374</v>
      </c>
      <c r="K1185" s="10" t="s">
        <v>847</v>
      </c>
      <c r="L1185" s="10" t="s">
        <v>2373</v>
      </c>
      <c r="M1185" s="10" t="s">
        <v>2372</v>
      </c>
      <c r="N1185" s="10" t="s">
        <v>2373</v>
      </c>
      <c r="O1185" s="10"/>
    </row>
    <row r="1186" spans="1:15" ht="18" customHeight="1" x14ac:dyDescent="0.3">
      <c r="A1186" s="24">
        <v>1185</v>
      </c>
      <c r="B1186" s="10" t="s">
        <v>74</v>
      </c>
      <c r="C1186" s="10" t="s">
        <v>28</v>
      </c>
      <c r="D1186" s="62">
        <v>61</v>
      </c>
      <c r="E1186" s="61" t="s">
        <v>2847</v>
      </c>
      <c r="F1186" s="19" t="s">
        <v>518</v>
      </c>
      <c r="G1186" s="10" t="s">
        <v>150</v>
      </c>
      <c r="H1186" s="10" t="s">
        <v>854</v>
      </c>
      <c r="I1186" s="62">
        <v>128</v>
      </c>
      <c r="J1186" s="10" t="s">
        <v>2372</v>
      </c>
      <c r="K1186" s="10" t="s">
        <v>847</v>
      </c>
      <c r="L1186" s="10" t="s">
        <v>2373</v>
      </c>
      <c r="M1186" s="10" t="s">
        <v>2372</v>
      </c>
      <c r="N1186" s="10" t="s">
        <v>2373</v>
      </c>
      <c r="O1186" s="10"/>
    </row>
    <row r="1187" spans="1:15" ht="18" customHeight="1" x14ac:dyDescent="0.3">
      <c r="A1187" s="24">
        <v>1186</v>
      </c>
      <c r="B1187" s="10" t="s">
        <v>74</v>
      </c>
      <c r="C1187" s="10" t="s">
        <v>28</v>
      </c>
      <c r="D1187" s="62">
        <v>61</v>
      </c>
      <c r="E1187" s="61" t="s">
        <v>2847</v>
      </c>
      <c r="F1187" s="19" t="s">
        <v>518</v>
      </c>
      <c r="G1187" s="10" t="s">
        <v>150</v>
      </c>
      <c r="H1187" s="10" t="s">
        <v>855</v>
      </c>
      <c r="I1187" s="62">
        <v>154</v>
      </c>
      <c r="J1187" s="10" t="s">
        <v>2372</v>
      </c>
      <c r="K1187" s="10" t="s">
        <v>847</v>
      </c>
      <c r="L1187" s="10" t="s">
        <v>2373</v>
      </c>
      <c r="M1187" s="10" t="s">
        <v>2372</v>
      </c>
      <c r="N1187" s="10" t="s">
        <v>2373</v>
      </c>
      <c r="O1187" s="10"/>
    </row>
    <row r="1188" spans="1:15" ht="18" customHeight="1" x14ac:dyDescent="0.3">
      <c r="A1188" s="24">
        <v>1187</v>
      </c>
      <c r="B1188" s="10" t="s">
        <v>74</v>
      </c>
      <c r="C1188" s="10" t="s">
        <v>28</v>
      </c>
      <c r="D1188" s="62">
        <v>61</v>
      </c>
      <c r="E1188" s="61" t="s">
        <v>2847</v>
      </c>
      <c r="F1188" s="19" t="s">
        <v>518</v>
      </c>
      <c r="G1188" s="10" t="s">
        <v>150</v>
      </c>
      <c r="H1188" s="10" t="s">
        <v>869</v>
      </c>
      <c r="I1188" s="62">
        <v>100</v>
      </c>
      <c r="J1188" s="10" t="s">
        <v>2372</v>
      </c>
      <c r="K1188" s="10" t="s">
        <v>847</v>
      </c>
      <c r="L1188" s="10" t="s">
        <v>2373</v>
      </c>
      <c r="M1188" s="10" t="s">
        <v>2372</v>
      </c>
      <c r="N1188" s="10" t="s">
        <v>2373</v>
      </c>
      <c r="O1188" s="10"/>
    </row>
    <row r="1189" spans="1:15" ht="18" customHeight="1" x14ac:dyDescent="0.3">
      <c r="A1189" s="24">
        <v>1188</v>
      </c>
      <c r="B1189" s="10" t="s">
        <v>74</v>
      </c>
      <c r="C1189" s="10" t="s">
        <v>28</v>
      </c>
      <c r="D1189" s="62">
        <v>61</v>
      </c>
      <c r="E1189" s="61" t="s">
        <v>2847</v>
      </c>
      <c r="F1189" s="19" t="s">
        <v>518</v>
      </c>
      <c r="G1189" s="10" t="s">
        <v>150</v>
      </c>
      <c r="H1189" s="10" t="s">
        <v>883</v>
      </c>
      <c r="I1189" s="62">
        <v>128</v>
      </c>
      <c r="J1189" s="10" t="s">
        <v>2372</v>
      </c>
      <c r="K1189" s="10" t="s">
        <v>847</v>
      </c>
      <c r="L1189" s="10" t="s">
        <v>2373</v>
      </c>
      <c r="M1189" s="10" t="s">
        <v>2372</v>
      </c>
      <c r="N1189" s="10" t="s">
        <v>2373</v>
      </c>
      <c r="O1189" s="10"/>
    </row>
    <row r="1190" spans="1:15" ht="18" customHeight="1" x14ac:dyDescent="0.3">
      <c r="A1190" s="24">
        <v>1189</v>
      </c>
      <c r="B1190" s="10" t="s">
        <v>74</v>
      </c>
      <c r="C1190" s="10" t="s">
        <v>28</v>
      </c>
      <c r="D1190" s="62">
        <v>61</v>
      </c>
      <c r="E1190" s="61" t="s">
        <v>2847</v>
      </c>
      <c r="F1190" s="19" t="s">
        <v>2557</v>
      </c>
      <c r="G1190" s="10" t="s">
        <v>150</v>
      </c>
      <c r="H1190" s="10" t="s">
        <v>850</v>
      </c>
      <c r="I1190" s="62">
        <v>278</v>
      </c>
      <c r="J1190" s="10" t="s">
        <v>2374</v>
      </c>
      <c r="K1190" s="10" t="s">
        <v>846</v>
      </c>
      <c r="L1190" s="10" t="s">
        <v>985</v>
      </c>
      <c r="M1190" s="10" t="s">
        <v>2372</v>
      </c>
      <c r="N1190" s="10" t="s">
        <v>2373</v>
      </c>
      <c r="O1190" s="10"/>
    </row>
    <row r="1191" spans="1:15" ht="18" customHeight="1" x14ac:dyDescent="0.3">
      <c r="A1191" s="24">
        <v>1190</v>
      </c>
      <c r="B1191" s="10" t="s">
        <v>74</v>
      </c>
      <c r="C1191" s="10" t="s">
        <v>28</v>
      </c>
      <c r="D1191" s="62">
        <v>61</v>
      </c>
      <c r="E1191" s="61" t="s">
        <v>2847</v>
      </c>
      <c r="F1191" s="19" t="s">
        <v>2557</v>
      </c>
      <c r="G1191" s="10" t="s">
        <v>150</v>
      </c>
      <c r="H1191" s="10" t="s">
        <v>2410</v>
      </c>
      <c r="I1191" s="62">
        <v>108</v>
      </c>
      <c r="J1191" s="10" t="s">
        <v>2374</v>
      </c>
      <c r="K1191" s="10" t="s">
        <v>846</v>
      </c>
      <c r="L1191" s="10" t="s">
        <v>188</v>
      </c>
      <c r="M1191" s="10" t="s">
        <v>2372</v>
      </c>
      <c r="N1191" s="10" t="s">
        <v>2373</v>
      </c>
      <c r="O1191" s="10"/>
    </row>
    <row r="1192" spans="1:15" ht="18" customHeight="1" x14ac:dyDescent="0.3">
      <c r="A1192" s="24">
        <v>1191</v>
      </c>
      <c r="B1192" s="10" t="s">
        <v>74</v>
      </c>
      <c r="C1192" s="10" t="s">
        <v>28</v>
      </c>
      <c r="D1192" s="62">
        <v>61</v>
      </c>
      <c r="E1192" s="61" t="s">
        <v>2847</v>
      </c>
      <c r="F1192" s="19" t="s">
        <v>2557</v>
      </c>
      <c r="G1192" s="10" t="s">
        <v>150</v>
      </c>
      <c r="H1192" s="10" t="s">
        <v>2413</v>
      </c>
      <c r="I1192" s="62">
        <v>362</v>
      </c>
      <c r="J1192" s="10" t="s">
        <v>2374</v>
      </c>
      <c r="K1192" s="10" t="s">
        <v>846</v>
      </c>
      <c r="L1192" s="10" t="s">
        <v>187</v>
      </c>
      <c r="M1192" s="10" t="s">
        <v>2372</v>
      </c>
      <c r="N1192" s="10" t="s">
        <v>2373</v>
      </c>
      <c r="O1192" s="10"/>
    </row>
    <row r="1193" spans="1:15" ht="18" customHeight="1" x14ac:dyDescent="0.3">
      <c r="A1193" s="24">
        <v>1192</v>
      </c>
      <c r="B1193" s="10" t="s">
        <v>74</v>
      </c>
      <c r="C1193" s="10" t="s">
        <v>28</v>
      </c>
      <c r="D1193" s="62">
        <v>61</v>
      </c>
      <c r="E1193" s="61" t="s">
        <v>2558</v>
      </c>
      <c r="F1193" s="16" t="s">
        <v>1110</v>
      </c>
      <c r="G1193" s="10" t="s">
        <v>160</v>
      </c>
      <c r="H1193" s="10" t="s">
        <v>2539</v>
      </c>
      <c r="I1193" s="62">
        <v>84</v>
      </c>
      <c r="J1193" s="10" t="s">
        <v>2372</v>
      </c>
      <c r="K1193" s="10" t="s">
        <v>2374</v>
      </c>
      <c r="L1193" s="10" t="s">
        <v>1422</v>
      </c>
      <c r="M1193" s="10" t="s">
        <v>2372</v>
      </c>
      <c r="N1193" s="10" t="s">
        <v>2373</v>
      </c>
      <c r="O1193" s="10"/>
    </row>
    <row r="1194" spans="1:15" ht="18" customHeight="1" x14ac:dyDescent="0.3">
      <c r="A1194" s="24">
        <v>1193</v>
      </c>
      <c r="B1194" s="10" t="s">
        <v>74</v>
      </c>
      <c r="C1194" s="10" t="s">
        <v>28</v>
      </c>
      <c r="D1194" s="62">
        <v>61</v>
      </c>
      <c r="E1194" s="61" t="s">
        <v>2558</v>
      </c>
      <c r="F1194" s="16" t="s">
        <v>1110</v>
      </c>
      <c r="G1194" s="10" t="s">
        <v>160</v>
      </c>
      <c r="H1194" s="10" t="s">
        <v>2465</v>
      </c>
      <c r="I1194" s="62">
        <v>71</v>
      </c>
      <c r="J1194" s="10" t="s">
        <v>2372</v>
      </c>
      <c r="K1194" s="10" t="s">
        <v>2374</v>
      </c>
      <c r="L1194" s="10" t="s">
        <v>1422</v>
      </c>
      <c r="M1194" s="10" t="s">
        <v>2372</v>
      </c>
      <c r="N1194" s="10" t="s">
        <v>2373</v>
      </c>
      <c r="O1194" s="10"/>
    </row>
    <row r="1195" spans="1:15" ht="18" customHeight="1" x14ac:dyDescent="0.3">
      <c r="A1195" s="24">
        <v>1194</v>
      </c>
      <c r="B1195" s="10" t="s">
        <v>74</v>
      </c>
      <c r="C1195" s="10" t="s">
        <v>28</v>
      </c>
      <c r="D1195" s="62">
        <v>61</v>
      </c>
      <c r="E1195" s="61" t="s">
        <v>2558</v>
      </c>
      <c r="F1195" s="16" t="s">
        <v>1110</v>
      </c>
      <c r="G1195" s="10" t="s">
        <v>160</v>
      </c>
      <c r="H1195" s="10" t="s">
        <v>1186</v>
      </c>
      <c r="I1195" s="62">
        <v>84</v>
      </c>
      <c r="J1195" s="10" t="s">
        <v>2372</v>
      </c>
      <c r="K1195" s="10" t="s">
        <v>2374</v>
      </c>
      <c r="L1195" s="10" t="s">
        <v>1422</v>
      </c>
      <c r="M1195" s="10" t="s">
        <v>2372</v>
      </c>
      <c r="N1195" s="10" t="s">
        <v>2373</v>
      </c>
      <c r="O1195" s="10"/>
    </row>
    <row r="1196" spans="1:15" ht="18" customHeight="1" x14ac:dyDescent="0.3">
      <c r="A1196" s="24">
        <v>1195</v>
      </c>
      <c r="B1196" s="10" t="s">
        <v>74</v>
      </c>
      <c r="C1196" s="10" t="s">
        <v>28</v>
      </c>
      <c r="D1196" s="62">
        <v>61</v>
      </c>
      <c r="E1196" s="61" t="s">
        <v>2558</v>
      </c>
      <c r="F1196" s="16" t="s">
        <v>1110</v>
      </c>
      <c r="G1196" s="10" t="s">
        <v>160</v>
      </c>
      <c r="H1196" s="10" t="s">
        <v>1187</v>
      </c>
      <c r="I1196" s="62">
        <v>104</v>
      </c>
      <c r="J1196" s="10" t="s">
        <v>2372</v>
      </c>
      <c r="K1196" s="10" t="s">
        <v>2374</v>
      </c>
      <c r="L1196" s="10" t="s">
        <v>1422</v>
      </c>
      <c r="M1196" s="10" t="s">
        <v>2372</v>
      </c>
      <c r="N1196" s="10" t="s">
        <v>2373</v>
      </c>
      <c r="O1196" s="10"/>
    </row>
    <row r="1197" spans="1:15" ht="18" customHeight="1" x14ac:dyDescent="0.3">
      <c r="A1197" s="24">
        <v>1196</v>
      </c>
      <c r="B1197" s="10" t="s">
        <v>74</v>
      </c>
      <c r="C1197" s="10" t="s">
        <v>28</v>
      </c>
      <c r="D1197" s="62">
        <v>61</v>
      </c>
      <c r="E1197" s="61" t="s">
        <v>2558</v>
      </c>
      <c r="F1197" s="16" t="s">
        <v>1110</v>
      </c>
      <c r="G1197" s="10" t="s">
        <v>160</v>
      </c>
      <c r="H1197" s="10" t="s">
        <v>1188</v>
      </c>
      <c r="I1197" s="62">
        <v>56</v>
      </c>
      <c r="J1197" s="10" t="s">
        <v>2372</v>
      </c>
      <c r="K1197" s="10" t="s">
        <v>2374</v>
      </c>
      <c r="L1197" s="10" t="s">
        <v>1422</v>
      </c>
      <c r="M1197" s="10" t="s">
        <v>2372</v>
      </c>
      <c r="N1197" s="10" t="s">
        <v>2373</v>
      </c>
      <c r="O1197" s="10"/>
    </row>
    <row r="1198" spans="1:15" ht="18" customHeight="1" x14ac:dyDescent="0.3">
      <c r="A1198" s="24">
        <v>1197</v>
      </c>
      <c r="B1198" s="10" t="s">
        <v>74</v>
      </c>
      <c r="C1198" s="10" t="s">
        <v>28</v>
      </c>
      <c r="D1198" s="62">
        <v>61</v>
      </c>
      <c r="E1198" s="61" t="s">
        <v>2558</v>
      </c>
      <c r="F1198" s="16" t="s">
        <v>1110</v>
      </c>
      <c r="G1198" s="10" t="s">
        <v>160</v>
      </c>
      <c r="H1198" s="10" t="s">
        <v>1189</v>
      </c>
      <c r="I1198" s="62">
        <v>85</v>
      </c>
      <c r="J1198" s="10" t="s">
        <v>2372</v>
      </c>
      <c r="K1198" s="10" t="s">
        <v>2374</v>
      </c>
      <c r="L1198" s="10" t="s">
        <v>1422</v>
      </c>
      <c r="M1198" s="10" t="s">
        <v>2372</v>
      </c>
      <c r="N1198" s="10" t="s">
        <v>2373</v>
      </c>
      <c r="O1198" s="10"/>
    </row>
    <row r="1199" spans="1:15" ht="18" customHeight="1" x14ac:dyDescent="0.3">
      <c r="A1199" s="24">
        <v>1198</v>
      </c>
      <c r="B1199" s="10" t="s">
        <v>74</v>
      </c>
      <c r="C1199" s="10" t="s">
        <v>28</v>
      </c>
      <c r="D1199" s="62">
        <v>61</v>
      </c>
      <c r="E1199" s="61" t="s">
        <v>2558</v>
      </c>
      <c r="F1199" s="16" t="s">
        <v>1110</v>
      </c>
      <c r="G1199" s="10" t="s">
        <v>160</v>
      </c>
      <c r="H1199" s="10" t="s">
        <v>1190</v>
      </c>
      <c r="I1199" s="62">
        <v>123</v>
      </c>
      <c r="J1199" s="10" t="s">
        <v>2372</v>
      </c>
      <c r="K1199" s="10" t="s">
        <v>2374</v>
      </c>
      <c r="L1199" s="10" t="s">
        <v>1422</v>
      </c>
      <c r="M1199" s="10" t="s">
        <v>2372</v>
      </c>
      <c r="N1199" s="10" t="s">
        <v>2373</v>
      </c>
      <c r="O1199" s="10"/>
    </row>
    <row r="1200" spans="1:15" ht="18" customHeight="1" x14ac:dyDescent="0.3">
      <c r="A1200" s="24">
        <v>1199</v>
      </c>
      <c r="B1200" s="10" t="s">
        <v>74</v>
      </c>
      <c r="C1200" s="10" t="s">
        <v>28</v>
      </c>
      <c r="D1200" s="62">
        <v>61</v>
      </c>
      <c r="E1200" s="61" t="s">
        <v>2558</v>
      </c>
      <c r="F1200" s="16" t="s">
        <v>1110</v>
      </c>
      <c r="G1200" s="10" t="s">
        <v>160</v>
      </c>
      <c r="H1200" s="10" t="s">
        <v>1191</v>
      </c>
      <c r="I1200" s="62">
        <v>96</v>
      </c>
      <c r="J1200" s="10" t="s">
        <v>2372</v>
      </c>
      <c r="K1200" s="10" t="s">
        <v>2374</v>
      </c>
      <c r="L1200" s="10" t="s">
        <v>1422</v>
      </c>
      <c r="M1200" s="10" t="s">
        <v>2372</v>
      </c>
      <c r="N1200" s="10" t="s">
        <v>2373</v>
      </c>
      <c r="O1200" s="10"/>
    </row>
    <row r="1201" spans="1:15" ht="18" customHeight="1" x14ac:dyDescent="0.3">
      <c r="A1201" s="24">
        <v>1200</v>
      </c>
      <c r="B1201" s="10" t="s">
        <v>74</v>
      </c>
      <c r="C1201" s="10" t="s">
        <v>28</v>
      </c>
      <c r="D1201" s="62">
        <v>61</v>
      </c>
      <c r="E1201" s="61" t="s">
        <v>2558</v>
      </c>
      <c r="F1201" s="16" t="s">
        <v>1110</v>
      </c>
      <c r="G1201" s="10" t="s">
        <v>160</v>
      </c>
      <c r="H1201" s="10" t="s">
        <v>1192</v>
      </c>
      <c r="I1201" s="62">
        <v>70</v>
      </c>
      <c r="J1201" s="10" t="s">
        <v>2372</v>
      </c>
      <c r="K1201" s="10" t="s">
        <v>2374</v>
      </c>
      <c r="L1201" s="10" t="s">
        <v>1422</v>
      </c>
      <c r="M1201" s="10" t="s">
        <v>2372</v>
      </c>
      <c r="N1201" s="10" t="s">
        <v>2373</v>
      </c>
      <c r="O1201" s="10"/>
    </row>
    <row r="1202" spans="1:15" ht="18" customHeight="1" x14ac:dyDescent="0.3">
      <c r="A1202" s="24">
        <v>1201</v>
      </c>
      <c r="B1202" s="10" t="s">
        <v>74</v>
      </c>
      <c r="C1202" s="10" t="s">
        <v>28</v>
      </c>
      <c r="D1202" s="62">
        <v>61</v>
      </c>
      <c r="E1202" s="61" t="s">
        <v>2558</v>
      </c>
      <c r="F1202" s="16" t="s">
        <v>1110</v>
      </c>
      <c r="G1202" s="10" t="s">
        <v>160</v>
      </c>
      <c r="H1202" s="10" t="s">
        <v>1193</v>
      </c>
      <c r="I1202" s="62">
        <v>64</v>
      </c>
      <c r="J1202" s="10" t="s">
        <v>2372</v>
      </c>
      <c r="K1202" s="10" t="s">
        <v>2374</v>
      </c>
      <c r="L1202" s="10" t="s">
        <v>1422</v>
      </c>
      <c r="M1202" s="10" t="s">
        <v>2372</v>
      </c>
      <c r="N1202" s="10" t="s">
        <v>2373</v>
      </c>
      <c r="O1202" s="10"/>
    </row>
    <row r="1203" spans="1:15" ht="18" customHeight="1" x14ac:dyDescent="0.3">
      <c r="A1203" s="24">
        <v>1202</v>
      </c>
      <c r="B1203" s="10" t="s">
        <v>74</v>
      </c>
      <c r="C1203" s="10" t="s">
        <v>28</v>
      </c>
      <c r="D1203" s="62">
        <v>61</v>
      </c>
      <c r="E1203" s="61" t="s">
        <v>2848</v>
      </c>
      <c r="F1203" s="9" t="s">
        <v>1075</v>
      </c>
      <c r="G1203" s="10" t="s">
        <v>150</v>
      </c>
      <c r="H1203" s="10" t="s">
        <v>845</v>
      </c>
      <c r="I1203" s="62">
        <v>133</v>
      </c>
      <c r="J1203" s="10" t="s">
        <v>2372</v>
      </c>
      <c r="K1203" s="10" t="s">
        <v>847</v>
      </c>
      <c r="L1203" s="10" t="s">
        <v>2373</v>
      </c>
      <c r="M1203" s="10" t="s">
        <v>2372</v>
      </c>
      <c r="N1203" s="10" t="s">
        <v>2373</v>
      </c>
      <c r="O1203" s="10"/>
    </row>
    <row r="1204" spans="1:15" ht="18" customHeight="1" x14ac:dyDescent="0.3">
      <c r="A1204" s="24">
        <v>1203</v>
      </c>
      <c r="B1204" s="10" t="s">
        <v>74</v>
      </c>
      <c r="C1204" s="10" t="s">
        <v>28</v>
      </c>
      <c r="D1204" s="62">
        <v>61</v>
      </c>
      <c r="E1204" s="61" t="s">
        <v>2848</v>
      </c>
      <c r="F1204" s="9" t="s">
        <v>1075</v>
      </c>
      <c r="G1204" s="10" t="s">
        <v>150</v>
      </c>
      <c r="H1204" s="10" t="s">
        <v>848</v>
      </c>
      <c r="I1204" s="62">
        <v>188</v>
      </c>
      <c r="J1204" s="10" t="s">
        <v>2372</v>
      </c>
      <c r="K1204" s="10" t="s">
        <v>847</v>
      </c>
      <c r="L1204" s="10" t="s">
        <v>2373</v>
      </c>
      <c r="M1204" s="10" t="s">
        <v>2372</v>
      </c>
      <c r="N1204" s="10" t="s">
        <v>2373</v>
      </c>
      <c r="O1204" s="10"/>
    </row>
    <row r="1205" spans="1:15" ht="18" customHeight="1" x14ac:dyDescent="0.3">
      <c r="A1205" s="24">
        <v>1204</v>
      </c>
      <c r="B1205" s="10" t="s">
        <v>74</v>
      </c>
      <c r="C1205" s="10" t="s">
        <v>28</v>
      </c>
      <c r="D1205" s="62">
        <v>61</v>
      </c>
      <c r="E1205" s="61" t="s">
        <v>2848</v>
      </c>
      <c r="F1205" s="9" t="s">
        <v>2559</v>
      </c>
      <c r="G1205" s="10" t="s">
        <v>150</v>
      </c>
      <c r="H1205" s="10" t="s">
        <v>850</v>
      </c>
      <c r="I1205" s="62">
        <v>120</v>
      </c>
      <c r="J1205" s="10" t="s">
        <v>2374</v>
      </c>
      <c r="K1205" s="10" t="s">
        <v>847</v>
      </c>
      <c r="L1205" s="10" t="s">
        <v>2373</v>
      </c>
      <c r="M1205" s="10" t="s">
        <v>2372</v>
      </c>
      <c r="N1205" s="10" t="s">
        <v>2373</v>
      </c>
      <c r="O1205" s="10"/>
    </row>
    <row r="1206" spans="1:15" ht="18" customHeight="1" x14ac:dyDescent="0.3">
      <c r="A1206" s="24">
        <v>1205</v>
      </c>
      <c r="B1206" s="10" t="s">
        <v>74</v>
      </c>
      <c r="C1206" s="10" t="s">
        <v>28</v>
      </c>
      <c r="D1206" s="62">
        <v>61</v>
      </c>
      <c r="E1206" s="61" t="s">
        <v>2848</v>
      </c>
      <c r="F1206" s="9" t="s">
        <v>1075</v>
      </c>
      <c r="G1206" s="10" t="s">
        <v>150</v>
      </c>
      <c r="H1206" s="10" t="s">
        <v>851</v>
      </c>
      <c r="I1206" s="62">
        <v>224</v>
      </c>
      <c r="J1206" s="10" t="s">
        <v>2372</v>
      </c>
      <c r="K1206" s="10" t="s">
        <v>847</v>
      </c>
      <c r="L1206" s="10" t="s">
        <v>2373</v>
      </c>
      <c r="M1206" s="10" t="s">
        <v>2372</v>
      </c>
      <c r="N1206" s="10" t="s">
        <v>2373</v>
      </c>
      <c r="O1206" s="10"/>
    </row>
    <row r="1207" spans="1:15" ht="18" customHeight="1" x14ac:dyDescent="0.3">
      <c r="A1207" s="24">
        <v>1206</v>
      </c>
      <c r="B1207" s="10" t="s">
        <v>74</v>
      </c>
      <c r="C1207" s="10" t="s">
        <v>28</v>
      </c>
      <c r="D1207" s="62">
        <v>61</v>
      </c>
      <c r="E1207" s="61" t="s">
        <v>2848</v>
      </c>
      <c r="F1207" s="9" t="s">
        <v>1075</v>
      </c>
      <c r="G1207" s="10" t="s">
        <v>150</v>
      </c>
      <c r="H1207" s="10" t="s">
        <v>852</v>
      </c>
      <c r="I1207" s="62">
        <v>133</v>
      </c>
      <c r="J1207" s="10" t="s">
        <v>2372</v>
      </c>
      <c r="K1207" s="10" t="s">
        <v>847</v>
      </c>
      <c r="L1207" s="10" t="s">
        <v>2373</v>
      </c>
      <c r="M1207" s="10" t="s">
        <v>2372</v>
      </c>
      <c r="N1207" s="10" t="s">
        <v>2373</v>
      </c>
      <c r="O1207" s="10"/>
    </row>
    <row r="1208" spans="1:15" ht="18" customHeight="1" x14ac:dyDescent="0.3">
      <c r="A1208" s="24">
        <v>1207</v>
      </c>
      <c r="B1208" s="10" t="s">
        <v>74</v>
      </c>
      <c r="C1208" s="10" t="s">
        <v>28</v>
      </c>
      <c r="D1208" s="62">
        <v>61</v>
      </c>
      <c r="E1208" s="61" t="s">
        <v>2848</v>
      </c>
      <c r="F1208" s="9" t="s">
        <v>1075</v>
      </c>
      <c r="G1208" s="10" t="s">
        <v>150</v>
      </c>
      <c r="H1208" s="10" t="s">
        <v>853</v>
      </c>
      <c r="I1208" s="62">
        <v>188</v>
      </c>
      <c r="J1208" s="10" t="s">
        <v>2372</v>
      </c>
      <c r="K1208" s="10" t="s">
        <v>847</v>
      </c>
      <c r="L1208" s="10" t="s">
        <v>2373</v>
      </c>
      <c r="M1208" s="10" t="s">
        <v>2372</v>
      </c>
      <c r="N1208" s="10" t="s">
        <v>2373</v>
      </c>
      <c r="O1208" s="10"/>
    </row>
    <row r="1209" spans="1:15" ht="18" customHeight="1" x14ac:dyDescent="0.3">
      <c r="A1209" s="24">
        <v>1208</v>
      </c>
      <c r="B1209" s="10" t="s">
        <v>74</v>
      </c>
      <c r="C1209" s="10" t="s">
        <v>28</v>
      </c>
      <c r="D1209" s="62">
        <v>61</v>
      </c>
      <c r="E1209" s="61" t="s">
        <v>2848</v>
      </c>
      <c r="F1209" s="9" t="s">
        <v>1075</v>
      </c>
      <c r="G1209" s="10" t="s">
        <v>150</v>
      </c>
      <c r="H1209" s="10" t="s">
        <v>854</v>
      </c>
      <c r="I1209" s="62">
        <v>140</v>
      </c>
      <c r="J1209" s="10" t="s">
        <v>2372</v>
      </c>
      <c r="K1209" s="10" t="s">
        <v>847</v>
      </c>
      <c r="L1209" s="10" t="s">
        <v>2373</v>
      </c>
      <c r="M1209" s="10" t="s">
        <v>2372</v>
      </c>
      <c r="N1209" s="10" t="s">
        <v>2373</v>
      </c>
      <c r="O1209" s="10"/>
    </row>
    <row r="1210" spans="1:15" ht="18" customHeight="1" x14ac:dyDescent="0.3">
      <c r="A1210" s="24">
        <v>1209</v>
      </c>
      <c r="B1210" s="10" t="s">
        <v>74</v>
      </c>
      <c r="C1210" s="10" t="s">
        <v>28</v>
      </c>
      <c r="D1210" s="62">
        <v>61</v>
      </c>
      <c r="E1210" s="61" t="s">
        <v>2848</v>
      </c>
      <c r="F1210" s="9" t="s">
        <v>1075</v>
      </c>
      <c r="G1210" s="10" t="s">
        <v>150</v>
      </c>
      <c r="H1210" s="10" t="s">
        <v>855</v>
      </c>
      <c r="I1210" s="62">
        <v>120</v>
      </c>
      <c r="J1210" s="10" t="s">
        <v>2372</v>
      </c>
      <c r="K1210" s="10" t="s">
        <v>847</v>
      </c>
      <c r="L1210" s="10" t="s">
        <v>2373</v>
      </c>
      <c r="M1210" s="10" t="s">
        <v>2372</v>
      </c>
      <c r="N1210" s="10" t="s">
        <v>2373</v>
      </c>
      <c r="O1210" s="10"/>
    </row>
    <row r="1211" spans="1:15" ht="18" customHeight="1" x14ac:dyDescent="0.3">
      <c r="A1211" s="24">
        <v>1210</v>
      </c>
      <c r="B1211" s="10" t="s">
        <v>74</v>
      </c>
      <c r="C1211" s="10" t="s">
        <v>28</v>
      </c>
      <c r="D1211" s="62">
        <v>61</v>
      </c>
      <c r="E1211" s="61" t="s">
        <v>2848</v>
      </c>
      <c r="F1211" s="9" t="s">
        <v>1075</v>
      </c>
      <c r="G1211" s="10" t="s">
        <v>150</v>
      </c>
      <c r="H1211" s="10" t="s">
        <v>869</v>
      </c>
      <c r="I1211" s="62">
        <v>224</v>
      </c>
      <c r="J1211" s="10" t="s">
        <v>2372</v>
      </c>
      <c r="K1211" s="10" t="s">
        <v>847</v>
      </c>
      <c r="L1211" s="10" t="s">
        <v>2373</v>
      </c>
      <c r="M1211" s="10" t="s">
        <v>2372</v>
      </c>
      <c r="N1211" s="10" t="s">
        <v>2373</v>
      </c>
      <c r="O1211" s="10"/>
    </row>
    <row r="1212" spans="1:15" ht="18" customHeight="1" x14ac:dyDescent="0.3">
      <c r="A1212" s="24">
        <v>1211</v>
      </c>
      <c r="B1212" s="10" t="s">
        <v>74</v>
      </c>
      <c r="C1212" s="10" t="s">
        <v>28</v>
      </c>
      <c r="D1212" s="62">
        <v>61</v>
      </c>
      <c r="E1212" s="61" t="s">
        <v>2848</v>
      </c>
      <c r="F1212" s="9" t="s">
        <v>2559</v>
      </c>
      <c r="G1212" s="10" t="s">
        <v>150</v>
      </c>
      <c r="H1212" s="10" t="s">
        <v>849</v>
      </c>
      <c r="I1212" s="62">
        <v>140</v>
      </c>
      <c r="J1212" s="10" t="s">
        <v>2372</v>
      </c>
      <c r="K1212" s="10" t="s">
        <v>847</v>
      </c>
      <c r="L1212" s="10" t="s">
        <v>2373</v>
      </c>
      <c r="M1212" s="10" t="s">
        <v>2372</v>
      </c>
      <c r="N1212" s="10" t="s">
        <v>2373</v>
      </c>
      <c r="O1212" s="10"/>
    </row>
    <row r="1213" spans="1:15" ht="18" customHeight="1" x14ac:dyDescent="0.3">
      <c r="A1213" s="24">
        <v>1212</v>
      </c>
      <c r="B1213" s="10" t="s">
        <v>74</v>
      </c>
      <c r="C1213" s="10" t="s">
        <v>33</v>
      </c>
      <c r="D1213" s="62">
        <v>63</v>
      </c>
      <c r="E1213" s="61" t="s">
        <v>2849</v>
      </c>
      <c r="F1213" s="19" t="s">
        <v>1028</v>
      </c>
      <c r="G1213" s="10" t="s">
        <v>150</v>
      </c>
      <c r="H1213" s="10" t="s">
        <v>849</v>
      </c>
      <c r="I1213" s="62">
        <v>161</v>
      </c>
      <c r="J1213" s="10" t="s">
        <v>2372</v>
      </c>
      <c r="K1213" s="10" t="s">
        <v>847</v>
      </c>
      <c r="L1213" s="10" t="s">
        <v>2373</v>
      </c>
      <c r="M1213" s="10" t="s">
        <v>2372</v>
      </c>
      <c r="N1213" s="10" t="s">
        <v>2373</v>
      </c>
      <c r="O1213" s="10"/>
    </row>
    <row r="1214" spans="1:15" ht="18" customHeight="1" x14ac:dyDescent="0.3">
      <c r="A1214" s="24">
        <v>1213</v>
      </c>
      <c r="B1214" s="10" t="s">
        <v>74</v>
      </c>
      <c r="C1214" s="10" t="s">
        <v>33</v>
      </c>
      <c r="D1214" s="62">
        <v>63</v>
      </c>
      <c r="E1214" s="61" t="s">
        <v>2849</v>
      </c>
      <c r="F1214" s="19" t="s">
        <v>1028</v>
      </c>
      <c r="G1214" s="10" t="s">
        <v>150</v>
      </c>
      <c r="H1214" s="10" t="s">
        <v>850</v>
      </c>
      <c r="I1214" s="62">
        <v>107</v>
      </c>
      <c r="J1214" s="10" t="s">
        <v>2372</v>
      </c>
      <c r="K1214" s="10" t="s">
        <v>847</v>
      </c>
      <c r="L1214" s="10" t="s">
        <v>2373</v>
      </c>
      <c r="M1214" s="10" t="s">
        <v>2372</v>
      </c>
      <c r="N1214" s="10" t="s">
        <v>2373</v>
      </c>
      <c r="O1214" s="10"/>
    </row>
    <row r="1215" spans="1:15" ht="18" customHeight="1" x14ac:dyDescent="0.3">
      <c r="A1215" s="24">
        <v>1214</v>
      </c>
      <c r="B1215" s="10" t="s">
        <v>74</v>
      </c>
      <c r="C1215" s="10" t="s">
        <v>33</v>
      </c>
      <c r="D1215" s="62">
        <v>63</v>
      </c>
      <c r="E1215" s="61" t="s">
        <v>2849</v>
      </c>
      <c r="F1215" s="19" t="s">
        <v>1028</v>
      </c>
      <c r="G1215" s="10" t="s">
        <v>150</v>
      </c>
      <c r="H1215" s="10" t="s">
        <v>851</v>
      </c>
      <c r="I1215" s="62">
        <v>157</v>
      </c>
      <c r="J1215" s="10" t="s">
        <v>2372</v>
      </c>
      <c r="K1215" s="10" t="s">
        <v>847</v>
      </c>
      <c r="L1215" s="10" t="s">
        <v>2373</v>
      </c>
      <c r="M1215" s="10" t="s">
        <v>2372</v>
      </c>
      <c r="N1215" s="10" t="s">
        <v>2373</v>
      </c>
      <c r="O1215" s="10"/>
    </row>
    <row r="1216" spans="1:15" ht="18" customHeight="1" x14ac:dyDescent="0.3">
      <c r="A1216" s="24">
        <v>1215</v>
      </c>
      <c r="B1216" s="10" t="s">
        <v>74</v>
      </c>
      <c r="C1216" s="10" t="s">
        <v>33</v>
      </c>
      <c r="D1216" s="62">
        <v>63</v>
      </c>
      <c r="E1216" s="61" t="s">
        <v>2849</v>
      </c>
      <c r="F1216" s="19" t="s">
        <v>1028</v>
      </c>
      <c r="G1216" s="10" t="s">
        <v>150</v>
      </c>
      <c r="H1216" s="10" t="s">
        <v>852</v>
      </c>
      <c r="I1216" s="62">
        <v>157</v>
      </c>
      <c r="J1216" s="10" t="s">
        <v>2372</v>
      </c>
      <c r="K1216" s="10" t="s">
        <v>847</v>
      </c>
      <c r="L1216" s="10" t="s">
        <v>2373</v>
      </c>
      <c r="M1216" s="10" t="s">
        <v>2372</v>
      </c>
      <c r="N1216" s="10" t="s">
        <v>2373</v>
      </c>
      <c r="O1216" s="10"/>
    </row>
    <row r="1217" spans="1:15" ht="18" customHeight="1" x14ac:dyDescent="0.3">
      <c r="A1217" s="24">
        <v>1216</v>
      </c>
      <c r="B1217" s="10" t="s">
        <v>74</v>
      </c>
      <c r="C1217" s="10" t="s">
        <v>33</v>
      </c>
      <c r="D1217" s="62">
        <v>63</v>
      </c>
      <c r="E1217" s="61" t="s">
        <v>2849</v>
      </c>
      <c r="F1217" s="19" t="s">
        <v>1028</v>
      </c>
      <c r="G1217" s="10" t="s">
        <v>150</v>
      </c>
      <c r="H1217" s="10" t="s">
        <v>853</v>
      </c>
      <c r="I1217" s="62">
        <v>156</v>
      </c>
      <c r="J1217" s="10" t="s">
        <v>2372</v>
      </c>
      <c r="K1217" s="10" t="s">
        <v>847</v>
      </c>
      <c r="L1217" s="10" t="s">
        <v>2373</v>
      </c>
      <c r="M1217" s="10" t="s">
        <v>2372</v>
      </c>
      <c r="N1217" s="10" t="s">
        <v>2373</v>
      </c>
      <c r="O1217" s="10"/>
    </row>
    <row r="1218" spans="1:15" ht="18" customHeight="1" x14ac:dyDescent="0.3">
      <c r="A1218" s="24">
        <v>1217</v>
      </c>
      <c r="B1218" s="10" t="s">
        <v>74</v>
      </c>
      <c r="C1218" s="10" t="s">
        <v>33</v>
      </c>
      <c r="D1218" s="62">
        <v>63</v>
      </c>
      <c r="E1218" s="61" t="s">
        <v>2849</v>
      </c>
      <c r="F1218" s="19" t="s">
        <v>1028</v>
      </c>
      <c r="G1218" s="10" t="s">
        <v>150</v>
      </c>
      <c r="H1218" s="10" t="s">
        <v>854</v>
      </c>
      <c r="I1218" s="62">
        <v>151</v>
      </c>
      <c r="J1218" s="10" t="s">
        <v>2374</v>
      </c>
      <c r="K1218" s="10" t="s">
        <v>847</v>
      </c>
      <c r="L1218" s="10" t="s">
        <v>2373</v>
      </c>
      <c r="M1218" s="10" t="s">
        <v>2372</v>
      </c>
      <c r="N1218" s="10" t="s">
        <v>2373</v>
      </c>
      <c r="O1218" s="10"/>
    </row>
    <row r="1219" spans="1:15" ht="18" customHeight="1" x14ac:dyDescent="0.3">
      <c r="A1219" s="24">
        <v>1218</v>
      </c>
      <c r="B1219" s="10" t="s">
        <v>74</v>
      </c>
      <c r="C1219" s="10" t="s">
        <v>33</v>
      </c>
      <c r="D1219" s="62">
        <v>63</v>
      </c>
      <c r="E1219" s="61" t="s">
        <v>2849</v>
      </c>
      <c r="F1219" s="19" t="s">
        <v>1028</v>
      </c>
      <c r="G1219" s="10" t="s">
        <v>150</v>
      </c>
      <c r="H1219" s="10" t="s">
        <v>855</v>
      </c>
      <c r="I1219" s="62">
        <v>155</v>
      </c>
      <c r="J1219" s="10" t="s">
        <v>2372</v>
      </c>
      <c r="K1219" s="10" t="s">
        <v>847</v>
      </c>
      <c r="L1219" s="10" t="s">
        <v>2373</v>
      </c>
      <c r="M1219" s="10" t="s">
        <v>2372</v>
      </c>
      <c r="N1219" s="10" t="s">
        <v>2373</v>
      </c>
      <c r="O1219" s="10"/>
    </row>
    <row r="1220" spans="1:15" ht="18" customHeight="1" x14ac:dyDescent="0.3">
      <c r="A1220" s="24">
        <v>1219</v>
      </c>
      <c r="B1220" s="10" t="s">
        <v>74</v>
      </c>
      <c r="C1220" s="10" t="s">
        <v>33</v>
      </c>
      <c r="D1220" s="62">
        <v>63</v>
      </c>
      <c r="E1220" s="61" t="s">
        <v>2849</v>
      </c>
      <c r="F1220" s="19" t="s">
        <v>1028</v>
      </c>
      <c r="G1220" s="10" t="s">
        <v>150</v>
      </c>
      <c r="H1220" s="10" t="s">
        <v>869</v>
      </c>
      <c r="I1220" s="62">
        <v>153</v>
      </c>
      <c r="J1220" s="10" t="s">
        <v>2374</v>
      </c>
      <c r="K1220" s="10" t="s">
        <v>847</v>
      </c>
      <c r="L1220" s="10" t="s">
        <v>2373</v>
      </c>
      <c r="M1220" s="10" t="s">
        <v>2372</v>
      </c>
      <c r="N1220" s="10" t="s">
        <v>2373</v>
      </c>
      <c r="O1220" s="10"/>
    </row>
    <row r="1221" spans="1:15" ht="18" customHeight="1" x14ac:dyDescent="0.3">
      <c r="A1221" s="24">
        <v>1220</v>
      </c>
      <c r="B1221" s="10" t="s">
        <v>74</v>
      </c>
      <c r="C1221" s="10" t="s">
        <v>33</v>
      </c>
      <c r="D1221" s="62">
        <v>63</v>
      </c>
      <c r="E1221" s="61" t="s">
        <v>2849</v>
      </c>
      <c r="F1221" s="19" t="s">
        <v>516</v>
      </c>
      <c r="G1221" s="10" t="s">
        <v>150</v>
      </c>
      <c r="H1221" s="10" t="s">
        <v>845</v>
      </c>
      <c r="I1221" s="62">
        <v>107</v>
      </c>
      <c r="J1221" s="10" t="s">
        <v>2372</v>
      </c>
      <c r="K1221" s="10" t="s">
        <v>847</v>
      </c>
      <c r="L1221" s="10" t="s">
        <v>2373</v>
      </c>
      <c r="M1221" s="10" t="s">
        <v>2372</v>
      </c>
      <c r="N1221" s="10" t="s">
        <v>2373</v>
      </c>
      <c r="O1221" s="10"/>
    </row>
    <row r="1222" spans="1:15" ht="18" customHeight="1" x14ac:dyDescent="0.3">
      <c r="A1222" s="24">
        <v>1221</v>
      </c>
      <c r="B1222" s="10" t="s">
        <v>74</v>
      </c>
      <c r="C1222" s="10" t="s">
        <v>33</v>
      </c>
      <c r="D1222" s="62">
        <v>63</v>
      </c>
      <c r="E1222" s="61" t="s">
        <v>2849</v>
      </c>
      <c r="F1222" s="19" t="s">
        <v>516</v>
      </c>
      <c r="G1222" s="10" t="s">
        <v>150</v>
      </c>
      <c r="H1222" s="10" t="s">
        <v>848</v>
      </c>
      <c r="I1222" s="62">
        <v>161</v>
      </c>
      <c r="J1222" s="10" t="s">
        <v>2372</v>
      </c>
      <c r="K1222" s="10" t="s">
        <v>847</v>
      </c>
      <c r="L1222" s="10" t="s">
        <v>2373</v>
      </c>
      <c r="M1222" s="10" t="s">
        <v>2372</v>
      </c>
      <c r="N1222" s="10" t="s">
        <v>2373</v>
      </c>
      <c r="O1222" s="10"/>
    </row>
    <row r="1223" spans="1:15" ht="18" customHeight="1" x14ac:dyDescent="0.3">
      <c r="A1223" s="24">
        <v>1222</v>
      </c>
      <c r="B1223" s="10" t="s">
        <v>74</v>
      </c>
      <c r="C1223" s="10" t="s">
        <v>33</v>
      </c>
      <c r="D1223" s="62">
        <v>63</v>
      </c>
      <c r="E1223" s="61" t="s">
        <v>279</v>
      </c>
      <c r="F1223" s="11" t="s">
        <v>515</v>
      </c>
      <c r="G1223" s="10" t="s">
        <v>160</v>
      </c>
      <c r="H1223" s="10" t="s">
        <v>845</v>
      </c>
      <c r="I1223" s="62">
        <v>152</v>
      </c>
      <c r="J1223" s="10" t="s">
        <v>2372</v>
      </c>
      <c r="K1223" s="10" t="s">
        <v>847</v>
      </c>
      <c r="L1223" s="10" t="s">
        <v>2373</v>
      </c>
      <c r="M1223" s="10" t="s">
        <v>2372</v>
      </c>
      <c r="N1223" s="10" t="s">
        <v>2373</v>
      </c>
      <c r="O1223" s="10"/>
    </row>
    <row r="1224" spans="1:15" ht="18" customHeight="1" x14ac:dyDescent="0.3">
      <c r="A1224" s="24">
        <v>1223</v>
      </c>
      <c r="B1224" s="10" t="s">
        <v>74</v>
      </c>
      <c r="C1224" s="10" t="s">
        <v>33</v>
      </c>
      <c r="D1224" s="62">
        <v>63</v>
      </c>
      <c r="E1224" s="61" t="s">
        <v>279</v>
      </c>
      <c r="F1224" s="11" t="s">
        <v>515</v>
      </c>
      <c r="G1224" s="10" t="s">
        <v>160</v>
      </c>
      <c r="H1224" s="10" t="s">
        <v>848</v>
      </c>
      <c r="I1224" s="62">
        <v>110</v>
      </c>
      <c r="J1224" s="10" t="s">
        <v>2372</v>
      </c>
      <c r="K1224" s="10" t="s">
        <v>847</v>
      </c>
      <c r="L1224" s="10" t="s">
        <v>2373</v>
      </c>
      <c r="M1224" s="10" t="s">
        <v>2372</v>
      </c>
      <c r="N1224" s="10" t="s">
        <v>2373</v>
      </c>
      <c r="O1224" s="10"/>
    </row>
    <row r="1225" spans="1:15" ht="18" customHeight="1" x14ac:dyDescent="0.3">
      <c r="A1225" s="24">
        <v>1224</v>
      </c>
      <c r="B1225" s="10" t="s">
        <v>74</v>
      </c>
      <c r="C1225" s="10" t="s">
        <v>33</v>
      </c>
      <c r="D1225" s="62">
        <v>63</v>
      </c>
      <c r="E1225" s="61" t="s">
        <v>279</v>
      </c>
      <c r="F1225" s="11" t="s">
        <v>515</v>
      </c>
      <c r="G1225" s="10" t="s">
        <v>160</v>
      </c>
      <c r="H1225" s="10" t="s">
        <v>849</v>
      </c>
      <c r="I1225" s="62">
        <v>150</v>
      </c>
      <c r="J1225" s="10" t="s">
        <v>2372</v>
      </c>
      <c r="K1225" s="10" t="s">
        <v>847</v>
      </c>
      <c r="L1225" s="10" t="s">
        <v>2373</v>
      </c>
      <c r="M1225" s="10" t="s">
        <v>2372</v>
      </c>
      <c r="N1225" s="10" t="s">
        <v>2373</v>
      </c>
      <c r="O1225" s="10"/>
    </row>
    <row r="1226" spans="1:15" ht="18" customHeight="1" x14ac:dyDescent="0.3">
      <c r="A1226" s="24">
        <v>1225</v>
      </c>
      <c r="B1226" s="10" t="s">
        <v>74</v>
      </c>
      <c r="C1226" s="10" t="s">
        <v>33</v>
      </c>
      <c r="D1226" s="62">
        <v>63</v>
      </c>
      <c r="E1226" s="61" t="s">
        <v>279</v>
      </c>
      <c r="F1226" s="11" t="s">
        <v>515</v>
      </c>
      <c r="G1226" s="10" t="s">
        <v>160</v>
      </c>
      <c r="H1226" s="10" t="s">
        <v>850</v>
      </c>
      <c r="I1226" s="62">
        <v>95</v>
      </c>
      <c r="J1226" s="10" t="s">
        <v>2374</v>
      </c>
      <c r="K1226" s="10" t="s">
        <v>847</v>
      </c>
      <c r="L1226" s="10" t="s">
        <v>2373</v>
      </c>
      <c r="M1226" s="10" t="s">
        <v>2372</v>
      </c>
      <c r="N1226" s="10" t="s">
        <v>2373</v>
      </c>
      <c r="O1226" s="10"/>
    </row>
    <row r="1227" spans="1:15" ht="18" customHeight="1" x14ac:dyDescent="0.3">
      <c r="A1227" s="24">
        <v>1226</v>
      </c>
      <c r="B1227" s="10" t="s">
        <v>74</v>
      </c>
      <c r="C1227" s="10" t="s">
        <v>33</v>
      </c>
      <c r="D1227" s="62">
        <v>63</v>
      </c>
      <c r="E1227" s="61" t="s">
        <v>279</v>
      </c>
      <c r="F1227" s="11" t="s">
        <v>515</v>
      </c>
      <c r="G1227" s="10" t="s">
        <v>160</v>
      </c>
      <c r="H1227" s="10" t="s">
        <v>851</v>
      </c>
      <c r="I1227" s="62">
        <v>95</v>
      </c>
      <c r="J1227" s="10" t="s">
        <v>2372</v>
      </c>
      <c r="K1227" s="10" t="s">
        <v>847</v>
      </c>
      <c r="L1227" s="10" t="s">
        <v>2373</v>
      </c>
      <c r="M1227" s="10" t="s">
        <v>2372</v>
      </c>
      <c r="N1227" s="10" t="s">
        <v>2373</v>
      </c>
      <c r="O1227" s="10"/>
    </row>
    <row r="1228" spans="1:15" ht="18" customHeight="1" x14ac:dyDescent="0.3">
      <c r="A1228" s="24">
        <v>1227</v>
      </c>
      <c r="B1228" s="10" t="s">
        <v>74</v>
      </c>
      <c r="C1228" s="10" t="s">
        <v>33</v>
      </c>
      <c r="D1228" s="62">
        <v>63</v>
      </c>
      <c r="E1228" s="61" t="s">
        <v>279</v>
      </c>
      <c r="F1228" s="11" t="s">
        <v>515</v>
      </c>
      <c r="G1228" s="10" t="s">
        <v>160</v>
      </c>
      <c r="H1228" s="10" t="s">
        <v>852</v>
      </c>
      <c r="I1228" s="62">
        <v>150</v>
      </c>
      <c r="J1228" s="10" t="s">
        <v>2374</v>
      </c>
      <c r="K1228" s="10" t="s">
        <v>847</v>
      </c>
      <c r="L1228" s="10" t="s">
        <v>2373</v>
      </c>
      <c r="M1228" s="10" t="s">
        <v>2372</v>
      </c>
      <c r="N1228" s="10" t="s">
        <v>2373</v>
      </c>
      <c r="O1228" s="10"/>
    </row>
    <row r="1229" spans="1:15" ht="18" customHeight="1" x14ac:dyDescent="0.3">
      <c r="A1229" s="24">
        <v>1228</v>
      </c>
      <c r="B1229" s="10" t="s">
        <v>74</v>
      </c>
      <c r="C1229" s="10" t="s">
        <v>33</v>
      </c>
      <c r="D1229" s="62">
        <v>63</v>
      </c>
      <c r="E1229" s="61" t="s">
        <v>279</v>
      </c>
      <c r="F1229" s="11" t="s">
        <v>515</v>
      </c>
      <c r="G1229" s="10" t="s">
        <v>160</v>
      </c>
      <c r="H1229" s="10" t="s">
        <v>853</v>
      </c>
      <c r="I1229" s="62">
        <v>206</v>
      </c>
      <c r="J1229" s="10" t="s">
        <v>2372</v>
      </c>
      <c r="K1229" s="10" t="s">
        <v>847</v>
      </c>
      <c r="L1229" s="10" t="s">
        <v>2373</v>
      </c>
      <c r="M1229" s="10" t="s">
        <v>2372</v>
      </c>
      <c r="N1229" s="10" t="s">
        <v>2373</v>
      </c>
      <c r="O1229" s="10"/>
    </row>
    <row r="1230" spans="1:15" ht="18" customHeight="1" x14ac:dyDescent="0.3">
      <c r="A1230" s="24">
        <v>1229</v>
      </c>
      <c r="B1230" s="10" t="s">
        <v>2554</v>
      </c>
      <c r="C1230" s="10" t="s">
        <v>2560</v>
      </c>
      <c r="D1230" s="62">
        <v>64</v>
      </c>
      <c r="E1230" s="61" t="s">
        <v>2561</v>
      </c>
      <c r="F1230" s="9" t="s">
        <v>502</v>
      </c>
      <c r="G1230" s="10" t="s">
        <v>160</v>
      </c>
      <c r="H1230" s="10" t="s">
        <v>2385</v>
      </c>
      <c r="I1230" s="62">
        <v>59</v>
      </c>
      <c r="J1230" s="8" t="s">
        <v>2372</v>
      </c>
      <c r="K1230" s="10" t="s">
        <v>2374</v>
      </c>
      <c r="L1230" s="10" t="s">
        <v>2229</v>
      </c>
      <c r="M1230" s="10" t="s">
        <v>2372</v>
      </c>
      <c r="N1230" s="10" t="s">
        <v>2373</v>
      </c>
      <c r="O1230" s="10"/>
    </row>
    <row r="1231" spans="1:15" ht="18" customHeight="1" x14ac:dyDescent="0.3">
      <c r="A1231" s="24">
        <v>1230</v>
      </c>
      <c r="B1231" s="10" t="s">
        <v>2554</v>
      </c>
      <c r="C1231" s="10" t="s">
        <v>2560</v>
      </c>
      <c r="D1231" s="62">
        <v>64</v>
      </c>
      <c r="E1231" s="61" t="s">
        <v>2561</v>
      </c>
      <c r="F1231" s="9" t="s">
        <v>502</v>
      </c>
      <c r="G1231" s="10" t="s">
        <v>160</v>
      </c>
      <c r="H1231" s="10" t="s">
        <v>2378</v>
      </c>
      <c r="I1231" s="62">
        <v>65</v>
      </c>
      <c r="J1231" s="8" t="s">
        <v>2372</v>
      </c>
      <c r="K1231" s="10" t="s">
        <v>2374</v>
      </c>
      <c r="L1231" s="10" t="s">
        <v>2229</v>
      </c>
      <c r="M1231" s="10" t="s">
        <v>2372</v>
      </c>
      <c r="N1231" s="10" t="s">
        <v>2373</v>
      </c>
      <c r="O1231" s="10"/>
    </row>
    <row r="1232" spans="1:15" ht="18" customHeight="1" x14ac:dyDescent="0.3">
      <c r="A1232" s="24">
        <v>1231</v>
      </c>
      <c r="B1232" s="10" t="s">
        <v>2554</v>
      </c>
      <c r="C1232" s="10" t="s">
        <v>2560</v>
      </c>
      <c r="D1232" s="62">
        <v>64</v>
      </c>
      <c r="E1232" s="61" t="s">
        <v>2561</v>
      </c>
      <c r="F1232" s="9" t="s">
        <v>502</v>
      </c>
      <c r="G1232" s="10" t="s">
        <v>160</v>
      </c>
      <c r="H1232" s="10" t="s">
        <v>2379</v>
      </c>
      <c r="I1232" s="62">
        <v>93</v>
      </c>
      <c r="J1232" s="8" t="s">
        <v>2372</v>
      </c>
      <c r="K1232" s="10" t="s">
        <v>2374</v>
      </c>
      <c r="L1232" s="10" t="s">
        <v>2229</v>
      </c>
      <c r="M1232" s="10" t="s">
        <v>2372</v>
      </c>
      <c r="N1232" s="10" t="s">
        <v>2373</v>
      </c>
      <c r="O1232" s="10"/>
    </row>
    <row r="1233" spans="1:15" ht="18" customHeight="1" x14ac:dyDescent="0.3">
      <c r="A1233" s="24">
        <v>1232</v>
      </c>
      <c r="B1233" s="10" t="s">
        <v>2554</v>
      </c>
      <c r="C1233" s="10" t="s">
        <v>2560</v>
      </c>
      <c r="D1233" s="62">
        <v>64</v>
      </c>
      <c r="E1233" s="61" t="s">
        <v>2561</v>
      </c>
      <c r="F1233" s="9" t="s">
        <v>502</v>
      </c>
      <c r="G1233" s="10" t="s">
        <v>160</v>
      </c>
      <c r="H1233" s="10" t="s">
        <v>2380</v>
      </c>
      <c r="I1233" s="62">
        <v>159</v>
      </c>
      <c r="J1233" s="8" t="s">
        <v>2372</v>
      </c>
      <c r="K1233" s="10" t="s">
        <v>847</v>
      </c>
      <c r="L1233" s="10" t="s">
        <v>2373</v>
      </c>
      <c r="M1233" s="10" t="s">
        <v>2372</v>
      </c>
      <c r="N1233" s="10" t="s">
        <v>2373</v>
      </c>
      <c r="O1233" s="10"/>
    </row>
    <row r="1234" spans="1:15" ht="18" customHeight="1" x14ac:dyDescent="0.3">
      <c r="A1234" s="24">
        <v>1233</v>
      </c>
      <c r="B1234" s="10" t="s">
        <v>2554</v>
      </c>
      <c r="C1234" s="10" t="s">
        <v>2560</v>
      </c>
      <c r="D1234" s="62">
        <v>64</v>
      </c>
      <c r="E1234" s="61" t="s">
        <v>2561</v>
      </c>
      <c r="F1234" s="9" t="s">
        <v>502</v>
      </c>
      <c r="G1234" s="10" t="s">
        <v>160</v>
      </c>
      <c r="H1234" s="10" t="s">
        <v>2390</v>
      </c>
      <c r="I1234" s="62">
        <v>59</v>
      </c>
      <c r="J1234" s="8" t="s">
        <v>2372</v>
      </c>
      <c r="K1234" s="10" t="s">
        <v>2374</v>
      </c>
      <c r="L1234" s="10" t="s">
        <v>2229</v>
      </c>
      <c r="M1234" s="10" t="s">
        <v>2372</v>
      </c>
      <c r="N1234" s="10" t="s">
        <v>2373</v>
      </c>
      <c r="O1234" s="10"/>
    </row>
    <row r="1235" spans="1:15" ht="18" customHeight="1" x14ac:dyDescent="0.3">
      <c r="A1235" s="24">
        <v>1234</v>
      </c>
      <c r="B1235" s="10" t="s">
        <v>2554</v>
      </c>
      <c r="C1235" s="10" t="s">
        <v>2560</v>
      </c>
      <c r="D1235" s="62">
        <v>64</v>
      </c>
      <c r="E1235" s="61" t="s">
        <v>2561</v>
      </c>
      <c r="F1235" s="9" t="s">
        <v>502</v>
      </c>
      <c r="G1235" s="10" t="s">
        <v>160</v>
      </c>
      <c r="H1235" s="10" t="s">
        <v>2382</v>
      </c>
      <c r="I1235" s="62">
        <v>65</v>
      </c>
      <c r="J1235" s="8" t="s">
        <v>2374</v>
      </c>
      <c r="K1235" s="10" t="s">
        <v>2374</v>
      </c>
      <c r="L1235" s="10" t="s">
        <v>2229</v>
      </c>
      <c r="M1235" s="10" t="s">
        <v>2372</v>
      </c>
      <c r="N1235" s="10" t="s">
        <v>2373</v>
      </c>
      <c r="O1235" s="10"/>
    </row>
    <row r="1236" spans="1:15" ht="18" customHeight="1" x14ac:dyDescent="0.3">
      <c r="A1236" s="24">
        <v>1235</v>
      </c>
      <c r="B1236" s="10" t="s">
        <v>2554</v>
      </c>
      <c r="C1236" s="10" t="s">
        <v>2560</v>
      </c>
      <c r="D1236" s="62">
        <v>64</v>
      </c>
      <c r="E1236" s="61" t="s">
        <v>2561</v>
      </c>
      <c r="F1236" s="9" t="s">
        <v>502</v>
      </c>
      <c r="G1236" s="10" t="s">
        <v>160</v>
      </c>
      <c r="H1236" s="10" t="s">
        <v>2431</v>
      </c>
      <c r="I1236" s="62">
        <v>104</v>
      </c>
      <c r="J1236" s="8" t="s">
        <v>2372</v>
      </c>
      <c r="K1236" s="10" t="s">
        <v>2374</v>
      </c>
      <c r="L1236" s="10" t="s">
        <v>2229</v>
      </c>
      <c r="M1236" s="10" t="s">
        <v>2372</v>
      </c>
      <c r="N1236" s="10" t="s">
        <v>2373</v>
      </c>
      <c r="O1236" s="10"/>
    </row>
    <row r="1237" spans="1:15" ht="18" customHeight="1" x14ac:dyDescent="0.3">
      <c r="A1237" s="24">
        <v>1236</v>
      </c>
      <c r="B1237" s="10" t="s">
        <v>2554</v>
      </c>
      <c r="C1237" s="10" t="s">
        <v>2560</v>
      </c>
      <c r="D1237" s="62">
        <v>64</v>
      </c>
      <c r="E1237" s="61" t="s">
        <v>2561</v>
      </c>
      <c r="F1237" s="9" t="s">
        <v>502</v>
      </c>
      <c r="G1237" s="10" t="s">
        <v>160</v>
      </c>
      <c r="H1237" s="10" t="s">
        <v>2383</v>
      </c>
      <c r="I1237" s="62">
        <v>129</v>
      </c>
      <c r="J1237" s="8" t="s">
        <v>2372</v>
      </c>
      <c r="K1237" s="10" t="s">
        <v>2374</v>
      </c>
      <c r="L1237" s="10" t="s">
        <v>2229</v>
      </c>
      <c r="M1237" s="10" t="s">
        <v>2372</v>
      </c>
      <c r="N1237" s="10" t="s">
        <v>2373</v>
      </c>
      <c r="O1237" s="10"/>
    </row>
    <row r="1238" spans="1:15" ht="18" customHeight="1" x14ac:dyDescent="0.3">
      <c r="A1238" s="24">
        <v>1237</v>
      </c>
      <c r="B1238" s="10" t="s">
        <v>74</v>
      </c>
      <c r="C1238" s="10" t="s">
        <v>47</v>
      </c>
      <c r="D1238" s="62">
        <v>64</v>
      </c>
      <c r="E1238" s="61" t="s">
        <v>284</v>
      </c>
      <c r="F1238" s="19" t="s">
        <v>507</v>
      </c>
      <c r="G1238" s="10" t="s">
        <v>160</v>
      </c>
      <c r="H1238" s="10" t="s">
        <v>845</v>
      </c>
      <c r="I1238" s="62">
        <v>122</v>
      </c>
      <c r="J1238" s="10" t="s">
        <v>2372</v>
      </c>
      <c r="K1238" s="10" t="s">
        <v>847</v>
      </c>
      <c r="L1238" s="10" t="s">
        <v>2373</v>
      </c>
      <c r="M1238" s="10" t="s">
        <v>2372</v>
      </c>
      <c r="N1238" s="10" t="s">
        <v>2373</v>
      </c>
      <c r="O1238" s="10"/>
    </row>
    <row r="1239" spans="1:15" ht="18" customHeight="1" x14ac:dyDescent="0.3">
      <c r="A1239" s="24">
        <v>1238</v>
      </c>
      <c r="B1239" s="10" t="s">
        <v>74</v>
      </c>
      <c r="C1239" s="10" t="s">
        <v>47</v>
      </c>
      <c r="D1239" s="62">
        <v>64</v>
      </c>
      <c r="E1239" s="61" t="s">
        <v>284</v>
      </c>
      <c r="F1239" s="19" t="s">
        <v>507</v>
      </c>
      <c r="G1239" s="10" t="s">
        <v>160</v>
      </c>
      <c r="H1239" s="10" t="s">
        <v>848</v>
      </c>
      <c r="I1239" s="62">
        <v>122</v>
      </c>
      <c r="J1239" s="10" t="s">
        <v>2372</v>
      </c>
      <c r="K1239" s="10" t="s">
        <v>847</v>
      </c>
      <c r="L1239" s="10" t="s">
        <v>2373</v>
      </c>
      <c r="M1239" s="10" t="s">
        <v>2372</v>
      </c>
      <c r="N1239" s="10" t="s">
        <v>2373</v>
      </c>
      <c r="O1239" s="10"/>
    </row>
    <row r="1240" spans="1:15" ht="18" customHeight="1" x14ac:dyDescent="0.3">
      <c r="A1240" s="24">
        <v>1239</v>
      </c>
      <c r="B1240" s="10" t="s">
        <v>74</v>
      </c>
      <c r="C1240" s="10" t="s">
        <v>47</v>
      </c>
      <c r="D1240" s="62">
        <v>64</v>
      </c>
      <c r="E1240" s="61" t="s">
        <v>284</v>
      </c>
      <c r="F1240" s="19" t="s">
        <v>507</v>
      </c>
      <c r="G1240" s="10" t="s">
        <v>160</v>
      </c>
      <c r="H1240" s="10" t="s">
        <v>849</v>
      </c>
      <c r="I1240" s="62">
        <v>122</v>
      </c>
      <c r="J1240" s="10" t="s">
        <v>2372</v>
      </c>
      <c r="K1240" s="10" t="s">
        <v>847</v>
      </c>
      <c r="L1240" s="10" t="s">
        <v>2373</v>
      </c>
      <c r="M1240" s="10" t="s">
        <v>2372</v>
      </c>
      <c r="N1240" s="10" t="s">
        <v>2373</v>
      </c>
      <c r="O1240" s="10"/>
    </row>
    <row r="1241" spans="1:15" ht="18" customHeight="1" x14ac:dyDescent="0.3">
      <c r="A1241" s="24">
        <v>1240</v>
      </c>
      <c r="B1241" s="10" t="s">
        <v>74</v>
      </c>
      <c r="C1241" s="10" t="s">
        <v>47</v>
      </c>
      <c r="D1241" s="62">
        <v>64</v>
      </c>
      <c r="E1241" s="61" t="s">
        <v>284</v>
      </c>
      <c r="F1241" s="19" t="s">
        <v>507</v>
      </c>
      <c r="G1241" s="10" t="s">
        <v>160</v>
      </c>
      <c r="H1241" s="10" t="s">
        <v>850</v>
      </c>
      <c r="I1241" s="62">
        <v>177</v>
      </c>
      <c r="J1241" s="10" t="s">
        <v>2374</v>
      </c>
      <c r="K1241" s="10" t="s">
        <v>847</v>
      </c>
      <c r="L1241" s="10" t="s">
        <v>2373</v>
      </c>
      <c r="M1241" s="10" t="s">
        <v>2372</v>
      </c>
      <c r="N1241" s="10" t="s">
        <v>2373</v>
      </c>
      <c r="O1241" s="10"/>
    </row>
    <row r="1242" spans="1:15" ht="18" customHeight="1" x14ac:dyDescent="0.3">
      <c r="A1242" s="24">
        <v>1241</v>
      </c>
      <c r="B1242" s="10" t="s">
        <v>74</v>
      </c>
      <c r="C1242" s="10" t="s">
        <v>47</v>
      </c>
      <c r="D1242" s="62">
        <v>64</v>
      </c>
      <c r="E1242" s="61" t="s">
        <v>284</v>
      </c>
      <c r="F1242" s="19" t="s">
        <v>507</v>
      </c>
      <c r="G1242" s="10" t="s">
        <v>160</v>
      </c>
      <c r="H1242" s="10" t="s">
        <v>851</v>
      </c>
      <c r="I1242" s="62">
        <v>122</v>
      </c>
      <c r="J1242" s="10" t="s">
        <v>2372</v>
      </c>
      <c r="K1242" s="10" t="s">
        <v>847</v>
      </c>
      <c r="L1242" s="10" t="s">
        <v>2373</v>
      </c>
      <c r="M1242" s="10" t="s">
        <v>2372</v>
      </c>
      <c r="N1242" s="10" t="s">
        <v>2373</v>
      </c>
      <c r="O1242" s="10"/>
    </row>
    <row r="1243" spans="1:15" ht="18" customHeight="1" x14ac:dyDescent="0.3">
      <c r="A1243" s="24">
        <v>1242</v>
      </c>
      <c r="B1243" s="10" t="s">
        <v>74</v>
      </c>
      <c r="C1243" s="10" t="s">
        <v>47</v>
      </c>
      <c r="D1243" s="62">
        <v>64</v>
      </c>
      <c r="E1243" s="61" t="s">
        <v>284</v>
      </c>
      <c r="F1243" s="19" t="s">
        <v>507</v>
      </c>
      <c r="G1243" s="10" t="s">
        <v>160</v>
      </c>
      <c r="H1243" s="10" t="s">
        <v>852</v>
      </c>
      <c r="I1243" s="62">
        <v>122</v>
      </c>
      <c r="J1243" s="10" t="s">
        <v>2372</v>
      </c>
      <c r="K1243" s="10" t="s">
        <v>847</v>
      </c>
      <c r="L1243" s="10" t="s">
        <v>2373</v>
      </c>
      <c r="M1243" s="10" t="s">
        <v>2372</v>
      </c>
      <c r="N1243" s="10" t="s">
        <v>2373</v>
      </c>
      <c r="O1243" s="10"/>
    </row>
    <row r="1244" spans="1:15" ht="18" customHeight="1" x14ac:dyDescent="0.3">
      <c r="A1244" s="24">
        <v>1243</v>
      </c>
      <c r="B1244" s="10" t="s">
        <v>74</v>
      </c>
      <c r="C1244" s="10" t="s">
        <v>47</v>
      </c>
      <c r="D1244" s="62">
        <v>64</v>
      </c>
      <c r="E1244" s="61" t="s">
        <v>284</v>
      </c>
      <c r="F1244" s="19" t="s">
        <v>507</v>
      </c>
      <c r="G1244" s="10" t="s">
        <v>160</v>
      </c>
      <c r="H1244" s="10" t="s">
        <v>853</v>
      </c>
      <c r="I1244" s="62">
        <v>122</v>
      </c>
      <c r="J1244" s="10" t="s">
        <v>2372</v>
      </c>
      <c r="K1244" s="10" t="s">
        <v>847</v>
      </c>
      <c r="L1244" s="10" t="s">
        <v>2373</v>
      </c>
      <c r="M1244" s="10" t="s">
        <v>2372</v>
      </c>
      <c r="N1244" s="10" t="s">
        <v>2373</v>
      </c>
      <c r="O1244" s="10"/>
    </row>
    <row r="1245" spans="1:15" ht="18" customHeight="1" x14ac:dyDescent="0.3">
      <c r="A1245" s="24">
        <v>1244</v>
      </c>
      <c r="B1245" s="10" t="s">
        <v>74</v>
      </c>
      <c r="C1245" s="10" t="s">
        <v>47</v>
      </c>
      <c r="D1245" s="62">
        <v>64</v>
      </c>
      <c r="E1245" s="61" t="s">
        <v>284</v>
      </c>
      <c r="F1245" s="19" t="s">
        <v>507</v>
      </c>
      <c r="G1245" s="10" t="s">
        <v>160</v>
      </c>
      <c r="H1245" s="10" t="s">
        <v>854</v>
      </c>
      <c r="I1245" s="62">
        <v>122</v>
      </c>
      <c r="J1245" s="10" t="s">
        <v>2372</v>
      </c>
      <c r="K1245" s="10" t="s">
        <v>847</v>
      </c>
      <c r="L1245" s="10" t="s">
        <v>2373</v>
      </c>
      <c r="M1245" s="10" t="s">
        <v>2372</v>
      </c>
      <c r="N1245" s="10" t="s">
        <v>2373</v>
      </c>
      <c r="O1245" s="10"/>
    </row>
    <row r="1246" spans="1:15" ht="18" customHeight="1" x14ac:dyDescent="0.3">
      <c r="A1246" s="24">
        <v>1245</v>
      </c>
      <c r="B1246" s="10" t="s">
        <v>74</v>
      </c>
      <c r="C1246" s="10" t="s">
        <v>47</v>
      </c>
      <c r="D1246" s="62">
        <v>64</v>
      </c>
      <c r="E1246" s="61" t="s">
        <v>284</v>
      </c>
      <c r="F1246" s="19" t="s">
        <v>507</v>
      </c>
      <c r="G1246" s="10" t="s">
        <v>160</v>
      </c>
      <c r="H1246" s="10" t="s">
        <v>855</v>
      </c>
      <c r="I1246" s="62">
        <v>126</v>
      </c>
      <c r="J1246" s="10" t="s">
        <v>2374</v>
      </c>
      <c r="K1246" s="10" t="s">
        <v>847</v>
      </c>
      <c r="L1246" s="10" t="s">
        <v>2373</v>
      </c>
      <c r="M1246" s="10" t="s">
        <v>2372</v>
      </c>
      <c r="N1246" s="10" t="s">
        <v>2373</v>
      </c>
      <c r="O1246" s="10"/>
    </row>
    <row r="1247" spans="1:15" ht="18" customHeight="1" x14ac:dyDescent="0.3">
      <c r="A1247" s="24">
        <v>1246</v>
      </c>
      <c r="B1247" s="10" t="s">
        <v>74</v>
      </c>
      <c r="C1247" s="10" t="s">
        <v>47</v>
      </c>
      <c r="D1247" s="62">
        <v>64</v>
      </c>
      <c r="E1247" s="61" t="s">
        <v>2850</v>
      </c>
      <c r="F1247" s="11" t="s">
        <v>501</v>
      </c>
      <c r="G1247" s="10" t="s">
        <v>150</v>
      </c>
      <c r="H1247" s="10" t="s">
        <v>845</v>
      </c>
      <c r="I1247" s="62">
        <v>136</v>
      </c>
      <c r="J1247" s="10" t="s">
        <v>2372</v>
      </c>
      <c r="K1247" s="10" t="s">
        <v>847</v>
      </c>
      <c r="L1247" s="10" t="s">
        <v>2373</v>
      </c>
      <c r="M1247" s="10" t="s">
        <v>2372</v>
      </c>
      <c r="N1247" s="10" t="s">
        <v>2373</v>
      </c>
      <c r="O1247" s="10"/>
    </row>
    <row r="1248" spans="1:15" ht="18" customHeight="1" x14ac:dyDescent="0.3">
      <c r="A1248" s="24">
        <v>1247</v>
      </c>
      <c r="B1248" s="10" t="s">
        <v>74</v>
      </c>
      <c r="C1248" s="10" t="s">
        <v>47</v>
      </c>
      <c r="D1248" s="62">
        <v>64</v>
      </c>
      <c r="E1248" s="61" t="s">
        <v>2850</v>
      </c>
      <c r="F1248" s="11" t="s">
        <v>501</v>
      </c>
      <c r="G1248" s="10" t="s">
        <v>150</v>
      </c>
      <c r="H1248" s="10" t="s">
        <v>848</v>
      </c>
      <c r="I1248" s="62">
        <v>118</v>
      </c>
      <c r="J1248" s="10" t="s">
        <v>2372</v>
      </c>
      <c r="K1248" s="10" t="s">
        <v>847</v>
      </c>
      <c r="L1248" s="10" t="s">
        <v>2373</v>
      </c>
      <c r="M1248" s="10" t="s">
        <v>2372</v>
      </c>
      <c r="N1248" s="10" t="s">
        <v>2373</v>
      </c>
      <c r="O1248" s="10"/>
    </row>
    <row r="1249" spans="1:15" ht="18" customHeight="1" x14ac:dyDescent="0.3">
      <c r="A1249" s="24">
        <v>1248</v>
      </c>
      <c r="B1249" s="10" t="s">
        <v>74</v>
      </c>
      <c r="C1249" s="10" t="s">
        <v>47</v>
      </c>
      <c r="D1249" s="62">
        <v>64</v>
      </c>
      <c r="E1249" s="61" t="s">
        <v>2850</v>
      </c>
      <c r="F1249" s="11" t="s">
        <v>501</v>
      </c>
      <c r="G1249" s="10" t="s">
        <v>150</v>
      </c>
      <c r="H1249" s="10" t="s">
        <v>849</v>
      </c>
      <c r="I1249" s="62">
        <v>157</v>
      </c>
      <c r="J1249" s="10" t="s">
        <v>2374</v>
      </c>
      <c r="K1249" s="10" t="s">
        <v>847</v>
      </c>
      <c r="L1249" s="10" t="s">
        <v>2373</v>
      </c>
      <c r="M1249" s="10" t="s">
        <v>2372</v>
      </c>
      <c r="N1249" s="10" t="s">
        <v>2373</v>
      </c>
      <c r="O1249" s="10"/>
    </row>
    <row r="1250" spans="1:15" ht="18" customHeight="1" x14ac:dyDescent="0.3">
      <c r="A1250" s="24">
        <v>1249</v>
      </c>
      <c r="B1250" s="10" t="s">
        <v>74</v>
      </c>
      <c r="C1250" s="10" t="s">
        <v>47</v>
      </c>
      <c r="D1250" s="62">
        <v>64</v>
      </c>
      <c r="E1250" s="61" t="s">
        <v>2850</v>
      </c>
      <c r="F1250" s="11" t="s">
        <v>501</v>
      </c>
      <c r="G1250" s="10" t="s">
        <v>150</v>
      </c>
      <c r="H1250" s="10" t="s">
        <v>850</v>
      </c>
      <c r="I1250" s="62">
        <v>174</v>
      </c>
      <c r="J1250" s="10" t="s">
        <v>2374</v>
      </c>
      <c r="K1250" s="10" t="s">
        <v>847</v>
      </c>
      <c r="L1250" s="10" t="s">
        <v>2373</v>
      </c>
      <c r="M1250" s="10" t="s">
        <v>2372</v>
      </c>
      <c r="N1250" s="10" t="s">
        <v>2373</v>
      </c>
      <c r="O1250" s="10"/>
    </row>
    <row r="1251" spans="1:15" ht="18" customHeight="1" x14ac:dyDescent="0.3">
      <c r="A1251" s="24">
        <v>1250</v>
      </c>
      <c r="B1251" s="10" t="s">
        <v>74</v>
      </c>
      <c r="C1251" s="10" t="s">
        <v>47</v>
      </c>
      <c r="D1251" s="62">
        <v>64</v>
      </c>
      <c r="E1251" s="61" t="s">
        <v>2850</v>
      </c>
      <c r="F1251" s="11" t="s">
        <v>501</v>
      </c>
      <c r="G1251" s="10" t="s">
        <v>150</v>
      </c>
      <c r="H1251" s="10" t="s">
        <v>851</v>
      </c>
      <c r="I1251" s="62">
        <v>113</v>
      </c>
      <c r="J1251" s="10" t="s">
        <v>2372</v>
      </c>
      <c r="K1251" s="10" t="s">
        <v>847</v>
      </c>
      <c r="L1251" s="10" t="s">
        <v>2373</v>
      </c>
      <c r="M1251" s="10" t="s">
        <v>2372</v>
      </c>
      <c r="N1251" s="10" t="s">
        <v>2373</v>
      </c>
      <c r="O1251" s="10"/>
    </row>
    <row r="1252" spans="1:15" ht="18" customHeight="1" x14ac:dyDescent="0.3">
      <c r="A1252" s="24">
        <v>1251</v>
      </c>
      <c r="B1252" s="10" t="s">
        <v>74</v>
      </c>
      <c r="C1252" s="10" t="s">
        <v>47</v>
      </c>
      <c r="D1252" s="62">
        <v>64</v>
      </c>
      <c r="E1252" s="61" t="s">
        <v>2850</v>
      </c>
      <c r="F1252" s="11" t="s">
        <v>501</v>
      </c>
      <c r="G1252" s="10" t="s">
        <v>150</v>
      </c>
      <c r="H1252" s="10" t="s">
        <v>852</v>
      </c>
      <c r="I1252" s="62">
        <v>137</v>
      </c>
      <c r="J1252" s="10" t="s">
        <v>2374</v>
      </c>
      <c r="K1252" s="10" t="s">
        <v>847</v>
      </c>
      <c r="L1252" s="10" t="s">
        <v>2373</v>
      </c>
      <c r="M1252" s="10" t="s">
        <v>2372</v>
      </c>
      <c r="N1252" s="10" t="s">
        <v>2373</v>
      </c>
      <c r="O1252" s="10"/>
    </row>
    <row r="1253" spans="1:15" ht="18" customHeight="1" x14ac:dyDescent="0.3">
      <c r="A1253" s="24">
        <v>1252</v>
      </c>
      <c r="B1253" s="10" t="s">
        <v>74</v>
      </c>
      <c r="C1253" s="10" t="s">
        <v>47</v>
      </c>
      <c r="D1253" s="62">
        <v>64</v>
      </c>
      <c r="E1253" s="61" t="s">
        <v>2851</v>
      </c>
      <c r="F1253" s="11" t="s">
        <v>500</v>
      </c>
      <c r="G1253" s="10" t="s">
        <v>150</v>
      </c>
      <c r="H1253" s="10" t="s">
        <v>845</v>
      </c>
      <c r="I1253" s="62">
        <v>177</v>
      </c>
      <c r="J1253" s="10" t="s">
        <v>2372</v>
      </c>
      <c r="K1253" s="10" t="s">
        <v>847</v>
      </c>
      <c r="L1253" s="10" t="s">
        <v>2373</v>
      </c>
      <c r="M1253" s="10" t="s">
        <v>2372</v>
      </c>
      <c r="N1253" s="10" t="s">
        <v>2373</v>
      </c>
      <c r="O1253" s="10"/>
    </row>
    <row r="1254" spans="1:15" ht="18" customHeight="1" x14ac:dyDescent="0.3">
      <c r="A1254" s="24">
        <v>1253</v>
      </c>
      <c r="B1254" s="10" t="s">
        <v>74</v>
      </c>
      <c r="C1254" s="10" t="s">
        <v>47</v>
      </c>
      <c r="D1254" s="62">
        <v>64</v>
      </c>
      <c r="E1254" s="61" t="s">
        <v>2851</v>
      </c>
      <c r="F1254" s="11" t="s">
        <v>500</v>
      </c>
      <c r="G1254" s="10" t="s">
        <v>150</v>
      </c>
      <c r="H1254" s="10" t="s">
        <v>848</v>
      </c>
      <c r="I1254" s="62">
        <v>122</v>
      </c>
      <c r="J1254" s="10" t="s">
        <v>2372</v>
      </c>
      <c r="K1254" s="10" t="s">
        <v>847</v>
      </c>
      <c r="L1254" s="10" t="s">
        <v>2373</v>
      </c>
      <c r="M1254" s="10" t="s">
        <v>2372</v>
      </c>
      <c r="N1254" s="10" t="s">
        <v>2373</v>
      </c>
      <c r="O1254" s="10"/>
    </row>
    <row r="1255" spans="1:15" ht="18" customHeight="1" x14ac:dyDescent="0.3">
      <c r="A1255" s="24">
        <v>1254</v>
      </c>
      <c r="B1255" s="10" t="s">
        <v>74</v>
      </c>
      <c r="C1255" s="10" t="s">
        <v>47</v>
      </c>
      <c r="D1255" s="62">
        <v>64</v>
      </c>
      <c r="E1255" s="61" t="s">
        <v>2851</v>
      </c>
      <c r="F1255" s="11" t="s">
        <v>500</v>
      </c>
      <c r="G1255" s="10" t="s">
        <v>150</v>
      </c>
      <c r="H1255" s="10" t="s">
        <v>849</v>
      </c>
      <c r="I1255" s="62">
        <v>122</v>
      </c>
      <c r="J1255" s="10" t="s">
        <v>2372</v>
      </c>
      <c r="K1255" s="10" t="s">
        <v>847</v>
      </c>
      <c r="L1255" s="10" t="s">
        <v>2373</v>
      </c>
      <c r="M1255" s="10" t="s">
        <v>2372</v>
      </c>
      <c r="N1255" s="10" t="s">
        <v>2373</v>
      </c>
      <c r="O1255" s="10"/>
    </row>
    <row r="1256" spans="1:15" ht="18" customHeight="1" x14ac:dyDescent="0.3">
      <c r="A1256" s="24">
        <v>1255</v>
      </c>
      <c r="B1256" s="10" t="s">
        <v>74</v>
      </c>
      <c r="C1256" s="10" t="s">
        <v>47</v>
      </c>
      <c r="D1256" s="62">
        <v>64</v>
      </c>
      <c r="E1256" s="61" t="s">
        <v>2851</v>
      </c>
      <c r="F1256" s="11" t="s">
        <v>500</v>
      </c>
      <c r="G1256" s="10" t="s">
        <v>150</v>
      </c>
      <c r="H1256" s="10" t="s">
        <v>851</v>
      </c>
      <c r="I1256" s="62">
        <v>177</v>
      </c>
      <c r="J1256" s="10" t="s">
        <v>2372</v>
      </c>
      <c r="K1256" s="10" t="s">
        <v>847</v>
      </c>
      <c r="L1256" s="10" t="s">
        <v>2373</v>
      </c>
      <c r="M1256" s="10" t="s">
        <v>2372</v>
      </c>
      <c r="N1256" s="10" t="s">
        <v>2373</v>
      </c>
      <c r="O1256" s="10"/>
    </row>
    <row r="1257" spans="1:15" ht="18" customHeight="1" x14ac:dyDescent="0.3">
      <c r="A1257" s="24">
        <v>1256</v>
      </c>
      <c r="B1257" s="10" t="s">
        <v>74</v>
      </c>
      <c r="C1257" s="10" t="s">
        <v>47</v>
      </c>
      <c r="D1257" s="62">
        <v>64</v>
      </c>
      <c r="E1257" s="61" t="s">
        <v>2851</v>
      </c>
      <c r="F1257" s="11" t="s">
        <v>500</v>
      </c>
      <c r="G1257" s="10" t="s">
        <v>150</v>
      </c>
      <c r="H1257" s="10" t="s">
        <v>852</v>
      </c>
      <c r="I1257" s="62">
        <v>108</v>
      </c>
      <c r="J1257" s="10" t="s">
        <v>2374</v>
      </c>
      <c r="K1257" s="10" t="s">
        <v>847</v>
      </c>
      <c r="L1257" s="10" t="s">
        <v>2373</v>
      </c>
      <c r="M1257" s="10" t="s">
        <v>2372</v>
      </c>
      <c r="N1257" s="10" t="s">
        <v>2373</v>
      </c>
      <c r="O1257" s="10"/>
    </row>
    <row r="1258" spans="1:15" ht="18" customHeight="1" x14ac:dyDescent="0.3">
      <c r="A1258" s="24">
        <v>1257</v>
      </c>
      <c r="B1258" s="10" t="s">
        <v>74</v>
      </c>
      <c r="C1258" s="10" t="s">
        <v>47</v>
      </c>
      <c r="D1258" s="62">
        <v>64</v>
      </c>
      <c r="E1258" s="61" t="s">
        <v>2851</v>
      </c>
      <c r="F1258" s="11" t="s">
        <v>500</v>
      </c>
      <c r="G1258" s="10" t="s">
        <v>150</v>
      </c>
      <c r="H1258" s="10" t="s">
        <v>853</v>
      </c>
      <c r="I1258" s="62">
        <v>122</v>
      </c>
      <c r="J1258" s="10" t="s">
        <v>2372</v>
      </c>
      <c r="K1258" s="10" t="s">
        <v>847</v>
      </c>
      <c r="L1258" s="10" t="s">
        <v>2373</v>
      </c>
      <c r="M1258" s="10" t="s">
        <v>2372</v>
      </c>
      <c r="N1258" s="10" t="s">
        <v>2373</v>
      </c>
      <c r="O1258" s="10"/>
    </row>
    <row r="1259" spans="1:15" ht="18" customHeight="1" x14ac:dyDescent="0.3">
      <c r="A1259" s="24">
        <v>1258</v>
      </c>
      <c r="B1259" s="10" t="s">
        <v>74</v>
      </c>
      <c r="C1259" s="10" t="s">
        <v>47</v>
      </c>
      <c r="D1259" s="62">
        <v>64</v>
      </c>
      <c r="E1259" s="61" t="s">
        <v>2851</v>
      </c>
      <c r="F1259" s="11" t="s">
        <v>500</v>
      </c>
      <c r="G1259" s="10" t="s">
        <v>150</v>
      </c>
      <c r="H1259" s="10" t="s">
        <v>854</v>
      </c>
      <c r="I1259" s="62">
        <v>122</v>
      </c>
      <c r="J1259" s="10" t="s">
        <v>2372</v>
      </c>
      <c r="K1259" s="10" t="s">
        <v>847</v>
      </c>
      <c r="L1259" s="10" t="s">
        <v>2373</v>
      </c>
      <c r="M1259" s="10" t="s">
        <v>2372</v>
      </c>
      <c r="N1259" s="10" t="s">
        <v>2373</v>
      </c>
      <c r="O1259" s="10"/>
    </row>
    <row r="1260" spans="1:15" ht="18" customHeight="1" x14ac:dyDescent="0.3">
      <c r="A1260" s="24">
        <v>1259</v>
      </c>
      <c r="B1260" s="10" t="s">
        <v>74</v>
      </c>
      <c r="C1260" s="10" t="s">
        <v>47</v>
      </c>
      <c r="D1260" s="62">
        <v>64</v>
      </c>
      <c r="E1260" s="61" t="s">
        <v>2851</v>
      </c>
      <c r="F1260" s="11" t="s">
        <v>500</v>
      </c>
      <c r="G1260" s="10" t="s">
        <v>150</v>
      </c>
      <c r="H1260" s="10" t="s">
        <v>855</v>
      </c>
      <c r="I1260" s="62">
        <v>149</v>
      </c>
      <c r="J1260" s="10" t="s">
        <v>2374</v>
      </c>
      <c r="K1260" s="10" t="s">
        <v>847</v>
      </c>
      <c r="L1260" s="10" t="s">
        <v>2373</v>
      </c>
      <c r="M1260" s="10" t="s">
        <v>2372</v>
      </c>
      <c r="N1260" s="10" t="s">
        <v>2373</v>
      </c>
      <c r="O1260" s="10"/>
    </row>
    <row r="1261" spans="1:15" ht="18" customHeight="1" x14ac:dyDescent="0.3">
      <c r="A1261" s="24">
        <v>1260</v>
      </c>
      <c r="B1261" s="10" t="s">
        <v>74</v>
      </c>
      <c r="C1261" s="10" t="s">
        <v>47</v>
      </c>
      <c r="D1261" s="62">
        <v>64</v>
      </c>
      <c r="E1261" s="61" t="s">
        <v>2851</v>
      </c>
      <c r="F1261" s="11" t="s">
        <v>1111</v>
      </c>
      <c r="G1261" s="10" t="s">
        <v>150</v>
      </c>
      <c r="H1261" s="10" t="s">
        <v>850</v>
      </c>
      <c r="I1261" s="62">
        <v>120</v>
      </c>
      <c r="J1261" s="10" t="s">
        <v>2374</v>
      </c>
      <c r="K1261" s="10" t="s">
        <v>846</v>
      </c>
      <c r="L1261" s="10" t="s">
        <v>188</v>
      </c>
      <c r="M1261" s="10" t="s">
        <v>2372</v>
      </c>
      <c r="N1261" s="10" t="s">
        <v>2373</v>
      </c>
      <c r="O1261" s="10"/>
    </row>
    <row r="1262" spans="1:15" ht="18" customHeight="1" x14ac:dyDescent="0.3">
      <c r="A1262" s="24">
        <v>1261</v>
      </c>
      <c r="B1262" s="10" t="s">
        <v>74</v>
      </c>
      <c r="C1262" s="10" t="s">
        <v>47</v>
      </c>
      <c r="D1262" s="62">
        <v>64</v>
      </c>
      <c r="E1262" s="61" t="s">
        <v>232</v>
      </c>
      <c r="F1262" s="9" t="s">
        <v>503</v>
      </c>
      <c r="G1262" s="10" t="s">
        <v>150</v>
      </c>
      <c r="H1262" s="10" t="s">
        <v>845</v>
      </c>
      <c r="I1262" s="62">
        <v>224</v>
      </c>
      <c r="J1262" s="8" t="s">
        <v>2372</v>
      </c>
      <c r="K1262" s="10" t="s">
        <v>847</v>
      </c>
      <c r="L1262" s="10" t="s">
        <v>2373</v>
      </c>
      <c r="M1262" s="10" t="s">
        <v>2372</v>
      </c>
      <c r="N1262" s="10" t="s">
        <v>2373</v>
      </c>
      <c r="O1262" s="10"/>
    </row>
    <row r="1263" spans="1:15" ht="18" customHeight="1" x14ac:dyDescent="0.3">
      <c r="A1263" s="24">
        <v>1262</v>
      </c>
      <c r="B1263" s="10" t="s">
        <v>74</v>
      </c>
      <c r="C1263" s="10" t="s">
        <v>47</v>
      </c>
      <c r="D1263" s="62">
        <v>64</v>
      </c>
      <c r="E1263" s="61" t="s">
        <v>232</v>
      </c>
      <c r="F1263" s="9" t="s">
        <v>503</v>
      </c>
      <c r="G1263" s="10" t="s">
        <v>150</v>
      </c>
      <c r="H1263" s="10" t="s">
        <v>848</v>
      </c>
      <c r="I1263" s="62">
        <v>224</v>
      </c>
      <c r="J1263" s="8" t="s">
        <v>846</v>
      </c>
      <c r="K1263" s="10" t="s">
        <v>847</v>
      </c>
      <c r="L1263" s="10" t="s">
        <v>2373</v>
      </c>
      <c r="M1263" s="10" t="s">
        <v>2372</v>
      </c>
      <c r="N1263" s="10" t="s">
        <v>2373</v>
      </c>
      <c r="O1263" s="10"/>
    </row>
    <row r="1264" spans="1:15" ht="18" customHeight="1" x14ac:dyDescent="0.3">
      <c r="A1264" s="24">
        <v>1263</v>
      </c>
      <c r="B1264" s="10" t="s">
        <v>74</v>
      </c>
      <c r="C1264" s="10" t="s">
        <v>47</v>
      </c>
      <c r="D1264" s="62">
        <v>64</v>
      </c>
      <c r="E1264" s="61" t="s">
        <v>232</v>
      </c>
      <c r="F1264" s="9" t="s">
        <v>503</v>
      </c>
      <c r="G1264" s="10" t="s">
        <v>150</v>
      </c>
      <c r="H1264" s="10" t="s">
        <v>849</v>
      </c>
      <c r="I1264" s="62">
        <v>144</v>
      </c>
      <c r="J1264" s="8" t="s">
        <v>2372</v>
      </c>
      <c r="K1264" s="10" t="s">
        <v>847</v>
      </c>
      <c r="L1264" s="10" t="s">
        <v>2373</v>
      </c>
      <c r="M1264" s="10" t="s">
        <v>2372</v>
      </c>
      <c r="N1264" s="10" t="s">
        <v>2373</v>
      </c>
      <c r="O1264" s="10"/>
    </row>
    <row r="1265" spans="1:15" ht="18" customHeight="1" x14ac:dyDescent="0.3">
      <c r="A1265" s="24">
        <v>1264</v>
      </c>
      <c r="B1265" s="10" t="s">
        <v>74</v>
      </c>
      <c r="C1265" s="10" t="s">
        <v>47</v>
      </c>
      <c r="D1265" s="62">
        <v>64</v>
      </c>
      <c r="E1265" s="61" t="s">
        <v>232</v>
      </c>
      <c r="F1265" s="9" t="s">
        <v>503</v>
      </c>
      <c r="G1265" s="10" t="s">
        <v>150</v>
      </c>
      <c r="H1265" s="10" t="s">
        <v>850</v>
      </c>
      <c r="I1265" s="62">
        <v>174</v>
      </c>
      <c r="J1265" s="8" t="s">
        <v>846</v>
      </c>
      <c r="K1265" s="10" t="s">
        <v>847</v>
      </c>
      <c r="L1265" s="10" t="s">
        <v>2373</v>
      </c>
      <c r="M1265" s="10" t="s">
        <v>2372</v>
      </c>
      <c r="N1265" s="10" t="s">
        <v>2373</v>
      </c>
      <c r="O1265" s="10"/>
    </row>
    <row r="1266" spans="1:15" ht="18" customHeight="1" x14ac:dyDescent="0.3">
      <c r="A1266" s="24">
        <v>1265</v>
      </c>
      <c r="B1266" s="10" t="s">
        <v>74</v>
      </c>
      <c r="C1266" s="10" t="s">
        <v>47</v>
      </c>
      <c r="D1266" s="62">
        <v>64</v>
      </c>
      <c r="E1266" s="61" t="s">
        <v>232</v>
      </c>
      <c r="F1266" s="9" t="s">
        <v>503</v>
      </c>
      <c r="G1266" s="10" t="s">
        <v>150</v>
      </c>
      <c r="H1266" s="10" t="s">
        <v>851</v>
      </c>
      <c r="I1266" s="62">
        <v>384</v>
      </c>
      <c r="J1266" s="8" t="s">
        <v>846</v>
      </c>
      <c r="K1266" s="10" t="s">
        <v>847</v>
      </c>
      <c r="L1266" s="10" t="s">
        <v>2373</v>
      </c>
      <c r="M1266" s="10" t="s">
        <v>2372</v>
      </c>
      <c r="N1266" s="10" t="s">
        <v>2373</v>
      </c>
      <c r="O1266" s="10" t="s">
        <v>2562</v>
      </c>
    </row>
    <row r="1267" spans="1:15" ht="18" customHeight="1" x14ac:dyDescent="0.3">
      <c r="A1267" s="24">
        <v>1266</v>
      </c>
      <c r="B1267" s="10" t="s">
        <v>74</v>
      </c>
      <c r="C1267" s="10" t="s">
        <v>47</v>
      </c>
      <c r="D1267" s="62">
        <v>64</v>
      </c>
      <c r="E1267" s="61" t="s">
        <v>232</v>
      </c>
      <c r="F1267" s="9" t="s">
        <v>503</v>
      </c>
      <c r="G1267" s="10" t="s">
        <v>150</v>
      </c>
      <c r="H1267" s="10" t="s">
        <v>853</v>
      </c>
      <c r="I1267" s="62">
        <v>142</v>
      </c>
      <c r="J1267" s="8" t="s">
        <v>2372</v>
      </c>
      <c r="K1267" s="10" t="s">
        <v>847</v>
      </c>
      <c r="L1267" s="10" t="s">
        <v>2373</v>
      </c>
      <c r="M1267" s="10" t="s">
        <v>2372</v>
      </c>
      <c r="N1267" s="10" t="s">
        <v>2373</v>
      </c>
      <c r="O1267" s="10"/>
    </row>
    <row r="1268" spans="1:15" ht="18" customHeight="1" x14ac:dyDescent="0.3">
      <c r="A1268" s="24">
        <v>1267</v>
      </c>
      <c r="B1268" s="10" t="s">
        <v>74</v>
      </c>
      <c r="C1268" s="10" t="s">
        <v>47</v>
      </c>
      <c r="D1268" s="62">
        <v>64</v>
      </c>
      <c r="E1268" s="61" t="s">
        <v>232</v>
      </c>
      <c r="F1268" s="9" t="s">
        <v>1112</v>
      </c>
      <c r="G1268" s="10" t="s">
        <v>150</v>
      </c>
      <c r="H1268" s="10" t="s">
        <v>852</v>
      </c>
      <c r="I1268" s="62">
        <v>105</v>
      </c>
      <c r="J1268" s="8" t="s">
        <v>846</v>
      </c>
      <c r="K1268" s="10" t="s">
        <v>2374</v>
      </c>
      <c r="L1268" s="10" t="s">
        <v>1302</v>
      </c>
      <c r="M1268" s="10" t="s">
        <v>2372</v>
      </c>
      <c r="N1268" s="10" t="s">
        <v>2373</v>
      </c>
      <c r="O1268" s="10"/>
    </row>
    <row r="1269" spans="1:15" ht="18" customHeight="1" x14ac:dyDescent="0.3">
      <c r="A1269" s="24">
        <v>1268</v>
      </c>
      <c r="B1269" s="10" t="s">
        <v>74</v>
      </c>
      <c r="C1269" s="10" t="s">
        <v>47</v>
      </c>
      <c r="D1269" s="62">
        <v>64</v>
      </c>
      <c r="E1269" s="61" t="s">
        <v>2563</v>
      </c>
      <c r="F1269" s="19" t="s">
        <v>1113</v>
      </c>
      <c r="G1269" s="10" t="s">
        <v>160</v>
      </c>
      <c r="H1269" s="10" t="s">
        <v>845</v>
      </c>
      <c r="I1269" s="62">
        <v>120</v>
      </c>
      <c r="J1269" s="10" t="s">
        <v>2372</v>
      </c>
      <c r="K1269" s="10" t="s">
        <v>2374</v>
      </c>
      <c r="L1269" s="10" t="s">
        <v>1422</v>
      </c>
      <c r="M1269" s="10" t="s">
        <v>2372</v>
      </c>
      <c r="N1269" s="10" t="s">
        <v>2373</v>
      </c>
      <c r="O1269" s="10"/>
    </row>
    <row r="1270" spans="1:15" ht="18" customHeight="1" x14ac:dyDescent="0.3">
      <c r="A1270" s="24">
        <v>1269</v>
      </c>
      <c r="B1270" s="10" t="s">
        <v>74</v>
      </c>
      <c r="C1270" s="10" t="s">
        <v>47</v>
      </c>
      <c r="D1270" s="62">
        <v>64</v>
      </c>
      <c r="E1270" s="61" t="s">
        <v>2563</v>
      </c>
      <c r="F1270" s="19" t="s">
        <v>1113</v>
      </c>
      <c r="G1270" s="10" t="s">
        <v>160</v>
      </c>
      <c r="H1270" s="10" t="s">
        <v>848</v>
      </c>
      <c r="I1270" s="62">
        <v>121</v>
      </c>
      <c r="J1270" s="10" t="s">
        <v>2374</v>
      </c>
      <c r="K1270" s="10" t="s">
        <v>2374</v>
      </c>
      <c r="L1270" s="10" t="s">
        <v>1422</v>
      </c>
      <c r="M1270" s="10" t="s">
        <v>2372</v>
      </c>
      <c r="N1270" s="10" t="s">
        <v>2373</v>
      </c>
      <c r="O1270" s="10"/>
    </row>
    <row r="1271" spans="1:15" ht="18" customHeight="1" x14ac:dyDescent="0.3">
      <c r="A1271" s="24">
        <v>1270</v>
      </c>
      <c r="B1271" s="10" t="s">
        <v>74</v>
      </c>
      <c r="C1271" s="10" t="s">
        <v>47</v>
      </c>
      <c r="D1271" s="62">
        <v>64</v>
      </c>
      <c r="E1271" s="61" t="s">
        <v>2563</v>
      </c>
      <c r="F1271" s="19" t="s">
        <v>1113</v>
      </c>
      <c r="G1271" s="10" t="s">
        <v>160</v>
      </c>
      <c r="H1271" s="10" t="s">
        <v>849</v>
      </c>
      <c r="I1271" s="62">
        <v>121</v>
      </c>
      <c r="J1271" s="10" t="s">
        <v>2372</v>
      </c>
      <c r="K1271" s="10" t="s">
        <v>2374</v>
      </c>
      <c r="L1271" s="10" t="s">
        <v>1422</v>
      </c>
      <c r="M1271" s="10" t="s">
        <v>2372</v>
      </c>
      <c r="N1271" s="10" t="s">
        <v>2373</v>
      </c>
      <c r="O1271" s="10"/>
    </row>
    <row r="1272" spans="1:15" ht="18" customHeight="1" x14ac:dyDescent="0.3">
      <c r="A1272" s="24">
        <v>1271</v>
      </c>
      <c r="B1272" s="10" t="s">
        <v>74</v>
      </c>
      <c r="C1272" s="10" t="s">
        <v>47</v>
      </c>
      <c r="D1272" s="62">
        <v>64</v>
      </c>
      <c r="E1272" s="61" t="s">
        <v>2563</v>
      </c>
      <c r="F1272" s="19" t="s">
        <v>1113</v>
      </c>
      <c r="G1272" s="10" t="s">
        <v>160</v>
      </c>
      <c r="H1272" s="10" t="s">
        <v>850</v>
      </c>
      <c r="I1272" s="62">
        <v>74</v>
      </c>
      <c r="J1272" s="10" t="s">
        <v>2374</v>
      </c>
      <c r="K1272" s="10" t="s">
        <v>2374</v>
      </c>
      <c r="L1272" s="10" t="s">
        <v>1422</v>
      </c>
      <c r="M1272" s="10" t="s">
        <v>2372</v>
      </c>
      <c r="N1272" s="10" t="s">
        <v>2373</v>
      </c>
      <c r="O1272" s="10"/>
    </row>
    <row r="1273" spans="1:15" ht="18" customHeight="1" x14ac:dyDescent="0.3">
      <c r="A1273" s="24">
        <v>1272</v>
      </c>
      <c r="B1273" s="10" t="s">
        <v>74</v>
      </c>
      <c r="C1273" s="10" t="s">
        <v>47</v>
      </c>
      <c r="D1273" s="62">
        <v>64</v>
      </c>
      <c r="E1273" s="61" t="s">
        <v>2563</v>
      </c>
      <c r="F1273" s="19" t="s">
        <v>1113</v>
      </c>
      <c r="G1273" s="10" t="s">
        <v>160</v>
      </c>
      <c r="H1273" s="10" t="s">
        <v>851</v>
      </c>
      <c r="I1273" s="62">
        <v>77</v>
      </c>
      <c r="J1273" s="10" t="s">
        <v>2372</v>
      </c>
      <c r="K1273" s="10" t="s">
        <v>2374</v>
      </c>
      <c r="L1273" s="10" t="s">
        <v>1422</v>
      </c>
      <c r="M1273" s="10" t="s">
        <v>2372</v>
      </c>
      <c r="N1273" s="10" t="s">
        <v>2373</v>
      </c>
      <c r="O1273" s="10"/>
    </row>
    <row r="1274" spans="1:15" ht="18" customHeight="1" x14ac:dyDescent="0.3">
      <c r="A1274" s="24">
        <v>1273</v>
      </c>
      <c r="B1274" s="10" t="s">
        <v>74</v>
      </c>
      <c r="C1274" s="10" t="s">
        <v>47</v>
      </c>
      <c r="D1274" s="62">
        <v>64</v>
      </c>
      <c r="E1274" s="61" t="s">
        <v>2563</v>
      </c>
      <c r="F1274" s="19" t="s">
        <v>1113</v>
      </c>
      <c r="G1274" s="10" t="s">
        <v>160</v>
      </c>
      <c r="H1274" s="10" t="s">
        <v>852</v>
      </c>
      <c r="I1274" s="62">
        <v>77</v>
      </c>
      <c r="J1274" s="10" t="s">
        <v>2372</v>
      </c>
      <c r="K1274" s="10" t="s">
        <v>2374</v>
      </c>
      <c r="L1274" s="10" t="s">
        <v>1422</v>
      </c>
      <c r="M1274" s="10" t="s">
        <v>2372</v>
      </c>
      <c r="N1274" s="10" t="s">
        <v>2373</v>
      </c>
      <c r="O1274" s="10"/>
    </row>
    <row r="1275" spans="1:15" ht="18" customHeight="1" x14ac:dyDescent="0.3">
      <c r="A1275" s="24">
        <v>1274</v>
      </c>
      <c r="B1275" s="10" t="s">
        <v>74</v>
      </c>
      <c r="C1275" s="10" t="s">
        <v>47</v>
      </c>
      <c r="D1275" s="62">
        <v>64</v>
      </c>
      <c r="E1275" s="61" t="s">
        <v>2563</v>
      </c>
      <c r="F1275" s="19" t="s">
        <v>1113</v>
      </c>
      <c r="G1275" s="10" t="s">
        <v>160</v>
      </c>
      <c r="H1275" s="10" t="s">
        <v>853</v>
      </c>
      <c r="I1275" s="62">
        <v>77</v>
      </c>
      <c r="J1275" s="10" t="s">
        <v>2372</v>
      </c>
      <c r="K1275" s="10" t="s">
        <v>2374</v>
      </c>
      <c r="L1275" s="10" t="s">
        <v>1422</v>
      </c>
      <c r="M1275" s="10" t="s">
        <v>2372</v>
      </c>
      <c r="N1275" s="10" t="s">
        <v>2373</v>
      </c>
      <c r="O1275" s="10"/>
    </row>
    <row r="1276" spans="1:15" ht="18" customHeight="1" x14ac:dyDescent="0.3">
      <c r="A1276" s="24">
        <v>1275</v>
      </c>
      <c r="B1276" s="10" t="s">
        <v>74</v>
      </c>
      <c r="C1276" s="10" t="s">
        <v>47</v>
      </c>
      <c r="D1276" s="62">
        <v>64</v>
      </c>
      <c r="E1276" s="61" t="s">
        <v>2563</v>
      </c>
      <c r="F1276" s="19" t="s">
        <v>1113</v>
      </c>
      <c r="G1276" s="10" t="s">
        <v>160</v>
      </c>
      <c r="H1276" s="10" t="s">
        <v>854</v>
      </c>
      <c r="I1276" s="62">
        <v>65</v>
      </c>
      <c r="J1276" s="10" t="s">
        <v>2372</v>
      </c>
      <c r="K1276" s="10" t="s">
        <v>2374</v>
      </c>
      <c r="L1276" s="10" t="s">
        <v>1422</v>
      </c>
      <c r="M1276" s="10" t="s">
        <v>2372</v>
      </c>
      <c r="N1276" s="10" t="s">
        <v>2373</v>
      </c>
      <c r="O1276" s="10"/>
    </row>
    <row r="1277" spans="1:15" ht="18" customHeight="1" x14ac:dyDescent="0.3">
      <c r="A1277" s="24">
        <v>1276</v>
      </c>
      <c r="B1277" s="10" t="s">
        <v>74</v>
      </c>
      <c r="C1277" s="10" t="s">
        <v>47</v>
      </c>
      <c r="D1277" s="62">
        <v>64</v>
      </c>
      <c r="E1277" s="61" t="s">
        <v>2563</v>
      </c>
      <c r="F1277" s="19" t="s">
        <v>1113</v>
      </c>
      <c r="G1277" s="10" t="s">
        <v>160</v>
      </c>
      <c r="H1277" s="10" t="s">
        <v>855</v>
      </c>
      <c r="I1277" s="62">
        <v>66</v>
      </c>
      <c r="J1277" s="10" t="s">
        <v>2372</v>
      </c>
      <c r="K1277" s="10" t="s">
        <v>2374</v>
      </c>
      <c r="L1277" s="10" t="s">
        <v>1422</v>
      </c>
      <c r="M1277" s="10" t="s">
        <v>2372</v>
      </c>
      <c r="N1277" s="10" t="s">
        <v>2373</v>
      </c>
      <c r="O1277" s="10"/>
    </row>
    <row r="1278" spans="1:15" ht="18" customHeight="1" x14ac:dyDescent="0.3">
      <c r="A1278" s="24">
        <v>1277</v>
      </c>
      <c r="B1278" s="10" t="s">
        <v>74</v>
      </c>
      <c r="C1278" s="10" t="s">
        <v>47</v>
      </c>
      <c r="D1278" s="62">
        <v>64</v>
      </c>
      <c r="E1278" s="61" t="s">
        <v>2563</v>
      </c>
      <c r="F1278" s="19" t="s">
        <v>1113</v>
      </c>
      <c r="G1278" s="10" t="s">
        <v>160</v>
      </c>
      <c r="H1278" s="10" t="s">
        <v>869</v>
      </c>
      <c r="I1278" s="62">
        <v>120</v>
      </c>
      <c r="J1278" s="10" t="s">
        <v>2372</v>
      </c>
      <c r="K1278" s="10" t="s">
        <v>2374</v>
      </c>
      <c r="L1278" s="10" t="s">
        <v>1422</v>
      </c>
      <c r="M1278" s="10" t="s">
        <v>2372</v>
      </c>
      <c r="N1278" s="10" t="s">
        <v>2373</v>
      </c>
      <c r="O1278" s="10"/>
    </row>
    <row r="1279" spans="1:15" ht="18" customHeight="1" x14ac:dyDescent="0.3">
      <c r="A1279" s="24">
        <v>1278</v>
      </c>
      <c r="B1279" s="10" t="s">
        <v>198</v>
      </c>
      <c r="C1279" s="10" t="s">
        <v>29</v>
      </c>
      <c r="D1279" s="62">
        <v>65</v>
      </c>
      <c r="E1279" s="61" t="s">
        <v>2852</v>
      </c>
      <c r="F1279" s="19" t="s">
        <v>522</v>
      </c>
      <c r="G1279" s="10" t="s">
        <v>150</v>
      </c>
      <c r="H1279" s="10" t="s">
        <v>845</v>
      </c>
      <c r="I1279" s="62">
        <v>173</v>
      </c>
      <c r="J1279" s="10" t="s">
        <v>2372</v>
      </c>
      <c r="K1279" s="10" t="s">
        <v>847</v>
      </c>
      <c r="L1279" s="10" t="s">
        <v>2373</v>
      </c>
      <c r="M1279" s="10" t="s">
        <v>2372</v>
      </c>
      <c r="N1279" s="10" t="s">
        <v>2373</v>
      </c>
      <c r="O1279" s="10"/>
    </row>
    <row r="1280" spans="1:15" ht="18" customHeight="1" x14ac:dyDescent="0.3">
      <c r="A1280" s="24">
        <v>1279</v>
      </c>
      <c r="B1280" s="10" t="s">
        <v>198</v>
      </c>
      <c r="C1280" s="10" t="s">
        <v>29</v>
      </c>
      <c r="D1280" s="62">
        <v>65</v>
      </c>
      <c r="E1280" s="61" t="s">
        <v>2852</v>
      </c>
      <c r="F1280" s="19" t="s">
        <v>522</v>
      </c>
      <c r="G1280" s="10" t="s">
        <v>150</v>
      </c>
      <c r="H1280" s="10" t="s">
        <v>848</v>
      </c>
      <c r="I1280" s="177">
        <v>258</v>
      </c>
      <c r="J1280" s="10" t="s">
        <v>2374</v>
      </c>
      <c r="K1280" s="173" t="s">
        <v>3527</v>
      </c>
      <c r="L1280" s="173" t="s">
        <v>3523</v>
      </c>
      <c r="M1280" s="10" t="s">
        <v>2372</v>
      </c>
      <c r="N1280" s="10" t="s">
        <v>2373</v>
      </c>
      <c r="O1280" s="10"/>
    </row>
    <row r="1281" spans="1:15" ht="18" customHeight="1" x14ac:dyDescent="0.3">
      <c r="A1281" s="24">
        <v>1280</v>
      </c>
      <c r="B1281" s="10" t="s">
        <v>198</v>
      </c>
      <c r="C1281" s="10" t="s">
        <v>29</v>
      </c>
      <c r="D1281" s="62">
        <v>65</v>
      </c>
      <c r="E1281" s="61" t="s">
        <v>2852</v>
      </c>
      <c r="F1281" s="19" t="s">
        <v>522</v>
      </c>
      <c r="G1281" s="10" t="s">
        <v>150</v>
      </c>
      <c r="H1281" s="10" t="s">
        <v>850</v>
      </c>
      <c r="I1281" s="177">
        <v>222</v>
      </c>
      <c r="J1281" s="10" t="s">
        <v>2372</v>
      </c>
      <c r="K1281" s="173" t="s">
        <v>3527</v>
      </c>
      <c r="L1281" s="173" t="s">
        <v>3530</v>
      </c>
      <c r="M1281" s="10" t="s">
        <v>2372</v>
      </c>
      <c r="N1281" s="10" t="s">
        <v>2373</v>
      </c>
      <c r="O1281" s="10"/>
    </row>
    <row r="1282" spans="1:15" ht="18" customHeight="1" x14ac:dyDescent="0.3">
      <c r="A1282" s="24">
        <v>1281</v>
      </c>
      <c r="B1282" s="10" t="s">
        <v>198</v>
      </c>
      <c r="C1282" s="10" t="s">
        <v>29</v>
      </c>
      <c r="D1282" s="62">
        <v>65</v>
      </c>
      <c r="E1282" s="61" t="s">
        <v>2852</v>
      </c>
      <c r="F1282" s="19" t="s">
        <v>522</v>
      </c>
      <c r="G1282" s="10" t="s">
        <v>150</v>
      </c>
      <c r="H1282" s="10" t="s">
        <v>851</v>
      </c>
      <c r="I1282" s="62">
        <v>173</v>
      </c>
      <c r="J1282" s="10" t="s">
        <v>2372</v>
      </c>
      <c r="K1282" s="10" t="s">
        <v>847</v>
      </c>
      <c r="L1282" s="10" t="s">
        <v>2373</v>
      </c>
      <c r="M1282" s="10" t="s">
        <v>2372</v>
      </c>
      <c r="N1282" s="10" t="s">
        <v>2373</v>
      </c>
      <c r="O1282" s="10"/>
    </row>
    <row r="1283" spans="1:15" ht="18" customHeight="1" x14ac:dyDescent="0.3">
      <c r="A1283" s="24">
        <v>1282</v>
      </c>
      <c r="B1283" s="10" t="s">
        <v>198</v>
      </c>
      <c r="C1283" s="10" t="s">
        <v>29</v>
      </c>
      <c r="D1283" s="62">
        <v>65</v>
      </c>
      <c r="E1283" s="61" t="s">
        <v>2852</v>
      </c>
      <c r="F1283" s="19" t="s">
        <v>522</v>
      </c>
      <c r="G1283" s="10" t="s">
        <v>150</v>
      </c>
      <c r="H1283" s="10" t="s">
        <v>852</v>
      </c>
      <c r="I1283" s="62">
        <v>267</v>
      </c>
      <c r="J1283" s="10" t="s">
        <v>2372</v>
      </c>
      <c r="K1283" s="10" t="s">
        <v>847</v>
      </c>
      <c r="L1283" s="10" t="s">
        <v>2373</v>
      </c>
      <c r="M1283" s="10" t="s">
        <v>2372</v>
      </c>
      <c r="N1283" s="10" t="s">
        <v>2373</v>
      </c>
      <c r="O1283" s="10"/>
    </row>
    <row r="1284" spans="1:15" ht="18" customHeight="1" x14ac:dyDescent="0.3">
      <c r="A1284" s="24">
        <v>1283</v>
      </c>
      <c r="B1284" s="10" t="s">
        <v>198</v>
      </c>
      <c r="C1284" s="10" t="s">
        <v>29</v>
      </c>
      <c r="D1284" s="62">
        <v>65</v>
      </c>
      <c r="E1284" s="61" t="s">
        <v>2852</v>
      </c>
      <c r="F1284" s="19" t="s">
        <v>522</v>
      </c>
      <c r="G1284" s="10" t="s">
        <v>150</v>
      </c>
      <c r="H1284" s="10" t="s">
        <v>853</v>
      </c>
      <c r="I1284" s="62">
        <v>173</v>
      </c>
      <c r="J1284" s="10" t="s">
        <v>2372</v>
      </c>
      <c r="K1284" s="10" t="s">
        <v>847</v>
      </c>
      <c r="L1284" s="10" t="s">
        <v>2373</v>
      </c>
      <c r="M1284" s="10" t="s">
        <v>2372</v>
      </c>
      <c r="N1284" s="10" t="s">
        <v>2373</v>
      </c>
      <c r="O1284" s="10"/>
    </row>
    <row r="1285" spans="1:15" ht="18" customHeight="1" x14ac:dyDescent="0.3">
      <c r="A1285" s="24">
        <v>1284</v>
      </c>
      <c r="B1285" s="10" t="s">
        <v>198</v>
      </c>
      <c r="C1285" s="10" t="s">
        <v>29</v>
      </c>
      <c r="D1285" s="62">
        <v>65</v>
      </c>
      <c r="E1285" s="61" t="s">
        <v>2852</v>
      </c>
      <c r="F1285" s="19" t="s">
        <v>1114</v>
      </c>
      <c r="G1285" s="10" t="s">
        <v>150</v>
      </c>
      <c r="H1285" s="10" t="s">
        <v>2410</v>
      </c>
      <c r="I1285" s="62">
        <v>144</v>
      </c>
      <c r="J1285" s="10" t="s">
        <v>2374</v>
      </c>
      <c r="K1285" s="10" t="s">
        <v>846</v>
      </c>
      <c r="L1285" s="10" t="s">
        <v>188</v>
      </c>
      <c r="M1285" s="10" t="s">
        <v>2372</v>
      </c>
      <c r="N1285" s="10" t="s">
        <v>2373</v>
      </c>
      <c r="O1285" s="10"/>
    </row>
    <row r="1286" spans="1:15" ht="18" customHeight="1" x14ac:dyDescent="0.3">
      <c r="A1286" s="24">
        <v>1285</v>
      </c>
      <c r="B1286" s="10" t="s">
        <v>198</v>
      </c>
      <c r="C1286" s="10" t="s">
        <v>29</v>
      </c>
      <c r="D1286" s="62">
        <v>65</v>
      </c>
      <c r="E1286" s="61" t="s">
        <v>2859</v>
      </c>
      <c r="F1286" s="19" t="s">
        <v>1033</v>
      </c>
      <c r="G1286" s="10" t="s">
        <v>150</v>
      </c>
      <c r="H1286" s="10" t="s">
        <v>849</v>
      </c>
      <c r="I1286" s="62">
        <v>216</v>
      </c>
      <c r="J1286" s="10" t="s">
        <v>2374</v>
      </c>
      <c r="K1286" s="10" t="s">
        <v>847</v>
      </c>
      <c r="L1286" s="10" t="s">
        <v>2373</v>
      </c>
      <c r="M1286" s="10" t="s">
        <v>2372</v>
      </c>
      <c r="N1286" s="10" t="s">
        <v>2373</v>
      </c>
      <c r="O1286" s="10"/>
    </row>
    <row r="1287" spans="1:15" ht="18" customHeight="1" x14ac:dyDescent="0.3">
      <c r="A1287" s="24">
        <v>1286</v>
      </c>
      <c r="B1287" s="10" t="s">
        <v>198</v>
      </c>
      <c r="C1287" s="10" t="s">
        <v>29</v>
      </c>
      <c r="D1287" s="62">
        <v>65</v>
      </c>
      <c r="E1287" s="61" t="s">
        <v>2859</v>
      </c>
      <c r="F1287" s="19" t="s">
        <v>1033</v>
      </c>
      <c r="G1287" s="10" t="s">
        <v>150</v>
      </c>
      <c r="H1287" s="10" t="s">
        <v>850</v>
      </c>
      <c r="I1287" s="62">
        <v>171</v>
      </c>
      <c r="J1287" s="10" t="s">
        <v>2372</v>
      </c>
      <c r="K1287" s="10" t="s">
        <v>847</v>
      </c>
      <c r="L1287" s="10" t="s">
        <v>2373</v>
      </c>
      <c r="M1287" s="10" t="s">
        <v>2372</v>
      </c>
      <c r="N1287" s="10" t="s">
        <v>2373</v>
      </c>
      <c r="O1287" s="10"/>
    </row>
    <row r="1288" spans="1:15" ht="18" customHeight="1" x14ac:dyDescent="0.3">
      <c r="A1288" s="24">
        <v>1287</v>
      </c>
      <c r="B1288" s="10" t="s">
        <v>198</v>
      </c>
      <c r="C1288" s="10" t="s">
        <v>29</v>
      </c>
      <c r="D1288" s="62">
        <v>65</v>
      </c>
      <c r="E1288" s="61" t="s">
        <v>2859</v>
      </c>
      <c r="F1288" s="19" t="s">
        <v>1033</v>
      </c>
      <c r="G1288" s="10" t="s">
        <v>150</v>
      </c>
      <c r="H1288" s="10" t="s">
        <v>851</v>
      </c>
      <c r="I1288" s="62">
        <v>149</v>
      </c>
      <c r="J1288" s="10" t="s">
        <v>2372</v>
      </c>
      <c r="K1288" s="10" t="s">
        <v>847</v>
      </c>
      <c r="L1288" s="10" t="s">
        <v>2373</v>
      </c>
      <c r="M1288" s="10" t="s">
        <v>2372</v>
      </c>
      <c r="N1288" s="10" t="s">
        <v>2373</v>
      </c>
      <c r="O1288" s="10"/>
    </row>
    <row r="1289" spans="1:15" ht="18" customHeight="1" x14ac:dyDescent="0.3">
      <c r="A1289" s="24">
        <v>1288</v>
      </c>
      <c r="B1289" s="10" t="s">
        <v>198</v>
      </c>
      <c r="C1289" s="10" t="s">
        <v>29</v>
      </c>
      <c r="D1289" s="62">
        <v>65</v>
      </c>
      <c r="E1289" s="61" t="s">
        <v>2859</v>
      </c>
      <c r="F1289" s="19" t="s">
        <v>1033</v>
      </c>
      <c r="G1289" s="10" t="s">
        <v>150</v>
      </c>
      <c r="H1289" s="10" t="s">
        <v>852</v>
      </c>
      <c r="I1289" s="62">
        <v>183</v>
      </c>
      <c r="J1289" s="10" t="s">
        <v>2372</v>
      </c>
      <c r="K1289" s="10" t="s">
        <v>847</v>
      </c>
      <c r="L1289" s="10" t="s">
        <v>2373</v>
      </c>
      <c r="M1289" s="10" t="s">
        <v>2372</v>
      </c>
      <c r="N1289" s="10" t="s">
        <v>2373</v>
      </c>
      <c r="O1289" s="10"/>
    </row>
    <row r="1290" spans="1:15" ht="18" customHeight="1" x14ac:dyDescent="0.3">
      <c r="A1290" s="24">
        <v>1289</v>
      </c>
      <c r="B1290" s="10" t="s">
        <v>198</v>
      </c>
      <c r="C1290" s="10" t="s">
        <v>29</v>
      </c>
      <c r="D1290" s="62">
        <v>65</v>
      </c>
      <c r="E1290" s="61" t="s">
        <v>2859</v>
      </c>
      <c r="F1290" s="19" t="s">
        <v>1033</v>
      </c>
      <c r="G1290" s="10" t="s">
        <v>150</v>
      </c>
      <c r="H1290" s="10" t="s">
        <v>853</v>
      </c>
      <c r="I1290" s="62">
        <v>124</v>
      </c>
      <c r="J1290" s="10" t="s">
        <v>2374</v>
      </c>
      <c r="K1290" s="10" t="s">
        <v>847</v>
      </c>
      <c r="L1290" s="10" t="s">
        <v>2373</v>
      </c>
      <c r="M1290" s="10" t="s">
        <v>2372</v>
      </c>
      <c r="N1290" s="10" t="s">
        <v>2373</v>
      </c>
      <c r="O1290" s="10"/>
    </row>
    <row r="1291" spans="1:15" ht="18" customHeight="1" x14ac:dyDescent="0.3">
      <c r="A1291" s="24">
        <v>1290</v>
      </c>
      <c r="B1291" s="10" t="s">
        <v>198</v>
      </c>
      <c r="C1291" s="10" t="s">
        <v>29</v>
      </c>
      <c r="D1291" s="62">
        <v>65</v>
      </c>
      <c r="E1291" s="61" t="s">
        <v>2859</v>
      </c>
      <c r="F1291" s="19" t="s">
        <v>525</v>
      </c>
      <c r="G1291" s="10" t="s">
        <v>150</v>
      </c>
      <c r="H1291" s="10" t="s">
        <v>845</v>
      </c>
      <c r="I1291" s="62">
        <v>160</v>
      </c>
      <c r="J1291" s="10" t="s">
        <v>2372</v>
      </c>
      <c r="K1291" s="10" t="s">
        <v>847</v>
      </c>
      <c r="L1291" s="10" t="s">
        <v>2373</v>
      </c>
      <c r="M1291" s="10" t="s">
        <v>2372</v>
      </c>
      <c r="N1291" s="10" t="s">
        <v>2373</v>
      </c>
      <c r="O1291" s="10"/>
    </row>
    <row r="1292" spans="1:15" ht="18" customHeight="1" x14ac:dyDescent="0.3">
      <c r="A1292" s="24">
        <v>1291</v>
      </c>
      <c r="B1292" s="10" t="s">
        <v>198</v>
      </c>
      <c r="C1292" s="10" t="s">
        <v>29</v>
      </c>
      <c r="D1292" s="62">
        <v>65</v>
      </c>
      <c r="E1292" s="61" t="s">
        <v>2859</v>
      </c>
      <c r="F1292" s="19" t="s">
        <v>525</v>
      </c>
      <c r="G1292" s="10" t="s">
        <v>150</v>
      </c>
      <c r="H1292" s="10" t="s">
        <v>848</v>
      </c>
      <c r="I1292" s="62">
        <v>160</v>
      </c>
      <c r="J1292" s="10" t="s">
        <v>2374</v>
      </c>
      <c r="K1292" s="10" t="s">
        <v>847</v>
      </c>
      <c r="L1292" s="10" t="s">
        <v>2373</v>
      </c>
      <c r="M1292" s="10" t="s">
        <v>2372</v>
      </c>
      <c r="N1292" s="10" t="s">
        <v>2373</v>
      </c>
      <c r="O1292" s="10"/>
    </row>
    <row r="1293" spans="1:15" ht="18" customHeight="1" x14ac:dyDescent="0.3">
      <c r="A1293" s="24">
        <v>1292</v>
      </c>
      <c r="B1293" s="99" t="s">
        <v>198</v>
      </c>
      <c r="C1293" s="99" t="s">
        <v>29</v>
      </c>
      <c r="D1293" s="99">
        <v>65</v>
      </c>
      <c r="E1293" s="56" t="s">
        <v>3614</v>
      </c>
      <c r="F1293" s="56" t="s">
        <v>3619</v>
      </c>
      <c r="G1293" s="99" t="s">
        <v>310</v>
      </c>
      <c r="H1293" s="10" t="s">
        <v>3598</v>
      </c>
      <c r="I1293" s="62">
        <v>138</v>
      </c>
      <c r="J1293" s="10" t="s">
        <v>3599</v>
      </c>
      <c r="K1293" s="10" t="s">
        <v>847</v>
      </c>
      <c r="L1293" s="10" t="s">
        <v>3603</v>
      </c>
      <c r="M1293" s="173" t="s">
        <v>3599</v>
      </c>
      <c r="N1293" s="173" t="s">
        <v>3613</v>
      </c>
      <c r="O1293" s="10"/>
    </row>
    <row r="1294" spans="1:15" ht="18" customHeight="1" x14ac:dyDescent="0.3">
      <c r="A1294" s="24">
        <v>1293</v>
      </c>
      <c r="B1294" s="10" t="s">
        <v>198</v>
      </c>
      <c r="C1294" s="10" t="s">
        <v>4</v>
      </c>
      <c r="D1294" s="62">
        <v>66</v>
      </c>
      <c r="E1294" s="61" t="s">
        <v>2853</v>
      </c>
      <c r="F1294" s="19" t="s">
        <v>539</v>
      </c>
      <c r="G1294" s="10" t="s">
        <v>150</v>
      </c>
      <c r="H1294" s="10" t="s">
        <v>848</v>
      </c>
      <c r="I1294" s="62">
        <v>249</v>
      </c>
      <c r="J1294" s="10" t="s">
        <v>2374</v>
      </c>
      <c r="K1294" s="10" t="s">
        <v>847</v>
      </c>
      <c r="L1294" s="10" t="s">
        <v>2373</v>
      </c>
      <c r="M1294" s="10" t="s">
        <v>2372</v>
      </c>
      <c r="N1294" s="10" t="s">
        <v>2373</v>
      </c>
      <c r="O1294" s="10"/>
    </row>
    <row r="1295" spans="1:15" ht="18" customHeight="1" x14ac:dyDescent="0.3">
      <c r="A1295" s="24">
        <v>1294</v>
      </c>
      <c r="B1295" s="10" t="s">
        <v>198</v>
      </c>
      <c r="C1295" s="10" t="s">
        <v>4</v>
      </c>
      <c r="D1295" s="62">
        <v>66</v>
      </c>
      <c r="E1295" s="61" t="s">
        <v>2853</v>
      </c>
      <c r="F1295" s="19" t="s">
        <v>539</v>
      </c>
      <c r="G1295" s="10" t="s">
        <v>150</v>
      </c>
      <c r="H1295" s="10" t="s">
        <v>849</v>
      </c>
      <c r="I1295" s="62">
        <v>344</v>
      </c>
      <c r="J1295" s="10" t="s">
        <v>2374</v>
      </c>
      <c r="K1295" s="10" t="s">
        <v>847</v>
      </c>
      <c r="L1295" s="10" t="s">
        <v>2373</v>
      </c>
      <c r="M1295" s="10" t="s">
        <v>2372</v>
      </c>
      <c r="N1295" s="10" t="s">
        <v>2373</v>
      </c>
      <c r="O1295" s="10"/>
    </row>
    <row r="1296" spans="1:15" ht="18" customHeight="1" x14ac:dyDescent="0.3">
      <c r="A1296" s="24">
        <v>1295</v>
      </c>
      <c r="B1296" s="10" t="s">
        <v>198</v>
      </c>
      <c r="C1296" s="10" t="s">
        <v>4</v>
      </c>
      <c r="D1296" s="62">
        <v>66</v>
      </c>
      <c r="E1296" s="61" t="s">
        <v>2853</v>
      </c>
      <c r="F1296" s="19" t="s">
        <v>539</v>
      </c>
      <c r="G1296" s="10" t="s">
        <v>150</v>
      </c>
      <c r="H1296" s="10" t="s">
        <v>852</v>
      </c>
      <c r="I1296" s="62">
        <v>130</v>
      </c>
      <c r="J1296" s="10" t="s">
        <v>2372</v>
      </c>
      <c r="K1296" s="10" t="s">
        <v>847</v>
      </c>
      <c r="L1296" s="10" t="s">
        <v>2373</v>
      </c>
      <c r="M1296" s="10" t="s">
        <v>2372</v>
      </c>
      <c r="N1296" s="10" t="s">
        <v>2373</v>
      </c>
      <c r="O1296" s="10"/>
    </row>
    <row r="1297" spans="1:15" ht="18" customHeight="1" x14ac:dyDescent="0.3">
      <c r="A1297" s="24">
        <v>1296</v>
      </c>
      <c r="B1297" s="10" t="s">
        <v>198</v>
      </c>
      <c r="C1297" s="10" t="s">
        <v>4</v>
      </c>
      <c r="D1297" s="62">
        <v>66</v>
      </c>
      <c r="E1297" s="61" t="s">
        <v>2853</v>
      </c>
      <c r="F1297" s="19" t="s">
        <v>539</v>
      </c>
      <c r="G1297" s="10" t="s">
        <v>150</v>
      </c>
      <c r="H1297" s="10" t="s">
        <v>853</v>
      </c>
      <c r="I1297" s="62">
        <v>130</v>
      </c>
      <c r="J1297" s="10" t="s">
        <v>2372</v>
      </c>
      <c r="K1297" s="10" t="s">
        <v>847</v>
      </c>
      <c r="L1297" s="10" t="s">
        <v>2373</v>
      </c>
      <c r="M1297" s="10" t="s">
        <v>2374</v>
      </c>
      <c r="N1297" s="10" t="s">
        <v>1256</v>
      </c>
      <c r="O1297" s="10"/>
    </row>
    <row r="1298" spans="1:15" ht="18" customHeight="1" x14ac:dyDescent="0.3">
      <c r="A1298" s="24">
        <v>1297</v>
      </c>
      <c r="B1298" s="10" t="s">
        <v>198</v>
      </c>
      <c r="C1298" s="10" t="s">
        <v>4</v>
      </c>
      <c r="D1298" s="62">
        <v>66</v>
      </c>
      <c r="E1298" s="61" t="s">
        <v>2853</v>
      </c>
      <c r="F1298" s="19" t="s">
        <v>539</v>
      </c>
      <c r="G1298" s="10" t="s">
        <v>150</v>
      </c>
      <c r="H1298" s="10" t="s">
        <v>854</v>
      </c>
      <c r="I1298" s="62">
        <v>141</v>
      </c>
      <c r="J1298" s="10" t="s">
        <v>2374</v>
      </c>
      <c r="K1298" s="10" t="s">
        <v>847</v>
      </c>
      <c r="L1298" s="10" t="s">
        <v>2373</v>
      </c>
      <c r="M1298" s="10" t="s">
        <v>2372</v>
      </c>
      <c r="N1298" s="10" t="s">
        <v>2373</v>
      </c>
      <c r="O1298" s="10"/>
    </row>
    <row r="1299" spans="1:15" ht="18" customHeight="1" x14ac:dyDescent="0.3">
      <c r="A1299" s="24">
        <v>1298</v>
      </c>
      <c r="B1299" s="10" t="s">
        <v>198</v>
      </c>
      <c r="C1299" s="10" t="s">
        <v>4</v>
      </c>
      <c r="D1299" s="62">
        <v>66</v>
      </c>
      <c r="E1299" s="61" t="s">
        <v>2853</v>
      </c>
      <c r="F1299" s="19" t="s">
        <v>539</v>
      </c>
      <c r="G1299" s="10" t="s">
        <v>150</v>
      </c>
      <c r="H1299" s="10" t="s">
        <v>855</v>
      </c>
      <c r="I1299" s="62">
        <v>141</v>
      </c>
      <c r="J1299" s="10" t="s">
        <v>2374</v>
      </c>
      <c r="K1299" s="10" t="s">
        <v>847</v>
      </c>
      <c r="L1299" s="10" t="s">
        <v>2373</v>
      </c>
      <c r="M1299" s="10" t="s">
        <v>2372</v>
      </c>
      <c r="N1299" s="10" t="s">
        <v>2373</v>
      </c>
      <c r="O1299" s="10"/>
    </row>
    <row r="1300" spans="1:15" ht="18" customHeight="1" x14ac:dyDescent="0.3">
      <c r="A1300" s="24">
        <v>1299</v>
      </c>
      <c r="B1300" s="10" t="s">
        <v>198</v>
      </c>
      <c r="C1300" s="10" t="s">
        <v>4</v>
      </c>
      <c r="D1300" s="62">
        <v>66</v>
      </c>
      <c r="E1300" s="61" t="s">
        <v>2853</v>
      </c>
      <c r="F1300" s="19" t="s">
        <v>2564</v>
      </c>
      <c r="G1300" s="10" t="s">
        <v>150</v>
      </c>
      <c r="H1300" s="10" t="s">
        <v>850</v>
      </c>
      <c r="I1300" s="62">
        <v>273</v>
      </c>
      <c r="J1300" s="10" t="s">
        <v>2374</v>
      </c>
      <c r="K1300" s="10" t="s">
        <v>846</v>
      </c>
      <c r="L1300" s="10" t="s">
        <v>985</v>
      </c>
      <c r="M1300" s="10" t="s">
        <v>2372</v>
      </c>
      <c r="N1300" s="10" t="s">
        <v>2373</v>
      </c>
      <c r="O1300" s="10"/>
    </row>
    <row r="1301" spans="1:15" ht="18" customHeight="1" x14ac:dyDescent="0.3">
      <c r="A1301" s="24">
        <v>1300</v>
      </c>
      <c r="B1301" s="10" t="s">
        <v>198</v>
      </c>
      <c r="C1301" s="10" t="s">
        <v>4</v>
      </c>
      <c r="D1301" s="62">
        <v>66</v>
      </c>
      <c r="E1301" s="61" t="s">
        <v>2853</v>
      </c>
      <c r="F1301" s="19" t="s">
        <v>2564</v>
      </c>
      <c r="G1301" s="10" t="s">
        <v>150</v>
      </c>
      <c r="H1301" s="10" t="s">
        <v>2410</v>
      </c>
      <c r="I1301" s="62">
        <v>108</v>
      </c>
      <c r="J1301" s="10" t="s">
        <v>2374</v>
      </c>
      <c r="K1301" s="10" t="s">
        <v>846</v>
      </c>
      <c r="L1301" s="10" t="s">
        <v>188</v>
      </c>
      <c r="M1301" s="10" t="s">
        <v>2372</v>
      </c>
      <c r="N1301" s="10" t="s">
        <v>2373</v>
      </c>
      <c r="O1301" s="10"/>
    </row>
    <row r="1302" spans="1:15" ht="18" customHeight="1" x14ac:dyDescent="0.3">
      <c r="A1302" s="24">
        <v>1301</v>
      </c>
      <c r="B1302" s="10" t="s">
        <v>198</v>
      </c>
      <c r="C1302" s="10" t="s">
        <v>4</v>
      </c>
      <c r="D1302" s="62">
        <v>66</v>
      </c>
      <c r="E1302" s="61" t="s">
        <v>2853</v>
      </c>
      <c r="F1302" s="19" t="s">
        <v>2564</v>
      </c>
      <c r="G1302" s="10" t="s">
        <v>150</v>
      </c>
      <c r="H1302" s="10" t="s">
        <v>2413</v>
      </c>
      <c r="I1302" s="62">
        <v>364</v>
      </c>
      <c r="J1302" s="10" t="s">
        <v>2374</v>
      </c>
      <c r="K1302" s="10" t="s">
        <v>846</v>
      </c>
      <c r="L1302" s="10" t="s">
        <v>187</v>
      </c>
      <c r="M1302" s="10" t="s">
        <v>2372</v>
      </c>
      <c r="N1302" s="10" t="s">
        <v>2373</v>
      </c>
      <c r="O1302" s="10"/>
    </row>
    <row r="1303" spans="1:15" ht="18" customHeight="1" x14ac:dyDescent="0.3">
      <c r="A1303" s="24">
        <v>1302</v>
      </c>
      <c r="B1303" s="10" t="s">
        <v>1547</v>
      </c>
      <c r="C1303" s="10" t="s">
        <v>1475</v>
      </c>
      <c r="D1303" s="62">
        <v>66</v>
      </c>
      <c r="E1303" s="61" t="s">
        <v>1548</v>
      </c>
      <c r="F1303" s="19" t="s">
        <v>1180</v>
      </c>
      <c r="G1303" s="10" t="s">
        <v>2373</v>
      </c>
      <c r="H1303" s="10" t="s">
        <v>2385</v>
      </c>
      <c r="I1303" s="62">
        <v>72</v>
      </c>
      <c r="J1303" s="10" t="s">
        <v>2372</v>
      </c>
      <c r="K1303" s="10" t="s">
        <v>2372</v>
      </c>
      <c r="L1303" s="10" t="s">
        <v>2373</v>
      </c>
      <c r="M1303" s="173" t="s">
        <v>2372</v>
      </c>
      <c r="N1303" s="173" t="s">
        <v>2373</v>
      </c>
      <c r="O1303" s="10"/>
    </row>
    <row r="1304" spans="1:15" ht="18" customHeight="1" x14ac:dyDescent="0.3">
      <c r="A1304" s="24">
        <v>1303</v>
      </c>
      <c r="B1304" s="10" t="s">
        <v>198</v>
      </c>
      <c r="C1304" s="10" t="s">
        <v>4</v>
      </c>
      <c r="D1304" s="62">
        <v>66</v>
      </c>
      <c r="E1304" s="61" t="s">
        <v>870</v>
      </c>
      <c r="F1304" s="19" t="s">
        <v>1553</v>
      </c>
      <c r="G1304" s="10" t="s">
        <v>150</v>
      </c>
      <c r="H1304" s="10" t="s">
        <v>845</v>
      </c>
      <c r="I1304" s="62">
        <v>168</v>
      </c>
      <c r="J1304" s="10" t="s">
        <v>2372</v>
      </c>
      <c r="K1304" s="10" t="s">
        <v>847</v>
      </c>
      <c r="L1304" s="10" t="s">
        <v>2373</v>
      </c>
      <c r="M1304" s="10" t="s">
        <v>2372</v>
      </c>
      <c r="N1304" s="10" t="s">
        <v>2373</v>
      </c>
      <c r="O1304" s="10"/>
    </row>
    <row r="1305" spans="1:15" ht="18" customHeight="1" x14ac:dyDescent="0.3">
      <c r="A1305" s="24">
        <v>1304</v>
      </c>
      <c r="B1305" s="10" t="s">
        <v>198</v>
      </c>
      <c r="C1305" s="10" t="s">
        <v>4</v>
      </c>
      <c r="D1305" s="62">
        <v>66</v>
      </c>
      <c r="E1305" s="61" t="s">
        <v>870</v>
      </c>
      <c r="F1305" s="19" t="s">
        <v>1553</v>
      </c>
      <c r="G1305" s="10" t="s">
        <v>150</v>
      </c>
      <c r="H1305" s="10" t="s">
        <v>848</v>
      </c>
      <c r="I1305" s="62">
        <v>114</v>
      </c>
      <c r="J1305" s="10" t="s">
        <v>2372</v>
      </c>
      <c r="K1305" s="10" t="s">
        <v>847</v>
      </c>
      <c r="L1305" s="10" t="s">
        <v>2373</v>
      </c>
      <c r="M1305" s="10" t="s">
        <v>2372</v>
      </c>
      <c r="N1305" s="10" t="s">
        <v>2373</v>
      </c>
      <c r="O1305" s="10"/>
    </row>
    <row r="1306" spans="1:15" ht="18" customHeight="1" x14ac:dyDescent="0.3">
      <c r="A1306" s="24">
        <v>1305</v>
      </c>
      <c r="B1306" s="10" t="s">
        <v>198</v>
      </c>
      <c r="C1306" s="10" t="s">
        <v>4</v>
      </c>
      <c r="D1306" s="62">
        <v>66</v>
      </c>
      <c r="E1306" s="61" t="s">
        <v>870</v>
      </c>
      <c r="F1306" s="19" t="s">
        <v>1038</v>
      </c>
      <c r="G1306" s="10" t="s">
        <v>150</v>
      </c>
      <c r="H1306" s="10" t="s">
        <v>849</v>
      </c>
      <c r="I1306" s="62">
        <v>128</v>
      </c>
      <c r="J1306" s="10" t="s">
        <v>2372</v>
      </c>
      <c r="K1306" s="10" t="s">
        <v>847</v>
      </c>
      <c r="L1306" s="10" t="s">
        <v>2373</v>
      </c>
      <c r="M1306" s="10" t="s">
        <v>2372</v>
      </c>
      <c r="N1306" s="10" t="s">
        <v>2373</v>
      </c>
      <c r="O1306" s="10"/>
    </row>
    <row r="1307" spans="1:15" ht="18" customHeight="1" x14ac:dyDescent="0.3">
      <c r="A1307" s="24">
        <v>1306</v>
      </c>
      <c r="B1307" s="10" t="s">
        <v>198</v>
      </c>
      <c r="C1307" s="10" t="s">
        <v>4</v>
      </c>
      <c r="D1307" s="62">
        <v>66</v>
      </c>
      <c r="E1307" s="61" t="s">
        <v>870</v>
      </c>
      <c r="F1307" s="19" t="s">
        <v>1038</v>
      </c>
      <c r="G1307" s="10" t="s">
        <v>150</v>
      </c>
      <c r="H1307" s="10" t="s">
        <v>850</v>
      </c>
      <c r="I1307" s="62">
        <v>152</v>
      </c>
      <c r="J1307" s="10" t="s">
        <v>2372</v>
      </c>
      <c r="K1307" s="10" t="s">
        <v>847</v>
      </c>
      <c r="L1307" s="10" t="s">
        <v>2373</v>
      </c>
      <c r="M1307" s="10" t="s">
        <v>2372</v>
      </c>
      <c r="N1307" s="10" t="s">
        <v>2373</v>
      </c>
      <c r="O1307" s="10"/>
    </row>
    <row r="1308" spans="1:15" ht="18" customHeight="1" x14ac:dyDescent="0.3">
      <c r="A1308" s="24">
        <v>1307</v>
      </c>
      <c r="B1308" s="10" t="s">
        <v>198</v>
      </c>
      <c r="C1308" s="10" t="s">
        <v>4</v>
      </c>
      <c r="D1308" s="62">
        <v>66</v>
      </c>
      <c r="E1308" s="61" t="s">
        <v>870</v>
      </c>
      <c r="F1308" s="19" t="s">
        <v>1038</v>
      </c>
      <c r="G1308" s="10" t="s">
        <v>150</v>
      </c>
      <c r="H1308" s="10" t="s">
        <v>851</v>
      </c>
      <c r="I1308" s="62">
        <v>168</v>
      </c>
      <c r="J1308" s="10" t="s">
        <v>2372</v>
      </c>
      <c r="K1308" s="10" t="s">
        <v>847</v>
      </c>
      <c r="L1308" s="10" t="s">
        <v>2373</v>
      </c>
      <c r="M1308" s="10" t="s">
        <v>2372</v>
      </c>
      <c r="N1308" s="10" t="s">
        <v>2373</v>
      </c>
      <c r="O1308" s="10"/>
    </row>
    <row r="1309" spans="1:15" ht="18" customHeight="1" x14ac:dyDescent="0.3">
      <c r="A1309" s="24">
        <v>1308</v>
      </c>
      <c r="B1309" s="10" t="s">
        <v>198</v>
      </c>
      <c r="C1309" s="10" t="s">
        <v>4</v>
      </c>
      <c r="D1309" s="62">
        <v>66</v>
      </c>
      <c r="E1309" s="61" t="s">
        <v>870</v>
      </c>
      <c r="F1309" s="19" t="s">
        <v>1038</v>
      </c>
      <c r="G1309" s="10" t="s">
        <v>150</v>
      </c>
      <c r="H1309" s="10" t="s">
        <v>852</v>
      </c>
      <c r="I1309" s="62">
        <v>114</v>
      </c>
      <c r="J1309" s="10" t="s">
        <v>2372</v>
      </c>
      <c r="K1309" s="10" t="s">
        <v>847</v>
      </c>
      <c r="L1309" s="10" t="s">
        <v>2373</v>
      </c>
      <c r="M1309" s="10" t="s">
        <v>2372</v>
      </c>
      <c r="N1309" s="10" t="s">
        <v>2373</v>
      </c>
      <c r="O1309" s="10"/>
    </row>
    <row r="1310" spans="1:15" ht="18" customHeight="1" x14ac:dyDescent="0.3">
      <c r="A1310" s="24">
        <v>1309</v>
      </c>
      <c r="B1310" s="10" t="s">
        <v>198</v>
      </c>
      <c r="C1310" s="10" t="s">
        <v>4</v>
      </c>
      <c r="D1310" s="62">
        <v>66</v>
      </c>
      <c r="E1310" s="61" t="s">
        <v>870</v>
      </c>
      <c r="F1310" s="19" t="s">
        <v>1038</v>
      </c>
      <c r="G1310" s="10" t="s">
        <v>150</v>
      </c>
      <c r="H1310" s="10" t="s">
        <v>853</v>
      </c>
      <c r="I1310" s="62">
        <v>128</v>
      </c>
      <c r="J1310" s="10" t="s">
        <v>2372</v>
      </c>
      <c r="K1310" s="10" t="s">
        <v>847</v>
      </c>
      <c r="L1310" s="10" t="s">
        <v>2373</v>
      </c>
      <c r="M1310" s="10" t="s">
        <v>2372</v>
      </c>
      <c r="N1310" s="10" t="s">
        <v>2373</v>
      </c>
      <c r="O1310" s="10"/>
    </row>
    <row r="1311" spans="1:15" ht="18" customHeight="1" x14ac:dyDescent="0.3">
      <c r="A1311" s="24">
        <v>1310</v>
      </c>
      <c r="B1311" s="10" t="s">
        <v>198</v>
      </c>
      <c r="C1311" s="10" t="s">
        <v>4</v>
      </c>
      <c r="D1311" s="62">
        <v>66</v>
      </c>
      <c r="E1311" s="61" t="s">
        <v>870</v>
      </c>
      <c r="F1311" s="19" t="s">
        <v>1038</v>
      </c>
      <c r="G1311" s="10" t="s">
        <v>150</v>
      </c>
      <c r="H1311" s="10" t="s">
        <v>854</v>
      </c>
      <c r="I1311" s="62">
        <v>152</v>
      </c>
      <c r="J1311" s="10" t="s">
        <v>2372</v>
      </c>
      <c r="K1311" s="10" t="s">
        <v>847</v>
      </c>
      <c r="L1311" s="10" t="s">
        <v>2373</v>
      </c>
      <c r="M1311" s="10" t="s">
        <v>2372</v>
      </c>
      <c r="N1311" s="10" t="s">
        <v>2373</v>
      </c>
      <c r="O1311" s="10"/>
    </row>
    <row r="1312" spans="1:15" ht="18" customHeight="1" x14ac:dyDescent="0.3">
      <c r="A1312" s="24">
        <v>1311</v>
      </c>
      <c r="B1312" s="10" t="s">
        <v>198</v>
      </c>
      <c r="C1312" s="10" t="s">
        <v>28</v>
      </c>
      <c r="D1312" s="62">
        <v>67</v>
      </c>
      <c r="E1312" s="61" t="s">
        <v>528</v>
      </c>
      <c r="F1312" s="16" t="s">
        <v>529</v>
      </c>
      <c r="G1312" s="10" t="s">
        <v>150</v>
      </c>
      <c r="H1312" s="10" t="s">
        <v>845</v>
      </c>
      <c r="I1312" s="62">
        <v>105</v>
      </c>
      <c r="J1312" s="8" t="s">
        <v>846</v>
      </c>
      <c r="K1312" s="10" t="s">
        <v>847</v>
      </c>
      <c r="L1312" s="10" t="s">
        <v>2373</v>
      </c>
      <c r="M1312" s="10" t="s">
        <v>2372</v>
      </c>
      <c r="N1312" s="10" t="s">
        <v>2373</v>
      </c>
      <c r="O1312" s="10"/>
    </row>
    <row r="1313" spans="1:15" ht="18" customHeight="1" x14ac:dyDescent="0.3">
      <c r="A1313" s="24">
        <v>1312</v>
      </c>
      <c r="B1313" s="10" t="s">
        <v>198</v>
      </c>
      <c r="C1313" s="10" t="s">
        <v>28</v>
      </c>
      <c r="D1313" s="62">
        <v>67</v>
      </c>
      <c r="E1313" s="61" t="s">
        <v>528</v>
      </c>
      <c r="F1313" s="16" t="s">
        <v>529</v>
      </c>
      <c r="G1313" s="10" t="s">
        <v>150</v>
      </c>
      <c r="H1313" s="10" t="s">
        <v>1166</v>
      </c>
      <c r="I1313" s="62">
        <v>218</v>
      </c>
      <c r="J1313" s="8" t="s">
        <v>2372</v>
      </c>
      <c r="K1313" s="10" t="s">
        <v>847</v>
      </c>
      <c r="L1313" s="10" t="s">
        <v>2373</v>
      </c>
      <c r="M1313" s="10" t="s">
        <v>2372</v>
      </c>
      <c r="N1313" s="10" t="s">
        <v>2373</v>
      </c>
      <c r="O1313" s="10"/>
    </row>
    <row r="1314" spans="1:15" ht="18" customHeight="1" x14ac:dyDescent="0.3">
      <c r="A1314" s="24">
        <v>1313</v>
      </c>
      <c r="B1314" s="10" t="s">
        <v>198</v>
      </c>
      <c r="C1314" s="10" t="s">
        <v>28</v>
      </c>
      <c r="D1314" s="62">
        <v>67</v>
      </c>
      <c r="E1314" s="61" t="s">
        <v>528</v>
      </c>
      <c r="F1314" s="16" t="s">
        <v>529</v>
      </c>
      <c r="G1314" s="10" t="s">
        <v>150</v>
      </c>
      <c r="H1314" s="10" t="s">
        <v>849</v>
      </c>
      <c r="I1314" s="62">
        <v>138</v>
      </c>
      <c r="J1314" s="8" t="s">
        <v>2372</v>
      </c>
      <c r="K1314" s="10" t="s">
        <v>847</v>
      </c>
      <c r="L1314" s="10" t="s">
        <v>2373</v>
      </c>
      <c r="M1314" s="10" t="s">
        <v>2372</v>
      </c>
      <c r="N1314" s="10" t="s">
        <v>2373</v>
      </c>
      <c r="O1314" s="10"/>
    </row>
    <row r="1315" spans="1:15" ht="18" customHeight="1" x14ac:dyDescent="0.3">
      <c r="A1315" s="24">
        <v>1314</v>
      </c>
      <c r="B1315" s="10" t="s">
        <v>198</v>
      </c>
      <c r="C1315" s="10" t="s">
        <v>28</v>
      </c>
      <c r="D1315" s="62">
        <v>67</v>
      </c>
      <c r="E1315" s="61" t="s">
        <v>528</v>
      </c>
      <c r="F1315" s="16" t="s">
        <v>529</v>
      </c>
      <c r="G1315" s="10" t="s">
        <v>150</v>
      </c>
      <c r="H1315" s="10" t="s">
        <v>850</v>
      </c>
      <c r="I1315" s="62">
        <v>139</v>
      </c>
      <c r="J1315" s="8" t="s">
        <v>846</v>
      </c>
      <c r="K1315" s="10" t="s">
        <v>847</v>
      </c>
      <c r="L1315" s="10" t="s">
        <v>2373</v>
      </c>
      <c r="M1315" s="10" t="s">
        <v>2372</v>
      </c>
      <c r="N1315" s="10" t="s">
        <v>2373</v>
      </c>
      <c r="O1315" s="10"/>
    </row>
    <row r="1316" spans="1:15" ht="18" customHeight="1" x14ac:dyDescent="0.3">
      <c r="A1316" s="24">
        <v>1315</v>
      </c>
      <c r="B1316" s="10" t="s">
        <v>198</v>
      </c>
      <c r="C1316" s="10" t="s">
        <v>28</v>
      </c>
      <c r="D1316" s="62">
        <v>67</v>
      </c>
      <c r="E1316" s="61" t="s">
        <v>528</v>
      </c>
      <c r="F1316" s="16" t="s">
        <v>529</v>
      </c>
      <c r="G1316" s="10" t="s">
        <v>150</v>
      </c>
      <c r="H1316" s="10" t="s">
        <v>851</v>
      </c>
      <c r="I1316" s="62">
        <v>149</v>
      </c>
      <c r="J1316" s="8" t="s">
        <v>2372</v>
      </c>
      <c r="K1316" s="10" t="s">
        <v>847</v>
      </c>
      <c r="L1316" s="10" t="s">
        <v>2373</v>
      </c>
      <c r="M1316" s="10" t="s">
        <v>2372</v>
      </c>
      <c r="N1316" s="10" t="s">
        <v>2373</v>
      </c>
      <c r="O1316" s="10"/>
    </row>
    <row r="1317" spans="1:15" ht="18" customHeight="1" x14ac:dyDescent="0.3">
      <c r="A1317" s="24">
        <v>1316</v>
      </c>
      <c r="B1317" s="10" t="s">
        <v>198</v>
      </c>
      <c r="C1317" s="10" t="s">
        <v>28</v>
      </c>
      <c r="D1317" s="62">
        <v>67</v>
      </c>
      <c r="E1317" s="61" t="s">
        <v>528</v>
      </c>
      <c r="F1317" s="16" t="s">
        <v>529</v>
      </c>
      <c r="G1317" s="10" t="s">
        <v>150</v>
      </c>
      <c r="H1317" s="10" t="s">
        <v>1167</v>
      </c>
      <c r="I1317" s="62">
        <v>187</v>
      </c>
      <c r="J1317" s="8" t="s">
        <v>2372</v>
      </c>
      <c r="K1317" s="10" t="s">
        <v>847</v>
      </c>
      <c r="L1317" s="10" t="s">
        <v>2373</v>
      </c>
      <c r="M1317" s="10" t="s">
        <v>2372</v>
      </c>
      <c r="N1317" s="10" t="s">
        <v>2373</v>
      </c>
      <c r="O1317" s="10"/>
    </row>
    <row r="1318" spans="1:15" ht="18" customHeight="1" x14ac:dyDescent="0.3">
      <c r="A1318" s="24">
        <v>1317</v>
      </c>
      <c r="B1318" s="10" t="s">
        <v>198</v>
      </c>
      <c r="C1318" s="10" t="s">
        <v>28</v>
      </c>
      <c r="D1318" s="62">
        <v>67</v>
      </c>
      <c r="E1318" s="61" t="s">
        <v>528</v>
      </c>
      <c r="F1318" s="16" t="s">
        <v>529</v>
      </c>
      <c r="G1318" s="10" t="s">
        <v>150</v>
      </c>
      <c r="H1318" s="10" t="s">
        <v>853</v>
      </c>
      <c r="I1318" s="62">
        <v>93</v>
      </c>
      <c r="J1318" s="8" t="s">
        <v>2372</v>
      </c>
      <c r="K1318" s="10" t="s">
        <v>847</v>
      </c>
      <c r="L1318" s="10" t="s">
        <v>2373</v>
      </c>
      <c r="M1318" s="10" t="s">
        <v>2372</v>
      </c>
      <c r="N1318" s="10" t="s">
        <v>2373</v>
      </c>
      <c r="O1318" s="10"/>
    </row>
    <row r="1319" spans="1:15" ht="18" customHeight="1" x14ac:dyDescent="0.3">
      <c r="A1319" s="24">
        <v>1318</v>
      </c>
      <c r="B1319" s="10" t="s">
        <v>198</v>
      </c>
      <c r="C1319" s="10" t="s">
        <v>28</v>
      </c>
      <c r="D1319" s="62">
        <v>67</v>
      </c>
      <c r="E1319" s="61" t="s">
        <v>528</v>
      </c>
      <c r="F1319" s="16" t="s">
        <v>529</v>
      </c>
      <c r="G1319" s="10" t="s">
        <v>150</v>
      </c>
      <c r="H1319" s="10" t="s">
        <v>854</v>
      </c>
      <c r="I1319" s="62">
        <v>115</v>
      </c>
      <c r="J1319" s="8" t="s">
        <v>2372</v>
      </c>
      <c r="K1319" s="10" t="s">
        <v>847</v>
      </c>
      <c r="L1319" s="10" t="s">
        <v>2373</v>
      </c>
      <c r="M1319" s="10" t="s">
        <v>2372</v>
      </c>
      <c r="N1319" s="10" t="s">
        <v>2373</v>
      </c>
      <c r="O1319" s="10"/>
    </row>
    <row r="1320" spans="1:15" ht="18" customHeight="1" x14ac:dyDescent="0.3">
      <c r="A1320" s="24">
        <v>1319</v>
      </c>
      <c r="B1320" s="10" t="s">
        <v>198</v>
      </c>
      <c r="C1320" s="10" t="s">
        <v>28</v>
      </c>
      <c r="D1320" s="62">
        <v>67</v>
      </c>
      <c r="E1320" s="61" t="s">
        <v>216</v>
      </c>
      <c r="F1320" s="16" t="s">
        <v>530</v>
      </c>
      <c r="G1320" s="10" t="s">
        <v>150</v>
      </c>
      <c r="H1320" s="10" t="s">
        <v>845</v>
      </c>
      <c r="I1320" s="62">
        <v>131</v>
      </c>
      <c r="J1320" s="8" t="s">
        <v>2372</v>
      </c>
      <c r="K1320" s="10" t="s">
        <v>847</v>
      </c>
      <c r="L1320" s="10" t="s">
        <v>2373</v>
      </c>
      <c r="M1320" s="10" t="s">
        <v>2372</v>
      </c>
      <c r="N1320" s="10" t="s">
        <v>2373</v>
      </c>
      <c r="O1320" s="10"/>
    </row>
    <row r="1321" spans="1:15" ht="18" customHeight="1" x14ac:dyDescent="0.3">
      <c r="A1321" s="24">
        <v>1320</v>
      </c>
      <c r="B1321" s="10" t="s">
        <v>198</v>
      </c>
      <c r="C1321" s="10" t="s">
        <v>28</v>
      </c>
      <c r="D1321" s="62">
        <v>67</v>
      </c>
      <c r="E1321" s="61" t="s">
        <v>216</v>
      </c>
      <c r="F1321" s="16" t="s">
        <v>530</v>
      </c>
      <c r="G1321" s="10" t="s">
        <v>150</v>
      </c>
      <c r="H1321" s="10" t="s">
        <v>848</v>
      </c>
      <c r="I1321" s="62">
        <v>58</v>
      </c>
      <c r="J1321" s="8" t="s">
        <v>2372</v>
      </c>
      <c r="K1321" s="10" t="s">
        <v>2374</v>
      </c>
      <c r="L1321" s="10" t="s">
        <v>2229</v>
      </c>
      <c r="M1321" s="10" t="s">
        <v>2372</v>
      </c>
      <c r="N1321" s="10" t="s">
        <v>2373</v>
      </c>
      <c r="O1321" s="10"/>
    </row>
    <row r="1322" spans="1:15" ht="18" customHeight="1" x14ac:dyDescent="0.3">
      <c r="A1322" s="24">
        <v>1321</v>
      </c>
      <c r="B1322" s="10" t="s">
        <v>198</v>
      </c>
      <c r="C1322" s="10" t="s">
        <v>28</v>
      </c>
      <c r="D1322" s="62">
        <v>67</v>
      </c>
      <c r="E1322" s="61" t="s">
        <v>216</v>
      </c>
      <c r="F1322" s="16" t="s">
        <v>530</v>
      </c>
      <c r="G1322" s="10" t="s">
        <v>150</v>
      </c>
      <c r="H1322" s="10" t="s">
        <v>849</v>
      </c>
      <c r="I1322" s="62">
        <v>82</v>
      </c>
      <c r="J1322" s="8" t="s">
        <v>846</v>
      </c>
      <c r="K1322" s="10" t="s">
        <v>2374</v>
      </c>
      <c r="L1322" s="10" t="s">
        <v>2229</v>
      </c>
      <c r="M1322" s="10" t="s">
        <v>2372</v>
      </c>
      <c r="N1322" s="10" t="s">
        <v>2373</v>
      </c>
      <c r="O1322" s="10"/>
    </row>
    <row r="1323" spans="1:15" ht="18" customHeight="1" x14ac:dyDescent="0.3">
      <c r="A1323" s="24">
        <v>1322</v>
      </c>
      <c r="B1323" s="10" t="s">
        <v>198</v>
      </c>
      <c r="C1323" s="10" t="s">
        <v>28</v>
      </c>
      <c r="D1323" s="62">
        <v>67</v>
      </c>
      <c r="E1323" s="61" t="s">
        <v>216</v>
      </c>
      <c r="F1323" s="16" t="s">
        <v>530</v>
      </c>
      <c r="G1323" s="10" t="s">
        <v>150</v>
      </c>
      <c r="H1323" s="10" t="s">
        <v>850</v>
      </c>
      <c r="I1323" s="62">
        <v>145</v>
      </c>
      <c r="J1323" s="8" t="s">
        <v>846</v>
      </c>
      <c r="K1323" s="10" t="s">
        <v>847</v>
      </c>
      <c r="L1323" s="10" t="s">
        <v>2373</v>
      </c>
      <c r="M1323" s="10" t="s">
        <v>2372</v>
      </c>
      <c r="N1323" s="10" t="s">
        <v>2373</v>
      </c>
      <c r="O1323" s="10"/>
    </row>
    <row r="1324" spans="1:15" ht="18" customHeight="1" x14ac:dyDescent="0.3">
      <c r="A1324" s="24">
        <v>1323</v>
      </c>
      <c r="B1324" s="10" t="s">
        <v>198</v>
      </c>
      <c r="C1324" s="10" t="s">
        <v>28</v>
      </c>
      <c r="D1324" s="62">
        <v>67</v>
      </c>
      <c r="E1324" s="61" t="s">
        <v>216</v>
      </c>
      <c r="F1324" s="16" t="s">
        <v>530</v>
      </c>
      <c r="G1324" s="10" t="s">
        <v>150</v>
      </c>
      <c r="H1324" s="10" t="s">
        <v>851</v>
      </c>
      <c r="I1324" s="62">
        <v>150</v>
      </c>
      <c r="J1324" s="8" t="s">
        <v>2372</v>
      </c>
      <c r="K1324" s="10" t="s">
        <v>847</v>
      </c>
      <c r="L1324" s="10" t="s">
        <v>2373</v>
      </c>
      <c r="M1324" s="10" t="s">
        <v>2372</v>
      </c>
      <c r="N1324" s="10" t="s">
        <v>2373</v>
      </c>
      <c r="O1324" s="10"/>
    </row>
    <row r="1325" spans="1:15" ht="18" customHeight="1" x14ac:dyDescent="0.3">
      <c r="A1325" s="24">
        <v>1324</v>
      </c>
      <c r="B1325" s="10" t="s">
        <v>198</v>
      </c>
      <c r="C1325" s="10" t="s">
        <v>28</v>
      </c>
      <c r="D1325" s="62">
        <v>67</v>
      </c>
      <c r="E1325" s="61" t="s">
        <v>216</v>
      </c>
      <c r="F1325" s="16" t="s">
        <v>530</v>
      </c>
      <c r="G1325" s="10" t="s">
        <v>150</v>
      </c>
      <c r="H1325" s="10" t="s">
        <v>852</v>
      </c>
      <c r="I1325" s="62">
        <v>109</v>
      </c>
      <c r="J1325" s="8" t="s">
        <v>2372</v>
      </c>
      <c r="K1325" s="10" t="s">
        <v>847</v>
      </c>
      <c r="L1325" s="10" t="s">
        <v>2373</v>
      </c>
      <c r="M1325" s="10" t="s">
        <v>2372</v>
      </c>
      <c r="N1325" s="10" t="s">
        <v>2373</v>
      </c>
      <c r="O1325" s="10"/>
    </row>
    <row r="1326" spans="1:15" ht="18" customHeight="1" x14ac:dyDescent="0.3">
      <c r="A1326" s="24">
        <v>1325</v>
      </c>
      <c r="B1326" s="10" t="s">
        <v>198</v>
      </c>
      <c r="C1326" s="10" t="s">
        <v>28</v>
      </c>
      <c r="D1326" s="62">
        <v>67</v>
      </c>
      <c r="E1326" s="61" t="s">
        <v>216</v>
      </c>
      <c r="F1326" s="16" t="s">
        <v>530</v>
      </c>
      <c r="G1326" s="10" t="s">
        <v>150</v>
      </c>
      <c r="H1326" s="10" t="s">
        <v>2431</v>
      </c>
      <c r="I1326" s="62">
        <v>184</v>
      </c>
      <c r="J1326" s="8" t="s">
        <v>2372</v>
      </c>
      <c r="K1326" s="10" t="s">
        <v>847</v>
      </c>
      <c r="L1326" s="10" t="s">
        <v>2373</v>
      </c>
      <c r="M1326" s="10" t="s">
        <v>2372</v>
      </c>
      <c r="N1326" s="10" t="s">
        <v>2373</v>
      </c>
      <c r="O1326" s="10"/>
    </row>
    <row r="1327" spans="1:15" ht="18" customHeight="1" x14ac:dyDescent="0.3">
      <c r="A1327" s="24">
        <v>1326</v>
      </c>
      <c r="B1327" s="10" t="s">
        <v>198</v>
      </c>
      <c r="C1327" s="10" t="s">
        <v>28</v>
      </c>
      <c r="D1327" s="62">
        <v>67</v>
      </c>
      <c r="E1327" s="61" t="s">
        <v>2565</v>
      </c>
      <c r="F1327" s="16" t="s">
        <v>533</v>
      </c>
      <c r="G1327" s="10" t="s">
        <v>150</v>
      </c>
      <c r="H1327" s="10" t="s">
        <v>845</v>
      </c>
      <c r="I1327" s="62">
        <v>234</v>
      </c>
      <c r="J1327" s="8" t="s">
        <v>2372</v>
      </c>
      <c r="K1327" s="10" t="s">
        <v>847</v>
      </c>
      <c r="L1327" s="10" t="s">
        <v>2373</v>
      </c>
      <c r="M1327" s="10" t="s">
        <v>2372</v>
      </c>
      <c r="N1327" s="10" t="s">
        <v>2373</v>
      </c>
      <c r="O1327" s="10"/>
    </row>
    <row r="1328" spans="1:15" ht="18" customHeight="1" x14ac:dyDescent="0.3">
      <c r="A1328" s="24">
        <v>1327</v>
      </c>
      <c r="B1328" s="10" t="s">
        <v>198</v>
      </c>
      <c r="C1328" s="10" t="s">
        <v>28</v>
      </c>
      <c r="D1328" s="62">
        <v>67</v>
      </c>
      <c r="E1328" s="61" t="s">
        <v>2565</v>
      </c>
      <c r="F1328" s="16" t="s">
        <v>533</v>
      </c>
      <c r="G1328" s="10" t="s">
        <v>150</v>
      </c>
      <c r="H1328" s="10" t="s">
        <v>848</v>
      </c>
      <c r="I1328" s="62">
        <v>236</v>
      </c>
      <c r="J1328" s="8" t="s">
        <v>846</v>
      </c>
      <c r="K1328" s="10" t="s">
        <v>847</v>
      </c>
      <c r="L1328" s="10" t="s">
        <v>2373</v>
      </c>
      <c r="M1328" s="10" t="s">
        <v>2372</v>
      </c>
      <c r="N1328" s="10" t="s">
        <v>2373</v>
      </c>
      <c r="O1328" s="10"/>
    </row>
    <row r="1329" spans="1:15" ht="18" customHeight="1" x14ac:dyDescent="0.3">
      <c r="A1329" s="24">
        <v>1328</v>
      </c>
      <c r="B1329" s="10" t="s">
        <v>198</v>
      </c>
      <c r="C1329" s="10" t="s">
        <v>28</v>
      </c>
      <c r="D1329" s="62">
        <v>67</v>
      </c>
      <c r="E1329" s="61" t="s">
        <v>2565</v>
      </c>
      <c r="F1329" s="16" t="s">
        <v>533</v>
      </c>
      <c r="G1329" s="10" t="s">
        <v>150</v>
      </c>
      <c r="H1329" s="10" t="s">
        <v>849</v>
      </c>
      <c r="I1329" s="62">
        <v>260</v>
      </c>
      <c r="J1329" s="8" t="s">
        <v>846</v>
      </c>
      <c r="K1329" s="10" t="s">
        <v>847</v>
      </c>
      <c r="L1329" s="10" t="s">
        <v>2373</v>
      </c>
      <c r="M1329" s="10" t="s">
        <v>2372</v>
      </c>
      <c r="N1329" s="10" t="s">
        <v>2373</v>
      </c>
      <c r="O1329" s="10"/>
    </row>
    <row r="1330" spans="1:15" ht="18" customHeight="1" x14ac:dyDescent="0.3">
      <c r="A1330" s="24">
        <v>1329</v>
      </c>
      <c r="B1330" s="10" t="s">
        <v>198</v>
      </c>
      <c r="C1330" s="10" t="s">
        <v>28</v>
      </c>
      <c r="D1330" s="62">
        <v>67</v>
      </c>
      <c r="E1330" s="61" t="s">
        <v>2565</v>
      </c>
      <c r="F1330" s="16" t="s">
        <v>533</v>
      </c>
      <c r="G1330" s="10" t="s">
        <v>150</v>
      </c>
      <c r="H1330" s="10" t="s">
        <v>850</v>
      </c>
      <c r="I1330" s="62">
        <v>210</v>
      </c>
      <c r="J1330" s="8" t="s">
        <v>2372</v>
      </c>
      <c r="K1330" s="10" t="s">
        <v>847</v>
      </c>
      <c r="L1330" s="10" t="s">
        <v>2373</v>
      </c>
      <c r="M1330" s="10" t="s">
        <v>2372</v>
      </c>
      <c r="N1330" s="10" t="s">
        <v>2373</v>
      </c>
      <c r="O1330" s="10"/>
    </row>
    <row r="1331" spans="1:15" ht="18" customHeight="1" x14ac:dyDescent="0.3">
      <c r="A1331" s="24">
        <v>1330</v>
      </c>
      <c r="B1331" s="10" t="s">
        <v>198</v>
      </c>
      <c r="C1331" s="10" t="s">
        <v>28</v>
      </c>
      <c r="D1331" s="62">
        <v>67</v>
      </c>
      <c r="E1331" s="61" t="s">
        <v>2565</v>
      </c>
      <c r="F1331" s="16" t="s">
        <v>533</v>
      </c>
      <c r="G1331" s="10" t="s">
        <v>150</v>
      </c>
      <c r="H1331" s="10" t="s">
        <v>851</v>
      </c>
      <c r="I1331" s="62">
        <v>103</v>
      </c>
      <c r="J1331" s="8" t="s">
        <v>2372</v>
      </c>
      <c r="K1331" s="10" t="s">
        <v>847</v>
      </c>
      <c r="L1331" s="10" t="s">
        <v>2373</v>
      </c>
      <c r="M1331" s="10" t="s">
        <v>2372</v>
      </c>
      <c r="N1331" s="10" t="s">
        <v>2373</v>
      </c>
      <c r="O1331" s="10"/>
    </row>
    <row r="1332" spans="1:15" ht="18" customHeight="1" x14ac:dyDescent="0.3">
      <c r="A1332" s="24">
        <v>1331</v>
      </c>
      <c r="B1332" s="10" t="s">
        <v>198</v>
      </c>
      <c r="C1332" s="10" t="s">
        <v>28</v>
      </c>
      <c r="D1332" s="62">
        <v>67</v>
      </c>
      <c r="E1332" s="61" t="s">
        <v>2565</v>
      </c>
      <c r="F1332" s="16" t="s">
        <v>533</v>
      </c>
      <c r="G1332" s="10" t="s">
        <v>150</v>
      </c>
      <c r="H1332" s="10" t="s">
        <v>852</v>
      </c>
      <c r="I1332" s="62">
        <v>116</v>
      </c>
      <c r="J1332" s="8" t="s">
        <v>846</v>
      </c>
      <c r="K1332" s="10" t="s">
        <v>847</v>
      </c>
      <c r="L1332" s="10" t="s">
        <v>2373</v>
      </c>
      <c r="M1332" s="10" t="s">
        <v>2372</v>
      </c>
      <c r="N1332" s="10" t="s">
        <v>2373</v>
      </c>
      <c r="O1332" s="10"/>
    </row>
    <row r="1333" spans="1:15" ht="18" customHeight="1" x14ac:dyDescent="0.3">
      <c r="A1333" s="24">
        <v>1332</v>
      </c>
      <c r="B1333" s="10" t="s">
        <v>198</v>
      </c>
      <c r="C1333" s="10" t="s">
        <v>28</v>
      </c>
      <c r="D1333" s="62">
        <v>67</v>
      </c>
      <c r="E1333" s="61" t="s">
        <v>2565</v>
      </c>
      <c r="F1333" s="16" t="s">
        <v>533</v>
      </c>
      <c r="G1333" s="10" t="s">
        <v>150</v>
      </c>
      <c r="H1333" s="10" t="s">
        <v>853</v>
      </c>
      <c r="I1333" s="62">
        <v>119</v>
      </c>
      <c r="J1333" s="8" t="s">
        <v>2372</v>
      </c>
      <c r="K1333" s="10" t="s">
        <v>847</v>
      </c>
      <c r="L1333" s="10" t="s">
        <v>2373</v>
      </c>
      <c r="M1333" s="10" t="s">
        <v>2372</v>
      </c>
      <c r="N1333" s="10" t="s">
        <v>2373</v>
      </c>
      <c r="O1333" s="10"/>
    </row>
    <row r="1334" spans="1:15" ht="18" customHeight="1" x14ac:dyDescent="0.3">
      <c r="A1334" s="24">
        <v>1333</v>
      </c>
      <c r="B1334" s="10" t="s">
        <v>198</v>
      </c>
      <c r="C1334" s="10" t="s">
        <v>28</v>
      </c>
      <c r="D1334" s="62">
        <v>67</v>
      </c>
      <c r="E1334" s="61" t="s">
        <v>2565</v>
      </c>
      <c r="F1334" s="16" t="s">
        <v>533</v>
      </c>
      <c r="G1334" s="10" t="s">
        <v>150</v>
      </c>
      <c r="H1334" s="10" t="s">
        <v>854</v>
      </c>
      <c r="I1334" s="62">
        <v>128</v>
      </c>
      <c r="J1334" s="8" t="s">
        <v>2372</v>
      </c>
      <c r="K1334" s="10" t="s">
        <v>847</v>
      </c>
      <c r="L1334" s="10" t="s">
        <v>2373</v>
      </c>
      <c r="M1334" s="10" t="s">
        <v>2372</v>
      </c>
      <c r="N1334" s="10" t="s">
        <v>2373</v>
      </c>
      <c r="O1334" s="10"/>
    </row>
    <row r="1335" spans="1:15" ht="18" customHeight="1" x14ac:dyDescent="0.3">
      <c r="A1335" s="24">
        <v>1334</v>
      </c>
      <c r="B1335" s="10" t="s">
        <v>198</v>
      </c>
      <c r="C1335" s="10" t="s">
        <v>28</v>
      </c>
      <c r="D1335" s="62">
        <v>67</v>
      </c>
      <c r="E1335" s="61" t="s">
        <v>2565</v>
      </c>
      <c r="F1335" s="16" t="s">
        <v>533</v>
      </c>
      <c r="G1335" s="10" t="s">
        <v>150</v>
      </c>
      <c r="H1335" s="10" t="s">
        <v>855</v>
      </c>
      <c r="I1335" s="62">
        <v>131</v>
      </c>
      <c r="J1335" s="8" t="s">
        <v>2372</v>
      </c>
      <c r="K1335" s="10" t="s">
        <v>847</v>
      </c>
      <c r="L1335" s="10" t="s">
        <v>2373</v>
      </c>
      <c r="M1335" s="10" t="s">
        <v>2372</v>
      </c>
      <c r="N1335" s="10" t="s">
        <v>2373</v>
      </c>
      <c r="O1335" s="10"/>
    </row>
    <row r="1336" spans="1:15" ht="18" customHeight="1" x14ac:dyDescent="0.3">
      <c r="A1336" s="24">
        <v>1335</v>
      </c>
      <c r="B1336" s="10" t="s">
        <v>198</v>
      </c>
      <c r="C1336" s="10" t="s">
        <v>28</v>
      </c>
      <c r="D1336" s="62">
        <v>67</v>
      </c>
      <c r="E1336" s="61" t="s">
        <v>2565</v>
      </c>
      <c r="F1336" s="16" t="s">
        <v>533</v>
      </c>
      <c r="G1336" s="10" t="s">
        <v>150</v>
      </c>
      <c r="H1336" s="10" t="s">
        <v>869</v>
      </c>
      <c r="I1336" s="62">
        <v>132</v>
      </c>
      <c r="J1336" s="8" t="s">
        <v>2372</v>
      </c>
      <c r="K1336" s="10" t="s">
        <v>847</v>
      </c>
      <c r="L1336" s="10" t="s">
        <v>2373</v>
      </c>
      <c r="M1336" s="10" t="s">
        <v>2372</v>
      </c>
      <c r="N1336" s="10" t="s">
        <v>2373</v>
      </c>
      <c r="O1336" s="10"/>
    </row>
    <row r="1337" spans="1:15" ht="18" customHeight="1" x14ac:dyDescent="0.3">
      <c r="A1337" s="24">
        <v>1336</v>
      </c>
      <c r="B1337" s="10" t="s">
        <v>198</v>
      </c>
      <c r="C1337" s="10" t="s">
        <v>28</v>
      </c>
      <c r="D1337" s="62">
        <v>67</v>
      </c>
      <c r="E1337" s="61" t="s">
        <v>2854</v>
      </c>
      <c r="F1337" s="19" t="s">
        <v>1556</v>
      </c>
      <c r="G1337" s="10" t="s">
        <v>160</v>
      </c>
      <c r="H1337" s="10" t="s">
        <v>845</v>
      </c>
      <c r="I1337" s="62">
        <v>97</v>
      </c>
      <c r="J1337" s="10" t="s">
        <v>2372</v>
      </c>
      <c r="K1337" s="10" t="s">
        <v>847</v>
      </c>
      <c r="L1337" s="10" t="s">
        <v>2373</v>
      </c>
      <c r="M1337" s="10" t="s">
        <v>2372</v>
      </c>
      <c r="N1337" s="10" t="s">
        <v>2373</v>
      </c>
      <c r="O1337" s="10"/>
    </row>
    <row r="1338" spans="1:15" ht="18" customHeight="1" x14ac:dyDescent="0.3">
      <c r="A1338" s="24">
        <v>1337</v>
      </c>
      <c r="B1338" s="10" t="s">
        <v>198</v>
      </c>
      <c r="C1338" s="10" t="s">
        <v>28</v>
      </c>
      <c r="D1338" s="62">
        <v>67</v>
      </c>
      <c r="E1338" s="61" t="s">
        <v>2854</v>
      </c>
      <c r="F1338" s="19" t="s">
        <v>1556</v>
      </c>
      <c r="G1338" s="10" t="s">
        <v>160</v>
      </c>
      <c r="H1338" s="10" t="s">
        <v>848</v>
      </c>
      <c r="I1338" s="62">
        <v>204</v>
      </c>
      <c r="J1338" s="10" t="s">
        <v>2372</v>
      </c>
      <c r="K1338" s="10" t="s">
        <v>847</v>
      </c>
      <c r="L1338" s="10" t="s">
        <v>2373</v>
      </c>
      <c r="M1338" s="10" t="s">
        <v>2372</v>
      </c>
      <c r="N1338" s="10" t="s">
        <v>2373</v>
      </c>
      <c r="O1338" s="10"/>
    </row>
    <row r="1339" spans="1:15" ht="18" customHeight="1" x14ac:dyDescent="0.3">
      <c r="A1339" s="24">
        <v>1338</v>
      </c>
      <c r="B1339" s="10" t="s">
        <v>198</v>
      </c>
      <c r="C1339" s="10" t="s">
        <v>28</v>
      </c>
      <c r="D1339" s="62">
        <v>67</v>
      </c>
      <c r="E1339" s="61" t="s">
        <v>2854</v>
      </c>
      <c r="F1339" s="19" t="s">
        <v>1034</v>
      </c>
      <c r="G1339" s="10" t="s">
        <v>160</v>
      </c>
      <c r="H1339" s="10" t="s">
        <v>849</v>
      </c>
      <c r="I1339" s="62">
        <v>180</v>
      </c>
      <c r="J1339" s="10" t="s">
        <v>2374</v>
      </c>
      <c r="K1339" s="10" t="s">
        <v>847</v>
      </c>
      <c r="L1339" s="10" t="s">
        <v>2373</v>
      </c>
      <c r="M1339" s="10" t="s">
        <v>2372</v>
      </c>
      <c r="N1339" s="10" t="s">
        <v>2373</v>
      </c>
      <c r="O1339" s="10"/>
    </row>
    <row r="1340" spans="1:15" ht="18" customHeight="1" x14ac:dyDescent="0.3">
      <c r="A1340" s="24">
        <v>1339</v>
      </c>
      <c r="B1340" s="10" t="s">
        <v>198</v>
      </c>
      <c r="C1340" s="10" t="s">
        <v>28</v>
      </c>
      <c r="D1340" s="62">
        <v>67</v>
      </c>
      <c r="E1340" s="61" t="s">
        <v>2854</v>
      </c>
      <c r="F1340" s="19" t="s">
        <v>1034</v>
      </c>
      <c r="G1340" s="10" t="s">
        <v>160</v>
      </c>
      <c r="H1340" s="10" t="s">
        <v>850</v>
      </c>
      <c r="I1340" s="62">
        <v>348</v>
      </c>
      <c r="J1340" s="10" t="s">
        <v>2372</v>
      </c>
      <c r="K1340" s="10" t="s">
        <v>847</v>
      </c>
      <c r="L1340" s="10" t="s">
        <v>2373</v>
      </c>
      <c r="M1340" s="10" t="s">
        <v>2372</v>
      </c>
      <c r="N1340" s="10" t="s">
        <v>2373</v>
      </c>
      <c r="O1340" s="10"/>
    </row>
    <row r="1341" spans="1:15" ht="18" customHeight="1" x14ac:dyDescent="0.3">
      <c r="A1341" s="24">
        <v>1340</v>
      </c>
      <c r="B1341" s="10" t="s">
        <v>198</v>
      </c>
      <c r="C1341" s="10" t="s">
        <v>28</v>
      </c>
      <c r="D1341" s="62">
        <v>67</v>
      </c>
      <c r="E1341" s="61" t="s">
        <v>2854</v>
      </c>
      <c r="F1341" s="19" t="s">
        <v>1034</v>
      </c>
      <c r="G1341" s="10" t="s">
        <v>160</v>
      </c>
      <c r="H1341" s="10" t="s">
        <v>851</v>
      </c>
      <c r="I1341" s="62">
        <v>187</v>
      </c>
      <c r="J1341" s="10" t="s">
        <v>2372</v>
      </c>
      <c r="K1341" s="10" t="s">
        <v>847</v>
      </c>
      <c r="L1341" s="10" t="s">
        <v>2373</v>
      </c>
      <c r="M1341" s="10" t="s">
        <v>2372</v>
      </c>
      <c r="N1341" s="10" t="s">
        <v>2373</v>
      </c>
      <c r="O1341" s="10"/>
    </row>
    <row r="1342" spans="1:15" ht="18" customHeight="1" x14ac:dyDescent="0.3">
      <c r="A1342" s="24">
        <v>1341</v>
      </c>
      <c r="B1342" s="10" t="s">
        <v>198</v>
      </c>
      <c r="C1342" s="10" t="s">
        <v>28</v>
      </c>
      <c r="D1342" s="62">
        <v>67</v>
      </c>
      <c r="E1342" s="61" t="s">
        <v>260</v>
      </c>
      <c r="F1342" s="27" t="s">
        <v>531</v>
      </c>
      <c r="G1342" s="10" t="s">
        <v>150</v>
      </c>
      <c r="H1342" s="10" t="s">
        <v>845</v>
      </c>
      <c r="I1342" s="62">
        <v>202</v>
      </c>
      <c r="J1342" s="10" t="s">
        <v>2372</v>
      </c>
      <c r="K1342" s="10" t="s">
        <v>847</v>
      </c>
      <c r="L1342" s="10" t="s">
        <v>2373</v>
      </c>
      <c r="M1342" s="10" t="s">
        <v>2372</v>
      </c>
      <c r="N1342" s="10" t="s">
        <v>2373</v>
      </c>
      <c r="O1342" s="10"/>
    </row>
    <row r="1343" spans="1:15" ht="18" customHeight="1" x14ac:dyDescent="0.3">
      <c r="A1343" s="24">
        <v>1342</v>
      </c>
      <c r="B1343" s="10" t="s">
        <v>198</v>
      </c>
      <c r="C1343" s="10" t="s">
        <v>28</v>
      </c>
      <c r="D1343" s="62">
        <v>67</v>
      </c>
      <c r="E1343" s="61" t="s">
        <v>260</v>
      </c>
      <c r="F1343" s="27" t="s">
        <v>531</v>
      </c>
      <c r="G1343" s="10" t="s">
        <v>150</v>
      </c>
      <c r="H1343" s="10" t="s">
        <v>848</v>
      </c>
      <c r="I1343" s="62">
        <v>128</v>
      </c>
      <c r="J1343" s="10" t="s">
        <v>2372</v>
      </c>
      <c r="K1343" s="10" t="s">
        <v>847</v>
      </c>
      <c r="L1343" s="10" t="s">
        <v>2373</v>
      </c>
      <c r="M1343" s="10" t="s">
        <v>2372</v>
      </c>
      <c r="N1343" s="10" t="s">
        <v>2373</v>
      </c>
      <c r="O1343" s="10"/>
    </row>
    <row r="1344" spans="1:15" ht="18" customHeight="1" x14ac:dyDescent="0.3">
      <c r="A1344" s="24">
        <v>1343</v>
      </c>
      <c r="B1344" s="10" t="s">
        <v>198</v>
      </c>
      <c r="C1344" s="10" t="s">
        <v>28</v>
      </c>
      <c r="D1344" s="62">
        <v>67</v>
      </c>
      <c r="E1344" s="61" t="s">
        <v>260</v>
      </c>
      <c r="F1344" s="27" t="s">
        <v>531</v>
      </c>
      <c r="G1344" s="10" t="s">
        <v>150</v>
      </c>
      <c r="H1344" s="10" t="s">
        <v>851</v>
      </c>
      <c r="I1344" s="62">
        <v>150</v>
      </c>
      <c r="J1344" s="10" t="s">
        <v>2374</v>
      </c>
      <c r="K1344" s="10" t="s">
        <v>847</v>
      </c>
      <c r="L1344" s="10" t="s">
        <v>2373</v>
      </c>
      <c r="M1344" s="10" t="s">
        <v>2372</v>
      </c>
      <c r="N1344" s="10" t="s">
        <v>2373</v>
      </c>
      <c r="O1344" s="10"/>
    </row>
    <row r="1345" spans="1:15" ht="18" customHeight="1" x14ac:dyDescent="0.3">
      <c r="A1345" s="24">
        <v>1344</v>
      </c>
      <c r="B1345" s="10" t="s">
        <v>198</v>
      </c>
      <c r="C1345" s="10" t="s">
        <v>28</v>
      </c>
      <c r="D1345" s="62">
        <v>67</v>
      </c>
      <c r="E1345" s="61" t="s">
        <v>260</v>
      </c>
      <c r="F1345" s="27" t="s">
        <v>531</v>
      </c>
      <c r="G1345" s="10" t="s">
        <v>150</v>
      </c>
      <c r="H1345" s="10" t="s">
        <v>2382</v>
      </c>
      <c r="I1345" s="62">
        <v>234</v>
      </c>
      <c r="J1345" s="10" t="s">
        <v>2372</v>
      </c>
      <c r="K1345" s="10" t="s">
        <v>2372</v>
      </c>
      <c r="L1345" s="10" t="s">
        <v>2373</v>
      </c>
      <c r="M1345" s="10" t="s">
        <v>2372</v>
      </c>
      <c r="N1345" s="10" t="s">
        <v>2373</v>
      </c>
      <c r="O1345" s="10"/>
    </row>
    <row r="1346" spans="1:15" ht="18" customHeight="1" x14ac:dyDescent="0.3">
      <c r="A1346" s="24">
        <v>1345</v>
      </c>
      <c r="B1346" s="10" t="s">
        <v>198</v>
      </c>
      <c r="C1346" s="10" t="s">
        <v>28</v>
      </c>
      <c r="D1346" s="62">
        <v>67</v>
      </c>
      <c r="E1346" s="61" t="s">
        <v>260</v>
      </c>
      <c r="F1346" s="27" t="s">
        <v>2566</v>
      </c>
      <c r="G1346" s="10" t="s">
        <v>150</v>
      </c>
      <c r="H1346" s="10" t="s">
        <v>849</v>
      </c>
      <c r="I1346" s="62">
        <v>176</v>
      </c>
      <c r="J1346" s="10" t="s">
        <v>2374</v>
      </c>
      <c r="K1346" s="10" t="s">
        <v>2374</v>
      </c>
      <c r="L1346" s="10" t="s">
        <v>1422</v>
      </c>
      <c r="M1346" s="10" t="s">
        <v>2372</v>
      </c>
      <c r="N1346" s="10" t="s">
        <v>2373</v>
      </c>
      <c r="O1346" s="10"/>
    </row>
    <row r="1347" spans="1:15" ht="18" customHeight="1" x14ac:dyDescent="0.3">
      <c r="A1347" s="24">
        <v>1346</v>
      </c>
      <c r="B1347" s="10" t="s">
        <v>198</v>
      </c>
      <c r="C1347" s="10" t="s">
        <v>28</v>
      </c>
      <c r="D1347" s="62">
        <v>67</v>
      </c>
      <c r="E1347" s="61" t="s">
        <v>260</v>
      </c>
      <c r="F1347" s="27" t="s">
        <v>2566</v>
      </c>
      <c r="G1347" s="10" t="s">
        <v>150</v>
      </c>
      <c r="H1347" s="10" t="s">
        <v>850</v>
      </c>
      <c r="I1347" s="62">
        <v>126</v>
      </c>
      <c r="J1347" s="10" t="s">
        <v>2372</v>
      </c>
      <c r="K1347" s="10" t="s">
        <v>2374</v>
      </c>
      <c r="L1347" s="10" t="s">
        <v>1422</v>
      </c>
      <c r="M1347" s="10" t="s">
        <v>2372</v>
      </c>
      <c r="N1347" s="10" t="s">
        <v>2373</v>
      </c>
      <c r="O1347" s="10"/>
    </row>
    <row r="1348" spans="1:15" ht="18" customHeight="1" x14ac:dyDescent="0.3">
      <c r="A1348" s="24">
        <v>1347</v>
      </c>
      <c r="B1348" s="10" t="s">
        <v>198</v>
      </c>
      <c r="C1348" s="10" t="s">
        <v>28</v>
      </c>
      <c r="D1348" s="62">
        <v>67</v>
      </c>
      <c r="E1348" s="61" t="s">
        <v>260</v>
      </c>
      <c r="F1348" s="27" t="s">
        <v>2566</v>
      </c>
      <c r="G1348" s="10" t="s">
        <v>150</v>
      </c>
      <c r="H1348" s="10" t="s">
        <v>853</v>
      </c>
      <c r="I1348" s="62">
        <v>130</v>
      </c>
      <c r="J1348" s="10" t="s">
        <v>2374</v>
      </c>
      <c r="K1348" s="10" t="s">
        <v>2374</v>
      </c>
      <c r="L1348" s="10" t="s">
        <v>1422</v>
      </c>
      <c r="M1348" s="10" t="s">
        <v>2372</v>
      </c>
      <c r="N1348" s="10" t="s">
        <v>2373</v>
      </c>
      <c r="O1348" s="10"/>
    </row>
    <row r="1349" spans="1:15" ht="18" customHeight="1" x14ac:dyDescent="0.3">
      <c r="A1349" s="24">
        <v>1348</v>
      </c>
      <c r="B1349" s="10" t="s">
        <v>198</v>
      </c>
      <c r="C1349" s="10" t="s">
        <v>28</v>
      </c>
      <c r="D1349" s="62">
        <v>67</v>
      </c>
      <c r="E1349" s="61" t="s">
        <v>260</v>
      </c>
      <c r="F1349" s="27" t="s">
        <v>2566</v>
      </c>
      <c r="G1349" s="10" t="s">
        <v>150</v>
      </c>
      <c r="H1349" s="10" t="s">
        <v>854</v>
      </c>
      <c r="I1349" s="62">
        <v>187</v>
      </c>
      <c r="J1349" s="10" t="s">
        <v>2372</v>
      </c>
      <c r="K1349" s="10" t="s">
        <v>2374</v>
      </c>
      <c r="L1349" s="10" t="s">
        <v>1422</v>
      </c>
      <c r="M1349" s="10" t="s">
        <v>2372</v>
      </c>
      <c r="N1349" s="10" t="s">
        <v>2373</v>
      </c>
      <c r="O1349" s="10"/>
    </row>
    <row r="1350" spans="1:15" ht="18" customHeight="1" x14ac:dyDescent="0.3">
      <c r="A1350" s="24">
        <v>1349</v>
      </c>
      <c r="B1350" s="10" t="s">
        <v>198</v>
      </c>
      <c r="C1350" s="10" t="s">
        <v>28</v>
      </c>
      <c r="D1350" s="62">
        <v>67</v>
      </c>
      <c r="E1350" s="61" t="s">
        <v>2855</v>
      </c>
      <c r="F1350" s="19" t="s">
        <v>527</v>
      </c>
      <c r="G1350" s="10" t="s">
        <v>150</v>
      </c>
      <c r="H1350" s="10" t="s">
        <v>845</v>
      </c>
      <c r="I1350" s="62">
        <v>159</v>
      </c>
      <c r="J1350" s="10" t="s">
        <v>2374</v>
      </c>
      <c r="K1350" s="10" t="s">
        <v>846</v>
      </c>
      <c r="L1350" s="10" t="s">
        <v>985</v>
      </c>
      <c r="M1350" s="10" t="s">
        <v>2372</v>
      </c>
      <c r="N1350" s="10" t="s">
        <v>2373</v>
      </c>
      <c r="O1350" s="10"/>
    </row>
    <row r="1351" spans="1:15" ht="18" customHeight="1" x14ac:dyDescent="0.3">
      <c r="A1351" s="24">
        <v>1350</v>
      </c>
      <c r="B1351" s="10" t="s">
        <v>198</v>
      </c>
      <c r="C1351" s="10" t="s">
        <v>28</v>
      </c>
      <c r="D1351" s="62">
        <v>67</v>
      </c>
      <c r="E1351" s="61" t="s">
        <v>2855</v>
      </c>
      <c r="F1351" s="19" t="s">
        <v>527</v>
      </c>
      <c r="G1351" s="10" t="s">
        <v>150</v>
      </c>
      <c r="H1351" s="10" t="s">
        <v>848</v>
      </c>
      <c r="I1351" s="62">
        <v>172</v>
      </c>
      <c r="J1351" s="10" t="s">
        <v>2374</v>
      </c>
      <c r="K1351" s="10" t="s">
        <v>847</v>
      </c>
      <c r="L1351" s="10" t="s">
        <v>2373</v>
      </c>
      <c r="M1351" s="10" t="s">
        <v>2372</v>
      </c>
      <c r="N1351" s="10" t="s">
        <v>2373</v>
      </c>
      <c r="O1351" s="10"/>
    </row>
    <row r="1352" spans="1:15" ht="18" customHeight="1" x14ac:dyDescent="0.3">
      <c r="A1352" s="24">
        <v>1351</v>
      </c>
      <c r="B1352" s="10" t="s">
        <v>198</v>
      </c>
      <c r="C1352" s="10" t="s">
        <v>28</v>
      </c>
      <c r="D1352" s="62">
        <v>67</v>
      </c>
      <c r="E1352" s="61" t="s">
        <v>2855</v>
      </c>
      <c r="F1352" s="19" t="s">
        <v>527</v>
      </c>
      <c r="G1352" s="10" t="s">
        <v>150</v>
      </c>
      <c r="H1352" s="10" t="s">
        <v>849</v>
      </c>
      <c r="I1352" s="62">
        <v>154</v>
      </c>
      <c r="J1352" s="10" t="s">
        <v>2374</v>
      </c>
      <c r="K1352" s="10" t="s">
        <v>847</v>
      </c>
      <c r="L1352" s="10" t="s">
        <v>2373</v>
      </c>
      <c r="M1352" s="10" t="s">
        <v>2372</v>
      </c>
      <c r="N1352" s="10" t="s">
        <v>2373</v>
      </c>
      <c r="O1352" s="10"/>
    </row>
    <row r="1353" spans="1:15" ht="18" customHeight="1" x14ac:dyDescent="0.3">
      <c r="A1353" s="24">
        <v>1352</v>
      </c>
      <c r="B1353" s="10" t="s">
        <v>198</v>
      </c>
      <c r="C1353" s="10" t="s">
        <v>28</v>
      </c>
      <c r="D1353" s="62">
        <v>67</v>
      </c>
      <c r="E1353" s="61" t="s">
        <v>2855</v>
      </c>
      <c r="F1353" s="19" t="s">
        <v>527</v>
      </c>
      <c r="G1353" s="10" t="s">
        <v>150</v>
      </c>
      <c r="H1353" s="10" t="s">
        <v>850</v>
      </c>
      <c r="I1353" s="62">
        <v>159</v>
      </c>
      <c r="J1353" s="10" t="s">
        <v>2372</v>
      </c>
      <c r="K1353" s="10" t="s">
        <v>847</v>
      </c>
      <c r="L1353" s="10" t="s">
        <v>2373</v>
      </c>
      <c r="M1353" s="10" t="s">
        <v>2372</v>
      </c>
      <c r="N1353" s="10" t="s">
        <v>2373</v>
      </c>
      <c r="O1353" s="10"/>
    </row>
    <row r="1354" spans="1:15" ht="18" customHeight="1" x14ac:dyDescent="0.3">
      <c r="A1354" s="24">
        <v>1353</v>
      </c>
      <c r="B1354" s="10" t="s">
        <v>198</v>
      </c>
      <c r="C1354" s="10" t="s">
        <v>28</v>
      </c>
      <c r="D1354" s="62">
        <v>67</v>
      </c>
      <c r="E1354" s="61" t="s">
        <v>2855</v>
      </c>
      <c r="F1354" s="19" t="s">
        <v>527</v>
      </c>
      <c r="G1354" s="10" t="s">
        <v>150</v>
      </c>
      <c r="H1354" s="10" t="s">
        <v>851</v>
      </c>
      <c r="I1354" s="62">
        <v>172</v>
      </c>
      <c r="J1354" s="10" t="s">
        <v>2372</v>
      </c>
      <c r="K1354" s="10" t="s">
        <v>847</v>
      </c>
      <c r="L1354" s="10" t="s">
        <v>2373</v>
      </c>
      <c r="M1354" s="10" t="s">
        <v>2372</v>
      </c>
      <c r="N1354" s="10" t="s">
        <v>2373</v>
      </c>
      <c r="O1354" s="10"/>
    </row>
    <row r="1355" spans="1:15" ht="18" customHeight="1" x14ac:dyDescent="0.3">
      <c r="A1355" s="24">
        <v>1354</v>
      </c>
      <c r="B1355" s="10" t="s">
        <v>198</v>
      </c>
      <c r="C1355" s="10" t="s">
        <v>28</v>
      </c>
      <c r="D1355" s="62">
        <v>67</v>
      </c>
      <c r="E1355" s="61" t="s">
        <v>2855</v>
      </c>
      <c r="F1355" s="19" t="s">
        <v>527</v>
      </c>
      <c r="G1355" s="10" t="s">
        <v>150</v>
      </c>
      <c r="H1355" s="10" t="s">
        <v>852</v>
      </c>
      <c r="I1355" s="62">
        <v>154</v>
      </c>
      <c r="J1355" s="10" t="s">
        <v>2372</v>
      </c>
      <c r="K1355" s="10" t="s">
        <v>847</v>
      </c>
      <c r="L1355" s="10" t="s">
        <v>2373</v>
      </c>
      <c r="M1355" s="10" t="s">
        <v>2372</v>
      </c>
      <c r="N1355" s="10" t="s">
        <v>2373</v>
      </c>
      <c r="O1355" s="10"/>
    </row>
    <row r="1356" spans="1:15" ht="18" customHeight="1" x14ac:dyDescent="0.3">
      <c r="A1356" s="24">
        <v>1355</v>
      </c>
      <c r="B1356" s="10" t="s">
        <v>198</v>
      </c>
      <c r="C1356" s="10" t="s">
        <v>28</v>
      </c>
      <c r="D1356" s="62">
        <v>67</v>
      </c>
      <c r="E1356" s="61" t="s">
        <v>904</v>
      </c>
      <c r="F1356" s="16" t="s">
        <v>1560</v>
      </c>
      <c r="G1356" s="10" t="s">
        <v>150</v>
      </c>
      <c r="H1356" s="10" t="s">
        <v>845</v>
      </c>
      <c r="I1356" s="62">
        <v>121</v>
      </c>
      <c r="J1356" s="8" t="s">
        <v>2372</v>
      </c>
      <c r="K1356" s="10" t="s">
        <v>847</v>
      </c>
      <c r="L1356" s="10" t="s">
        <v>2373</v>
      </c>
      <c r="M1356" s="10" t="s">
        <v>2372</v>
      </c>
      <c r="N1356" s="10" t="s">
        <v>2373</v>
      </c>
      <c r="O1356" s="10"/>
    </row>
    <row r="1357" spans="1:15" ht="18" customHeight="1" x14ac:dyDescent="0.3">
      <c r="A1357" s="24">
        <v>1356</v>
      </c>
      <c r="B1357" s="10" t="s">
        <v>198</v>
      </c>
      <c r="C1357" s="10" t="s">
        <v>28</v>
      </c>
      <c r="D1357" s="62">
        <v>67</v>
      </c>
      <c r="E1357" s="61" t="s">
        <v>904</v>
      </c>
      <c r="F1357" s="16" t="s">
        <v>1560</v>
      </c>
      <c r="G1357" s="10" t="s">
        <v>150</v>
      </c>
      <c r="H1357" s="10" t="s">
        <v>848</v>
      </c>
      <c r="I1357" s="62">
        <v>57</v>
      </c>
      <c r="J1357" s="8" t="s">
        <v>2372</v>
      </c>
      <c r="K1357" s="10" t="s">
        <v>2374</v>
      </c>
      <c r="L1357" s="10" t="s">
        <v>2229</v>
      </c>
      <c r="M1357" s="10" t="s">
        <v>2372</v>
      </c>
      <c r="N1357" s="10" t="s">
        <v>2373</v>
      </c>
      <c r="O1357" s="10"/>
    </row>
    <row r="1358" spans="1:15" ht="18" customHeight="1" x14ac:dyDescent="0.3">
      <c r="A1358" s="24">
        <v>1357</v>
      </c>
      <c r="B1358" s="10" t="s">
        <v>198</v>
      </c>
      <c r="C1358" s="10" t="s">
        <v>28</v>
      </c>
      <c r="D1358" s="62">
        <v>67</v>
      </c>
      <c r="E1358" s="61" t="s">
        <v>904</v>
      </c>
      <c r="F1358" s="16" t="s">
        <v>1035</v>
      </c>
      <c r="G1358" s="10" t="s">
        <v>150</v>
      </c>
      <c r="H1358" s="10" t="s">
        <v>849</v>
      </c>
      <c r="I1358" s="62">
        <v>272</v>
      </c>
      <c r="J1358" s="8" t="s">
        <v>846</v>
      </c>
      <c r="K1358" s="10" t="s">
        <v>847</v>
      </c>
      <c r="L1358" s="10" t="s">
        <v>2373</v>
      </c>
      <c r="M1358" s="10" t="s">
        <v>2372</v>
      </c>
      <c r="N1358" s="10" t="s">
        <v>2373</v>
      </c>
      <c r="O1358" s="10"/>
    </row>
    <row r="1359" spans="1:15" ht="18" customHeight="1" x14ac:dyDescent="0.3">
      <c r="A1359" s="24">
        <v>1358</v>
      </c>
      <c r="B1359" s="10" t="s">
        <v>198</v>
      </c>
      <c r="C1359" s="10" t="s">
        <v>28</v>
      </c>
      <c r="D1359" s="62">
        <v>67</v>
      </c>
      <c r="E1359" s="61" t="s">
        <v>904</v>
      </c>
      <c r="F1359" s="16" t="s">
        <v>1035</v>
      </c>
      <c r="G1359" s="10" t="s">
        <v>150</v>
      </c>
      <c r="H1359" s="10" t="s">
        <v>850</v>
      </c>
      <c r="I1359" s="62">
        <v>57</v>
      </c>
      <c r="J1359" s="8" t="s">
        <v>2372</v>
      </c>
      <c r="K1359" s="10" t="s">
        <v>2374</v>
      </c>
      <c r="L1359" s="10" t="s">
        <v>2229</v>
      </c>
      <c r="M1359" s="10" t="s">
        <v>2372</v>
      </c>
      <c r="N1359" s="10" t="s">
        <v>2373</v>
      </c>
      <c r="O1359" s="10"/>
    </row>
    <row r="1360" spans="1:15" ht="18" customHeight="1" x14ac:dyDescent="0.3">
      <c r="A1360" s="24">
        <v>1359</v>
      </c>
      <c r="B1360" s="10" t="s">
        <v>198</v>
      </c>
      <c r="C1360" s="10" t="s">
        <v>28</v>
      </c>
      <c r="D1360" s="62">
        <v>67</v>
      </c>
      <c r="E1360" s="61" t="s">
        <v>904</v>
      </c>
      <c r="F1360" s="16" t="s">
        <v>1035</v>
      </c>
      <c r="G1360" s="10" t="s">
        <v>150</v>
      </c>
      <c r="H1360" s="10" t="s">
        <v>851</v>
      </c>
      <c r="I1360" s="62">
        <v>302</v>
      </c>
      <c r="J1360" s="8" t="s">
        <v>2372</v>
      </c>
      <c r="K1360" s="10" t="s">
        <v>847</v>
      </c>
      <c r="L1360" s="10" t="s">
        <v>2373</v>
      </c>
      <c r="M1360" s="10" t="s">
        <v>2372</v>
      </c>
      <c r="N1360" s="10" t="s">
        <v>2373</v>
      </c>
      <c r="O1360" s="10"/>
    </row>
    <row r="1361" spans="1:15" ht="18" customHeight="1" x14ac:dyDescent="0.3">
      <c r="A1361" s="24">
        <v>1360</v>
      </c>
      <c r="B1361" s="10" t="s">
        <v>198</v>
      </c>
      <c r="C1361" s="10" t="s">
        <v>28</v>
      </c>
      <c r="D1361" s="62">
        <v>67</v>
      </c>
      <c r="E1361" s="61" t="s">
        <v>904</v>
      </c>
      <c r="F1361" s="16" t="s">
        <v>1035</v>
      </c>
      <c r="G1361" s="10" t="s">
        <v>150</v>
      </c>
      <c r="H1361" s="10" t="s">
        <v>852</v>
      </c>
      <c r="I1361" s="62">
        <v>133</v>
      </c>
      <c r="J1361" s="8" t="s">
        <v>846</v>
      </c>
      <c r="K1361" s="10" t="s">
        <v>847</v>
      </c>
      <c r="L1361" s="10" t="s">
        <v>2373</v>
      </c>
      <c r="M1361" s="10" t="s">
        <v>2372</v>
      </c>
      <c r="N1361" s="10" t="s">
        <v>2373</v>
      </c>
      <c r="O1361" s="10"/>
    </row>
    <row r="1362" spans="1:15" ht="18" customHeight="1" x14ac:dyDescent="0.3">
      <c r="A1362" s="24">
        <v>1361</v>
      </c>
      <c r="B1362" s="10" t="s">
        <v>198</v>
      </c>
      <c r="C1362" s="10" t="s">
        <v>28</v>
      </c>
      <c r="D1362" s="62">
        <v>67</v>
      </c>
      <c r="E1362" s="61" t="s">
        <v>904</v>
      </c>
      <c r="F1362" s="16" t="s">
        <v>1035</v>
      </c>
      <c r="G1362" s="10" t="s">
        <v>150</v>
      </c>
      <c r="H1362" s="10" t="s">
        <v>853</v>
      </c>
      <c r="I1362" s="62">
        <v>125</v>
      </c>
      <c r="J1362" s="8" t="s">
        <v>2372</v>
      </c>
      <c r="K1362" s="10" t="s">
        <v>847</v>
      </c>
      <c r="L1362" s="10" t="s">
        <v>2373</v>
      </c>
      <c r="M1362" s="10" t="s">
        <v>2372</v>
      </c>
      <c r="N1362" s="10" t="s">
        <v>2373</v>
      </c>
      <c r="O1362" s="10"/>
    </row>
    <row r="1363" spans="1:15" ht="18" customHeight="1" x14ac:dyDescent="0.3">
      <c r="A1363" s="24">
        <v>1362</v>
      </c>
      <c r="B1363" s="10" t="s">
        <v>198</v>
      </c>
      <c r="C1363" s="10" t="s">
        <v>48</v>
      </c>
      <c r="D1363" s="62">
        <v>68</v>
      </c>
      <c r="E1363" s="61" t="s">
        <v>1561</v>
      </c>
      <c r="F1363" s="19" t="s">
        <v>2567</v>
      </c>
      <c r="G1363" s="10" t="s">
        <v>1264</v>
      </c>
      <c r="H1363" s="10" t="s">
        <v>849</v>
      </c>
      <c r="I1363" s="62">
        <v>158</v>
      </c>
      <c r="J1363" s="10" t="s">
        <v>2372</v>
      </c>
      <c r="K1363" s="10" t="s">
        <v>847</v>
      </c>
      <c r="L1363" s="10" t="s">
        <v>2373</v>
      </c>
      <c r="M1363" s="10" t="s">
        <v>2372</v>
      </c>
      <c r="N1363" s="10" t="s">
        <v>2373</v>
      </c>
      <c r="O1363" s="10"/>
    </row>
    <row r="1364" spans="1:15" ht="18" customHeight="1" x14ac:dyDescent="0.3">
      <c r="A1364" s="24">
        <v>1363</v>
      </c>
      <c r="B1364" s="10" t="s">
        <v>198</v>
      </c>
      <c r="C1364" s="10" t="s">
        <v>48</v>
      </c>
      <c r="D1364" s="62">
        <v>68</v>
      </c>
      <c r="E1364" s="61" t="s">
        <v>1561</v>
      </c>
      <c r="F1364" s="19" t="s">
        <v>1037</v>
      </c>
      <c r="G1364" s="10" t="s">
        <v>1264</v>
      </c>
      <c r="H1364" s="10" t="s">
        <v>850</v>
      </c>
      <c r="I1364" s="62">
        <v>173</v>
      </c>
      <c r="J1364" s="10" t="s">
        <v>2372</v>
      </c>
      <c r="K1364" s="10" t="s">
        <v>847</v>
      </c>
      <c r="L1364" s="10" t="s">
        <v>2373</v>
      </c>
      <c r="M1364" s="10" t="s">
        <v>2372</v>
      </c>
      <c r="N1364" s="10" t="s">
        <v>2373</v>
      </c>
      <c r="O1364" s="10"/>
    </row>
    <row r="1365" spans="1:15" ht="18" customHeight="1" x14ac:dyDescent="0.3">
      <c r="A1365" s="24">
        <v>1364</v>
      </c>
      <c r="B1365" s="10" t="s">
        <v>198</v>
      </c>
      <c r="C1365" s="10" t="s">
        <v>48</v>
      </c>
      <c r="D1365" s="62">
        <v>68</v>
      </c>
      <c r="E1365" s="61" t="s">
        <v>1561</v>
      </c>
      <c r="F1365" s="19" t="s">
        <v>1037</v>
      </c>
      <c r="G1365" s="10" t="s">
        <v>1264</v>
      </c>
      <c r="H1365" s="10" t="s">
        <v>851</v>
      </c>
      <c r="I1365" s="62">
        <v>206</v>
      </c>
      <c r="J1365" s="10" t="s">
        <v>2374</v>
      </c>
      <c r="K1365" s="10" t="s">
        <v>847</v>
      </c>
      <c r="L1365" s="10" t="s">
        <v>2373</v>
      </c>
      <c r="M1365" s="10" t="s">
        <v>2372</v>
      </c>
      <c r="N1365" s="10" t="s">
        <v>2373</v>
      </c>
      <c r="O1365" s="10"/>
    </row>
    <row r="1366" spans="1:15" ht="18" customHeight="1" x14ac:dyDescent="0.3">
      <c r="A1366" s="24">
        <v>1365</v>
      </c>
      <c r="B1366" s="10" t="s">
        <v>198</v>
      </c>
      <c r="C1366" s="10" t="s">
        <v>48</v>
      </c>
      <c r="D1366" s="62">
        <v>68</v>
      </c>
      <c r="E1366" s="61" t="s">
        <v>1561</v>
      </c>
      <c r="F1366" s="19" t="s">
        <v>538</v>
      </c>
      <c r="G1366" s="10" t="s">
        <v>1264</v>
      </c>
      <c r="H1366" s="10" t="s">
        <v>845</v>
      </c>
      <c r="I1366" s="62">
        <v>207</v>
      </c>
      <c r="J1366" s="10" t="s">
        <v>2372</v>
      </c>
      <c r="K1366" s="10" t="s">
        <v>847</v>
      </c>
      <c r="L1366" s="10" t="s">
        <v>2373</v>
      </c>
      <c r="M1366" s="10" t="s">
        <v>2372</v>
      </c>
      <c r="N1366" s="10" t="s">
        <v>2373</v>
      </c>
      <c r="O1366" s="10"/>
    </row>
    <row r="1367" spans="1:15" ht="18" customHeight="1" x14ac:dyDescent="0.3">
      <c r="A1367" s="24">
        <v>1366</v>
      </c>
      <c r="B1367" s="10" t="s">
        <v>198</v>
      </c>
      <c r="C1367" s="10" t="s">
        <v>48</v>
      </c>
      <c r="D1367" s="62">
        <v>68</v>
      </c>
      <c r="E1367" s="61" t="s">
        <v>1561</v>
      </c>
      <c r="F1367" s="19" t="s">
        <v>538</v>
      </c>
      <c r="G1367" s="10" t="s">
        <v>1264</v>
      </c>
      <c r="H1367" s="10" t="s">
        <v>848</v>
      </c>
      <c r="I1367" s="62">
        <v>179</v>
      </c>
      <c r="J1367" s="10" t="s">
        <v>2374</v>
      </c>
      <c r="K1367" s="10" t="s">
        <v>847</v>
      </c>
      <c r="L1367" s="10" t="s">
        <v>2373</v>
      </c>
      <c r="M1367" s="10" t="s">
        <v>2372</v>
      </c>
      <c r="N1367" s="10" t="s">
        <v>2373</v>
      </c>
      <c r="O1367" s="10"/>
    </row>
    <row r="1368" spans="1:15" ht="18" customHeight="1" x14ac:dyDescent="0.3">
      <c r="A1368" s="24">
        <v>1367</v>
      </c>
      <c r="B1368" s="10" t="s">
        <v>198</v>
      </c>
      <c r="C1368" s="10" t="s">
        <v>48</v>
      </c>
      <c r="D1368" s="62">
        <v>68</v>
      </c>
      <c r="E1368" s="61" t="s">
        <v>2856</v>
      </c>
      <c r="F1368" s="19" t="s">
        <v>1036</v>
      </c>
      <c r="G1368" s="10" t="s">
        <v>160</v>
      </c>
      <c r="H1368" s="10" t="s">
        <v>849</v>
      </c>
      <c r="I1368" s="62">
        <v>158</v>
      </c>
      <c r="J1368" s="10" t="s">
        <v>2374</v>
      </c>
      <c r="K1368" s="10" t="s">
        <v>847</v>
      </c>
      <c r="L1368" s="10" t="s">
        <v>2373</v>
      </c>
      <c r="M1368" s="10" t="s">
        <v>2372</v>
      </c>
      <c r="N1368" s="10" t="s">
        <v>2373</v>
      </c>
      <c r="O1368" s="10"/>
    </row>
    <row r="1369" spans="1:15" ht="18" customHeight="1" x14ac:dyDescent="0.3">
      <c r="A1369" s="24">
        <v>1368</v>
      </c>
      <c r="B1369" s="10" t="s">
        <v>198</v>
      </c>
      <c r="C1369" s="10" t="s">
        <v>48</v>
      </c>
      <c r="D1369" s="62">
        <v>68</v>
      </c>
      <c r="E1369" s="61" t="s">
        <v>2856</v>
      </c>
      <c r="F1369" s="19" t="s">
        <v>1036</v>
      </c>
      <c r="G1369" s="10" t="s">
        <v>160</v>
      </c>
      <c r="H1369" s="10" t="s">
        <v>850</v>
      </c>
      <c r="I1369" s="62">
        <v>228</v>
      </c>
      <c r="J1369" s="10" t="s">
        <v>2372</v>
      </c>
      <c r="K1369" s="10" t="s">
        <v>847</v>
      </c>
      <c r="L1369" s="10" t="s">
        <v>2373</v>
      </c>
      <c r="M1369" s="10" t="s">
        <v>2372</v>
      </c>
      <c r="N1369" s="10" t="s">
        <v>2373</v>
      </c>
      <c r="O1369" s="10"/>
    </row>
    <row r="1370" spans="1:15" ht="18" customHeight="1" x14ac:dyDescent="0.3">
      <c r="A1370" s="24">
        <v>1369</v>
      </c>
      <c r="B1370" s="10" t="s">
        <v>198</v>
      </c>
      <c r="C1370" s="10" t="s">
        <v>48</v>
      </c>
      <c r="D1370" s="62">
        <v>68</v>
      </c>
      <c r="E1370" s="61" t="s">
        <v>2856</v>
      </c>
      <c r="F1370" s="19" t="s">
        <v>1036</v>
      </c>
      <c r="G1370" s="10" t="s">
        <v>160</v>
      </c>
      <c r="H1370" s="10" t="s">
        <v>851</v>
      </c>
      <c r="I1370" s="62">
        <v>228</v>
      </c>
      <c r="J1370" s="10" t="s">
        <v>2374</v>
      </c>
      <c r="K1370" s="10" t="s">
        <v>847</v>
      </c>
      <c r="L1370" s="10" t="s">
        <v>2373</v>
      </c>
      <c r="M1370" s="10" t="s">
        <v>2372</v>
      </c>
      <c r="N1370" s="10" t="s">
        <v>2373</v>
      </c>
      <c r="O1370" s="10"/>
    </row>
    <row r="1371" spans="1:15" ht="18" customHeight="1" x14ac:dyDescent="0.3">
      <c r="A1371" s="24">
        <v>1370</v>
      </c>
      <c r="B1371" s="10" t="s">
        <v>198</v>
      </c>
      <c r="C1371" s="10" t="s">
        <v>48</v>
      </c>
      <c r="D1371" s="62">
        <v>68</v>
      </c>
      <c r="E1371" s="61" t="s">
        <v>2856</v>
      </c>
      <c r="F1371" s="19" t="s">
        <v>536</v>
      </c>
      <c r="G1371" s="10" t="s">
        <v>160</v>
      </c>
      <c r="H1371" s="10" t="s">
        <v>845</v>
      </c>
      <c r="I1371" s="62">
        <v>196</v>
      </c>
      <c r="J1371" s="10" t="s">
        <v>2372</v>
      </c>
      <c r="K1371" s="10" t="s">
        <v>847</v>
      </c>
      <c r="L1371" s="10" t="s">
        <v>2373</v>
      </c>
      <c r="M1371" s="10" t="s">
        <v>2372</v>
      </c>
      <c r="N1371" s="10" t="s">
        <v>2373</v>
      </c>
      <c r="O1371" s="10"/>
    </row>
    <row r="1372" spans="1:15" ht="18" customHeight="1" x14ac:dyDescent="0.3">
      <c r="A1372" s="24">
        <v>1371</v>
      </c>
      <c r="B1372" s="10" t="s">
        <v>198</v>
      </c>
      <c r="C1372" s="10" t="s">
        <v>48</v>
      </c>
      <c r="D1372" s="62">
        <v>68</v>
      </c>
      <c r="E1372" s="61" t="s">
        <v>2856</v>
      </c>
      <c r="F1372" s="19" t="s">
        <v>536</v>
      </c>
      <c r="G1372" s="10" t="s">
        <v>160</v>
      </c>
      <c r="H1372" s="10" t="s">
        <v>848</v>
      </c>
      <c r="I1372" s="62">
        <v>158</v>
      </c>
      <c r="J1372" s="10" t="s">
        <v>2372</v>
      </c>
      <c r="K1372" s="10" t="s">
        <v>847</v>
      </c>
      <c r="L1372" s="10" t="s">
        <v>2373</v>
      </c>
      <c r="M1372" s="10" t="s">
        <v>2372</v>
      </c>
      <c r="N1372" s="10" t="s">
        <v>2373</v>
      </c>
      <c r="O1372" s="10"/>
    </row>
    <row r="1373" spans="1:15" ht="18" customHeight="1" x14ac:dyDescent="0.3">
      <c r="A1373" s="24">
        <v>1372</v>
      </c>
      <c r="B1373" s="10" t="s">
        <v>1547</v>
      </c>
      <c r="C1373" s="10" t="s">
        <v>1564</v>
      </c>
      <c r="D1373" s="62">
        <v>68</v>
      </c>
      <c r="E1373" s="61" t="s">
        <v>1565</v>
      </c>
      <c r="F1373" s="44" t="s">
        <v>1566</v>
      </c>
      <c r="G1373" s="24" t="s">
        <v>1264</v>
      </c>
      <c r="H1373" s="10" t="s">
        <v>2539</v>
      </c>
      <c r="I1373" s="62">
        <v>168</v>
      </c>
      <c r="J1373" s="10" t="s">
        <v>2372</v>
      </c>
      <c r="K1373" s="10" t="s">
        <v>2374</v>
      </c>
      <c r="L1373" s="10" t="s">
        <v>2568</v>
      </c>
      <c r="M1373" s="10" t="s">
        <v>2372</v>
      </c>
      <c r="N1373" s="10" t="s">
        <v>2373</v>
      </c>
      <c r="O1373" s="10"/>
    </row>
    <row r="1374" spans="1:15" ht="18" customHeight="1" x14ac:dyDescent="0.3">
      <c r="A1374" s="24">
        <v>1373</v>
      </c>
      <c r="B1374" s="10" t="s">
        <v>1547</v>
      </c>
      <c r="C1374" s="10" t="s">
        <v>1564</v>
      </c>
      <c r="D1374" s="62">
        <v>68</v>
      </c>
      <c r="E1374" s="61" t="s">
        <v>1565</v>
      </c>
      <c r="F1374" s="44" t="s">
        <v>1566</v>
      </c>
      <c r="G1374" s="24" t="s">
        <v>1264</v>
      </c>
      <c r="H1374" s="10" t="s">
        <v>2569</v>
      </c>
      <c r="I1374" s="62">
        <v>16</v>
      </c>
      <c r="J1374" s="10" t="s">
        <v>2372</v>
      </c>
      <c r="K1374" s="10" t="s">
        <v>2374</v>
      </c>
      <c r="L1374" s="10" t="s">
        <v>2422</v>
      </c>
      <c r="M1374" s="10" t="s">
        <v>2372</v>
      </c>
      <c r="N1374" s="10" t="s">
        <v>2373</v>
      </c>
      <c r="O1374" s="10"/>
    </row>
    <row r="1375" spans="1:15" ht="18" customHeight="1" x14ac:dyDescent="0.3">
      <c r="A1375" s="24">
        <v>1374</v>
      </c>
      <c r="B1375" s="10" t="s">
        <v>1547</v>
      </c>
      <c r="C1375" s="10" t="s">
        <v>1564</v>
      </c>
      <c r="D1375" s="62">
        <v>68</v>
      </c>
      <c r="E1375" s="61" t="s">
        <v>1565</v>
      </c>
      <c r="F1375" s="44" t="s">
        <v>1566</v>
      </c>
      <c r="G1375" s="24" t="s">
        <v>1264</v>
      </c>
      <c r="H1375" s="10" t="s">
        <v>2505</v>
      </c>
      <c r="I1375" s="62">
        <v>109</v>
      </c>
      <c r="J1375" s="10" t="s">
        <v>2372</v>
      </c>
      <c r="K1375" s="10" t="s">
        <v>2374</v>
      </c>
      <c r="L1375" s="10" t="s">
        <v>369</v>
      </c>
      <c r="M1375" s="10" t="s">
        <v>2372</v>
      </c>
      <c r="N1375" s="10" t="s">
        <v>2373</v>
      </c>
      <c r="O1375" s="10"/>
    </row>
    <row r="1376" spans="1:15" ht="18" customHeight="1" x14ac:dyDescent="0.3">
      <c r="A1376" s="24">
        <v>1375</v>
      </c>
      <c r="B1376" s="10" t="s">
        <v>1547</v>
      </c>
      <c r="C1376" s="10" t="s">
        <v>1564</v>
      </c>
      <c r="D1376" s="62">
        <v>68</v>
      </c>
      <c r="E1376" s="61" t="s">
        <v>1565</v>
      </c>
      <c r="F1376" s="44" t="s">
        <v>1566</v>
      </c>
      <c r="G1376" s="24" t="s">
        <v>1264</v>
      </c>
      <c r="H1376" s="10" t="s">
        <v>1187</v>
      </c>
      <c r="I1376" s="62">
        <v>158</v>
      </c>
      <c r="J1376" s="10" t="s">
        <v>2372</v>
      </c>
      <c r="K1376" s="10" t="s">
        <v>2374</v>
      </c>
      <c r="L1376" s="10" t="s">
        <v>369</v>
      </c>
      <c r="M1376" s="10" t="s">
        <v>2372</v>
      </c>
      <c r="N1376" s="10" t="s">
        <v>2373</v>
      </c>
      <c r="O1376" s="10"/>
    </row>
    <row r="1377" spans="1:15" ht="18" customHeight="1" x14ac:dyDescent="0.3">
      <c r="A1377" s="24">
        <v>1376</v>
      </c>
      <c r="B1377" s="10" t="s">
        <v>1547</v>
      </c>
      <c r="C1377" s="10" t="s">
        <v>1564</v>
      </c>
      <c r="D1377" s="62">
        <v>68</v>
      </c>
      <c r="E1377" s="61" t="s">
        <v>1565</v>
      </c>
      <c r="F1377" s="44" t="s">
        <v>1566</v>
      </c>
      <c r="G1377" s="24" t="s">
        <v>1264</v>
      </c>
      <c r="H1377" s="10" t="s">
        <v>1188</v>
      </c>
      <c r="I1377" s="62">
        <v>134</v>
      </c>
      <c r="J1377" s="10" t="s">
        <v>2372</v>
      </c>
      <c r="K1377" s="10" t="s">
        <v>2374</v>
      </c>
      <c r="L1377" s="10" t="s">
        <v>369</v>
      </c>
      <c r="M1377" s="10" t="s">
        <v>2372</v>
      </c>
      <c r="N1377" s="10" t="s">
        <v>2373</v>
      </c>
      <c r="O1377" s="10"/>
    </row>
    <row r="1378" spans="1:15" ht="18" customHeight="1" x14ac:dyDescent="0.3">
      <c r="A1378" s="24">
        <v>1377</v>
      </c>
      <c r="B1378" s="10" t="s">
        <v>1547</v>
      </c>
      <c r="C1378" s="10" t="s">
        <v>1564</v>
      </c>
      <c r="D1378" s="62">
        <v>68</v>
      </c>
      <c r="E1378" s="61" t="s">
        <v>1565</v>
      </c>
      <c r="F1378" s="44" t="s">
        <v>1566</v>
      </c>
      <c r="G1378" s="24" t="s">
        <v>1264</v>
      </c>
      <c r="H1378" s="10" t="s">
        <v>1189</v>
      </c>
      <c r="I1378" s="62">
        <v>78</v>
      </c>
      <c r="J1378" s="10" t="s">
        <v>2372</v>
      </c>
      <c r="K1378" s="10" t="s">
        <v>2374</v>
      </c>
      <c r="L1378" s="10" t="s">
        <v>369</v>
      </c>
      <c r="M1378" s="10" t="s">
        <v>2372</v>
      </c>
      <c r="N1378" s="10" t="s">
        <v>2373</v>
      </c>
      <c r="O1378" s="10"/>
    </row>
    <row r="1379" spans="1:15" ht="18" customHeight="1" x14ac:dyDescent="0.3">
      <c r="A1379" s="24">
        <v>1378</v>
      </c>
      <c r="B1379" s="10" t="s">
        <v>1547</v>
      </c>
      <c r="C1379" s="10" t="s">
        <v>1564</v>
      </c>
      <c r="D1379" s="62">
        <v>68</v>
      </c>
      <c r="E1379" s="61" t="s">
        <v>1565</v>
      </c>
      <c r="F1379" s="44" t="s">
        <v>1566</v>
      </c>
      <c r="G1379" s="24" t="s">
        <v>1264</v>
      </c>
      <c r="H1379" s="10" t="s">
        <v>1450</v>
      </c>
      <c r="I1379" s="62">
        <v>313</v>
      </c>
      <c r="J1379" s="10" t="s">
        <v>2372</v>
      </c>
      <c r="K1379" s="10" t="s">
        <v>2374</v>
      </c>
      <c r="L1379" s="10" t="s">
        <v>1777</v>
      </c>
      <c r="M1379" s="10" t="s">
        <v>2372</v>
      </c>
      <c r="N1379" s="10" t="s">
        <v>2373</v>
      </c>
      <c r="O1379" s="10"/>
    </row>
    <row r="1380" spans="1:15" ht="18" customHeight="1" x14ac:dyDescent="0.3">
      <c r="A1380" s="24">
        <v>1379</v>
      </c>
      <c r="B1380" s="10" t="s">
        <v>1547</v>
      </c>
      <c r="C1380" s="10" t="s">
        <v>1564</v>
      </c>
      <c r="D1380" s="62">
        <v>68</v>
      </c>
      <c r="E1380" s="61" t="s">
        <v>1569</v>
      </c>
      <c r="F1380" s="27" t="s">
        <v>1570</v>
      </c>
      <c r="G1380" s="10" t="s">
        <v>1264</v>
      </c>
      <c r="H1380" s="10" t="s">
        <v>2385</v>
      </c>
      <c r="I1380" s="62">
        <v>159</v>
      </c>
      <c r="J1380" s="10" t="s">
        <v>2372</v>
      </c>
      <c r="K1380" s="10" t="s">
        <v>847</v>
      </c>
      <c r="L1380" s="10" t="s">
        <v>2373</v>
      </c>
      <c r="M1380" s="10" t="s">
        <v>2372</v>
      </c>
      <c r="N1380" s="10" t="s">
        <v>2373</v>
      </c>
      <c r="O1380" s="10"/>
    </row>
    <row r="1381" spans="1:15" ht="18" customHeight="1" x14ac:dyDescent="0.3">
      <c r="A1381" s="24">
        <v>1380</v>
      </c>
      <c r="B1381" s="10" t="s">
        <v>1547</v>
      </c>
      <c r="C1381" s="10" t="s">
        <v>1564</v>
      </c>
      <c r="D1381" s="62">
        <v>68</v>
      </c>
      <c r="E1381" s="61" t="s">
        <v>1569</v>
      </c>
      <c r="F1381" s="27" t="s">
        <v>1570</v>
      </c>
      <c r="G1381" s="10" t="s">
        <v>1264</v>
      </c>
      <c r="H1381" s="10" t="s">
        <v>2378</v>
      </c>
      <c r="I1381" s="62">
        <v>159</v>
      </c>
      <c r="J1381" s="10" t="s">
        <v>2372</v>
      </c>
      <c r="K1381" s="10" t="s">
        <v>847</v>
      </c>
      <c r="L1381" s="10" t="s">
        <v>2373</v>
      </c>
      <c r="M1381" s="10" t="s">
        <v>2372</v>
      </c>
      <c r="N1381" s="10" t="s">
        <v>2373</v>
      </c>
      <c r="O1381" s="10"/>
    </row>
    <row r="1382" spans="1:15" ht="18" customHeight="1" x14ac:dyDescent="0.3">
      <c r="A1382" s="24">
        <v>1381</v>
      </c>
      <c r="B1382" s="10" t="s">
        <v>1547</v>
      </c>
      <c r="C1382" s="10" t="s">
        <v>1564</v>
      </c>
      <c r="D1382" s="62">
        <v>68</v>
      </c>
      <c r="E1382" s="61" t="s">
        <v>1569</v>
      </c>
      <c r="F1382" s="27" t="s">
        <v>1570</v>
      </c>
      <c r="G1382" s="10" t="s">
        <v>1264</v>
      </c>
      <c r="H1382" s="10" t="s">
        <v>2379</v>
      </c>
      <c r="I1382" s="62">
        <v>158</v>
      </c>
      <c r="J1382" s="10" t="s">
        <v>2372</v>
      </c>
      <c r="K1382" s="10" t="s">
        <v>847</v>
      </c>
      <c r="L1382" s="10" t="s">
        <v>2373</v>
      </c>
      <c r="M1382" s="10" t="s">
        <v>2372</v>
      </c>
      <c r="N1382" s="10" t="s">
        <v>2373</v>
      </c>
      <c r="O1382" s="10"/>
    </row>
    <row r="1383" spans="1:15" ht="18" customHeight="1" x14ac:dyDescent="0.3">
      <c r="A1383" s="24">
        <v>1382</v>
      </c>
      <c r="B1383" s="10" t="s">
        <v>1547</v>
      </c>
      <c r="C1383" s="10" t="s">
        <v>1564</v>
      </c>
      <c r="D1383" s="62">
        <v>68</v>
      </c>
      <c r="E1383" s="61" t="s">
        <v>1569</v>
      </c>
      <c r="F1383" s="27" t="s">
        <v>1570</v>
      </c>
      <c r="G1383" s="10" t="s">
        <v>1264</v>
      </c>
      <c r="H1383" s="173" t="s">
        <v>3474</v>
      </c>
      <c r="I1383" s="62">
        <v>261</v>
      </c>
      <c r="J1383" s="10" t="s">
        <v>2372</v>
      </c>
      <c r="K1383" s="10" t="s">
        <v>2374</v>
      </c>
      <c r="L1383" s="173" t="s">
        <v>3196</v>
      </c>
      <c r="M1383" s="10" t="s">
        <v>2372</v>
      </c>
      <c r="N1383" s="10" t="s">
        <v>2373</v>
      </c>
      <c r="O1383" s="10"/>
    </row>
    <row r="1384" spans="1:15" ht="18" customHeight="1" x14ac:dyDescent="0.3">
      <c r="A1384" s="24">
        <v>1383</v>
      </c>
      <c r="B1384" s="10" t="s">
        <v>1547</v>
      </c>
      <c r="C1384" s="10" t="s">
        <v>1564</v>
      </c>
      <c r="D1384" s="62">
        <v>68</v>
      </c>
      <c r="E1384" s="61" t="s">
        <v>1569</v>
      </c>
      <c r="F1384" s="27" t="s">
        <v>1570</v>
      </c>
      <c r="G1384" s="10" t="s">
        <v>1264</v>
      </c>
      <c r="H1384" s="10" t="s">
        <v>2390</v>
      </c>
      <c r="I1384" s="62">
        <v>107</v>
      </c>
      <c r="J1384" s="10" t="s">
        <v>2372</v>
      </c>
      <c r="K1384" s="10" t="s">
        <v>2372</v>
      </c>
      <c r="L1384" s="10" t="s">
        <v>2373</v>
      </c>
      <c r="M1384" s="10" t="s">
        <v>2372</v>
      </c>
      <c r="N1384" s="10" t="s">
        <v>2373</v>
      </c>
      <c r="O1384" s="10"/>
    </row>
    <row r="1385" spans="1:15" ht="18" customHeight="1" x14ac:dyDescent="0.3">
      <c r="A1385" s="24">
        <v>1384</v>
      </c>
      <c r="B1385" s="10" t="s">
        <v>1547</v>
      </c>
      <c r="C1385" s="10" t="s">
        <v>1564</v>
      </c>
      <c r="D1385" s="62">
        <v>68</v>
      </c>
      <c r="E1385" s="61" t="s">
        <v>1569</v>
      </c>
      <c r="F1385" s="27" t="s">
        <v>1570</v>
      </c>
      <c r="G1385" s="10" t="s">
        <v>1264</v>
      </c>
      <c r="H1385" s="10" t="s">
        <v>2382</v>
      </c>
      <c r="I1385" s="62">
        <v>160</v>
      </c>
      <c r="J1385" s="10" t="s">
        <v>2372</v>
      </c>
      <c r="K1385" s="10" t="s">
        <v>2372</v>
      </c>
      <c r="L1385" s="10" t="s">
        <v>2373</v>
      </c>
      <c r="M1385" s="10" t="s">
        <v>2372</v>
      </c>
      <c r="N1385" s="10" t="s">
        <v>2373</v>
      </c>
      <c r="O1385" s="10"/>
    </row>
    <row r="1386" spans="1:15" ht="18" customHeight="1" x14ac:dyDescent="0.3">
      <c r="A1386" s="24">
        <v>1385</v>
      </c>
      <c r="B1386" s="10" t="s">
        <v>1547</v>
      </c>
      <c r="C1386" s="10" t="s">
        <v>1564</v>
      </c>
      <c r="D1386" s="62">
        <v>68</v>
      </c>
      <c r="E1386" s="61" t="s">
        <v>1569</v>
      </c>
      <c r="F1386" s="27" t="s">
        <v>1570</v>
      </c>
      <c r="G1386" s="10" t="s">
        <v>1264</v>
      </c>
      <c r="H1386" s="10" t="s">
        <v>2431</v>
      </c>
      <c r="I1386" s="62">
        <v>173</v>
      </c>
      <c r="J1386" s="10" t="s">
        <v>2372</v>
      </c>
      <c r="K1386" s="10" t="s">
        <v>2372</v>
      </c>
      <c r="L1386" s="10" t="s">
        <v>2373</v>
      </c>
      <c r="M1386" s="10" t="s">
        <v>2372</v>
      </c>
      <c r="N1386" s="10" t="s">
        <v>2373</v>
      </c>
      <c r="O1386" s="10"/>
    </row>
    <row r="1387" spans="1:15" ht="18" customHeight="1" x14ac:dyDescent="0.3">
      <c r="A1387" s="24">
        <v>1386</v>
      </c>
      <c r="B1387" s="99" t="s">
        <v>3620</v>
      </c>
      <c r="C1387" s="99" t="s">
        <v>3600</v>
      </c>
      <c r="D1387" s="99">
        <v>69</v>
      </c>
      <c r="E1387" s="30" t="s">
        <v>3601</v>
      </c>
      <c r="F1387" s="30" t="s">
        <v>3621</v>
      </c>
      <c r="G1387" s="99" t="s">
        <v>3622</v>
      </c>
      <c r="H1387" s="10" t="s">
        <v>3598</v>
      </c>
      <c r="I1387" s="62">
        <v>58</v>
      </c>
      <c r="J1387" s="10" t="s">
        <v>3597</v>
      </c>
      <c r="K1387" s="10" t="s">
        <v>847</v>
      </c>
      <c r="L1387" s="10" t="s">
        <v>3603</v>
      </c>
      <c r="M1387" s="173" t="s">
        <v>3597</v>
      </c>
      <c r="N1387" s="173" t="s">
        <v>3603</v>
      </c>
      <c r="O1387" s="10"/>
    </row>
    <row r="1388" spans="1:15" ht="18" customHeight="1" x14ac:dyDescent="0.3">
      <c r="A1388" s="24">
        <v>1387</v>
      </c>
      <c r="B1388" s="10" t="s">
        <v>199</v>
      </c>
      <c r="C1388" s="10" t="s">
        <v>4</v>
      </c>
      <c r="D1388" s="62">
        <v>70</v>
      </c>
      <c r="E1388" s="61" t="s">
        <v>915</v>
      </c>
      <c r="F1388" s="16" t="s">
        <v>548</v>
      </c>
      <c r="G1388" s="10" t="s">
        <v>150</v>
      </c>
      <c r="H1388" s="10" t="s">
        <v>845</v>
      </c>
      <c r="I1388" s="62">
        <v>279</v>
      </c>
      <c r="J1388" s="8" t="s">
        <v>846</v>
      </c>
      <c r="K1388" s="10" t="s">
        <v>847</v>
      </c>
      <c r="L1388" s="10" t="s">
        <v>2373</v>
      </c>
      <c r="M1388" s="10" t="s">
        <v>2372</v>
      </c>
      <c r="N1388" s="10" t="s">
        <v>2373</v>
      </c>
      <c r="O1388" s="10"/>
    </row>
    <row r="1389" spans="1:15" ht="18" customHeight="1" x14ac:dyDescent="0.3">
      <c r="A1389" s="24">
        <v>1388</v>
      </c>
      <c r="B1389" s="10" t="s">
        <v>199</v>
      </c>
      <c r="C1389" s="10" t="s">
        <v>4</v>
      </c>
      <c r="D1389" s="62">
        <v>70</v>
      </c>
      <c r="E1389" s="61" t="s">
        <v>915</v>
      </c>
      <c r="F1389" s="16" t="s">
        <v>548</v>
      </c>
      <c r="G1389" s="10" t="s">
        <v>150</v>
      </c>
      <c r="H1389" s="10" t="s">
        <v>848</v>
      </c>
      <c r="I1389" s="62">
        <v>135</v>
      </c>
      <c r="J1389" s="8" t="s">
        <v>2372</v>
      </c>
      <c r="K1389" s="10" t="s">
        <v>847</v>
      </c>
      <c r="L1389" s="10" t="s">
        <v>2373</v>
      </c>
      <c r="M1389" s="10" t="s">
        <v>2372</v>
      </c>
      <c r="N1389" s="10" t="s">
        <v>2373</v>
      </c>
      <c r="O1389" s="10"/>
    </row>
    <row r="1390" spans="1:15" ht="18" customHeight="1" x14ac:dyDescent="0.3">
      <c r="A1390" s="24">
        <v>1389</v>
      </c>
      <c r="B1390" s="10" t="s">
        <v>199</v>
      </c>
      <c r="C1390" s="10" t="s">
        <v>4</v>
      </c>
      <c r="D1390" s="62">
        <v>70</v>
      </c>
      <c r="E1390" s="61" t="s">
        <v>915</v>
      </c>
      <c r="F1390" s="16" t="s">
        <v>548</v>
      </c>
      <c r="G1390" s="10" t="s">
        <v>150</v>
      </c>
      <c r="H1390" s="10" t="s">
        <v>849</v>
      </c>
      <c r="I1390" s="62">
        <v>155</v>
      </c>
      <c r="J1390" s="8" t="s">
        <v>846</v>
      </c>
      <c r="K1390" s="10" t="s">
        <v>847</v>
      </c>
      <c r="L1390" s="10" t="s">
        <v>2373</v>
      </c>
      <c r="M1390" s="10" t="s">
        <v>2372</v>
      </c>
      <c r="N1390" s="10" t="s">
        <v>2373</v>
      </c>
      <c r="O1390" s="10"/>
    </row>
    <row r="1391" spans="1:15" ht="18" customHeight="1" x14ac:dyDescent="0.3">
      <c r="A1391" s="24">
        <v>1390</v>
      </c>
      <c r="B1391" s="10" t="s">
        <v>199</v>
      </c>
      <c r="C1391" s="10" t="s">
        <v>4</v>
      </c>
      <c r="D1391" s="62">
        <v>70</v>
      </c>
      <c r="E1391" s="61" t="s">
        <v>915</v>
      </c>
      <c r="F1391" s="16" t="s">
        <v>548</v>
      </c>
      <c r="G1391" s="10" t="s">
        <v>150</v>
      </c>
      <c r="H1391" s="10" t="s">
        <v>850</v>
      </c>
      <c r="I1391" s="62">
        <v>155</v>
      </c>
      <c r="J1391" s="8" t="s">
        <v>2372</v>
      </c>
      <c r="K1391" s="10" t="s">
        <v>847</v>
      </c>
      <c r="L1391" s="10" t="s">
        <v>2373</v>
      </c>
      <c r="M1391" s="10" t="s">
        <v>2372</v>
      </c>
      <c r="N1391" s="10" t="s">
        <v>2373</v>
      </c>
      <c r="O1391" s="10"/>
    </row>
    <row r="1392" spans="1:15" ht="18" customHeight="1" x14ac:dyDescent="0.3">
      <c r="A1392" s="24">
        <v>1391</v>
      </c>
      <c r="B1392" s="10" t="s">
        <v>199</v>
      </c>
      <c r="C1392" s="10" t="s">
        <v>4</v>
      </c>
      <c r="D1392" s="62">
        <v>70</v>
      </c>
      <c r="E1392" s="61" t="s">
        <v>915</v>
      </c>
      <c r="F1392" s="16" t="s">
        <v>548</v>
      </c>
      <c r="G1392" s="10" t="s">
        <v>150</v>
      </c>
      <c r="H1392" s="10" t="s">
        <v>851</v>
      </c>
      <c r="I1392" s="62">
        <v>135</v>
      </c>
      <c r="J1392" s="8" t="s">
        <v>2372</v>
      </c>
      <c r="K1392" s="10" t="s">
        <v>847</v>
      </c>
      <c r="L1392" s="10" t="s">
        <v>2373</v>
      </c>
      <c r="M1392" s="10" t="s">
        <v>2372</v>
      </c>
      <c r="N1392" s="10" t="s">
        <v>2373</v>
      </c>
      <c r="O1392" s="10"/>
    </row>
    <row r="1393" spans="1:15" ht="18" customHeight="1" x14ac:dyDescent="0.3">
      <c r="A1393" s="24">
        <v>1392</v>
      </c>
      <c r="B1393" s="10" t="s">
        <v>199</v>
      </c>
      <c r="C1393" s="10" t="s">
        <v>4</v>
      </c>
      <c r="D1393" s="62">
        <v>70</v>
      </c>
      <c r="E1393" s="61" t="s">
        <v>915</v>
      </c>
      <c r="F1393" s="16" t="s">
        <v>548</v>
      </c>
      <c r="G1393" s="10" t="s">
        <v>150</v>
      </c>
      <c r="H1393" s="10" t="s">
        <v>852</v>
      </c>
      <c r="I1393" s="62">
        <v>132</v>
      </c>
      <c r="J1393" s="8" t="s">
        <v>2372</v>
      </c>
      <c r="K1393" s="10" t="s">
        <v>847</v>
      </c>
      <c r="L1393" s="10" t="s">
        <v>2373</v>
      </c>
      <c r="M1393" s="10" t="s">
        <v>2372</v>
      </c>
      <c r="N1393" s="10" t="s">
        <v>2373</v>
      </c>
      <c r="O1393" s="10"/>
    </row>
    <row r="1394" spans="1:15" ht="18" customHeight="1" x14ac:dyDescent="0.3">
      <c r="A1394" s="24">
        <v>1393</v>
      </c>
      <c r="B1394" s="10" t="s">
        <v>199</v>
      </c>
      <c r="C1394" s="10" t="s">
        <v>4</v>
      </c>
      <c r="D1394" s="62">
        <v>70</v>
      </c>
      <c r="E1394" s="61" t="s">
        <v>915</v>
      </c>
      <c r="F1394" s="16" t="s">
        <v>548</v>
      </c>
      <c r="G1394" s="10" t="s">
        <v>150</v>
      </c>
      <c r="H1394" s="10" t="s">
        <v>853</v>
      </c>
      <c r="I1394" s="62">
        <v>132</v>
      </c>
      <c r="J1394" s="8" t="s">
        <v>2372</v>
      </c>
      <c r="K1394" s="10" t="s">
        <v>847</v>
      </c>
      <c r="L1394" s="10" t="s">
        <v>2373</v>
      </c>
      <c r="M1394" s="10" t="s">
        <v>2372</v>
      </c>
      <c r="N1394" s="10" t="s">
        <v>2373</v>
      </c>
      <c r="O1394" s="10"/>
    </row>
    <row r="1395" spans="1:15" ht="18" customHeight="1" x14ac:dyDescent="0.3">
      <c r="A1395" s="24">
        <v>1394</v>
      </c>
      <c r="B1395" s="10" t="s">
        <v>199</v>
      </c>
      <c r="C1395" s="10" t="s">
        <v>4</v>
      </c>
      <c r="D1395" s="62">
        <v>70</v>
      </c>
      <c r="E1395" s="61" t="s">
        <v>276</v>
      </c>
      <c r="F1395" s="16" t="s">
        <v>545</v>
      </c>
      <c r="G1395" s="173" t="s">
        <v>3479</v>
      </c>
      <c r="H1395" s="10" t="s">
        <v>845</v>
      </c>
      <c r="I1395" s="177">
        <v>62</v>
      </c>
      <c r="J1395" s="10" t="s">
        <v>2372</v>
      </c>
      <c r="K1395" s="173" t="s">
        <v>860</v>
      </c>
      <c r="L1395" s="173" t="s">
        <v>1422</v>
      </c>
      <c r="M1395" s="10" t="s">
        <v>2372</v>
      </c>
      <c r="N1395" s="10" t="s">
        <v>2373</v>
      </c>
      <c r="O1395" s="10"/>
    </row>
    <row r="1396" spans="1:15" ht="18" customHeight="1" x14ac:dyDescent="0.3">
      <c r="A1396" s="24">
        <v>1395</v>
      </c>
      <c r="B1396" s="10" t="s">
        <v>199</v>
      </c>
      <c r="C1396" s="10" t="s">
        <v>4</v>
      </c>
      <c r="D1396" s="62">
        <v>70</v>
      </c>
      <c r="E1396" s="61" t="s">
        <v>276</v>
      </c>
      <c r="F1396" s="16" t="s">
        <v>545</v>
      </c>
      <c r="G1396" s="173" t="s">
        <v>3479</v>
      </c>
      <c r="H1396" s="10" t="s">
        <v>848</v>
      </c>
      <c r="I1396" s="177">
        <v>54</v>
      </c>
      <c r="J1396" s="10" t="s">
        <v>2372</v>
      </c>
      <c r="K1396" s="173" t="s">
        <v>860</v>
      </c>
      <c r="L1396" s="173" t="s">
        <v>1422</v>
      </c>
      <c r="M1396" s="10" t="s">
        <v>2372</v>
      </c>
      <c r="N1396" s="10" t="s">
        <v>2373</v>
      </c>
      <c r="O1396" s="10"/>
    </row>
    <row r="1397" spans="1:15" ht="18" customHeight="1" x14ac:dyDescent="0.3">
      <c r="A1397" s="24">
        <v>1396</v>
      </c>
      <c r="B1397" s="10" t="s">
        <v>199</v>
      </c>
      <c r="C1397" s="10" t="s">
        <v>4</v>
      </c>
      <c r="D1397" s="62">
        <v>70</v>
      </c>
      <c r="E1397" s="61" t="s">
        <v>276</v>
      </c>
      <c r="F1397" s="16" t="s">
        <v>545</v>
      </c>
      <c r="G1397" s="173" t="s">
        <v>3479</v>
      </c>
      <c r="H1397" s="10" t="s">
        <v>850</v>
      </c>
      <c r="I1397" s="177">
        <v>62</v>
      </c>
      <c r="J1397" s="10" t="s">
        <v>2372</v>
      </c>
      <c r="K1397" s="173" t="s">
        <v>860</v>
      </c>
      <c r="L1397" s="173" t="s">
        <v>1422</v>
      </c>
      <c r="M1397" s="10" t="s">
        <v>2372</v>
      </c>
      <c r="N1397" s="10" t="s">
        <v>2373</v>
      </c>
      <c r="O1397" s="10"/>
    </row>
    <row r="1398" spans="1:15" ht="18" customHeight="1" x14ac:dyDescent="0.3">
      <c r="A1398" s="24">
        <v>1397</v>
      </c>
      <c r="B1398" s="10" t="s">
        <v>199</v>
      </c>
      <c r="C1398" s="10" t="s">
        <v>4</v>
      </c>
      <c r="D1398" s="62">
        <v>70</v>
      </c>
      <c r="E1398" s="61" t="s">
        <v>276</v>
      </c>
      <c r="F1398" s="16" t="s">
        <v>545</v>
      </c>
      <c r="G1398" s="173" t="s">
        <v>3479</v>
      </c>
      <c r="H1398" s="10" t="s">
        <v>851</v>
      </c>
      <c r="I1398" s="177">
        <v>54</v>
      </c>
      <c r="J1398" s="10" t="s">
        <v>2374</v>
      </c>
      <c r="K1398" s="173" t="s">
        <v>860</v>
      </c>
      <c r="L1398" s="173" t="s">
        <v>1422</v>
      </c>
      <c r="M1398" s="10" t="s">
        <v>2372</v>
      </c>
      <c r="N1398" s="10" t="s">
        <v>2373</v>
      </c>
      <c r="O1398" s="10"/>
    </row>
    <row r="1399" spans="1:15" ht="18" customHeight="1" x14ac:dyDescent="0.3">
      <c r="A1399" s="24">
        <v>1398</v>
      </c>
      <c r="B1399" s="10" t="s">
        <v>199</v>
      </c>
      <c r="C1399" s="10" t="s">
        <v>4</v>
      </c>
      <c r="D1399" s="62">
        <v>70</v>
      </c>
      <c r="E1399" s="61" t="s">
        <v>276</v>
      </c>
      <c r="F1399" s="16" t="s">
        <v>545</v>
      </c>
      <c r="G1399" s="173" t="s">
        <v>3479</v>
      </c>
      <c r="H1399" s="10" t="s">
        <v>853</v>
      </c>
      <c r="I1399" s="62">
        <v>143</v>
      </c>
      <c r="J1399" s="10" t="s">
        <v>2372</v>
      </c>
      <c r="K1399" s="10" t="s">
        <v>847</v>
      </c>
      <c r="L1399" s="10" t="s">
        <v>2373</v>
      </c>
      <c r="M1399" s="10" t="s">
        <v>2372</v>
      </c>
      <c r="N1399" s="10" t="s">
        <v>2373</v>
      </c>
      <c r="O1399" s="10"/>
    </row>
    <row r="1400" spans="1:15" ht="18" customHeight="1" x14ac:dyDescent="0.3">
      <c r="A1400" s="24">
        <v>1399</v>
      </c>
      <c r="B1400" s="10" t="s">
        <v>199</v>
      </c>
      <c r="C1400" s="10" t="s">
        <v>4</v>
      </c>
      <c r="D1400" s="62">
        <v>70</v>
      </c>
      <c r="E1400" s="61" t="s">
        <v>276</v>
      </c>
      <c r="F1400" s="16" t="s">
        <v>545</v>
      </c>
      <c r="G1400" s="173" t="s">
        <v>3479</v>
      </c>
      <c r="H1400" s="10" t="s">
        <v>854</v>
      </c>
      <c r="I1400" s="62">
        <v>258</v>
      </c>
      <c r="J1400" s="10" t="s">
        <v>2372</v>
      </c>
      <c r="K1400" s="10" t="s">
        <v>847</v>
      </c>
      <c r="L1400" s="10" t="s">
        <v>2373</v>
      </c>
      <c r="M1400" s="10" t="s">
        <v>2372</v>
      </c>
      <c r="N1400" s="10" t="s">
        <v>2373</v>
      </c>
      <c r="O1400" s="10"/>
    </row>
    <row r="1401" spans="1:15" ht="18" customHeight="1" x14ac:dyDescent="0.3">
      <c r="A1401" s="24">
        <v>1400</v>
      </c>
      <c r="B1401" s="10" t="s">
        <v>199</v>
      </c>
      <c r="C1401" s="10" t="s">
        <v>4</v>
      </c>
      <c r="D1401" s="62">
        <v>70</v>
      </c>
      <c r="E1401" s="61" t="s">
        <v>276</v>
      </c>
      <c r="F1401" s="16" t="s">
        <v>2570</v>
      </c>
      <c r="G1401" s="173" t="s">
        <v>3479</v>
      </c>
      <c r="H1401" s="10" t="s">
        <v>849</v>
      </c>
      <c r="I1401" s="62">
        <v>90</v>
      </c>
      <c r="J1401" s="10" t="s">
        <v>2372</v>
      </c>
      <c r="K1401" s="10" t="s">
        <v>2374</v>
      </c>
      <c r="L1401" s="10" t="s">
        <v>1422</v>
      </c>
      <c r="M1401" s="10" t="s">
        <v>2372</v>
      </c>
      <c r="N1401" s="10" t="s">
        <v>2373</v>
      </c>
      <c r="O1401" s="10"/>
    </row>
    <row r="1402" spans="1:15" ht="18" customHeight="1" x14ac:dyDescent="0.3">
      <c r="A1402" s="24">
        <v>1401</v>
      </c>
      <c r="B1402" s="10" t="s">
        <v>199</v>
      </c>
      <c r="C1402" s="10" t="s">
        <v>4</v>
      </c>
      <c r="D1402" s="62">
        <v>70</v>
      </c>
      <c r="E1402" s="61" t="s">
        <v>276</v>
      </c>
      <c r="F1402" s="16" t="s">
        <v>2570</v>
      </c>
      <c r="G1402" s="173" t="s">
        <v>3479</v>
      </c>
      <c r="H1402" s="10" t="s">
        <v>852</v>
      </c>
      <c r="I1402" s="62">
        <v>90</v>
      </c>
      <c r="J1402" s="10" t="s">
        <v>2372</v>
      </c>
      <c r="K1402" s="10" t="s">
        <v>2374</v>
      </c>
      <c r="L1402" s="10" t="s">
        <v>1422</v>
      </c>
      <c r="M1402" s="10" t="s">
        <v>2372</v>
      </c>
      <c r="N1402" s="10" t="s">
        <v>2373</v>
      </c>
      <c r="O1402" s="10"/>
    </row>
    <row r="1403" spans="1:15" ht="18" customHeight="1" x14ac:dyDescent="0.3">
      <c r="A1403" s="24">
        <v>1402</v>
      </c>
      <c r="B1403" s="10" t="s">
        <v>199</v>
      </c>
      <c r="C1403" s="10" t="s">
        <v>32</v>
      </c>
      <c r="D1403" s="62">
        <v>71</v>
      </c>
      <c r="E1403" s="61" t="s">
        <v>2571</v>
      </c>
      <c r="F1403" s="16" t="s">
        <v>542</v>
      </c>
      <c r="G1403" s="10" t="s">
        <v>150</v>
      </c>
      <c r="H1403" s="10" t="s">
        <v>849</v>
      </c>
      <c r="I1403" s="62">
        <v>215</v>
      </c>
      <c r="J1403" s="8" t="s">
        <v>846</v>
      </c>
      <c r="K1403" s="10" t="s">
        <v>847</v>
      </c>
      <c r="L1403" s="10" t="s">
        <v>2373</v>
      </c>
      <c r="M1403" s="10" t="s">
        <v>2372</v>
      </c>
      <c r="N1403" s="10" t="s">
        <v>2373</v>
      </c>
      <c r="O1403" s="10" t="s">
        <v>1077</v>
      </c>
    </row>
    <row r="1404" spans="1:15" ht="18" customHeight="1" x14ac:dyDescent="0.3">
      <c r="A1404" s="24">
        <v>1403</v>
      </c>
      <c r="B1404" s="10" t="s">
        <v>199</v>
      </c>
      <c r="C1404" s="10" t="s">
        <v>32</v>
      </c>
      <c r="D1404" s="62">
        <v>71</v>
      </c>
      <c r="E1404" s="61" t="s">
        <v>2571</v>
      </c>
      <c r="F1404" s="16" t="s">
        <v>542</v>
      </c>
      <c r="G1404" s="10" t="s">
        <v>150</v>
      </c>
      <c r="H1404" s="10" t="s">
        <v>850</v>
      </c>
      <c r="I1404" s="62">
        <v>215</v>
      </c>
      <c r="J1404" s="8" t="s">
        <v>846</v>
      </c>
      <c r="K1404" s="10" t="s">
        <v>847</v>
      </c>
      <c r="L1404" s="10" t="s">
        <v>2373</v>
      </c>
      <c r="M1404" s="10" t="s">
        <v>2372</v>
      </c>
      <c r="N1404" s="10" t="s">
        <v>2373</v>
      </c>
      <c r="O1404" s="10"/>
    </row>
    <row r="1405" spans="1:15" ht="18" customHeight="1" x14ac:dyDescent="0.3">
      <c r="A1405" s="24">
        <v>1404</v>
      </c>
      <c r="B1405" s="10" t="s">
        <v>199</v>
      </c>
      <c r="C1405" s="10" t="s">
        <v>32</v>
      </c>
      <c r="D1405" s="62">
        <v>71</v>
      </c>
      <c r="E1405" s="61" t="s">
        <v>2571</v>
      </c>
      <c r="F1405" s="16" t="s">
        <v>542</v>
      </c>
      <c r="G1405" s="10" t="s">
        <v>150</v>
      </c>
      <c r="H1405" s="10" t="s">
        <v>851</v>
      </c>
      <c r="I1405" s="62">
        <v>104</v>
      </c>
      <c r="J1405" s="8" t="s">
        <v>2372</v>
      </c>
      <c r="K1405" s="10" t="s">
        <v>847</v>
      </c>
      <c r="L1405" s="10" t="s">
        <v>2373</v>
      </c>
      <c r="M1405" s="10" t="s">
        <v>2372</v>
      </c>
      <c r="N1405" s="10" t="s">
        <v>2373</v>
      </c>
      <c r="O1405" s="10"/>
    </row>
    <row r="1406" spans="1:15" ht="18" customHeight="1" x14ac:dyDescent="0.3">
      <c r="A1406" s="24">
        <v>1405</v>
      </c>
      <c r="B1406" s="10" t="s">
        <v>199</v>
      </c>
      <c r="C1406" s="10" t="s">
        <v>32</v>
      </c>
      <c r="D1406" s="62">
        <v>71</v>
      </c>
      <c r="E1406" s="61" t="s">
        <v>2571</v>
      </c>
      <c r="F1406" s="16" t="s">
        <v>542</v>
      </c>
      <c r="G1406" s="10" t="s">
        <v>150</v>
      </c>
      <c r="H1406" s="10" t="s">
        <v>852</v>
      </c>
      <c r="I1406" s="62">
        <v>104</v>
      </c>
      <c r="J1406" s="8" t="s">
        <v>2372</v>
      </c>
      <c r="K1406" s="10" t="s">
        <v>847</v>
      </c>
      <c r="L1406" s="10" t="s">
        <v>2373</v>
      </c>
      <c r="M1406" s="10" t="s">
        <v>2372</v>
      </c>
      <c r="N1406" s="10" t="s">
        <v>2373</v>
      </c>
      <c r="O1406" s="10"/>
    </row>
    <row r="1407" spans="1:15" ht="18" customHeight="1" x14ac:dyDescent="0.3">
      <c r="A1407" s="24">
        <v>1406</v>
      </c>
      <c r="B1407" s="10" t="s">
        <v>199</v>
      </c>
      <c r="C1407" s="10" t="s">
        <v>32</v>
      </c>
      <c r="D1407" s="62">
        <v>71</v>
      </c>
      <c r="E1407" s="61" t="s">
        <v>2571</v>
      </c>
      <c r="F1407" s="16" t="s">
        <v>542</v>
      </c>
      <c r="G1407" s="10" t="s">
        <v>150</v>
      </c>
      <c r="H1407" s="10" t="s">
        <v>853</v>
      </c>
      <c r="I1407" s="62">
        <v>104</v>
      </c>
      <c r="J1407" s="8" t="s">
        <v>2372</v>
      </c>
      <c r="K1407" s="10" t="s">
        <v>847</v>
      </c>
      <c r="L1407" s="10" t="s">
        <v>2373</v>
      </c>
      <c r="M1407" s="10" t="s">
        <v>2372</v>
      </c>
      <c r="N1407" s="10" t="s">
        <v>2373</v>
      </c>
      <c r="O1407" s="10"/>
    </row>
    <row r="1408" spans="1:15" ht="18" customHeight="1" x14ac:dyDescent="0.3">
      <c r="A1408" s="24">
        <v>1407</v>
      </c>
      <c r="B1408" s="10" t="s">
        <v>199</v>
      </c>
      <c r="C1408" s="10" t="s">
        <v>32</v>
      </c>
      <c r="D1408" s="62">
        <v>71</v>
      </c>
      <c r="E1408" s="61" t="s">
        <v>2571</v>
      </c>
      <c r="F1408" s="16" t="s">
        <v>542</v>
      </c>
      <c r="G1408" s="10" t="s">
        <v>150</v>
      </c>
      <c r="H1408" s="10" t="s">
        <v>855</v>
      </c>
      <c r="I1408" s="62">
        <v>273</v>
      </c>
      <c r="J1408" s="8" t="s">
        <v>846</v>
      </c>
      <c r="K1408" s="10" t="s">
        <v>847</v>
      </c>
      <c r="L1408" s="10" t="s">
        <v>2373</v>
      </c>
      <c r="M1408" s="10" t="s">
        <v>2372</v>
      </c>
      <c r="N1408" s="10" t="s">
        <v>2373</v>
      </c>
      <c r="O1408" s="10"/>
    </row>
    <row r="1409" spans="1:15" ht="18" customHeight="1" x14ac:dyDescent="0.3">
      <c r="A1409" s="24">
        <v>1408</v>
      </c>
      <c r="B1409" s="10" t="s">
        <v>199</v>
      </c>
      <c r="C1409" s="10" t="s">
        <v>32</v>
      </c>
      <c r="D1409" s="62">
        <v>71</v>
      </c>
      <c r="E1409" s="61" t="s">
        <v>2571</v>
      </c>
      <c r="F1409" s="16" t="s">
        <v>1116</v>
      </c>
      <c r="G1409" s="10" t="s">
        <v>150</v>
      </c>
      <c r="H1409" s="10" t="s">
        <v>845</v>
      </c>
      <c r="I1409" s="62">
        <v>182</v>
      </c>
      <c r="J1409" s="8" t="s">
        <v>2372</v>
      </c>
      <c r="K1409" s="10" t="s">
        <v>847</v>
      </c>
      <c r="L1409" s="10" t="s">
        <v>310</v>
      </c>
      <c r="M1409" s="10" t="s">
        <v>2372</v>
      </c>
      <c r="N1409" s="10" t="s">
        <v>2373</v>
      </c>
      <c r="O1409" s="10"/>
    </row>
    <row r="1410" spans="1:15" ht="18" customHeight="1" x14ac:dyDescent="0.3">
      <c r="A1410" s="24">
        <v>1409</v>
      </c>
      <c r="B1410" s="10" t="s">
        <v>199</v>
      </c>
      <c r="C1410" s="10" t="s">
        <v>32</v>
      </c>
      <c r="D1410" s="62">
        <v>71</v>
      </c>
      <c r="E1410" s="61" t="s">
        <v>2571</v>
      </c>
      <c r="F1410" s="16" t="s">
        <v>1116</v>
      </c>
      <c r="G1410" s="10" t="s">
        <v>150</v>
      </c>
      <c r="H1410" s="10" t="s">
        <v>848</v>
      </c>
      <c r="I1410" s="62">
        <v>215</v>
      </c>
      <c r="J1410" s="8" t="s">
        <v>2372</v>
      </c>
      <c r="K1410" s="10" t="s">
        <v>847</v>
      </c>
      <c r="L1410" s="10" t="s">
        <v>310</v>
      </c>
      <c r="M1410" s="10" t="s">
        <v>2372</v>
      </c>
      <c r="N1410" s="10" t="s">
        <v>2373</v>
      </c>
      <c r="O1410" s="10"/>
    </row>
    <row r="1411" spans="1:15" ht="18" customHeight="1" x14ac:dyDescent="0.3">
      <c r="A1411" s="24">
        <v>1410</v>
      </c>
      <c r="B1411" s="10" t="s">
        <v>199</v>
      </c>
      <c r="C1411" s="10" t="s">
        <v>32</v>
      </c>
      <c r="D1411" s="62">
        <v>71</v>
      </c>
      <c r="E1411" s="61" t="s">
        <v>2571</v>
      </c>
      <c r="F1411" s="16" t="s">
        <v>1116</v>
      </c>
      <c r="G1411" s="10" t="s">
        <v>150</v>
      </c>
      <c r="H1411" s="10" t="s">
        <v>854</v>
      </c>
      <c r="I1411" s="62">
        <v>68</v>
      </c>
      <c r="J1411" s="8" t="s">
        <v>846</v>
      </c>
      <c r="K1411" s="10" t="s">
        <v>2374</v>
      </c>
      <c r="L1411" s="10" t="s">
        <v>1302</v>
      </c>
      <c r="M1411" s="10" t="s">
        <v>2372</v>
      </c>
      <c r="N1411" s="10" t="s">
        <v>2373</v>
      </c>
      <c r="O1411" s="10"/>
    </row>
    <row r="1412" spans="1:15" ht="18" customHeight="1" x14ac:dyDescent="0.3">
      <c r="A1412" s="24">
        <v>1411</v>
      </c>
      <c r="B1412" s="10" t="s">
        <v>199</v>
      </c>
      <c r="C1412" s="10" t="s">
        <v>32</v>
      </c>
      <c r="D1412" s="62">
        <v>71</v>
      </c>
      <c r="E1412" s="61" t="s">
        <v>2857</v>
      </c>
      <c r="F1412" s="19" t="s">
        <v>540</v>
      </c>
      <c r="G1412" s="10" t="s">
        <v>150</v>
      </c>
      <c r="H1412" s="10" t="s">
        <v>927</v>
      </c>
      <c r="I1412" s="62">
        <v>192</v>
      </c>
      <c r="J1412" s="10" t="s">
        <v>2374</v>
      </c>
      <c r="K1412" s="10" t="s">
        <v>847</v>
      </c>
      <c r="L1412" s="10" t="s">
        <v>2373</v>
      </c>
      <c r="M1412" s="10" t="s">
        <v>2372</v>
      </c>
      <c r="N1412" s="10" t="s">
        <v>2373</v>
      </c>
      <c r="O1412" s="10"/>
    </row>
    <row r="1413" spans="1:15" ht="18" customHeight="1" x14ac:dyDescent="0.3">
      <c r="A1413" s="24">
        <v>1412</v>
      </c>
      <c r="B1413" s="10" t="s">
        <v>199</v>
      </c>
      <c r="C1413" s="10" t="s">
        <v>32</v>
      </c>
      <c r="D1413" s="62">
        <v>71</v>
      </c>
      <c r="E1413" s="61" t="s">
        <v>2857</v>
      </c>
      <c r="F1413" s="19" t="s">
        <v>540</v>
      </c>
      <c r="G1413" s="10" t="s">
        <v>150</v>
      </c>
      <c r="H1413" s="10" t="s">
        <v>928</v>
      </c>
      <c r="I1413" s="62">
        <v>279</v>
      </c>
      <c r="J1413" s="10" t="s">
        <v>2372</v>
      </c>
      <c r="K1413" s="10" t="s">
        <v>847</v>
      </c>
      <c r="L1413" s="10" t="s">
        <v>2373</v>
      </c>
      <c r="M1413" s="10" t="s">
        <v>2372</v>
      </c>
      <c r="N1413" s="10" t="s">
        <v>2373</v>
      </c>
      <c r="O1413" s="10"/>
    </row>
    <row r="1414" spans="1:15" ht="18" customHeight="1" x14ac:dyDescent="0.3">
      <c r="A1414" s="24">
        <v>1413</v>
      </c>
      <c r="B1414" s="10" t="s">
        <v>199</v>
      </c>
      <c r="C1414" s="10" t="s">
        <v>32</v>
      </c>
      <c r="D1414" s="62">
        <v>71</v>
      </c>
      <c r="E1414" s="61" t="s">
        <v>2857</v>
      </c>
      <c r="F1414" s="19" t="s">
        <v>540</v>
      </c>
      <c r="G1414" s="10" t="s">
        <v>150</v>
      </c>
      <c r="H1414" s="10" t="s">
        <v>929</v>
      </c>
      <c r="I1414" s="62">
        <v>292</v>
      </c>
      <c r="J1414" s="10" t="s">
        <v>2372</v>
      </c>
      <c r="K1414" s="10" t="s">
        <v>847</v>
      </c>
      <c r="L1414" s="10" t="s">
        <v>2373</v>
      </c>
      <c r="M1414" s="10" t="s">
        <v>2372</v>
      </c>
      <c r="N1414" s="10" t="s">
        <v>2373</v>
      </c>
      <c r="O1414" s="10"/>
    </row>
    <row r="1415" spans="1:15" ht="18" customHeight="1" x14ac:dyDescent="0.3">
      <c r="A1415" s="24">
        <v>1414</v>
      </c>
      <c r="B1415" s="10" t="s">
        <v>199</v>
      </c>
      <c r="C1415" s="10" t="s">
        <v>32</v>
      </c>
      <c r="D1415" s="62">
        <v>71</v>
      </c>
      <c r="E1415" s="61" t="s">
        <v>2857</v>
      </c>
      <c r="F1415" s="19" t="s">
        <v>540</v>
      </c>
      <c r="G1415" s="10" t="s">
        <v>150</v>
      </c>
      <c r="H1415" s="10" t="s">
        <v>930</v>
      </c>
      <c r="I1415" s="62">
        <v>146</v>
      </c>
      <c r="J1415" s="10" t="s">
        <v>2374</v>
      </c>
      <c r="K1415" s="10" t="s">
        <v>847</v>
      </c>
      <c r="L1415" s="10" t="s">
        <v>2373</v>
      </c>
      <c r="M1415" s="10" t="s">
        <v>2372</v>
      </c>
      <c r="N1415" s="10" t="s">
        <v>2373</v>
      </c>
      <c r="O1415" s="10"/>
    </row>
    <row r="1416" spans="1:15" ht="18" customHeight="1" x14ac:dyDescent="0.3">
      <c r="A1416" s="24">
        <v>1415</v>
      </c>
      <c r="B1416" s="10" t="s">
        <v>199</v>
      </c>
      <c r="C1416" s="10" t="s">
        <v>32</v>
      </c>
      <c r="D1416" s="62">
        <v>71</v>
      </c>
      <c r="E1416" s="61" t="s">
        <v>2857</v>
      </c>
      <c r="F1416" s="19" t="s">
        <v>540</v>
      </c>
      <c r="G1416" s="10" t="s">
        <v>150</v>
      </c>
      <c r="H1416" s="10" t="s">
        <v>931</v>
      </c>
      <c r="I1416" s="62">
        <v>146</v>
      </c>
      <c r="J1416" s="10" t="s">
        <v>2374</v>
      </c>
      <c r="K1416" s="10" t="s">
        <v>847</v>
      </c>
      <c r="L1416" s="10" t="s">
        <v>2373</v>
      </c>
      <c r="M1416" s="10" t="s">
        <v>2372</v>
      </c>
      <c r="N1416" s="10" t="s">
        <v>2373</v>
      </c>
      <c r="O1416" s="10"/>
    </row>
    <row r="1417" spans="1:15" ht="18" customHeight="1" x14ac:dyDescent="0.3">
      <c r="A1417" s="24">
        <v>1416</v>
      </c>
      <c r="B1417" s="10" t="s">
        <v>199</v>
      </c>
      <c r="C1417" s="10" t="s">
        <v>32</v>
      </c>
      <c r="D1417" s="62">
        <v>71</v>
      </c>
      <c r="E1417" s="61" t="s">
        <v>2857</v>
      </c>
      <c r="F1417" s="19" t="s">
        <v>540</v>
      </c>
      <c r="G1417" s="10" t="s">
        <v>150</v>
      </c>
      <c r="H1417" s="10" t="s">
        <v>932</v>
      </c>
      <c r="I1417" s="62">
        <v>292</v>
      </c>
      <c r="J1417" s="10" t="s">
        <v>2372</v>
      </c>
      <c r="K1417" s="10" t="s">
        <v>847</v>
      </c>
      <c r="L1417" s="10" t="s">
        <v>2373</v>
      </c>
      <c r="M1417" s="10" t="s">
        <v>2372</v>
      </c>
      <c r="N1417" s="10" t="s">
        <v>2373</v>
      </c>
      <c r="O1417" s="10"/>
    </row>
    <row r="1418" spans="1:15" ht="18" customHeight="1" x14ac:dyDescent="0.3">
      <c r="A1418" s="24">
        <v>1417</v>
      </c>
      <c r="B1418" s="10" t="s">
        <v>199</v>
      </c>
      <c r="C1418" s="10" t="s">
        <v>32</v>
      </c>
      <c r="D1418" s="62">
        <v>71</v>
      </c>
      <c r="E1418" s="61" t="s">
        <v>2857</v>
      </c>
      <c r="F1418" s="19" t="s">
        <v>540</v>
      </c>
      <c r="G1418" s="10" t="s">
        <v>150</v>
      </c>
      <c r="H1418" s="10" t="s">
        <v>933</v>
      </c>
      <c r="I1418" s="62">
        <v>223</v>
      </c>
      <c r="J1418" s="10" t="s">
        <v>2374</v>
      </c>
      <c r="K1418" s="10" t="s">
        <v>847</v>
      </c>
      <c r="L1418" s="10" t="s">
        <v>2373</v>
      </c>
      <c r="M1418" s="10" t="s">
        <v>2372</v>
      </c>
      <c r="N1418" s="10" t="s">
        <v>2373</v>
      </c>
      <c r="O1418" s="10"/>
    </row>
    <row r="1419" spans="1:15" ht="18" customHeight="1" x14ac:dyDescent="0.3">
      <c r="A1419" s="24">
        <v>1418</v>
      </c>
      <c r="B1419" s="10" t="s">
        <v>199</v>
      </c>
      <c r="C1419" s="10" t="s">
        <v>32</v>
      </c>
      <c r="D1419" s="62">
        <v>71</v>
      </c>
      <c r="E1419" s="61" t="s">
        <v>2857</v>
      </c>
      <c r="F1419" s="19" t="s">
        <v>2572</v>
      </c>
      <c r="G1419" s="10" t="s">
        <v>150</v>
      </c>
      <c r="H1419" s="10" t="s">
        <v>1152</v>
      </c>
      <c r="I1419" s="62">
        <v>216</v>
      </c>
      <c r="J1419" s="10" t="s">
        <v>2372</v>
      </c>
      <c r="K1419" s="10" t="s">
        <v>846</v>
      </c>
      <c r="L1419" s="10" t="s">
        <v>985</v>
      </c>
      <c r="M1419" s="10" t="s">
        <v>2372</v>
      </c>
      <c r="N1419" s="10" t="s">
        <v>2373</v>
      </c>
      <c r="O1419" s="10"/>
    </row>
    <row r="1420" spans="1:15" ht="18" customHeight="1" x14ac:dyDescent="0.3">
      <c r="A1420" s="24">
        <v>1419</v>
      </c>
      <c r="B1420" s="10" t="s">
        <v>199</v>
      </c>
      <c r="C1420" s="10" t="s">
        <v>32</v>
      </c>
      <c r="D1420" s="62">
        <v>71</v>
      </c>
      <c r="E1420" s="61" t="s">
        <v>2857</v>
      </c>
      <c r="F1420" s="19" t="s">
        <v>2572</v>
      </c>
      <c r="G1420" s="10" t="s">
        <v>150</v>
      </c>
      <c r="H1420" s="10" t="s">
        <v>2411</v>
      </c>
      <c r="I1420" s="62">
        <v>31</v>
      </c>
      <c r="J1420" s="10" t="s">
        <v>2374</v>
      </c>
      <c r="K1420" s="10" t="s">
        <v>846</v>
      </c>
      <c r="L1420" s="10" t="s">
        <v>2412</v>
      </c>
      <c r="M1420" s="10" t="s">
        <v>2372</v>
      </c>
      <c r="N1420" s="10" t="s">
        <v>2373</v>
      </c>
      <c r="O1420" s="10"/>
    </row>
    <row r="1421" spans="1:15" ht="18" customHeight="1" x14ac:dyDescent="0.3">
      <c r="A1421" s="24">
        <v>1420</v>
      </c>
      <c r="B1421" s="10" t="s">
        <v>199</v>
      </c>
      <c r="C1421" s="10" t="s">
        <v>32</v>
      </c>
      <c r="D1421" s="62">
        <v>71</v>
      </c>
      <c r="E1421" s="61" t="s">
        <v>2857</v>
      </c>
      <c r="F1421" s="19" t="s">
        <v>2572</v>
      </c>
      <c r="G1421" s="10" t="s">
        <v>150</v>
      </c>
      <c r="H1421" s="10" t="s">
        <v>1153</v>
      </c>
      <c r="I1421" s="62">
        <v>168</v>
      </c>
      <c r="J1421" s="10" t="s">
        <v>2374</v>
      </c>
      <c r="K1421" s="10" t="s">
        <v>846</v>
      </c>
      <c r="L1421" s="10" t="s">
        <v>188</v>
      </c>
      <c r="M1421" s="10" t="s">
        <v>2372</v>
      </c>
      <c r="N1421" s="10" t="s">
        <v>2373</v>
      </c>
      <c r="O1421" s="10"/>
    </row>
    <row r="1422" spans="1:15" ht="18" customHeight="1" x14ac:dyDescent="0.3">
      <c r="A1422" s="24">
        <v>1421</v>
      </c>
      <c r="B1422" s="10" t="s">
        <v>199</v>
      </c>
      <c r="C1422" s="10" t="s">
        <v>32</v>
      </c>
      <c r="D1422" s="62">
        <v>71</v>
      </c>
      <c r="E1422" s="61" t="s">
        <v>2857</v>
      </c>
      <c r="F1422" s="19" t="s">
        <v>2572</v>
      </c>
      <c r="G1422" s="10" t="s">
        <v>150</v>
      </c>
      <c r="H1422" s="10" t="s">
        <v>2573</v>
      </c>
      <c r="I1422" s="62">
        <v>502</v>
      </c>
      <c r="J1422" s="10" t="s">
        <v>2374</v>
      </c>
      <c r="K1422" s="10" t="s">
        <v>846</v>
      </c>
      <c r="L1422" s="10" t="s">
        <v>187</v>
      </c>
      <c r="M1422" s="10" t="s">
        <v>2372</v>
      </c>
      <c r="N1422" s="10" t="s">
        <v>2373</v>
      </c>
      <c r="O1422" s="10"/>
    </row>
    <row r="1423" spans="1:15" ht="18" customHeight="1" x14ac:dyDescent="0.3">
      <c r="A1423" s="24">
        <v>1422</v>
      </c>
      <c r="B1423" s="10" t="s">
        <v>199</v>
      </c>
      <c r="C1423" s="10" t="s">
        <v>1574</v>
      </c>
      <c r="D1423" s="62">
        <v>72</v>
      </c>
      <c r="E1423" s="61" t="s">
        <v>2858</v>
      </c>
      <c r="F1423" s="19" t="s">
        <v>1576</v>
      </c>
      <c r="G1423" s="10" t="s">
        <v>1278</v>
      </c>
      <c r="H1423" s="10" t="s">
        <v>2385</v>
      </c>
      <c r="I1423" s="62">
        <v>57</v>
      </c>
      <c r="J1423" s="10" t="s">
        <v>2372</v>
      </c>
      <c r="K1423" s="10" t="s">
        <v>847</v>
      </c>
      <c r="L1423" s="10" t="s">
        <v>2373</v>
      </c>
      <c r="M1423" s="10" t="s">
        <v>2372</v>
      </c>
      <c r="N1423" s="10" t="s">
        <v>2373</v>
      </c>
      <c r="O1423" s="10"/>
    </row>
    <row r="1424" spans="1:15" ht="18" customHeight="1" x14ac:dyDescent="0.3">
      <c r="A1424" s="24">
        <v>1423</v>
      </c>
      <c r="B1424" s="10" t="s">
        <v>199</v>
      </c>
      <c r="C1424" s="10" t="s">
        <v>1574</v>
      </c>
      <c r="D1424" s="62">
        <v>72</v>
      </c>
      <c r="E1424" s="61" t="s">
        <v>2858</v>
      </c>
      <c r="F1424" s="19" t="s">
        <v>1576</v>
      </c>
      <c r="G1424" s="10" t="s">
        <v>1278</v>
      </c>
      <c r="H1424" s="10" t="s">
        <v>2378</v>
      </c>
      <c r="I1424" s="62">
        <v>63</v>
      </c>
      <c r="J1424" s="10" t="s">
        <v>2372</v>
      </c>
      <c r="K1424" s="10" t="s">
        <v>847</v>
      </c>
      <c r="L1424" s="10" t="s">
        <v>2373</v>
      </c>
      <c r="M1424" s="10" t="s">
        <v>2372</v>
      </c>
      <c r="N1424" s="10" t="s">
        <v>2373</v>
      </c>
      <c r="O1424" s="10"/>
    </row>
    <row r="1425" spans="1:15" ht="18" customHeight="1" x14ac:dyDescent="0.3">
      <c r="A1425" s="24">
        <v>1424</v>
      </c>
      <c r="B1425" s="10" t="s">
        <v>199</v>
      </c>
      <c r="C1425" s="10" t="s">
        <v>1574</v>
      </c>
      <c r="D1425" s="62">
        <v>72</v>
      </c>
      <c r="E1425" s="61" t="s">
        <v>2858</v>
      </c>
      <c r="F1425" s="19" t="s">
        <v>1576</v>
      </c>
      <c r="G1425" s="10" t="s">
        <v>1278</v>
      </c>
      <c r="H1425" s="10" t="s">
        <v>2379</v>
      </c>
      <c r="I1425" s="62">
        <v>79</v>
      </c>
      <c r="J1425" s="10" t="s">
        <v>2372</v>
      </c>
      <c r="K1425" s="10" t="s">
        <v>847</v>
      </c>
      <c r="L1425" s="10" t="s">
        <v>2373</v>
      </c>
      <c r="M1425" s="10" t="s">
        <v>2372</v>
      </c>
      <c r="N1425" s="10" t="s">
        <v>2373</v>
      </c>
      <c r="O1425" s="10"/>
    </row>
    <row r="1426" spans="1:15" ht="18" customHeight="1" x14ac:dyDescent="0.3">
      <c r="A1426" s="24">
        <v>1425</v>
      </c>
      <c r="B1426" s="10" t="s">
        <v>199</v>
      </c>
      <c r="C1426" s="10" t="s">
        <v>1574</v>
      </c>
      <c r="D1426" s="62">
        <v>72</v>
      </c>
      <c r="E1426" s="61" t="s">
        <v>2858</v>
      </c>
      <c r="F1426" s="19" t="s">
        <v>1576</v>
      </c>
      <c r="G1426" s="10" t="s">
        <v>1278</v>
      </c>
      <c r="H1426" s="10" t="s">
        <v>2380</v>
      </c>
      <c r="I1426" s="62">
        <v>92</v>
      </c>
      <c r="J1426" s="10" t="s">
        <v>2372</v>
      </c>
      <c r="K1426" s="10" t="s">
        <v>847</v>
      </c>
      <c r="L1426" s="10" t="s">
        <v>2373</v>
      </c>
      <c r="M1426" s="10" t="s">
        <v>2372</v>
      </c>
      <c r="N1426" s="10" t="s">
        <v>2373</v>
      </c>
      <c r="O1426" s="10"/>
    </row>
    <row r="1427" spans="1:15" ht="18" customHeight="1" x14ac:dyDescent="0.3">
      <c r="A1427" s="24">
        <v>1426</v>
      </c>
      <c r="B1427" s="10" t="s">
        <v>199</v>
      </c>
      <c r="C1427" s="10" t="s">
        <v>1574</v>
      </c>
      <c r="D1427" s="62">
        <v>72</v>
      </c>
      <c r="E1427" s="61" t="s">
        <v>2858</v>
      </c>
      <c r="F1427" s="19" t="s">
        <v>1576</v>
      </c>
      <c r="G1427" s="10" t="s">
        <v>1278</v>
      </c>
      <c r="H1427" s="10" t="s">
        <v>2390</v>
      </c>
      <c r="I1427" s="62">
        <v>92</v>
      </c>
      <c r="J1427" s="10" t="s">
        <v>2372</v>
      </c>
      <c r="K1427" s="10" t="s">
        <v>847</v>
      </c>
      <c r="L1427" s="10" t="s">
        <v>2373</v>
      </c>
      <c r="M1427" s="10" t="s">
        <v>2372</v>
      </c>
      <c r="N1427" s="10" t="s">
        <v>2373</v>
      </c>
      <c r="O1427" s="10"/>
    </row>
    <row r="1428" spans="1:15" ht="18" customHeight="1" x14ac:dyDescent="0.3">
      <c r="A1428" s="24">
        <v>1427</v>
      </c>
      <c r="B1428" s="10" t="s">
        <v>199</v>
      </c>
      <c r="C1428" s="10" t="s">
        <v>1574</v>
      </c>
      <c r="D1428" s="62">
        <v>72</v>
      </c>
      <c r="E1428" s="61" t="s">
        <v>2858</v>
      </c>
      <c r="F1428" s="19" t="s">
        <v>1576</v>
      </c>
      <c r="G1428" s="10" t="s">
        <v>1278</v>
      </c>
      <c r="H1428" s="10" t="s">
        <v>2382</v>
      </c>
      <c r="I1428" s="62">
        <v>29</v>
      </c>
      <c r="J1428" s="10" t="s">
        <v>2372</v>
      </c>
      <c r="K1428" s="10" t="s">
        <v>847</v>
      </c>
      <c r="L1428" s="10" t="s">
        <v>2373</v>
      </c>
      <c r="M1428" s="10" t="s">
        <v>2372</v>
      </c>
      <c r="N1428" s="10" t="s">
        <v>2373</v>
      </c>
      <c r="O1428" s="10"/>
    </row>
    <row r="1429" spans="1:15" ht="18" customHeight="1" x14ac:dyDescent="0.3">
      <c r="A1429" s="24">
        <v>1428</v>
      </c>
      <c r="B1429" s="8" t="s">
        <v>199</v>
      </c>
      <c r="C1429" s="8" t="s">
        <v>29</v>
      </c>
      <c r="D1429" s="8">
        <v>72</v>
      </c>
      <c r="E1429" s="56" t="s">
        <v>300</v>
      </c>
      <c r="F1429" s="16" t="s">
        <v>1578</v>
      </c>
      <c r="G1429" s="10" t="s">
        <v>2373</v>
      </c>
      <c r="H1429" s="10" t="s">
        <v>2385</v>
      </c>
      <c r="I1429" s="177">
        <v>66</v>
      </c>
      <c r="J1429" s="10" t="s">
        <v>2372</v>
      </c>
      <c r="K1429" s="10" t="s">
        <v>2372</v>
      </c>
      <c r="L1429" s="10" t="s">
        <v>2373</v>
      </c>
      <c r="M1429" s="10" t="s">
        <v>2372</v>
      </c>
      <c r="N1429" s="10" t="s">
        <v>2373</v>
      </c>
      <c r="O1429" s="10"/>
    </row>
    <row r="1430" spans="1:15" ht="18" customHeight="1" x14ac:dyDescent="0.3">
      <c r="A1430" s="24">
        <v>1429</v>
      </c>
      <c r="B1430" s="8" t="s">
        <v>199</v>
      </c>
      <c r="C1430" s="8" t="s">
        <v>29</v>
      </c>
      <c r="D1430" s="8">
        <v>72</v>
      </c>
      <c r="E1430" s="56" t="s">
        <v>300</v>
      </c>
      <c r="F1430" s="16" t="s">
        <v>1578</v>
      </c>
      <c r="G1430" s="10" t="s">
        <v>2373</v>
      </c>
      <c r="H1430" s="10" t="s">
        <v>2378</v>
      </c>
      <c r="I1430" s="177">
        <v>66</v>
      </c>
      <c r="J1430" s="10" t="s">
        <v>2372</v>
      </c>
      <c r="K1430" s="10" t="s">
        <v>2372</v>
      </c>
      <c r="L1430" s="10" t="s">
        <v>2373</v>
      </c>
      <c r="M1430" s="10" t="s">
        <v>2372</v>
      </c>
      <c r="N1430" s="10" t="s">
        <v>2373</v>
      </c>
      <c r="O1430" s="10"/>
    </row>
    <row r="1431" spans="1:15" ht="18" customHeight="1" x14ac:dyDescent="0.3">
      <c r="A1431" s="24">
        <v>1430</v>
      </c>
      <c r="B1431" s="10" t="s">
        <v>199</v>
      </c>
      <c r="C1431" s="10" t="s">
        <v>33</v>
      </c>
      <c r="D1431" s="62">
        <v>73</v>
      </c>
      <c r="E1431" s="61" t="s">
        <v>2860</v>
      </c>
      <c r="F1431" s="19" t="s">
        <v>1582</v>
      </c>
      <c r="G1431" s="10" t="s">
        <v>150</v>
      </c>
      <c r="H1431" s="10" t="s">
        <v>845</v>
      </c>
      <c r="I1431" s="62">
        <v>142</v>
      </c>
      <c r="J1431" s="10" t="s">
        <v>2372</v>
      </c>
      <c r="K1431" s="10" t="s">
        <v>847</v>
      </c>
      <c r="L1431" s="10" t="s">
        <v>2373</v>
      </c>
      <c r="M1431" s="10" t="s">
        <v>2372</v>
      </c>
      <c r="N1431" s="10" t="s">
        <v>2373</v>
      </c>
      <c r="O1431" s="10"/>
    </row>
    <row r="1432" spans="1:15" ht="18" customHeight="1" x14ac:dyDescent="0.3">
      <c r="A1432" s="24">
        <v>1431</v>
      </c>
      <c r="B1432" s="10" t="s">
        <v>199</v>
      </c>
      <c r="C1432" s="10" t="s">
        <v>33</v>
      </c>
      <c r="D1432" s="62">
        <v>73</v>
      </c>
      <c r="E1432" s="61" t="s">
        <v>2860</v>
      </c>
      <c r="F1432" s="19" t="s">
        <v>1582</v>
      </c>
      <c r="G1432" s="10" t="s">
        <v>150</v>
      </c>
      <c r="H1432" s="10" t="s">
        <v>848</v>
      </c>
      <c r="I1432" s="62">
        <v>69</v>
      </c>
      <c r="J1432" s="10" t="s">
        <v>2372</v>
      </c>
      <c r="K1432" s="10" t="s">
        <v>847</v>
      </c>
      <c r="L1432" s="10" t="s">
        <v>2373</v>
      </c>
      <c r="M1432" s="10" t="s">
        <v>2372</v>
      </c>
      <c r="N1432" s="10" t="s">
        <v>2373</v>
      </c>
      <c r="O1432" s="10"/>
    </row>
    <row r="1433" spans="1:15" ht="18" customHeight="1" x14ac:dyDescent="0.3">
      <c r="A1433" s="24">
        <v>1432</v>
      </c>
      <c r="B1433" s="10" t="s">
        <v>199</v>
      </c>
      <c r="C1433" s="10" t="s">
        <v>33</v>
      </c>
      <c r="D1433" s="62">
        <v>73</v>
      </c>
      <c r="E1433" s="61" t="s">
        <v>2860</v>
      </c>
      <c r="F1433" s="19" t="s">
        <v>1061</v>
      </c>
      <c r="G1433" s="10" t="s">
        <v>150</v>
      </c>
      <c r="H1433" s="10" t="s">
        <v>849</v>
      </c>
      <c r="I1433" s="62">
        <v>69</v>
      </c>
      <c r="J1433" s="10" t="s">
        <v>2374</v>
      </c>
      <c r="K1433" s="10" t="s">
        <v>847</v>
      </c>
      <c r="L1433" s="10" t="s">
        <v>2373</v>
      </c>
      <c r="M1433" s="10" t="s">
        <v>2372</v>
      </c>
      <c r="N1433" s="10" t="s">
        <v>2373</v>
      </c>
      <c r="O1433" s="10"/>
    </row>
    <row r="1434" spans="1:15" ht="18" customHeight="1" x14ac:dyDescent="0.3">
      <c r="A1434" s="24">
        <v>1433</v>
      </c>
      <c r="B1434" s="10" t="s">
        <v>199</v>
      </c>
      <c r="C1434" s="10" t="s">
        <v>33</v>
      </c>
      <c r="D1434" s="62">
        <v>73</v>
      </c>
      <c r="E1434" s="61" t="s">
        <v>2860</v>
      </c>
      <c r="F1434" s="19" t="s">
        <v>1061</v>
      </c>
      <c r="G1434" s="10" t="s">
        <v>150</v>
      </c>
      <c r="H1434" s="10" t="s">
        <v>850</v>
      </c>
      <c r="I1434" s="62">
        <v>83</v>
      </c>
      <c r="J1434" s="10" t="s">
        <v>2374</v>
      </c>
      <c r="K1434" s="10" t="s">
        <v>847</v>
      </c>
      <c r="L1434" s="10" t="s">
        <v>2373</v>
      </c>
      <c r="M1434" s="10" t="s">
        <v>2372</v>
      </c>
      <c r="N1434" s="10" t="s">
        <v>2373</v>
      </c>
      <c r="O1434" s="10"/>
    </row>
    <row r="1435" spans="1:15" ht="18" customHeight="1" x14ac:dyDescent="0.3">
      <c r="A1435" s="24">
        <v>1434</v>
      </c>
      <c r="B1435" s="10" t="s">
        <v>199</v>
      </c>
      <c r="C1435" s="10" t="s">
        <v>33</v>
      </c>
      <c r="D1435" s="62">
        <v>73</v>
      </c>
      <c r="E1435" s="61" t="s">
        <v>2861</v>
      </c>
      <c r="F1435" s="19" t="s">
        <v>544</v>
      </c>
      <c r="G1435" s="10" t="s">
        <v>150</v>
      </c>
      <c r="H1435" s="10" t="s">
        <v>845</v>
      </c>
      <c r="I1435" s="62">
        <v>174</v>
      </c>
      <c r="J1435" s="10" t="s">
        <v>2374</v>
      </c>
      <c r="K1435" s="10" t="s">
        <v>847</v>
      </c>
      <c r="L1435" s="10" t="s">
        <v>2373</v>
      </c>
      <c r="M1435" s="10" t="s">
        <v>2372</v>
      </c>
      <c r="N1435" s="10" t="s">
        <v>2373</v>
      </c>
      <c r="O1435" s="10"/>
    </row>
    <row r="1436" spans="1:15" ht="18" customHeight="1" x14ac:dyDescent="0.3">
      <c r="A1436" s="24">
        <v>1435</v>
      </c>
      <c r="B1436" s="10" t="s">
        <v>199</v>
      </c>
      <c r="C1436" s="10" t="s">
        <v>33</v>
      </c>
      <c r="D1436" s="62">
        <v>73</v>
      </c>
      <c r="E1436" s="61" t="s">
        <v>2861</v>
      </c>
      <c r="F1436" s="19" t="s">
        <v>544</v>
      </c>
      <c r="G1436" s="10" t="s">
        <v>150</v>
      </c>
      <c r="H1436" s="10" t="s">
        <v>849</v>
      </c>
      <c r="I1436" s="62">
        <v>146</v>
      </c>
      <c r="J1436" s="10" t="s">
        <v>2372</v>
      </c>
      <c r="K1436" s="10" t="s">
        <v>847</v>
      </c>
      <c r="L1436" s="10" t="s">
        <v>2373</v>
      </c>
      <c r="M1436" s="10" t="s">
        <v>2372</v>
      </c>
      <c r="N1436" s="10" t="s">
        <v>2373</v>
      </c>
      <c r="O1436" s="10"/>
    </row>
    <row r="1437" spans="1:15" ht="18" customHeight="1" x14ac:dyDescent="0.3">
      <c r="A1437" s="24">
        <v>1436</v>
      </c>
      <c r="B1437" s="10" t="s">
        <v>199</v>
      </c>
      <c r="C1437" s="10" t="s">
        <v>33</v>
      </c>
      <c r="D1437" s="62">
        <v>73</v>
      </c>
      <c r="E1437" s="61" t="s">
        <v>2861</v>
      </c>
      <c r="F1437" s="19" t="s">
        <v>544</v>
      </c>
      <c r="G1437" s="10" t="s">
        <v>150</v>
      </c>
      <c r="H1437" s="10" t="s">
        <v>850</v>
      </c>
      <c r="I1437" s="62">
        <v>171</v>
      </c>
      <c r="J1437" s="10" t="s">
        <v>2372</v>
      </c>
      <c r="K1437" s="10" t="s">
        <v>847</v>
      </c>
      <c r="L1437" s="10" t="s">
        <v>2373</v>
      </c>
      <c r="M1437" s="10" t="s">
        <v>2372</v>
      </c>
      <c r="N1437" s="10" t="s">
        <v>2373</v>
      </c>
      <c r="O1437" s="10"/>
    </row>
    <row r="1438" spans="1:15" ht="18" customHeight="1" x14ac:dyDescent="0.3">
      <c r="A1438" s="24">
        <v>1437</v>
      </c>
      <c r="B1438" s="10" t="s">
        <v>199</v>
      </c>
      <c r="C1438" s="10" t="s">
        <v>33</v>
      </c>
      <c r="D1438" s="62">
        <v>73</v>
      </c>
      <c r="E1438" s="61" t="s">
        <v>2861</v>
      </c>
      <c r="F1438" s="19" t="s">
        <v>544</v>
      </c>
      <c r="G1438" s="10" t="s">
        <v>150</v>
      </c>
      <c r="H1438" s="10" t="s">
        <v>851</v>
      </c>
      <c r="I1438" s="62">
        <v>131</v>
      </c>
      <c r="J1438" s="10" t="s">
        <v>2374</v>
      </c>
      <c r="K1438" s="10" t="s">
        <v>847</v>
      </c>
      <c r="L1438" s="10" t="s">
        <v>2373</v>
      </c>
      <c r="M1438" s="10" t="s">
        <v>2372</v>
      </c>
      <c r="N1438" s="10" t="s">
        <v>2373</v>
      </c>
      <c r="O1438" s="10"/>
    </row>
    <row r="1439" spans="1:15" ht="18" customHeight="1" x14ac:dyDescent="0.3">
      <c r="A1439" s="24">
        <v>1438</v>
      </c>
      <c r="B1439" s="10" t="s">
        <v>199</v>
      </c>
      <c r="C1439" s="10" t="s">
        <v>33</v>
      </c>
      <c r="D1439" s="62">
        <v>73</v>
      </c>
      <c r="E1439" s="61" t="s">
        <v>2861</v>
      </c>
      <c r="F1439" s="19" t="s">
        <v>544</v>
      </c>
      <c r="G1439" s="10" t="s">
        <v>150</v>
      </c>
      <c r="H1439" s="10" t="s">
        <v>852</v>
      </c>
      <c r="I1439" s="62">
        <v>142</v>
      </c>
      <c r="J1439" s="10" t="s">
        <v>2372</v>
      </c>
      <c r="K1439" s="10" t="s">
        <v>847</v>
      </c>
      <c r="L1439" s="10" t="s">
        <v>2373</v>
      </c>
      <c r="M1439" s="10" t="s">
        <v>2372</v>
      </c>
      <c r="N1439" s="10" t="s">
        <v>2373</v>
      </c>
      <c r="O1439" s="10"/>
    </row>
    <row r="1440" spans="1:15" ht="18" customHeight="1" x14ac:dyDescent="0.3">
      <c r="A1440" s="24">
        <v>1439</v>
      </c>
      <c r="B1440" s="10" t="s">
        <v>199</v>
      </c>
      <c r="C1440" s="10" t="s">
        <v>33</v>
      </c>
      <c r="D1440" s="62">
        <v>73</v>
      </c>
      <c r="E1440" s="61" t="s">
        <v>2861</v>
      </c>
      <c r="F1440" s="19" t="s">
        <v>2574</v>
      </c>
      <c r="G1440" s="10" t="s">
        <v>150</v>
      </c>
      <c r="H1440" s="10" t="s">
        <v>853</v>
      </c>
      <c r="I1440" s="62">
        <v>142</v>
      </c>
      <c r="J1440" s="10" t="s">
        <v>2372</v>
      </c>
      <c r="K1440" s="10" t="s">
        <v>847</v>
      </c>
      <c r="L1440" s="10" t="s">
        <v>2373</v>
      </c>
      <c r="M1440" s="10" t="s">
        <v>2372</v>
      </c>
      <c r="N1440" s="10" t="s">
        <v>2373</v>
      </c>
      <c r="O1440" s="10"/>
    </row>
    <row r="1441" spans="1:15" ht="18" customHeight="1" x14ac:dyDescent="0.3">
      <c r="A1441" s="24">
        <v>1440</v>
      </c>
      <c r="B1441" s="10" t="s">
        <v>199</v>
      </c>
      <c r="C1441" s="10" t="s">
        <v>33</v>
      </c>
      <c r="D1441" s="62">
        <v>73</v>
      </c>
      <c r="E1441" s="61" t="s">
        <v>2861</v>
      </c>
      <c r="F1441" s="19" t="s">
        <v>2574</v>
      </c>
      <c r="G1441" s="10" t="s">
        <v>150</v>
      </c>
      <c r="H1441" s="10" t="s">
        <v>848</v>
      </c>
      <c r="I1441" s="62">
        <v>160</v>
      </c>
      <c r="J1441" s="10" t="s">
        <v>2374</v>
      </c>
      <c r="K1441" s="10" t="s">
        <v>846</v>
      </c>
      <c r="L1441" s="10" t="s">
        <v>985</v>
      </c>
      <c r="M1441" s="10" t="s">
        <v>2372</v>
      </c>
      <c r="N1441" s="10" t="s">
        <v>2373</v>
      </c>
      <c r="O1441" s="10"/>
    </row>
    <row r="1442" spans="1:15" ht="18" customHeight="1" x14ac:dyDescent="0.3">
      <c r="A1442" s="24">
        <v>1441</v>
      </c>
      <c r="B1442" s="10" t="s">
        <v>199</v>
      </c>
      <c r="C1442" s="10" t="s">
        <v>49</v>
      </c>
      <c r="D1442" s="62">
        <v>74</v>
      </c>
      <c r="E1442" s="61" t="s">
        <v>966</v>
      </c>
      <c r="F1442" s="19" t="s">
        <v>1587</v>
      </c>
      <c r="G1442" s="10" t="s">
        <v>2373</v>
      </c>
      <c r="H1442" s="10" t="s">
        <v>845</v>
      </c>
      <c r="I1442" s="62">
        <v>103</v>
      </c>
      <c r="J1442" s="10" t="s">
        <v>2374</v>
      </c>
      <c r="K1442" s="10" t="s">
        <v>847</v>
      </c>
      <c r="L1442" s="10" t="s">
        <v>2373</v>
      </c>
      <c r="M1442" s="10" t="s">
        <v>2372</v>
      </c>
      <c r="N1442" s="10" t="s">
        <v>2373</v>
      </c>
      <c r="O1442" s="10"/>
    </row>
    <row r="1443" spans="1:15" ht="18" customHeight="1" x14ac:dyDescent="0.3">
      <c r="A1443" s="24">
        <v>1442</v>
      </c>
      <c r="B1443" s="10" t="s">
        <v>199</v>
      </c>
      <c r="C1443" s="10" t="s">
        <v>49</v>
      </c>
      <c r="D1443" s="62">
        <v>74</v>
      </c>
      <c r="E1443" s="61" t="s">
        <v>966</v>
      </c>
      <c r="F1443" s="19" t="s">
        <v>1587</v>
      </c>
      <c r="G1443" s="10" t="s">
        <v>2373</v>
      </c>
      <c r="H1443" s="10" t="s">
        <v>848</v>
      </c>
      <c r="I1443" s="62">
        <v>198</v>
      </c>
      <c r="J1443" s="10" t="s">
        <v>2374</v>
      </c>
      <c r="K1443" s="10" t="s">
        <v>847</v>
      </c>
      <c r="L1443" s="10" t="s">
        <v>2373</v>
      </c>
      <c r="M1443" s="10" t="s">
        <v>2372</v>
      </c>
      <c r="N1443" s="10" t="s">
        <v>2373</v>
      </c>
      <c r="O1443" s="10"/>
    </row>
    <row r="1444" spans="1:15" ht="18" customHeight="1" x14ac:dyDescent="0.3">
      <c r="A1444" s="24">
        <v>1443</v>
      </c>
      <c r="B1444" s="10" t="s">
        <v>50</v>
      </c>
      <c r="C1444" s="10" t="s">
        <v>1590</v>
      </c>
      <c r="D1444" s="62">
        <v>75</v>
      </c>
      <c r="E1444" s="61" t="s">
        <v>1591</v>
      </c>
      <c r="F1444" s="19" t="s">
        <v>1592</v>
      </c>
      <c r="G1444" s="10" t="s">
        <v>1264</v>
      </c>
      <c r="H1444" s="10" t="s">
        <v>2385</v>
      </c>
      <c r="I1444" s="62">
        <v>136</v>
      </c>
      <c r="J1444" s="10" t="s">
        <v>2372</v>
      </c>
      <c r="K1444" s="10" t="s">
        <v>847</v>
      </c>
      <c r="L1444" s="10" t="s">
        <v>2373</v>
      </c>
      <c r="M1444" s="10" t="s">
        <v>2372</v>
      </c>
      <c r="N1444" s="10" t="s">
        <v>2373</v>
      </c>
      <c r="O1444" s="10"/>
    </row>
    <row r="1445" spans="1:15" ht="18" customHeight="1" x14ac:dyDescent="0.3">
      <c r="A1445" s="24">
        <v>1444</v>
      </c>
      <c r="B1445" s="10" t="s">
        <v>50</v>
      </c>
      <c r="C1445" s="10" t="s">
        <v>1590</v>
      </c>
      <c r="D1445" s="62">
        <v>75</v>
      </c>
      <c r="E1445" s="61" t="s">
        <v>1591</v>
      </c>
      <c r="F1445" s="19" t="s">
        <v>1592</v>
      </c>
      <c r="G1445" s="10" t="s">
        <v>1264</v>
      </c>
      <c r="H1445" s="10" t="s">
        <v>2378</v>
      </c>
      <c r="I1445" s="62">
        <v>122</v>
      </c>
      <c r="J1445" s="10" t="s">
        <v>2372</v>
      </c>
      <c r="K1445" s="10" t="s">
        <v>847</v>
      </c>
      <c r="L1445" s="10" t="s">
        <v>2373</v>
      </c>
      <c r="M1445" s="10" t="s">
        <v>2372</v>
      </c>
      <c r="N1445" s="10" t="s">
        <v>2373</v>
      </c>
      <c r="O1445" s="10"/>
    </row>
    <row r="1446" spans="1:15" ht="18" customHeight="1" x14ac:dyDescent="0.3">
      <c r="A1446" s="24">
        <v>1445</v>
      </c>
      <c r="B1446" s="10" t="s">
        <v>50</v>
      </c>
      <c r="C1446" s="10" t="s">
        <v>1590</v>
      </c>
      <c r="D1446" s="62">
        <v>75</v>
      </c>
      <c r="E1446" s="61" t="s">
        <v>1591</v>
      </c>
      <c r="F1446" s="19" t="s">
        <v>1592</v>
      </c>
      <c r="G1446" s="10" t="s">
        <v>1264</v>
      </c>
      <c r="H1446" s="10" t="s">
        <v>2379</v>
      </c>
      <c r="I1446" s="62">
        <v>120</v>
      </c>
      <c r="J1446" s="10" t="s">
        <v>2372</v>
      </c>
      <c r="K1446" s="10" t="s">
        <v>847</v>
      </c>
      <c r="L1446" s="10" t="s">
        <v>2373</v>
      </c>
      <c r="M1446" s="10" t="s">
        <v>2372</v>
      </c>
      <c r="N1446" s="10" t="s">
        <v>2373</v>
      </c>
      <c r="O1446" s="10"/>
    </row>
    <row r="1447" spans="1:15" ht="18" customHeight="1" x14ac:dyDescent="0.3">
      <c r="A1447" s="24">
        <v>1446</v>
      </c>
      <c r="B1447" s="10" t="s">
        <v>50</v>
      </c>
      <c r="C1447" s="10" t="s">
        <v>1590</v>
      </c>
      <c r="D1447" s="62">
        <v>75</v>
      </c>
      <c r="E1447" s="61" t="s">
        <v>1591</v>
      </c>
      <c r="F1447" s="19" t="s">
        <v>1592</v>
      </c>
      <c r="G1447" s="10" t="s">
        <v>1264</v>
      </c>
      <c r="H1447" s="10" t="s">
        <v>2380</v>
      </c>
      <c r="I1447" s="62">
        <v>182</v>
      </c>
      <c r="J1447" s="10" t="s">
        <v>2372</v>
      </c>
      <c r="K1447" s="10" t="s">
        <v>847</v>
      </c>
      <c r="L1447" s="10" t="s">
        <v>2373</v>
      </c>
      <c r="M1447" s="10" t="s">
        <v>2372</v>
      </c>
      <c r="N1447" s="10" t="s">
        <v>2373</v>
      </c>
      <c r="O1447" s="10"/>
    </row>
    <row r="1448" spans="1:15" ht="18" customHeight="1" x14ac:dyDescent="0.3">
      <c r="A1448" s="24">
        <v>1447</v>
      </c>
      <c r="B1448" s="10" t="s">
        <v>50</v>
      </c>
      <c r="C1448" s="10" t="s">
        <v>1590</v>
      </c>
      <c r="D1448" s="62">
        <v>75</v>
      </c>
      <c r="E1448" s="61" t="s">
        <v>1591</v>
      </c>
      <c r="F1448" s="19" t="s">
        <v>1592</v>
      </c>
      <c r="G1448" s="10" t="s">
        <v>1264</v>
      </c>
      <c r="H1448" s="10" t="s">
        <v>2390</v>
      </c>
      <c r="I1448" s="62">
        <v>199</v>
      </c>
      <c r="J1448" s="10" t="s">
        <v>2372</v>
      </c>
      <c r="K1448" s="10" t="s">
        <v>847</v>
      </c>
      <c r="L1448" s="10" t="s">
        <v>2373</v>
      </c>
      <c r="M1448" s="10" t="s">
        <v>2372</v>
      </c>
      <c r="N1448" s="10" t="s">
        <v>2373</v>
      </c>
      <c r="O1448" s="10"/>
    </row>
    <row r="1449" spans="1:15" ht="18" customHeight="1" x14ac:dyDescent="0.3">
      <c r="A1449" s="24">
        <v>1448</v>
      </c>
      <c r="B1449" s="10" t="s">
        <v>50</v>
      </c>
      <c r="C1449" s="10" t="s">
        <v>878</v>
      </c>
      <c r="D1449" s="62">
        <v>75</v>
      </c>
      <c r="E1449" s="61" t="s">
        <v>2862</v>
      </c>
      <c r="F1449" s="19" t="s">
        <v>1060</v>
      </c>
      <c r="G1449" s="10" t="s">
        <v>150</v>
      </c>
      <c r="H1449" s="10" t="s">
        <v>849</v>
      </c>
      <c r="I1449" s="62">
        <v>109</v>
      </c>
      <c r="J1449" s="10" t="s">
        <v>2374</v>
      </c>
      <c r="K1449" s="10" t="s">
        <v>847</v>
      </c>
      <c r="L1449" s="10" t="s">
        <v>2373</v>
      </c>
      <c r="M1449" s="10" t="s">
        <v>2372</v>
      </c>
      <c r="N1449" s="10" t="s">
        <v>2373</v>
      </c>
      <c r="O1449" s="10"/>
    </row>
    <row r="1450" spans="1:15" ht="18" customHeight="1" x14ac:dyDescent="0.3">
      <c r="A1450" s="24">
        <v>1449</v>
      </c>
      <c r="B1450" s="10" t="s">
        <v>50</v>
      </c>
      <c r="C1450" s="10" t="s">
        <v>878</v>
      </c>
      <c r="D1450" s="62">
        <v>75</v>
      </c>
      <c r="E1450" s="61" t="s">
        <v>2862</v>
      </c>
      <c r="F1450" s="19" t="s">
        <v>1060</v>
      </c>
      <c r="G1450" s="10" t="s">
        <v>150</v>
      </c>
      <c r="H1450" s="10" t="s">
        <v>850</v>
      </c>
      <c r="I1450" s="62">
        <v>159</v>
      </c>
      <c r="J1450" s="10" t="s">
        <v>2372</v>
      </c>
      <c r="K1450" s="10" t="s">
        <v>847</v>
      </c>
      <c r="L1450" s="10" t="s">
        <v>2373</v>
      </c>
      <c r="M1450" s="10" t="s">
        <v>2372</v>
      </c>
      <c r="N1450" s="10" t="s">
        <v>2373</v>
      </c>
      <c r="O1450" s="10"/>
    </row>
    <row r="1451" spans="1:15" ht="18" customHeight="1" x14ac:dyDescent="0.3">
      <c r="A1451" s="24">
        <v>1450</v>
      </c>
      <c r="B1451" s="10" t="s">
        <v>50</v>
      </c>
      <c r="C1451" s="10" t="s">
        <v>878</v>
      </c>
      <c r="D1451" s="62">
        <v>75</v>
      </c>
      <c r="E1451" s="61" t="s">
        <v>2862</v>
      </c>
      <c r="F1451" s="19" t="s">
        <v>1060</v>
      </c>
      <c r="G1451" s="10" t="s">
        <v>150</v>
      </c>
      <c r="H1451" s="10" t="s">
        <v>851</v>
      </c>
      <c r="I1451" s="62">
        <v>268</v>
      </c>
      <c r="J1451" s="10" t="s">
        <v>2374</v>
      </c>
      <c r="K1451" s="10" t="s">
        <v>847</v>
      </c>
      <c r="L1451" s="10" t="s">
        <v>2373</v>
      </c>
      <c r="M1451" s="10" t="s">
        <v>2372</v>
      </c>
      <c r="N1451" s="10" t="s">
        <v>2373</v>
      </c>
      <c r="O1451" s="10"/>
    </row>
    <row r="1452" spans="1:15" ht="18" customHeight="1" x14ac:dyDescent="0.3">
      <c r="A1452" s="24">
        <v>1451</v>
      </c>
      <c r="B1452" s="10" t="s">
        <v>50</v>
      </c>
      <c r="C1452" s="10" t="s">
        <v>878</v>
      </c>
      <c r="D1452" s="62">
        <v>75</v>
      </c>
      <c r="E1452" s="61" t="s">
        <v>2862</v>
      </c>
      <c r="F1452" s="19" t="s">
        <v>1060</v>
      </c>
      <c r="G1452" s="10" t="s">
        <v>150</v>
      </c>
      <c r="H1452" s="10" t="s">
        <v>852</v>
      </c>
      <c r="I1452" s="62">
        <v>172</v>
      </c>
      <c r="J1452" s="10" t="s">
        <v>2372</v>
      </c>
      <c r="K1452" s="10" t="s">
        <v>846</v>
      </c>
      <c r="L1452" s="10" t="s">
        <v>985</v>
      </c>
      <c r="M1452" s="10" t="s">
        <v>2372</v>
      </c>
      <c r="N1452" s="10" t="s">
        <v>2373</v>
      </c>
      <c r="O1452" s="10"/>
    </row>
    <row r="1453" spans="1:15" ht="18" customHeight="1" x14ac:dyDescent="0.3">
      <c r="A1453" s="24">
        <v>1452</v>
      </c>
      <c r="B1453" s="10" t="s">
        <v>50</v>
      </c>
      <c r="C1453" s="10" t="s">
        <v>878</v>
      </c>
      <c r="D1453" s="62">
        <v>75</v>
      </c>
      <c r="E1453" s="61" t="s">
        <v>2862</v>
      </c>
      <c r="F1453" s="19" t="s">
        <v>1060</v>
      </c>
      <c r="G1453" s="10" t="s">
        <v>150</v>
      </c>
      <c r="H1453" s="10" t="s">
        <v>853</v>
      </c>
      <c r="I1453" s="62">
        <v>172</v>
      </c>
      <c r="J1453" s="10" t="s">
        <v>2374</v>
      </c>
      <c r="K1453" s="10" t="s">
        <v>847</v>
      </c>
      <c r="L1453" s="10" t="s">
        <v>2373</v>
      </c>
      <c r="M1453" s="10" t="s">
        <v>2372</v>
      </c>
      <c r="N1453" s="10" t="s">
        <v>2373</v>
      </c>
      <c r="O1453" s="10"/>
    </row>
    <row r="1454" spans="1:15" ht="18" customHeight="1" x14ac:dyDescent="0.3">
      <c r="A1454" s="24">
        <v>1453</v>
      </c>
      <c r="B1454" s="10" t="s">
        <v>50</v>
      </c>
      <c r="C1454" s="10" t="s">
        <v>878</v>
      </c>
      <c r="D1454" s="62">
        <v>75</v>
      </c>
      <c r="E1454" s="61" t="s">
        <v>2862</v>
      </c>
      <c r="F1454" s="19" t="s">
        <v>551</v>
      </c>
      <c r="G1454" s="10" t="s">
        <v>150</v>
      </c>
      <c r="H1454" s="10" t="s">
        <v>845</v>
      </c>
      <c r="I1454" s="62">
        <v>104</v>
      </c>
      <c r="J1454" s="10" t="s">
        <v>2372</v>
      </c>
      <c r="K1454" s="10" t="s">
        <v>847</v>
      </c>
      <c r="L1454" s="10" t="s">
        <v>2373</v>
      </c>
      <c r="M1454" s="10" t="s">
        <v>2372</v>
      </c>
      <c r="N1454" s="10" t="s">
        <v>2373</v>
      </c>
      <c r="O1454" s="10"/>
    </row>
    <row r="1455" spans="1:15" ht="18" customHeight="1" x14ac:dyDescent="0.3">
      <c r="A1455" s="24">
        <v>1454</v>
      </c>
      <c r="B1455" s="10" t="s">
        <v>50</v>
      </c>
      <c r="C1455" s="10" t="s">
        <v>878</v>
      </c>
      <c r="D1455" s="62">
        <v>75</v>
      </c>
      <c r="E1455" s="61" t="s">
        <v>2862</v>
      </c>
      <c r="F1455" s="19" t="s">
        <v>551</v>
      </c>
      <c r="G1455" s="10" t="s">
        <v>150</v>
      </c>
      <c r="H1455" s="10" t="s">
        <v>848</v>
      </c>
      <c r="I1455" s="62">
        <v>110</v>
      </c>
      <c r="J1455" s="10" t="s">
        <v>2372</v>
      </c>
      <c r="K1455" s="10" t="s">
        <v>847</v>
      </c>
      <c r="L1455" s="10" t="s">
        <v>2373</v>
      </c>
      <c r="M1455" s="10" t="s">
        <v>2372</v>
      </c>
      <c r="N1455" s="10" t="s">
        <v>2373</v>
      </c>
      <c r="O1455" s="10"/>
    </row>
    <row r="1456" spans="1:15" ht="18" customHeight="1" x14ac:dyDescent="0.3">
      <c r="A1456" s="24">
        <v>1455</v>
      </c>
      <c r="B1456" s="10" t="s">
        <v>50</v>
      </c>
      <c r="C1456" s="10" t="s">
        <v>1597</v>
      </c>
      <c r="D1456" s="62">
        <v>75</v>
      </c>
      <c r="E1456" s="61" t="s">
        <v>1598</v>
      </c>
      <c r="F1456" s="16" t="s">
        <v>552</v>
      </c>
      <c r="G1456" s="10" t="s">
        <v>160</v>
      </c>
      <c r="H1456" s="10" t="s">
        <v>845</v>
      </c>
      <c r="I1456" s="62">
        <v>137</v>
      </c>
      <c r="J1456" s="10" t="s">
        <v>2374</v>
      </c>
      <c r="K1456" s="10" t="s">
        <v>847</v>
      </c>
      <c r="L1456" s="10" t="s">
        <v>2373</v>
      </c>
      <c r="M1456" s="10" t="s">
        <v>2372</v>
      </c>
      <c r="N1456" s="10" t="s">
        <v>2373</v>
      </c>
      <c r="O1456" s="10"/>
    </row>
    <row r="1457" spans="1:15" ht="18" customHeight="1" x14ac:dyDescent="0.3">
      <c r="A1457" s="24">
        <v>1456</v>
      </c>
      <c r="B1457" s="10" t="s">
        <v>50</v>
      </c>
      <c r="C1457" s="10" t="s">
        <v>1597</v>
      </c>
      <c r="D1457" s="62">
        <v>75</v>
      </c>
      <c r="E1457" s="61" t="s">
        <v>1598</v>
      </c>
      <c r="F1457" s="16" t="s">
        <v>552</v>
      </c>
      <c r="G1457" s="10" t="s">
        <v>160</v>
      </c>
      <c r="H1457" s="10" t="s">
        <v>848</v>
      </c>
      <c r="I1457" s="62">
        <v>115</v>
      </c>
      <c r="J1457" s="10" t="s">
        <v>2372</v>
      </c>
      <c r="K1457" s="10" t="s">
        <v>847</v>
      </c>
      <c r="L1457" s="10" t="s">
        <v>2373</v>
      </c>
      <c r="M1457" s="10" t="s">
        <v>2372</v>
      </c>
      <c r="N1457" s="10" t="s">
        <v>2373</v>
      </c>
      <c r="O1457" s="10"/>
    </row>
    <row r="1458" spans="1:15" ht="18" customHeight="1" x14ac:dyDescent="0.3">
      <c r="A1458" s="24">
        <v>1457</v>
      </c>
      <c r="B1458" s="10" t="s">
        <v>50</v>
      </c>
      <c r="C1458" s="10" t="s">
        <v>1597</v>
      </c>
      <c r="D1458" s="62">
        <v>75</v>
      </c>
      <c r="E1458" s="61" t="s">
        <v>1598</v>
      </c>
      <c r="F1458" s="16" t="s">
        <v>552</v>
      </c>
      <c r="G1458" s="10" t="s">
        <v>160</v>
      </c>
      <c r="H1458" s="10" t="s">
        <v>849</v>
      </c>
      <c r="I1458" s="62">
        <v>105</v>
      </c>
      <c r="J1458" s="10" t="s">
        <v>2372</v>
      </c>
      <c r="K1458" s="10" t="s">
        <v>847</v>
      </c>
      <c r="L1458" s="10" t="s">
        <v>2373</v>
      </c>
      <c r="M1458" s="10" t="s">
        <v>2372</v>
      </c>
      <c r="N1458" s="10" t="s">
        <v>2373</v>
      </c>
      <c r="O1458" s="10"/>
    </row>
    <row r="1459" spans="1:15" ht="18" customHeight="1" x14ac:dyDescent="0.3">
      <c r="A1459" s="24">
        <v>1458</v>
      </c>
      <c r="B1459" s="10" t="s">
        <v>50</v>
      </c>
      <c r="C1459" s="10" t="s">
        <v>1597</v>
      </c>
      <c r="D1459" s="62">
        <v>75</v>
      </c>
      <c r="E1459" s="61" t="s">
        <v>1598</v>
      </c>
      <c r="F1459" s="16" t="s">
        <v>552</v>
      </c>
      <c r="G1459" s="10" t="s">
        <v>160</v>
      </c>
      <c r="H1459" s="10" t="s">
        <v>850</v>
      </c>
      <c r="I1459" s="62">
        <v>219</v>
      </c>
      <c r="J1459" s="10" t="s">
        <v>2374</v>
      </c>
      <c r="K1459" s="10" t="s">
        <v>847</v>
      </c>
      <c r="L1459" s="10" t="s">
        <v>2373</v>
      </c>
      <c r="M1459" s="10" t="s">
        <v>2372</v>
      </c>
      <c r="N1459" s="10" t="s">
        <v>2373</v>
      </c>
      <c r="O1459" s="10"/>
    </row>
    <row r="1460" spans="1:15" ht="18" customHeight="1" x14ac:dyDescent="0.3">
      <c r="A1460" s="24">
        <v>1459</v>
      </c>
      <c r="B1460" s="10" t="s">
        <v>50</v>
      </c>
      <c r="C1460" s="10" t="s">
        <v>1597</v>
      </c>
      <c r="D1460" s="62">
        <v>75</v>
      </c>
      <c r="E1460" s="61" t="s">
        <v>1598</v>
      </c>
      <c r="F1460" s="16" t="s">
        <v>552</v>
      </c>
      <c r="G1460" s="10" t="s">
        <v>160</v>
      </c>
      <c r="H1460" s="10" t="s">
        <v>851</v>
      </c>
      <c r="I1460" s="62">
        <v>173</v>
      </c>
      <c r="J1460" s="10" t="s">
        <v>2372</v>
      </c>
      <c r="K1460" s="10" t="s">
        <v>847</v>
      </c>
      <c r="L1460" s="10" t="s">
        <v>2373</v>
      </c>
      <c r="M1460" s="10" t="s">
        <v>2372</v>
      </c>
      <c r="N1460" s="10" t="s">
        <v>2373</v>
      </c>
      <c r="O1460" s="10"/>
    </row>
    <row r="1461" spans="1:15" ht="18" customHeight="1" x14ac:dyDescent="0.3">
      <c r="A1461" s="24">
        <v>1460</v>
      </c>
      <c r="B1461" s="10" t="s">
        <v>51</v>
      </c>
      <c r="C1461" s="10" t="s">
        <v>52</v>
      </c>
      <c r="D1461" s="62">
        <v>76</v>
      </c>
      <c r="E1461" s="61" t="s">
        <v>269</v>
      </c>
      <c r="F1461" s="16" t="s">
        <v>600</v>
      </c>
      <c r="G1461" s="10" t="s">
        <v>160</v>
      </c>
      <c r="H1461" s="10" t="s">
        <v>845</v>
      </c>
      <c r="I1461" s="62">
        <v>297</v>
      </c>
      <c r="J1461" s="10" t="s">
        <v>2372</v>
      </c>
      <c r="K1461" s="10" t="s">
        <v>847</v>
      </c>
      <c r="L1461" s="10" t="s">
        <v>2373</v>
      </c>
      <c r="M1461" s="10" t="s">
        <v>2372</v>
      </c>
      <c r="N1461" s="10" t="s">
        <v>2373</v>
      </c>
      <c r="O1461" s="10"/>
    </row>
    <row r="1462" spans="1:15" ht="18" customHeight="1" x14ac:dyDescent="0.3">
      <c r="A1462" s="24">
        <v>1461</v>
      </c>
      <c r="B1462" s="10" t="s">
        <v>51</v>
      </c>
      <c r="C1462" s="10" t="s">
        <v>52</v>
      </c>
      <c r="D1462" s="62">
        <v>76</v>
      </c>
      <c r="E1462" s="61" t="s">
        <v>269</v>
      </c>
      <c r="F1462" s="16" t="s">
        <v>600</v>
      </c>
      <c r="G1462" s="10" t="s">
        <v>160</v>
      </c>
      <c r="H1462" s="10" t="s">
        <v>848</v>
      </c>
      <c r="I1462" s="62">
        <v>223</v>
      </c>
      <c r="J1462" s="10" t="s">
        <v>2372</v>
      </c>
      <c r="K1462" s="10" t="s">
        <v>847</v>
      </c>
      <c r="L1462" s="10" t="s">
        <v>2373</v>
      </c>
      <c r="M1462" s="10" t="s">
        <v>2372</v>
      </c>
      <c r="N1462" s="10" t="s">
        <v>2373</v>
      </c>
      <c r="O1462" s="10"/>
    </row>
    <row r="1463" spans="1:15" ht="18" customHeight="1" x14ac:dyDescent="0.3">
      <c r="A1463" s="24">
        <v>1462</v>
      </c>
      <c r="B1463" s="10" t="s">
        <v>51</v>
      </c>
      <c r="C1463" s="10" t="s">
        <v>52</v>
      </c>
      <c r="D1463" s="62">
        <v>76</v>
      </c>
      <c r="E1463" s="61" t="s">
        <v>269</v>
      </c>
      <c r="F1463" s="16" t="s">
        <v>600</v>
      </c>
      <c r="G1463" s="10" t="s">
        <v>160</v>
      </c>
      <c r="H1463" s="10" t="s">
        <v>849</v>
      </c>
      <c r="I1463" s="62">
        <v>193</v>
      </c>
      <c r="J1463" s="10" t="s">
        <v>2372</v>
      </c>
      <c r="K1463" s="10" t="s">
        <v>847</v>
      </c>
      <c r="L1463" s="10" t="s">
        <v>2373</v>
      </c>
      <c r="M1463" s="10" t="s">
        <v>2372</v>
      </c>
      <c r="N1463" s="10" t="s">
        <v>2373</v>
      </c>
      <c r="O1463" s="10"/>
    </row>
    <row r="1464" spans="1:15" ht="18" customHeight="1" x14ac:dyDescent="0.3">
      <c r="A1464" s="24">
        <v>1463</v>
      </c>
      <c r="B1464" s="10" t="s">
        <v>51</v>
      </c>
      <c r="C1464" s="10" t="s">
        <v>52</v>
      </c>
      <c r="D1464" s="62">
        <v>76</v>
      </c>
      <c r="E1464" s="61" t="s">
        <v>269</v>
      </c>
      <c r="F1464" s="16" t="s">
        <v>600</v>
      </c>
      <c r="G1464" s="10" t="s">
        <v>160</v>
      </c>
      <c r="H1464" s="10" t="s">
        <v>850</v>
      </c>
      <c r="I1464" s="62">
        <v>193</v>
      </c>
      <c r="J1464" s="10" t="s">
        <v>2372</v>
      </c>
      <c r="K1464" s="10" t="s">
        <v>847</v>
      </c>
      <c r="L1464" s="10" t="s">
        <v>2373</v>
      </c>
      <c r="M1464" s="10" t="s">
        <v>2372</v>
      </c>
      <c r="N1464" s="10" t="s">
        <v>2373</v>
      </c>
      <c r="O1464" s="10"/>
    </row>
    <row r="1465" spans="1:15" ht="18" customHeight="1" x14ac:dyDescent="0.3">
      <c r="A1465" s="24">
        <v>1464</v>
      </c>
      <c r="B1465" s="10" t="s">
        <v>51</v>
      </c>
      <c r="C1465" s="10" t="s">
        <v>52</v>
      </c>
      <c r="D1465" s="62">
        <v>76</v>
      </c>
      <c r="E1465" s="61" t="s">
        <v>269</v>
      </c>
      <c r="F1465" s="16" t="s">
        <v>600</v>
      </c>
      <c r="G1465" s="10" t="s">
        <v>160</v>
      </c>
      <c r="H1465" s="10" t="s">
        <v>851</v>
      </c>
      <c r="I1465" s="62">
        <v>223</v>
      </c>
      <c r="J1465" s="10" t="s">
        <v>2374</v>
      </c>
      <c r="K1465" s="10" t="s">
        <v>847</v>
      </c>
      <c r="L1465" s="10" t="s">
        <v>2373</v>
      </c>
      <c r="M1465" s="10" t="s">
        <v>2372</v>
      </c>
      <c r="N1465" s="10" t="s">
        <v>2373</v>
      </c>
      <c r="O1465" s="10"/>
    </row>
    <row r="1466" spans="1:15" ht="18" customHeight="1" x14ac:dyDescent="0.3">
      <c r="A1466" s="24">
        <v>1465</v>
      </c>
      <c r="B1466" s="10" t="s">
        <v>51</v>
      </c>
      <c r="C1466" s="10" t="s">
        <v>52</v>
      </c>
      <c r="D1466" s="62">
        <v>76</v>
      </c>
      <c r="E1466" s="61" t="s">
        <v>1602</v>
      </c>
      <c r="F1466" s="16" t="s">
        <v>1603</v>
      </c>
      <c r="G1466" s="10" t="s">
        <v>150</v>
      </c>
      <c r="H1466" s="10" t="s">
        <v>845</v>
      </c>
      <c r="I1466" s="62">
        <v>184</v>
      </c>
      <c r="J1466" s="8" t="s">
        <v>846</v>
      </c>
      <c r="K1466" s="10" t="s">
        <v>847</v>
      </c>
      <c r="L1466" s="10" t="s">
        <v>2373</v>
      </c>
      <c r="M1466" s="10" t="s">
        <v>2372</v>
      </c>
      <c r="N1466" s="10" t="s">
        <v>2373</v>
      </c>
      <c r="O1466" s="10"/>
    </row>
    <row r="1467" spans="1:15" ht="18" customHeight="1" x14ac:dyDescent="0.3">
      <c r="A1467" s="24">
        <v>1466</v>
      </c>
      <c r="B1467" s="10" t="s">
        <v>51</v>
      </c>
      <c r="C1467" s="10" t="s">
        <v>52</v>
      </c>
      <c r="D1467" s="62">
        <v>76</v>
      </c>
      <c r="E1467" s="61" t="s">
        <v>1602</v>
      </c>
      <c r="F1467" s="16" t="s">
        <v>1603</v>
      </c>
      <c r="G1467" s="10" t="s">
        <v>150</v>
      </c>
      <c r="H1467" s="10" t="s">
        <v>848</v>
      </c>
      <c r="I1467" s="62">
        <v>135</v>
      </c>
      <c r="J1467" s="8" t="s">
        <v>2372</v>
      </c>
      <c r="K1467" s="10" t="s">
        <v>847</v>
      </c>
      <c r="L1467" s="10" t="s">
        <v>2373</v>
      </c>
      <c r="M1467" s="10" t="s">
        <v>2372</v>
      </c>
      <c r="N1467" s="10" t="s">
        <v>2373</v>
      </c>
      <c r="O1467" s="10"/>
    </row>
    <row r="1468" spans="1:15" ht="18" customHeight="1" x14ac:dyDescent="0.3">
      <c r="A1468" s="24">
        <v>1467</v>
      </c>
      <c r="B1468" s="10" t="s">
        <v>51</v>
      </c>
      <c r="C1468" s="10" t="s">
        <v>52</v>
      </c>
      <c r="D1468" s="62">
        <v>76</v>
      </c>
      <c r="E1468" s="61" t="s">
        <v>1602</v>
      </c>
      <c r="F1468" s="16" t="s">
        <v>1003</v>
      </c>
      <c r="G1468" s="10" t="s">
        <v>150</v>
      </c>
      <c r="H1468" s="10" t="s">
        <v>849</v>
      </c>
      <c r="I1468" s="62">
        <v>135</v>
      </c>
      <c r="J1468" s="8" t="s">
        <v>2372</v>
      </c>
      <c r="K1468" s="10" t="s">
        <v>847</v>
      </c>
      <c r="L1468" s="10" t="s">
        <v>2373</v>
      </c>
      <c r="M1468" s="10" t="s">
        <v>2372</v>
      </c>
      <c r="N1468" s="10" t="s">
        <v>2373</v>
      </c>
      <c r="O1468" s="10"/>
    </row>
    <row r="1469" spans="1:15" ht="18" customHeight="1" x14ac:dyDescent="0.3">
      <c r="A1469" s="24">
        <v>1468</v>
      </c>
      <c r="B1469" s="10" t="s">
        <v>51</v>
      </c>
      <c r="C1469" s="10" t="s">
        <v>52</v>
      </c>
      <c r="D1469" s="62">
        <v>76</v>
      </c>
      <c r="E1469" s="61" t="s">
        <v>1602</v>
      </c>
      <c r="F1469" s="16" t="s">
        <v>1003</v>
      </c>
      <c r="G1469" s="10" t="s">
        <v>150</v>
      </c>
      <c r="H1469" s="10" t="s">
        <v>850</v>
      </c>
      <c r="I1469" s="62">
        <v>142</v>
      </c>
      <c r="J1469" s="8" t="s">
        <v>846</v>
      </c>
      <c r="K1469" s="10" t="s">
        <v>847</v>
      </c>
      <c r="L1469" s="10" t="s">
        <v>2373</v>
      </c>
      <c r="M1469" s="10" t="s">
        <v>2372</v>
      </c>
      <c r="N1469" s="10" t="s">
        <v>2373</v>
      </c>
      <c r="O1469" s="10"/>
    </row>
    <row r="1470" spans="1:15" ht="18" customHeight="1" x14ac:dyDescent="0.3">
      <c r="A1470" s="24">
        <v>1469</v>
      </c>
      <c r="B1470" s="10" t="s">
        <v>51</v>
      </c>
      <c r="C1470" s="10" t="s">
        <v>52</v>
      </c>
      <c r="D1470" s="62">
        <v>76</v>
      </c>
      <c r="E1470" s="61" t="s">
        <v>1602</v>
      </c>
      <c r="F1470" s="16" t="s">
        <v>1003</v>
      </c>
      <c r="G1470" s="10" t="s">
        <v>150</v>
      </c>
      <c r="H1470" s="10" t="s">
        <v>851</v>
      </c>
      <c r="I1470" s="62">
        <v>126</v>
      </c>
      <c r="J1470" s="8" t="s">
        <v>2372</v>
      </c>
      <c r="K1470" s="10" t="s">
        <v>847</v>
      </c>
      <c r="L1470" s="10" t="s">
        <v>2373</v>
      </c>
      <c r="M1470" s="10" t="s">
        <v>2372</v>
      </c>
      <c r="N1470" s="10" t="s">
        <v>2373</v>
      </c>
      <c r="O1470" s="10"/>
    </row>
    <row r="1471" spans="1:15" ht="18" customHeight="1" x14ac:dyDescent="0.3">
      <c r="A1471" s="24">
        <v>1470</v>
      </c>
      <c r="B1471" s="10" t="s">
        <v>51</v>
      </c>
      <c r="C1471" s="10" t="s">
        <v>52</v>
      </c>
      <c r="D1471" s="62">
        <v>76</v>
      </c>
      <c r="E1471" s="61" t="s">
        <v>1602</v>
      </c>
      <c r="F1471" s="16" t="s">
        <v>1003</v>
      </c>
      <c r="G1471" s="10" t="s">
        <v>150</v>
      </c>
      <c r="H1471" s="10" t="s">
        <v>852</v>
      </c>
      <c r="I1471" s="62">
        <v>69</v>
      </c>
      <c r="J1471" s="8" t="s">
        <v>2372</v>
      </c>
      <c r="K1471" s="10" t="s">
        <v>847</v>
      </c>
      <c r="L1471" s="10" t="s">
        <v>2373</v>
      </c>
      <c r="M1471" s="10" t="s">
        <v>2372</v>
      </c>
      <c r="N1471" s="10" t="s">
        <v>2373</v>
      </c>
      <c r="O1471" s="10"/>
    </row>
    <row r="1472" spans="1:15" ht="18" customHeight="1" x14ac:dyDescent="0.3">
      <c r="A1472" s="24">
        <v>1471</v>
      </c>
      <c r="B1472" s="10" t="s">
        <v>51</v>
      </c>
      <c r="C1472" s="10" t="s">
        <v>52</v>
      </c>
      <c r="D1472" s="62">
        <v>76</v>
      </c>
      <c r="E1472" s="61" t="s">
        <v>233</v>
      </c>
      <c r="F1472" s="16" t="s">
        <v>607</v>
      </c>
      <c r="G1472" s="10" t="s">
        <v>150</v>
      </c>
      <c r="H1472" s="10" t="s">
        <v>845</v>
      </c>
      <c r="I1472" s="62">
        <v>418</v>
      </c>
      <c r="J1472" s="8" t="s">
        <v>846</v>
      </c>
      <c r="K1472" s="10" t="s">
        <v>2374</v>
      </c>
      <c r="L1472" s="10" t="s">
        <v>2446</v>
      </c>
      <c r="M1472" s="10" t="s">
        <v>2372</v>
      </c>
      <c r="N1472" s="10" t="s">
        <v>2373</v>
      </c>
      <c r="O1472" s="10" t="s">
        <v>2447</v>
      </c>
    </row>
    <row r="1473" spans="1:15" ht="18" customHeight="1" x14ac:dyDescent="0.3">
      <c r="A1473" s="24">
        <v>1472</v>
      </c>
      <c r="B1473" s="10" t="s">
        <v>51</v>
      </c>
      <c r="C1473" s="10" t="s">
        <v>52</v>
      </c>
      <c r="D1473" s="62">
        <v>76</v>
      </c>
      <c r="E1473" s="61" t="s">
        <v>233</v>
      </c>
      <c r="F1473" s="16" t="s">
        <v>607</v>
      </c>
      <c r="G1473" s="10" t="s">
        <v>150</v>
      </c>
      <c r="H1473" s="10" t="s">
        <v>2378</v>
      </c>
      <c r="I1473" s="62">
        <v>424</v>
      </c>
      <c r="J1473" s="8" t="s">
        <v>846</v>
      </c>
      <c r="K1473" s="10" t="s">
        <v>847</v>
      </c>
      <c r="L1473" s="10" t="s">
        <v>2373</v>
      </c>
      <c r="M1473" s="10" t="s">
        <v>2372</v>
      </c>
      <c r="N1473" s="10" t="s">
        <v>2373</v>
      </c>
      <c r="O1473" s="10" t="s">
        <v>2978</v>
      </c>
    </row>
    <row r="1474" spans="1:15" ht="18" customHeight="1" x14ac:dyDescent="0.3">
      <c r="A1474" s="24">
        <v>1473</v>
      </c>
      <c r="B1474" s="10" t="s">
        <v>51</v>
      </c>
      <c r="C1474" s="10" t="s">
        <v>52</v>
      </c>
      <c r="D1474" s="62">
        <v>76</v>
      </c>
      <c r="E1474" s="61" t="s">
        <v>233</v>
      </c>
      <c r="F1474" s="16" t="s">
        <v>607</v>
      </c>
      <c r="G1474" s="10" t="s">
        <v>150</v>
      </c>
      <c r="H1474" s="10" t="s">
        <v>849</v>
      </c>
      <c r="I1474" s="62">
        <v>162</v>
      </c>
      <c r="J1474" s="8" t="s">
        <v>2372</v>
      </c>
      <c r="K1474" s="10" t="s">
        <v>847</v>
      </c>
      <c r="L1474" s="10" t="s">
        <v>2373</v>
      </c>
      <c r="M1474" s="10" t="s">
        <v>2372</v>
      </c>
      <c r="N1474" s="10" t="s">
        <v>2373</v>
      </c>
      <c r="O1474" s="10"/>
    </row>
    <row r="1475" spans="1:15" ht="18" customHeight="1" x14ac:dyDescent="0.3">
      <c r="A1475" s="24">
        <v>1474</v>
      </c>
      <c r="B1475" s="10" t="s">
        <v>51</v>
      </c>
      <c r="C1475" s="10" t="s">
        <v>52</v>
      </c>
      <c r="D1475" s="62">
        <v>76</v>
      </c>
      <c r="E1475" s="61" t="s">
        <v>233</v>
      </c>
      <c r="F1475" s="16" t="s">
        <v>607</v>
      </c>
      <c r="G1475" s="10" t="s">
        <v>150</v>
      </c>
      <c r="H1475" s="10" t="s">
        <v>850</v>
      </c>
      <c r="I1475" s="62">
        <v>240</v>
      </c>
      <c r="J1475" s="8" t="s">
        <v>846</v>
      </c>
      <c r="K1475" s="10" t="s">
        <v>847</v>
      </c>
      <c r="L1475" s="10" t="s">
        <v>2373</v>
      </c>
      <c r="M1475" s="10" t="s">
        <v>2372</v>
      </c>
      <c r="N1475" s="10" t="s">
        <v>2373</v>
      </c>
      <c r="O1475" s="10"/>
    </row>
    <row r="1476" spans="1:15" ht="18" customHeight="1" x14ac:dyDescent="0.3">
      <c r="A1476" s="24">
        <v>1475</v>
      </c>
      <c r="B1476" s="10" t="s">
        <v>51</v>
      </c>
      <c r="C1476" s="10" t="s">
        <v>52</v>
      </c>
      <c r="D1476" s="62">
        <v>76</v>
      </c>
      <c r="E1476" s="61" t="s">
        <v>233</v>
      </c>
      <c r="F1476" s="16" t="s">
        <v>607</v>
      </c>
      <c r="G1476" s="10" t="s">
        <v>150</v>
      </c>
      <c r="H1476" s="10" t="s">
        <v>851</v>
      </c>
      <c r="I1476" s="62">
        <v>131</v>
      </c>
      <c r="J1476" s="8" t="s">
        <v>2372</v>
      </c>
      <c r="K1476" s="10" t="s">
        <v>847</v>
      </c>
      <c r="L1476" s="10" t="s">
        <v>2373</v>
      </c>
      <c r="M1476" s="10" t="s">
        <v>2372</v>
      </c>
      <c r="N1476" s="10" t="s">
        <v>2373</v>
      </c>
      <c r="O1476" s="10"/>
    </row>
    <row r="1477" spans="1:15" ht="18" customHeight="1" x14ac:dyDescent="0.3">
      <c r="A1477" s="24">
        <v>1476</v>
      </c>
      <c r="B1477" s="10" t="s">
        <v>51</v>
      </c>
      <c r="C1477" s="10" t="s">
        <v>52</v>
      </c>
      <c r="D1477" s="62">
        <v>76</v>
      </c>
      <c r="E1477" s="61" t="s">
        <v>233</v>
      </c>
      <c r="F1477" s="16" t="s">
        <v>607</v>
      </c>
      <c r="G1477" s="10" t="s">
        <v>150</v>
      </c>
      <c r="H1477" s="10" t="s">
        <v>852</v>
      </c>
      <c r="I1477" s="62">
        <v>200</v>
      </c>
      <c r="J1477" s="8" t="s">
        <v>2372</v>
      </c>
      <c r="K1477" s="10" t="s">
        <v>2374</v>
      </c>
      <c r="L1477" s="10" t="s">
        <v>2575</v>
      </c>
      <c r="M1477" s="10" t="s">
        <v>2372</v>
      </c>
      <c r="N1477" s="10" t="s">
        <v>2373</v>
      </c>
      <c r="O1477" s="10"/>
    </row>
    <row r="1478" spans="1:15" ht="18" customHeight="1" x14ac:dyDescent="0.3">
      <c r="A1478" s="24">
        <v>1477</v>
      </c>
      <c r="B1478" s="10" t="s">
        <v>51</v>
      </c>
      <c r="C1478" s="10" t="s">
        <v>52</v>
      </c>
      <c r="D1478" s="62">
        <v>76</v>
      </c>
      <c r="E1478" s="61" t="s">
        <v>233</v>
      </c>
      <c r="F1478" s="16" t="s">
        <v>607</v>
      </c>
      <c r="G1478" s="10" t="s">
        <v>150</v>
      </c>
      <c r="H1478" s="10" t="s">
        <v>853</v>
      </c>
      <c r="I1478" s="62">
        <v>144</v>
      </c>
      <c r="J1478" s="8" t="s">
        <v>846</v>
      </c>
      <c r="K1478" s="10" t="s">
        <v>2374</v>
      </c>
      <c r="L1478" s="10" t="s">
        <v>1302</v>
      </c>
      <c r="M1478" s="10" t="s">
        <v>2372</v>
      </c>
      <c r="N1478" s="10" t="s">
        <v>2373</v>
      </c>
      <c r="O1478" s="10"/>
    </row>
    <row r="1479" spans="1:15" ht="18" customHeight="1" x14ac:dyDescent="0.3">
      <c r="A1479" s="24">
        <v>1478</v>
      </c>
      <c r="B1479" s="10" t="s">
        <v>51</v>
      </c>
      <c r="C1479" s="10" t="s">
        <v>52</v>
      </c>
      <c r="D1479" s="62">
        <v>76</v>
      </c>
      <c r="E1479" s="61" t="s">
        <v>233</v>
      </c>
      <c r="F1479" s="16" t="s">
        <v>607</v>
      </c>
      <c r="G1479" s="10" t="s">
        <v>150</v>
      </c>
      <c r="H1479" s="10" t="s">
        <v>854</v>
      </c>
      <c r="I1479" s="62">
        <v>176</v>
      </c>
      <c r="J1479" s="8" t="s">
        <v>2372</v>
      </c>
      <c r="K1479" s="10" t="s">
        <v>847</v>
      </c>
      <c r="L1479" s="10" t="s">
        <v>2373</v>
      </c>
      <c r="M1479" s="10" t="s">
        <v>2372</v>
      </c>
      <c r="N1479" s="10" t="s">
        <v>2373</v>
      </c>
      <c r="O1479" s="10"/>
    </row>
    <row r="1480" spans="1:15" ht="18" customHeight="1" x14ac:dyDescent="0.3">
      <c r="A1480" s="24">
        <v>1479</v>
      </c>
      <c r="B1480" s="10" t="s">
        <v>51</v>
      </c>
      <c r="C1480" s="10" t="s">
        <v>52</v>
      </c>
      <c r="D1480" s="62">
        <v>76</v>
      </c>
      <c r="E1480" s="61" t="s">
        <v>1606</v>
      </c>
      <c r="F1480" s="16" t="s">
        <v>1607</v>
      </c>
      <c r="G1480" s="8" t="s">
        <v>1278</v>
      </c>
      <c r="H1480" s="10" t="s">
        <v>2539</v>
      </c>
      <c r="I1480" s="62">
        <v>86</v>
      </c>
      <c r="J1480" s="10" t="s">
        <v>2372</v>
      </c>
      <c r="K1480" s="10" t="s">
        <v>846</v>
      </c>
      <c r="L1480" s="10" t="s">
        <v>1422</v>
      </c>
      <c r="M1480" s="10" t="s">
        <v>2372</v>
      </c>
      <c r="N1480" s="10" t="s">
        <v>2373</v>
      </c>
      <c r="O1480" s="10"/>
    </row>
    <row r="1481" spans="1:15" ht="18" customHeight="1" x14ac:dyDescent="0.3">
      <c r="A1481" s="24">
        <v>1480</v>
      </c>
      <c r="B1481" s="10" t="s">
        <v>51</v>
      </c>
      <c r="C1481" s="10" t="s">
        <v>52</v>
      </c>
      <c r="D1481" s="62">
        <v>76</v>
      </c>
      <c r="E1481" s="61" t="s">
        <v>1606</v>
      </c>
      <c r="F1481" s="16" t="s">
        <v>1607</v>
      </c>
      <c r="G1481" s="8" t="s">
        <v>1278</v>
      </c>
      <c r="H1481" s="10" t="s">
        <v>2465</v>
      </c>
      <c r="I1481" s="62">
        <v>94</v>
      </c>
      <c r="J1481" s="10" t="s">
        <v>2372</v>
      </c>
      <c r="K1481" s="10" t="s">
        <v>846</v>
      </c>
      <c r="L1481" s="10" t="s">
        <v>1422</v>
      </c>
      <c r="M1481" s="10" t="s">
        <v>2372</v>
      </c>
      <c r="N1481" s="10" t="s">
        <v>2373</v>
      </c>
      <c r="O1481" s="10"/>
    </row>
    <row r="1482" spans="1:15" ht="18" customHeight="1" x14ac:dyDescent="0.3">
      <c r="A1482" s="24">
        <v>1481</v>
      </c>
      <c r="B1482" s="10" t="s">
        <v>51</v>
      </c>
      <c r="C1482" s="10" t="s">
        <v>52</v>
      </c>
      <c r="D1482" s="62">
        <v>76</v>
      </c>
      <c r="E1482" s="61" t="s">
        <v>1606</v>
      </c>
      <c r="F1482" s="16" t="s">
        <v>1607</v>
      </c>
      <c r="G1482" s="8" t="s">
        <v>1278</v>
      </c>
      <c r="H1482" s="10" t="s">
        <v>1186</v>
      </c>
      <c r="I1482" s="62">
        <v>97</v>
      </c>
      <c r="J1482" s="10" t="s">
        <v>2372</v>
      </c>
      <c r="K1482" s="10" t="s">
        <v>846</v>
      </c>
      <c r="L1482" s="10" t="s">
        <v>1422</v>
      </c>
      <c r="M1482" s="10" t="s">
        <v>2372</v>
      </c>
      <c r="N1482" s="10" t="s">
        <v>2373</v>
      </c>
      <c r="O1482" s="10"/>
    </row>
    <row r="1483" spans="1:15" ht="18" customHeight="1" x14ac:dyDescent="0.3">
      <c r="A1483" s="24">
        <v>1482</v>
      </c>
      <c r="B1483" s="10" t="s">
        <v>51</v>
      </c>
      <c r="C1483" s="10" t="s">
        <v>52</v>
      </c>
      <c r="D1483" s="62">
        <v>76</v>
      </c>
      <c r="E1483" s="61" t="s">
        <v>1606</v>
      </c>
      <c r="F1483" s="16" t="s">
        <v>1607</v>
      </c>
      <c r="G1483" s="8" t="s">
        <v>1278</v>
      </c>
      <c r="H1483" s="10" t="s">
        <v>1187</v>
      </c>
      <c r="I1483" s="62">
        <v>85</v>
      </c>
      <c r="J1483" s="10" t="s">
        <v>2372</v>
      </c>
      <c r="K1483" s="10" t="s">
        <v>846</v>
      </c>
      <c r="L1483" s="10" t="s">
        <v>1422</v>
      </c>
      <c r="M1483" s="10" t="s">
        <v>2372</v>
      </c>
      <c r="N1483" s="10" t="s">
        <v>2373</v>
      </c>
      <c r="O1483" s="10"/>
    </row>
    <row r="1484" spans="1:15" ht="18" customHeight="1" x14ac:dyDescent="0.3">
      <c r="A1484" s="24">
        <v>1483</v>
      </c>
      <c r="B1484" s="10" t="s">
        <v>51</v>
      </c>
      <c r="C1484" s="10" t="s">
        <v>52</v>
      </c>
      <c r="D1484" s="62">
        <v>76</v>
      </c>
      <c r="E1484" s="61" t="s">
        <v>1606</v>
      </c>
      <c r="F1484" s="16" t="s">
        <v>1607</v>
      </c>
      <c r="G1484" s="8" t="s">
        <v>1278</v>
      </c>
      <c r="H1484" s="10" t="s">
        <v>1188</v>
      </c>
      <c r="I1484" s="62">
        <v>97</v>
      </c>
      <c r="J1484" s="10" t="s">
        <v>2372</v>
      </c>
      <c r="K1484" s="10" t="s">
        <v>846</v>
      </c>
      <c r="L1484" s="10" t="s">
        <v>1422</v>
      </c>
      <c r="M1484" s="10" t="s">
        <v>2372</v>
      </c>
      <c r="N1484" s="10" t="s">
        <v>2373</v>
      </c>
      <c r="O1484" s="10"/>
    </row>
    <row r="1485" spans="1:15" ht="18" customHeight="1" x14ac:dyDescent="0.3">
      <c r="A1485" s="24">
        <v>1484</v>
      </c>
      <c r="B1485" s="10" t="s">
        <v>1600</v>
      </c>
      <c r="C1485" s="10" t="s">
        <v>1601</v>
      </c>
      <c r="D1485" s="62">
        <v>76</v>
      </c>
      <c r="E1485" s="61" t="s">
        <v>2863</v>
      </c>
      <c r="F1485" s="11" t="s">
        <v>1610</v>
      </c>
      <c r="G1485" s="10" t="s">
        <v>1264</v>
      </c>
      <c r="H1485" s="10" t="s">
        <v>2385</v>
      </c>
      <c r="I1485" s="62">
        <v>294</v>
      </c>
      <c r="J1485" s="10" t="s">
        <v>2372</v>
      </c>
      <c r="K1485" s="10" t="s">
        <v>2372</v>
      </c>
      <c r="L1485" s="10" t="s">
        <v>2373</v>
      </c>
      <c r="M1485" s="10" t="s">
        <v>2372</v>
      </c>
      <c r="N1485" s="10" t="s">
        <v>2373</v>
      </c>
      <c r="O1485" s="10"/>
    </row>
    <row r="1486" spans="1:15" ht="18" customHeight="1" x14ac:dyDescent="0.3">
      <c r="A1486" s="24">
        <v>1485</v>
      </c>
      <c r="B1486" s="10" t="s">
        <v>1600</v>
      </c>
      <c r="C1486" s="10" t="s">
        <v>1601</v>
      </c>
      <c r="D1486" s="62">
        <v>76</v>
      </c>
      <c r="E1486" s="61" t="s">
        <v>2863</v>
      </c>
      <c r="F1486" s="11" t="s">
        <v>1610</v>
      </c>
      <c r="G1486" s="10" t="s">
        <v>1264</v>
      </c>
      <c r="H1486" s="10" t="s">
        <v>2378</v>
      </c>
      <c r="I1486" s="62">
        <v>235</v>
      </c>
      <c r="J1486" s="10" t="s">
        <v>2372</v>
      </c>
      <c r="K1486" s="10" t="s">
        <v>2372</v>
      </c>
      <c r="L1486" s="10" t="s">
        <v>2373</v>
      </c>
      <c r="M1486" s="10" t="s">
        <v>2372</v>
      </c>
      <c r="N1486" s="10" t="s">
        <v>2373</v>
      </c>
      <c r="O1486" s="10"/>
    </row>
    <row r="1487" spans="1:15" ht="18" customHeight="1" x14ac:dyDescent="0.3">
      <c r="A1487" s="24">
        <v>1486</v>
      </c>
      <c r="B1487" s="10" t="s">
        <v>1600</v>
      </c>
      <c r="C1487" s="10" t="s">
        <v>1601</v>
      </c>
      <c r="D1487" s="62">
        <v>76</v>
      </c>
      <c r="E1487" s="61" t="s">
        <v>2863</v>
      </c>
      <c r="F1487" s="11" t="s">
        <v>1610</v>
      </c>
      <c r="G1487" s="10" t="s">
        <v>1264</v>
      </c>
      <c r="H1487" s="10" t="s">
        <v>2379</v>
      </c>
      <c r="I1487" s="62">
        <v>273</v>
      </c>
      <c r="J1487" s="10" t="s">
        <v>2372</v>
      </c>
      <c r="K1487" s="10" t="s">
        <v>2372</v>
      </c>
      <c r="L1487" s="10" t="s">
        <v>2373</v>
      </c>
      <c r="M1487" s="10" t="s">
        <v>2372</v>
      </c>
      <c r="N1487" s="10" t="s">
        <v>2373</v>
      </c>
      <c r="O1487" s="10"/>
    </row>
    <row r="1488" spans="1:15" ht="18" customHeight="1" x14ac:dyDescent="0.3">
      <c r="A1488" s="24">
        <v>1487</v>
      </c>
      <c r="B1488" s="10" t="s">
        <v>1600</v>
      </c>
      <c r="C1488" s="10" t="s">
        <v>1601</v>
      </c>
      <c r="D1488" s="62">
        <v>76</v>
      </c>
      <c r="E1488" s="61" t="s">
        <v>2863</v>
      </c>
      <c r="F1488" s="11" t="s">
        <v>1610</v>
      </c>
      <c r="G1488" s="10" t="s">
        <v>1264</v>
      </c>
      <c r="H1488" s="10" t="s">
        <v>2380</v>
      </c>
      <c r="I1488" s="62">
        <v>250</v>
      </c>
      <c r="J1488" s="10" t="s">
        <v>2372</v>
      </c>
      <c r="K1488" s="10" t="s">
        <v>2372</v>
      </c>
      <c r="L1488" s="10" t="s">
        <v>2373</v>
      </c>
      <c r="M1488" s="10" t="s">
        <v>2372</v>
      </c>
      <c r="N1488" s="10" t="s">
        <v>2373</v>
      </c>
      <c r="O1488" s="10"/>
    </row>
    <row r="1489" spans="1:15" ht="18" customHeight="1" x14ac:dyDescent="0.3">
      <c r="A1489" s="24">
        <v>1488</v>
      </c>
      <c r="B1489" s="10" t="s">
        <v>1600</v>
      </c>
      <c r="C1489" s="10" t="s">
        <v>1601</v>
      </c>
      <c r="D1489" s="62">
        <v>76</v>
      </c>
      <c r="E1489" s="61" t="s">
        <v>2863</v>
      </c>
      <c r="F1489" s="11" t="s">
        <v>1610</v>
      </c>
      <c r="G1489" s="10" t="s">
        <v>1264</v>
      </c>
      <c r="H1489" s="10" t="s">
        <v>2410</v>
      </c>
      <c r="I1489" s="62">
        <v>144</v>
      </c>
      <c r="J1489" s="10" t="s">
        <v>2374</v>
      </c>
      <c r="K1489" s="10" t="s">
        <v>2374</v>
      </c>
      <c r="L1489" s="10" t="s">
        <v>1516</v>
      </c>
      <c r="M1489" s="10" t="s">
        <v>2372</v>
      </c>
      <c r="N1489" s="10" t="s">
        <v>2373</v>
      </c>
      <c r="O1489" s="10"/>
    </row>
    <row r="1490" spans="1:15" ht="18" customHeight="1" x14ac:dyDescent="0.3">
      <c r="A1490" s="24">
        <v>1489</v>
      </c>
      <c r="B1490" s="10" t="s">
        <v>1600</v>
      </c>
      <c r="C1490" s="10" t="s">
        <v>1601</v>
      </c>
      <c r="D1490" s="62">
        <v>76</v>
      </c>
      <c r="E1490" s="61" t="s">
        <v>2863</v>
      </c>
      <c r="F1490" s="11" t="s">
        <v>1610</v>
      </c>
      <c r="G1490" s="10" t="s">
        <v>1264</v>
      </c>
      <c r="H1490" s="10" t="s">
        <v>2413</v>
      </c>
      <c r="I1490" s="62">
        <v>282</v>
      </c>
      <c r="J1490" s="10" t="s">
        <v>2374</v>
      </c>
      <c r="K1490" s="10" t="s">
        <v>2374</v>
      </c>
      <c r="L1490" s="10" t="s">
        <v>2414</v>
      </c>
      <c r="M1490" s="10" t="s">
        <v>2372</v>
      </c>
      <c r="N1490" s="10" t="s">
        <v>2373</v>
      </c>
      <c r="O1490" s="10"/>
    </row>
    <row r="1491" spans="1:15" ht="18" customHeight="1" x14ac:dyDescent="0.3">
      <c r="A1491" s="24">
        <v>1490</v>
      </c>
      <c r="B1491" s="10" t="s">
        <v>51</v>
      </c>
      <c r="C1491" s="10" t="s">
        <v>52</v>
      </c>
      <c r="D1491" s="62">
        <v>76</v>
      </c>
      <c r="E1491" s="61" t="s">
        <v>890</v>
      </c>
      <c r="F1491" s="16" t="s">
        <v>606</v>
      </c>
      <c r="G1491" s="10" t="s">
        <v>150</v>
      </c>
      <c r="H1491" s="10" t="s">
        <v>845</v>
      </c>
      <c r="I1491" s="62">
        <v>74</v>
      </c>
      <c r="J1491" s="8" t="s">
        <v>2372</v>
      </c>
      <c r="K1491" s="10" t="s">
        <v>847</v>
      </c>
      <c r="L1491" s="10" t="s">
        <v>2373</v>
      </c>
      <c r="M1491" s="10" t="s">
        <v>2372</v>
      </c>
      <c r="N1491" s="10" t="s">
        <v>2373</v>
      </c>
      <c r="O1491" s="10"/>
    </row>
    <row r="1492" spans="1:15" ht="18" customHeight="1" x14ac:dyDescent="0.3">
      <c r="A1492" s="24">
        <v>1491</v>
      </c>
      <c r="B1492" s="10" t="s">
        <v>51</v>
      </c>
      <c r="C1492" s="10" t="s">
        <v>52</v>
      </c>
      <c r="D1492" s="62">
        <v>76</v>
      </c>
      <c r="E1492" s="61" t="s">
        <v>890</v>
      </c>
      <c r="F1492" s="16" t="s">
        <v>606</v>
      </c>
      <c r="G1492" s="10" t="s">
        <v>150</v>
      </c>
      <c r="H1492" s="10" t="s">
        <v>848</v>
      </c>
      <c r="I1492" s="62">
        <v>156</v>
      </c>
      <c r="J1492" s="8" t="s">
        <v>846</v>
      </c>
      <c r="K1492" s="10" t="s">
        <v>847</v>
      </c>
      <c r="L1492" s="10" t="s">
        <v>2373</v>
      </c>
      <c r="M1492" s="10" t="s">
        <v>2372</v>
      </c>
      <c r="N1492" s="10" t="s">
        <v>2373</v>
      </c>
      <c r="O1492" s="10"/>
    </row>
    <row r="1493" spans="1:15" ht="18" customHeight="1" x14ac:dyDescent="0.3">
      <c r="A1493" s="24">
        <v>1492</v>
      </c>
      <c r="B1493" s="10" t="s">
        <v>51</v>
      </c>
      <c r="C1493" s="10" t="s">
        <v>52</v>
      </c>
      <c r="D1493" s="62">
        <v>76</v>
      </c>
      <c r="E1493" s="61" t="s">
        <v>890</v>
      </c>
      <c r="F1493" s="16" t="s">
        <v>606</v>
      </c>
      <c r="G1493" s="10" t="s">
        <v>150</v>
      </c>
      <c r="H1493" s="10" t="s">
        <v>849</v>
      </c>
      <c r="I1493" s="62">
        <v>120</v>
      </c>
      <c r="J1493" s="8" t="s">
        <v>2372</v>
      </c>
      <c r="K1493" s="10" t="s">
        <v>847</v>
      </c>
      <c r="L1493" s="10" t="s">
        <v>2373</v>
      </c>
      <c r="M1493" s="10" t="s">
        <v>2372</v>
      </c>
      <c r="N1493" s="10" t="s">
        <v>2373</v>
      </c>
      <c r="O1493" s="10"/>
    </row>
    <row r="1494" spans="1:15" ht="18" customHeight="1" x14ac:dyDescent="0.3">
      <c r="A1494" s="24">
        <v>1493</v>
      </c>
      <c r="B1494" s="10" t="s">
        <v>51</v>
      </c>
      <c r="C1494" s="10" t="s">
        <v>52</v>
      </c>
      <c r="D1494" s="62">
        <v>76</v>
      </c>
      <c r="E1494" s="61" t="s">
        <v>890</v>
      </c>
      <c r="F1494" s="16" t="s">
        <v>606</v>
      </c>
      <c r="G1494" s="10" t="s">
        <v>150</v>
      </c>
      <c r="H1494" s="10" t="s">
        <v>850</v>
      </c>
      <c r="I1494" s="62">
        <v>203</v>
      </c>
      <c r="J1494" s="8" t="s">
        <v>2372</v>
      </c>
      <c r="K1494" s="10" t="s">
        <v>847</v>
      </c>
      <c r="L1494" s="10" t="s">
        <v>2373</v>
      </c>
      <c r="M1494" s="10" t="s">
        <v>2372</v>
      </c>
      <c r="N1494" s="10" t="s">
        <v>2373</v>
      </c>
      <c r="O1494" s="10"/>
    </row>
    <row r="1495" spans="1:15" ht="18" customHeight="1" x14ac:dyDescent="0.3">
      <c r="A1495" s="24">
        <v>1494</v>
      </c>
      <c r="B1495" s="10" t="s">
        <v>51</v>
      </c>
      <c r="C1495" s="10" t="s">
        <v>52</v>
      </c>
      <c r="D1495" s="62">
        <v>76</v>
      </c>
      <c r="E1495" s="61" t="s">
        <v>890</v>
      </c>
      <c r="F1495" s="16" t="s">
        <v>606</v>
      </c>
      <c r="G1495" s="10" t="s">
        <v>150</v>
      </c>
      <c r="H1495" s="10" t="s">
        <v>851</v>
      </c>
      <c r="I1495" s="62">
        <v>118</v>
      </c>
      <c r="J1495" s="8" t="s">
        <v>2372</v>
      </c>
      <c r="K1495" s="10" t="s">
        <v>847</v>
      </c>
      <c r="L1495" s="10" t="s">
        <v>2373</v>
      </c>
      <c r="M1495" s="10" t="s">
        <v>2372</v>
      </c>
      <c r="N1495" s="10" t="s">
        <v>2373</v>
      </c>
      <c r="O1495" s="10"/>
    </row>
    <row r="1496" spans="1:15" ht="18" customHeight="1" x14ac:dyDescent="0.3">
      <c r="A1496" s="24">
        <v>1495</v>
      </c>
      <c r="B1496" s="10" t="s">
        <v>51</v>
      </c>
      <c r="C1496" s="10" t="s">
        <v>52</v>
      </c>
      <c r="D1496" s="62">
        <v>76</v>
      </c>
      <c r="E1496" s="61" t="s">
        <v>890</v>
      </c>
      <c r="F1496" s="16" t="s">
        <v>606</v>
      </c>
      <c r="G1496" s="10" t="s">
        <v>150</v>
      </c>
      <c r="H1496" s="10" t="s">
        <v>852</v>
      </c>
      <c r="I1496" s="62">
        <v>218</v>
      </c>
      <c r="J1496" s="8" t="s">
        <v>846</v>
      </c>
      <c r="K1496" s="10" t="s">
        <v>847</v>
      </c>
      <c r="L1496" s="10" t="s">
        <v>2373</v>
      </c>
      <c r="M1496" s="10" t="s">
        <v>2372</v>
      </c>
      <c r="N1496" s="10" t="s">
        <v>2373</v>
      </c>
      <c r="O1496" s="10"/>
    </row>
    <row r="1497" spans="1:15" ht="18" customHeight="1" x14ac:dyDescent="0.3">
      <c r="A1497" s="24">
        <v>1496</v>
      </c>
      <c r="B1497" s="10" t="s">
        <v>51</v>
      </c>
      <c r="C1497" s="10" t="s">
        <v>52</v>
      </c>
      <c r="D1497" s="62">
        <v>76</v>
      </c>
      <c r="E1497" s="61" t="s">
        <v>275</v>
      </c>
      <c r="F1497" s="16" t="s">
        <v>603</v>
      </c>
      <c r="G1497" s="10" t="s">
        <v>150</v>
      </c>
      <c r="H1497" s="10" t="s">
        <v>848</v>
      </c>
      <c r="I1497" s="62">
        <v>221</v>
      </c>
      <c r="J1497" s="10" t="s">
        <v>2372</v>
      </c>
      <c r="K1497" s="10" t="s">
        <v>847</v>
      </c>
      <c r="L1497" s="10" t="s">
        <v>2373</v>
      </c>
      <c r="M1497" s="10" t="s">
        <v>2372</v>
      </c>
      <c r="N1497" s="10" t="s">
        <v>2373</v>
      </c>
      <c r="O1497" s="10"/>
    </row>
    <row r="1498" spans="1:15" ht="18" customHeight="1" x14ac:dyDescent="0.3">
      <c r="A1498" s="24">
        <v>1497</v>
      </c>
      <c r="B1498" s="10" t="s">
        <v>51</v>
      </c>
      <c r="C1498" s="10" t="s">
        <v>52</v>
      </c>
      <c r="D1498" s="62">
        <v>76</v>
      </c>
      <c r="E1498" s="61" t="s">
        <v>275</v>
      </c>
      <c r="F1498" s="16" t="s">
        <v>603</v>
      </c>
      <c r="G1498" s="10" t="s">
        <v>150</v>
      </c>
      <c r="H1498" s="10" t="s">
        <v>849</v>
      </c>
      <c r="I1498" s="62">
        <v>197</v>
      </c>
      <c r="J1498" s="10" t="s">
        <v>2372</v>
      </c>
      <c r="K1498" s="10" t="s">
        <v>847</v>
      </c>
      <c r="L1498" s="10" t="s">
        <v>2373</v>
      </c>
      <c r="M1498" s="10" t="s">
        <v>2372</v>
      </c>
      <c r="N1498" s="10" t="s">
        <v>2373</v>
      </c>
      <c r="O1498" s="10"/>
    </row>
    <row r="1499" spans="1:15" ht="18" customHeight="1" x14ac:dyDescent="0.3">
      <c r="A1499" s="24">
        <v>1498</v>
      </c>
      <c r="B1499" s="10" t="s">
        <v>51</v>
      </c>
      <c r="C1499" s="10" t="s">
        <v>52</v>
      </c>
      <c r="D1499" s="62">
        <v>76</v>
      </c>
      <c r="E1499" s="61" t="s">
        <v>275</v>
      </c>
      <c r="F1499" s="16" t="s">
        <v>603</v>
      </c>
      <c r="G1499" s="10" t="s">
        <v>150</v>
      </c>
      <c r="H1499" s="10" t="s">
        <v>850</v>
      </c>
      <c r="I1499" s="62">
        <v>135</v>
      </c>
      <c r="J1499" s="10" t="s">
        <v>2372</v>
      </c>
      <c r="K1499" s="10" t="s">
        <v>847</v>
      </c>
      <c r="L1499" s="10" t="s">
        <v>2373</v>
      </c>
      <c r="M1499" s="10" t="s">
        <v>2372</v>
      </c>
      <c r="N1499" s="10" t="s">
        <v>2373</v>
      </c>
      <c r="O1499" s="10"/>
    </row>
    <row r="1500" spans="1:15" ht="18" customHeight="1" x14ac:dyDescent="0.3">
      <c r="A1500" s="24">
        <v>1499</v>
      </c>
      <c r="B1500" s="10" t="s">
        <v>51</v>
      </c>
      <c r="C1500" s="10" t="s">
        <v>52</v>
      </c>
      <c r="D1500" s="62">
        <v>76</v>
      </c>
      <c r="E1500" s="61" t="s">
        <v>275</v>
      </c>
      <c r="F1500" s="16" t="s">
        <v>603</v>
      </c>
      <c r="G1500" s="10" t="s">
        <v>150</v>
      </c>
      <c r="H1500" s="10" t="s">
        <v>851</v>
      </c>
      <c r="I1500" s="62">
        <v>176</v>
      </c>
      <c r="J1500" s="10" t="s">
        <v>2374</v>
      </c>
      <c r="K1500" s="10" t="s">
        <v>847</v>
      </c>
      <c r="L1500" s="10" t="s">
        <v>2373</v>
      </c>
      <c r="M1500" s="10" t="s">
        <v>2372</v>
      </c>
      <c r="N1500" s="10" t="s">
        <v>2373</v>
      </c>
      <c r="O1500" s="10"/>
    </row>
    <row r="1501" spans="1:15" ht="18" customHeight="1" x14ac:dyDescent="0.3">
      <c r="A1501" s="24">
        <v>1500</v>
      </c>
      <c r="B1501" s="10" t="s">
        <v>51</v>
      </c>
      <c r="C1501" s="10" t="s">
        <v>52</v>
      </c>
      <c r="D1501" s="62">
        <v>76</v>
      </c>
      <c r="E1501" s="61" t="s">
        <v>275</v>
      </c>
      <c r="F1501" s="16" t="s">
        <v>603</v>
      </c>
      <c r="G1501" s="10" t="s">
        <v>150</v>
      </c>
      <c r="H1501" s="10" t="s">
        <v>852</v>
      </c>
      <c r="I1501" s="62">
        <v>209</v>
      </c>
      <c r="J1501" s="10" t="s">
        <v>2372</v>
      </c>
      <c r="K1501" s="10" t="s">
        <v>847</v>
      </c>
      <c r="L1501" s="10" t="s">
        <v>2373</v>
      </c>
      <c r="M1501" s="10" t="s">
        <v>2372</v>
      </c>
      <c r="N1501" s="10" t="s">
        <v>2373</v>
      </c>
      <c r="O1501" s="10"/>
    </row>
    <row r="1502" spans="1:15" ht="18" customHeight="1" x14ac:dyDescent="0.3">
      <c r="A1502" s="24">
        <v>1501</v>
      </c>
      <c r="B1502" s="10" t="s">
        <v>51</v>
      </c>
      <c r="C1502" s="10" t="s">
        <v>52</v>
      </c>
      <c r="D1502" s="62">
        <v>76</v>
      </c>
      <c r="E1502" s="61" t="s">
        <v>275</v>
      </c>
      <c r="F1502" s="16" t="s">
        <v>603</v>
      </c>
      <c r="G1502" s="10" t="s">
        <v>150</v>
      </c>
      <c r="H1502" s="10" t="s">
        <v>853</v>
      </c>
      <c r="I1502" s="62">
        <v>135</v>
      </c>
      <c r="J1502" s="10" t="s">
        <v>2372</v>
      </c>
      <c r="K1502" s="10" t="s">
        <v>847</v>
      </c>
      <c r="L1502" s="10" t="s">
        <v>2373</v>
      </c>
      <c r="M1502" s="10" t="s">
        <v>2372</v>
      </c>
      <c r="N1502" s="10" t="s">
        <v>2373</v>
      </c>
      <c r="O1502" s="10"/>
    </row>
    <row r="1503" spans="1:15" ht="18" customHeight="1" x14ac:dyDescent="0.3">
      <c r="A1503" s="24">
        <v>1502</v>
      </c>
      <c r="B1503" s="10" t="s">
        <v>51</v>
      </c>
      <c r="C1503" s="10" t="s">
        <v>52</v>
      </c>
      <c r="D1503" s="62">
        <v>76</v>
      </c>
      <c r="E1503" s="61" t="s">
        <v>275</v>
      </c>
      <c r="F1503" s="16" t="s">
        <v>603</v>
      </c>
      <c r="G1503" s="10" t="s">
        <v>150</v>
      </c>
      <c r="H1503" s="10" t="s">
        <v>854</v>
      </c>
      <c r="I1503" s="62">
        <v>135</v>
      </c>
      <c r="J1503" s="10" t="s">
        <v>2372</v>
      </c>
      <c r="K1503" s="10" t="s">
        <v>847</v>
      </c>
      <c r="L1503" s="10" t="s">
        <v>2373</v>
      </c>
      <c r="M1503" s="10" t="s">
        <v>2372</v>
      </c>
      <c r="N1503" s="10" t="s">
        <v>2373</v>
      </c>
      <c r="O1503" s="10"/>
    </row>
    <row r="1504" spans="1:15" ht="18" customHeight="1" x14ac:dyDescent="0.3">
      <c r="A1504" s="24">
        <v>1503</v>
      </c>
      <c r="B1504" s="10" t="s">
        <v>51</v>
      </c>
      <c r="C1504" s="10" t="s">
        <v>52</v>
      </c>
      <c r="D1504" s="62">
        <v>76</v>
      </c>
      <c r="E1504" s="61" t="s">
        <v>275</v>
      </c>
      <c r="F1504" s="16" t="s">
        <v>603</v>
      </c>
      <c r="G1504" s="10" t="s">
        <v>150</v>
      </c>
      <c r="H1504" s="10" t="s">
        <v>855</v>
      </c>
      <c r="I1504" s="62">
        <v>135</v>
      </c>
      <c r="J1504" s="10" t="s">
        <v>2372</v>
      </c>
      <c r="K1504" s="10" t="s">
        <v>847</v>
      </c>
      <c r="L1504" s="10" t="s">
        <v>2373</v>
      </c>
      <c r="M1504" s="10" t="s">
        <v>2372</v>
      </c>
      <c r="N1504" s="10" t="s">
        <v>2373</v>
      </c>
      <c r="O1504" s="10"/>
    </row>
    <row r="1505" spans="1:15" ht="18" customHeight="1" x14ac:dyDescent="0.3">
      <c r="A1505" s="24">
        <v>1504</v>
      </c>
      <c r="B1505" s="10" t="s">
        <v>51</v>
      </c>
      <c r="C1505" s="10" t="s">
        <v>52</v>
      </c>
      <c r="D1505" s="62">
        <v>76</v>
      </c>
      <c r="E1505" s="61" t="s">
        <v>275</v>
      </c>
      <c r="F1505" s="16" t="s">
        <v>2576</v>
      </c>
      <c r="G1505" s="10" t="s">
        <v>150</v>
      </c>
      <c r="H1505" s="10" t="s">
        <v>2577</v>
      </c>
      <c r="I1505" s="62">
        <v>9</v>
      </c>
      <c r="J1505" s="10" t="s">
        <v>2372</v>
      </c>
      <c r="K1505" s="10" t="s">
        <v>846</v>
      </c>
      <c r="L1505" s="10" t="s">
        <v>2578</v>
      </c>
      <c r="M1505" s="10" t="s">
        <v>2372</v>
      </c>
      <c r="N1505" s="10" t="s">
        <v>2373</v>
      </c>
      <c r="O1505" s="10"/>
    </row>
    <row r="1506" spans="1:15" ht="18" customHeight="1" x14ac:dyDescent="0.3">
      <c r="A1506" s="24">
        <v>1505</v>
      </c>
      <c r="B1506" s="10" t="s">
        <v>51</v>
      </c>
      <c r="C1506" s="10" t="s">
        <v>52</v>
      </c>
      <c r="D1506" s="62">
        <v>76</v>
      </c>
      <c r="E1506" s="61" t="s">
        <v>275</v>
      </c>
      <c r="F1506" s="16" t="s">
        <v>2576</v>
      </c>
      <c r="G1506" s="10" t="s">
        <v>150</v>
      </c>
      <c r="H1506" s="10" t="s">
        <v>2579</v>
      </c>
      <c r="I1506" s="62">
        <v>9</v>
      </c>
      <c r="J1506" s="10" t="s">
        <v>2372</v>
      </c>
      <c r="K1506" s="10" t="s">
        <v>846</v>
      </c>
      <c r="L1506" s="10" t="s">
        <v>2578</v>
      </c>
      <c r="M1506" s="10" t="s">
        <v>2372</v>
      </c>
      <c r="N1506" s="10" t="s">
        <v>2373</v>
      </c>
      <c r="O1506" s="10"/>
    </row>
    <row r="1507" spans="1:15" ht="18" customHeight="1" x14ac:dyDescent="0.3">
      <c r="A1507" s="24">
        <v>1506</v>
      </c>
      <c r="B1507" s="10" t="s">
        <v>51</v>
      </c>
      <c r="C1507" s="10" t="s">
        <v>52</v>
      </c>
      <c r="D1507" s="62">
        <v>76</v>
      </c>
      <c r="E1507" s="61" t="s">
        <v>275</v>
      </c>
      <c r="F1507" s="16" t="s">
        <v>2576</v>
      </c>
      <c r="G1507" s="10" t="s">
        <v>150</v>
      </c>
      <c r="H1507" s="173" t="s">
        <v>3474</v>
      </c>
      <c r="I1507" s="62">
        <v>458</v>
      </c>
      <c r="J1507" s="10" t="s">
        <v>2374</v>
      </c>
      <c r="K1507" s="10" t="s">
        <v>846</v>
      </c>
      <c r="L1507" s="173" t="s">
        <v>3196</v>
      </c>
      <c r="M1507" s="10" t="s">
        <v>2372</v>
      </c>
      <c r="N1507" s="10" t="s">
        <v>2373</v>
      </c>
      <c r="O1507" s="10"/>
    </row>
    <row r="1508" spans="1:15" ht="18" customHeight="1" x14ac:dyDescent="0.3">
      <c r="A1508" s="24">
        <v>1507</v>
      </c>
      <c r="B1508" s="10" t="s">
        <v>51</v>
      </c>
      <c r="C1508" s="10" t="s">
        <v>52</v>
      </c>
      <c r="D1508" s="62">
        <v>76</v>
      </c>
      <c r="E1508" s="61" t="s">
        <v>2864</v>
      </c>
      <c r="F1508" s="11" t="s">
        <v>599</v>
      </c>
      <c r="G1508" s="10" t="s">
        <v>150</v>
      </c>
      <c r="H1508" s="10" t="s">
        <v>845</v>
      </c>
      <c r="I1508" s="62">
        <v>222</v>
      </c>
      <c r="J1508" s="10" t="s">
        <v>2374</v>
      </c>
      <c r="K1508" s="10" t="s">
        <v>847</v>
      </c>
      <c r="L1508" s="10" t="s">
        <v>2373</v>
      </c>
      <c r="M1508" s="10" t="s">
        <v>2372</v>
      </c>
      <c r="N1508" s="10" t="s">
        <v>2373</v>
      </c>
      <c r="O1508" s="10"/>
    </row>
    <row r="1509" spans="1:15" ht="18" customHeight="1" x14ac:dyDescent="0.3">
      <c r="A1509" s="24">
        <v>1508</v>
      </c>
      <c r="B1509" s="10" t="s">
        <v>51</v>
      </c>
      <c r="C1509" s="10" t="s">
        <v>52</v>
      </c>
      <c r="D1509" s="62">
        <v>76</v>
      </c>
      <c r="E1509" s="61" t="s">
        <v>2864</v>
      </c>
      <c r="F1509" s="11" t="s">
        <v>599</v>
      </c>
      <c r="G1509" s="10" t="s">
        <v>150</v>
      </c>
      <c r="H1509" s="10" t="s">
        <v>848</v>
      </c>
      <c r="I1509" s="62">
        <v>159</v>
      </c>
      <c r="J1509" s="10" t="s">
        <v>2374</v>
      </c>
      <c r="K1509" s="10" t="s">
        <v>847</v>
      </c>
      <c r="L1509" s="10" t="s">
        <v>2373</v>
      </c>
      <c r="M1509" s="10" t="s">
        <v>2372</v>
      </c>
      <c r="N1509" s="10" t="s">
        <v>2373</v>
      </c>
      <c r="O1509" s="10"/>
    </row>
    <row r="1510" spans="1:15" ht="18" customHeight="1" x14ac:dyDescent="0.3">
      <c r="A1510" s="24">
        <v>1509</v>
      </c>
      <c r="B1510" s="10" t="s">
        <v>51</v>
      </c>
      <c r="C1510" s="10" t="s">
        <v>52</v>
      </c>
      <c r="D1510" s="62">
        <v>76</v>
      </c>
      <c r="E1510" s="61" t="s">
        <v>2864</v>
      </c>
      <c r="F1510" s="11" t="s">
        <v>599</v>
      </c>
      <c r="G1510" s="10" t="s">
        <v>150</v>
      </c>
      <c r="H1510" s="10" t="s">
        <v>849</v>
      </c>
      <c r="I1510" s="62">
        <v>133</v>
      </c>
      <c r="J1510" s="10" t="s">
        <v>2374</v>
      </c>
      <c r="K1510" s="10" t="s">
        <v>847</v>
      </c>
      <c r="L1510" s="10" t="s">
        <v>2373</v>
      </c>
      <c r="M1510" s="10" t="s">
        <v>2372</v>
      </c>
      <c r="N1510" s="10" t="s">
        <v>2373</v>
      </c>
      <c r="O1510" s="10"/>
    </row>
    <row r="1511" spans="1:15" ht="18" customHeight="1" x14ac:dyDescent="0.3">
      <c r="A1511" s="24">
        <v>1510</v>
      </c>
      <c r="B1511" s="10" t="s">
        <v>51</v>
      </c>
      <c r="C1511" s="10" t="s">
        <v>52</v>
      </c>
      <c r="D1511" s="62">
        <v>76</v>
      </c>
      <c r="E1511" s="61" t="s">
        <v>2864</v>
      </c>
      <c r="F1511" s="11" t="s">
        <v>599</v>
      </c>
      <c r="G1511" s="10" t="s">
        <v>150</v>
      </c>
      <c r="H1511" s="10" t="s">
        <v>850</v>
      </c>
      <c r="I1511" s="62">
        <v>128</v>
      </c>
      <c r="J1511" s="10" t="s">
        <v>2372</v>
      </c>
      <c r="K1511" s="10" t="s">
        <v>847</v>
      </c>
      <c r="L1511" s="10" t="s">
        <v>2373</v>
      </c>
      <c r="M1511" s="10" t="s">
        <v>2372</v>
      </c>
      <c r="N1511" s="10" t="s">
        <v>2373</v>
      </c>
      <c r="O1511" s="10"/>
    </row>
    <row r="1512" spans="1:15" ht="18" customHeight="1" x14ac:dyDescent="0.3">
      <c r="A1512" s="24">
        <v>1511</v>
      </c>
      <c r="B1512" s="10" t="s">
        <v>51</v>
      </c>
      <c r="C1512" s="10" t="s">
        <v>52</v>
      </c>
      <c r="D1512" s="62">
        <v>76</v>
      </c>
      <c r="E1512" s="61" t="s">
        <v>2864</v>
      </c>
      <c r="F1512" s="11" t="s">
        <v>599</v>
      </c>
      <c r="G1512" s="10" t="s">
        <v>150</v>
      </c>
      <c r="H1512" s="10" t="s">
        <v>851</v>
      </c>
      <c r="I1512" s="62">
        <v>128</v>
      </c>
      <c r="J1512" s="10" t="s">
        <v>2372</v>
      </c>
      <c r="K1512" s="10" t="s">
        <v>847</v>
      </c>
      <c r="L1512" s="10" t="s">
        <v>2373</v>
      </c>
      <c r="M1512" s="10" t="s">
        <v>2372</v>
      </c>
      <c r="N1512" s="10" t="s">
        <v>2373</v>
      </c>
      <c r="O1512" s="10"/>
    </row>
    <row r="1513" spans="1:15" ht="18" customHeight="1" x14ac:dyDescent="0.3">
      <c r="A1513" s="24">
        <v>1512</v>
      </c>
      <c r="B1513" s="10" t="s">
        <v>51</v>
      </c>
      <c r="C1513" s="10" t="s">
        <v>52</v>
      </c>
      <c r="D1513" s="62">
        <v>76</v>
      </c>
      <c r="E1513" s="61" t="s">
        <v>2864</v>
      </c>
      <c r="F1513" s="11" t="s">
        <v>599</v>
      </c>
      <c r="G1513" s="10" t="s">
        <v>150</v>
      </c>
      <c r="H1513" s="10" t="s">
        <v>852</v>
      </c>
      <c r="I1513" s="62">
        <v>133</v>
      </c>
      <c r="J1513" s="10" t="s">
        <v>2372</v>
      </c>
      <c r="K1513" s="10" t="s">
        <v>847</v>
      </c>
      <c r="L1513" s="10" t="s">
        <v>2373</v>
      </c>
      <c r="M1513" s="10" t="s">
        <v>2372</v>
      </c>
      <c r="N1513" s="10" t="s">
        <v>2373</v>
      </c>
      <c r="O1513" s="10"/>
    </row>
    <row r="1514" spans="1:15" ht="18" customHeight="1" x14ac:dyDescent="0.3">
      <c r="A1514" s="24">
        <v>1513</v>
      </c>
      <c r="B1514" s="10" t="s">
        <v>51</v>
      </c>
      <c r="C1514" s="10" t="s">
        <v>52</v>
      </c>
      <c r="D1514" s="62">
        <v>76</v>
      </c>
      <c r="E1514" s="61" t="s">
        <v>2864</v>
      </c>
      <c r="F1514" s="11" t="s">
        <v>599</v>
      </c>
      <c r="G1514" s="10" t="s">
        <v>150</v>
      </c>
      <c r="H1514" s="10" t="s">
        <v>853</v>
      </c>
      <c r="I1514" s="62">
        <v>159</v>
      </c>
      <c r="J1514" s="10" t="s">
        <v>2372</v>
      </c>
      <c r="K1514" s="10" t="s">
        <v>847</v>
      </c>
      <c r="L1514" s="10" t="s">
        <v>2373</v>
      </c>
      <c r="M1514" s="10" t="s">
        <v>2372</v>
      </c>
      <c r="N1514" s="10" t="s">
        <v>2373</v>
      </c>
      <c r="O1514" s="10"/>
    </row>
    <row r="1515" spans="1:15" ht="18" customHeight="1" x14ac:dyDescent="0.3">
      <c r="A1515" s="24">
        <v>1514</v>
      </c>
      <c r="B1515" s="10" t="s">
        <v>51</v>
      </c>
      <c r="C1515" s="10" t="s">
        <v>52</v>
      </c>
      <c r="D1515" s="62">
        <v>76</v>
      </c>
      <c r="E1515" s="61" t="s">
        <v>2864</v>
      </c>
      <c r="F1515" s="11" t="s">
        <v>599</v>
      </c>
      <c r="G1515" s="10" t="s">
        <v>150</v>
      </c>
      <c r="H1515" s="10" t="s">
        <v>854</v>
      </c>
      <c r="I1515" s="62">
        <v>206</v>
      </c>
      <c r="J1515" s="10" t="s">
        <v>2374</v>
      </c>
      <c r="K1515" s="10" t="s">
        <v>847</v>
      </c>
      <c r="L1515" s="10" t="s">
        <v>2373</v>
      </c>
      <c r="M1515" s="10" t="s">
        <v>2372</v>
      </c>
      <c r="N1515" s="10" t="s">
        <v>2373</v>
      </c>
      <c r="O1515" s="10"/>
    </row>
    <row r="1516" spans="1:15" ht="18" customHeight="1" x14ac:dyDescent="0.3">
      <c r="A1516" s="24">
        <v>1515</v>
      </c>
      <c r="B1516" s="10" t="s">
        <v>1600</v>
      </c>
      <c r="C1516" s="10" t="s">
        <v>1601</v>
      </c>
      <c r="D1516" s="62">
        <v>76</v>
      </c>
      <c r="E1516" s="61" t="s">
        <v>1614</v>
      </c>
      <c r="F1516" s="19" t="s">
        <v>1615</v>
      </c>
      <c r="G1516" s="10" t="s">
        <v>1264</v>
      </c>
      <c r="H1516" s="10" t="s">
        <v>2385</v>
      </c>
      <c r="I1516" s="62">
        <v>178</v>
      </c>
      <c r="J1516" s="8" t="s">
        <v>846</v>
      </c>
      <c r="K1516" s="10" t="s">
        <v>847</v>
      </c>
      <c r="L1516" s="10" t="s">
        <v>2373</v>
      </c>
      <c r="M1516" s="10" t="s">
        <v>2372</v>
      </c>
      <c r="N1516" s="10" t="s">
        <v>2373</v>
      </c>
      <c r="O1516" s="10"/>
    </row>
    <row r="1517" spans="1:15" ht="18" customHeight="1" x14ac:dyDescent="0.3">
      <c r="A1517" s="24">
        <v>1516</v>
      </c>
      <c r="B1517" s="10" t="s">
        <v>1600</v>
      </c>
      <c r="C1517" s="10" t="s">
        <v>1601</v>
      </c>
      <c r="D1517" s="62">
        <v>76</v>
      </c>
      <c r="E1517" s="61" t="s">
        <v>1614</v>
      </c>
      <c r="F1517" s="19" t="s">
        <v>1615</v>
      </c>
      <c r="G1517" s="10" t="s">
        <v>1264</v>
      </c>
      <c r="H1517" s="10" t="s">
        <v>2378</v>
      </c>
      <c r="I1517" s="62">
        <v>131</v>
      </c>
      <c r="J1517" s="8" t="s">
        <v>2372</v>
      </c>
      <c r="K1517" s="10" t="s">
        <v>847</v>
      </c>
      <c r="L1517" s="10" t="s">
        <v>2373</v>
      </c>
      <c r="M1517" s="10" t="s">
        <v>2372</v>
      </c>
      <c r="N1517" s="10" t="s">
        <v>2373</v>
      </c>
      <c r="O1517" s="10"/>
    </row>
    <row r="1518" spans="1:15" ht="18" customHeight="1" x14ac:dyDescent="0.3">
      <c r="A1518" s="24">
        <v>1517</v>
      </c>
      <c r="B1518" s="10" t="s">
        <v>1600</v>
      </c>
      <c r="C1518" s="10" t="s">
        <v>1601</v>
      </c>
      <c r="D1518" s="62">
        <v>76</v>
      </c>
      <c r="E1518" s="61" t="s">
        <v>1614</v>
      </c>
      <c r="F1518" s="19" t="s">
        <v>1615</v>
      </c>
      <c r="G1518" s="10" t="s">
        <v>1264</v>
      </c>
      <c r="H1518" s="10" t="s">
        <v>2379</v>
      </c>
      <c r="I1518" s="62">
        <v>131</v>
      </c>
      <c r="J1518" s="8" t="s">
        <v>2372</v>
      </c>
      <c r="K1518" s="10" t="s">
        <v>847</v>
      </c>
      <c r="L1518" s="10" t="s">
        <v>2373</v>
      </c>
      <c r="M1518" s="10" t="s">
        <v>2372</v>
      </c>
      <c r="N1518" s="10" t="s">
        <v>2373</v>
      </c>
      <c r="O1518" s="10"/>
    </row>
    <row r="1519" spans="1:15" ht="18" customHeight="1" x14ac:dyDescent="0.3">
      <c r="A1519" s="24">
        <v>1518</v>
      </c>
      <c r="B1519" s="10" t="s">
        <v>1600</v>
      </c>
      <c r="C1519" s="10" t="s">
        <v>1601</v>
      </c>
      <c r="D1519" s="62">
        <v>76</v>
      </c>
      <c r="E1519" s="61" t="s">
        <v>1614</v>
      </c>
      <c r="F1519" s="19" t="s">
        <v>1615</v>
      </c>
      <c r="G1519" s="10" t="s">
        <v>1264</v>
      </c>
      <c r="H1519" s="10" t="s">
        <v>2380</v>
      </c>
      <c r="I1519" s="62">
        <v>131</v>
      </c>
      <c r="J1519" s="8" t="s">
        <v>846</v>
      </c>
      <c r="K1519" s="10" t="s">
        <v>847</v>
      </c>
      <c r="L1519" s="10" t="s">
        <v>2373</v>
      </c>
      <c r="M1519" s="10" t="s">
        <v>2372</v>
      </c>
      <c r="N1519" s="10" t="s">
        <v>2373</v>
      </c>
      <c r="O1519" s="10"/>
    </row>
    <row r="1520" spans="1:15" ht="18" customHeight="1" x14ac:dyDescent="0.3">
      <c r="A1520" s="24">
        <v>1519</v>
      </c>
      <c r="B1520" s="10" t="s">
        <v>1600</v>
      </c>
      <c r="C1520" s="10" t="s">
        <v>1601</v>
      </c>
      <c r="D1520" s="62">
        <v>76</v>
      </c>
      <c r="E1520" s="61" t="s">
        <v>1614</v>
      </c>
      <c r="F1520" s="19" t="s">
        <v>1615</v>
      </c>
      <c r="G1520" s="10" t="s">
        <v>1264</v>
      </c>
      <c r="H1520" s="10" t="s">
        <v>2390</v>
      </c>
      <c r="I1520" s="62">
        <v>69</v>
      </c>
      <c r="J1520" s="8" t="s">
        <v>2372</v>
      </c>
      <c r="K1520" s="10" t="s">
        <v>847</v>
      </c>
      <c r="L1520" s="10" t="s">
        <v>2373</v>
      </c>
      <c r="M1520" s="10" t="s">
        <v>2372</v>
      </c>
      <c r="N1520" s="10" t="s">
        <v>2373</v>
      </c>
      <c r="O1520" s="10"/>
    </row>
    <row r="1521" spans="1:15" ht="18" customHeight="1" x14ac:dyDescent="0.3">
      <c r="A1521" s="24">
        <v>1520</v>
      </c>
      <c r="B1521" s="10" t="s">
        <v>51</v>
      </c>
      <c r="C1521" s="10" t="s">
        <v>52</v>
      </c>
      <c r="D1521" s="62">
        <v>76</v>
      </c>
      <c r="E1521" s="61" t="s">
        <v>2865</v>
      </c>
      <c r="F1521" s="11" t="s">
        <v>598</v>
      </c>
      <c r="G1521" s="10" t="s">
        <v>150</v>
      </c>
      <c r="H1521" s="10" t="s">
        <v>848</v>
      </c>
      <c r="I1521" s="62">
        <v>224</v>
      </c>
      <c r="J1521" s="10" t="s">
        <v>2372</v>
      </c>
      <c r="K1521" s="10" t="s">
        <v>847</v>
      </c>
      <c r="L1521" s="10" t="s">
        <v>2373</v>
      </c>
      <c r="M1521" s="10" t="s">
        <v>2372</v>
      </c>
      <c r="N1521" s="10" t="s">
        <v>2373</v>
      </c>
      <c r="O1521" s="10"/>
    </row>
    <row r="1522" spans="1:15" ht="18" customHeight="1" x14ac:dyDescent="0.3">
      <c r="A1522" s="24">
        <v>1521</v>
      </c>
      <c r="B1522" s="10" t="s">
        <v>51</v>
      </c>
      <c r="C1522" s="10" t="s">
        <v>52</v>
      </c>
      <c r="D1522" s="62">
        <v>76</v>
      </c>
      <c r="E1522" s="61" t="s">
        <v>2865</v>
      </c>
      <c r="F1522" s="11" t="s">
        <v>598</v>
      </c>
      <c r="G1522" s="10" t="s">
        <v>150</v>
      </c>
      <c r="H1522" s="10" t="s">
        <v>849</v>
      </c>
      <c r="I1522" s="62">
        <v>130</v>
      </c>
      <c r="J1522" s="10" t="s">
        <v>2372</v>
      </c>
      <c r="K1522" s="10" t="s">
        <v>2372</v>
      </c>
      <c r="L1522" s="10" t="s">
        <v>2373</v>
      </c>
      <c r="M1522" s="10" t="s">
        <v>2372</v>
      </c>
      <c r="N1522" s="10" t="s">
        <v>2373</v>
      </c>
      <c r="O1522" s="10"/>
    </row>
    <row r="1523" spans="1:15" ht="18" customHeight="1" x14ac:dyDescent="0.3">
      <c r="A1523" s="24">
        <v>1522</v>
      </c>
      <c r="B1523" s="10" t="s">
        <v>51</v>
      </c>
      <c r="C1523" s="10" t="s">
        <v>52</v>
      </c>
      <c r="D1523" s="62">
        <v>76</v>
      </c>
      <c r="E1523" s="61" t="s">
        <v>2865</v>
      </c>
      <c r="F1523" s="11" t="s">
        <v>598</v>
      </c>
      <c r="G1523" s="10" t="s">
        <v>150</v>
      </c>
      <c r="H1523" s="10" t="s">
        <v>851</v>
      </c>
      <c r="I1523" s="62">
        <v>195</v>
      </c>
      <c r="J1523" s="10" t="s">
        <v>2374</v>
      </c>
      <c r="K1523" s="10" t="s">
        <v>847</v>
      </c>
      <c r="L1523" s="10" t="s">
        <v>2373</v>
      </c>
      <c r="M1523" s="10" t="s">
        <v>2372</v>
      </c>
      <c r="N1523" s="10" t="s">
        <v>2373</v>
      </c>
      <c r="O1523" s="10"/>
    </row>
    <row r="1524" spans="1:15" ht="18" customHeight="1" x14ac:dyDescent="0.3">
      <c r="A1524" s="24">
        <v>1523</v>
      </c>
      <c r="B1524" s="10" t="s">
        <v>51</v>
      </c>
      <c r="C1524" s="10" t="s">
        <v>52</v>
      </c>
      <c r="D1524" s="62">
        <v>76</v>
      </c>
      <c r="E1524" s="61" t="s">
        <v>2865</v>
      </c>
      <c r="F1524" s="11" t="s">
        <v>598</v>
      </c>
      <c r="G1524" s="10" t="s">
        <v>150</v>
      </c>
      <c r="H1524" s="10" t="s">
        <v>852</v>
      </c>
      <c r="I1524" s="62">
        <v>180</v>
      </c>
      <c r="J1524" s="10" t="s">
        <v>2372</v>
      </c>
      <c r="K1524" s="10" t="s">
        <v>847</v>
      </c>
      <c r="L1524" s="10" t="s">
        <v>2373</v>
      </c>
      <c r="M1524" s="10" t="s">
        <v>2372</v>
      </c>
      <c r="N1524" s="10" t="s">
        <v>2373</v>
      </c>
      <c r="O1524" s="10"/>
    </row>
    <row r="1525" spans="1:15" ht="18" customHeight="1" x14ac:dyDescent="0.3">
      <c r="A1525" s="24">
        <v>1524</v>
      </c>
      <c r="B1525" s="10" t="s">
        <v>51</v>
      </c>
      <c r="C1525" s="10" t="s">
        <v>52</v>
      </c>
      <c r="D1525" s="62">
        <v>76</v>
      </c>
      <c r="E1525" s="61" t="s">
        <v>2865</v>
      </c>
      <c r="F1525" s="11" t="s">
        <v>598</v>
      </c>
      <c r="G1525" s="10" t="s">
        <v>150</v>
      </c>
      <c r="H1525" s="10" t="s">
        <v>853</v>
      </c>
      <c r="I1525" s="62">
        <v>223</v>
      </c>
      <c r="J1525" s="10" t="s">
        <v>2374</v>
      </c>
      <c r="K1525" s="10" t="s">
        <v>847</v>
      </c>
      <c r="L1525" s="10" t="s">
        <v>2373</v>
      </c>
      <c r="M1525" s="10" t="s">
        <v>2372</v>
      </c>
      <c r="N1525" s="10" t="s">
        <v>2373</v>
      </c>
      <c r="O1525" s="10"/>
    </row>
    <row r="1526" spans="1:15" ht="18" customHeight="1" x14ac:dyDescent="0.3">
      <c r="A1526" s="24">
        <v>1525</v>
      </c>
      <c r="B1526" s="10" t="s">
        <v>51</v>
      </c>
      <c r="C1526" s="10" t="s">
        <v>52</v>
      </c>
      <c r="D1526" s="62">
        <v>76</v>
      </c>
      <c r="E1526" s="61" t="s">
        <v>2865</v>
      </c>
      <c r="F1526" s="11" t="s">
        <v>598</v>
      </c>
      <c r="G1526" s="10" t="s">
        <v>150</v>
      </c>
      <c r="H1526" s="10" t="s">
        <v>854</v>
      </c>
      <c r="I1526" s="62">
        <v>130</v>
      </c>
      <c r="J1526" s="10" t="s">
        <v>2372</v>
      </c>
      <c r="K1526" s="10" t="s">
        <v>847</v>
      </c>
      <c r="L1526" s="10" t="s">
        <v>2373</v>
      </c>
      <c r="M1526" s="10" t="s">
        <v>2372</v>
      </c>
      <c r="N1526" s="10" t="s">
        <v>2373</v>
      </c>
      <c r="O1526" s="10"/>
    </row>
    <row r="1527" spans="1:15" ht="18" customHeight="1" x14ac:dyDescent="0.3">
      <c r="A1527" s="24">
        <v>1526</v>
      </c>
      <c r="B1527" s="10" t="s">
        <v>51</v>
      </c>
      <c r="C1527" s="10" t="s">
        <v>52</v>
      </c>
      <c r="D1527" s="62">
        <v>76</v>
      </c>
      <c r="E1527" s="61" t="s">
        <v>2865</v>
      </c>
      <c r="F1527" s="11" t="s">
        <v>2580</v>
      </c>
      <c r="G1527" s="10" t="s">
        <v>150</v>
      </c>
      <c r="H1527" s="10" t="s">
        <v>2410</v>
      </c>
      <c r="I1527" s="62">
        <v>108</v>
      </c>
      <c r="J1527" s="10" t="s">
        <v>2374</v>
      </c>
      <c r="K1527" s="10" t="s">
        <v>846</v>
      </c>
      <c r="L1527" s="10" t="s">
        <v>188</v>
      </c>
      <c r="M1527" s="10" t="s">
        <v>2372</v>
      </c>
      <c r="N1527" s="10" t="s">
        <v>2373</v>
      </c>
      <c r="O1527" s="10"/>
    </row>
    <row r="1528" spans="1:15" ht="18" customHeight="1" x14ac:dyDescent="0.3">
      <c r="A1528" s="24">
        <v>1527</v>
      </c>
      <c r="B1528" s="10" t="s">
        <v>51</v>
      </c>
      <c r="C1528" s="10" t="s">
        <v>52</v>
      </c>
      <c r="D1528" s="62">
        <v>76</v>
      </c>
      <c r="E1528" s="61" t="s">
        <v>2865</v>
      </c>
      <c r="F1528" s="11" t="s">
        <v>2580</v>
      </c>
      <c r="G1528" s="10" t="s">
        <v>150</v>
      </c>
      <c r="H1528" s="10" t="s">
        <v>2425</v>
      </c>
      <c r="I1528" s="62">
        <v>61</v>
      </c>
      <c r="J1528" s="10" t="s">
        <v>2374</v>
      </c>
      <c r="K1528" s="10" t="s">
        <v>2374</v>
      </c>
      <c r="L1528" s="10" t="s">
        <v>2426</v>
      </c>
      <c r="M1528" s="10" t="s">
        <v>2372</v>
      </c>
      <c r="N1528" s="10" t="s">
        <v>2373</v>
      </c>
      <c r="O1528" s="10"/>
    </row>
    <row r="1529" spans="1:15" ht="18" customHeight="1" x14ac:dyDescent="0.3">
      <c r="A1529" s="24">
        <v>1528</v>
      </c>
      <c r="B1529" s="99" t="s">
        <v>3119</v>
      </c>
      <c r="C1529" s="99" t="s">
        <v>3120</v>
      </c>
      <c r="D1529" s="99">
        <v>76</v>
      </c>
      <c r="E1529" s="30" t="s">
        <v>3115</v>
      </c>
      <c r="F1529" s="19" t="s">
        <v>1120</v>
      </c>
      <c r="G1529" s="99" t="s">
        <v>3117</v>
      </c>
      <c r="H1529" s="10" t="s">
        <v>3125</v>
      </c>
      <c r="I1529" s="62">
        <v>275</v>
      </c>
      <c r="J1529" s="173" t="s">
        <v>3673</v>
      </c>
      <c r="K1529" s="173" t="s">
        <v>860</v>
      </c>
      <c r="L1529" s="173" t="s">
        <v>3125</v>
      </c>
      <c r="M1529" s="10" t="s">
        <v>884</v>
      </c>
      <c r="N1529" s="10" t="s">
        <v>820</v>
      </c>
      <c r="O1529" s="10"/>
    </row>
    <row r="1530" spans="1:15" ht="18" customHeight="1" x14ac:dyDescent="0.3">
      <c r="A1530" s="24">
        <v>1529</v>
      </c>
      <c r="B1530" s="99" t="s">
        <v>3119</v>
      </c>
      <c r="C1530" s="99" t="s">
        <v>3120</v>
      </c>
      <c r="D1530" s="99">
        <v>76</v>
      </c>
      <c r="E1530" s="30" t="s">
        <v>3115</v>
      </c>
      <c r="F1530" s="19" t="s">
        <v>1120</v>
      </c>
      <c r="G1530" s="99" t="s">
        <v>3117</v>
      </c>
      <c r="H1530" s="10" t="s">
        <v>3126</v>
      </c>
      <c r="I1530" s="62">
        <v>264</v>
      </c>
      <c r="J1530" s="10" t="s">
        <v>884</v>
      </c>
      <c r="K1530" s="173" t="s">
        <v>860</v>
      </c>
      <c r="L1530" s="173" t="s">
        <v>3127</v>
      </c>
      <c r="M1530" s="10" t="s">
        <v>884</v>
      </c>
      <c r="N1530" s="10" t="s">
        <v>820</v>
      </c>
      <c r="O1530" s="10"/>
    </row>
    <row r="1531" spans="1:15" ht="18" customHeight="1" x14ac:dyDescent="0.3">
      <c r="A1531" s="24">
        <v>1530</v>
      </c>
      <c r="B1531" s="99" t="s">
        <v>3119</v>
      </c>
      <c r="C1531" s="99" t="s">
        <v>3120</v>
      </c>
      <c r="D1531" s="99">
        <v>76</v>
      </c>
      <c r="E1531" s="30" t="s">
        <v>3115</v>
      </c>
      <c r="F1531" s="19" t="s">
        <v>1120</v>
      </c>
      <c r="G1531" s="99" t="s">
        <v>3117</v>
      </c>
      <c r="H1531" s="10" t="s">
        <v>2618</v>
      </c>
      <c r="I1531" s="62">
        <v>267</v>
      </c>
      <c r="J1531" s="10" t="s">
        <v>884</v>
      </c>
      <c r="K1531" s="173" t="s">
        <v>860</v>
      </c>
      <c r="L1531" s="173" t="s">
        <v>3127</v>
      </c>
      <c r="M1531" s="10" t="s">
        <v>884</v>
      </c>
      <c r="N1531" s="10" t="s">
        <v>820</v>
      </c>
      <c r="O1531" s="10"/>
    </row>
    <row r="1532" spans="1:15" ht="18" customHeight="1" x14ac:dyDescent="0.3">
      <c r="A1532" s="24">
        <v>1531</v>
      </c>
      <c r="B1532" s="99" t="s">
        <v>3119</v>
      </c>
      <c r="C1532" s="99" t="s">
        <v>3120</v>
      </c>
      <c r="D1532" s="99">
        <v>76</v>
      </c>
      <c r="E1532" s="30" t="s">
        <v>3115</v>
      </c>
      <c r="F1532" s="19" t="s">
        <v>1120</v>
      </c>
      <c r="G1532" s="99" t="s">
        <v>3117</v>
      </c>
      <c r="H1532" s="10" t="s">
        <v>2619</v>
      </c>
      <c r="I1532" s="177">
        <v>176</v>
      </c>
      <c r="J1532" s="10" t="s">
        <v>884</v>
      </c>
      <c r="K1532" s="173" t="s">
        <v>860</v>
      </c>
      <c r="L1532" s="173" t="s">
        <v>3127</v>
      </c>
      <c r="M1532" s="10" t="s">
        <v>884</v>
      </c>
      <c r="N1532" s="10" t="s">
        <v>820</v>
      </c>
      <c r="O1532" s="10"/>
    </row>
    <row r="1533" spans="1:15" ht="18" customHeight="1" x14ac:dyDescent="0.3">
      <c r="A1533" s="24">
        <v>1532</v>
      </c>
      <c r="B1533" s="99" t="s">
        <v>3119</v>
      </c>
      <c r="C1533" s="99" t="s">
        <v>3120</v>
      </c>
      <c r="D1533" s="99">
        <v>76</v>
      </c>
      <c r="E1533" s="30" t="s">
        <v>3115</v>
      </c>
      <c r="F1533" s="19" t="s">
        <v>1120</v>
      </c>
      <c r="G1533" s="99" t="s">
        <v>3117</v>
      </c>
      <c r="H1533" s="10" t="s">
        <v>2620</v>
      </c>
      <c r="I1533" s="62">
        <v>245</v>
      </c>
      <c r="J1533" s="10" t="s">
        <v>884</v>
      </c>
      <c r="K1533" s="173" t="s">
        <v>860</v>
      </c>
      <c r="L1533" s="173" t="s">
        <v>3127</v>
      </c>
      <c r="M1533" s="10" t="s">
        <v>884</v>
      </c>
      <c r="N1533" s="10" t="s">
        <v>820</v>
      </c>
      <c r="O1533" s="10"/>
    </row>
    <row r="1534" spans="1:15" ht="18" customHeight="1" x14ac:dyDescent="0.3">
      <c r="A1534" s="24">
        <v>1533</v>
      </c>
      <c r="B1534" s="99" t="s">
        <v>3119</v>
      </c>
      <c r="C1534" s="99" t="s">
        <v>3120</v>
      </c>
      <c r="D1534" s="99">
        <v>76</v>
      </c>
      <c r="E1534" s="30" t="s">
        <v>3115</v>
      </c>
      <c r="F1534" s="19" t="s">
        <v>1120</v>
      </c>
      <c r="G1534" s="99" t="s">
        <v>3117</v>
      </c>
      <c r="H1534" s="10" t="s">
        <v>2621</v>
      </c>
      <c r="I1534" s="62">
        <v>214</v>
      </c>
      <c r="J1534" s="10" t="s">
        <v>884</v>
      </c>
      <c r="K1534" s="173" t="s">
        <v>860</v>
      </c>
      <c r="L1534" s="173" t="s">
        <v>3127</v>
      </c>
      <c r="M1534" s="10" t="s">
        <v>884</v>
      </c>
      <c r="N1534" s="10" t="s">
        <v>820</v>
      </c>
      <c r="O1534" s="10"/>
    </row>
    <row r="1535" spans="1:15" ht="18" customHeight="1" x14ac:dyDescent="0.3">
      <c r="A1535" s="24">
        <v>1534</v>
      </c>
      <c r="B1535" s="99" t="s">
        <v>3119</v>
      </c>
      <c r="C1535" s="99" t="s">
        <v>3120</v>
      </c>
      <c r="D1535" s="99">
        <v>76</v>
      </c>
      <c r="E1535" s="30" t="s">
        <v>3115</v>
      </c>
      <c r="F1535" s="19" t="s">
        <v>1120</v>
      </c>
      <c r="G1535" s="99" t="s">
        <v>3117</v>
      </c>
      <c r="H1535" s="10" t="s">
        <v>2622</v>
      </c>
      <c r="I1535" s="62">
        <v>243</v>
      </c>
      <c r="J1535" s="10" t="s">
        <v>884</v>
      </c>
      <c r="K1535" s="173" t="s">
        <v>860</v>
      </c>
      <c r="L1535" s="173" t="s">
        <v>3127</v>
      </c>
      <c r="M1535" s="10" t="s">
        <v>884</v>
      </c>
      <c r="N1535" s="10" t="s">
        <v>820</v>
      </c>
      <c r="O1535" s="10"/>
    </row>
    <row r="1536" spans="1:15" ht="18" customHeight="1" x14ac:dyDescent="0.3">
      <c r="A1536" s="24">
        <v>1535</v>
      </c>
      <c r="B1536" s="99" t="s">
        <v>3119</v>
      </c>
      <c r="C1536" s="99" t="s">
        <v>3120</v>
      </c>
      <c r="D1536" s="99">
        <v>76</v>
      </c>
      <c r="E1536" s="30" t="s">
        <v>3115</v>
      </c>
      <c r="F1536" s="19" t="s">
        <v>1120</v>
      </c>
      <c r="G1536" s="99" t="s">
        <v>3117</v>
      </c>
      <c r="H1536" s="10" t="s">
        <v>2756</v>
      </c>
      <c r="I1536" s="62">
        <v>236</v>
      </c>
      <c r="J1536" s="10" t="s">
        <v>884</v>
      </c>
      <c r="K1536" s="173" t="s">
        <v>860</v>
      </c>
      <c r="L1536" s="173" t="s">
        <v>3127</v>
      </c>
      <c r="M1536" s="10" t="s">
        <v>884</v>
      </c>
      <c r="N1536" s="10" t="s">
        <v>820</v>
      </c>
      <c r="O1536" s="10"/>
    </row>
    <row r="1537" spans="1:15" ht="18" customHeight="1" x14ac:dyDescent="0.3">
      <c r="A1537" s="24">
        <v>1536</v>
      </c>
      <c r="B1537" s="10" t="s">
        <v>51</v>
      </c>
      <c r="C1537" s="10" t="s">
        <v>52</v>
      </c>
      <c r="D1537" s="62">
        <v>76</v>
      </c>
      <c r="E1537" s="61" t="s">
        <v>859</v>
      </c>
      <c r="F1537" s="16" t="s">
        <v>1004</v>
      </c>
      <c r="G1537" s="10" t="s">
        <v>160</v>
      </c>
      <c r="H1537" s="10" t="s">
        <v>2505</v>
      </c>
      <c r="I1537" s="62">
        <v>49</v>
      </c>
      <c r="J1537" s="10" t="s">
        <v>2372</v>
      </c>
      <c r="K1537" s="10" t="s">
        <v>2374</v>
      </c>
      <c r="L1537" s="10" t="s">
        <v>1422</v>
      </c>
      <c r="M1537" s="10" t="s">
        <v>2372</v>
      </c>
      <c r="N1537" s="10" t="s">
        <v>2373</v>
      </c>
      <c r="O1537" s="10"/>
    </row>
    <row r="1538" spans="1:15" ht="18" customHeight="1" x14ac:dyDescent="0.3">
      <c r="A1538" s="24">
        <v>1537</v>
      </c>
      <c r="B1538" s="10" t="s">
        <v>51</v>
      </c>
      <c r="C1538" s="10" t="s">
        <v>52</v>
      </c>
      <c r="D1538" s="62">
        <v>76</v>
      </c>
      <c r="E1538" s="61" t="s">
        <v>859</v>
      </c>
      <c r="F1538" s="16" t="s">
        <v>1004</v>
      </c>
      <c r="G1538" s="10" t="s">
        <v>160</v>
      </c>
      <c r="H1538" s="10" t="s">
        <v>2581</v>
      </c>
      <c r="I1538" s="62">
        <v>79</v>
      </c>
      <c r="J1538" s="10" t="s">
        <v>2372</v>
      </c>
      <c r="K1538" s="10" t="s">
        <v>2374</v>
      </c>
      <c r="L1538" s="10" t="s">
        <v>1422</v>
      </c>
      <c r="M1538" s="10" t="s">
        <v>2372</v>
      </c>
      <c r="N1538" s="10" t="s">
        <v>2373</v>
      </c>
      <c r="O1538" s="10"/>
    </row>
    <row r="1539" spans="1:15" ht="18" customHeight="1" x14ac:dyDescent="0.3">
      <c r="A1539" s="24">
        <v>1538</v>
      </c>
      <c r="B1539" s="10" t="s">
        <v>51</v>
      </c>
      <c r="C1539" s="10" t="s">
        <v>52</v>
      </c>
      <c r="D1539" s="62">
        <v>76</v>
      </c>
      <c r="E1539" s="61" t="s">
        <v>859</v>
      </c>
      <c r="F1539" s="16" t="s">
        <v>602</v>
      </c>
      <c r="G1539" s="10" t="s">
        <v>160</v>
      </c>
      <c r="H1539" s="10" t="s">
        <v>2582</v>
      </c>
      <c r="I1539" s="62">
        <v>51</v>
      </c>
      <c r="J1539" s="10" t="s">
        <v>2372</v>
      </c>
      <c r="K1539" s="10" t="s">
        <v>2374</v>
      </c>
      <c r="L1539" s="10" t="s">
        <v>1422</v>
      </c>
      <c r="M1539" s="10" t="s">
        <v>2372</v>
      </c>
      <c r="N1539" s="10" t="s">
        <v>2373</v>
      </c>
      <c r="O1539" s="10"/>
    </row>
    <row r="1540" spans="1:15" ht="18" customHeight="1" x14ac:dyDescent="0.3">
      <c r="A1540" s="24">
        <v>1539</v>
      </c>
      <c r="B1540" s="10" t="s">
        <v>51</v>
      </c>
      <c r="C1540" s="10" t="s">
        <v>52</v>
      </c>
      <c r="D1540" s="62">
        <v>76</v>
      </c>
      <c r="E1540" s="61" t="s">
        <v>859</v>
      </c>
      <c r="F1540" s="16" t="s">
        <v>602</v>
      </c>
      <c r="G1540" s="10" t="s">
        <v>160</v>
      </c>
      <c r="H1540" s="10" t="s">
        <v>2465</v>
      </c>
      <c r="I1540" s="62">
        <v>69</v>
      </c>
      <c r="J1540" s="10" t="s">
        <v>2374</v>
      </c>
      <c r="K1540" s="10" t="s">
        <v>2374</v>
      </c>
      <c r="L1540" s="10" t="s">
        <v>1422</v>
      </c>
      <c r="M1540" s="10" t="s">
        <v>2372</v>
      </c>
      <c r="N1540" s="10" t="s">
        <v>2373</v>
      </c>
      <c r="O1540" s="10"/>
    </row>
    <row r="1541" spans="1:15" ht="18" customHeight="1" x14ac:dyDescent="0.3">
      <c r="A1541" s="24">
        <v>1540</v>
      </c>
      <c r="B1541" s="99" t="s">
        <v>3121</v>
      </c>
      <c r="C1541" s="99" t="s">
        <v>3122</v>
      </c>
      <c r="D1541" s="99">
        <v>76</v>
      </c>
      <c r="E1541" s="56" t="s">
        <v>3116</v>
      </c>
      <c r="F1541" s="56" t="s">
        <v>3124</v>
      </c>
      <c r="G1541" s="99" t="s">
        <v>3117</v>
      </c>
      <c r="H1541" s="173" t="s">
        <v>3674</v>
      </c>
      <c r="I1541" s="62">
        <v>71</v>
      </c>
      <c r="J1541" s="10" t="s">
        <v>884</v>
      </c>
      <c r="K1541" s="173" t="s">
        <v>860</v>
      </c>
      <c r="L1541" s="173" t="s">
        <v>1422</v>
      </c>
      <c r="M1541" s="10" t="s">
        <v>884</v>
      </c>
      <c r="N1541" s="10" t="s">
        <v>820</v>
      </c>
      <c r="O1541" s="10"/>
    </row>
    <row r="1542" spans="1:15" ht="18" customHeight="1" x14ac:dyDescent="0.3">
      <c r="A1542" s="24">
        <v>1541</v>
      </c>
      <c r="B1542" s="99" t="s">
        <v>3121</v>
      </c>
      <c r="C1542" s="99" t="s">
        <v>3122</v>
      </c>
      <c r="D1542" s="99">
        <v>76</v>
      </c>
      <c r="E1542" s="56" t="s">
        <v>3116</v>
      </c>
      <c r="F1542" s="56" t="s">
        <v>3124</v>
      </c>
      <c r="G1542" s="99" t="s">
        <v>3117</v>
      </c>
      <c r="H1542" s="173" t="s">
        <v>3675</v>
      </c>
      <c r="I1542" s="62">
        <v>83</v>
      </c>
      <c r="J1542" s="10" t="s">
        <v>884</v>
      </c>
      <c r="K1542" s="173" t="s">
        <v>860</v>
      </c>
      <c r="L1542" s="173" t="s">
        <v>1422</v>
      </c>
      <c r="M1542" s="10" t="s">
        <v>884</v>
      </c>
      <c r="N1542" s="10" t="s">
        <v>820</v>
      </c>
      <c r="O1542" s="10"/>
    </row>
    <row r="1543" spans="1:15" ht="18" customHeight="1" x14ac:dyDescent="0.3">
      <c r="A1543" s="24">
        <v>1542</v>
      </c>
      <c r="B1543" s="99" t="s">
        <v>3121</v>
      </c>
      <c r="C1543" s="99" t="s">
        <v>3122</v>
      </c>
      <c r="D1543" s="99">
        <v>76</v>
      </c>
      <c r="E1543" s="56" t="s">
        <v>3116</v>
      </c>
      <c r="F1543" s="56" t="s">
        <v>3124</v>
      </c>
      <c r="G1543" s="99" t="s">
        <v>3117</v>
      </c>
      <c r="H1543" s="173" t="s">
        <v>3676</v>
      </c>
      <c r="I1543" s="62">
        <v>100</v>
      </c>
      <c r="J1543" s="10" t="s">
        <v>884</v>
      </c>
      <c r="K1543" s="173" t="s">
        <v>860</v>
      </c>
      <c r="L1543" s="173" t="s">
        <v>1422</v>
      </c>
      <c r="M1543" s="10" t="s">
        <v>884</v>
      </c>
      <c r="N1543" s="10" t="s">
        <v>820</v>
      </c>
      <c r="O1543" s="10"/>
    </row>
    <row r="1544" spans="1:15" ht="18" customHeight="1" x14ac:dyDescent="0.3">
      <c r="A1544" s="24">
        <v>1543</v>
      </c>
      <c r="B1544" s="99" t="s">
        <v>3121</v>
      </c>
      <c r="C1544" s="99" t="s">
        <v>3122</v>
      </c>
      <c r="D1544" s="99">
        <v>76</v>
      </c>
      <c r="E1544" s="56" t="s">
        <v>3116</v>
      </c>
      <c r="F1544" s="56" t="s">
        <v>3124</v>
      </c>
      <c r="G1544" s="99" t="s">
        <v>3117</v>
      </c>
      <c r="H1544" s="173" t="s">
        <v>3677</v>
      </c>
      <c r="I1544" s="62">
        <v>94</v>
      </c>
      <c r="J1544" s="10" t="s">
        <v>884</v>
      </c>
      <c r="K1544" s="173" t="s">
        <v>860</v>
      </c>
      <c r="L1544" s="173" t="s">
        <v>1422</v>
      </c>
      <c r="M1544" s="10" t="s">
        <v>884</v>
      </c>
      <c r="N1544" s="10" t="s">
        <v>820</v>
      </c>
      <c r="O1544" s="10"/>
    </row>
    <row r="1545" spans="1:15" ht="18" customHeight="1" x14ac:dyDescent="0.3">
      <c r="A1545" s="24">
        <v>1544</v>
      </c>
      <c r="B1545" s="99" t="s">
        <v>3121</v>
      </c>
      <c r="C1545" s="99" t="s">
        <v>3122</v>
      </c>
      <c r="D1545" s="99">
        <v>76</v>
      </c>
      <c r="E1545" s="56" t="s">
        <v>3116</v>
      </c>
      <c r="F1545" s="56" t="s">
        <v>3124</v>
      </c>
      <c r="G1545" s="99" t="s">
        <v>3117</v>
      </c>
      <c r="H1545" s="173" t="s">
        <v>3678</v>
      </c>
      <c r="I1545" s="62">
        <v>94</v>
      </c>
      <c r="J1545" s="10" t="s">
        <v>884</v>
      </c>
      <c r="K1545" s="173" t="s">
        <v>860</v>
      </c>
      <c r="L1545" s="173" t="s">
        <v>1422</v>
      </c>
      <c r="M1545" s="10" t="s">
        <v>884</v>
      </c>
      <c r="N1545" s="10" t="s">
        <v>820</v>
      </c>
      <c r="O1545" s="10"/>
    </row>
    <row r="1546" spans="1:15" ht="18" customHeight="1" x14ac:dyDescent="0.3">
      <c r="A1546" s="24">
        <v>1545</v>
      </c>
      <c r="B1546" s="99" t="s">
        <v>3121</v>
      </c>
      <c r="C1546" s="99" t="s">
        <v>3122</v>
      </c>
      <c r="D1546" s="99">
        <v>76</v>
      </c>
      <c r="E1546" s="56" t="s">
        <v>3116</v>
      </c>
      <c r="F1546" s="56" t="s">
        <v>3124</v>
      </c>
      <c r="G1546" s="99" t="s">
        <v>3117</v>
      </c>
      <c r="H1546" s="173" t="s">
        <v>3679</v>
      </c>
      <c r="I1546" s="62">
        <v>71</v>
      </c>
      <c r="J1546" s="10" t="s">
        <v>884</v>
      </c>
      <c r="K1546" s="173" t="s">
        <v>860</v>
      </c>
      <c r="L1546" s="173" t="s">
        <v>1422</v>
      </c>
      <c r="M1546" s="10" t="s">
        <v>884</v>
      </c>
      <c r="N1546" s="10" t="s">
        <v>820</v>
      </c>
      <c r="O1546" s="10"/>
    </row>
    <row r="1547" spans="1:15" ht="18" customHeight="1" x14ac:dyDescent="0.3">
      <c r="A1547" s="24">
        <v>1546</v>
      </c>
      <c r="B1547" s="99" t="s">
        <v>3121</v>
      </c>
      <c r="C1547" s="99" t="s">
        <v>3122</v>
      </c>
      <c r="D1547" s="99">
        <v>76</v>
      </c>
      <c r="E1547" s="56" t="s">
        <v>3116</v>
      </c>
      <c r="F1547" s="56" t="s">
        <v>3124</v>
      </c>
      <c r="G1547" s="99" t="s">
        <v>3117</v>
      </c>
      <c r="H1547" s="173" t="s">
        <v>3680</v>
      </c>
      <c r="I1547" s="62">
        <v>64</v>
      </c>
      <c r="J1547" s="10" t="s">
        <v>884</v>
      </c>
      <c r="K1547" s="173" t="s">
        <v>860</v>
      </c>
      <c r="L1547" s="173" t="s">
        <v>1422</v>
      </c>
      <c r="M1547" s="10" t="s">
        <v>884</v>
      </c>
      <c r="N1547" s="10" t="s">
        <v>820</v>
      </c>
      <c r="O1547" s="10"/>
    </row>
    <row r="1548" spans="1:15" ht="18" customHeight="1" x14ac:dyDescent="0.3">
      <c r="A1548" s="24">
        <v>1547</v>
      </c>
      <c r="B1548" s="10" t="s">
        <v>51</v>
      </c>
      <c r="C1548" s="10" t="s">
        <v>53</v>
      </c>
      <c r="D1548" s="62">
        <v>81</v>
      </c>
      <c r="E1548" s="61" t="s">
        <v>2866</v>
      </c>
      <c r="F1548" s="19" t="s">
        <v>1002</v>
      </c>
      <c r="G1548" s="10" t="s">
        <v>150</v>
      </c>
      <c r="H1548" s="10" t="s">
        <v>849</v>
      </c>
      <c r="I1548" s="62">
        <v>108</v>
      </c>
      <c r="J1548" s="10" t="s">
        <v>2372</v>
      </c>
      <c r="K1548" s="10" t="s">
        <v>847</v>
      </c>
      <c r="L1548" s="10" t="s">
        <v>2373</v>
      </c>
      <c r="M1548" s="10" t="s">
        <v>2372</v>
      </c>
      <c r="N1548" s="10" t="s">
        <v>2373</v>
      </c>
      <c r="O1548" s="10"/>
    </row>
    <row r="1549" spans="1:15" ht="18" customHeight="1" x14ac:dyDescent="0.3">
      <c r="A1549" s="24">
        <v>1548</v>
      </c>
      <c r="B1549" s="10" t="s">
        <v>51</v>
      </c>
      <c r="C1549" s="10" t="s">
        <v>53</v>
      </c>
      <c r="D1549" s="62">
        <v>81</v>
      </c>
      <c r="E1549" s="61" t="s">
        <v>2866</v>
      </c>
      <c r="F1549" s="19" t="s">
        <v>1002</v>
      </c>
      <c r="G1549" s="10" t="s">
        <v>150</v>
      </c>
      <c r="H1549" s="10" t="s">
        <v>850</v>
      </c>
      <c r="I1549" s="62">
        <v>108</v>
      </c>
      <c r="J1549" s="10" t="s">
        <v>2374</v>
      </c>
      <c r="K1549" s="10" t="s">
        <v>847</v>
      </c>
      <c r="L1549" s="10" t="s">
        <v>2373</v>
      </c>
      <c r="M1549" s="10" t="s">
        <v>2372</v>
      </c>
      <c r="N1549" s="10" t="s">
        <v>2373</v>
      </c>
      <c r="O1549" s="10"/>
    </row>
    <row r="1550" spans="1:15" ht="18" customHeight="1" x14ac:dyDescent="0.3">
      <c r="A1550" s="24">
        <v>1549</v>
      </c>
      <c r="B1550" s="10" t="s">
        <v>51</v>
      </c>
      <c r="C1550" s="10" t="s">
        <v>53</v>
      </c>
      <c r="D1550" s="62">
        <v>81</v>
      </c>
      <c r="E1550" s="61" t="s">
        <v>2866</v>
      </c>
      <c r="F1550" s="19" t="s">
        <v>597</v>
      </c>
      <c r="G1550" s="10" t="s">
        <v>150</v>
      </c>
      <c r="H1550" s="10" t="s">
        <v>845</v>
      </c>
      <c r="I1550" s="62">
        <v>108</v>
      </c>
      <c r="J1550" s="10" t="s">
        <v>2372</v>
      </c>
      <c r="K1550" s="10" t="s">
        <v>847</v>
      </c>
      <c r="L1550" s="10" t="s">
        <v>2373</v>
      </c>
      <c r="M1550" s="10" t="s">
        <v>2372</v>
      </c>
      <c r="N1550" s="10" t="s">
        <v>2373</v>
      </c>
      <c r="O1550" s="10"/>
    </row>
    <row r="1551" spans="1:15" ht="18" customHeight="1" x14ac:dyDescent="0.3">
      <c r="A1551" s="24">
        <v>1550</v>
      </c>
      <c r="B1551" s="10" t="s">
        <v>51</v>
      </c>
      <c r="C1551" s="10" t="s">
        <v>53</v>
      </c>
      <c r="D1551" s="62">
        <v>81</v>
      </c>
      <c r="E1551" s="61" t="s">
        <v>2866</v>
      </c>
      <c r="F1551" s="19" t="s">
        <v>597</v>
      </c>
      <c r="G1551" s="10" t="s">
        <v>150</v>
      </c>
      <c r="H1551" s="10" t="s">
        <v>848</v>
      </c>
      <c r="I1551" s="62">
        <v>131</v>
      </c>
      <c r="J1551" s="10" t="s">
        <v>2374</v>
      </c>
      <c r="K1551" s="10" t="s">
        <v>847</v>
      </c>
      <c r="L1551" s="10" t="s">
        <v>2373</v>
      </c>
      <c r="M1551" s="10" t="s">
        <v>2372</v>
      </c>
      <c r="N1551" s="10" t="s">
        <v>2373</v>
      </c>
      <c r="O1551" s="10"/>
    </row>
    <row r="1552" spans="1:15" ht="18" customHeight="1" x14ac:dyDescent="0.3">
      <c r="A1552" s="24">
        <v>1551</v>
      </c>
      <c r="B1552" s="10" t="s">
        <v>51</v>
      </c>
      <c r="C1552" s="10" t="s">
        <v>53</v>
      </c>
      <c r="D1552" s="62">
        <v>81</v>
      </c>
      <c r="E1552" s="61" t="s">
        <v>2867</v>
      </c>
      <c r="F1552" s="19" t="s">
        <v>590</v>
      </c>
      <c r="G1552" s="10" t="s">
        <v>150</v>
      </c>
      <c r="H1552" s="10" t="s">
        <v>845</v>
      </c>
      <c r="I1552" s="62">
        <v>151</v>
      </c>
      <c r="J1552" s="10" t="s">
        <v>2372</v>
      </c>
      <c r="K1552" s="10" t="s">
        <v>847</v>
      </c>
      <c r="L1552" s="10" t="s">
        <v>2373</v>
      </c>
      <c r="M1552" s="10" t="s">
        <v>2372</v>
      </c>
      <c r="N1552" s="10" t="s">
        <v>2373</v>
      </c>
      <c r="O1552" s="10"/>
    </row>
    <row r="1553" spans="1:15" ht="18" customHeight="1" x14ac:dyDescent="0.3">
      <c r="A1553" s="24">
        <v>1552</v>
      </c>
      <c r="B1553" s="10" t="s">
        <v>51</v>
      </c>
      <c r="C1553" s="10" t="s">
        <v>53</v>
      </c>
      <c r="D1553" s="62">
        <v>81</v>
      </c>
      <c r="E1553" s="61" t="s">
        <v>2867</v>
      </c>
      <c r="F1553" s="19" t="s">
        <v>590</v>
      </c>
      <c r="G1553" s="10" t="s">
        <v>150</v>
      </c>
      <c r="H1553" s="10" t="s">
        <v>848</v>
      </c>
      <c r="I1553" s="62">
        <v>201</v>
      </c>
      <c r="J1553" s="10" t="s">
        <v>2374</v>
      </c>
      <c r="K1553" s="10" t="s">
        <v>847</v>
      </c>
      <c r="L1553" s="10" t="s">
        <v>2373</v>
      </c>
      <c r="M1553" s="10" t="s">
        <v>2372</v>
      </c>
      <c r="N1553" s="10" t="s">
        <v>2373</v>
      </c>
      <c r="O1553" s="10"/>
    </row>
    <row r="1554" spans="1:15" ht="18" customHeight="1" x14ac:dyDescent="0.3">
      <c r="A1554" s="24">
        <v>1553</v>
      </c>
      <c r="B1554" s="10" t="s">
        <v>51</v>
      </c>
      <c r="C1554" s="10" t="s">
        <v>53</v>
      </c>
      <c r="D1554" s="62">
        <v>81</v>
      </c>
      <c r="E1554" s="61" t="s">
        <v>2867</v>
      </c>
      <c r="F1554" s="19" t="s">
        <v>590</v>
      </c>
      <c r="G1554" s="10" t="s">
        <v>150</v>
      </c>
      <c r="H1554" s="10" t="s">
        <v>849</v>
      </c>
      <c r="I1554" s="62">
        <v>161</v>
      </c>
      <c r="J1554" s="10" t="s">
        <v>2372</v>
      </c>
      <c r="K1554" s="10" t="s">
        <v>847</v>
      </c>
      <c r="L1554" s="10" t="s">
        <v>2373</v>
      </c>
      <c r="M1554" s="10" t="s">
        <v>2372</v>
      </c>
      <c r="N1554" s="10" t="s">
        <v>2373</v>
      </c>
      <c r="O1554" s="10"/>
    </row>
    <row r="1555" spans="1:15" ht="18" customHeight="1" x14ac:dyDescent="0.3">
      <c r="A1555" s="24">
        <v>1554</v>
      </c>
      <c r="B1555" s="10" t="s">
        <v>51</v>
      </c>
      <c r="C1555" s="10" t="s">
        <v>53</v>
      </c>
      <c r="D1555" s="62">
        <v>81</v>
      </c>
      <c r="E1555" s="61" t="s">
        <v>2867</v>
      </c>
      <c r="F1555" s="19" t="s">
        <v>590</v>
      </c>
      <c r="G1555" s="10" t="s">
        <v>150</v>
      </c>
      <c r="H1555" s="10" t="s">
        <v>850</v>
      </c>
      <c r="I1555" s="62">
        <v>166</v>
      </c>
      <c r="J1555" s="10" t="s">
        <v>2374</v>
      </c>
      <c r="K1555" s="10" t="s">
        <v>847</v>
      </c>
      <c r="L1555" s="10" t="s">
        <v>2373</v>
      </c>
      <c r="M1555" s="10" t="s">
        <v>2372</v>
      </c>
      <c r="N1555" s="10" t="s">
        <v>2373</v>
      </c>
      <c r="O1555" s="10"/>
    </row>
    <row r="1556" spans="1:15" ht="18" customHeight="1" x14ac:dyDescent="0.3">
      <c r="A1556" s="24">
        <v>1555</v>
      </c>
      <c r="B1556" s="10" t="s">
        <v>51</v>
      </c>
      <c r="C1556" s="10" t="s">
        <v>53</v>
      </c>
      <c r="D1556" s="62">
        <v>81</v>
      </c>
      <c r="E1556" s="61" t="s">
        <v>2867</v>
      </c>
      <c r="F1556" s="19" t="s">
        <v>590</v>
      </c>
      <c r="G1556" s="10" t="s">
        <v>150</v>
      </c>
      <c r="H1556" s="10" t="s">
        <v>851</v>
      </c>
      <c r="I1556" s="62">
        <v>162</v>
      </c>
      <c r="J1556" s="10" t="s">
        <v>2374</v>
      </c>
      <c r="K1556" s="10" t="s">
        <v>847</v>
      </c>
      <c r="L1556" s="10" t="s">
        <v>2373</v>
      </c>
      <c r="M1556" s="10" t="s">
        <v>2372</v>
      </c>
      <c r="N1556" s="10" t="s">
        <v>2373</v>
      </c>
      <c r="O1556" s="10"/>
    </row>
    <row r="1557" spans="1:15" ht="18" customHeight="1" x14ac:dyDescent="0.3">
      <c r="A1557" s="24">
        <v>1556</v>
      </c>
      <c r="B1557" s="10" t="s">
        <v>51</v>
      </c>
      <c r="C1557" s="10" t="s">
        <v>53</v>
      </c>
      <c r="D1557" s="62">
        <v>81</v>
      </c>
      <c r="E1557" s="61" t="s">
        <v>2867</v>
      </c>
      <c r="F1557" s="19" t="s">
        <v>590</v>
      </c>
      <c r="G1557" s="10" t="s">
        <v>150</v>
      </c>
      <c r="H1557" s="10" t="s">
        <v>852</v>
      </c>
      <c r="I1557" s="62">
        <v>156</v>
      </c>
      <c r="J1557" s="10" t="s">
        <v>2374</v>
      </c>
      <c r="K1557" s="10" t="s">
        <v>847</v>
      </c>
      <c r="L1557" s="10" t="s">
        <v>2373</v>
      </c>
      <c r="M1557" s="10" t="s">
        <v>2372</v>
      </c>
      <c r="N1557" s="10" t="s">
        <v>2373</v>
      </c>
      <c r="O1557" s="10"/>
    </row>
    <row r="1558" spans="1:15" ht="18" customHeight="1" x14ac:dyDescent="0.3">
      <c r="A1558" s="24">
        <v>1557</v>
      </c>
      <c r="B1558" s="10" t="s">
        <v>51</v>
      </c>
      <c r="C1558" s="10" t="s">
        <v>53</v>
      </c>
      <c r="D1558" s="62">
        <v>81</v>
      </c>
      <c r="E1558" s="61" t="s">
        <v>2867</v>
      </c>
      <c r="F1558" s="19" t="s">
        <v>590</v>
      </c>
      <c r="G1558" s="10" t="s">
        <v>150</v>
      </c>
      <c r="H1558" s="10" t="s">
        <v>853</v>
      </c>
      <c r="I1558" s="62">
        <v>180</v>
      </c>
      <c r="J1558" s="10" t="s">
        <v>2372</v>
      </c>
      <c r="K1558" s="10" t="s">
        <v>847</v>
      </c>
      <c r="L1558" s="10" t="s">
        <v>2373</v>
      </c>
      <c r="M1558" s="10" t="s">
        <v>2372</v>
      </c>
      <c r="N1558" s="10" t="s">
        <v>2373</v>
      </c>
      <c r="O1558" s="10"/>
    </row>
    <row r="1559" spans="1:15" ht="18" customHeight="1" x14ac:dyDescent="0.3">
      <c r="A1559" s="24">
        <v>1558</v>
      </c>
      <c r="B1559" s="10" t="s">
        <v>51</v>
      </c>
      <c r="C1559" s="10" t="s">
        <v>53</v>
      </c>
      <c r="D1559" s="62">
        <v>81</v>
      </c>
      <c r="E1559" s="61" t="s">
        <v>2867</v>
      </c>
      <c r="F1559" s="19" t="s">
        <v>590</v>
      </c>
      <c r="G1559" s="10" t="s">
        <v>150</v>
      </c>
      <c r="H1559" s="10" t="s">
        <v>854</v>
      </c>
      <c r="I1559" s="62">
        <v>149</v>
      </c>
      <c r="J1559" s="10" t="s">
        <v>2374</v>
      </c>
      <c r="K1559" s="10" t="s">
        <v>847</v>
      </c>
      <c r="L1559" s="10" t="s">
        <v>2373</v>
      </c>
      <c r="M1559" s="10" t="s">
        <v>2372</v>
      </c>
      <c r="N1559" s="10" t="s">
        <v>2373</v>
      </c>
      <c r="O1559" s="10"/>
    </row>
    <row r="1560" spans="1:15" ht="18" customHeight="1" x14ac:dyDescent="0.3">
      <c r="A1560" s="24">
        <v>1559</v>
      </c>
      <c r="B1560" s="99" t="s">
        <v>51</v>
      </c>
      <c r="C1560" s="99" t="s">
        <v>53</v>
      </c>
      <c r="D1560" s="99">
        <v>81</v>
      </c>
      <c r="E1560" s="30" t="s">
        <v>2777</v>
      </c>
      <c r="F1560" s="30" t="s">
        <v>1121</v>
      </c>
      <c r="G1560" s="99" t="s">
        <v>150</v>
      </c>
      <c r="H1560" s="10" t="s">
        <v>2995</v>
      </c>
      <c r="I1560" s="62">
        <v>241</v>
      </c>
      <c r="J1560" s="8" t="s">
        <v>3033</v>
      </c>
      <c r="K1560" s="10" t="s">
        <v>2994</v>
      </c>
      <c r="L1560" s="10" t="s">
        <v>820</v>
      </c>
      <c r="M1560" s="10" t="s">
        <v>884</v>
      </c>
      <c r="N1560" s="10" t="s">
        <v>820</v>
      </c>
      <c r="O1560" s="10"/>
    </row>
    <row r="1561" spans="1:15" ht="18" customHeight="1" x14ac:dyDescent="0.3">
      <c r="A1561" s="24">
        <v>1560</v>
      </c>
      <c r="B1561" s="99" t="s">
        <v>51</v>
      </c>
      <c r="C1561" s="99" t="s">
        <v>53</v>
      </c>
      <c r="D1561" s="99">
        <v>81</v>
      </c>
      <c r="E1561" s="30" t="s">
        <v>2777</v>
      </c>
      <c r="F1561" s="30" t="s">
        <v>1121</v>
      </c>
      <c r="G1561" s="99" t="s">
        <v>150</v>
      </c>
      <c r="H1561" s="10" t="s">
        <v>2996</v>
      </c>
      <c r="I1561" s="62">
        <v>234</v>
      </c>
      <c r="J1561" s="8" t="s">
        <v>3033</v>
      </c>
      <c r="K1561" s="10" t="s">
        <v>2994</v>
      </c>
      <c r="L1561" s="10" t="s">
        <v>820</v>
      </c>
      <c r="M1561" s="10" t="s">
        <v>884</v>
      </c>
      <c r="N1561" s="10" t="s">
        <v>820</v>
      </c>
      <c r="O1561" s="10"/>
    </row>
    <row r="1562" spans="1:15" ht="18" customHeight="1" x14ac:dyDescent="0.3">
      <c r="A1562" s="24">
        <v>1561</v>
      </c>
      <c r="B1562" s="99" t="s">
        <v>51</v>
      </c>
      <c r="C1562" s="99" t="s">
        <v>53</v>
      </c>
      <c r="D1562" s="99">
        <v>81</v>
      </c>
      <c r="E1562" s="30" t="s">
        <v>2777</v>
      </c>
      <c r="F1562" s="30" t="s">
        <v>1121</v>
      </c>
      <c r="G1562" s="99" t="s">
        <v>150</v>
      </c>
      <c r="H1562" s="10" t="s">
        <v>3006</v>
      </c>
      <c r="I1562" s="62">
        <v>136</v>
      </c>
      <c r="J1562" s="10" t="s">
        <v>2994</v>
      </c>
      <c r="K1562" s="10" t="s">
        <v>2994</v>
      </c>
      <c r="L1562" s="10" t="s">
        <v>820</v>
      </c>
      <c r="M1562" s="10" t="s">
        <v>884</v>
      </c>
      <c r="N1562" s="10" t="s">
        <v>820</v>
      </c>
      <c r="O1562" s="10"/>
    </row>
    <row r="1563" spans="1:15" ht="18" customHeight="1" x14ac:dyDescent="0.3">
      <c r="A1563" s="24">
        <v>1562</v>
      </c>
      <c r="B1563" s="99" t="s">
        <v>51</v>
      </c>
      <c r="C1563" s="99" t="s">
        <v>53</v>
      </c>
      <c r="D1563" s="99">
        <v>81</v>
      </c>
      <c r="E1563" s="30" t="s">
        <v>2777</v>
      </c>
      <c r="F1563" s="30" t="s">
        <v>1121</v>
      </c>
      <c r="G1563" s="99" t="s">
        <v>150</v>
      </c>
      <c r="H1563" s="10" t="s">
        <v>3007</v>
      </c>
      <c r="I1563" s="62">
        <v>136</v>
      </c>
      <c r="J1563" s="8" t="s">
        <v>3033</v>
      </c>
      <c r="K1563" s="10" t="s">
        <v>2994</v>
      </c>
      <c r="L1563" s="10" t="s">
        <v>820</v>
      </c>
      <c r="M1563" s="10" t="s">
        <v>884</v>
      </c>
      <c r="N1563" s="10" t="s">
        <v>820</v>
      </c>
      <c r="O1563" s="10"/>
    </row>
    <row r="1564" spans="1:15" ht="18" customHeight="1" x14ac:dyDescent="0.3">
      <c r="A1564" s="24">
        <v>1563</v>
      </c>
      <c r="B1564" s="99" t="s">
        <v>51</v>
      </c>
      <c r="C1564" s="99" t="s">
        <v>53</v>
      </c>
      <c r="D1564" s="99">
        <v>81</v>
      </c>
      <c r="E1564" s="30" t="s">
        <v>2777</v>
      </c>
      <c r="F1564" s="30" t="s">
        <v>1121</v>
      </c>
      <c r="G1564" s="99" t="s">
        <v>150</v>
      </c>
      <c r="H1564" s="10" t="s">
        <v>3009</v>
      </c>
      <c r="I1564" s="62">
        <v>234</v>
      </c>
      <c r="J1564" s="8" t="s">
        <v>3033</v>
      </c>
      <c r="K1564" s="10" t="s">
        <v>2994</v>
      </c>
      <c r="L1564" s="10" t="s">
        <v>820</v>
      </c>
      <c r="M1564" s="10" t="s">
        <v>884</v>
      </c>
      <c r="N1564" s="10" t="s">
        <v>820</v>
      </c>
      <c r="O1564" s="10"/>
    </row>
    <row r="1565" spans="1:15" ht="18" customHeight="1" x14ac:dyDescent="0.3">
      <c r="A1565" s="24">
        <v>1564</v>
      </c>
      <c r="B1565" s="99" t="s">
        <v>51</v>
      </c>
      <c r="C1565" s="99" t="s">
        <v>53</v>
      </c>
      <c r="D1565" s="99">
        <v>81</v>
      </c>
      <c r="E1565" s="30" t="s">
        <v>2777</v>
      </c>
      <c r="F1565" s="30" t="s">
        <v>1121</v>
      </c>
      <c r="G1565" s="99" t="s">
        <v>150</v>
      </c>
      <c r="H1565" s="10" t="s">
        <v>3008</v>
      </c>
      <c r="I1565" s="62">
        <v>229</v>
      </c>
      <c r="J1565" s="10" t="s">
        <v>2994</v>
      </c>
      <c r="K1565" s="8" t="s">
        <v>3033</v>
      </c>
      <c r="L1565" s="10" t="s">
        <v>3038</v>
      </c>
      <c r="M1565" s="10" t="s">
        <v>884</v>
      </c>
      <c r="N1565" s="10" t="s">
        <v>820</v>
      </c>
      <c r="O1565" s="10"/>
    </row>
    <row r="1566" spans="1:15" ht="18" customHeight="1" x14ac:dyDescent="0.3">
      <c r="A1566" s="24">
        <v>1565</v>
      </c>
      <c r="B1566" s="99" t="s">
        <v>51</v>
      </c>
      <c r="C1566" s="99" t="s">
        <v>53</v>
      </c>
      <c r="D1566" s="99">
        <v>81</v>
      </c>
      <c r="E1566" s="30" t="s">
        <v>2777</v>
      </c>
      <c r="F1566" s="30" t="s">
        <v>1121</v>
      </c>
      <c r="G1566" s="99" t="s">
        <v>150</v>
      </c>
      <c r="H1566" s="10" t="s">
        <v>3027</v>
      </c>
      <c r="I1566" s="62">
        <v>110</v>
      </c>
      <c r="J1566" s="8" t="s">
        <v>3033</v>
      </c>
      <c r="K1566" s="10" t="s">
        <v>2994</v>
      </c>
      <c r="L1566" s="10" t="s">
        <v>820</v>
      </c>
      <c r="M1566" s="10" t="s">
        <v>884</v>
      </c>
      <c r="N1566" s="10" t="s">
        <v>820</v>
      </c>
      <c r="O1566" s="10"/>
    </row>
    <row r="1567" spans="1:15" ht="18" customHeight="1" x14ac:dyDescent="0.3">
      <c r="A1567" s="24">
        <v>1566</v>
      </c>
      <c r="B1567" s="99" t="s">
        <v>51</v>
      </c>
      <c r="C1567" s="99" t="s">
        <v>53</v>
      </c>
      <c r="D1567" s="99">
        <v>81</v>
      </c>
      <c r="E1567" s="30" t="s">
        <v>2777</v>
      </c>
      <c r="F1567" s="30" t="s">
        <v>1121</v>
      </c>
      <c r="G1567" s="99" t="s">
        <v>150</v>
      </c>
      <c r="H1567" s="10" t="s">
        <v>3034</v>
      </c>
      <c r="I1567" s="62">
        <v>110</v>
      </c>
      <c r="J1567" s="10" t="s">
        <v>2994</v>
      </c>
      <c r="K1567" s="10" t="s">
        <v>2994</v>
      </c>
      <c r="L1567" s="10" t="s">
        <v>820</v>
      </c>
      <c r="M1567" s="10" t="s">
        <v>860</v>
      </c>
      <c r="N1567" s="10" t="s">
        <v>3037</v>
      </c>
      <c r="O1567" s="10"/>
    </row>
    <row r="1568" spans="1:15" ht="18" customHeight="1" x14ac:dyDescent="0.3">
      <c r="A1568" s="24">
        <v>1567</v>
      </c>
      <c r="B1568" s="99" t="s">
        <v>51</v>
      </c>
      <c r="C1568" s="99" t="s">
        <v>53</v>
      </c>
      <c r="D1568" s="99">
        <v>81</v>
      </c>
      <c r="E1568" s="30" t="s">
        <v>2777</v>
      </c>
      <c r="F1568" s="30" t="s">
        <v>1121</v>
      </c>
      <c r="G1568" s="99" t="s">
        <v>150</v>
      </c>
      <c r="H1568" s="10" t="s">
        <v>3035</v>
      </c>
      <c r="I1568" s="62">
        <v>110</v>
      </c>
      <c r="J1568" s="10" t="s">
        <v>2994</v>
      </c>
      <c r="K1568" s="10" t="s">
        <v>2994</v>
      </c>
      <c r="L1568" s="10" t="s">
        <v>820</v>
      </c>
      <c r="M1568" s="10" t="s">
        <v>884</v>
      </c>
      <c r="N1568" s="10" t="s">
        <v>820</v>
      </c>
      <c r="O1568" s="10"/>
    </row>
    <row r="1569" spans="1:15" ht="18" customHeight="1" x14ac:dyDescent="0.3">
      <c r="A1569" s="24">
        <v>1568</v>
      </c>
      <c r="B1569" s="99" t="s">
        <v>51</v>
      </c>
      <c r="C1569" s="99" t="s">
        <v>53</v>
      </c>
      <c r="D1569" s="99">
        <v>81</v>
      </c>
      <c r="E1569" s="30" t="s">
        <v>2777</v>
      </c>
      <c r="F1569" s="30" t="s">
        <v>1121</v>
      </c>
      <c r="G1569" s="99" t="s">
        <v>150</v>
      </c>
      <c r="H1569" s="10" t="s">
        <v>3036</v>
      </c>
      <c r="I1569" s="62">
        <v>30</v>
      </c>
      <c r="J1569" s="10" t="s">
        <v>2994</v>
      </c>
      <c r="K1569" s="8" t="s">
        <v>3033</v>
      </c>
      <c r="L1569" s="10" t="s">
        <v>3039</v>
      </c>
      <c r="M1569" s="10" t="s">
        <v>884</v>
      </c>
      <c r="N1569" s="10" t="s">
        <v>820</v>
      </c>
      <c r="O1569" s="10"/>
    </row>
    <row r="1570" spans="1:15" ht="18" customHeight="1" x14ac:dyDescent="0.3">
      <c r="A1570" s="24">
        <v>1569</v>
      </c>
      <c r="B1570" s="10" t="s">
        <v>51</v>
      </c>
      <c r="C1570" s="10" t="s">
        <v>53</v>
      </c>
      <c r="D1570" s="62">
        <v>81</v>
      </c>
      <c r="E1570" s="61" t="s">
        <v>2868</v>
      </c>
      <c r="F1570" s="19" t="s">
        <v>591</v>
      </c>
      <c r="G1570" s="10" t="s">
        <v>150</v>
      </c>
      <c r="H1570" s="10" t="s">
        <v>845</v>
      </c>
      <c r="I1570" s="62">
        <v>206</v>
      </c>
      <c r="J1570" s="10" t="s">
        <v>2374</v>
      </c>
      <c r="K1570" s="10" t="s">
        <v>847</v>
      </c>
      <c r="L1570" s="10" t="s">
        <v>2373</v>
      </c>
      <c r="M1570" s="10" t="s">
        <v>2372</v>
      </c>
      <c r="N1570" s="10" t="s">
        <v>2373</v>
      </c>
      <c r="O1570" s="10"/>
    </row>
    <row r="1571" spans="1:15" ht="18" customHeight="1" x14ac:dyDescent="0.3">
      <c r="A1571" s="24">
        <v>1570</v>
      </c>
      <c r="B1571" s="10" t="s">
        <v>51</v>
      </c>
      <c r="C1571" s="10" t="s">
        <v>53</v>
      </c>
      <c r="D1571" s="62">
        <v>81</v>
      </c>
      <c r="E1571" s="61" t="s">
        <v>2868</v>
      </c>
      <c r="F1571" s="19" t="s">
        <v>591</v>
      </c>
      <c r="G1571" s="10" t="s">
        <v>150</v>
      </c>
      <c r="H1571" s="10" t="s">
        <v>848</v>
      </c>
      <c r="I1571" s="62">
        <v>214</v>
      </c>
      <c r="J1571" s="10" t="s">
        <v>2374</v>
      </c>
      <c r="K1571" s="10" t="s">
        <v>846</v>
      </c>
      <c r="L1571" s="10" t="s">
        <v>985</v>
      </c>
      <c r="M1571" s="10" t="s">
        <v>2372</v>
      </c>
      <c r="N1571" s="10" t="s">
        <v>2373</v>
      </c>
      <c r="O1571" s="10"/>
    </row>
    <row r="1572" spans="1:15" ht="18" customHeight="1" x14ac:dyDescent="0.3">
      <c r="A1572" s="24">
        <v>1571</v>
      </c>
      <c r="B1572" s="10" t="s">
        <v>51</v>
      </c>
      <c r="C1572" s="10" t="s">
        <v>53</v>
      </c>
      <c r="D1572" s="62">
        <v>81</v>
      </c>
      <c r="E1572" s="61" t="s">
        <v>2868</v>
      </c>
      <c r="F1572" s="19" t="s">
        <v>591</v>
      </c>
      <c r="G1572" s="10" t="s">
        <v>150</v>
      </c>
      <c r="H1572" s="10" t="s">
        <v>849</v>
      </c>
      <c r="I1572" s="62">
        <v>203</v>
      </c>
      <c r="J1572" s="10" t="s">
        <v>2372</v>
      </c>
      <c r="K1572" s="10" t="s">
        <v>847</v>
      </c>
      <c r="L1572" s="10" t="s">
        <v>2373</v>
      </c>
      <c r="M1572" s="10" t="s">
        <v>2372</v>
      </c>
      <c r="N1572" s="10" t="s">
        <v>2373</v>
      </c>
      <c r="O1572" s="10"/>
    </row>
    <row r="1573" spans="1:15" ht="18" customHeight="1" x14ac:dyDescent="0.3">
      <c r="A1573" s="24">
        <v>1572</v>
      </c>
      <c r="B1573" s="10" t="s">
        <v>51</v>
      </c>
      <c r="C1573" s="10" t="s">
        <v>53</v>
      </c>
      <c r="D1573" s="62">
        <v>81</v>
      </c>
      <c r="E1573" s="61" t="s">
        <v>2868</v>
      </c>
      <c r="F1573" s="19" t="s">
        <v>591</v>
      </c>
      <c r="G1573" s="10" t="s">
        <v>150</v>
      </c>
      <c r="H1573" s="10" t="s">
        <v>850</v>
      </c>
      <c r="I1573" s="62">
        <v>180</v>
      </c>
      <c r="J1573" s="10" t="s">
        <v>2372</v>
      </c>
      <c r="K1573" s="10" t="s">
        <v>847</v>
      </c>
      <c r="L1573" s="10" t="s">
        <v>2373</v>
      </c>
      <c r="M1573" s="10" t="s">
        <v>2372</v>
      </c>
      <c r="N1573" s="10" t="s">
        <v>2373</v>
      </c>
      <c r="O1573" s="10"/>
    </row>
    <row r="1574" spans="1:15" ht="18" customHeight="1" x14ac:dyDescent="0.3">
      <c r="A1574" s="24">
        <v>1573</v>
      </c>
      <c r="B1574" s="10" t="s">
        <v>51</v>
      </c>
      <c r="C1574" s="10" t="s">
        <v>53</v>
      </c>
      <c r="D1574" s="62">
        <v>81</v>
      </c>
      <c r="E1574" s="61" t="s">
        <v>2868</v>
      </c>
      <c r="F1574" s="19" t="s">
        <v>591</v>
      </c>
      <c r="G1574" s="10" t="s">
        <v>150</v>
      </c>
      <c r="H1574" s="10" t="s">
        <v>2480</v>
      </c>
      <c r="I1574" s="62">
        <v>34</v>
      </c>
      <c r="J1574" s="10" t="s">
        <v>2372</v>
      </c>
      <c r="K1574" s="10" t="s">
        <v>2374</v>
      </c>
      <c r="L1574" s="10" t="s">
        <v>2480</v>
      </c>
      <c r="M1574" s="10" t="s">
        <v>2372</v>
      </c>
      <c r="N1574" s="10" t="s">
        <v>2373</v>
      </c>
      <c r="O1574" s="10"/>
    </row>
    <row r="1575" spans="1:15" ht="18" customHeight="1" x14ac:dyDescent="0.3">
      <c r="A1575" s="24">
        <v>1574</v>
      </c>
      <c r="B1575" s="10" t="s">
        <v>51</v>
      </c>
      <c r="C1575" s="10" t="s">
        <v>53</v>
      </c>
      <c r="D1575" s="62">
        <v>81</v>
      </c>
      <c r="E1575" s="61" t="s">
        <v>2868</v>
      </c>
      <c r="F1575" s="19" t="s">
        <v>591</v>
      </c>
      <c r="G1575" s="10" t="s">
        <v>150</v>
      </c>
      <c r="H1575" s="10" t="s">
        <v>2410</v>
      </c>
      <c r="I1575" s="62">
        <v>148</v>
      </c>
      <c r="J1575" s="10" t="s">
        <v>2374</v>
      </c>
      <c r="K1575" s="10" t="s">
        <v>846</v>
      </c>
      <c r="L1575" s="10" t="s">
        <v>188</v>
      </c>
      <c r="M1575" s="10" t="s">
        <v>2372</v>
      </c>
      <c r="N1575" s="10" t="s">
        <v>2373</v>
      </c>
      <c r="O1575" s="10"/>
    </row>
    <row r="1576" spans="1:15" ht="18" customHeight="1" x14ac:dyDescent="0.3">
      <c r="A1576" s="24">
        <v>1575</v>
      </c>
      <c r="B1576" s="10" t="s">
        <v>51</v>
      </c>
      <c r="C1576" s="10" t="s">
        <v>53</v>
      </c>
      <c r="D1576" s="62">
        <v>81</v>
      </c>
      <c r="E1576" s="61" t="s">
        <v>2868</v>
      </c>
      <c r="F1576" s="19" t="s">
        <v>591</v>
      </c>
      <c r="G1576" s="10" t="s">
        <v>150</v>
      </c>
      <c r="H1576" s="10" t="s">
        <v>2413</v>
      </c>
      <c r="I1576" s="62">
        <v>297</v>
      </c>
      <c r="J1576" s="10" t="s">
        <v>2374</v>
      </c>
      <c r="K1576" s="10" t="s">
        <v>846</v>
      </c>
      <c r="L1576" s="10" t="s">
        <v>187</v>
      </c>
      <c r="M1576" s="10" t="s">
        <v>2372</v>
      </c>
      <c r="N1576" s="10" t="s">
        <v>2373</v>
      </c>
      <c r="O1576" s="10"/>
    </row>
    <row r="1577" spans="1:15" ht="18" customHeight="1" x14ac:dyDescent="0.3">
      <c r="A1577" s="24">
        <v>1576</v>
      </c>
      <c r="B1577" s="10" t="s">
        <v>51</v>
      </c>
      <c r="C1577" s="10" t="s">
        <v>53</v>
      </c>
      <c r="D1577" s="62">
        <v>81</v>
      </c>
      <c r="E1577" s="61" t="s">
        <v>265</v>
      </c>
      <c r="F1577" s="16" t="s">
        <v>595</v>
      </c>
      <c r="G1577" s="10" t="s">
        <v>150</v>
      </c>
      <c r="H1577" s="10" t="s">
        <v>845</v>
      </c>
      <c r="I1577" s="62">
        <v>118</v>
      </c>
      <c r="J1577" s="10" t="s">
        <v>2374</v>
      </c>
      <c r="K1577" s="10" t="s">
        <v>847</v>
      </c>
      <c r="L1577" s="10" t="s">
        <v>2373</v>
      </c>
      <c r="M1577" s="10" t="s">
        <v>2372</v>
      </c>
      <c r="N1577" s="10" t="s">
        <v>2373</v>
      </c>
      <c r="O1577" s="10"/>
    </row>
    <row r="1578" spans="1:15" ht="18" customHeight="1" x14ac:dyDescent="0.3">
      <c r="A1578" s="24">
        <v>1577</v>
      </c>
      <c r="B1578" s="10" t="s">
        <v>51</v>
      </c>
      <c r="C1578" s="10" t="s">
        <v>53</v>
      </c>
      <c r="D1578" s="62">
        <v>81</v>
      </c>
      <c r="E1578" s="61" t="s">
        <v>265</v>
      </c>
      <c r="F1578" s="16" t="s">
        <v>595</v>
      </c>
      <c r="G1578" s="10" t="s">
        <v>150</v>
      </c>
      <c r="H1578" s="10" t="s">
        <v>848</v>
      </c>
      <c r="I1578" s="62">
        <v>153</v>
      </c>
      <c r="J1578" s="10" t="s">
        <v>2372</v>
      </c>
      <c r="K1578" s="10" t="s">
        <v>847</v>
      </c>
      <c r="L1578" s="10" t="s">
        <v>2373</v>
      </c>
      <c r="M1578" s="10" t="s">
        <v>2372</v>
      </c>
      <c r="N1578" s="10" t="s">
        <v>2373</v>
      </c>
      <c r="O1578" s="10"/>
    </row>
    <row r="1579" spans="1:15" ht="18" customHeight="1" x14ac:dyDescent="0.3">
      <c r="A1579" s="24">
        <v>1578</v>
      </c>
      <c r="B1579" s="10" t="s">
        <v>51</v>
      </c>
      <c r="C1579" s="10" t="s">
        <v>53</v>
      </c>
      <c r="D1579" s="62">
        <v>81</v>
      </c>
      <c r="E1579" s="61" t="s">
        <v>265</v>
      </c>
      <c r="F1579" s="16" t="s">
        <v>595</v>
      </c>
      <c r="G1579" s="10" t="s">
        <v>150</v>
      </c>
      <c r="H1579" s="10" t="s">
        <v>849</v>
      </c>
      <c r="I1579" s="62">
        <v>110</v>
      </c>
      <c r="J1579" s="10" t="s">
        <v>2372</v>
      </c>
      <c r="K1579" s="10" t="s">
        <v>847</v>
      </c>
      <c r="L1579" s="10" t="s">
        <v>2373</v>
      </c>
      <c r="M1579" s="10" t="s">
        <v>2372</v>
      </c>
      <c r="N1579" s="10" t="s">
        <v>2373</v>
      </c>
      <c r="O1579" s="10"/>
    </row>
    <row r="1580" spans="1:15" ht="18" customHeight="1" x14ac:dyDescent="0.3">
      <c r="A1580" s="24">
        <v>1579</v>
      </c>
      <c r="B1580" s="10" t="s">
        <v>51</v>
      </c>
      <c r="C1580" s="10" t="s">
        <v>53</v>
      </c>
      <c r="D1580" s="62">
        <v>81</v>
      </c>
      <c r="E1580" s="61" t="s">
        <v>265</v>
      </c>
      <c r="F1580" s="16" t="s">
        <v>595</v>
      </c>
      <c r="G1580" s="10" t="s">
        <v>150</v>
      </c>
      <c r="H1580" s="10" t="s">
        <v>850</v>
      </c>
      <c r="I1580" s="62">
        <v>155</v>
      </c>
      <c r="J1580" s="10" t="s">
        <v>2374</v>
      </c>
      <c r="K1580" s="10" t="s">
        <v>847</v>
      </c>
      <c r="L1580" s="10" t="s">
        <v>2373</v>
      </c>
      <c r="M1580" s="10" t="s">
        <v>2372</v>
      </c>
      <c r="N1580" s="10" t="s">
        <v>2373</v>
      </c>
      <c r="O1580" s="10"/>
    </row>
    <row r="1581" spans="1:15" ht="18" customHeight="1" x14ac:dyDescent="0.3">
      <c r="A1581" s="24">
        <v>1580</v>
      </c>
      <c r="B1581" s="10" t="s">
        <v>51</v>
      </c>
      <c r="C1581" s="10" t="s">
        <v>53</v>
      </c>
      <c r="D1581" s="62">
        <v>81</v>
      </c>
      <c r="E1581" s="61" t="s">
        <v>265</v>
      </c>
      <c r="F1581" s="16" t="s">
        <v>595</v>
      </c>
      <c r="G1581" s="10" t="s">
        <v>150</v>
      </c>
      <c r="H1581" s="10" t="s">
        <v>2390</v>
      </c>
      <c r="I1581" s="62">
        <v>227</v>
      </c>
      <c r="J1581" s="10" t="s">
        <v>2374</v>
      </c>
      <c r="K1581" s="10" t="s">
        <v>2372</v>
      </c>
      <c r="L1581" s="10" t="s">
        <v>2373</v>
      </c>
      <c r="M1581" s="10" t="s">
        <v>2372</v>
      </c>
      <c r="N1581" s="10" t="s">
        <v>2373</v>
      </c>
      <c r="O1581" s="10"/>
    </row>
    <row r="1582" spans="1:15" ht="18" customHeight="1" x14ac:dyDescent="0.3">
      <c r="A1582" s="24">
        <v>1581</v>
      </c>
      <c r="B1582" s="10" t="s">
        <v>51</v>
      </c>
      <c r="C1582" s="10" t="s">
        <v>53</v>
      </c>
      <c r="D1582" s="62">
        <v>81</v>
      </c>
      <c r="E1582" s="61" t="s">
        <v>265</v>
      </c>
      <c r="F1582" s="16" t="s">
        <v>2583</v>
      </c>
      <c r="G1582" s="10" t="s">
        <v>150</v>
      </c>
      <c r="H1582" s="10" t="s">
        <v>1200</v>
      </c>
      <c r="I1582" s="62">
        <v>22</v>
      </c>
      <c r="J1582" s="10" t="s">
        <v>2372</v>
      </c>
      <c r="K1582" s="10" t="s">
        <v>846</v>
      </c>
      <c r="L1582" s="10" t="s">
        <v>2422</v>
      </c>
      <c r="M1582" s="10" t="s">
        <v>2372</v>
      </c>
      <c r="N1582" s="10" t="s">
        <v>2373</v>
      </c>
      <c r="O1582" s="10"/>
    </row>
    <row r="1583" spans="1:15" ht="18" customHeight="1" x14ac:dyDescent="0.3">
      <c r="A1583" s="24">
        <v>1582</v>
      </c>
      <c r="B1583" s="10" t="s">
        <v>51</v>
      </c>
      <c r="C1583" s="10" t="s">
        <v>53</v>
      </c>
      <c r="D1583" s="62">
        <v>81</v>
      </c>
      <c r="E1583" s="61" t="s">
        <v>228</v>
      </c>
      <c r="F1583" s="16" t="s">
        <v>593</v>
      </c>
      <c r="G1583" s="10" t="s">
        <v>150</v>
      </c>
      <c r="H1583" s="10" t="s">
        <v>845</v>
      </c>
      <c r="I1583" s="62">
        <v>185</v>
      </c>
      <c r="J1583" s="8" t="s">
        <v>2372</v>
      </c>
      <c r="K1583" s="10" t="s">
        <v>847</v>
      </c>
      <c r="L1583" s="10" t="s">
        <v>2373</v>
      </c>
      <c r="M1583" s="10" t="s">
        <v>2372</v>
      </c>
      <c r="N1583" s="10" t="s">
        <v>2373</v>
      </c>
      <c r="O1583" s="10"/>
    </row>
    <row r="1584" spans="1:15" ht="18" customHeight="1" x14ac:dyDescent="0.3">
      <c r="A1584" s="24">
        <v>1583</v>
      </c>
      <c r="B1584" s="10" t="s">
        <v>51</v>
      </c>
      <c r="C1584" s="10" t="s">
        <v>53</v>
      </c>
      <c r="D1584" s="62">
        <v>81</v>
      </c>
      <c r="E1584" s="61" t="s">
        <v>228</v>
      </c>
      <c r="F1584" s="16" t="s">
        <v>593</v>
      </c>
      <c r="G1584" s="10" t="s">
        <v>150</v>
      </c>
      <c r="H1584" s="10" t="s">
        <v>848</v>
      </c>
      <c r="I1584" s="62">
        <v>106</v>
      </c>
      <c r="J1584" s="8" t="s">
        <v>2372</v>
      </c>
      <c r="K1584" s="10" t="s">
        <v>847</v>
      </c>
      <c r="L1584" s="10" t="s">
        <v>2373</v>
      </c>
      <c r="M1584" s="10" t="s">
        <v>2372</v>
      </c>
      <c r="N1584" s="10" t="s">
        <v>2373</v>
      </c>
      <c r="O1584" s="10"/>
    </row>
    <row r="1585" spans="1:15" ht="18" customHeight="1" x14ac:dyDescent="0.3">
      <c r="A1585" s="24">
        <v>1584</v>
      </c>
      <c r="B1585" s="10" t="s">
        <v>51</v>
      </c>
      <c r="C1585" s="10" t="s">
        <v>53</v>
      </c>
      <c r="D1585" s="62">
        <v>81</v>
      </c>
      <c r="E1585" s="61" t="s">
        <v>228</v>
      </c>
      <c r="F1585" s="16" t="s">
        <v>593</v>
      </c>
      <c r="G1585" s="10" t="s">
        <v>150</v>
      </c>
      <c r="H1585" s="10" t="s">
        <v>849</v>
      </c>
      <c r="I1585" s="62">
        <v>196</v>
      </c>
      <c r="J1585" s="8" t="s">
        <v>846</v>
      </c>
      <c r="K1585" s="10" t="s">
        <v>847</v>
      </c>
      <c r="L1585" s="10" t="s">
        <v>2373</v>
      </c>
      <c r="M1585" s="10" t="s">
        <v>2372</v>
      </c>
      <c r="N1585" s="10" t="s">
        <v>2373</v>
      </c>
      <c r="O1585" s="10"/>
    </row>
    <row r="1586" spans="1:15" ht="18" customHeight="1" x14ac:dyDescent="0.3">
      <c r="A1586" s="24">
        <v>1585</v>
      </c>
      <c r="B1586" s="10" t="s">
        <v>51</v>
      </c>
      <c r="C1586" s="10" t="s">
        <v>53</v>
      </c>
      <c r="D1586" s="62">
        <v>81</v>
      </c>
      <c r="E1586" s="61" t="s">
        <v>228</v>
      </c>
      <c r="F1586" s="16" t="s">
        <v>593</v>
      </c>
      <c r="G1586" s="10" t="s">
        <v>150</v>
      </c>
      <c r="H1586" s="10" t="s">
        <v>850</v>
      </c>
      <c r="I1586" s="62">
        <v>106</v>
      </c>
      <c r="J1586" s="8" t="s">
        <v>2372</v>
      </c>
      <c r="K1586" s="10" t="s">
        <v>847</v>
      </c>
      <c r="L1586" s="10" t="s">
        <v>2373</v>
      </c>
      <c r="M1586" s="10" t="s">
        <v>2372</v>
      </c>
      <c r="N1586" s="10" t="s">
        <v>2373</v>
      </c>
      <c r="O1586" s="10"/>
    </row>
    <row r="1587" spans="1:15" ht="18" customHeight="1" x14ac:dyDescent="0.3">
      <c r="A1587" s="24">
        <v>1586</v>
      </c>
      <c r="B1587" s="10" t="s">
        <v>51</v>
      </c>
      <c r="C1587" s="10" t="s">
        <v>53</v>
      </c>
      <c r="D1587" s="62">
        <v>81</v>
      </c>
      <c r="E1587" s="61" t="s">
        <v>228</v>
      </c>
      <c r="F1587" s="16" t="s">
        <v>593</v>
      </c>
      <c r="G1587" s="10" t="s">
        <v>150</v>
      </c>
      <c r="H1587" s="10" t="s">
        <v>851</v>
      </c>
      <c r="I1587" s="62">
        <v>158</v>
      </c>
      <c r="J1587" s="8" t="s">
        <v>2372</v>
      </c>
      <c r="K1587" s="10" t="s">
        <v>847</v>
      </c>
      <c r="L1587" s="10" t="s">
        <v>2373</v>
      </c>
      <c r="M1587" s="10" t="s">
        <v>2372</v>
      </c>
      <c r="N1587" s="10" t="s">
        <v>2373</v>
      </c>
      <c r="O1587" s="10"/>
    </row>
    <row r="1588" spans="1:15" ht="18" customHeight="1" x14ac:dyDescent="0.3">
      <c r="A1588" s="24">
        <v>1587</v>
      </c>
      <c r="B1588" s="10" t="s">
        <v>51</v>
      </c>
      <c r="C1588" s="10" t="s">
        <v>53</v>
      </c>
      <c r="D1588" s="62">
        <v>81</v>
      </c>
      <c r="E1588" s="61" t="s">
        <v>228</v>
      </c>
      <c r="F1588" s="16" t="s">
        <v>593</v>
      </c>
      <c r="G1588" s="10" t="s">
        <v>150</v>
      </c>
      <c r="H1588" s="10" t="s">
        <v>852</v>
      </c>
      <c r="I1588" s="62">
        <v>265</v>
      </c>
      <c r="J1588" s="8" t="s">
        <v>846</v>
      </c>
      <c r="K1588" s="10" t="s">
        <v>847</v>
      </c>
      <c r="L1588" s="10" t="s">
        <v>2373</v>
      </c>
      <c r="M1588" s="10" t="s">
        <v>2372</v>
      </c>
      <c r="N1588" s="10" t="s">
        <v>2373</v>
      </c>
      <c r="O1588" s="10"/>
    </row>
    <row r="1589" spans="1:15" ht="18" customHeight="1" x14ac:dyDescent="0.3">
      <c r="A1589" s="24">
        <v>1588</v>
      </c>
      <c r="B1589" s="10" t="s">
        <v>51</v>
      </c>
      <c r="C1589" s="10" t="s">
        <v>53</v>
      </c>
      <c r="D1589" s="62">
        <v>81</v>
      </c>
      <c r="E1589" s="61" t="s">
        <v>228</v>
      </c>
      <c r="F1589" s="16" t="s">
        <v>593</v>
      </c>
      <c r="G1589" s="10" t="s">
        <v>150</v>
      </c>
      <c r="H1589" s="10" t="s">
        <v>853</v>
      </c>
      <c r="I1589" s="62">
        <v>83</v>
      </c>
      <c r="J1589" s="8" t="s">
        <v>2372</v>
      </c>
      <c r="K1589" s="10" t="s">
        <v>2374</v>
      </c>
      <c r="L1589" s="10" t="s">
        <v>2229</v>
      </c>
      <c r="M1589" s="10" t="s">
        <v>2372</v>
      </c>
      <c r="N1589" s="10" t="s">
        <v>2373</v>
      </c>
      <c r="O1589" s="10"/>
    </row>
    <row r="1590" spans="1:15" ht="18" customHeight="1" x14ac:dyDescent="0.3">
      <c r="A1590" s="24">
        <v>1589</v>
      </c>
      <c r="B1590" s="10" t="s">
        <v>51</v>
      </c>
      <c r="C1590" s="10" t="s">
        <v>53</v>
      </c>
      <c r="D1590" s="62">
        <v>81</v>
      </c>
      <c r="E1590" s="61" t="s">
        <v>228</v>
      </c>
      <c r="F1590" s="16" t="s">
        <v>593</v>
      </c>
      <c r="G1590" s="10" t="s">
        <v>150</v>
      </c>
      <c r="H1590" s="10" t="s">
        <v>854</v>
      </c>
      <c r="I1590" s="62">
        <v>98</v>
      </c>
      <c r="J1590" s="8" t="s">
        <v>846</v>
      </c>
      <c r="K1590" s="10" t="s">
        <v>847</v>
      </c>
      <c r="L1590" s="10" t="s">
        <v>2373</v>
      </c>
      <c r="M1590" s="10" t="s">
        <v>2372</v>
      </c>
      <c r="N1590" s="10" t="s">
        <v>2373</v>
      </c>
      <c r="O1590" s="10"/>
    </row>
    <row r="1591" spans="1:15" ht="18" customHeight="1" x14ac:dyDescent="0.3">
      <c r="A1591" s="24">
        <v>1590</v>
      </c>
      <c r="B1591" s="10" t="s">
        <v>51</v>
      </c>
      <c r="C1591" s="10" t="s">
        <v>53</v>
      </c>
      <c r="D1591" s="62">
        <v>81</v>
      </c>
      <c r="E1591" s="61" t="s">
        <v>228</v>
      </c>
      <c r="F1591" s="16" t="s">
        <v>593</v>
      </c>
      <c r="G1591" s="10" t="s">
        <v>150</v>
      </c>
      <c r="H1591" s="10" t="s">
        <v>855</v>
      </c>
      <c r="I1591" s="62">
        <v>37</v>
      </c>
      <c r="J1591" s="8" t="s">
        <v>846</v>
      </c>
      <c r="K1591" s="10" t="s">
        <v>2374</v>
      </c>
      <c r="L1591" s="10" t="s">
        <v>2229</v>
      </c>
      <c r="M1591" s="10" t="s">
        <v>2372</v>
      </c>
      <c r="N1591" s="10" t="s">
        <v>2373</v>
      </c>
      <c r="O1591" s="10"/>
    </row>
    <row r="1592" spans="1:15" ht="18" customHeight="1" x14ac:dyDescent="0.3">
      <c r="A1592" s="24">
        <v>1591</v>
      </c>
      <c r="B1592" s="10" t="s">
        <v>51</v>
      </c>
      <c r="C1592" s="10" t="s">
        <v>53</v>
      </c>
      <c r="D1592" s="62">
        <v>81</v>
      </c>
      <c r="E1592" s="61" t="s">
        <v>241</v>
      </c>
      <c r="F1592" s="16" t="s">
        <v>594</v>
      </c>
      <c r="G1592" s="10" t="s">
        <v>150</v>
      </c>
      <c r="H1592" s="10" t="s">
        <v>845</v>
      </c>
      <c r="I1592" s="177">
        <v>108</v>
      </c>
      <c r="J1592" s="8" t="s">
        <v>2372</v>
      </c>
      <c r="K1592" s="10" t="s">
        <v>847</v>
      </c>
      <c r="L1592" s="10" t="s">
        <v>2373</v>
      </c>
      <c r="M1592" s="10" t="s">
        <v>2372</v>
      </c>
      <c r="N1592" s="10" t="s">
        <v>2373</v>
      </c>
      <c r="O1592" s="10"/>
    </row>
    <row r="1593" spans="1:15" ht="18" customHeight="1" x14ac:dyDescent="0.3">
      <c r="A1593" s="24">
        <v>1592</v>
      </c>
      <c r="B1593" s="10" t="s">
        <v>51</v>
      </c>
      <c r="C1593" s="10" t="s">
        <v>53</v>
      </c>
      <c r="D1593" s="62">
        <v>81</v>
      </c>
      <c r="E1593" s="61" t="s">
        <v>241</v>
      </c>
      <c r="F1593" s="16" t="s">
        <v>594</v>
      </c>
      <c r="G1593" s="10" t="s">
        <v>150</v>
      </c>
      <c r="H1593" s="10" t="s">
        <v>848</v>
      </c>
      <c r="I1593" s="62">
        <v>302</v>
      </c>
      <c r="J1593" s="8" t="s">
        <v>2372</v>
      </c>
      <c r="K1593" s="10" t="s">
        <v>847</v>
      </c>
      <c r="L1593" s="10" t="s">
        <v>2373</v>
      </c>
      <c r="M1593" s="10" t="s">
        <v>2372</v>
      </c>
      <c r="N1593" s="10" t="s">
        <v>2373</v>
      </c>
      <c r="O1593" s="10"/>
    </row>
    <row r="1594" spans="1:15" ht="18" customHeight="1" x14ac:dyDescent="0.3">
      <c r="A1594" s="24">
        <v>1593</v>
      </c>
      <c r="B1594" s="10" t="s">
        <v>51</v>
      </c>
      <c r="C1594" s="10" t="s">
        <v>53</v>
      </c>
      <c r="D1594" s="62">
        <v>81</v>
      </c>
      <c r="E1594" s="61" t="s">
        <v>241</v>
      </c>
      <c r="F1594" s="16" t="s">
        <v>594</v>
      </c>
      <c r="G1594" s="10" t="s">
        <v>150</v>
      </c>
      <c r="H1594" s="10" t="s">
        <v>849</v>
      </c>
      <c r="I1594" s="62">
        <v>186</v>
      </c>
      <c r="J1594" s="8" t="s">
        <v>846</v>
      </c>
      <c r="K1594" s="10" t="s">
        <v>847</v>
      </c>
      <c r="L1594" s="10" t="s">
        <v>2373</v>
      </c>
      <c r="M1594" s="10" t="s">
        <v>2372</v>
      </c>
      <c r="N1594" s="10" t="s">
        <v>2373</v>
      </c>
      <c r="O1594" s="10"/>
    </row>
    <row r="1595" spans="1:15" ht="18" customHeight="1" x14ac:dyDescent="0.3">
      <c r="A1595" s="24">
        <v>1594</v>
      </c>
      <c r="B1595" s="10" t="s">
        <v>51</v>
      </c>
      <c r="C1595" s="10" t="s">
        <v>53</v>
      </c>
      <c r="D1595" s="62">
        <v>81</v>
      </c>
      <c r="E1595" s="61" t="s">
        <v>241</v>
      </c>
      <c r="F1595" s="16" t="s">
        <v>594</v>
      </c>
      <c r="G1595" s="10" t="s">
        <v>150</v>
      </c>
      <c r="H1595" s="10" t="s">
        <v>850</v>
      </c>
      <c r="I1595" s="62">
        <v>87</v>
      </c>
      <c r="J1595" s="8" t="s">
        <v>2372</v>
      </c>
      <c r="K1595" s="10" t="s">
        <v>847</v>
      </c>
      <c r="L1595" s="10" t="s">
        <v>2373</v>
      </c>
      <c r="M1595" s="10" t="s">
        <v>2372</v>
      </c>
      <c r="N1595" s="10" t="s">
        <v>2373</v>
      </c>
      <c r="O1595" s="10"/>
    </row>
    <row r="1596" spans="1:15" ht="18" customHeight="1" x14ac:dyDescent="0.3">
      <c r="A1596" s="24">
        <v>1595</v>
      </c>
      <c r="B1596" s="10" t="s">
        <v>51</v>
      </c>
      <c r="C1596" s="10" t="s">
        <v>53</v>
      </c>
      <c r="D1596" s="62">
        <v>81</v>
      </c>
      <c r="E1596" s="61" t="s">
        <v>241</v>
      </c>
      <c r="F1596" s="16" t="s">
        <v>594</v>
      </c>
      <c r="G1596" s="10" t="s">
        <v>150</v>
      </c>
      <c r="H1596" s="10" t="s">
        <v>851</v>
      </c>
      <c r="I1596" s="62">
        <v>105</v>
      </c>
      <c r="J1596" s="8" t="s">
        <v>2372</v>
      </c>
      <c r="K1596" s="10" t="s">
        <v>847</v>
      </c>
      <c r="L1596" s="10" t="s">
        <v>2373</v>
      </c>
      <c r="M1596" s="10" t="s">
        <v>2372</v>
      </c>
      <c r="N1596" s="10" t="s">
        <v>2373</v>
      </c>
      <c r="O1596" s="10"/>
    </row>
    <row r="1597" spans="1:15" ht="18" customHeight="1" x14ac:dyDescent="0.3">
      <c r="A1597" s="24">
        <v>1596</v>
      </c>
      <c r="B1597" s="10" t="s">
        <v>51</v>
      </c>
      <c r="C1597" s="10" t="s">
        <v>53</v>
      </c>
      <c r="D1597" s="62">
        <v>81</v>
      </c>
      <c r="E1597" s="61" t="s">
        <v>241</v>
      </c>
      <c r="F1597" s="16" t="s">
        <v>594</v>
      </c>
      <c r="G1597" s="10" t="s">
        <v>150</v>
      </c>
      <c r="H1597" s="10" t="s">
        <v>852</v>
      </c>
      <c r="I1597" s="62">
        <v>117</v>
      </c>
      <c r="J1597" s="8" t="s">
        <v>846</v>
      </c>
      <c r="K1597" s="10" t="s">
        <v>847</v>
      </c>
      <c r="L1597" s="10" t="s">
        <v>2373</v>
      </c>
      <c r="M1597" s="10" t="s">
        <v>2372</v>
      </c>
      <c r="N1597" s="10" t="s">
        <v>2373</v>
      </c>
      <c r="O1597" s="10"/>
    </row>
    <row r="1598" spans="1:15" ht="18" customHeight="1" x14ac:dyDescent="0.3">
      <c r="A1598" s="24">
        <v>1597</v>
      </c>
      <c r="B1598" s="10" t="s">
        <v>51</v>
      </c>
      <c r="C1598" s="10" t="s">
        <v>53</v>
      </c>
      <c r="D1598" s="62">
        <v>81</v>
      </c>
      <c r="E1598" s="61" t="s">
        <v>241</v>
      </c>
      <c r="F1598" s="16" t="s">
        <v>594</v>
      </c>
      <c r="G1598" s="10" t="s">
        <v>150</v>
      </c>
      <c r="H1598" s="10" t="s">
        <v>853</v>
      </c>
      <c r="I1598" s="62">
        <v>97</v>
      </c>
      <c r="J1598" s="8" t="s">
        <v>2372</v>
      </c>
      <c r="K1598" s="10" t="s">
        <v>847</v>
      </c>
      <c r="L1598" s="10" t="s">
        <v>2373</v>
      </c>
      <c r="M1598" s="10" t="s">
        <v>2372</v>
      </c>
      <c r="N1598" s="10" t="s">
        <v>2373</v>
      </c>
      <c r="O1598" s="10"/>
    </row>
    <row r="1599" spans="1:15" ht="18" customHeight="1" x14ac:dyDescent="0.3">
      <c r="A1599" s="24">
        <v>1598</v>
      </c>
      <c r="B1599" s="10" t="s">
        <v>51</v>
      </c>
      <c r="C1599" s="10" t="s">
        <v>53</v>
      </c>
      <c r="D1599" s="62">
        <v>81</v>
      </c>
      <c r="E1599" s="61" t="s">
        <v>1627</v>
      </c>
      <c r="F1599" s="44" t="s">
        <v>1628</v>
      </c>
      <c r="G1599" s="24" t="s">
        <v>1264</v>
      </c>
      <c r="H1599" s="10" t="s">
        <v>2385</v>
      </c>
      <c r="I1599" s="62">
        <v>188</v>
      </c>
      <c r="J1599" s="8" t="s">
        <v>2372</v>
      </c>
      <c r="K1599" s="10" t="s">
        <v>847</v>
      </c>
      <c r="L1599" s="10" t="s">
        <v>2373</v>
      </c>
      <c r="M1599" s="10" t="s">
        <v>2372</v>
      </c>
      <c r="N1599" s="10" t="s">
        <v>2373</v>
      </c>
      <c r="O1599" s="10"/>
    </row>
    <row r="1600" spans="1:15" ht="18" customHeight="1" x14ac:dyDescent="0.3">
      <c r="A1600" s="24">
        <v>1599</v>
      </c>
      <c r="B1600" s="10" t="s">
        <v>51</v>
      </c>
      <c r="C1600" s="10" t="s">
        <v>53</v>
      </c>
      <c r="D1600" s="62">
        <v>81</v>
      </c>
      <c r="E1600" s="61" t="s">
        <v>1627</v>
      </c>
      <c r="F1600" s="44" t="s">
        <v>1628</v>
      </c>
      <c r="G1600" s="24" t="s">
        <v>1264</v>
      </c>
      <c r="H1600" s="10" t="s">
        <v>2584</v>
      </c>
      <c r="I1600" s="62">
        <v>55</v>
      </c>
      <c r="J1600" s="8" t="s">
        <v>2372</v>
      </c>
      <c r="K1600" s="10" t="s">
        <v>2374</v>
      </c>
      <c r="L1600" s="10" t="s">
        <v>2229</v>
      </c>
      <c r="M1600" s="10" t="s">
        <v>2372</v>
      </c>
      <c r="N1600" s="10" t="s">
        <v>2373</v>
      </c>
      <c r="O1600" s="10"/>
    </row>
    <row r="1601" spans="1:15" ht="18" customHeight="1" x14ac:dyDescent="0.3">
      <c r="A1601" s="24">
        <v>1600</v>
      </c>
      <c r="B1601" s="10" t="s">
        <v>51</v>
      </c>
      <c r="C1601" s="10" t="s">
        <v>53</v>
      </c>
      <c r="D1601" s="62">
        <v>81</v>
      </c>
      <c r="E1601" s="61" t="s">
        <v>1627</v>
      </c>
      <c r="F1601" s="44" t="s">
        <v>1628</v>
      </c>
      <c r="G1601" s="24" t="s">
        <v>1264</v>
      </c>
      <c r="H1601" s="10" t="s">
        <v>2585</v>
      </c>
      <c r="I1601" s="62">
        <v>52</v>
      </c>
      <c r="J1601" s="8" t="s">
        <v>2372</v>
      </c>
      <c r="K1601" s="10" t="s">
        <v>2374</v>
      </c>
      <c r="L1601" s="10" t="s">
        <v>2229</v>
      </c>
      <c r="M1601" s="10" t="s">
        <v>2372</v>
      </c>
      <c r="N1601" s="10" t="s">
        <v>2373</v>
      </c>
      <c r="O1601" s="10"/>
    </row>
    <row r="1602" spans="1:15" ht="18" customHeight="1" x14ac:dyDescent="0.3">
      <c r="A1602" s="24">
        <v>1601</v>
      </c>
      <c r="B1602" s="10" t="s">
        <v>51</v>
      </c>
      <c r="C1602" s="10" t="s">
        <v>53</v>
      </c>
      <c r="D1602" s="62">
        <v>81</v>
      </c>
      <c r="E1602" s="61" t="s">
        <v>1627</v>
      </c>
      <c r="F1602" s="44" t="s">
        <v>1628</v>
      </c>
      <c r="G1602" s="24" t="s">
        <v>1264</v>
      </c>
      <c r="H1602" s="10" t="s">
        <v>2380</v>
      </c>
      <c r="I1602" s="62">
        <v>188</v>
      </c>
      <c r="J1602" s="8" t="s">
        <v>2372</v>
      </c>
      <c r="K1602" s="10" t="s">
        <v>847</v>
      </c>
      <c r="L1602" s="10" t="s">
        <v>2373</v>
      </c>
      <c r="M1602" s="10" t="s">
        <v>2372</v>
      </c>
      <c r="N1602" s="10" t="s">
        <v>2373</v>
      </c>
      <c r="O1602" s="10"/>
    </row>
    <row r="1603" spans="1:15" ht="18" customHeight="1" x14ac:dyDescent="0.3">
      <c r="A1603" s="24">
        <v>1602</v>
      </c>
      <c r="B1603" s="10" t="s">
        <v>51</v>
      </c>
      <c r="C1603" s="10" t="s">
        <v>53</v>
      </c>
      <c r="D1603" s="62">
        <v>81</v>
      </c>
      <c r="E1603" s="61" t="s">
        <v>1627</v>
      </c>
      <c r="F1603" s="44" t="s">
        <v>1628</v>
      </c>
      <c r="G1603" s="24" t="s">
        <v>1264</v>
      </c>
      <c r="H1603" s="10" t="s">
        <v>2390</v>
      </c>
      <c r="I1603" s="62">
        <v>140</v>
      </c>
      <c r="J1603" s="8" t="s">
        <v>2372</v>
      </c>
      <c r="K1603" s="10" t="s">
        <v>847</v>
      </c>
      <c r="L1603" s="10" t="s">
        <v>2373</v>
      </c>
      <c r="M1603" s="10" t="s">
        <v>2372</v>
      </c>
      <c r="N1603" s="10" t="s">
        <v>2373</v>
      </c>
      <c r="O1603" s="10"/>
    </row>
    <row r="1604" spans="1:15" ht="18" customHeight="1" x14ac:dyDescent="0.3">
      <c r="A1604" s="24">
        <v>1603</v>
      </c>
      <c r="B1604" s="10" t="s">
        <v>51</v>
      </c>
      <c r="C1604" s="10" t="s">
        <v>53</v>
      </c>
      <c r="D1604" s="62">
        <v>81</v>
      </c>
      <c r="E1604" s="61" t="s">
        <v>1627</v>
      </c>
      <c r="F1604" s="44" t="s">
        <v>1628</v>
      </c>
      <c r="G1604" s="24" t="s">
        <v>1264</v>
      </c>
      <c r="H1604" s="10" t="s">
        <v>2382</v>
      </c>
      <c r="I1604" s="62">
        <v>216</v>
      </c>
      <c r="J1604" s="8" t="s">
        <v>846</v>
      </c>
      <c r="K1604" s="10" t="s">
        <v>847</v>
      </c>
      <c r="L1604" s="10" t="s">
        <v>2373</v>
      </c>
      <c r="M1604" s="10" t="s">
        <v>2372</v>
      </c>
      <c r="N1604" s="10" t="s">
        <v>2373</v>
      </c>
      <c r="O1604" s="10"/>
    </row>
    <row r="1605" spans="1:15" ht="18" customHeight="1" x14ac:dyDescent="0.3">
      <c r="A1605" s="24">
        <v>1604</v>
      </c>
      <c r="B1605" s="10" t="s">
        <v>51</v>
      </c>
      <c r="C1605" s="10" t="s">
        <v>53</v>
      </c>
      <c r="D1605" s="62">
        <v>81</v>
      </c>
      <c r="E1605" s="61" t="s">
        <v>1627</v>
      </c>
      <c r="F1605" s="44" t="s">
        <v>1628</v>
      </c>
      <c r="G1605" s="24" t="s">
        <v>1264</v>
      </c>
      <c r="H1605" s="10" t="s">
        <v>2431</v>
      </c>
      <c r="I1605" s="62">
        <v>248</v>
      </c>
      <c r="J1605" s="8" t="s">
        <v>846</v>
      </c>
      <c r="K1605" s="10" t="s">
        <v>847</v>
      </c>
      <c r="L1605" s="10" t="s">
        <v>2373</v>
      </c>
      <c r="M1605" s="10" t="s">
        <v>2372</v>
      </c>
      <c r="N1605" s="10" t="s">
        <v>2373</v>
      </c>
      <c r="O1605" s="10"/>
    </row>
    <row r="1606" spans="1:15" ht="18" customHeight="1" x14ac:dyDescent="0.3">
      <c r="A1606" s="24">
        <v>1605</v>
      </c>
      <c r="B1606" s="10" t="s">
        <v>51</v>
      </c>
      <c r="C1606" s="10" t="s">
        <v>53</v>
      </c>
      <c r="D1606" s="62">
        <v>81</v>
      </c>
      <c r="E1606" s="61" t="s">
        <v>2869</v>
      </c>
      <c r="F1606" s="16" t="s">
        <v>2586</v>
      </c>
      <c r="G1606" s="10" t="s">
        <v>160</v>
      </c>
      <c r="H1606" s="10" t="s">
        <v>845</v>
      </c>
      <c r="I1606" s="62">
        <v>102</v>
      </c>
      <c r="J1606" s="10" t="s">
        <v>2372</v>
      </c>
      <c r="K1606" s="10" t="s">
        <v>847</v>
      </c>
      <c r="L1606" s="10" t="s">
        <v>2373</v>
      </c>
      <c r="M1606" s="10" t="s">
        <v>2372</v>
      </c>
      <c r="N1606" s="10" t="s">
        <v>2373</v>
      </c>
      <c r="O1606" s="10"/>
    </row>
    <row r="1607" spans="1:15" ht="18" customHeight="1" x14ac:dyDescent="0.3">
      <c r="A1607" s="24">
        <v>1606</v>
      </c>
      <c r="B1607" s="10" t="s">
        <v>51</v>
      </c>
      <c r="C1607" s="10" t="s">
        <v>53</v>
      </c>
      <c r="D1607" s="62">
        <v>81</v>
      </c>
      <c r="E1607" s="61" t="s">
        <v>2869</v>
      </c>
      <c r="F1607" s="16" t="s">
        <v>592</v>
      </c>
      <c r="G1607" s="10" t="s">
        <v>160</v>
      </c>
      <c r="H1607" s="10" t="s">
        <v>848</v>
      </c>
      <c r="I1607" s="62">
        <v>84</v>
      </c>
      <c r="J1607" s="10" t="s">
        <v>2372</v>
      </c>
      <c r="K1607" s="10" t="s">
        <v>847</v>
      </c>
      <c r="L1607" s="10" t="s">
        <v>2373</v>
      </c>
      <c r="M1607" s="10" t="s">
        <v>2372</v>
      </c>
      <c r="N1607" s="10" t="s">
        <v>2373</v>
      </c>
      <c r="O1607" s="10"/>
    </row>
    <row r="1608" spans="1:15" ht="18" customHeight="1" x14ac:dyDescent="0.3">
      <c r="A1608" s="24">
        <v>1607</v>
      </c>
      <c r="B1608" s="10" t="s">
        <v>51</v>
      </c>
      <c r="C1608" s="10" t="s">
        <v>53</v>
      </c>
      <c r="D1608" s="62">
        <v>81</v>
      </c>
      <c r="E1608" s="61" t="s">
        <v>2869</v>
      </c>
      <c r="F1608" s="16" t="s">
        <v>592</v>
      </c>
      <c r="G1608" s="10" t="s">
        <v>160</v>
      </c>
      <c r="H1608" s="10" t="s">
        <v>849</v>
      </c>
      <c r="I1608" s="62">
        <v>170</v>
      </c>
      <c r="J1608" s="10" t="s">
        <v>2372</v>
      </c>
      <c r="K1608" s="10" t="s">
        <v>847</v>
      </c>
      <c r="L1608" s="10" t="s">
        <v>2373</v>
      </c>
      <c r="M1608" s="10" t="s">
        <v>2372</v>
      </c>
      <c r="N1608" s="10" t="s">
        <v>2373</v>
      </c>
      <c r="O1608" s="10"/>
    </row>
    <row r="1609" spans="1:15" ht="18" customHeight="1" x14ac:dyDescent="0.3">
      <c r="A1609" s="24">
        <v>1608</v>
      </c>
      <c r="B1609" s="10" t="s">
        <v>51</v>
      </c>
      <c r="C1609" s="10" t="s">
        <v>53</v>
      </c>
      <c r="D1609" s="62">
        <v>81</v>
      </c>
      <c r="E1609" s="61" t="s">
        <v>2869</v>
      </c>
      <c r="F1609" s="16" t="s">
        <v>592</v>
      </c>
      <c r="G1609" s="10" t="s">
        <v>160</v>
      </c>
      <c r="H1609" s="10" t="s">
        <v>850</v>
      </c>
      <c r="I1609" s="62">
        <v>96</v>
      </c>
      <c r="J1609" s="10" t="s">
        <v>2372</v>
      </c>
      <c r="K1609" s="10" t="s">
        <v>847</v>
      </c>
      <c r="L1609" s="10" t="s">
        <v>2373</v>
      </c>
      <c r="M1609" s="10" t="s">
        <v>2372</v>
      </c>
      <c r="N1609" s="10" t="s">
        <v>2373</v>
      </c>
      <c r="O1609" s="10"/>
    </row>
    <row r="1610" spans="1:15" ht="18" customHeight="1" x14ac:dyDescent="0.3">
      <c r="A1610" s="24">
        <v>1609</v>
      </c>
      <c r="B1610" s="10" t="s">
        <v>51</v>
      </c>
      <c r="C1610" s="10" t="s">
        <v>53</v>
      </c>
      <c r="D1610" s="62">
        <v>81</v>
      </c>
      <c r="E1610" s="61" t="s">
        <v>2869</v>
      </c>
      <c r="F1610" s="16" t="s">
        <v>592</v>
      </c>
      <c r="G1610" s="10" t="s">
        <v>160</v>
      </c>
      <c r="H1610" s="10" t="s">
        <v>851</v>
      </c>
      <c r="I1610" s="62">
        <v>89</v>
      </c>
      <c r="J1610" s="10" t="s">
        <v>2372</v>
      </c>
      <c r="K1610" s="10" t="s">
        <v>847</v>
      </c>
      <c r="L1610" s="10" t="s">
        <v>2373</v>
      </c>
      <c r="M1610" s="10" t="s">
        <v>2372</v>
      </c>
      <c r="N1610" s="10" t="s">
        <v>2373</v>
      </c>
      <c r="O1610" s="10"/>
    </row>
    <row r="1611" spans="1:15" ht="18" customHeight="1" x14ac:dyDescent="0.3">
      <c r="A1611" s="24">
        <v>1610</v>
      </c>
      <c r="B1611" s="10" t="s">
        <v>51</v>
      </c>
      <c r="C1611" s="10" t="s">
        <v>53</v>
      </c>
      <c r="D1611" s="62">
        <v>81</v>
      </c>
      <c r="E1611" s="61" t="s">
        <v>2869</v>
      </c>
      <c r="F1611" s="16" t="s">
        <v>592</v>
      </c>
      <c r="G1611" s="10" t="s">
        <v>160</v>
      </c>
      <c r="H1611" s="10" t="s">
        <v>852</v>
      </c>
      <c r="I1611" s="62">
        <v>173</v>
      </c>
      <c r="J1611" s="10" t="s">
        <v>2372</v>
      </c>
      <c r="K1611" s="10" t="s">
        <v>847</v>
      </c>
      <c r="L1611" s="10" t="s">
        <v>2373</v>
      </c>
      <c r="M1611" s="10" t="s">
        <v>2372</v>
      </c>
      <c r="N1611" s="10" t="s">
        <v>2373</v>
      </c>
      <c r="O1611" s="10"/>
    </row>
    <row r="1612" spans="1:15" ht="18" customHeight="1" x14ac:dyDescent="0.3">
      <c r="A1612" s="24">
        <v>1611</v>
      </c>
      <c r="B1612" s="10" t="s">
        <v>51</v>
      </c>
      <c r="C1612" s="10" t="s">
        <v>54</v>
      </c>
      <c r="D1612" s="62">
        <v>85</v>
      </c>
      <c r="E1612" s="61" t="s">
        <v>242</v>
      </c>
      <c r="F1612" s="9" t="s">
        <v>645</v>
      </c>
      <c r="G1612" s="10" t="s">
        <v>150</v>
      </c>
      <c r="H1612" s="10" t="s">
        <v>845</v>
      </c>
      <c r="I1612" s="62">
        <v>96</v>
      </c>
      <c r="J1612" s="8" t="s">
        <v>846</v>
      </c>
      <c r="K1612" s="10" t="s">
        <v>847</v>
      </c>
      <c r="L1612" s="10" t="s">
        <v>2373</v>
      </c>
      <c r="M1612" s="10" t="s">
        <v>2372</v>
      </c>
      <c r="N1612" s="10" t="s">
        <v>2373</v>
      </c>
      <c r="O1612" s="10"/>
    </row>
    <row r="1613" spans="1:15" ht="18" customHeight="1" x14ac:dyDescent="0.3">
      <c r="A1613" s="24">
        <v>1612</v>
      </c>
      <c r="B1613" s="10" t="s">
        <v>51</v>
      </c>
      <c r="C1613" s="10" t="s">
        <v>54</v>
      </c>
      <c r="D1613" s="62">
        <v>85</v>
      </c>
      <c r="E1613" s="61" t="s">
        <v>242</v>
      </c>
      <c r="F1613" s="9" t="s">
        <v>645</v>
      </c>
      <c r="G1613" s="10" t="s">
        <v>150</v>
      </c>
      <c r="H1613" s="10" t="s">
        <v>848</v>
      </c>
      <c r="I1613" s="62">
        <v>96</v>
      </c>
      <c r="J1613" s="8" t="s">
        <v>2372</v>
      </c>
      <c r="K1613" s="10" t="s">
        <v>847</v>
      </c>
      <c r="L1613" s="10" t="s">
        <v>2373</v>
      </c>
      <c r="M1613" s="10" t="s">
        <v>2372</v>
      </c>
      <c r="N1613" s="10" t="s">
        <v>2373</v>
      </c>
      <c r="O1613" s="10"/>
    </row>
    <row r="1614" spans="1:15" ht="18" customHeight="1" x14ac:dyDescent="0.3">
      <c r="A1614" s="24">
        <v>1613</v>
      </c>
      <c r="B1614" s="10" t="s">
        <v>51</v>
      </c>
      <c r="C1614" s="10" t="s">
        <v>54</v>
      </c>
      <c r="D1614" s="62">
        <v>85</v>
      </c>
      <c r="E1614" s="61" t="s">
        <v>242</v>
      </c>
      <c r="F1614" s="9" t="s">
        <v>645</v>
      </c>
      <c r="G1614" s="10" t="s">
        <v>150</v>
      </c>
      <c r="H1614" s="10" t="s">
        <v>849</v>
      </c>
      <c r="I1614" s="62">
        <v>168</v>
      </c>
      <c r="J1614" s="8" t="s">
        <v>2372</v>
      </c>
      <c r="K1614" s="10" t="s">
        <v>847</v>
      </c>
      <c r="L1614" s="10" t="s">
        <v>2373</v>
      </c>
      <c r="M1614" s="10" t="s">
        <v>2372</v>
      </c>
      <c r="N1614" s="10" t="s">
        <v>2373</v>
      </c>
      <c r="O1614" s="10"/>
    </row>
    <row r="1615" spans="1:15" ht="18" customHeight="1" x14ac:dyDescent="0.3">
      <c r="A1615" s="24">
        <v>1614</v>
      </c>
      <c r="B1615" s="10" t="s">
        <v>51</v>
      </c>
      <c r="C1615" s="10" t="s">
        <v>54</v>
      </c>
      <c r="D1615" s="62">
        <v>85</v>
      </c>
      <c r="E1615" s="61" t="s">
        <v>242</v>
      </c>
      <c r="F1615" s="9" t="s">
        <v>645</v>
      </c>
      <c r="G1615" s="10" t="s">
        <v>150</v>
      </c>
      <c r="H1615" s="10" t="s">
        <v>850</v>
      </c>
      <c r="I1615" s="62">
        <v>90</v>
      </c>
      <c r="J1615" s="8" t="s">
        <v>2372</v>
      </c>
      <c r="K1615" s="10" t="s">
        <v>847</v>
      </c>
      <c r="L1615" s="10" t="s">
        <v>2373</v>
      </c>
      <c r="M1615" s="10" t="s">
        <v>2372</v>
      </c>
      <c r="N1615" s="10" t="s">
        <v>2373</v>
      </c>
      <c r="O1615" s="10"/>
    </row>
    <row r="1616" spans="1:15" ht="18" customHeight="1" x14ac:dyDescent="0.3">
      <c r="A1616" s="24">
        <v>1615</v>
      </c>
      <c r="B1616" s="10" t="s">
        <v>51</v>
      </c>
      <c r="C1616" s="10" t="s">
        <v>54</v>
      </c>
      <c r="D1616" s="62">
        <v>85</v>
      </c>
      <c r="E1616" s="61" t="s">
        <v>242</v>
      </c>
      <c r="F1616" s="9" t="s">
        <v>645</v>
      </c>
      <c r="G1616" s="10" t="s">
        <v>150</v>
      </c>
      <c r="H1616" s="10" t="s">
        <v>851</v>
      </c>
      <c r="I1616" s="62">
        <v>100</v>
      </c>
      <c r="J1616" s="8" t="s">
        <v>2372</v>
      </c>
      <c r="K1616" s="10" t="s">
        <v>847</v>
      </c>
      <c r="L1616" s="10" t="s">
        <v>2373</v>
      </c>
      <c r="M1616" s="10" t="s">
        <v>2372</v>
      </c>
      <c r="N1616" s="10" t="s">
        <v>2373</v>
      </c>
      <c r="O1616" s="10"/>
    </row>
    <row r="1617" spans="1:15" ht="18" customHeight="1" x14ac:dyDescent="0.3">
      <c r="A1617" s="24">
        <v>1616</v>
      </c>
      <c r="B1617" s="10" t="s">
        <v>51</v>
      </c>
      <c r="C1617" s="10" t="s">
        <v>54</v>
      </c>
      <c r="D1617" s="62">
        <v>85</v>
      </c>
      <c r="E1617" s="61" t="s">
        <v>242</v>
      </c>
      <c r="F1617" s="9" t="s">
        <v>645</v>
      </c>
      <c r="G1617" s="10" t="s">
        <v>150</v>
      </c>
      <c r="H1617" s="10" t="s">
        <v>852</v>
      </c>
      <c r="I1617" s="62">
        <v>152</v>
      </c>
      <c r="J1617" s="8" t="s">
        <v>2372</v>
      </c>
      <c r="K1617" s="10" t="s">
        <v>847</v>
      </c>
      <c r="L1617" s="10" t="s">
        <v>2373</v>
      </c>
      <c r="M1617" s="10" t="s">
        <v>2372</v>
      </c>
      <c r="N1617" s="10" t="s">
        <v>2373</v>
      </c>
      <c r="O1617" s="10"/>
    </row>
    <row r="1618" spans="1:15" ht="18" customHeight="1" x14ac:dyDescent="0.3">
      <c r="A1618" s="24">
        <v>1617</v>
      </c>
      <c r="B1618" s="10" t="s">
        <v>51</v>
      </c>
      <c r="C1618" s="10" t="s">
        <v>54</v>
      </c>
      <c r="D1618" s="62">
        <v>85</v>
      </c>
      <c r="E1618" s="61" t="s">
        <v>242</v>
      </c>
      <c r="F1618" s="9" t="s">
        <v>645</v>
      </c>
      <c r="G1618" s="10" t="s">
        <v>150</v>
      </c>
      <c r="H1618" s="10" t="s">
        <v>853</v>
      </c>
      <c r="I1618" s="62">
        <v>200</v>
      </c>
      <c r="J1618" s="8" t="s">
        <v>846</v>
      </c>
      <c r="K1618" s="10" t="s">
        <v>847</v>
      </c>
      <c r="L1618" s="10" t="s">
        <v>2373</v>
      </c>
      <c r="M1618" s="10" t="s">
        <v>2372</v>
      </c>
      <c r="N1618" s="10" t="s">
        <v>2373</v>
      </c>
      <c r="O1618" s="10"/>
    </row>
    <row r="1619" spans="1:15" ht="18" customHeight="1" x14ac:dyDescent="0.3">
      <c r="A1619" s="24">
        <v>1618</v>
      </c>
      <c r="B1619" s="10" t="s">
        <v>51</v>
      </c>
      <c r="C1619" s="10" t="s">
        <v>54</v>
      </c>
      <c r="D1619" s="62">
        <v>85</v>
      </c>
      <c r="E1619" s="61" t="s">
        <v>2870</v>
      </c>
      <c r="F1619" s="19" t="s">
        <v>1013</v>
      </c>
      <c r="G1619" s="10" t="s">
        <v>150</v>
      </c>
      <c r="H1619" s="10" t="s">
        <v>849</v>
      </c>
      <c r="I1619" s="62">
        <v>158</v>
      </c>
      <c r="J1619" s="10" t="s">
        <v>2372</v>
      </c>
      <c r="K1619" s="10" t="s">
        <v>847</v>
      </c>
      <c r="L1619" s="10" t="s">
        <v>2373</v>
      </c>
      <c r="M1619" s="10" t="s">
        <v>2372</v>
      </c>
      <c r="N1619" s="10" t="s">
        <v>2373</v>
      </c>
      <c r="O1619" s="10"/>
    </row>
    <row r="1620" spans="1:15" ht="18" customHeight="1" x14ac:dyDescent="0.3">
      <c r="A1620" s="24">
        <v>1619</v>
      </c>
      <c r="B1620" s="10" t="s">
        <v>51</v>
      </c>
      <c r="C1620" s="10" t="s">
        <v>54</v>
      </c>
      <c r="D1620" s="62">
        <v>85</v>
      </c>
      <c r="E1620" s="61" t="s">
        <v>2870</v>
      </c>
      <c r="F1620" s="19" t="s">
        <v>1013</v>
      </c>
      <c r="G1620" s="10" t="s">
        <v>150</v>
      </c>
      <c r="H1620" s="10" t="s">
        <v>850</v>
      </c>
      <c r="I1620" s="62">
        <v>116</v>
      </c>
      <c r="J1620" s="10" t="s">
        <v>2372</v>
      </c>
      <c r="K1620" s="10" t="s">
        <v>847</v>
      </c>
      <c r="L1620" s="10" t="s">
        <v>2373</v>
      </c>
      <c r="M1620" s="10" t="s">
        <v>2372</v>
      </c>
      <c r="N1620" s="10" t="s">
        <v>2373</v>
      </c>
      <c r="O1620" s="10"/>
    </row>
    <row r="1621" spans="1:15" ht="18" customHeight="1" x14ac:dyDescent="0.3">
      <c r="A1621" s="24">
        <v>1620</v>
      </c>
      <c r="B1621" s="10" t="s">
        <v>51</v>
      </c>
      <c r="C1621" s="10" t="s">
        <v>54</v>
      </c>
      <c r="D1621" s="62">
        <v>85</v>
      </c>
      <c r="E1621" s="61" t="s">
        <v>2870</v>
      </c>
      <c r="F1621" s="19" t="s">
        <v>1013</v>
      </c>
      <c r="G1621" s="10" t="s">
        <v>150</v>
      </c>
      <c r="H1621" s="10" t="s">
        <v>851</v>
      </c>
      <c r="I1621" s="62">
        <v>130</v>
      </c>
      <c r="J1621" s="10" t="s">
        <v>2372</v>
      </c>
      <c r="K1621" s="10" t="s">
        <v>847</v>
      </c>
      <c r="L1621" s="10" t="s">
        <v>2373</v>
      </c>
      <c r="M1621" s="10" t="s">
        <v>2372</v>
      </c>
      <c r="N1621" s="10" t="s">
        <v>2373</v>
      </c>
      <c r="O1621" s="10"/>
    </row>
    <row r="1622" spans="1:15" ht="18" customHeight="1" x14ac:dyDescent="0.3">
      <c r="A1622" s="24">
        <v>1621</v>
      </c>
      <c r="B1622" s="10" t="s">
        <v>51</v>
      </c>
      <c r="C1622" s="10" t="s">
        <v>54</v>
      </c>
      <c r="D1622" s="62">
        <v>85</v>
      </c>
      <c r="E1622" s="61" t="s">
        <v>2870</v>
      </c>
      <c r="F1622" s="19" t="s">
        <v>1013</v>
      </c>
      <c r="G1622" s="10" t="s">
        <v>150</v>
      </c>
      <c r="H1622" s="10" t="s">
        <v>852</v>
      </c>
      <c r="I1622" s="62">
        <v>158</v>
      </c>
      <c r="J1622" s="10" t="s">
        <v>2372</v>
      </c>
      <c r="K1622" s="10" t="s">
        <v>847</v>
      </c>
      <c r="L1622" s="10" t="s">
        <v>2373</v>
      </c>
      <c r="M1622" s="10" t="s">
        <v>2372</v>
      </c>
      <c r="N1622" s="10" t="s">
        <v>2373</v>
      </c>
      <c r="O1622" s="10"/>
    </row>
    <row r="1623" spans="1:15" ht="18" customHeight="1" x14ac:dyDescent="0.3">
      <c r="A1623" s="24">
        <v>1622</v>
      </c>
      <c r="B1623" s="10" t="s">
        <v>51</v>
      </c>
      <c r="C1623" s="10" t="s">
        <v>54</v>
      </c>
      <c r="D1623" s="62">
        <v>85</v>
      </c>
      <c r="E1623" s="61" t="s">
        <v>2870</v>
      </c>
      <c r="F1623" s="19" t="s">
        <v>1013</v>
      </c>
      <c r="G1623" s="10" t="s">
        <v>150</v>
      </c>
      <c r="H1623" s="10" t="s">
        <v>853</v>
      </c>
      <c r="I1623" s="62">
        <v>158</v>
      </c>
      <c r="J1623" s="10" t="s">
        <v>2374</v>
      </c>
      <c r="K1623" s="10" t="s">
        <v>847</v>
      </c>
      <c r="L1623" s="10" t="s">
        <v>2373</v>
      </c>
      <c r="M1623" s="10" t="s">
        <v>2372</v>
      </c>
      <c r="N1623" s="10" t="s">
        <v>2373</v>
      </c>
      <c r="O1623" s="10"/>
    </row>
    <row r="1624" spans="1:15" ht="18" customHeight="1" x14ac:dyDescent="0.3">
      <c r="A1624" s="24">
        <v>1623</v>
      </c>
      <c r="B1624" s="10" t="s">
        <v>51</v>
      </c>
      <c r="C1624" s="10" t="s">
        <v>54</v>
      </c>
      <c r="D1624" s="62">
        <v>85</v>
      </c>
      <c r="E1624" s="61" t="s">
        <v>2870</v>
      </c>
      <c r="F1624" s="19" t="s">
        <v>1013</v>
      </c>
      <c r="G1624" s="10" t="s">
        <v>150</v>
      </c>
      <c r="H1624" s="10" t="s">
        <v>854</v>
      </c>
      <c r="I1624" s="62">
        <v>159</v>
      </c>
      <c r="J1624" s="10" t="s">
        <v>2374</v>
      </c>
      <c r="K1624" s="10" t="s">
        <v>847</v>
      </c>
      <c r="L1624" s="10" t="s">
        <v>2373</v>
      </c>
      <c r="M1624" s="10" t="s">
        <v>2372</v>
      </c>
      <c r="N1624" s="10" t="s">
        <v>2373</v>
      </c>
      <c r="O1624" s="10"/>
    </row>
    <row r="1625" spans="1:15" ht="18" customHeight="1" x14ac:dyDescent="0.3">
      <c r="A1625" s="24">
        <v>1624</v>
      </c>
      <c r="B1625" s="10" t="s">
        <v>51</v>
      </c>
      <c r="C1625" s="10" t="s">
        <v>54</v>
      </c>
      <c r="D1625" s="62">
        <v>85</v>
      </c>
      <c r="E1625" s="61" t="s">
        <v>2870</v>
      </c>
      <c r="F1625" s="19" t="s">
        <v>1013</v>
      </c>
      <c r="G1625" s="10" t="s">
        <v>150</v>
      </c>
      <c r="H1625" s="10" t="s">
        <v>855</v>
      </c>
      <c r="I1625" s="62">
        <v>208</v>
      </c>
      <c r="J1625" s="10" t="s">
        <v>2372</v>
      </c>
      <c r="K1625" s="10" t="s">
        <v>847</v>
      </c>
      <c r="L1625" s="10" t="s">
        <v>2373</v>
      </c>
      <c r="M1625" s="10" t="s">
        <v>2372</v>
      </c>
      <c r="N1625" s="10" t="s">
        <v>2373</v>
      </c>
      <c r="O1625" s="10"/>
    </row>
    <row r="1626" spans="1:15" ht="18" customHeight="1" x14ac:dyDescent="0.3">
      <c r="A1626" s="24">
        <v>1625</v>
      </c>
      <c r="B1626" s="10" t="s">
        <v>51</v>
      </c>
      <c r="C1626" s="10" t="s">
        <v>54</v>
      </c>
      <c r="D1626" s="62">
        <v>85</v>
      </c>
      <c r="E1626" s="61" t="s">
        <v>2870</v>
      </c>
      <c r="F1626" s="19" t="s">
        <v>644</v>
      </c>
      <c r="G1626" s="10" t="s">
        <v>150</v>
      </c>
      <c r="H1626" s="10" t="s">
        <v>845</v>
      </c>
      <c r="I1626" s="62">
        <v>117</v>
      </c>
      <c r="J1626" s="10" t="s">
        <v>2372</v>
      </c>
      <c r="K1626" s="10" t="s">
        <v>2372</v>
      </c>
      <c r="L1626" s="10" t="s">
        <v>2373</v>
      </c>
      <c r="M1626" s="10" t="s">
        <v>2372</v>
      </c>
      <c r="N1626" s="10" t="s">
        <v>2373</v>
      </c>
      <c r="O1626" s="10"/>
    </row>
    <row r="1627" spans="1:15" ht="18" customHeight="1" x14ac:dyDescent="0.3">
      <c r="A1627" s="24">
        <v>1626</v>
      </c>
      <c r="B1627" s="10" t="s">
        <v>51</v>
      </c>
      <c r="C1627" s="10" t="s">
        <v>54</v>
      </c>
      <c r="D1627" s="62">
        <v>85</v>
      </c>
      <c r="E1627" s="61" t="s">
        <v>2870</v>
      </c>
      <c r="F1627" s="19" t="s">
        <v>644</v>
      </c>
      <c r="G1627" s="10" t="s">
        <v>150</v>
      </c>
      <c r="H1627" s="10" t="s">
        <v>848</v>
      </c>
      <c r="I1627" s="62">
        <v>158</v>
      </c>
      <c r="J1627" s="10" t="s">
        <v>2372</v>
      </c>
      <c r="K1627" s="10" t="s">
        <v>847</v>
      </c>
      <c r="L1627" s="10" t="s">
        <v>2373</v>
      </c>
      <c r="M1627" s="10" t="s">
        <v>2372</v>
      </c>
      <c r="N1627" s="10" t="s">
        <v>2373</v>
      </c>
      <c r="O1627" s="10"/>
    </row>
    <row r="1628" spans="1:15" ht="18" customHeight="1" x14ac:dyDescent="0.3">
      <c r="A1628" s="24">
        <v>1627</v>
      </c>
      <c r="B1628" s="10" t="s">
        <v>51</v>
      </c>
      <c r="C1628" s="10" t="s">
        <v>54</v>
      </c>
      <c r="D1628" s="62">
        <v>85</v>
      </c>
      <c r="E1628" s="61" t="s">
        <v>2587</v>
      </c>
      <c r="F1628" s="11" t="s">
        <v>647</v>
      </c>
      <c r="G1628" s="10" t="s">
        <v>150</v>
      </c>
      <c r="H1628" s="10" t="s">
        <v>845</v>
      </c>
      <c r="I1628" s="62">
        <v>146</v>
      </c>
      <c r="J1628" s="10" t="s">
        <v>2374</v>
      </c>
      <c r="K1628" s="10" t="s">
        <v>847</v>
      </c>
      <c r="L1628" s="10" t="s">
        <v>2373</v>
      </c>
      <c r="M1628" s="10" t="s">
        <v>2372</v>
      </c>
      <c r="N1628" s="10" t="s">
        <v>2373</v>
      </c>
      <c r="O1628" s="10"/>
    </row>
    <row r="1629" spans="1:15" ht="18" customHeight="1" x14ac:dyDescent="0.3">
      <c r="A1629" s="24">
        <v>1628</v>
      </c>
      <c r="B1629" s="10" t="s">
        <v>51</v>
      </c>
      <c r="C1629" s="10" t="s">
        <v>54</v>
      </c>
      <c r="D1629" s="62">
        <v>85</v>
      </c>
      <c r="E1629" s="61" t="s">
        <v>2587</v>
      </c>
      <c r="F1629" s="11" t="s">
        <v>647</v>
      </c>
      <c r="G1629" s="10" t="s">
        <v>150</v>
      </c>
      <c r="H1629" s="10" t="s">
        <v>848</v>
      </c>
      <c r="I1629" s="62">
        <v>154</v>
      </c>
      <c r="J1629" s="10" t="s">
        <v>2372</v>
      </c>
      <c r="K1629" s="10" t="s">
        <v>847</v>
      </c>
      <c r="L1629" s="10" t="s">
        <v>2373</v>
      </c>
      <c r="M1629" s="10" t="s">
        <v>2372</v>
      </c>
      <c r="N1629" s="10" t="s">
        <v>2373</v>
      </c>
      <c r="O1629" s="10"/>
    </row>
    <row r="1630" spans="1:15" ht="18" customHeight="1" x14ac:dyDescent="0.3">
      <c r="A1630" s="24">
        <v>1629</v>
      </c>
      <c r="B1630" s="10" t="s">
        <v>51</v>
      </c>
      <c r="C1630" s="10" t="s">
        <v>54</v>
      </c>
      <c r="D1630" s="62">
        <v>85</v>
      </c>
      <c r="E1630" s="61" t="s">
        <v>2587</v>
      </c>
      <c r="F1630" s="11" t="s">
        <v>647</v>
      </c>
      <c r="G1630" s="10" t="s">
        <v>150</v>
      </c>
      <c r="H1630" s="10" t="s">
        <v>849</v>
      </c>
      <c r="I1630" s="62">
        <v>191</v>
      </c>
      <c r="J1630" s="10" t="s">
        <v>2374</v>
      </c>
      <c r="K1630" s="10" t="s">
        <v>847</v>
      </c>
      <c r="L1630" s="10" t="s">
        <v>2373</v>
      </c>
      <c r="M1630" s="10" t="s">
        <v>2372</v>
      </c>
      <c r="N1630" s="10" t="s">
        <v>2373</v>
      </c>
      <c r="O1630" s="10"/>
    </row>
    <row r="1631" spans="1:15" ht="18" customHeight="1" x14ac:dyDescent="0.3">
      <c r="A1631" s="24">
        <v>1630</v>
      </c>
      <c r="B1631" s="10" t="s">
        <v>51</v>
      </c>
      <c r="C1631" s="10" t="s">
        <v>54</v>
      </c>
      <c r="D1631" s="62">
        <v>85</v>
      </c>
      <c r="E1631" s="61" t="s">
        <v>2587</v>
      </c>
      <c r="F1631" s="11" t="s">
        <v>647</v>
      </c>
      <c r="G1631" s="10" t="s">
        <v>150</v>
      </c>
      <c r="H1631" s="10" t="s">
        <v>850</v>
      </c>
      <c r="I1631" s="62">
        <v>148</v>
      </c>
      <c r="J1631" s="10" t="s">
        <v>2372</v>
      </c>
      <c r="K1631" s="10" t="s">
        <v>847</v>
      </c>
      <c r="L1631" s="10" t="s">
        <v>2373</v>
      </c>
      <c r="M1631" s="10" t="s">
        <v>2372</v>
      </c>
      <c r="N1631" s="10" t="s">
        <v>2373</v>
      </c>
      <c r="O1631" s="10"/>
    </row>
    <row r="1632" spans="1:15" ht="18" customHeight="1" x14ac:dyDescent="0.3">
      <c r="A1632" s="24">
        <v>1631</v>
      </c>
      <c r="B1632" s="10" t="s">
        <v>51</v>
      </c>
      <c r="C1632" s="10" t="s">
        <v>54</v>
      </c>
      <c r="D1632" s="62">
        <v>85</v>
      </c>
      <c r="E1632" s="61" t="s">
        <v>2587</v>
      </c>
      <c r="F1632" s="11" t="s">
        <v>647</v>
      </c>
      <c r="G1632" s="10" t="s">
        <v>150</v>
      </c>
      <c r="H1632" s="10" t="s">
        <v>851</v>
      </c>
      <c r="I1632" s="62">
        <v>165</v>
      </c>
      <c r="J1632" s="10" t="s">
        <v>2372</v>
      </c>
      <c r="K1632" s="10" t="s">
        <v>847</v>
      </c>
      <c r="L1632" s="10" t="s">
        <v>2373</v>
      </c>
      <c r="M1632" s="10" t="s">
        <v>2372</v>
      </c>
      <c r="N1632" s="10" t="s">
        <v>2373</v>
      </c>
      <c r="O1632" s="10"/>
    </row>
    <row r="1633" spans="1:15" ht="18" customHeight="1" x14ac:dyDescent="0.3">
      <c r="A1633" s="24">
        <v>1632</v>
      </c>
      <c r="B1633" s="10" t="s">
        <v>51</v>
      </c>
      <c r="C1633" s="10" t="s">
        <v>54</v>
      </c>
      <c r="D1633" s="62">
        <v>85</v>
      </c>
      <c r="E1633" s="61" t="s">
        <v>2587</v>
      </c>
      <c r="F1633" s="11" t="s">
        <v>647</v>
      </c>
      <c r="G1633" s="10" t="s">
        <v>150</v>
      </c>
      <c r="H1633" s="10" t="s">
        <v>852</v>
      </c>
      <c r="I1633" s="62">
        <v>294</v>
      </c>
      <c r="J1633" s="10" t="s">
        <v>2372</v>
      </c>
      <c r="K1633" s="10" t="s">
        <v>847</v>
      </c>
      <c r="L1633" s="10" t="s">
        <v>2373</v>
      </c>
      <c r="M1633" s="10" t="s">
        <v>2372</v>
      </c>
      <c r="N1633" s="10" t="s">
        <v>2373</v>
      </c>
      <c r="O1633" s="10"/>
    </row>
    <row r="1634" spans="1:15" ht="18" customHeight="1" x14ac:dyDescent="0.3">
      <c r="A1634" s="24">
        <v>1633</v>
      </c>
      <c r="B1634" s="10" t="s">
        <v>51</v>
      </c>
      <c r="C1634" s="10" t="s">
        <v>54</v>
      </c>
      <c r="D1634" s="62">
        <v>85</v>
      </c>
      <c r="E1634" s="61" t="s">
        <v>2871</v>
      </c>
      <c r="F1634" s="19" t="s">
        <v>643</v>
      </c>
      <c r="G1634" s="10" t="s">
        <v>150</v>
      </c>
      <c r="H1634" s="10" t="s">
        <v>845</v>
      </c>
      <c r="I1634" s="62">
        <v>216</v>
      </c>
      <c r="J1634" s="10" t="s">
        <v>2374</v>
      </c>
      <c r="K1634" s="10" t="s">
        <v>847</v>
      </c>
      <c r="L1634" s="10" t="s">
        <v>2373</v>
      </c>
      <c r="M1634" s="10" t="s">
        <v>2372</v>
      </c>
      <c r="N1634" s="10" t="s">
        <v>2373</v>
      </c>
      <c r="O1634" s="10"/>
    </row>
    <row r="1635" spans="1:15" ht="18" customHeight="1" x14ac:dyDescent="0.3">
      <c r="A1635" s="24">
        <v>1634</v>
      </c>
      <c r="B1635" s="10" t="s">
        <v>51</v>
      </c>
      <c r="C1635" s="10" t="s">
        <v>54</v>
      </c>
      <c r="D1635" s="62">
        <v>85</v>
      </c>
      <c r="E1635" s="61" t="s">
        <v>2871</v>
      </c>
      <c r="F1635" s="19" t="s">
        <v>643</v>
      </c>
      <c r="G1635" s="10" t="s">
        <v>150</v>
      </c>
      <c r="H1635" s="10" t="s">
        <v>849</v>
      </c>
      <c r="I1635" s="62">
        <v>154</v>
      </c>
      <c r="J1635" s="10" t="s">
        <v>2372</v>
      </c>
      <c r="K1635" s="10" t="s">
        <v>847</v>
      </c>
      <c r="L1635" s="10" t="s">
        <v>2373</v>
      </c>
      <c r="M1635" s="10" t="s">
        <v>2372</v>
      </c>
      <c r="N1635" s="10" t="s">
        <v>2373</v>
      </c>
      <c r="O1635" s="10"/>
    </row>
    <row r="1636" spans="1:15" ht="18" customHeight="1" x14ac:dyDescent="0.3">
      <c r="A1636" s="24">
        <v>1635</v>
      </c>
      <c r="B1636" s="10" t="s">
        <v>51</v>
      </c>
      <c r="C1636" s="10" t="s">
        <v>54</v>
      </c>
      <c r="D1636" s="62">
        <v>85</v>
      </c>
      <c r="E1636" s="61" t="s">
        <v>2871</v>
      </c>
      <c r="F1636" s="19" t="s">
        <v>643</v>
      </c>
      <c r="G1636" s="10" t="s">
        <v>150</v>
      </c>
      <c r="H1636" s="10" t="s">
        <v>850</v>
      </c>
      <c r="I1636" s="62">
        <v>154</v>
      </c>
      <c r="J1636" s="10" t="s">
        <v>2372</v>
      </c>
      <c r="K1636" s="10" t="s">
        <v>847</v>
      </c>
      <c r="L1636" s="10" t="s">
        <v>2373</v>
      </c>
      <c r="M1636" s="10" t="s">
        <v>2372</v>
      </c>
      <c r="N1636" s="10" t="s">
        <v>2373</v>
      </c>
      <c r="O1636" s="10"/>
    </row>
    <row r="1637" spans="1:15" ht="18" customHeight="1" x14ac:dyDescent="0.3">
      <c r="A1637" s="24">
        <v>1636</v>
      </c>
      <c r="B1637" s="10" t="s">
        <v>51</v>
      </c>
      <c r="C1637" s="10" t="s">
        <v>54</v>
      </c>
      <c r="D1637" s="62">
        <v>85</v>
      </c>
      <c r="E1637" s="61" t="s">
        <v>2871</v>
      </c>
      <c r="F1637" s="19" t="s">
        <v>643</v>
      </c>
      <c r="G1637" s="10" t="s">
        <v>150</v>
      </c>
      <c r="H1637" s="10" t="s">
        <v>851</v>
      </c>
      <c r="I1637" s="62">
        <v>165</v>
      </c>
      <c r="J1637" s="10" t="s">
        <v>2372</v>
      </c>
      <c r="K1637" s="10" t="s">
        <v>847</v>
      </c>
      <c r="L1637" s="10" t="s">
        <v>2373</v>
      </c>
      <c r="M1637" s="10" t="s">
        <v>2372</v>
      </c>
      <c r="N1637" s="10" t="s">
        <v>2373</v>
      </c>
      <c r="O1637" s="10"/>
    </row>
    <row r="1638" spans="1:15" ht="18" customHeight="1" x14ac:dyDescent="0.3">
      <c r="A1638" s="24">
        <v>1637</v>
      </c>
      <c r="B1638" s="10" t="s">
        <v>51</v>
      </c>
      <c r="C1638" s="10" t="s">
        <v>54</v>
      </c>
      <c r="D1638" s="62">
        <v>85</v>
      </c>
      <c r="E1638" s="61" t="s">
        <v>2871</v>
      </c>
      <c r="F1638" s="19" t="s">
        <v>643</v>
      </c>
      <c r="G1638" s="10" t="s">
        <v>150</v>
      </c>
      <c r="H1638" s="10" t="s">
        <v>852</v>
      </c>
      <c r="I1638" s="62">
        <v>152</v>
      </c>
      <c r="J1638" s="10" t="s">
        <v>2374</v>
      </c>
      <c r="K1638" s="10" t="s">
        <v>847</v>
      </c>
      <c r="L1638" s="10" t="s">
        <v>2373</v>
      </c>
      <c r="M1638" s="10" t="s">
        <v>2372</v>
      </c>
      <c r="N1638" s="10" t="s">
        <v>2373</v>
      </c>
      <c r="O1638" s="10"/>
    </row>
    <row r="1639" spans="1:15" ht="18" customHeight="1" x14ac:dyDescent="0.3">
      <c r="A1639" s="24">
        <v>1638</v>
      </c>
      <c r="B1639" s="10" t="s">
        <v>51</v>
      </c>
      <c r="C1639" s="10" t="s">
        <v>54</v>
      </c>
      <c r="D1639" s="62">
        <v>85</v>
      </c>
      <c r="E1639" s="61" t="s">
        <v>2871</v>
      </c>
      <c r="F1639" s="19" t="s">
        <v>643</v>
      </c>
      <c r="G1639" s="10" t="s">
        <v>150</v>
      </c>
      <c r="H1639" s="10" t="s">
        <v>854</v>
      </c>
      <c r="I1639" s="62">
        <v>195</v>
      </c>
      <c r="J1639" s="10" t="s">
        <v>2372</v>
      </c>
      <c r="K1639" s="10" t="s">
        <v>847</v>
      </c>
      <c r="L1639" s="10" t="s">
        <v>2373</v>
      </c>
      <c r="M1639" s="10" t="s">
        <v>2372</v>
      </c>
      <c r="N1639" s="10" t="s">
        <v>2373</v>
      </c>
      <c r="O1639" s="10"/>
    </row>
    <row r="1640" spans="1:15" ht="18" customHeight="1" x14ac:dyDescent="0.3">
      <c r="A1640" s="24">
        <v>1639</v>
      </c>
      <c r="B1640" s="10" t="s">
        <v>51</v>
      </c>
      <c r="C1640" s="10" t="s">
        <v>54</v>
      </c>
      <c r="D1640" s="62">
        <v>85</v>
      </c>
      <c r="E1640" s="61" t="s">
        <v>2871</v>
      </c>
      <c r="F1640" s="19" t="s">
        <v>2588</v>
      </c>
      <c r="G1640" s="10" t="s">
        <v>150</v>
      </c>
      <c r="H1640" s="10" t="s">
        <v>853</v>
      </c>
      <c r="I1640" s="62">
        <v>195</v>
      </c>
      <c r="J1640" s="10" t="s">
        <v>2374</v>
      </c>
      <c r="K1640" s="10" t="s">
        <v>846</v>
      </c>
      <c r="L1640" s="10" t="s">
        <v>985</v>
      </c>
      <c r="M1640" s="10" t="s">
        <v>2372</v>
      </c>
      <c r="N1640" s="10" t="s">
        <v>2373</v>
      </c>
      <c r="O1640" s="10"/>
    </row>
    <row r="1641" spans="1:15" ht="18" customHeight="1" x14ac:dyDescent="0.3">
      <c r="A1641" s="24">
        <v>1640</v>
      </c>
      <c r="B1641" s="10" t="s">
        <v>51</v>
      </c>
      <c r="C1641" s="10" t="s">
        <v>54</v>
      </c>
      <c r="D1641" s="62">
        <v>85</v>
      </c>
      <c r="E1641" s="61" t="s">
        <v>2871</v>
      </c>
      <c r="F1641" s="19" t="s">
        <v>2588</v>
      </c>
      <c r="G1641" s="10" t="s">
        <v>150</v>
      </c>
      <c r="H1641" s="10" t="s">
        <v>921</v>
      </c>
      <c r="I1641" s="62">
        <v>292</v>
      </c>
      <c r="J1641" s="10" t="s">
        <v>2374</v>
      </c>
      <c r="K1641" s="10" t="s">
        <v>846</v>
      </c>
      <c r="L1641" s="10" t="s">
        <v>2414</v>
      </c>
      <c r="M1641" s="10" t="s">
        <v>2372</v>
      </c>
      <c r="N1641" s="10" t="s">
        <v>2373</v>
      </c>
      <c r="O1641" s="10"/>
    </row>
    <row r="1642" spans="1:15" ht="18" customHeight="1" x14ac:dyDescent="0.3">
      <c r="A1642" s="24">
        <v>1641</v>
      </c>
      <c r="B1642" s="10" t="s">
        <v>51</v>
      </c>
      <c r="C1642" s="10" t="s">
        <v>55</v>
      </c>
      <c r="D1642" s="62">
        <v>86</v>
      </c>
      <c r="E1642" s="61" t="s">
        <v>2872</v>
      </c>
      <c r="F1642" s="19" t="s">
        <v>625</v>
      </c>
      <c r="G1642" s="10" t="s">
        <v>150</v>
      </c>
      <c r="H1642" s="10" t="s">
        <v>845</v>
      </c>
      <c r="I1642" s="62">
        <v>115</v>
      </c>
      <c r="J1642" s="10" t="s">
        <v>2372</v>
      </c>
      <c r="K1642" s="10" t="s">
        <v>847</v>
      </c>
      <c r="L1642" s="10" t="s">
        <v>2373</v>
      </c>
      <c r="M1642" s="10" t="s">
        <v>2372</v>
      </c>
      <c r="N1642" s="10" t="s">
        <v>2373</v>
      </c>
      <c r="O1642" s="10"/>
    </row>
    <row r="1643" spans="1:15" ht="18" customHeight="1" x14ac:dyDescent="0.3">
      <c r="A1643" s="24">
        <v>1642</v>
      </c>
      <c r="B1643" s="10" t="s">
        <v>51</v>
      </c>
      <c r="C1643" s="10" t="s">
        <v>55</v>
      </c>
      <c r="D1643" s="62">
        <v>86</v>
      </c>
      <c r="E1643" s="61" t="s">
        <v>2872</v>
      </c>
      <c r="F1643" s="19" t="s">
        <v>625</v>
      </c>
      <c r="G1643" s="10" t="s">
        <v>150</v>
      </c>
      <c r="H1643" s="10" t="s">
        <v>848</v>
      </c>
      <c r="I1643" s="62">
        <v>110</v>
      </c>
      <c r="J1643" s="10" t="s">
        <v>2372</v>
      </c>
      <c r="K1643" s="10" t="s">
        <v>847</v>
      </c>
      <c r="L1643" s="10" t="s">
        <v>2373</v>
      </c>
      <c r="M1643" s="10" t="s">
        <v>2372</v>
      </c>
      <c r="N1643" s="10" t="s">
        <v>2373</v>
      </c>
      <c r="O1643" s="10"/>
    </row>
    <row r="1644" spans="1:15" ht="18" customHeight="1" x14ac:dyDescent="0.3">
      <c r="A1644" s="24">
        <v>1643</v>
      </c>
      <c r="B1644" s="10" t="s">
        <v>51</v>
      </c>
      <c r="C1644" s="10" t="s">
        <v>55</v>
      </c>
      <c r="D1644" s="62">
        <v>86</v>
      </c>
      <c r="E1644" s="61" t="s">
        <v>2872</v>
      </c>
      <c r="F1644" s="19" t="s">
        <v>625</v>
      </c>
      <c r="G1644" s="10" t="s">
        <v>150</v>
      </c>
      <c r="H1644" s="10" t="s">
        <v>850</v>
      </c>
      <c r="I1644" s="62">
        <v>159</v>
      </c>
      <c r="J1644" s="10" t="s">
        <v>2374</v>
      </c>
      <c r="K1644" s="10" t="s">
        <v>847</v>
      </c>
      <c r="L1644" s="10" t="s">
        <v>2373</v>
      </c>
      <c r="M1644" s="10" t="s">
        <v>2372</v>
      </c>
      <c r="N1644" s="10" t="s">
        <v>2373</v>
      </c>
      <c r="O1644" s="10"/>
    </row>
    <row r="1645" spans="1:15" ht="18" customHeight="1" x14ac:dyDescent="0.3">
      <c r="A1645" s="24">
        <v>1644</v>
      </c>
      <c r="B1645" s="10" t="s">
        <v>51</v>
      </c>
      <c r="C1645" s="10" t="s">
        <v>55</v>
      </c>
      <c r="D1645" s="62">
        <v>86</v>
      </c>
      <c r="E1645" s="61" t="s">
        <v>2872</v>
      </c>
      <c r="F1645" s="19" t="s">
        <v>625</v>
      </c>
      <c r="G1645" s="10" t="s">
        <v>150</v>
      </c>
      <c r="H1645" s="10" t="s">
        <v>851</v>
      </c>
      <c r="I1645" s="62">
        <v>235</v>
      </c>
      <c r="J1645" s="10" t="s">
        <v>2374</v>
      </c>
      <c r="K1645" s="10" t="s">
        <v>847</v>
      </c>
      <c r="L1645" s="10" t="s">
        <v>2373</v>
      </c>
      <c r="M1645" s="10" t="s">
        <v>2372</v>
      </c>
      <c r="N1645" s="10" t="s">
        <v>2373</v>
      </c>
      <c r="O1645" s="10"/>
    </row>
    <row r="1646" spans="1:15" ht="18" customHeight="1" x14ac:dyDescent="0.3">
      <c r="A1646" s="24">
        <v>1645</v>
      </c>
      <c r="B1646" s="10" t="s">
        <v>51</v>
      </c>
      <c r="C1646" s="10" t="s">
        <v>55</v>
      </c>
      <c r="D1646" s="62">
        <v>86</v>
      </c>
      <c r="E1646" s="61" t="s">
        <v>2872</v>
      </c>
      <c r="F1646" s="19" t="s">
        <v>625</v>
      </c>
      <c r="G1646" s="10" t="s">
        <v>150</v>
      </c>
      <c r="H1646" s="10" t="s">
        <v>852</v>
      </c>
      <c r="I1646" s="62">
        <v>161</v>
      </c>
      <c r="J1646" s="10" t="s">
        <v>2372</v>
      </c>
      <c r="K1646" s="10" t="s">
        <v>847</v>
      </c>
      <c r="L1646" s="10" t="s">
        <v>2373</v>
      </c>
      <c r="M1646" s="10" t="s">
        <v>2372</v>
      </c>
      <c r="N1646" s="10" t="s">
        <v>2373</v>
      </c>
      <c r="O1646" s="10"/>
    </row>
    <row r="1647" spans="1:15" ht="18" customHeight="1" x14ac:dyDescent="0.3">
      <c r="A1647" s="24">
        <v>1646</v>
      </c>
      <c r="B1647" s="10" t="s">
        <v>51</v>
      </c>
      <c r="C1647" s="10" t="s">
        <v>55</v>
      </c>
      <c r="D1647" s="62">
        <v>86</v>
      </c>
      <c r="E1647" s="61" t="s">
        <v>2872</v>
      </c>
      <c r="F1647" s="19" t="s">
        <v>625</v>
      </c>
      <c r="G1647" s="10" t="s">
        <v>150</v>
      </c>
      <c r="H1647" s="10" t="s">
        <v>853</v>
      </c>
      <c r="I1647" s="62">
        <v>162</v>
      </c>
      <c r="J1647" s="10" t="s">
        <v>2372</v>
      </c>
      <c r="K1647" s="10" t="s">
        <v>847</v>
      </c>
      <c r="L1647" s="10" t="s">
        <v>2373</v>
      </c>
      <c r="M1647" s="10" t="s">
        <v>2372</v>
      </c>
      <c r="N1647" s="10" t="s">
        <v>2373</v>
      </c>
      <c r="O1647" s="10"/>
    </row>
    <row r="1648" spans="1:15" ht="18" customHeight="1" x14ac:dyDescent="0.3">
      <c r="A1648" s="24">
        <v>1647</v>
      </c>
      <c r="B1648" s="10" t="s">
        <v>51</v>
      </c>
      <c r="C1648" s="10" t="s">
        <v>55</v>
      </c>
      <c r="D1648" s="62">
        <v>86</v>
      </c>
      <c r="E1648" s="61" t="s">
        <v>2872</v>
      </c>
      <c r="F1648" s="19" t="s">
        <v>625</v>
      </c>
      <c r="G1648" s="10" t="s">
        <v>150</v>
      </c>
      <c r="H1648" s="10" t="s">
        <v>854</v>
      </c>
      <c r="I1648" s="62">
        <v>103</v>
      </c>
      <c r="J1648" s="10" t="s">
        <v>2372</v>
      </c>
      <c r="K1648" s="10" t="s">
        <v>847</v>
      </c>
      <c r="L1648" s="10" t="s">
        <v>2373</v>
      </c>
      <c r="M1648" s="10" t="s">
        <v>884</v>
      </c>
      <c r="N1648" s="10" t="s">
        <v>2742</v>
      </c>
      <c r="O1648" s="10"/>
    </row>
    <row r="1649" spans="1:15" ht="18" customHeight="1" x14ac:dyDescent="0.3">
      <c r="A1649" s="24">
        <v>1648</v>
      </c>
      <c r="B1649" s="10" t="s">
        <v>51</v>
      </c>
      <c r="C1649" s="10" t="s">
        <v>55</v>
      </c>
      <c r="D1649" s="62">
        <v>86</v>
      </c>
      <c r="E1649" s="61" t="s">
        <v>2872</v>
      </c>
      <c r="F1649" s="19" t="s">
        <v>625</v>
      </c>
      <c r="G1649" s="10" t="s">
        <v>150</v>
      </c>
      <c r="H1649" s="10" t="s">
        <v>855</v>
      </c>
      <c r="I1649" s="62">
        <v>104</v>
      </c>
      <c r="J1649" s="10" t="s">
        <v>2372</v>
      </c>
      <c r="K1649" s="10" t="s">
        <v>847</v>
      </c>
      <c r="L1649" s="10" t="s">
        <v>2373</v>
      </c>
      <c r="M1649" s="10" t="s">
        <v>2372</v>
      </c>
      <c r="N1649" s="10" t="s">
        <v>2373</v>
      </c>
      <c r="O1649" s="10"/>
    </row>
    <row r="1650" spans="1:15" ht="18" customHeight="1" x14ac:dyDescent="0.3">
      <c r="A1650" s="24">
        <v>1649</v>
      </c>
      <c r="B1650" s="10" t="s">
        <v>51</v>
      </c>
      <c r="C1650" s="10" t="s">
        <v>55</v>
      </c>
      <c r="D1650" s="62">
        <v>86</v>
      </c>
      <c r="E1650" s="61" t="s">
        <v>2872</v>
      </c>
      <c r="F1650" s="19" t="s">
        <v>625</v>
      </c>
      <c r="G1650" s="10" t="s">
        <v>150</v>
      </c>
      <c r="H1650" s="10" t="s">
        <v>869</v>
      </c>
      <c r="I1650" s="62">
        <v>81</v>
      </c>
      <c r="J1650" s="10" t="s">
        <v>2374</v>
      </c>
      <c r="K1650" s="10" t="s">
        <v>847</v>
      </c>
      <c r="L1650" s="10" t="s">
        <v>2373</v>
      </c>
      <c r="M1650" s="10" t="s">
        <v>2372</v>
      </c>
      <c r="N1650" s="10" t="s">
        <v>2373</v>
      </c>
      <c r="O1650" s="10"/>
    </row>
    <row r="1651" spans="1:15" ht="18" customHeight="1" x14ac:dyDescent="0.3">
      <c r="A1651" s="24">
        <v>1650</v>
      </c>
      <c r="B1651" s="10" t="s">
        <v>51</v>
      </c>
      <c r="C1651" s="10" t="s">
        <v>55</v>
      </c>
      <c r="D1651" s="62">
        <v>86</v>
      </c>
      <c r="E1651" s="61" t="s">
        <v>2872</v>
      </c>
      <c r="F1651" s="19" t="s">
        <v>2589</v>
      </c>
      <c r="G1651" s="10" t="s">
        <v>150</v>
      </c>
      <c r="H1651" s="10" t="s">
        <v>849</v>
      </c>
      <c r="I1651" s="62">
        <v>161</v>
      </c>
      <c r="J1651" s="10" t="s">
        <v>2372</v>
      </c>
      <c r="K1651" s="10" t="s">
        <v>847</v>
      </c>
      <c r="L1651" s="10" t="s">
        <v>2373</v>
      </c>
      <c r="M1651" s="10" t="s">
        <v>2372</v>
      </c>
      <c r="N1651" s="10" t="s">
        <v>2373</v>
      </c>
      <c r="O1651" s="10"/>
    </row>
    <row r="1652" spans="1:15" ht="18" customHeight="1" x14ac:dyDescent="0.3">
      <c r="A1652" s="24">
        <v>1651</v>
      </c>
      <c r="B1652" s="10" t="s">
        <v>51</v>
      </c>
      <c r="C1652" s="10" t="s">
        <v>55</v>
      </c>
      <c r="D1652" s="62">
        <v>86</v>
      </c>
      <c r="E1652" s="61" t="s">
        <v>2873</v>
      </c>
      <c r="F1652" s="19" t="s">
        <v>2590</v>
      </c>
      <c r="G1652" s="10" t="s">
        <v>160</v>
      </c>
      <c r="H1652" s="10" t="s">
        <v>845</v>
      </c>
      <c r="I1652" s="62">
        <v>63</v>
      </c>
      <c r="J1652" s="10" t="s">
        <v>2372</v>
      </c>
      <c r="K1652" s="10" t="s">
        <v>847</v>
      </c>
      <c r="L1652" s="10" t="s">
        <v>2373</v>
      </c>
      <c r="M1652" s="10" t="s">
        <v>2372</v>
      </c>
      <c r="N1652" s="10" t="s">
        <v>2373</v>
      </c>
      <c r="O1652" s="10"/>
    </row>
    <row r="1653" spans="1:15" ht="18" customHeight="1" x14ac:dyDescent="0.3">
      <c r="A1653" s="24">
        <v>1652</v>
      </c>
      <c r="B1653" s="10" t="s">
        <v>51</v>
      </c>
      <c r="C1653" s="10" t="s">
        <v>55</v>
      </c>
      <c r="D1653" s="62">
        <v>86</v>
      </c>
      <c r="E1653" s="61" t="s">
        <v>2873</v>
      </c>
      <c r="F1653" s="19" t="s">
        <v>2590</v>
      </c>
      <c r="G1653" s="10" t="s">
        <v>160</v>
      </c>
      <c r="H1653" s="10" t="s">
        <v>848</v>
      </c>
      <c r="I1653" s="62">
        <v>63</v>
      </c>
      <c r="J1653" s="10" t="s">
        <v>2374</v>
      </c>
      <c r="K1653" s="10" t="s">
        <v>847</v>
      </c>
      <c r="L1653" s="10" t="s">
        <v>2373</v>
      </c>
      <c r="M1653" s="10" t="s">
        <v>2372</v>
      </c>
      <c r="N1653" s="10" t="s">
        <v>2373</v>
      </c>
      <c r="O1653" s="10"/>
    </row>
    <row r="1654" spans="1:15" ht="18" customHeight="1" x14ac:dyDescent="0.3">
      <c r="A1654" s="24">
        <v>1653</v>
      </c>
      <c r="B1654" s="10" t="s">
        <v>51</v>
      </c>
      <c r="C1654" s="10" t="s">
        <v>55</v>
      </c>
      <c r="D1654" s="62">
        <v>86</v>
      </c>
      <c r="E1654" s="61" t="s">
        <v>2873</v>
      </c>
      <c r="F1654" s="19" t="s">
        <v>632</v>
      </c>
      <c r="G1654" s="10" t="s">
        <v>160</v>
      </c>
      <c r="H1654" s="173" t="s">
        <v>849</v>
      </c>
      <c r="I1654" s="177">
        <v>53</v>
      </c>
      <c r="J1654" s="10" t="s">
        <v>2372</v>
      </c>
      <c r="K1654" s="10" t="s">
        <v>847</v>
      </c>
      <c r="L1654" s="10" t="s">
        <v>2373</v>
      </c>
      <c r="M1654" s="10" t="s">
        <v>2372</v>
      </c>
      <c r="N1654" s="10" t="s">
        <v>2373</v>
      </c>
      <c r="O1654" s="173" t="s">
        <v>3521</v>
      </c>
    </row>
    <row r="1655" spans="1:15" ht="18" customHeight="1" x14ac:dyDescent="0.3">
      <c r="A1655" s="24">
        <v>1654</v>
      </c>
      <c r="B1655" s="10" t="s">
        <v>51</v>
      </c>
      <c r="C1655" s="10" t="s">
        <v>55</v>
      </c>
      <c r="D1655" s="62">
        <v>86</v>
      </c>
      <c r="E1655" s="61" t="s">
        <v>2873</v>
      </c>
      <c r="F1655" s="19" t="s">
        <v>632</v>
      </c>
      <c r="G1655" s="10" t="s">
        <v>160</v>
      </c>
      <c r="H1655" s="173" t="s">
        <v>850</v>
      </c>
      <c r="I1655" s="177">
        <v>65</v>
      </c>
      <c r="J1655" s="10" t="s">
        <v>2372</v>
      </c>
      <c r="K1655" s="10" t="s">
        <v>847</v>
      </c>
      <c r="L1655" s="10" t="s">
        <v>2373</v>
      </c>
      <c r="M1655" s="10" t="s">
        <v>2372</v>
      </c>
      <c r="N1655" s="10" t="s">
        <v>2373</v>
      </c>
      <c r="O1655" s="173" t="s">
        <v>3521</v>
      </c>
    </row>
    <row r="1656" spans="1:15" ht="18" customHeight="1" x14ac:dyDescent="0.3">
      <c r="A1656" s="24">
        <v>1655</v>
      </c>
      <c r="B1656" s="10" t="s">
        <v>51</v>
      </c>
      <c r="C1656" s="10" t="s">
        <v>55</v>
      </c>
      <c r="D1656" s="62">
        <v>86</v>
      </c>
      <c r="E1656" s="61" t="s">
        <v>2873</v>
      </c>
      <c r="F1656" s="19" t="s">
        <v>632</v>
      </c>
      <c r="G1656" s="10" t="s">
        <v>160</v>
      </c>
      <c r="H1656" s="173" t="s">
        <v>851</v>
      </c>
      <c r="I1656" s="177">
        <v>66</v>
      </c>
      <c r="J1656" s="10" t="s">
        <v>2372</v>
      </c>
      <c r="K1656" s="10" t="s">
        <v>847</v>
      </c>
      <c r="L1656" s="10" t="s">
        <v>2373</v>
      </c>
      <c r="M1656" s="10" t="s">
        <v>2372</v>
      </c>
      <c r="N1656" s="10" t="s">
        <v>2373</v>
      </c>
      <c r="O1656" s="173" t="s">
        <v>3521</v>
      </c>
    </row>
    <row r="1657" spans="1:15" ht="18" customHeight="1" x14ac:dyDescent="0.3">
      <c r="A1657" s="24">
        <v>1656</v>
      </c>
      <c r="B1657" s="10" t="s">
        <v>51</v>
      </c>
      <c r="C1657" s="10" t="s">
        <v>55</v>
      </c>
      <c r="D1657" s="62">
        <v>86</v>
      </c>
      <c r="E1657" s="61" t="s">
        <v>2873</v>
      </c>
      <c r="F1657" s="19" t="s">
        <v>632</v>
      </c>
      <c r="G1657" s="10" t="s">
        <v>160</v>
      </c>
      <c r="H1657" s="173" t="s">
        <v>852</v>
      </c>
      <c r="I1657" s="177">
        <v>52</v>
      </c>
      <c r="J1657" s="10" t="s">
        <v>2372</v>
      </c>
      <c r="K1657" s="10" t="s">
        <v>847</v>
      </c>
      <c r="L1657" s="10" t="s">
        <v>2373</v>
      </c>
      <c r="M1657" s="10" t="s">
        <v>2372</v>
      </c>
      <c r="N1657" s="10" t="s">
        <v>2373</v>
      </c>
      <c r="O1657" s="173" t="s">
        <v>3521</v>
      </c>
    </row>
    <row r="1658" spans="1:15" ht="18" customHeight="1" x14ac:dyDescent="0.3">
      <c r="A1658" s="24">
        <v>1657</v>
      </c>
      <c r="B1658" s="10" t="s">
        <v>51</v>
      </c>
      <c r="C1658" s="10" t="s">
        <v>55</v>
      </c>
      <c r="D1658" s="62">
        <v>86</v>
      </c>
      <c r="E1658" s="61" t="s">
        <v>2591</v>
      </c>
      <c r="F1658" s="16" t="s">
        <v>630</v>
      </c>
      <c r="G1658" s="10" t="s">
        <v>150</v>
      </c>
      <c r="H1658" s="10" t="s">
        <v>845</v>
      </c>
      <c r="I1658" s="62">
        <v>251</v>
      </c>
      <c r="J1658" s="8" t="s">
        <v>846</v>
      </c>
      <c r="K1658" s="10" t="s">
        <v>847</v>
      </c>
      <c r="L1658" s="10" t="s">
        <v>2373</v>
      </c>
      <c r="M1658" s="10" t="s">
        <v>2372</v>
      </c>
      <c r="N1658" s="10" t="s">
        <v>2373</v>
      </c>
      <c r="O1658" s="10"/>
    </row>
    <row r="1659" spans="1:15" ht="18" customHeight="1" x14ac:dyDescent="0.3">
      <c r="A1659" s="24">
        <v>1658</v>
      </c>
      <c r="B1659" s="10" t="s">
        <v>51</v>
      </c>
      <c r="C1659" s="10" t="s">
        <v>55</v>
      </c>
      <c r="D1659" s="62">
        <v>86</v>
      </c>
      <c r="E1659" s="61" t="s">
        <v>2591</v>
      </c>
      <c r="F1659" s="16" t="s">
        <v>630</v>
      </c>
      <c r="G1659" s="10" t="s">
        <v>150</v>
      </c>
      <c r="H1659" s="10" t="s">
        <v>851</v>
      </c>
      <c r="I1659" s="62">
        <v>155</v>
      </c>
      <c r="J1659" s="8" t="s">
        <v>2372</v>
      </c>
      <c r="K1659" s="10" t="s">
        <v>847</v>
      </c>
      <c r="L1659" s="10" t="s">
        <v>2373</v>
      </c>
      <c r="M1659" s="10" t="s">
        <v>2372</v>
      </c>
      <c r="N1659" s="10" t="s">
        <v>2373</v>
      </c>
      <c r="O1659" s="10"/>
    </row>
    <row r="1660" spans="1:15" ht="18" customHeight="1" x14ac:dyDescent="0.3">
      <c r="A1660" s="24">
        <v>1659</v>
      </c>
      <c r="B1660" s="10" t="s">
        <v>51</v>
      </c>
      <c r="C1660" s="10" t="s">
        <v>55</v>
      </c>
      <c r="D1660" s="62">
        <v>86</v>
      </c>
      <c r="E1660" s="61" t="s">
        <v>2591</v>
      </c>
      <c r="F1660" s="16" t="s">
        <v>630</v>
      </c>
      <c r="G1660" s="10" t="s">
        <v>150</v>
      </c>
      <c r="H1660" s="10" t="s">
        <v>852</v>
      </c>
      <c r="I1660" s="62">
        <v>313</v>
      </c>
      <c r="J1660" s="8" t="s">
        <v>846</v>
      </c>
      <c r="K1660" s="10" t="s">
        <v>847</v>
      </c>
      <c r="L1660" s="10" t="s">
        <v>2373</v>
      </c>
      <c r="M1660" s="10" t="s">
        <v>2372</v>
      </c>
      <c r="N1660" s="10" t="s">
        <v>2373</v>
      </c>
      <c r="O1660" s="10" t="s">
        <v>1077</v>
      </c>
    </row>
    <row r="1661" spans="1:15" ht="18" customHeight="1" x14ac:dyDescent="0.3">
      <c r="A1661" s="24">
        <v>1660</v>
      </c>
      <c r="B1661" s="10" t="s">
        <v>51</v>
      </c>
      <c r="C1661" s="10" t="s">
        <v>55</v>
      </c>
      <c r="D1661" s="62">
        <v>86</v>
      </c>
      <c r="E1661" s="61" t="s">
        <v>2591</v>
      </c>
      <c r="F1661" s="16" t="s">
        <v>630</v>
      </c>
      <c r="G1661" s="10" t="s">
        <v>150</v>
      </c>
      <c r="H1661" s="10" t="s">
        <v>853</v>
      </c>
      <c r="I1661" s="62">
        <v>321</v>
      </c>
      <c r="J1661" s="8" t="s">
        <v>846</v>
      </c>
      <c r="K1661" s="10" t="s">
        <v>847</v>
      </c>
      <c r="L1661" s="10" t="s">
        <v>2373</v>
      </c>
      <c r="M1661" s="10" t="s">
        <v>2372</v>
      </c>
      <c r="N1661" s="10" t="s">
        <v>2373</v>
      </c>
      <c r="O1661" s="10"/>
    </row>
    <row r="1662" spans="1:15" ht="18" customHeight="1" x14ac:dyDescent="0.3">
      <c r="A1662" s="24">
        <v>1661</v>
      </c>
      <c r="B1662" s="10" t="s">
        <v>51</v>
      </c>
      <c r="C1662" s="10" t="s">
        <v>55</v>
      </c>
      <c r="D1662" s="62">
        <v>86</v>
      </c>
      <c r="E1662" s="61" t="s">
        <v>2591</v>
      </c>
      <c r="F1662" s="16" t="s">
        <v>1123</v>
      </c>
      <c r="G1662" s="10" t="s">
        <v>150</v>
      </c>
      <c r="H1662" s="10" t="s">
        <v>848</v>
      </c>
      <c r="I1662" s="62">
        <v>232</v>
      </c>
      <c r="J1662" s="8" t="s">
        <v>2372</v>
      </c>
      <c r="K1662" s="10" t="s">
        <v>2372</v>
      </c>
      <c r="L1662" s="10" t="s">
        <v>2373</v>
      </c>
      <c r="M1662" s="10" t="s">
        <v>2372</v>
      </c>
      <c r="N1662" s="10" t="s">
        <v>2373</v>
      </c>
      <c r="O1662" s="10"/>
    </row>
    <row r="1663" spans="1:15" ht="18" customHeight="1" x14ac:dyDescent="0.3">
      <c r="A1663" s="24">
        <v>1662</v>
      </c>
      <c r="B1663" s="10" t="s">
        <v>51</v>
      </c>
      <c r="C1663" s="10" t="s">
        <v>55</v>
      </c>
      <c r="D1663" s="62">
        <v>86</v>
      </c>
      <c r="E1663" s="61" t="s">
        <v>2591</v>
      </c>
      <c r="F1663" s="16" t="s">
        <v>1123</v>
      </c>
      <c r="G1663" s="10" t="s">
        <v>150</v>
      </c>
      <c r="H1663" s="10" t="s">
        <v>849</v>
      </c>
      <c r="I1663" s="62">
        <v>100</v>
      </c>
      <c r="J1663" s="8" t="s">
        <v>846</v>
      </c>
      <c r="K1663" s="10" t="s">
        <v>2374</v>
      </c>
      <c r="L1663" s="10" t="s">
        <v>1302</v>
      </c>
      <c r="M1663" s="10" t="s">
        <v>2372</v>
      </c>
      <c r="N1663" s="10" t="s">
        <v>2373</v>
      </c>
      <c r="O1663" s="10"/>
    </row>
    <row r="1664" spans="1:15" ht="18" customHeight="1" x14ac:dyDescent="0.3">
      <c r="A1664" s="24">
        <v>1663</v>
      </c>
      <c r="B1664" s="10" t="s">
        <v>51</v>
      </c>
      <c r="C1664" s="10" t="s">
        <v>55</v>
      </c>
      <c r="D1664" s="62">
        <v>86</v>
      </c>
      <c r="E1664" s="61" t="s">
        <v>2591</v>
      </c>
      <c r="F1664" s="16" t="s">
        <v>1123</v>
      </c>
      <c r="G1664" s="10" t="s">
        <v>150</v>
      </c>
      <c r="H1664" s="10" t="s">
        <v>850</v>
      </c>
      <c r="I1664" s="62">
        <v>120</v>
      </c>
      <c r="J1664" s="8" t="s">
        <v>2372</v>
      </c>
      <c r="K1664" s="10" t="s">
        <v>2372</v>
      </c>
      <c r="L1664" s="10" t="s">
        <v>2373</v>
      </c>
      <c r="M1664" s="10" t="s">
        <v>2372</v>
      </c>
      <c r="N1664" s="10" t="s">
        <v>2373</v>
      </c>
      <c r="O1664" s="10"/>
    </row>
    <row r="1665" spans="1:15" ht="18" customHeight="1" x14ac:dyDescent="0.3">
      <c r="A1665" s="24">
        <v>1664</v>
      </c>
      <c r="B1665" s="10" t="s">
        <v>51</v>
      </c>
      <c r="C1665" s="10" t="s">
        <v>55</v>
      </c>
      <c r="D1665" s="62">
        <v>86</v>
      </c>
      <c r="E1665" s="61" t="s">
        <v>1165</v>
      </c>
      <c r="F1665" s="16" t="s">
        <v>1123</v>
      </c>
      <c r="G1665" s="10" t="s">
        <v>150</v>
      </c>
      <c r="H1665" s="10" t="s">
        <v>1156</v>
      </c>
      <c r="I1665" s="62">
        <v>30</v>
      </c>
      <c r="J1665" s="8" t="s">
        <v>2372</v>
      </c>
      <c r="K1665" s="10" t="s">
        <v>2374</v>
      </c>
      <c r="L1665" s="10" t="s">
        <v>2392</v>
      </c>
      <c r="M1665" s="10" t="s">
        <v>2372</v>
      </c>
      <c r="N1665" s="10" t="s">
        <v>2373</v>
      </c>
      <c r="O1665" s="10"/>
    </row>
    <row r="1666" spans="1:15" ht="18" customHeight="1" x14ac:dyDescent="0.3">
      <c r="A1666" s="24">
        <v>1665</v>
      </c>
      <c r="B1666" s="10" t="s">
        <v>51</v>
      </c>
      <c r="C1666" s="10" t="s">
        <v>55</v>
      </c>
      <c r="D1666" s="62">
        <v>86</v>
      </c>
      <c r="E1666" s="61" t="s">
        <v>894</v>
      </c>
      <c r="F1666" s="16" t="s">
        <v>634</v>
      </c>
      <c r="G1666" s="10" t="s">
        <v>1278</v>
      </c>
      <c r="H1666" s="10" t="s">
        <v>845</v>
      </c>
      <c r="I1666" s="62">
        <v>200</v>
      </c>
      <c r="J1666" s="8" t="s">
        <v>2372</v>
      </c>
      <c r="K1666" s="10" t="s">
        <v>847</v>
      </c>
      <c r="L1666" s="10" t="s">
        <v>2373</v>
      </c>
      <c r="M1666" s="10" t="s">
        <v>2372</v>
      </c>
      <c r="N1666" s="10" t="s">
        <v>2373</v>
      </c>
      <c r="O1666" s="10"/>
    </row>
    <row r="1667" spans="1:15" ht="18" customHeight="1" x14ac:dyDescent="0.3">
      <c r="A1667" s="24">
        <v>1666</v>
      </c>
      <c r="B1667" s="10" t="s">
        <v>51</v>
      </c>
      <c r="C1667" s="10" t="s">
        <v>55</v>
      </c>
      <c r="D1667" s="62">
        <v>86</v>
      </c>
      <c r="E1667" s="61" t="s">
        <v>894</v>
      </c>
      <c r="F1667" s="16" t="s">
        <v>634</v>
      </c>
      <c r="G1667" s="10" t="s">
        <v>1278</v>
      </c>
      <c r="H1667" s="10" t="s">
        <v>848</v>
      </c>
      <c r="I1667" s="62">
        <v>50</v>
      </c>
      <c r="J1667" s="8" t="s">
        <v>2372</v>
      </c>
      <c r="K1667" s="10" t="s">
        <v>847</v>
      </c>
      <c r="L1667" s="10" t="s">
        <v>2373</v>
      </c>
      <c r="M1667" s="10" t="s">
        <v>2372</v>
      </c>
      <c r="N1667" s="10" t="s">
        <v>2373</v>
      </c>
      <c r="O1667" s="10"/>
    </row>
    <row r="1668" spans="1:15" ht="18" customHeight="1" x14ac:dyDescent="0.3">
      <c r="A1668" s="24">
        <v>1667</v>
      </c>
      <c r="B1668" s="10" t="s">
        <v>51</v>
      </c>
      <c r="C1668" s="10" t="s">
        <v>55</v>
      </c>
      <c r="D1668" s="62">
        <v>86</v>
      </c>
      <c r="E1668" s="61" t="s">
        <v>894</v>
      </c>
      <c r="F1668" s="16" t="s">
        <v>634</v>
      </c>
      <c r="G1668" s="10" t="s">
        <v>1278</v>
      </c>
      <c r="H1668" s="10" t="s">
        <v>849</v>
      </c>
      <c r="I1668" s="62">
        <v>218</v>
      </c>
      <c r="J1668" s="8" t="s">
        <v>2372</v>
      </c>
      <c r="K1668" s="10" t="s">
        <v>847</v>
      </c>
      <c r="L1668" s="10" t="s">
        <v>2373</v>
      </c>
      <c r="M1668" s="10" t="s">
        <v>2372</v>
      </c>
      <c r="N1668" s="10" t="s">
        <v>2373</v>
      </c>
      <c r="O1668" s="10"/>
    </row>
    <row r="1669" spans="1:15" ht="18" customHeight="1" x14ac:dyDescent="0.3">
      <c r="A1669" s="24">
        <v>1668</v>
      </c>
      <c r="B1669" s="10" t="s">
        <v>51</v>
      </c>
      <c r="C1669" s="10" t="s">
        <v>55</v>
      </c>
      <c r="D1669" s="62">
        <v>86</v>
      </c>
      <c r="E1669" s="61" t="s">
        <v>894</v>
      </c>
      <c r="F1669" s="16" t="s">
        <v>634</v>
      </c>
      <c r="G1669" s="10" t="s">
        <v>1278</v>
      </c>
      <c r="H1669" s="10" t="s">
        <v>850</v>
      </c>
      <c r="I1669" s="62">
        <v>106</v>
      </c>
      <c r="J1669" s="8" t="s">
        <v>2372</v>
      </c>
      <c r="K1669" s="10" t="s">
        <v>847</v>
      </c>
      <c r="L1669" s="10" t="s">
        <v>2373</v>
      </c>
      <c r="M1669" s="10" t="s">
        <v>2372</v>
      </c>
      <c r="N1669" s="10" t="s">
        <v>2373</v>
      </c>
      <c r="O1669" s="10"/>
    </row>
    <row r="1670" spans="1:15" ht="18" customHeight="1" x14ac:dyDescent="0.3">
      <c r="A1670" s="24">
        <v>1669</v>
      </c>
      <c r="B1670" s="10" t="s">
        <v>51</v>
      </c>
      <c r="C1670" s="10" t="s">
        <v>55</v>
      </c>
      <c r="D1670" s="62">
        <v>86</v>
      </c>
      <c r="E1670" s="61" t="s">
        <v>894</v>
      </c>
      <c r="F1670" s="16" t="s">
        <v>634</v>
      </c>
      <c r="G1670" s="10" t="s">
        <v>1278</v>
      </c>
      <c r="H1670" s="10" t="s">
        <v>851</v>
      </c>
      <c r="I1670" s="62">
        <v>218</v>
      </c>
      <c r="J1670" s="8" t="s">
        <v>2372</v>
      </c>
      <c r="K1670" s="10" t="s">
        <v>847</v>
      </c>
      <c r="L1670" s="10" t="s">
        <v>2373</v>
      </c>
      <c r="M1670" s="10" t="s">
        <v>2372</v>
      </c>
      <c r="N1670" s="10" t="s">
        <v>2373</v>
      </c>
      <c r="O1670" s="10"/>
    </row>
    <row r="1671" spans="1:15" ht="18" customHeight="1" x14ac:dyDescent="0.3">
      <c r="A1671" s="24">
        <v>1670</v>
      </c>
      <c r="B1671" s="10" t="s">
        <v>51</v>
      </c>
      <c r="C1671" s="10" t="s">
        <v>55</v>
      </c>
      <c r="D1671" s="62">
        <v>86</v>
      </c>
      <c r="E1671" s="61" t="s">
        <v>894</v>
      </c>
      <c r="F1671" s="16" t="s">
        <v>634</v>
      </c>
      <c r="G1671" s="10" t="s">
        <v>1278</v>
      </c>
      <c r="H1671" s="10" t="s">
        <v>2382</v>
      </c>
      <c r="I1671" s="62">
        <v>124</v>
      </c>
      <c r="J1671" s="8" t="s">
        <v>2372</v>
      </c>
      <c r="K1671" s="10" t="s">
        <v>847</v>
      </c>
      <c r="L1671" s="10" t="s">
        <v>2373</v>
      </c>
      <c r="M1671" s="10" t="s">
        <v>2372</v>
      </c>
      <c r="N1671" s="10" t="s">
        <v>2373</v>
      </c>
      <c r="O1671" s="10"/>
    </row>
    <row r="1672" spans="1:15" ht="18" customHeight="1" x14ac:dyDescent="0.3">
      <c r="A1672" s="24">
        <v>1671</v>
      </c>
      <c r="B1672" s="10" t="s">
        <v>51</v>
      </c>
      <c r="C1672" s="10" t="s">
        <v>55</v>
      </c>
      <c r="D1672" s="62">
        <v>86</v>
      </c>
      <c r="E1672" s="61" t="s">
        <v>236</v>
      </c>
      <c r="F1672" s="16" t="s">
        <v>626</v>
      </c>
      <c r="G1672" s="10" t="s">
        <v>150</v>
      </c>
      <c r="H1672" s="10" t="s">
        <v>845</v>
      </c>
      <c r="I1672" s="62">
        <v>228</v>
      </c>
      <c r="J1672" s="8" t="s">
        <v>846</v>
      </c>
      <c r="K1672" s="10" t="s">
        <v>847</v>
      </c>
      <c r="L1672" s="10" t="s">
        <v>2373</v>
      </c>
      <c r="M1672" s="10" t="s">
        <v>2372</v>
      </c>
      <c r="N1672" s="10" t="s">
        <v>2373</v>
      </c>
      <c r="O1672" s="10"/>
    </row>
    <row r="1673" spans="1:15" ht="18" customHeight="1" x14ac:dyDescent="0.3">
      <c r="A1673" s="24">
        <v>1672</v>
      </c>
      <c r="B1673" s="10" t="s">
        <v>51</v>
      </c>
      <c r="C1673" s="10" t="s">
        <v>55</v>
      </c>
      <c r="D1673" s="62">
        <v>86</v>
      </c>
      <c r="E1673" s="61" t="s">
        <v>236</v>
      </c>
      <c r="F1673" s="16" t="s">
        <v>626</v>
      </c>
      <c r="G1673" s="10" t="s">
        <v>150</v>
      </c>
      <c r="H1673" s="10" t="s">
        <v>849</v>
      </c>
      <c r="I1673" s="177">
        <v>129</v>
      </c>
      <c r="J1673" s="8" t="s">
        <v>2372</v>
      </c>
      <c r="K1673" s="10" t="s">
        <v>847</v>
      </c>
      <c r="L1673" s="10" t="s">
        <v>2373</v>
      </c>
      <c r="M1673" s="10" t="s">
        <v>2372</v>
      </c>
      <c r="N1673" s="10" t="s">
        <v>2373</v>
      </c>
      <c r="O1673" s="10"/>
    </row>
    <row r="1674" spans="1:15" ht="18" customHeight="1" x14ac:dyDescent="0.3">
      <c r="A1674" s="24">
        <v>1673</v>
      </c>
      <c r="B1674" s="10" t="s">
        <v>51</v>
      </c>
      <c r="C1674" s="10" t="s">
        <v>55</v>
      </c>
      <c r="D1674" s="62">
        <v>86</v>
      </c>
      <c r="E1674" s="61" t="s">
        <v>236</v>
      </c>
      <c r="F1674" s="16" t="s">
        <v>626</v>
      </c>
      <c r="G1674" s="10" t="s">
        <v>150</v>
      </c>
      <c r="H1674" s="10" t="s">
        <v>850</v>
      </c>
      <c r="I1674" s="62">
        <v>96</v>
      </c>
      <c r="J1674" s="8" t="s">
        <v>2372</v>
      </c>
      <c r="K1674" s="10" t="s">
        <v>847</v>
      </c>
      <c r="L1674" s="10" t="s">
        <v>2373</v>
      </c>
      <c r="M1674" s="10" t="s">
        <v>2372</v>
      </c>
      <c r="N1674" s="10" t="s">
        <v>2373</v>
      </c>
      <c r="O1674" s="10"/>
    </row>
    <row r="1675" spans="1:15" ht="18" customHeight="1" x14ac:dyDescent="0.3">
      <c r="A1675" s="24">
        <v>1674</v>
      </c>
      <c r="B1675" s="10" t="s">
        <v>51</v>
      </c>
      <c r="C1675" s="10" t="s">
        <v>55</v>
      </c>
      <c r="D1675" s="62">
        <v>86</v>
      </c>
      <c r="E1675" s="61" t="s">
        <v>236</v>
      </c>
      <c r="F1675" s="16" t="s">
        <v>626</v>
      </c>
      <c r="G1675" s="10" t="s">
        <v>150</v>
      </c>
      <c r="H1675" s="10" t="s">
        <v>851</v>
      </c>
      <c r="I1675" s="177">
        <v>129</v>
      </c>
      <c r="J1675" s="8" t="s">
        <v>846</v>
      </c>
      <c r="K1675" s="10" t="s">
        <v>847</v>
      </c>
      <c r="L1675" s="10" t="s">
        <v>2373</v>
      </c>
      <c r="M1675" s="10" t="s">
        <v>2372</v>
      </c>
      <c r="N1675" s="10" t="s">
        <v>2373</v>
      </c>
      <c r="O1675" s="10"/>
    </row>
    <row r="1676" spans="1:15" ht="18" customHeight="1" x14ac:dyDescent="0.3">
      <c r="A1676" s="24">
        <v>1675</v>
      </c>
      <c r="B1676" s="10" t="s">
        <v>51</v>
      </c>
      <c r="C1676" s="10" t="s">
        <v>55</v>
      </c>
      <c r="D1676" s="62">
        <v>86</v>
      </c>
      <c r="E1676" s="61" t="s">
        <v>236</v>
      </c>
      <c r="F1676" s="16" t="s">
        <v>626</v>
      </c>
      <c r="G1676" s="10" t="s">
        <v>150</v>
      </c>
      <c r="H1676" s="10" t="s">
        <v>852</v>
      </c>
      <c r="I1676" s="62">
        <v>153</v>
      </c>
      <c r="J1676" s="8" t="s">
        <v>2372</v>
      </c>
      <c r="K1676" s="10" t="s">
        <v>847</v>
      </c>
      <c r="L1676" s="10" t="s">
        <v>2373</v>
      </c>
      <c r="M1676" s="10" t="s">
        <v>2372</v>
      </c>
      <c r="N1676" s="10" t="s">
        <v>2373</v>
      </c>
      <c r="O1676" s="10"/>
    </row>
    <row r="1677" spans="1:15" ht="18" customHeight="1" x14ac:dyDescent="0.3">
      <c r="A1677" s="24">
        <v>1676</v>
      </c>
      <c r="B1677" s="10" t="s">
        <v>51</v>
      </c>
      <c r="C1677" s="10" t="s">
        <v>55</v>
      </c>
      <c r="D1677" s="62">
        <v>86</v>
      </c>
      <c r="E1677" s="61" t="s">
        <v>236</v>
      </c>
      <c r="F1677" s="16" t="s">
        <v>1124</v>
      </c>
      <c r="G1677" s="10" t="s">
        <v>150</v>
      </c>
      <c r="H1677" s="10" t="s">
        <v>848</v>
      </c>
      <c r="I1677" s="62">
        <v>153</v>
      </c>
      <c r="J1677" s="8" t="s">
        <v>846</v>
      </c>
      <c r="K1677" s="10" t="s">
        <v>847</v>
      </c>
      <c r="L1677" s="10" t="s">
        <v>310</v>
      </c>
      <c r="M1677" s="10" t="s">
        <v>2372</v>
      </c>
      <c r="N1677" s="10" t="s">
        <v>2373</v>
      </c>
      <c r="O1677" s="10"/>
    </row>
    <row r="1678" spans="1:15" ht="18" customHeight="1" x14ac:dyDescent="0.3">
      <c r="A1678" s="24">
        <v>1677</v>
      </c>
      <c r="B1678" s="10" t="s">
        <v>51</v>
      </c>
      <c r="C1678" s="10" t="s">
        <v>55</v>
      </c>
      <c r="D1678" s="62">
        <v>86</v>
      </c>
      <c r="E1678" s="61" t="s">
        <v>236</v>
      </c>
      <c r="F1678" s="16" t="s">
        <v>1124</v>
      </c>
      <c r="G1678" s="10" t="s">
        <v>150</v>
      </c>
      <c r="H1678" s="10" t="s">
        <v>853</v>
      </c>
      <c r="I1678" s="62">
        <v>228</v>
      </c>
      <c r="J1678" s="8" t="s">
        <v>2372</v>
      </c>
      <c r="K1678" s="10" t="s">
        <v>847</v>
      </c>
      <c r="L1678" s="10" t="s">
        <v>310</v>
      </c>
      <c r="M1678" s="10" t="s">
        <v>2372</v>
      </c>
      <c r="N1678" s="10" t="s">
        <v>2373</v>
      </c>
      <c r="O1678" s="10"/>
    </row>
    <row r="1679" spans="1:15" ht="18" customHeight="1" x14ac:dyDescent="0.3">
      <c r="A1679" s="24">
        <v>1678</v>
      </c>
      <c r="B1679" s="10" t="s">
        <v>51</v>
      </c>
      <c r="C1679" s="10" t="s">
        <v>55</v>
      </c>
      <c r="D1679" s="62">
        <v>86</v>
      </c>
      <c r="E1679" s="61" t="s">
        <v>237</v>
      </c>
      <c r="F1679" s="16" t="s">
        <v>627</v>
      </c>
      <c r="G1679" s="10" t="s">
        <v>150</v>
      </c>
      <c r="H1679" s="10" t="s">
        <v>845</v>
      </c>
      <c r="I1679" s="62">
        <v>193</v>
      </c>
      <c r="J1679" s="8" t="s">
        <v>846</v>
      </c>
      <c r="K1679" s="10" t="s">
        <v>847</v>
      </c>
      <c r="L1679" s="10" t="s">
        <v>2373</v>
      </c>
      <c r="M1679" s="10" t="s">
        <v>2372</v>
      </c>
      <c r="N1679" s="10" t="s">
        <v>2373</v>
      </c>
      <c r="O1679" s="10"/>
    </row>
    <row r="1680" spans="1:15" ht="18" customHeight="1" x14ac:dyDescent="0.3">
      <c r="A1680" s="24">
        <v>1679</v>
      </c>
      <c r="B1680" s="10" t="s">
        <v>51</v>
      </c>
      <c r="C1680" s="10" t="s">
        <v>55</v>
      </c>
      <c r="D1680" s="62">
        <v>86</v>
      </c>
      <c r="E1680" s="61" t="s">
        <v>237</v>
      </c>
      <c r="F1680" s="16" t="s">
        <v>627</v>
      </c>
      <c r="G1680" s="10" t="s">
        <v>150</v>
      </c>
      <c r="H1680" s="10" t="s">
        <v>848</v>
      </c>
      <c r="I1680" s="62">
        <v>78</v>
      </c>
      <c r="J1680" s="8" t="s">
        <v>2372</v>
      </c>
      <c r="K1680" s="10" t="s">
        <v>847</v>
      </c>
      <c r="L1680" s="10" t="s">
        <v>2373</v>
      </c>
      <c r="M1680" s="10" t="s">
        <v>2372</v>
      </c>
      <c r="N1680" s="10" t="s">
        <v>2373</v>
      </c>
      <c r="O1680" s="10"/>
    </row>
    <row r="1681" spans="1:15" ht="18" customHeight="1" x14ac:dyDescent="0.3">
      <c r="A1681" s="24">
        <v>1680</v>
      </c>
      <c r="B1681" s="10" t="s">
        <v>51</v>
      </c>
      <c r="C1681" s="10" t="s">
        <v>55</v>
      </c>
      <c r="D1681" s="62">
        <v>86</v>
      </c>
      <c r="E1681" s="61" t="s">
        <v>237</v>
      </c>
      <c r="F1681" s="16" t="s">
        <v>627</v>
      </c>
      <c r="G1681" s="10" t="s">
        <v>150</v>
      </c>
      <c r="H1681" s="10" t="s">
        <v>849</v>
      </c>
      <c r="I1681" s="62">
        <v>79</v>
      </c>
      <c r="J1681" s="8" t="s">
        <v>846</v>
      </c>
      <c r="K1681" s="10" t="s">
        <v>847</v>
      </c>
      <c r="L1681" s="10" t="s">
        <v>2373</v>
      </c>
      <c r="M1681" s="10" t="s">
        <v>2372</v>
      </c>
      <c r="N1681" s="10" t="s">
        <v>2373</v>
      </c>
      <c r="O1681" s="10"/>
    </row>
    <row r="1682" spans="1:15" ht="18" customHeight="1" x14ac:dyDescent="0.3">
      <c r="A1682" s="24">
        <v>1681</v>
      </c>
      <c r="B1682" s="10" t="s">
        <v>51</v>
      </c>
      <c r="C1682" s="10" t="s">
        <v>55</v>
      </c>
      <c r="D1682" s="62">
        <v>86</v>
      </c>
      <c r="E1682" s="61" t="s">
        <v>237</v>
      </c>
      <c r="F1682" s="16" t="s">
        <v>627</v>
      </c>
      <c r="G1682" s="10" t="s">
        <v>150</v>
      </c>
      <c r="H1682" s="10" t="s">
        <v>850</v>
      </c>
      <c r="I1682" s="62">
        <v>79</v>
      </c>
      <c r="J1682" s="8" t="s">
        <v>2372</v>
      </c>
      <c r="K1682" s="10" t="s">
        <v>847</v>
      </c>
      <c r="L1682" s="10" t="s">
        <v>2373</v>
      </c>
      <c r="M1682" s="10" t="s">
        <v>2372</v>
      </c>
      <c r="N1682" s="10" t="s">
        <v>2373</v>
      </c>
      <c r="O1682" s="10"/>
    </row>
    <row r="1683" spans="1:15" ht="18" customHeight="1" x14ac:dyDescent="0.3">
      <c r="A1683" s="24">
        <v>1682</v>
      </c>
      <c r="B1683" s="10" t="s">
        <v>51</v>
      </c>
      <c r="C1683" s="10" t="s">
        <v>55</v>
      </c>
      <c r="D1683" s="62">
        <v>86</v>
      </c>
      <c r="E1683" s="61" t="s">
        <v>237</v>
      </c>
      <c r="F1683" s="16" t="s">
        <v>627</v>
      </c>
      <c r="G1683" s="10" t="s">
        <v>150</v>
      </c>
      <c r="H1683" s="10" t="s">
        <v>851</v>
      </c>
      <c r="I1683" s="62">
        <v>193</v>
      </c>
      <c r="J1683" s="8" t="s">
        <v>2372</v>
      </c>
      <c r="K1683" s="10" t="s">
        <v>847</v>
      </c>
      <c r="L1683" s="10" t="s">
        <v>2373</v>
      </c>
      <c r="M1683" s="10" t="s">
        <v>2372</v>
      </c>
      <c r="N1683" s="10" t="s">
        <v>2373</v>
      </c>
      <c r="O1683" s="10"/>
    </row>
    <row r="1684" spans="1:15" ht="18" customHeight="1" x14ac:dyDescent="0.3">
      <c r="A1684" s="24">
        <v>1683</v>
      </c>
      <c r="B1684" s="10" t="s">
        <v>51</v>
      </c>
      <c r="C1684" s="10" t="s">
        <v>55</v>
      </c>
      <c r="D1684" s="62">
        <v>86</v>
      </c>
      <c r="E1684" s="61" t="s">
        <v>237</v>
      </c>
      <c r="F1684" s="16" t="s">
        <v>627</v>
      </c>
      <c r="G1684" s="10" t="s">
        <v>150</v>
      </c>
      <c r="H1684" s="10" t="s">
        <v>852</v>
      </c>
      <c r="I1684" s="62">
        <v>78</v>
      </c>
      <c r="J1684" s="8" t="s">
        <v>2372</v>
      </c>
      <c r="K1684" s="10" t="s">
        <v>847</v>
      </c>
      <c r="L1684" s="10" t="s">
        <v>2373</v>
      </c>
      <c r="M1684" s="10" t="s">
        <v>2372</v>
      </c>
      <c r="N1684" s="10" t="s">
        <v>2373</v>
      </c>
      <c r="O1684" s="10"/>
    </row>
    <row r="1685" spans="1:15" ht="18" customHeight="1" x14ac:dyDescent="0.3">
      <c r="A1685" s="24">
        <v>1684</v>
      </c>
      <c r="B1685" s="10" t="s">
        <v>51</v>
      </c>
      <c r="C1685" s="10" t="s">
        <v>55</v>
      </c>
      <c r="D1685" s="62">
        <v>86</v>
      </c>
      <c r="E1685" s="61" t="s">
        <v>237</v>
      </c>
      <c r="F1685" s="16" t="s">
        <v>627</v>
      </c>
      <c r="G1685" s="10" t="s">
        <v>150</v>
      </c>
      <c r="H1685" s="10" t="s">
        <v>853</v>
      </c>
      <c r="I1685" s="62">
        <v>79</v>
      </c>
      <c r="J1685" s="8" t="s">
        <v>2372</v>
      </c>
      <c r="K1685" s="10" t="s">
        <v>847</v>
      </c>
      <c r="L1685" s="10" t="s">
        <v>2373</v>
      </c>
      <c r="M1685" s="10" t="s">
        <v>2372</v>
      </c>
      <c r="N1685" s="10" t="s">
        <v>2373</v>
      </c>
      <c r="O1685" s="10"/>
    </row>
    <row r="1686" spans="1:15" ht="18" customHeight="1" x14ac:dyDescent="0.3">
      <c r="A1686" s="24">
        <v>1685</v>
      </c>
      <c r="B1686" s="10" t="s">
        <v>51</v>
      </c>
      <c r="C1686" s="10" t="s">
        <v>55</v>
      </c>
      <c r="D1686" s="62">
        <v>86</v>
      </c>
      <c r="E1686" s="61" t="s">
        <v>237</v>
      </c>
      <c r="F1686" s="16" t="s">
        <v>627</v>
      </c>
      <c r="G1686" s="10" t="s">
        <v>150</v>
      </c>
      <c r="H1686" s="10" t="s">
        <v>854</v>
      </c>
      <c r="I1686" s="62">
        <v>79</v>
      </c>
      <c r="J1686" s="8" t="s">
        <v>2372</v>
      </c>
      <c r="K1686" s="10" t="s">
        <v>847</v>
      </c>
      <c r="L1686" s="10" t="s">
        <v>2373</v>
      </c>
      <c r="M1686" s="10" t="s">
        <v>2372</v>
      </c>
      <c r="N1686" s="10" t="s">
        <v>2373</v>
      </c>
      <c r="O1686" s="10"/>
    </row>
    <row r="1687" spans="1:15" ht="18" customHeight="1" x14ac:dyDescent="0.3">
      <c r="A1687" s="24">
        <v>1686</v>
      </c>
      <c r="B1687" s="10" t="s">
        <v>51</v>
      </c>
      <c r="C1687" s="10" t="s">
        <v>56</v>
      </c>
      <c r="D1687" s="62">
        <v>89</v>
      </c>
      <c r="E1687" s="61" t="s">
        <v>2874</v>
      </c>
      <c r="F1687" s="19" t="s">
        <v>1636</v>
      </c>
      <c r="G1687" s="10" t="s">
        <v>150</v>
      </c>
      <c r="H1687" s="10" t="s">
        <v>845</v>
      </c>
      <c r="I1687" s="62">
        <v>97</v>
      </c>
      <c r="J1687" s="10" t="s">
        <v>2372</v>
      </c>
      <c r="K1687" s="10" t="s">
        <v>847</v>
      </c>
      <c r="L1687" s="10" t="s">
        <v>2373</v>
      </c>
      <c r="M1687" s="10" t="s">
        <v>2372</v>
      </c>
      <c r="N1687" s="10" t="s">
        <v>2373</v>
      </c>
      <c r="O1687" s="10"/>
    </row>
    <row r="1688" spans="1:15" ht="18" customHeight="1" x14ac:dyDescent="0.3">
      <c r="A1688" s="24">
        <v>1687</v>
      </c>
      <c r="B1688" s="10" t="s">
        <v>51</v>
      </c>
      <c r="C1688" s="10" t="s">
        <v>56</v>
      </c>
      <c r="D1688" s="62">
        <v>89</v>
      </c>
      <c r="E1688" s="61" t="s">
        <v>2874</v>
      </c>
      <c r="F1688" s="19" t="s">
        <v>1636</v>
      </c>
      <c r="G1688" s="10" t="s">
        <v>150</v>
      </c>
      <c r="H1688" s="10" t="s">
        <v>848</v>
      </c>
      <c r="I1688" s="62">
        <v>66</v>
      </c>
      <c r="J1688" s="10" t="s">
        <v>2374</v>
      </c>
      <c r="K1688" s="10" t="s">
        <v>847</v>
      </c>
      <c r="L1688" s="10" t="s">
        <v>2373</v>
      </c>
      <c r="M1688" s="10" t="s">
        <v>2372</v>
      </c>
      <c r="N1688" s="10" t="s">
        <v>2373</v>
      </c>
      <c r="O1688" s="10"/>
    </row>
    <row r="1689" spans="1:15" ht="18" customHeight="1" x14ac:dyDescent="0.3">
      <c r="A1689" s="24">
        <v>1688</v>
      </c>
      <c r="B1689" s="10" t="s">
        <v>51</v>
      </c>
      <c r="C1689" s="10" t="s">
        <v>56</v>
      </c>
      <c r="D1689" s="62">
        <v>89</v>
      </c>
      <c r="E1689" s="61" t="s">
        <v>2874</v>
      </c>
      <c r="F1689" s="19" t="s">
        <v>999</v>
      </c>
      <c r="G1689" s="10" t="s">
        <v>150</v>
      </c>
      <c r="H1689" s="10" t="s">
        <v>850</v>
      </c>
      <c r="I1689" s="62">
        <v>59</v>
      </c>
      <c r="J1689" s="10" t="s">
        <v>2374</v>
      </c>
      <c r="K1689" s="10" t="s">
        <v>847</v>
      </c>
      <c r="L1689" s="10" t="s">
        <v>2373</v>
      </c>
      <c r="M1689" s="10" t="s">
        <v>2372</v>
      </c>
      <c r="N1689" s="10" t="s">
        <v>2373</v>
      </c>
      <c r="O1689" s="10"/>
    </row>
    <row r="1690" spans="1:15" ht="18" customHeight="1" x14ac:dyDescent="0.3">
      <c r="A1690" s="24">
        <v>1689</v>
      </c>
      <c r="B1690" s="10" t="s">
        <v>51</v>
      </c>
      <c r="C1690" s="10" t="s">
        <v>56</v>
      </c>
      <c r="D1690" s="62">
        <v>89</v>
      </c>
      <c r="E1690" s="61" t="s">
        <v>2874</v>
      </c>
      <c r="F1690" s="19" t="s">
        <v>999</v>
      </c>
      <c r="G1690" s="10" t="s">
        <v>150</v>
      </c>
      <c r="H1690" s="10" t="s">
        <v>851</v>
      </c>
      <c r="I1690" s="62">
        <v>66</v>
      </c>
      <c r="J1690" s="10" t="s">
        <v>2372</v>
      </c>
      <c r="K1690" s="10" t="s">
        <v>847</v>
      </c>
      <c r="L1690" s="10" t="s">
        <v>2373</v>
      </c>
      <c r="M1690" s="10" t="s">
        <v>2372</v>
      </c>
      <c r="N1690" s="10" t="s">
        <v>2373</v>
      </c>
      <c r="O1690" s="10"/>
    </row>
    <row r="1691" spans="1:15" ht="18" customHeight="1" x14ac:dyDescent="0.3">
      <c r="A1691" s="24">
        <v>1690</v>
      </c>
      <c r="B1691" s="10" t="s">
        <v>51</v>
      </c>
      <c r="C1691" s="10" t="s">
        <v>56</v>
      </c>
      <c r="D1691" s="62">
        <v>89</v>
      </c>
      <c r="E1691" s="61" t="s">
        <v>2874</v>
      </c>
      <c r="F1691" s="19" t="s">
        <v>999</v>
      </c>
      <c r="G1691" s="10" t="s">
        <v>150</v>
      </c>
      <c r="H1691" s="10" t="s">
        <v>852</v>
      </c>
      <c r="I1691" s="62">
        <v>78</v>
      </c>
      <c r="J1691" s="10" t="s">
        <v>2372</v>
      </c>
      <c r="K1691" s="10" t="s">
        <v>847</v>
      </c>
      <c r="L1691" s="10" t="s">
        <v>2373</v>
      </c>
      <c r="M1691" s="10" t="s">
        <v>2372</v>
      </c>
      <c r="N1691" s="10" t="s">
        <v>2373</v>
      </c>
      <c r="O1691" s="10"/>
    </row>
    <row r="1692" spans="1:15" ht="18" customHeight="1" x14ac:dyDescent="0.3">
      <c r="A1692" s="24">
        <v>1691</v>
      </c>
      <c r="B1692" s="10" t="s">
        <v>51</v>
      </c>
      <c r="C1692" s="10" t="s">
        <v>56</v>
      </c>
      <c r="D1692" s="62">
        <v>89</v>
      </c>
      <c r="E1692" s="61" t="s">
        <v>2874</v>
      </c>
      <c r="F1692" s="19" t="s">
        <v>1636</v>
      </c>
      <c r="G1692" s="10" t="s">
        <v>150</v>
      </c>
      <c r="H1692" s="10" t="s">
        <v>849</v>
      </c>
      <c r="I1692" s="62">
        <v>85</v>
      </c>
      <c r="J1692" s="10" t="s">
        <v>2372</v>
      </c>
      <c r="K1692" s="10" t="s">
        <v>847</v>
      </c>
      <c r="L1692" s="10" t="s">
        <v>2373</v>
      </c>
      <c r="M1692" s="10" t="s">
        <v>2372</v>
      </c>
      <c r="N1692" s="10" t="s">
        <v>2373</v>
      </c>
      <c r="O1692" s="10"/>
    </row>
    <row r="1693" spans="1:15" ht="18" customHeight="1" x14ac:dyDescent="0.3">
      <c r="A1693" s="24">
        <v>1692</v>
      </c>
      <c r="B1693" s="10" t="s">
        <v>51</v>
      </c>
      <c r="C1693" s="10" t="s">
        <v>56</v>
      </c>
      <c r="D1693" s="62">
        <v>89</v>
      </c>
      <c r="E1693" s="61" t="s">
        <v>2875</v>
      </c>
      <c r="F1693" s="19" t="s">
        <v>996</v>
      </c>
      <c r="G1693" s="10" t="s">
        <v>150</v>
      </c>
      <c r="H1693" s="10" t="s">
        <v>849</v>
      </c>
      <c r="I1693" s="62">
        <v>119</v>
      </c>
      <c r="J1693" s="10" t="s">
        <v>2372</v>
      </c>
      <c r="K1693" s="10" t="s">
        <v>847</v>
      </c>
      <c r="L1693" s="10" t="s">
        <v>2373</v>
      </c>
      <c r="M1693" s="10" t="s">
        <v>2372</v>
      </c>
      <c r="N1693" s="10" t="s">
        <v>2373</v>
      </c>
      <c r="O1693" s="10"/>
    </row>
    <row r="1694" spans="1:15" ht="18" customHeight="1" x14ac:dyDescent="0.3">
      <c r="A1694" s="24">
        <v>1693</v>
      </c>
      <c r="B1694" s="10" t="s">
        <v>51</v>
      </c>
      <c r="C1694" s="10" t="s">
        <v>56</v>
      </c>
      <c r="D1694" s="62">
        <v>89</v>
      </c>
      <c r="E1694" s="61" t="s">
        <v>2875</v>
      </c>
      <c r="F1694" s="19" t="s">
        <v>996</v>
      </c>
      <c r="G1694" s="10" t="s">
        <v>150</v>
      </c>
      <c r="H1694" s="10" t="s">
        <v>850</v>
      </c>
      <c r="I1694" s="62">
        <v>220</v>
      </c>
      <c r="J1694" s="10" t="s">
        <v>2374</v>
      </c>
      <c r="K1694" s="10" t="s">
        <v>847</v>
      </c>
      <c r="L1694" s="10" t="s">
        <v>2373</v>
      </c>
      <c r="M1694" s="10" t="s">
        <v>2372</v>
      </c>
      <c r="N1694" s="10" t="s">
        <v>2373</v>
      </c>
      <c r="O1694" s="10"/>
    </row>
    <row r="1695" spans="1:15" ht="18" customHeight="1" x14ac:dyDescent="0.3">
      <c r="A1695" s="24">
        <v>1694</v>
      </c>
      <c r="B1695" s="10" t="s">
        <v>51</v>
      </c>
      <c r="C1695" s="10" t="s">
        <v>56</v>
      </c>
      <c r="D1695" s="62">
        <v>89</v>
      </c>
      <c r="E1695" s="61" t="s">
        <v>2875</v>
      </c>
      <c r="F1695" s="19" t="s">
        <v>996</v>
      </c>
      <c r="G1695" s="10" t="s">
        <v>150</v>
      </c>
      <c r="H1695" s="10" t="s">
        <v>851</v>
      </c>
      <c r="I1695" s="62">
        <v>220</v>
      </c>
      <c r="J1695" s="10" t="s">
        <v>2374</v>
      </c>
      <c r="K1695" s="10" t="s">
        <v>847</v>
      </c>
      <c r="L1695" s="10" t="s">
        <v>2373</v>
      </c>
      <c r="M1695" s="10" t="s">
        <v>2372</v>
      </c>
      <c r="N1695" s="10" t="s">
        <v>2373</v>
      </c>
      <c r="O1695" s="10"/>
    </row>
    <row r="1696" spans="1:15" ht="18" customHeight="1" x14ac:dyDescent="0.3">
      <c r="A1696" s="24">
        <v>1695</v>
      </c>
      <c r="B1696" s="10" t="s">
        <v>51</v>
      </c>
      <c r="C1696" s="10" t="s">
        <v>56</v>
      </c>
      <c r="D1696" s="62">
        <v>89</v>
      </c>
      <c r="E1696" s="61" t="s">
        <v>2875</v>
      </c>
      <c r="F1696" s="19" t="s">
        <v>996</v>
      </c>
      <c r="G1696" s="10" t="s">
        <v>150</v>
      </c>
      <c r="H1696" s="10" t="s">
        <v>852</v>
      </c>
      <c r="I1696" s="62">
        <v>287</v>
      </c>
      <c r="J1696" s="10" t="s">
        <v>2372</v>
      </c>
      <c r="K1696" s="10" t="s">
        <v>847</v>
      </c>
      <c r="L1696" s="10" t="s">
        <v>2373</v>
      </c>
      <c r="M1696" s="10" t="s">
        <v>2372</v>
      </c>
      <c r="N1696" s="10" t="s">
        <v>2373</v>
      </c>
      <c r="O1696" s="10"/>
    </row>
    <row r="1697" spans="1:15" ht="18" customHeight="1" x14ac:dyDescent="0.3">
      <c r="A1697" s="24">
        <v>1696</v>
      </c>
      <c r="B1697" s="10" t="s">
        <v>51</v>
      </c>
      <c r="C1697" s="10" t="s">
        <v>56</v>
      </c>
      <c r="D1697" s="62">
        <v>89</v>
      </c>
      <c r="E1697" s="61" t="s">
        <v>2875</v>
      </c>
      <c r="F1697" s="19" t="s">
        <v>996</v>
      </c>
      <c r="G1697" s="10" t="s">
        <v>150</v>
      </c>
      <c r="H1697" s="10" t="s">
        <v>853</v>
      </c>
      <c r="I1697" s="62">
        <v>103</v>
      </c>
      <c r="J1697" s="10" t="s">
        <v>2372</v>
      </c>
      <c r="K1697" s="10" t="s">
        <v>847</v>
      </c>
      <c r="L1697" s="10" t="s">
        <v>2373</v>
      </c>
      <c r="M1697" s="10" t="s">
        <v>2372</v>
      </c>
      <c r="N1697" s="10" t="s">
        <v>2373</v>
      </c>
      <c r="O1697" s="10"/>
    </row>
    <row r="1698" spans="1:15" ht="18" customHeight="1" x14ac:dyDescent="0.3">
      <c r="A1698" s="24">
        <v>1697</v>
      </c>
      <c r="B1698" s="10" t="s">
        <v>51</v>
      </c>
      <c r="C1698" s="10" t="s">
        <v>56</v>
      </c>
      <c r="D1698" s="62">
        <v>89</v>
      </c>
      <c r="E1698" s="61" t="s">
        <v>2875</v>
      </c>
      <c r="F1698" s="19" t="s">
        <v>2592</v>
      </c>
      <c r="G1698" s="10" t="s">
        <v>150</v>
      </c>
      <c r="H1698" s="10" t="s">
        <v>845</v>
      </c>
      <c r="I1698" s="62">
        <v>132</v>
      </c>
      <c r="J1698" s="10" t="s">
        <v>2374</v>
      </c>
      <c r="K1698" s="10" t="s">
        <v>846</v>
      </c>
      <c r="L1698" s="10" t="s">
        <v>188</v>
      </c>
      <c r="M1698" s="10" t="s">
        <v>2372</v>
      </c>
      <c r="N1698" s="10" t="s">
        <v>2373</v>
      </c>
      <c r="O1698" s="10"/>
    </row>
    <row r="1699" spans="1:15" ht="18" customHeight="1" x14ac:dyDescent="0.3">
      <c r="A1699" s="24">
        <v>1698</v>
      </c>
      <c r="B1699" s="10" t="s">
        <v>51</v>
      </c>
      <c r="C1699" s="10" t="s">
        <v>56</v>
      </c>
      <c r="D1699" s="62">
        <v>89</v>
      </c>
      <c r="E1699" s="61" t="s">
        <v>2875</v>
      </c>
      <c r="F1699" s="19" t="s">
        <v>2592</v>
      </c>
      <c r="G1699" s="10" t="s">
        <v>150</v>
      </c>
      <c r="H1699" s="10" t="s">
        <v>854</v>
      </c>
      <c r="I1699" s="62">
        <v>169</v>
      </c>
      <c r="J1699" s="10" t="s">
        <v>2374</v>
      </c>
      <c r="K1699" s="10" t="s">
        <v>846</v>
      </c>
      <c r="L1699" s="10" t="s">
        <v>985</v>
      </c>
      <c r="M1699" s="10" t="s">
        <v>2372</v>
      </c>
      <c r="N1699" s="10" t="s">
        <v>2373</v>
      </c>
      <c r="O1699" s="10"/>
    </row>
    <row r="1700" spans="1:15" ht="18" customHeight="1" x14ac:dyDescent="0.3">
      <c r="A1700" s="24">
        <v>1699</v>
      </c>
      <c r="B1700" s="10" t="s">
        <v>51</v>
      </c>
      <c r="C1700" s="10" t="s">
        <v>56</v>
      </c>
      <c r="D1700" s="62">
        <v>89</v>
      </c>
      <c r="E1700" s="61" t="s">
        <v>2875</v>
      </c>
      <c r="F1700" s="19" t="s">
        <v>2592</v>
      </c>
      <c r="G1700" s="10" t="s">
        <v>150</v>
      </c>
      <c r="H1700" s="10" t="s">
        <v>1155</v>
      </c>
      <c r="I1700" s="62">
        <v>76</v>
      </c>
      <c r="J1700" s="10" t="s">
        <v>2372</v>
      </c>
      <c r="K1700" s="10" t="s">
        <v>2374</v>
      </c>
      <c r="L1700" s="10" t="s">
        <v>2426</v>
      </c>
      <c r="M1700" s="10" t="s">
        <v>2372</v>
      </c>
      <c r="N1700" s="10" t="s">
        <v>2373</v>
      </c>
      <c r="O1700" s="10"/>
    </row>
    <row r="1701" spans="1:15" ht="18" customHeight="1" x14ac:dyDescent="0.3">
      <c r="A1701" s="24">
        <v>1700</v>
      </c>
      <c r="B1701" s="10" t="s">
        <v>51</v>
      </c>
      <c r="C1701" s="10" t="s">
        <v>56</v>
      </c>
      <c r="D1701" s="62">
        <v>89</v>
      </c>
      <c r="E1701" s="61" t="s">
        <v>2593</v>
      </c>
      <c r="F1701" s="19" t="s">
        <v>1641</v>
      </c>
      <c r="G1701" s="10" t="s">
        <v>2373</v>
      </c>
      <c r="H1701" s="10" t="s">
        <v>845</v>
      </c>
      <c r="I1701" s="62">
        <v>70</v>
      </c>
      <c r="J1701" s="10" t="s">
        <v>2372</v>
      </c>
      <c r="K1701" s="10" t="s">
        <v>847</v>
      </c>
      <c r="L1701" s="10" t="s">
        <v>2373</v>
      </c>
      <c r="M1701" s="10" t="s">
        <v>2374</v>
      </c>
      <c r="N1701" s="10" t="s">
        <v>1234</v>
      </c>
      <c r="O1701" s="10"/>
    </row>
    <row r="1702" spans="1:15" ht="18" customHeight="1" x14ac:dyDescent="0.3">
      <c r="A1702" s="24">
        <v>1701</v>
      </c>
      <c r="B1702" s="10" t="s">
        <v>51</v>
      </c>
      <c r="C1702" s="10" t="s">
        <v>56</v>
      </c>
      <c r="D1702" s="62">
        <v>89</v>
      </c>
      <c r="E1702" s="61" t="s">
        <v>222</v>
      </c>
      <c r="F1702" s="9" t="s">
        <v>1644</v>
      </c>
      <c r="G1702" s="10" t="s">
        <v>150</v>
      </c>
      <c r="H1702" s="10" t="s">
        <v>845</v>
      </c>
      <c r="I1702" s="62">
        <v>177</v>
      </c>
      <c r="J1702" s="8" t="s">
        <v>846</v>
      </c>
      <c r="K1702" s="10" t="s">
        <v>847</v>
      </c>
      <c r="L1702" s="10" t="s">
        <v>2373</v>
      </c>
      <c r="M1702" s="10" t="s">
        <v>2372</v>
      </c>
      <c r="N1702" s="10" t="s">
        <v>2373</v>
      </c>
      <c r="O1702" s="10"/>
    </row>
    <row r="1703" spans="1:15" ht="18" customHeight="1" x14ac:dyDescent="0.3">
      <c r="A1703" s="24">
        <v>1702</v>
      </c>
      <c r="B1703" s="10" t="s">
        <v>51</v>
      </c>
      <c r="C1703" s="10" t="s">
        <v>56</v>
      </c>
      <c r="D1703" s="62">
        <v>89</v>
      </c>
      <c r="E1703" s="61" t="s">
        <v>222</v>
      </c>
      <c r="F1703" s="9" t="s">
        <v>1644</v>
      </c>
      <c r="G1703" s="10" t="s">
        <v>150</v>
      </c>
      <c r="H1703" s="10" t="s">
        <v>848</v>
      </c>
      <c r="I1703" s="62">
        <v>95</v>
      </c>
      <c r="J1703" s="8" t="s">
        <v>2372</v>
      </c>
      <c r="K1703" s="10" t="s">
        <v>847</v>
      </c>
      <c r="L1703" s="10" t="s">
        <v>2373</v>
      </c>
      <c r="M1703" s="10" t="s">
        <v>2372</v>
      </c>
      <c r="N1703" s="10" t="s">
        <v>2373</v>
      </c>
      <c r="O1703" s="10"/>
    </row>
    <row r="1704" spans="1:15" ht="18" customHeight="1" x14ac:dyDescent="0.3">
      <c r="A1704" s="24">
        <v>1703</v>
      </c>
      <c r="B1704" s="10" t="s">
        <v>51</v>
      </c>
      <c r="C1704" s="10" t="s">
        <v>56</v>
      </c>
      <c r="D1704" s="62">
        <v>89</v>
      </c>
      <c r="E1704" s="61" t="s">
        <v>222</v>
      </c>
      <c r="F1704" s="9" t="s">
        <v>1000</v>
      </c>
      <c r="G1704" s="10" t="s">
        <v>150</v>
      </c>
      <c r="H1704" s="10" t="s">
        <v>849</v>
      </c>
      <c r="I1704" s="62">
        <v>133</v>
      </c>
      <c r="J1704" s="8" t="s">
        <v>2372</v>
      </c>
      <c r="K1704" s="10" t="s">
        <v>847</v>
      </c>
      <c r="L1704" s="10" t="s">
        <v>2373</v>
      </c>
      <c r="M1704" s="10" t="s">
        <v>2372</v>
      </c>
      <c r="N1704" s="10" t="s">
        <v>2373</v>
      </c>
      <c r="O1704" s="10"/>
    </row>
    <row r="1705" spans="1:15" ht="18" customHeight="1" x14ac:dyDescent="0.3">
      <c r="A1705" s="24">
        <v>1704</v>
      </c>
      <c r="B1705" s="10" t="s">
        <v>51</v>
      </c>
      <c r="C1705" s="10" t="s">
        <v>56</v>
      </c>
      <c r="D1705" s="62">
        <v>89</v>
      </c>
      <c r="E1705" s="61" t="s">
        <v>222</v>
      </c>
      <c r="F1705" s="9" t="s">
        <v>1000</v>
      </c>
      <c r="G1705" s="10" t="s">
        <v>150</v>
      </c>
      <c r="H1705" s="10" t="s">
        <v>850</v>
      </c>
      <c r="I1705" s="62">
        <v>177</v>
      </c>
      <c r="J1705" s="8" t="s">
        <v>2372</v>
      </c>
      <c r="K1705" s="10" t="s">
        <v>847</v>
      </c>
      <c r="L1705" s="10" t="s">
        <v>2373</v>
      </c>
      <c r="M1705" s="10" t="s">
        <v>2372</v>
      </c>
      <c r="N1705" s="10" t="s">
        <v>2373</v>
      </c>
      <c r="O1705" s="10"/>
    </row>
    <row r="1706" spans="1:15" ht="18" customHeight="1" x14ac:dyDescent="0.3">
      <c r="A1706" s="24">
        <v>1705</v>
      </c>
      <c r="B1706" s="10" t="s">
        <v>51</v>
      </c>
      <c r="C1706" s="10" t="s">
        <v>56</v>
      </c>
      <c r="D1706" s="62">
        <v>89</v>
      </c>
      <c r="E1706" s="61" t="s">
        <v>222</v>
      </c>
      <c r="F1706" s="9" t="s">
        <v>1000</v>
      </c>
      <c r="G1706" s="10" t="s">
        <v>150</v>
      </c>
      <c r="H1706" s="10" t="s">
        <v>851</v>
      </c>
      <c r="I1706" s="62">
        <v>95</v>
      </c>
      <c r="J1706" s="8" t="s">
        <v>2372</v>
      </c>
      <c r="K1706" s="10" t="s">
        <v>847</v>
      </c>
      <c r="L1706" s="10" t="s">
        <v>2373</v>
      </c>
      <c r="M1706" s="10" t="s">
        <v>2372</v>
      </c>
      <c r="N1706" s="10" t="s">
        <v>2373</v>
      </c>
      <c r="O1706" s="10"/>
    </row>
    <row r="1707" spans="1:15" ht="18" customHeight="1" x14ac:dyDescent="0.3">
      <c r="A1707" s="24">
        <v>1706</v>
      </c>
      <c r="B1707" s="10" t="s">
        <v>51</v>
      </c>
      <c r="C1707" s="10" t="s">
        <v>56</v>
      </c>
      <c r="D1707" s="62">
        <v>89</v>
      </c>
      <c r="E1707" s="61" t="s">
        <v>222</v>
      </c>
      <c r="F1707" s="9" t="s">
        <v>1000</v>
      </c>
      <c r="G1707" s="10" t="s">
        <v>150</v>
      </c>
      <c r="H1707" s="10" t="s">
        <v>852</v>
      </c>
      <c r="I1707" s="62">
        <v>133</v>
      </c>
      <c r="J1707" s="8" t="s">
        <v>846</v>
      </c>
      <c r="K1707" s="10" t="s">
        <v>847</v>
      </c>
      <c r="L1707" s="10" t="s">
        <v>2373</v>
      </c>
      <c r="M1707" s="10" t="s">
        <v>2372</v>
      </c>
      <c r="N1707" s="10" t="s">
        <v>2373</v>
      </c>
      <c r="O1707" s="10"/>
    </row>
    <row r="1708" spans="1:15" ht="18" customHeight="1" x14ac:dyDescent="0.3">
      <c r="A1708" s="24">
        <v>1707</v>
      </c>
      <c r="B1708" s="10" t="s">
        <v>51</v>
      </c>
      <c r="C1708" s="10" t="s">
        <v>56</v>
      </c>
      <c r="D1708" s="62">
        <v>89</v>
      </c>
      <c r="E1708" s="61" t="s">
        <v>222</v>
      </c>
      <c r="F1708" s="9" t="s">
        <v>1000</v>
      </c>
      <c r="G1708" s="10" t="s">
        <v>150</v>
      </c>
      <c r="H1708" s="10" t="s">
        <v>853</v>
      </c>
      <c r="I1708" s="62">
        <v>245</v>
      </c>
      <c r="J1708" s="8" t="s">
        <v>2372</v>
      </c>
      <c r="K1708" s="10" t="s">
        <v>847</v>
      </c>
      <c r="L1708" s="10" t="s">
        <v>2373</v>
      </c>
      <c r="M1708" s="10" t="s">
        <v>2372</v>
      </c>
      <c r="N1708" s="10" t="s">
        <v>2373</v>
      </c>
      <c r="O1708" s="10"/>
    </row>
    <row r="1709" spans="1:15" ht="18" customHeight="1" x14ac:dyDescent="0.3">
      <c r="A1709" s="24">
        <v>1708</v>
      </c>
      <c r="B1709" s="10" t="s">
        <v>51</v>
      </c>
      <c r="C1709" s="10" t="s">
        <v>56</v>
      </c>
      <c r="D1709" s="62">
        <v>89</v>
      </c>
      <c r="E1709" s="61" t="s">
        <v>222</v>
      </c>
      <c r="F1709" s="9" t="s">
        <v>1000</v>
      </c>
      <c r="G1709" s="10" t="s">
        <v>150</v>
      </c>
      <c r="H1709" s="10" t="s">
        <v>854</v>
      </c>
      <c r="I1709" s="62">
        <v>242</v>
      </c>
      <c r="J1709" s="8" t="s">
        <v>846</v>
      </c>
      <c r="K1709" s="10" t="s">
        <v>847</v>
      </c>
      <c r="L1709" s="10" t="s">
        <v>2373</v>
      </c>
      <c r="M1709" s="10" t="s">
        <v>2372</v>
      </c>
      <c r="N1709" s="10" t="s">
        <v>2373</v>
      </c>
      <c r="O1709" s="10"/>
    </row>
    <row r="1710" spans="1:15" ht="18" customHeight="1" x14ac:dyDescent="0.3">
      <c r="A1710" s="24">
        <v>1709</v>
      </c>
      <c r="B1710" s="10" t="s">
        <v>51</v>
      </c>
      <c r="C1710" s="10" t="s">
        <v>56</v>
      </c>
      <c r="D1710" s="62">
        <v>89</v>
      </c>
      <c r="E1710" s="61" t="s">
        <v>889</v>
      </c>
      <c r="F1710" s="9" t="s">
        <v>1648</v>
      </c>
      <c r="G1710" s="10" t="s">
        <v>160</v>
      </c>
      <c r="H1710" s="10" t="s">
        <v>845</v>
      </c>
      <c r="I1710" s="62">
        <v>196</v>
      </c>
      <c r="J1710" s="8" t="s">
        <v>2372</v>
      </c>
      <c r="K1710" s="10" t="s">
        <v>847</v>
      </c>
      <c r="L1710" s="10" t="s">
        <v>2373</v>
      </c>
      <c r="M1710" s="10" t="s">
        <v>2372</v>
      </c>
      <c r="N1710" s="10" t="s">
        <v>2373</v>
      </c>
      <c r="O1710" s="10"/>
    </row>
    <row r="1711" spans="1:15" ht="18" customHeight="1" x14ac:dyDescent="0.3">
      <c r="A1711" s="24">
        <v>1710</v>
      </c>
      <c r="B1711" s="10" t="s">
        <v>51</v>
      </c>
      <c r="C1711" s="10" t="s">
        <v>56</v>
      </c>
      <c r="D1711" s="62">
        <v>89</v>
      </c>
      <c r="E1711" s="61" t="s">
        <v>889</v>
      </c>
      <c r="F1711" s="9" t="s">
        <v>1648</v>
      </c>
      <c r="G1711" s="10" t="s">
        <v>160</v>
      </c>
      <c r="H1711" s="10" t="s">
        <v>848</v>
      </c>
      <c r="I1711" s="62">
        <v>68</v>
      </c>
      <c r="J1711" s="8" t="s">
        <v>2372</v>
      </c>
      <c r="K1711" s="10" t="s">
        <v>847</v>
      </c>
      <c r="L1711" s="10" t="s">
        <v>2373</v>
      </c>
      <c r="M1711" s="10" t="s">
        <v>2372</v>
      </c>
      <c r="N1711" s="10" t="s">
        <v>2373</v>
      </c>
      <c r="O1711" s="10"/>
    </row>
    <row r="1712" spans="1:15" ht="18" customHeight="1" x14ac:dyDescent="0.3">
      <c r="A1712" s="24">
        <v>1711</v>
      </c>
      <c r="B1712" s="10" t="s">
        <v>51</v>
      </c>
      <c r="C1712" s="10" t="s">
        <v>56</v>
      </c>
      <c r="D1712" s="62">
        <v>89</v>
      </c>
      <c r="E1712" s="61" t="s">
        <v>889</v>
      </c>
      <c r="F1712" s="9" t="s">
        <v>997</v>
      </c>
      <c r="G1712" s="10" t="s">
        <v>160</v>
      </c>
      <c r="H1712" s="10" t="s">
        <v>849</v>
      </c>
      <c r="I1712" s="62">
        <v>40</v>
      </c>
      <c r="J1712" s="8" t="s">
        <v>2374</v>
      </c>
      <c r="K1712" s="10" t="s">
        <v>847</v>
      </c>
      <c r="L1712" s="10" t="s">
        <v>2373</v>
      </c>
      <c r="M1712" s="10" t="s">
        <v>2372</v>
      </c>
      <c r="N1712" s="10" t="s">
        <v>2373</v>
      </c>
      <c r="O1712" s="10"/>
    </row>
    <row r="1713" spans="1:15" ht="18" customHeight="1" x14ac:dyDescent="0.3">
      <c r="A1713" s="24">
        <v>1712</v>
      </c>
      <c r="B1713" s="10" t="s">
        <v>51</v>
      </c>
      <c r="C1713" s="10" t="s">
        <v>56</v>
      </c>
      <c r="D1713" s="62">
        <v>89</v>
      </c>
      <c r="E1713" s="61" t="s">
        <v>889</v>
      </c>
      <c r="F1713" s="9" t="s">
        <v>997</v>
      </c>
      <c r="G1713" s="10" t="s">
        <v>160</v>
      </c>
      <c r="H1713" s="10" t="s">
        <v>850</v>
      </c>
      <c r="I1713" s="62">
        <v>71</v>
      </c>
      <c r="J1713" s="8" t="s">
        <v>2372</v>
      </c>
      <c r="K1713" s="10" t="s">
        <v>847</v>
      </c>
      <c r="L1713" s="10" t="s">
        <v>2373</v>
      </c>
      <c r="M1713" s="10" t="s">
        <v>2372</v>
      </c>
      <c r="N1713" s="10" t="s">
        <v>2373</v>
      </c>
      <c r="O1713" s="10"/>
    </row>
    <row r="1714" spans="1:15" ht="18" customHeight="1" x14ac:dyDescent="0.3">
      <c r="A1714" s="24">
        <v>1713</v>
      </c>
      <c r="B1714" s="10" t="s">
        <v>51</v>
      </c>
      <c r="C1714" s="10" t="s">
        <v>56</v>
      </c>
      <c r="D1714" s="62">
        <v>89</v>
      </c>
      <c r="E1714" s="61" t="s">
        <v>889</v>
      </c>
      <c r="F1714" s="9" t="s">
        <v>997</v>
      </c>
      <c r="G1714" s="10" t="s">
        <v>160</v>
      </c>
      <c r="H1714" s="10" t="s">
        <v>851</v>
      </c>
      <c r="I1714" s="62">
        <v>180</v>
      </c>
      <c r="J1714" s="8" t="s">
        <v>2372</v>
      </c>
      <c r="K1714" s="10" t="s">
        <v>847</v>
      </c>
      <c r="L1714" s="10" t="s">
        <v>2373</v>
      </c>
      <c r="M1714" s="10" t="s">
        <v>2372</v>
      </c>
      <c r="N1714" s="10" t="s">
        <v>2373</v>
      </c>
      <c r="O1714" s="10"/>
    </row>
    <row r="1715" spans="1:15" ht="18" customHeight="1" x14ac:dyDescent="0.3">
      <c r="A1715" s="24">
        <v>1714</v>
      </c>
      <c r="B1715" s="10" t="s">
        <v>51</v>
      </c>
      <c r="C1715" s="10" t="s">
        <v>56</v>
      </c>
      <c r="D1715" s="62">
        <v>89</v>
      </c>
      <c r="E1715" s="61" t="s">
        <v>889</v>
      </c>
      <c r="F1715" s="9" t="s">
        <v>997</v>
      </c>
      <c r="G1715" s="10" t="s">
        <v>160</v>
      </c>
      <c r="H1715" s="10" t="s">
        <v>852</v>
      </c>
      <c r="I1715" s="62">
        <v>68</v>
      </c>
      <c r="J1715" s="8" t="s">
        <v>2372</v>
      </c>
      <c r="K1715" s="10" t="s">
        <v>847</v>
      </c>
      <c r="L1715" s="10" t="s">
        <v>2373</v>
      </c>
      <c r="M1715" s="10" t="s">
        <v>2372</v>
      </c>
      <c r="N1715" s="10" t="s">
        <v>2373</v>
      </c>
      <c r="O1715" s="10"/>
    </row>
    <row r="1716" spans="1:15" ht="18" customHeight="1" x14ac:dyDescent="0.3">
      <c r="A1716" s="24">
        <v>1715</v>
      </c>
      <c r="B1716" s="10" t="s">
        <v>51</v>
      </c>
      <c r="C1716" s="10" t="s">
        <v>56</v>
      </c>
      <c r="D1716" s="62">
        <v>89</v>
      </c>
      <c r="E1716" s="61" t="s">
        <v>889</v>
      </c>
      <c r="F1716" s="9" t="s">
        <v>997</v>
      </c>
      <c r="G1716" s="10" t="s">
        <v>160</v>
      </c>
      <c r="H1716" s="10" t="s">
        <v>853</v>
      </c>
      <c r="I1716" s="62">
        <v>40</v>
      </c>
      <c r="J1716" s="8" t="s">
        <v>2372</v>
      </c>
      <c r="K1716" s="10" t="s">
        <v>847</v>
      </c>
      <c r="L1716" s="10" t="s">
        <v>2373</v>
      </c>
      <c r="M1716" s="10" t="s">
        <v>2372</v>
      </c>
      <c r="N1716" s="10" t="s">
        <v>2373</v>
      </c>
      <c r="O1716" s="10"/>
    </row>
    <row r="1717" spans="1:15" ht="18" customHeight="1" x14ac:dyDescent="0.3">
      <c r="A1717" s="24">
        <v>1716</v>
      </c>
      <c r="B1717" s="10" t="s">
        <v>51</v>
      </c>
      <c r="C1717" s="10" t="s">
        <v>56</v>
      </c>
      <c r="D1717" s="62">
        <v>89</v>
      </c>
      <c r="E1717" s="61" t="s">
        <v>889</v>
      </c>
      <c r="F1717" s="9" t="s">
        <v>997</v>
      </c>
      <c r="G1717" s="10" t="s">
        <v>160</v>
      </c>
      <c r="H1717" s="10" t="s">
        <v>854</v>
      </c>
      <c r="I1717" s="62">
        <v>73</v>
      </c>
      <c r="J1717" s="8" t="s">
        <v>2372</v>
      </c>
      <c r="K1717" s="10" t="s">
        <v>847</v>
      </c>
      <c r="L1717" s="10" t="s">
        <v>2373</v>
      </c>
      <c r="M1717" s="10" t="s">
        <v>2372</v>
      </c>
      <c r="N1717" s="10" t="s">
        <v>2373</v>
      </c>
      <c r="O1717" s="10"/>
    </row>
    <row r="1718" spans="1:15" ht="18" customHeight="1" x14ac:dyDescent="0.3">
      <c r="A1718" s="24">
        <v>1717</v>
      </c>
      <c r="B1718" s="10" t="s">
        <v>51</v>
      </c>
      <c r="C1718" s="10" t="s">
        <v>56</v>
      </c>
      <c r="D1718" s="62">
        <v>89</v>
      </c>
      <c r="E1718" s="61" t="s">
        <v>889</v>
      </c>
      <c r="F1718" s="9" t="s">
        <v>997</v>
      </c>
      <c r="G1718" s="10" t="s">
        <v>160</v>
      </c>
      <c r="H1718" s="10" t="s">
        <v>855</v>
      </c>
      <c r="I1718" s="62">
        <v>70</v>
      </c>
      <c r="J1718" s="8" t="s">
        <v>2372</v>
      </c>
      <c r="K1718" s="10" t="s">
        <v>847</v>
      </c>
      <c r="L1718" s="10" t="s">
        <v>2373</v>
      </c>
      <c r="M1718" s="10" t="s">
        <v>2372</v>
      </c>
      <c r="N1718" s="10" t="s">
        <v>2373</v>
      </c>
      <c r="O1718" s="10"/>
    </row>
    <row r="1719" spans="1:15" ht="18" customHeight="1" x14ac:dyDescent="0.3">
      <c r="A1719" s="24">
        <v>1718</v>
      </c>
      <c r="B1719" s="10" t="s">
        <v>51</v>
      </c>
      <c r="C1719" s="10" t="s">
        <v>56</v>
      </c>
      <c r="D1719" s="62">
        <v>89</v>
      </c>
      <c r="E1719" s="61" t="s">
        <v>2876</v>
      </c>
      <c r="F1719" s="9" t="s">
        <v>1648</v>
      </c>
      <c r="G1719" s="10" t="s">
        <v>150</v>
      </c>
      <c r="H1719" s="10" t="s">
        <v>845</v>
      </c>
      <c r="I1719" s="62">
        <v>134</v>
      </c>
      <c r="J1719" s="10" t="s">
        <v>2372</v>
      </c>
      <c r="K1719" s="10" t="s">
        <v>847</v>
      </c>
      <c r="L1719" s="10" t="s">
        <v>2373</v>
      </c>
      <c r="M1719" s="10" t="s">
        <v>2372</v>
      </c>
      <c r="N1719" s="10" t="s">
        <v>2373</v>
      </c>
      <c r="O1719" s="10"/>
    </row>
    <row r="1720" spans="1:15" ht="18" customHeight="1" x14ac:dyDescent="0.3">
      <c r="A1720" s="24">
        <v>1719</v>
      </c>
      <c r="B1720" s="10" t="s">
        <v>51</v>
      </c>
      <c r="C1720" s="10" t="s">
        <v>56</v>
      </c>
      <c r="D1720" s="62">
        <v>89</v>
      </c>
      <c r="E1720" s="61" t="s">
        <v>2876</v>
      </c>
      <c r="F1720" s="9" t="s">
        <v>1648</v>
      </c>
      <c r="G1720" s="10" t="s">
        <v>150</v>
      </c>
      <c r="H1720" s="10" t="s">
        <v>848</v>
      </c>
      <c r="I1720" s="62">
        <v>95</v>
      </c>
      <c r="J1720" s="10" t="s">
        <v>2372</v>
      </c>
      <c r="K1720" s="10" t="s">
        <v>847</v>
      </c>
      <c r="L1720" s="10" t="s">
        <v>2373</v>
      </c>
      <c r="M1720" s="10" t="s">
        <v>2372</v>
      </c>
      <c r="N1720" s="10" t="s">
        <v>2373</v>
      </c>
      <c r="O1720" s="10"/>
    </row>
    <row r="1721" spans="1:15" ht="18" customHeight="1" x14ac:dyDescent="0.3">
      <c r="A1721" s="24">
        <v>1720</v>
      </c>
      <c r="B1721" s="10" t="s">
        <v>51</v>
      </c>
      <c r="C1721" s="10" t="s">
        <v>56</v>
      </c>
      <c r="D1721" s="62">
        <v>89</v>
      </c>
      <c r="E1721" s="61" t="s">
        <v>2876</v>
      </c>
      <c r="F1721" s="9" t="s">
        <v>997</v>
      </c>
      <c r="G1721" s="10" t="s">
        <v>150</v>
      </c>
      <c r="H1721" s="10" t="s">
        <v>849</v>
      </c>
      <c r="I1721" s="62">
        <v>206</v>
      </c>
      <c r="J1721" s="10" t="s">
        <v>2372</v>
      </c>
      <c r="K1721" s="10" t="s">
        <v>847</v>
      </c>
      <c r="L1721" s="10" t="s">
        <v>2373</v>
      </c>
      <c r="M1721" s="10" t="s">
        <v>2372</v>
      </c>
      <c r="N1721" s="10" t="s">
        <v>2373</v>
      </c>
      <c r="O1721" s="10"/>
    </row>
    <row r="1722" spans="1:15" ht="18" customHeight="1" x14ac:dyDescent="0.3">
      <c r="A1722" s="24">
        <v>1721</v>
      </c>
      <c r="B1722" s="10" t="s">
        <v>51</v>
      </c>
      <c r="C1722" s="10" t="s">
        <v>56</v>
      </c>
      <c r="D1722" s="62">
        <v>89</v>
      </c>
      <c r="E1722" s="61" t="s">
        <v>2876</v>
      </c>
      <c r="F1722" s="9" t="s">
        <v>997</v>
      </c>
      <c r="G1722" s="10" t="s">
        <v>150</v>
      </c>
      <c r="H1722" s="10" t="s">
        <v>851</v>
      </c>
      <c r="I1722" s="62">
        <v>95</v>
      </c>
      <c r="J1722" s="10" t="s">
        <v>2374</v>
      </c>
      <c r="K1722" s="10" t="s">
        <v>847</v>
      </c>
      <c r="L1722" s="10" t="s">
        <v>2373</v>
      </c>
      <c r="M1722" s="10" t="s">
        <v>2372</v>
      </c>
      <c r="N1722" s="10" t="s">
        <v>2373</v>
      </c>
      <c r="O1722" s="10"/>
    </row>
    <row r="1723" spans="1:15" ht="18" customHeight="1" x14ac:dyDescent="0.3">
      <c r="A1723" s="24">
        <v>1722</v>
      </c>
      <c r="B1723" s="10" t="s">
        <v>51</v>
      </c>
      <c r="C1723" s="10" t="s">
        <v>56</v>
      </c>
      <c r="D1723" s="62">
        <v>89</v>
      </c>
      <c r="E1723" s="61" t="s">
        <v>2876</v>
      </c>
      <c r="F1723" s="9" t="s">
        <v>997</v>
      </c>
      <c r="G1723" s="10" t="s">
        <v>150</v>
      </c>
      <c r="H1723" s="10" t="s">
        <v>852</v>
      </c>
      <c r="I1723" s="62">
        <v>230</v>
      </c>
      <c r="J1723" s="10" t="s">
        <v>2372</v>
      </c>
      <c r="K1723" s="10" t="s">
        <v>847</v>
      </c>
      <c r="L1723" s="10" t="s">
        <v>2373</v>
      </c>
      <c r="M1723" s="10" t="s">
        <v>2372</v>
      </c>
      <c r="N1723" s="10" t="s">
        <v>2373</v>
      </c>
      <c r="O1723" s="10"/>
    </row>
    <row r="1724" spans="1:15" ht="18" customHeight="1" x14ac:dyDescent="0.3">
      <c r="A1724" s="24">
        <v>1723</v>
      </c>
      <c r="B1724" s="10" t="s">
        <v>51</v>
      </c>
      <c r="C1724" s="10" t="s">
        <v>56</v>
      </c>
      <c r="D1724" s="62">
        <v>89</v>
      </c>
      <c r="E1724" s="61" t="s">
        <v>2876</v>
      </c>
      <c r="F1724" s="9" t="s">
        <v>997</v>
      </c>
      <c r="G1724" s="10" t="s">
        <v>150</v>
      </c>
      <c r="H1724" s="10" t="s">
        <v>853</v>
      </c>
      <c r="I1724" s="62">
        <v>134</v>
      </c>
      <c r="J1724" s="10" t="s">
        <v>2372</v>
      </c>
      <c r="K1724" s="10" t="s">
        <v>847</v>
      </c>
      <c r="L1724" s="10" t="s">
        <v>2373</v>
      </c>
      <c r="M1724" s="10" t="s">
        <v>2372</v>
      </c>
      <c r="N1724" s="10" t="s">
        <v>2373</v>
      </c>
      <c r="O1724" s="10"/>
    </row>
    <row r="1725" spans="1:15" ht="18" customHeight="1" x14ac:dyDescent="0.3">
      <c r="A1725" s="24">
        <v>1724</v>
      </c>
      <c r="B1725" s="10" t="s">
        <v>51</v>
      </c>
      <c r="C1725" s="10" t="s">
        <v>56</v>
      </c>
      <c r="D1725" s="62">
        <v>89</v>
      </c>
      <c r="E1725" s="61" t="s">
        <v>2876</v>
      </c>
      <c r="F1725" s="9" t="s">
        <v>997</v>
      </c>
      <c r="G1725" s="10" t="s">
        <v>150</v>
      </c>
      <c r="H1725" s="10" t="s">
        <v>854</v>
      </c>
      <c r="I1725" s="62">
        <v>95</v>
      </c>
      <c r="J1725" s="10" t="s">
        <v>2372</v>
      </c>
      <c r="K1725" s="10" t="s">
        <v>847</v>
      </c>
      <c r="L1725" s="10" t="s">
        <v>2373</v>
      </c>
      <c r="M1725" s="10" t="s">
        <v>2372</v>
      </c>
      <c r="N1725" s="10" t="s">
        <v>2373</v>
      </c>
      <c r="O1725" s="10"/>
    </row>
    <row r="1726" spans="1:15" ht="18" customHeight="1" x14ac:dyDescent="0.3">
      <c r="A1726" s="24">
        <v>1725</v>
      </c>
      <c r="B1726" s="10" t="s">
        <v>51</v>
      </c>
      <c r="C1726" s="10" t="s">
        <v>56</v>
      </c>
      <c r="D1726" s="62">
        <v>89</v>
      </c>
      <c r="E1726" s="61" t="s">
        <v>2876</v>
      </c>
      <c r="F1726" s="9" t="s">
        <v>2594</v>
      </c>
      <c r="G1726" s="10" t="s">
        <v>150</v>
      </c>
      <c r="H1726" s="10" t="s">
        <v>850</v>
      </c>
      <c r="I1726" s="62">
        <v>130</v>
      </c>
      <c r="J1726" s="10" t="s">
        <v>2372</v>
      </c>
      <c r="K1726" s="10" t="s">
        <v>847</v>
      </c>
      <c r="L1726" s="10" t="s">
        <v>2373</v>
      </c>
      <c r="M1726" s="10" t="s">
        <v>2372</v>
      </c>
      <c r="N1726" s="10" t="s">
        <v>2373</v>
      </c>
      <c r="O1726" s="10"/>
    </row>
    <row r="1727" spans="1:15" ht="18" customHeight="1" x14ac:dyDescent="0.3">
      <c r="A1727" s="24">
        <v>1726</v>
      </c>
      <c r="B1727" s="10" t="s">
        <v>51</v>
      </c>
      <c r="C1727" s="10" t="s">
        <v>56</v>
      </c>
      <c r="D1727" s="62">
        <v>89</v>
      </c>
      <c r="E1727" s="61" t="s">
        <v>2877</v>
      </c>
      <c r="F1727" s="19" t="s">
        <v>1650</v>
      </c>
      <c r="G1727" s="10" t="s">
        <v>150</v>
      </c>
      <c r="H1727" s="10" t="s">
        <v>848</v>
      </c>
      <c r="I1727" s="62">
        <v>110</v>
      </c>
      <c r="J1727" s="10" t="s">
        <v>2372</v>
      </c>
      <c r="K1727" s="10" t="s">
        <v>847</v>
      </c>
      <c r="L1727" s="10" t="s">
        <v>2373</v>
      </c>
      <c r="M1727" s="10" t="s">
        <v>2372</v>
      </c>
      <c r="N1727" s="10" t="s">
        <v>2373</v>
      </c>
      <c r="O1727" s="10"/>
    </row>
    <row r="1728" spans="1:15" ht="18" customHeight="1" x14ac:dyDescent="0.3">
      <c r="A1728" s="24">
        <v>1727</v>
      </c>
      <c r="B1728" s="10" t="s">
        <v>51</v>
      </c>
      <c r="C1728" s="10" t="s">
        <v>56</v>
      </c>
      <c r="D1728" s="62">
        <v>89</v>
      </c>
      <c r="E1728" s="61" t="s">
        <v>2877</v>
      </c>
      <c r="F1728" s="19" t="s">
        <v>998</v>
      </c>
      <c r="G1728" s="10" t="s">
        <v>150</v>
      </c>
      <c r="H1728" s="10" t="s">
        <v>849</v>
      </c>
      <c r="I1728" s="62">
        <v>190</v>
      </c>
      <c r="J1728" s="10" t="s">
        <v>2372</v>
      </c>
      <c r="K1728" s="10" t="s">
        <v>847</v>
      </c>
      <c r="L1728" s="10" t="s">
        <v>2373</v>
      </c>
      <c r="M1728" s="10" t="s">
        <v>2372</v>
      </c>
      <c r="N1728" s="10" t="s">
        <v>2373</v>
      </c>
      <c r="O1728" s="10"/>
    </row>
    <row r="1729" spans="1:15" ht="18" customHeight="1" x14ac:dyDescent="0.3">
      <c r="A1729" s="24">
        <v>1728</v>
      </c>
      <c r="B1729" s="10" t="s">
        <v>51</v>
      </c>
      <c r="C1729" s="10" t="s">
        <v>56</v>
      </c>
      <c r="D1729" s="62">
        <v>89</v>
      </c>
      <c r="E1729" s="61" t="s">
        <v>2877</v>
      </c>
      <c r="F1729" s="19" t="s">
        <v>998</v>
      </c>
      <c r="G1729" s="10" t="s">
        <v>150</v>
      </c>
      <c r="H1729" s="10" t="s">
        <v>850</v>
      </c>
      <c r="I1729" s="62">
        <v>190</v>
      </c>
      <c r="J1729" s="10" t="s">
        <v>2372</v>
      </c>
      <c r="K1729" s="10" t="s">
        <v>847</v>
      </c>
      <c r="L1729" s="10" t="s">
        <v>2373</v>
      </c>
      <c r="M1729" s="10" t="s">
        <v>2372</v>
      </c>
      <c r="N1729" s="10" t="s">
        <v>2373</v>
      </c>
      <c r="O1729" s="10"/>
    </row>
    <row r="1730" spans="1:15" ht="18" customHeight="1" x14ac:dyDescent="0.3">
      <c r="A1730" s="24">
        <v>1729</v>
      </c>
      <c r="B1730" s="10" t="s">
        <v>51</v>
      </c>
      <c r="C1730" s="10" t="s">
        <v>56</v>
      </c>
      <c r="D1730" s="62">
        <v>89</v>
      </c>
      <c r="E1730" s="61" t="s">
        <v>2877</v>
      </c>
      <c r="F1730" s="19" t="s">
        <v>998</v>
      </c>
      <c r="G1730" s="10" t="s">
        <v>150</v>
      </c>
      <c r="H1730" s="10" t="s">
        <v>851</v>
      </c>
      <c r="I1730" s="62">
        <v>190</v>
      </c>
      <c r="J1730" s="10" t="s">
        <v>2372</v>
      </c>
      <c r="K1730" s="10" t="s">
        <v>847</v>
      </c>
      <c r="L1730" s="10" t="s">
        <v>2373</v>
      </c>
      <c r="M1730" s="10" t="s">
        <v>2372</v>
      </c>
      <c r="N1730" s="10" t="s">
        <v>2373</v>
      </c>
      <c r="O1730" s="10"/>
    </row>
    <row r="1731" spans="1:15" ht="18" customHeight="1" x14ac:dyDescent="0.3">
      <c r="A1731" s="24">
        <v>1730</v>
      </c>
      <c r="B1731" s="10" t="s">
        <v>51</v>
      </c>
      <c r="C1731" s="10" t="s">
        <v>56</v>
      </c>
      <c r="D1731" s="62">
        <v>89</v>
      </c>
      <c r="E1731" s="61" t="s">
        <v>2877</v>
      </c>
      <c r="F1731" s="19" t="s">
        <v>998</v>
      </c>
      <c r="G1731" s="10" t="s">
        <v>150</v>
      </c>
      <c r="H1731" s="10" t="s">
        <v>852</v>
      </c>
      <c r="I1731" s="62">
        <v>91</v>
      </c>
      <c r="J1731" s="10" t="s">
        <v>2372</v>
      </c>
      <c r="K1731" s="10" t="s">
        <v>847</v>
      </c>
      <c r="L1731" s="10" t="s">
        <v>2373</v>
      </c>
      <c r="M1731" s="10" t="s">
        <v>2372</v>
      </c>
      <c r="N1731" s="10" t="s">
        <v>2373</v>
      </c>
      <c r="O1731" s="10"/>
    </row>
    <row r="1732" spans="1:15" ht="18" customHeight="1" x14ac:dyDescent="0.3">
      <c r="A1732" s="24">
        <v>1731</v>
      </c>
      <c r="B1732" s="10" t="s">
        <v>51</v>
      </c>
      <c r="C1732" s="10" t="s">
        <v>56</v>
      </c>
      <c r="D1732" s="62">
        <v>89</v>
      </c>
      <c r="E1732" s="61" t="s">
        <v>2877</v>
      </c>
      <c r="F1732" s="19" t="s">
        <v>998</v>
      </c>
      <c r="G1732" s="10" t="s">
        <v>150</v>
      </c>
      <c r="H1732" s="10" t="s">
        <v>853</v>
      </c>
      <c r="I1732" s="62">
        <v>84</v>
      </c>
      <c r="J1732" s="10" t="s">
        <v>2372</v>
      </c>
      <c r="K1732" s="10" t="s">
        <v>847</v>
      </c>
      <c r="L1732" s="10" t="s">
        <v>2373</v>
      </c>
      <c r="M1732" s="10" t="s">
        <v>884</v>
      </c>
      <c r="N1732" s="10" t="s">
        <v>2373</v>
      </c>
      <c r="O1732" s="10"/>
    </row>
    <row r="1733" spans="1:15" ht="18" customHeight="1" x14ac:dyDescent="0.3">
      <c r="A1733" s="24">
        <v>1732</v>
      </c>
      <c r="B1733" s="10" t="s">
        <v>51</v>
      </c>
      <c r="C1733" s="10" t="s">
        <v>56</v>
      </c>
      <c r="D1733" s="62">
        <v>89</v>
      </c>
      <c r="E1733" s="61" t="s">
        <v>2877</v>
      </c>
      <c r="F1733" s="19" t="s">
        <v>998</v>
      </c>
      <c r="G1733" s="10" t="s">
        <v>150</v>
      </c>
      <c r="H1733" s="10" t="s">
        <v>854</v>
      </c>
      <c r="I1733" s="62">
        <v>109</v>
      </c>
      <c r="J1733" s="10" t="s">
        <v>2372</v>
      </c>
      <c r="K1733" s="10" t="s">
        <v>847</v>
      </c>
      <c r="L1733" s="10" t="s">
        <v>2373</v>
      </c>
      <c r="M1733" s="10" t="s">
        <v>2372</v>
      </c>
      <c r="N1733" s="10" t="s">
        <v>2373</v>
      </c>
      <c r="O1733" s="10"/>
    </row>
    <row r="1734" spans="1:15" ht="18" customHeight="1" x14ac:dyDescent="0.3">
      <c r="A1734" s="24">
        <v>1733</v>
      </c>
      <c r="B1734" s="10" t="s">
        <v>51</v>
      </c>
      <c r="C1734" s="10" t="s">
        <v>56</v>
      </c>
      <c r="D1734" s="62">
        <v>89</v>
      </c>
      <c r="E1734" s="61" t="s">
        <v>2877</v>
      </c>
      <c r="F1734" s="19" t="s">
        <v>998</v>
      </c>
      <c r="G1734" s="10" t="s">
        <v>150</v>
      </c>
      <c r="H1734" s="10" t="s">
        <v>855</v>
      </c>
      <c r="I1734" s="62">
        <v>189</v>
      </c>
      <c r="J1734" s="10" t="s">
        <v>2372</v>
      </c>
      <c r="K1734" s="10" t="s">
        <v>847</v>
      </c>
      <c r="L1734" s="10" t="s">
        <v>2373</v>
      </c>
      <c r="M1734" s="10" t="s">
        <v>2372</v>
      </c>
      <c r="N1734" s="10" t="s">
        <v>2373</v>
      </c>
      <c r="O1734" s="10"/>
    </row>
    <row r="1735" spans="1:15" ht="18" customHeight="1" x14ac:dyDescent="0.3">
      <c r="A1735" s="24">
        <v>1734</v>
      </c>
      <c r="B1735" s="10" t="s">
        <v>51</v>
      </c>
      <c r="C1735" s="10" t="s">
        <v>56</v>
      </c>
      <c r="D1735" s="62">
        <v>89</v>
      </c>
      <c r="E1735" s="61" t="s">
        <v>2877</v>
      </c>
      <c r="F1735" s="19" t="s">
        <v>998</v>
      </c>
      <c r="G1735" s="10" t="s">
        <v>150</v>
      </c>
      <c r="H1735" s="10" t="s">
        <v>869</v>
      </c>
      <c r="I1735" s="62">
        <v>170</v>
      </c>
      <c r="J1735" s="10" t="s">
        <v>2372</v>
      </c>
      <c r="K1735" s="10" t="s">
        <v>847</v>
      </c>
      <c r="L1735" s="10" t="s">
        <v>2373</v>
      </c>
      <c r="M1735" s="10" t="s">
        <v>2372</v>
      </c>
      <c r="N1735" s="10" t="s">
        <v>2373</v>
      </c>
      <c r="O1735" s="10"/>
    </row>
    <row r="1736" spans="1:15" ht="18" customHeight="1" x14ac:dyDescent="0.3">
      <c r="A1736" s="24">
        <v>1735</v>
      </c>
      <c r="B1736" s="10" t="s">
        <v>51</v>
      </c>
      <c r="C1736" s="10" t="s">
        <v>56</v>
      </c>
      <c r="D1736" s="62">
        <v>89</v>
      </c>
      <c r="E1736" s="61" t="s">
        <v>2877</v>
      </c>
      <c r="F1736" s="19" t="s">
        <v>998</v>
      </c>
      <c r="G1736" s="10" t="s">
        <v>150</v>
      </c>
      <c r="H1736" s="10" t="s">
        <v>883</v>
      </c>
      <c r="I1736" s="62">
        <v>104</v>
      </c>
      <c r="J1736" s="10" t="s">
        <v>2374</v>
      </c>
      <c r="K1736" s="10" t="s">
        <v>847</v>
      </c>
      <c r="L1736" s="10" t="s">
        <v>2373</v>
      </c>
      <c r="M1736" s="10" t="s">
        <v>2372</v>
      </c>
      <c r="N1736" s="10" t="s">
        <v>2373</v>
      </c>
      <c r="O1736" s="10"/>
    </row>
    <row r="1737" spans="1:15" ht="18" customHeight="1" x14ac:dyDescent="0.3">
      <c r="A1737" s="24">
        <v>1736</v>
      </c>
      <c r="B1737" s="10" t="s">
        <v>51</v>
      </c>
      <c r="C1737" s="10" t="s">
        <v>56</v>
      </c>
      <c r="D1737" s="62">
        <v>89</v>
      </c>
      <c r="E1737" s="61" t="s">
        <v>2877</v>
      </c>
      <c r="F1737" s="19" t="s">
        <v>1650</v>
      </c>
      <c r="G1737" s="10" t="s">
        <v>150</v>
      </c>
      <c r="H1737" s="10" t="s">
        <v>921</v>
      </c>
      <c r="I1737" s="62">
        <v>346</v>
      </c>
      <c r="J1737" s="10" t="s">
        <v>2374</v>
      </c>
      <c r="K1737" s="10" t="s">
        <v>846</v>
      </c>
      <c r="L1737" s="10" t="s">
        <v>187</v>
      </c>
      <c r="M1737" s="10" t="s">
        <v>2372</v>
      </c>
      <c r="N1737" s="10" t="s">
        <v>2373</v>
      </c>
      <c r="O1737" s="10"/>
    </row>
    <row r="1738" spans="1:15" ht="18" customHeight="1" x14ac:dyDescent="0.3">
      <c r="A1738" s="24">
        <v>1737</v>
      </c>
      <c r="B1738" s="10" t="s">
        <v>1600</v>
      </c>
      <c r="C1738" s="10" t="s">
        <v>1651</v>
      </c>
      <c r="D1738" s="62">
        <v>89</v>
      </c>
      <c r="E1738" s="61" t="s">
        <v>2878</v>
      </c>
      <c r="F1738" s="9" t="s">
        <v>2595</v>
      </c>
      <c r="G1738" s="10" t="s">
        <v>1278</v>
      </c>
      <c r="H1738" s="10" t="s">
        <v>2385</v>
      </c>
      <c r="I1738" s="62">
        <v>139</v>
      </c>
      <c r="J1738" s="10" t="s">
        <v>2374</v>
      </c>
      <c r="K1738" s="10" t="s">
        <v>847</v>
      </c>
      <c r="L1738" s="10" t="s">
        <v>2373</v>
      </c>
      <c r="M1738" s="10" t="s">
        <v>2372</v>
      </c>
      <c r="N1738" s="10" t="s">
        <v>2373</v>
      </c>
      <c r="O1738" s="10"/>
    </row>
    <row r="1739" spans="1:15" ht="18" customHeight="1" x14ac:dyDescent="0.3">
      <c r="A1739" s="24">
        <v>1738</v>
      </c>
      <c r="B1739" s="10" t="s">
        <v>1600</v>
      </c>
      <c r="C1739" s="10" t="s">
        <v>1651</v>
      </c>
      <c r="D1739" s="62">
        <v>89</v>
      </c>
      <c r="E1739" s="61" t="s">
        <v>2878</v>
      </c>
      <c r="F1739" s="9" t="s">
        <v>2595</v>
      </c>
      <c r="G1739" s="10" t="s">
        <v>1278</v>
      </c>
      <c r="H1739" s="10" t="s">
        <v>2378</v>
      </c>
      <c r="I1739" s="62">
        <v>102</v>
      </c>
      <c r="J1739" s="10" t="s">
        <v>2372</v>
      </c>
      <c r="K1739" s="10" t="s">
        <v>847</v>
      </c>
      <c r="L1739" s="10" t="s">
        <v>2373</v>
      </c>
      <c r="M1739" s="10" t="s">
        <v>2372</v>
      </c>
      <c r="N1739" s="10" t="s">
        <v>2373</v>
      </c>
      <c r="O1739" s="10"/>
    </row>
    <row r="1740" spans="1:15" ht="18" customHeight="1" x14ac:dyDescent="0.3">
      <c r="A1740" s="24">
        <v>1739</v>
      </c>
      <c r="B1740" s="10" t="s">
        <v>1600</v>
      </c>
      <c r="C1740" s="10" t="s">
        <v>1651</v>
      </c>
      <c r="D1740" s="62">
        <v>89</v>
      </c>
      <c r="E1740" s="61" t="s">
        <v>2878</v>
      </c>
      <c r="F1740" s="9" t="s">
        <v>2595</v>
      </c>
      <c r="G1740" s="10" t="s">
        <v>1278</v>
      </c>
      <c r="H1740" s="10" t="s">
        <v>2379</v>
      </c>
      <c r="I1740" s="62">
        <v>76</v>
      </c>
      <c r="J1740" s="10" t="s">
        <v>2372</v>
      </c>
      <c r="K1740" s="10" t="s">
        <v>847</v>
      </c>
      <c r="L1740" s="10" t="s">
        <v>2373</v>
      </c>
      <c r="M1740" s="10" t="s">
        <v>2372</v>
      </c>
      <c r="N1740" s="10" t="s">
        <v>2373</v>
      </c>
      <c r="O1740" s="10"/>
    </row>
    <row r="1741" spans="1:15" ht="18" customHeight="1" x14ac:dyDescent="0.3">
      <c r="A1741" s="24">
        <v>1740</v>
      </c>
      <c r="B1741" s="10" t="s">
        <v>1600</v>
      </c>
      <c r="C1741" s="10" t="s">
        <v>1651</v>
      </c>
      <c r="D1741" s="62">
        <v>89</v>
      </c>
      <c r="E1741" s="61" t="s">
        <v>2878</v>
      </c>
      <c r="F1741" s="9" t="s">
        <v>2595</v>
      </c>
      <c r="G1741" s="10" t="s">
        <v>1278</v>
      </c>
      <c r="H1741" s="10" t="s">
        <v>2380</v>
      </c>
      <c r="I1741" s="62">
        <v>139</v>
      </c>
      <c r="J1741" s="10" t="s">
        <v>2372</v>
      </c>
      <c r="K1741" s="10" t="s">
        <v>847</v>
      </c>
      <c r="L1741" s="10" t="s">
        <v>2373</v>
      </c>
      <c r="M1741" s="10" t="s">
        <v>2372</v>
      </c>
      <c r="N1741" s="10" t="s">
        <v>2373</v>
      </c>
      <c r="O1741" s="10"/>
    </row>
    <row r="1742" spans="1:15" ht="18" customHeight="1" x14ac:dyDescent="0.3">
      <c r="A1742" s="24">
        <v>1741</v>
      </c>
      <c r="B1742" s="10" t="s">
        <v>1600</v>
      </c>
      <c r="C1742" s="10" t="s">
        <v>1651</v>
      </c>
      <c r="D1742" s="62">
        <v>89</v>
      </c>
      <c r="E1742" s="61" t="s">
        <v>2878</v>
      </c>
      <c r="F1742" s="9" t="s">
        <v>2595</v>
      </c>
      <c r="G1742" s="10" t="s">
        <v>1278</v>
      </c>
      <c r="H1742" s="10" t="s">
        <v>2390</v>
      </c>
      <c r="I1742" s="62">
        <v>102</v>
      </c>
      <c r="J1742" s="10" t="s">
        <v>2372</v>
      </c>
      <c r="K1742" s="10" t="s">
        <v>847</v>
      </c>
      <c r="L1742" s="10" t="s">
        <v>2373</v>
      </c>
      <c r="M1742" s="10" t="s">
        <v>2372</v>
      </c>
      <c r="N1742" s="10" t="s">
        <v>2373</v>
      </c>
      <c r="O1742" s="10"/>
    </row>
    <row r="1743" spans="1:15" ht="18" customHeight="1" x14ac:dyDescent="0.3">
      <c r="A1743" s="24">
        <v>1742</v>
      </c>
      <c r="B1743" s="10" t="s">
        <v>1600</v>
      </c>
      <c r="C1743" s="10" t="s">
        <v>1651</v>
      </c>
      <c r="D1743" s="62">
        <v>89</v>
      </c>
      <c r="E1743" s="61" t="s">
        <v>2878</v>
      </c>
      <c r="F1743" s="9" t="s">
        <v>2595</v>
      </c>
      <c r="G1743" s="10" t="s">
        <v>1278</v>
      </c>
      <c r="H1743" s="10" t="s">
        <v>2382</v>
      </c>
      <c r="I1743" s="62">
        <v>76</v>
      </c>
      <c r="J1743" s="10" t="s">
        <v>2372</v>
      </c>
      <c r="K1743" s="10" t="s">
        <v>847</v>
      </c>
      <c r="L1743" s="10" t="s">
        <v>2373</v>
      </c>
      <c r="M1743" s="10" t="s">
        <v>2372</v>
      </c>
      <c r="N1743" s="10" t="s">
        <v>2373</v>
      </c>
      <c r="O1743" s="10"/>
    </row>
    <row r="1744" spans="1:15" ht="18" customHeight="1" x14ac:dyDescent="0.3">
      <c r="A1744" s="24">
        <v>1743</v>
      </c>
      <c r="B1744" s="10" t="s">
        <v>51</v>
      </c>
      <c r="C1744" s="10" t="s">
        <v>56</v>
      </c>
      <c r="D1744" s="62">
        <v>89</v>
      </c>
      <c r="E1744" s="61" t="s">
        <v>858</v>
      </c>
      <c r="F1744" s="19" t="s">
        <v>1655</v>
      </c>
      <c r="G1744" s="10" t="s">
        <v>150</v>
      </c>
      <c r="H1744" s="10" t="s">
        <v>845</v>
      </c>
      <c r="I1744" s="62">
        <v>157</v>
      </c>
      <c r="J1744" s="10" t="s">
        <v>2372</v>
      </c>
      <c r="K1744" s="10" t="s">
        <v>2372</v>
      </c>
      <c r="L1744" s="10" t="s">
        <v>2373</v>
      </c>
      <c r="M1744" s="10" t="s">
        <v>2372</v>
      </c>
      <c r="N1744" s="10" t="s">
        <v>2373</v>
      </c>
      <c r="O1744" s="10"/>
    </row>
    <row r="1745" spans="1:15" ht="18" customHeight="1" x14ac:dyDescent="0.3">
      <c r="A1745" s="24">
        <v>1744</v>
      </c>
      <c r="B1745" s="10" t="s">
        <v>51</v>
      </c>
      <c r="C1745" s="10" t="s">
        <v>56</v>
      </c>
      <c r="D1745" s="62">
        <v>89</v>
      </c>
      <c r="E1745" s="61" t="s">
        <v>858</v>
      </c>
      <c r="F1745" s="19" t="s">
        <v>1655</v>
      </c>
      <c r="G1745" s="10" t="s">
        <v>150</v>
      </c>
      <c r="H1745" s="10" t="s">
        <v>848</v>
      </c>
      <c r="I1745" s="62">
        <v>174</v>
      </c>
      <c r="J1745" s="10" t="s">
        <v>2372</v>
      </c>
      <c r="K1745" s="10" t="s">
        <v>2372</v>
      </c>
      <c r="L1745" s="10" t="s">
        <v>2373</v>
      </c>
      <c r="M1745" s="10" t="s">
        <v>2372</v>
      </c>
      <c r="N1745" s="10" t="s">
        <v>2373</v>
      </c>
      <c r="O1745" s="10"/>
    </row>
    <row r="1746" spans="1:15" ht="18" customHeight="1" x14ac:dyDescent="0.3">
      <c r="A1746" s="24">
        <v>1745</v>
      </c>
      <c r="B1746" s="10" t="s">
        <v>51</v>
      </c>
      <c r="C1746" s="10" t="s">
        <v>56</v>
      </c>
      <c r="D1746" s="62">
        <v>89</v>
      </c>
      <c r="E1746" s="61" t="s">
        <v>858</v>
      </c>
      <c r="F1746" s="19" t="s">
        <v>1001</v>
      </c>
      <c r="G1746" s="10" t="s">
        <v>150</v>
      </c>
      <c r="H1746" s="10" t="s">
        <v>849</v>
      </c>
      <c r="I1746" s="62">
        <v>214</v>
      </c>
      <c r="J1746" s="10" t="s">
        <v>2372</v>
      </c>
      <c r="K1746" s="10" t="s">
        <v>2372</v>
      </c>
      <c r="L1746" s="10" t="s">
        <v>2373</v>
      </c>
      <c r="M1746" s="10" t="s">
        <v>2372</v>
      </c>
      <c r="N1746" s="10" t="s">
        <v>2373</v>
      </c>
      <c r="O1746" s="10"/>
    </row>
    <row r="1747" spans="1:15" ht="18" customHeight="1" x14ac:dyDescent="0.3">
      <c r="A1747" s="24">
        <v>1746</v>
      </c>
      <c r="B1747" s="10" t="s">
        <v>51</v>
      </c>
      <c r="C1747" s="10" t="s">
        <v>56</v>
      </c>
      <c r="D1747" s="62">
        <v>89</v>
      </c>
      <c r="E1747" s="61" t="s">
        <v>858</v>
      </c>
      <c r="F1747" s="19" t="s">
        <v>1001</v>
      </c>
      <c r="G1747" s="10" t="s">
        <v>150</v>
      </c>
      <c r="H1747" s="10" t="s">
        <v>850</v>
      </c>
      <c r="I1747" s="62">
        <v>148</v>
      </c>
      <c r="J1747" s="10" t="s">
        <v>2372</v>
      </c>
      <c r="K1747" s="10" t="s">
        <v>2372</v>
      </c>
      <c r="L1747" s="10" t="s">
        <v>2373</v>
      </c>
      <c r="M1747" s="10" t="s">
        <v>2372</v>
      </c>
      <c r="N1747" s="10" t="s">
        <v>2373</v>
      </c>
      <c r="O1747" s="10"/>
    </row>
    <row r="1748" spans="1:15" ht="18" customHeight="1" x14ac:dyDescent="0.3">
      <c r="A1748" s="24">
        <v>1747</v>
      </c>
      <c r="B1748" s="10" t="s">
        <v>51</v>
      </c>
      <c r="C1748" s="10" t="s">
        <v>56</v>
      </c>
      <c r="D1748" s="62">
        <v>89</v>
      </c>
      <c r="E1748" s="61" t="s">
        <v>858</v>
      </c>
      <c r="F1748" s="19" t="s">
        <v>1001</v>
      </c>
      <c r="G1748" s="10" t="s">
        <v>150</v>
      </c>
      <c r="H1748" s="10" t="s">
        <v>851</v>
      </c>
      <c r="I1748" s="62">
        <v>136</v>
      </c>
      <c r="J1748" s="10" t="s">
        <v>2372</v>
      </c>
      <c r="K1748" s="10" t="s">
        <v>2372</v>
      </c>
      <c r="L1748" s="10" t="s">
        <v>2373</v>
      </c>
      <c r="M1748" s="10" t="s">
        <v>2372</v>
      </c>
      <c r="N1748" s="10" t="s">
        <v>2373</v>
      </c>
      <c r="O1748" s="10"/>
    </row>
    <row r="1749" spans="1:15" ht="18" customHeight="1" x14ac:dyDescent="0.3">
      <c r="A1749" s="24">
        <v>1748</v>
      </c>
      <c r="B1749" s="10" t="s">
        <v>1600</v>
      </c>
      <c r="C1749" s="10" t="s">
        <v>1656</v>
      </c>
      <c r="D1749" s="62">
        <v>90</v>
      </c>
      <c r="E1749" s="61" t="s">
        <v>1657</v>
      </c>
      <c r="F1749" s="44" t="s">
        <v>1658</v>
      </c>
      <c r="G1749" s="493" t="s">
        <v>3448</v>
      </c>
      <c r="H1749" s="10" t="s">
        <v>2385</v>
      </c>
      <c r="I1749" s="171">
        <v>72</v>
      </c>
      <c r="J1749" s="10" t="s">
        <v>2372</v>
      </c>
      <c r="K1749" s="10" t="s">
        <v>3450</v>
      </c>
      <c r="L1749" s="173" t="s">
        <v>3449</v>
      </c>
      <c r="M1749" s="10" t="s">
        <v>2372</v>
      </c>
      <c r="N1749" s="10" t="s">
        <v>2373</v>
      </c>
      <c r="O1749" s="10"/>
    </row>
    <row r="1750" spans="1:15" ht="18" customHeight="1" x14ac:dyDescent="0.3">
      <c r="A1750" s="24">
        <v>1749</v>
      </c>
      <c r="B1750" s="10" t="s">
        <v>1600</v>
      </c>
      <c r="C1750" s="10" t="s">
        <v>1656</v>
      </c>
      <c r="D1750" s="62">
        <v>90</v>
      </c>
      <c r="E1750" s="61" t="s">
        <v>1657</v>
      </c>
      <c r="F1750" s="44" t="s">
        <v>1658</v>
      </c>
      <c r="G1750" s="493" t="s">
        <v>3448</v>
      </c>
      <c r="H1750" s="10" t="s">
        <v>2378</v>
      </c>
      <c r="I1750" s="171">
        <v>97</v>
      </c>
      <c r="J1750" s="10" t="s">
        <v>2372</v>
      </c>
      <c r="K1750" s="10" t="s">
        <v>3450</v>
      </c>
      <c r="L1750" s="173" t="s">
        <v>3449</v>
      </c>
      <c r="M1750" s="10" t="s">
        <v>2372</v>
      </c>
      <c r="N1750" s="10" t="s">
        <v>2373</v>
      </c>
      <c r="O1750" s="10"/>
    </row>
    <row r="1751" spans="1:15" ht="18" customHeight="1" x14ac:dyDescent="0.3">
      <c r="A1751" s="24">
        <v>1750</v>
      </c>
      <c r="B1751" s="10" t="s">
        <v>1600</v>
      </c>
      <c r="C1751" s="10" t="s">
        <v>1656</v>
      </c>
      <c r="D1751" s="62">
        <v>90</v>
      </c>
      <c r="E1751" s="61" t="s">
        <v>1657</v>
      </c>
      <c r="F1751" s="44" t="s">
        <v>1658</v>
      </c>
      <c r="G1751" s="493" t="s">
        <v>3448</v>
      </c>
      <c r="H1751" s="10" t="s">
        <v>2379</v>
      </c>
      <c r="I1751" s="171">
        <v>69</v>
      </c>
      <c r="J1751" s="10" t="s">
        <v>2372</v>
      </c>
      <c r="K1751" s="10" t="s">
        <v>3450</v>
      </c>
      <c r="L1751" s="173" t="s">
        <v>3449</v>
      </c>
      <c r="M1751" s="10" t="s">
        <v>2372</v>
      </c>
      <c r="N1751" s="10" t="s">
        <v>2373</v>
      </c>
      <c r="O1751" s="10"/>
    </row>
    <row r="1752" spans="1:15" ht="18" customHeight="1" x14ac:dyDescent="0.3">
      <c r="A1752" s="24">
        <v>1751</v>
      </c>
      <c r="B1752" s="10" t="s">
        <v>1600</v>
      </c>
      <c r="C1752" s="10" t="s">
        <v>1656</v>
      </c>
      <c r="D1752" s="62">
        <v>90</v>
      </c>
      <c r="E1752" s="61" t="s">
        <v>1657</v>
      </c>
      <c r="F1752" s="44" t="s">
        <v>1658</v>
      </c>
      <c r="G1752" s="493" t="s">
        <v>3448</v>
      </c>
      <c r="H1752" s="10" t="s">
        <v>2380</v>
      </c>
      <c r="I1752" s="171">
        <v>82</v>
      </c>
      <c r="J1752" s="10" t="s">
        <v>2372</v>
      </c>
      <c r="K1752" s="10" t="s">
        <v>3450</v>
      </c>
      <c r="L1752" s="173" t="s">
        <v>3449</v>
      </c>
      <c r="M1752" s="10" t="s">
        <v>2372</v>
      </c>
      <c r="N1752" s="10" t="s">
        <v>2373</v>
      </c>
      <c r="O1752" s="10"/>
    </row>
    <row r="1753" spans="1:15" ht="18" customHeight="1" x14ac:dyDescent="0.3">
      <c r="A1753" s="24">
        <v>1752</v>
      </c>
      <c r="B1753" s="10" t="s">
        <v>1600</v>
      </c>
      <c r="C1753" s="10" t="s">
        <v>1656</v>
      </c>
      <c r="D1753" s="62">
        <v>90</v>
      </c>
      <c r="E1753" s="61" t="s">
        <v>1657</v>
      </c>
      <c r="F1753" s="44" t="s">
        <v>1658</v>
      </c>
      <c r="G1753" s="493" t="s">
        <v>3448</v>
      </c>
      <c r="H1753" s="10" t="s">
        <v>2390</v>
      </c>
      <c r="I1753" s="171">
        <v>82</v>
      </c>
      <c r="J1753" s="10" t="s">
        <v>2372</v>
      </c>
      <c r="K1753" s="10" t="s">
        <v>3450</v>
      </c>
      <c r="L1753" s="173" t="s">
        <v>3449</v>
      </c>
      <c r="M1753" s="10" t="s">
        <v>2372</v>
      </c>
      <c r="N1753" s="10" t="s">
        <v>2373</v>
      </c>
      <c r="O1753" s="10"/>
    </row>
    <row r="1754" spans="1:15" ht="18" customHeight="1" x14ac:dyDescent="0.3">
      <c r="A1754" s="24">
        <v>1753</v>
      </c>
      <c r="B1754" s="10" t="s">
        <v>1600</v>
      </c>
      <c r="C1754" s="10" t="s">
        <v>1656</v>
      </c>
      <c r="D1754" s="62">
        <v>90</v>
      </c>
      <c r="E1754" s="61" t="s">
        <v>1657</v>
      </c>
      <c r="F1754" s="44" t="s">
        <v>1658</v>
      </c>
      <c r="G1754" s="493" t="s">
        <v>3448</v>
      </c>
      <c r="H1754" s="10" t="s">
        <v>2382</v>
      </c>
      <c r="I1754" s="171">
        <v>72</v>
      </c>
      <c r="J1754" s="10" t="s">
        <v>2372</v>
      </c>
      <c r="K1754" s="10" t="s">
        <v>3450</v>
      </c>
      <c r="L1754" s="173" t="s">
        <v>3449</v>
      </c>
      <c r="M1754" s="10" t="s">
        <v>2372</v>
      </c>
      <c r="N1754" s="10" t="s">
        <v>2373</v>
      </c>
      <c r="O1754" s="10"/>
    </row>
    <row r="1755" spans="1:15" ht="18" customHeight="1" x14ac:dyDescent="0.3">
      <c r="A1755" s="24">
        <v>1754</v>
      </c>
      <c r="B1755" s="10" t="s">
        <v>1600</v>
      </c>
      <c r="C1755" s="10" t="s">
        <v>1656</v>
      </c>
      <c r="D1755" s="62">
        <v>90</v>
      </c>
      <c r="E1755" s="61" t="s">
        <v>1659</v>
      </c>
      <c r="F1755" s="44" t="s">
        <v>1660</v>
      </c>
      <c r="G1755" s="10" t="s">
        <v>1264</v>
      </c>
      <c r="H1755" s="10" t="s">
        <v>2385</v>
      </c>
      <c r="I1755" s="62">
        <v>164</v>
      </c>
      <c r="J1755" s="10" t="s">
        <v>2372</v>
      </c>
      <c r="K1755" s="10" t="s">
        <v>2374</v>
      </c>
      <c r="L1755" s="10" t="s">
        <v>1422</v>
      </c>
      <c r="M1755" s="10" t="s">
        <v>2372</v>
      </c>
      <c r="N1755" s="10" t="s">
        <v>2373</v>
      </c>
      <c r="O1755" s="10"/>
    </row>
    <row r="1756" spans="1:15" ht="18" customHeight="1" x14ac:dyDescent="0.3">
      <c r="A1756" s="24">
        <v>1755</v>
      </c>
      <c r="B1756" s="10" t="s">
        <v>1600</v>
      </c>
      <c r="C1756" s="10" t="s">
        <v>1656</v>
      </c>
      <c r="D1756" s="62">
        <v>90</v>
      </c>
      <c r="E1756" s="61" t="s">
        <v>1659</v>
      </c>
      <c r="F1756" s="44" t="s">
        <v>1660</v>
      </c>
      <c r="G1756" s="10" t="s">
        <v>1264</v>
      </c>
      <c r="H1756" s="10" t="s">
        <v>2378</v>
      </c>
      <c r="I1756" s="62">
        <v>115</v>
      </c>
      <c r="J1756" s="10" t="s">
        <v>2372</v>
      </c>
      <c r="K1756" s="10" t="s">
        <v>2374</v>
      </c>
      <c r="L1756" s="10" t="s">
        <v>1422</v>
      </c>
      <c r="M1756" s="10" t="s">
        <v>2372</v>
      </c>
      <c r="N1756" s="10" t="s">
        <v>2373</v>
      </c>
      <c r="O1756" s="10"/>
    </row>
    <row r="1757" spans="1:15" ht="18" customHeight="1" x14ac:dyDescent="0.3">
      <c r="A1757" s="24">
        <v>1756</v>
      </c>
      <c r="B1757" s="10" t="s">
        <v>1600</v>
      </c>
      <c r="C1757" s="10" t="s">
        <v>1656</v>
      </c>
      <c r="D1757" s="62">
        <v>90</v>
      </c>
      <c r="E1757" s="61" t="s">
        <v>1659</v>
      </c>
      <c r="F1757" s="44" t="s">
        <v>1660</v>
      </c>
      <c r="G1757" s="10" t="s">
        <v>1264</v>
      </c>
      <c r="H1757" s="10" t="s">
        <v>2379</v>
      </c>
      <c r="I1757" s="62">
        <v>115</v>
      </c>
      <c r="J1757" s="10" t="s">
        <v>2372</v>
      </c>
      <c r="K1757" s="10" t="s">
        <v>2374</v>
      </c>
      <c r="L1757" s="10" t="s">
        <v>1422</v>
      </c>
      <c r="M1757" s="10" t="s">
        <v>2372</v>
      </c>
      <c r="N1757" s="10" t="s">
        <v>2373</v>
      </c>
      <c r="O1757" s="10"/>
    </row>
    <row r="1758" spans="1:15" ht="18" customHeight="1" x14ac:dyDescent="0.3">
      <c r="A1758" s="24">
        <v>1757</v>
      </c>
      <c r="B1758" s="10" t="s">
        <v>1600</v>
      </c>
      <c r="C1758" s="10" t="s">
        <v>1656</v>
      </c>
      <c r="D1758" s="62">
        <v>90</v>
      </c>
      <c r="E1758" s="61" t="s">
        <v>1659</v>
      </c>
      <c r="F1758" s="44" t="s">
        <v>1660</v>
      </c>
      <c r="G1758" s="10" t="s">
        <v>1264</v>
      </c>
      <c r="H1758" s="10" t="s">
        <v>2380</v>
      </c>
      <c r="I1758" s="62">
        <v>103</v>
      </c>
      <c r="J1758" s="10" t="s">
        <v>2372</v>
      </c>
      <c r="K1758" s="10" t="s">
        <v>2374</v>
      </c>
      <c r="L1758" s="10" t="s">
        <v>1422</v>
      </c>
      <c r="M1758" s="10" t="s">
        <v>2372</v>
      </c>
      <c r="N1758" s="10" t="s">
        <v>2373</v>
      </c>
      <c r="O1758" s="10"/>
    </row>
    <row r="1759" spans="1:15" ht="18" customHeight="1" x14ac:dyDescent="0.3">
      <c r="A1759" s="24">
        <v>1758</v>
      </c>
      <c r="B1759" s="10" t="s">
        <v>1600</v>
      </c>
      <c r="C1759" s="10" t="s">
        <v>1656</v>
      </c>
      <c r="D1759" s="62">
        <v>90</v>
      </c>
      <c r="E1759" s="61" t="s">
        <v>1659</v>
      </c>
      <c r="F1759" s="44" t="s">
        <v>1660</v>
      </c>
      <c r="G1759" s="10" t="s">
        <v>1264</v>
      </c>
      <c r="H1759" s="10" t="s">
        <v>2390</v>
      </c>
      <c r="I1759" s="62">
        <v>127</v>
      </c>
      <c r="J1759" s="10" t="s">
        <v>2372</v>
      </c>
      <c r="K1759" s="10" t="s">
        <v>2374</v>
      </c>
      <c r="L1759" s="10" t="s">
        <v>1422</v>
      </c>
      <c r="M1759" s="10" t="s">
        <v>2372</v>
      </c>
      <c r="N1759" s="10" t="s">
        <v>2373</v>
      </c>
      <c r="O1759" s="10"/>
    </row>
    <row r="1760" spans="1:15" ht="18" customHeight="1" x14ac:dyDescent="0.3">
      <c r="A1760" s="24">
        <v>1759</v>
      </c>
      <c r="B1760" s="10" t="s">
        <v>1600</v>
      </c>
      <c r="C1760" s="10" t="s">
        <v>1656</v>
      </c>
      <c r="D1760" s="62">
        <v>90</v>
      </c>
      <c r="E1760" s="61" t="s">
        <v>1659</v>
      </c>
      <c r="F1760" s="44" t="s">
        <v>1660</v>
      </c>
      <c r="G1760" s="10" t="s">
        <v>1264</v>
      </c>
      <c r="H1760" s="10" t="s">
        <v>2382</v>
      </c>
      <c r="I1760" s="62">
        <v>171</v>
      </c>
      <c r="J1760" s="10" t="s">
        <v>2372</v>
      </c>
      <c r="K1760" s="10" t="s">
        <v>2374</v>
      </c>
      <c r="L1760" s="10" t="s">
        <v>1422</v>
      </c>
      <c r="M1760" s="10" t="s">
        <v>2372</v>
      </c>
      <c r="N1760" s="10" t="s">
        <v>2373</v>
      </c>
      <c r="O1760" s="10"/>
    </row>
    <row r="1761" spans="1:15" ht="18" customHeight="1" x14ac:dyDescent="0.3">
      <c r="A1761" s="24">
        <v>1760</v>
      </c>
      <c r="B1761" s="10" t="s">
        <v>51</v>
      </c>
      <c r="C1761" s="10" t="s">
        <v>57</v>
      </c>
      <c r="D1761" s="62">
        <v>90</v>
      </c>
      <c r="E1761" s="61" t="s">
        <v>886</v>
      </c>
      <c r="F1761" s="16" t="s">
        <v>566</v>
      </c>
      <c r="G1761" s="10" t="s">
        <v>150</v>
      </c>
      <c r="H1761" s="10" t="s">
        <v>845</v>
      </c>
      <c r="I1761" s="62">
        <v>286</v>
      </c>
      <c r="J1761" s="8" t="s">
        <v>846</v>
      </c>
      <c r="K1761" s="10" t="s">
        <v>847</v>
      </c>
      <c r="L1761" s="10" t="s">
        <v>2373</v>
      </c>
      <c r="M1761" s="10" t="s">
        <v>2372</v>
      </c>
      <c r="N1761" s="10" t="s">
        <v>2373</v>
      </c>
      <c r="O1761" s="10"/>
    </row>
    <row r="1762" spans="1:15" ht="18" customHeight="1" x14ac:dyDescent="0.3">
      <c r="A1762" s="24">
        <v>1761</v>
      </c>
      <c r="B1762" s="10" t="s">
        <v>51</v>
      </c>
      <c r="C1762" s="10" t="s">
        <v>57</v>
      </c>
      <c r="D1762" s="62">
        <v>90</v>
      </c>
      <c r="E1762" s="61" t="s">
        <v>886</v>
      </c>
      <c r="F1762" s="16" t="s">
        <v>566</v>
      </c>
      <c r="G1762" s="10" t="s">
        <v>150</v>
      </c>
      <c r="H1762" s="10" t="s">
        <v>848</v>
      </c>
      <c r="I1762" s="62">
        <v>224</v>
      </c>
      <c r="J1762" s="8" t="s">
        <v>2372</v>
      </c>
      <c r="K1762" s="10" t="s">
        <v>847</v>
      </c>
      <c r="L1762" s="10" t="s">
        <v>2373</v>
      </c>
      <c r="M1762" s="10" t="s">
        <v>2372</v>
      </c>
      <c r="N1762" s="10" t="s">
        <v>2373</v>
      </c>
      <c r="O1762" s="10"/>
    </row>
    <row r="1763" spans="1:15" ht="18" customHeight="1" x14ac:dyDescent="0.3">
      <c r="A1763" s="24">
        <v>1762</v>
      </c>
      <c r="B1763" s="10" t="s">
        <v>51</v>
      </c>
      <c r="C1763" s="10" t="s">
        <v>57</v>
      </c>
      <c r="D1763" s="62">
        <v>90</v>
      </c>
      <c r="E1763" s="61" t="s">
        <v>886</v>
      </c>
      <c r="F1763" s="16" t="s">
        <v>566</v>
      </c>
      <c r="G1763" s="10" t="s">
        <v>150</v>
      </c>
      <c r="H1763" s="10" t="s">
        <v>849</v>
      </c>
      <c r="I1763" s="62">
        <v>142</v>
      </c>
      <c r="J1763" s="8" t="s">
        <v>846</v>
      </c>
      <c r="K1763" s="10" t="s">
        <v>847</v>
      </c>
      <c r="L1763" s="10" t="s">
        <v>2373</v>
      </c>
      <c r="M1763" s="10" t="s">
        <v>2372</v>
      </c>
      <c r="N1763" s="10" t="s">
        <v>2373</v>
      </c>
      <c r="O1763" s="10"/>
    </row>
    <row r="1764" spans="1:15" ht="18" customHeight="1" x14ac:dyDescent="0.3">
      <c r="A1764" s="24">
        <v>1763</v>
      </c>
      <c r="B1764" s="10" t="s">
        <v>51</v>
      </c>
      <c r="C1764" s="10" t="s">
        <v>57</v>
      </c>
      <c r="D1764" s="62">
        <v>90</v>
      </c>
      <c r="E1764" s="61" t="s">
        <v>886</v>
      </c>
      <c r="F1764" s="16" t="s">
        <v>566</v>
      </c>
      <c r="G1764" s="10" t="s">
        <v>150</v>
      </c>
      <c r="H1764" s="10" t="s">
        <v>850</v>
      </c>
      <c r="I1764" s="62">
        <v>142</v>
      </c>
      <c r="J1764" s="8" t="s">
        <v>2372</v>
      </c>
      <c r="K1764" s="10" t="s">
        <v>847</v>
      </c>
      <c r="L1764" s="10" t="s">
        <v>2373</v>
      </c>
      <c r="M1764" s="10" t="s">
        <v>2372</v>
      </c>
      <c r="N1764" s="10" t="s">
        <v>2373</v>
      </c>
      <c r="O1764" s="10"/>
    </row>
    <row r="1765" spans="1:15" ht="18" customHeight="1" x14ac:dyDescent="0.3">
      <c r="A1765" s="24">
        <v>1764</v>
      </c>
      <c r="B1765" s="10" t="s">
        <v>51</v>
      </c>
      <c r="C1765" s="10" t="s">
        <v>57</v>
      </c>
      <c r="D1765" s="62">
        <v>90</v>
      </c>
      <c r="E1765" s="61" t="s">
        <v>886</v>
      </c>
      <c r="F1765" s="16" t="s">
        <v>566</v>
      </c>
      <c r="G1765" s="10" t="s">
        <v>150</v>
      </c>
      <c r="H1765" s="10" t="s">
        <v>851</v>
      </c>
      <c r="I1765" s="62">
        <v>124</v>
      </c>
      <c r="J1765" s="8" t="s">
        <v>2372</v>
      </c>
      <c r="K1765" s="10" t="s">
        <v>847</v>
      </c>
      <c r="L1765" s="10" t="s">
        <v>2373</v>
      </c>
      <c r="M1765" s="10" t="s">
        <v>2372</v>
      </c>
      <c r="N1765" s="10" t="s">
        <v>2373</v>
      </c>
      <c r="O1765" s="10"/>
    </row>
    <row r="1766" spans="1:15" ht="18" customHeight="1" x14ac:dyDescent="0.3">
      <c r="A1766" s="24">
        <v>1765</v>
      </c>
      <c r="B1766" s="10" t="s">
        <v>51</v>
      </c>
      <c r="C1766" s="10" t="s">
        <v>57</v>
      </c>
      <c r="D1766" s="62">
        <v>90</v>
      </c>
      <c r="E1766" s="61" t="s">
        <v>886</v>
      </c>
      <c r="F1766" s="16" t="s">
        <v>566</v>
      </c>
      <c r="G1766" s="10" t="s">
        <v>150</v>
      </c>
      <c r="H1766" s="10" t="s">
        <v>852</v>
      </c>
      <c r="I1766" s="62">
        <v>124</v>
      </c>
      <c r="J1766" s="8" t="s">
        <v>2372</v>
      </c>
      <c r="K1766" s="10" t="s">
        <v>847</v>
      </c>
      <c r="L1766" s="10" t="s">
        <v>2373</v>
      </c>
      <c r="M1766" s="10" t="s">
        <v>2372</v>
      </c>
      <c r="N1766" s="10" t="s">
        <v>2373</v>
      </c>
      <c r="O1766" s="10"/>
    </row>
    <row r="1767" spans="1:15" ht="18" customHeight="1" x14ac:dyDescent="0.3">
      <c r="A1767" s="24">
        <v>1766</v>
      </c>
      <c r="B1767" s="10" t="s">
        <v>51</v>
      </c>
      <c r="C1767" s="10" t="s">
        <v>57</v>
      </c>
      <c r="D1767" s="62">
        <v>90</v>
      </c>
      <c r="E1767" s="61" t="s">
        <v>887</v>
      </c>
      <c r="F1767" s="16" t="s">
        <v>2596</v>
      </c>
      <c r="G1767" s="10" t="s">
        <v>150</v>
      </c>
      <c r="H1767" s="10" t="s">
        <v>845</v>
      </c>
      <c r="I1767" s="62">
        <v>405</v>
      </c>
      <c r="J1767" s="8" t="s">
        <v>846</v>
      </c>
      <c r="K1767" s="10" t="s">
        <v>846</v>
      </c>
      <c r="L1767" s="10" t="s">
        <v>2446</v>
      </c>
      <c r="M1767" s="10" t="s">
        <v>2372</v>
      </c>
      <c r="N1767" s="10" t="s">
        <v>2373</v>
      </c>
      <c r="O1767" s="10" t="s">
        <v>1077</v>
      </c>
    </row>
    <row r="1768" spans="1:15" ht="18" customHeight="1" x14ac:dyDescent="0.3">
      <c r="A1768" s="24">
        <v>1767</v>
      </c>
      <c r="B1768" s="10" t="s">
        <v>51</v>
      </c>
      <c r="C1768" s="10" t="s">
        <v>57</v>
      </c>
      <c r="D1768" s="62">
        <v>90</v>
      </c>
      <c r="E1768" s="61" t="s">
        <v>887</v>
      </c>
      <c r="F1768" s="16" t="s">
        <v>2596</v>
      </c>
      <c r="G1768" s="10" t="s">
        <v>150</v>
      </c>
      <c r="H1768" s="10" t="s">
        <v>848</v>
      </c>
      <c r="I1768" s="62">
        <v>172</v>
      </c>
      <c r="J1768" s="8" t="s">
        <v>2372</v>
      </c>
      <c r="K1768" s="10" t="s">
        <v>847</v>
      </c>
      <c r="L1768" s="10" t="s">
        <v>2373</v>
      </c>
      <c r="M1768" s="10" t="s">
        <v>2372</v>
      </c>
      <c r="N1768" s="10" t="s">
        <v>2373</v>
      </c>
      <c r="O1768" s="10"/>
    </row>
    <row r="1769" spans="1:15" ht="18" customHeight="1" x14ac:dyDescent="0.3">
      <c r="A1769" s="24">
        <v>1768</v>
      </c>
      <c r="B1769" s="10" t="s">
        <v>51</v>
      </c>
      <c r="C1769" s="10" t="s">
        <v>57</v>
      </c>
      <c r="D1769" s="62">
        <v>90</v>
      </c>
      <c r="E1769" s="61" t="s">
        <v>887</v>
      </c>
      <c r="F1769" s="16" t="s">
        <v>568</v>
      </c>
      <c r="G1769" s="10" t="s">
        <v>150</v>
      </c>
      <c r="H1769" s="10" t="s">
        <v>849</v>
      </c>
      <c r="I1769" s="62">
        <v>172</v>
      </c>
      <c r="J1769" s="8" t="s">
        <v>2372</v>
      </c>
      <c r="K1769" s="10" t="s">
        <v>847</v>
      </c>
      <c r="L1769" s="10" t="s">
        <v>2373</v>
      </c>
      <c r="M1769" s="10" t="s">
        <v>2372</v>
      </c>
      <c r="N1769" s="10" t="s">
        <v>2373</v>
      </c>
      <c r="O1769" s="10"/>
    </row>
    <row r="1770" spans="1:15" ht="18" customHeight="1" x14ac:dyDescent="0.3">
      <c r="A1770" s="24">
        <v>1769</v>
      </c>
      <c r="B1770" s="10" t="s">
        <v>51</v>
      </c>
      <c r="C1770" s="10" t="s">
        <v>57</v>
      </c>
      <c r="D1770" s="62">
        <v>90</v>
      </c>
      <c r="E1770" s="61" t="s">
        <v>887</v>
      </c>
      <c r="F1770" s="16" t="s">
        <v>568</v>
      </c>
      <c r="G1770" s="10" t="s">
        <v>150</v>
      </c>
      <c r="H1770" s="10" t="s">
        <v>850</v>
      </c>
      <c r="I1770" s="62">
        <v>112</v>
      </c>
      <c r="J1770" s="8" t="s">
        <v>2372</v>
      </c>
      <c r="K1770" s="10" t="s">
        <v>847</v>
      </c>
      <c r="L1770" s="10" t="s">
        <v>2373</v>
      </c>
      <c r="M1770" s="10" t="s">
        <v>2372</v>
      </c>
      <c r="N1770" s="10" t="s">
        <v>2373</v>
      </c>
      <c r="O1770" s="10"/>
    </row>
    <row r="1771" spans="1:15" ht="18" customHeight="1" x14ac:dyDescent="0.3">
      <c r="A1771" s="24">
        <v>1770</v>
      </c>
      <c r="B1771" s="10" t="s">
        <v>51</v>
      </c>
      <c r="C1771" s="10" t="s">
        <v>57</v>
      </c>
      <c r="D1771" s="62">
        <v>90</v>
      </c>
      <c r="E1771" s="61" t="s">
        <v>887</v>
      </c>
      <c r="F1771" s="16" t="s">
        <v>568</v>
      </c>
      <c r="G1771" s="10" t="s">
        <v>150</v>
      </c>
      <c r="H1771" s="10" t="s">
        <v>851</v>
      </c>
      <c r="I1771" s="62">
        <v>116</v>
      </c>
      <c r="J1771" s="8" t="s">
        <v>2372</v>
      </c>
      <c r="K1771" s="10" t="s">
        <v>847</v>
      </c>
      <c r="L1771" s="10" t="s">
        <v>2373</v>
      </c>
      <c r="M1771" s="10" t="s">
        <v>2372</v>
      </c>
      <c r="N1771" s="10" t="s">
        <v>2373</v>
      </c>
      <c r="O1771" s="10"/>
    </row>
    <row r="1772" spans="1:15" ht="18" customHeight="1" x14ac:dyDescent="0.3">
      <c r="A1772" s="24">
        <v>1771</v>
      </c>
      <c r="B1772" s="10" t="s">
        <v>51</v>
      </c>
      <c r="C1772" s="10" t="s">
        <v>57</v>
      </c>
      <c r="D1772" s="62">
        <v>90</v>
      </c>
      <c r="E1772" s="61" t="s">
        <v>887</v>
      </c>
      <c r="F1772" s="16" t="s">
        <v>568</v>
      </c>
      <c r="G1772" s="10" t="s">
        <v>150</v>
      </c>
      <c r="H1772" s="10" t="s">
        <v>852</v>
      </c>
      <c r="I1772" s="62">
        <v>138</v>
      </c>
      <c r="J1772" s="8" t="s">
        <v>846</v>
      </c>
      <c r="K1772" s="10" t="s">
        <v>847</v>
      </c>
      <c r="L1772" s="10" t="s">
        <v>2373</v>
      </c>
      <c r="M1772" s="10" t="s">
        <v>2372</v>
      </c>
      <c r="N1772" s="10" t="s">
        <v>2373</v>
      </c>
      <c r="O1772" s="10"/>
    </row>
    <row r="1773" spans="1:15" ht="18" customHeight="1" x14ac:dyDescent="0.3">
      <c r="A1773" s="24">
        <v>1772</v>
      </c>
      <c r="B1773" s="10" t="s">
        <v>51</v>
      </c>
      <c r="C1773" s="10" t="s">
        <v>57</v>
      </c>
      <c r="D1773" s="62">
        <v>90</v>
      </c>
      <c r="E1773" s="61" t="s">
        <v>887</v>
      </c>
      <c r="F1773" s="16" t="s">
        <v>568</v>
      </c>
      <c r="G1773" s="10" t="s">
        <v>150</v>
      </c>
      <c r="H1773" s="10" t="s">
        <v>853</v>
      </c>
      <c r="I1773" s="62">
        <v>101</v>
      </c>
      <c r="J1773" s="8" t="s">
        <v>2372</v>
      </c>
      <c r="K1773" s="10" t="s">
        <v>847</v>
      </c>
      <c r="L1773" s="10" t="s">
        <v>2373</v>
      </c>
      <c r="M1773" s="10" t="s">
        <v>2372</v>
      </c>
      <c r="N1773" s="10" t="s">
        <v>2373</v>
      </c>
      <c r="O1773" s="10"/>
    </row>
    <row r="1774" spans="1:15" ht="18" customHeight="1" x14ac:dyDescent="0.3">
      <c r="A1774" s="24">
        <v>1773</v>
      </c>
      <c r="B1774" s="10" t="s">
        <v>51</v>
      </c>
      <c r="C1774" s="10" t="s">
        <v>1656</v>
      </c>
      <c r="D1774" s="62">
        <v>90</v>
      </c>
      <c r="E1774" s="61" t="s">
        <v>2879</v>
      </c>
      <c r="F1774" s="19" t="s">
        <v>2597</v>
      </c>
      <c r="G1774" s="10" t="s">
        <v>1278</v>
      </c>
      <c r="H1774" s="10" t="s">
        <v>2385</v>
      </c>
      <c r="I1774" s="62">
        <v>85</v>
      </c>
      <c r="J1774" s="10" t="s">
        <v>2374</v>
      </c>
      <c r="K1774" s="10" t="s">
        <v>847</v>
      </c>
      <c r="L1774" s="10" t="s">
        <v>2373</v>
      </c>
      <c r="M1774" s="10" t="s">
        <v>2372</v>
      </c>
      <c r="N1774" s="10" t="s">
        <v>2373</v>
      </c>
      <c r="O1774" s="10"/>
    </row>
    <row r="1775" spans="1:15" ht="18" customHeight="1" x14ac:dyDescent="0.3">
      <c r="A1775" s="24">
        <v>1774</v>
      </c>
      <c r="B1775" s="10" t="s">
        <v>51</v>
      </c>
      <c r="C1775" s="10" t="s">
        <v>1656</v>
      </c>
      <c r="D1775" s="62">
        <v>90</v>
      </c>
      <c r="E1775" s="61" t="s">
        <v>2879</v>
      </c>
      <c r="F1775" s="19" t="s">
        <v>2597</v>
      </c>
      <c r="G1775" s="10" t="s">
        <v>1278</v>
      </c>
      <c r="H1775" s="10" t="s">
        <v>2378</v>
      </c>
      <c r="I1775" s="62">
        <v>77</v>
      </c>
      <c r="J1775" s="10" t="s">
        <v>2372</v>
      </c>
      <c r="K1775" s="10" t="s">
        <v>847</v>
      </c>
      <c r="L1775" s="10" t="s">
        <v>2373</v>
      </c>
      <c r="M1775" s="10" t="s">
        <v>2372</v>
      </c>
      <c r="N1775" s="10" t="s">
        <v>2373</v>
      </c>
      <c r="O1775" s="10"/>
    </row>
    <row r="1776" spans="1:15" ht="18" customHeight="1" x14ac:dyDescent="0.3">
      <c r="A1776" s="24">
        <v>1775</v>
      </c>
      <c r="B1776" s="10" t="s">
        <v>51</v>
      </c>
      <c r="C1776" s="10" t="s">
        <v>1656</v>
      </c>
      <c r="D1776" s="62">
        <v>90</v>
      </c>
      <c r="E1776" s="61" t="s">
        <v>2879</v>
      </c>
      <c r="F1776" s="19" t="s">
        <v>2597</v>
      </c>
      <c r="G1776" s="10" t="s">
        <v>1278</v>
      </c>
      <c r="H1776" s="10" t="s">
        <v>2379</v>
      </c>
      <c r="I1776" s="62">
        <v>77</v>
      </c>
      <c r="J1776" s="10" t="s">
        <v>2372</v>
      </c>
      <c r="K1776" s="10" t="s">
        <v>847</v>
      </c>
      <c r="L1776" s="10" t="s">
        <v>2373</v>
      </c>
      <c r="M1776" s="10" t="s">
        <v>2372</v>
      </c>
      <c r="N1776" s="10" t="s">
        <v>2373</v>
      </c>
      <c r="O1776" s="10"/>
    </row>
    <row r="1777" spans="1:15" ht="18" customHeight="1" x14ac:dyDescent="0.3">
      <c r="A1777" s="24">
        <v>1776</v>
      </c>
      <c r="B1777" s="10" t="s">
        <v>51</v>
      </c>
      <c r="C1777" s="10" t="s">
        <v>1656</v>
      </c>
      <c r="D1777" s="62">
        <v>90</v>
      </c>
      <c r="E1777" s="61" t="s">
        <v>2879</v>
      </c>
      <c r="F1777" s="19" t="s">
        <v>2597</v>
      </c>
      <c r="G1777" s="10" t="s">
        <v>1278</v>
      </c>
      <c r="H1777" s="10" t="s">
        <v>2380</v>
      </c>
      <c r="I1777" s="62">
        <v>63</v>
      </c>
      <c r="J1777" s="10" t="s">
        <v>2372</v>
      </c>
      <c r="K1777" s="10" t="s">
        <v>847</v>
      </c>
      <c r="L1777" s="10" t="s">
        <v>2373</v>
      </c>
      <c r="M1777" s="10" t="s">
        <v>2372</v>
      </c>
      <c r="N1777" s="10" t="s">
        <v>2373</v>
      </c>
      <c r="O1777" s="10"/>
    </row>
    <row r="1778" spans="1:15" ht="18" customHeight="1" x14ac:dyDescent="0.3">
      <c r="A1778" s="24">
        <v>1777</v>
      </c>
      <c r="B1778" s="10" t="s">
        <v>51</v>
      </c>
      <c r="C1778" s="10" t="s">
        <v>1656</v>
      </c>
      <c r="D1778" s="62">
        <v>90</v>
      </c>
      <c r="E1778" s="61" t="s">
        <v>2879</v>
      </c>
      <c r="F1778" s="19" t="s">
        <v>2597</v>
      </c>
      <c r="G1778" s="10" t="s">
        <v>1278</v>
      </c>
      <c r="H1778" s="10" t="s">
        <v>2390</v>
      </c>
      <c r="I1778" s="62">
        <v>72</v>
      </c>
      <c r="J1778" s="10" t="s">
        <v>2372</v>
      </c>
      <c r="K1778" s="10" t="s">
        <v>847</v>
      </c>
      <c r="L1778" s="10" t="s">
        <v>2373</v>
      </c>
      <c r="M1778" s="10" t="s">
        <v>2372</v>
      </c>
      <c r="N1778" s="10" t="s">
        <v>2373</v>
      </c>
      <c r="O1778" s="10"/>
    </row>
    <row r="1779" spans="1:15" ht="18" customHeight="1" x14ac:dyDescent="0.3">
      <c r="A1779" s="24">
        <v>1778</v>
      </c>
      <c r="B1779" s="8" t="s">
        <v>51</v>
      </c>
      <c r="C1779" s="8" t="s">
        <v>58</v>
      </c>
      <c r="D1779" s="8">
        <v>91</v>
      </c>
      <c r="E1779" s="56" t="s">
        <v>1667</v>
      </c>
      <c r="F1779" s="16" t="s">
        <v>658</v>
      </c>
      <c r="G1779" s="8" t="s">
        <v>160</v>
      </c>
      <c r="H1779" s="10" t="s">
        <v>2385</v>
      </c>
      <c r="I1779" s="62">
        <v>62</v>
      </c>
      <c r="J1779" s="8" t="s">
        <v>2372</v>
      </c>
      <c r="K1779" s="10" t="s">
        <v>847</v>
      </c>
      <c r="L1779" s="10" t="s">
        <v>2373</v>
      </c>
      <c r="M1779" s="10" t="s">
        <v>2372</v>
      </c>
      <c r="N1779" s="10" t="s">
        <v>2373</v>
      </c>
      <c r="O1779" s="10"/>
    </row>
    <row r="1780" spans="1:15" ht="18" customHeight="1" x14ac:dyDescent="0.3">
      <c r="A1780" s="24">
        <v>1779</v>
      </c>
      <c r="B1780" s="8" t="s">
        <v>51</v>
      </c>
      <c r="C1780" s="8" t="s">
        <v>58</v>
      </c>
      <c r="D1780" s="8">
        <v>91</v>
      </c>
      <c r="E1780" s="56" t="s">
        <v>1667</v>
      </c>
      <c r="F1780" s="16" t="s">
        <v>658</v>
      </c>
      <c r="G1780" s="8" t="s">
        <v>160</v>
      </c>
      <c r="H1780" s="10" t="s">
        <v>2378</v>
      </c>
      <c r="I1780" s="62">
        <v>62</v>
      </c>
      <c r="J1780" s="8" t="s">
        <v>2372</v>
      </c>
      <c r="K1780" s="10" t="s">
        <v>847</v>
      </c>
      <c r="L1780" s="10" t="s">
        <v>2373</v>
      </c>
      <c r="M1780" s="10" t="s">
        <v>2372</v>
      </c>
      <c r="N1780" s="10" t="s">
        <v>2373</v>
      </c>
      <c r="O1780" s="10"/>
    </row>
    <row r="1781" spans="1:15" ht="18" customHeight="1" x14ac:dyDescent="0.3">
      <c r="A1781" s="24">
        <v>1780</v>
      </c>
      <c r="B1781" s="8" t="s">
        <v>51</v>
      </c>
      <c r="C1781" s="8" t="s">
        <v>58</v>
      </c>
      <c r="D1781" s="8">
        <v>91</v>
      </c>
      <c r="E1781" s="56" t="s">
        <v>1667</v>
      </c>
      <c r="F1781" s="16" t="s">
        <v>658</v>
      </c>
      <c r="G1781" s="8" t="s">
        <v>160</v>
      </c>
      <c r="H1781" s="10" t="s">
        <v>2379</v>
      </c>
      <c r="I1781" s="62">
        <v>71</v>
      </c>
      <c r="J1781" s="8" t="s">
        <v>2372</v>
      </c>
      <c r="K1781" s="10" t="s">
        <v>847</v>
      </c>
      <c r="L1781" s="10" t="s">
        <v>2373</v>
      </c>
      <c r="M1781" s="10" t="s">
        <v>2372</v>
      </c>
      <c r="N1781" s="10" t="s">
        <v>2373</v>
      </c>
      <c r="O1781" s="10"/>
    </row>
    <row r="1782" spans="1:15" ht="18" customHeight="1" x14ac:dyDescent="0.3">
      <c r="A1782" s="24">
        <v>1781</v>
      </c>
      <c r="B1782" s="8" t="s">
        <v>51</v>
      </c>
      <c r="C1782" s="8" t="s">
        <v>58</v>
      </c>
      <c r="D1782" s="8">
        <v>91</v>
      </c>
      <c r="E1782" s="56" t="s">
        <v>1667</v>
      </c>
      <c r="F1782" s="16" t="s">
        <v>658</v>
      </c>
      <c r="G1782" s="8" t="s">
        <v>160</v>
      </c>
      <c r="H1782" s="10" t="s">
        <v>2380</v>
      </c>
      <c r="I1782" s="62">
        <v>70</v>
      </c>
      <c r="J1782" s="8" t="s">
        <v>2372</v>
      </c>
      <c r="K1782" s="10" t="s">
        <v>847</v>
      </c>
      <c r="L1782" s="10" t="s">
        <v>2373</v>
      </c>
      <c r="M1782" s="10" t="s">
        <v>2372</v>
      </c>
      <c r="N1782" s="10" t="s">
        <v>2373</v>
      </c>
      <c r="O1782" s="10"/>
    </row>
    <row r="1783" spans="1:15" ht="18" customHeight="1" x14ac:dyDescent="0.3">
      <c r="A1783" s="24">
        <v>1782</v>
      </c>
      <c r="B1783" s="8" t="s">
        <v>51</v>
      </c>
      <c r="C1783" s="8" t="s">
        <v>58</v>
      </c>
      <c r="D1783" s="8">
        <v>91</v>
      </c>
      <c r="E1783" s="56" t="s">
        <v>1667</v>
      </c>
      <c r="F1783" s="16" t="s">
        <v>658</v>
      </c>
      <c r="G1783" s="8" t="s">
        <v>160</v>
      </c>
      <c r="H1783" s="10" t="s">
        <v>2390</v>
      </c>
      <c r="I1783" s="62">
        <v>68</v>
      </c>
      <c r="J1783" s="8" t="s">
        <v>2372</v>
      </c>
      <c r="K1783" s="10" t="s">
        <v>847</v>
      </c>
      <c r="L1783" s="10" t="s">
        <v>2373</v>
      </c>
      <c r="M1783" s="10" t="s">
        <v>2372</v>
      </c>
      <c r="N1783" s="10" t="s">
        <v>2373</v>
      </c>
      <c r="O1783" s="10"/>
    </row>
    <row r="1784" spans="1:15" ht="18" customHeight="1" x14ac:dyDescent="0.3">
      <c r="A1784" s="24">
        <v>1783</v>
      </c>
      <c r="B1784" s="10" t="s">
        <v>51</v>
      </c>
      <c r="C1784" s="10" t="s">
        <v>58</v>
      </c>
      <c r="D1784" s="62">
        <v>91</v>
      </c>
      <c r="E1784" s="61" t="s">
        <v>2880</v>
      </c>
      <c r="F1784" s="16" t="s">
        <v>1671</v>
      </c>
      <c r="G1784" s="10" t="s">
        <v>1278</v>
      </c>
      <c r="H1784" s="10" t="s">
        <v>2385</v>
      </c>
      <c r="I1784" s="62">
        <v>66</v>
      </c>
      <c r="J1784" s="10" t="s">
        <v>2372</v>
      </c>
      <c r="K1784" s="10" t="s">
        <v>847</v>
      </c>
      <c r="L1784" s="10" t="s">
        <v>2373</v>
      </c>
      <c r="M1784" s="10" t="s">
        <v>2372</v>
      </c>
      <c r="N1784" s="10" t="s">
        <v>2373</v>
      </c>
      <c r="O1784" s="10"/>
    </row>
    <row r="1785" spans="1:15" ht="18" customHeight="1" x14ac:dyDescent="0.3">
      <c r="A1785" s="24">
        <v>1784</v>
      </c>
      <c r="B1785" s="10" t="s">
        <v>51</v>
      </c>
      <c r="C1785" s="10" t="s">
        <v>58</v>
      </c>
      <c r="D1785" s="62">
        <v>91</v>
      </c>
      <c r="E1785" s="61" t="s">
        <v>2880</v>
      </c>
      <c r="F1785" s="16" t="s">
        <v>1671</v>
      </c>
      <c r="G1785" s="10" t="s">
        <v>1278</v>
      </c>
      <c r="H1785" s="10" t="s">
        <v>2378</v>
      </c>
      <c r="I1785" s="62">
        <v>69</v>
      </c>
      <c r="J1785" s="10" t="s">
        <v>2374</v>
      </c>
      <c r="K1785" s="10" t="s">
        <v>847</v>
      </c>
      <c r="L1785" s="10" t="s">
        <v>2373</v>
      </c>
      <c r="M1785" s="10" t="s">
        <v>2372</v>
      </c>
      <c r="N1785" s="10" t="s">
        <v>2373</v>
      </c>
      <c r="O1785" s="10"/>
    </row>
    <row r="1786" spans="1:15" ht="18" customHeight="1" x14ac:dyDescent="0.3">
      <c r="A1786" s="24">
        <v>1785</v>
      </c>
      <c r="B1786" s="10" t="s">
        <v>51</v>
      </c>
      <c r="C1786" s="10" t="s">
        <v>58</v>
      </c>
      <c r="D1786" s="62">
        <v>91</v>
      </c>
      <c r="E1786" s="61" t="s">
        <v>2880</v>
      </c>
      <c r="F1786" s="16" t="s">
        <v>1671</v>
      </c>
      <c r="G1786" s="10" t="s">
        <v>1278</v>
      </c>
      <c r="H1786" s="10" t="s">
        <v>2379</v>
      </c>
      <c r="I1786" s="62">
        <v>69</v>
      </c>
      <c r="J1786" s="10" t="s">
        <v>2372</v>
      </c>
      <c r="K1786" s="10" t="s">
        <v>847</v>
      </c>
      <c r="L1786" s="10" t="s">
        <v>2373</v>
      </c>
      <c r="M1786" s="10" t="s">
        <v>2372</v>
      </c>
      <c r="N1786" s="10" t="s">
        <v>2373</v>
      </c>
      <c r="O1786" s="10"/>
    </row>
    <row r="1787" spans="1:15" ht="18" customHeight="1" x14ac:dyDescent="0.3">
      <c r="A1787" s="24">
        <v>1786</v>
      </c>
      <c r="B1787" s="10" t="s">
        <v>51</v>
      </c>
      <c r="C1787" s="10" t="s">
        <v>58</v>
      </c>
      <c r="D1787" s="62">
        <v>91</v>
      </c>
      <c r="E1787" s="61" t="s">
        <v>2880</v>
      </c>
      <c r="F1787" s="16" t="s">
        <v>1671</v>
      </c>
      <c r="G1787" s="10" t="s">
        <v>1278</v>
      </c>
      <c r="H1787" s="10" t="s">
        <v>2380</v>
      </c>
      <c r="I1787" s="62">
        <v>69</v>
      </c>
      <c r="J1787" s="10" t="s">
        <v>2372</v>
      </c>
      <c r="K1787" s="10" t="s">
        <v>847</v>
      </c>
      <c r="L1787" s="10" t="s">
        <v>2373</v>
      </c>
      <c r="M1787" s="10" t="s">
        <v>2372</v>
      </c>
      <c r="N1787" s="10" t="s">
        <v>2373</v>
      </c>
      <c r="O1787" s="10"/>
    </row>
    <row r="1788" spans="1:15" ht="18" customHeight="1" x14ac:dyDescent="0.3">
      <c r="A1788" s="24">
        <v>1787</v>
      </c>
      <c r="B1788" s="10" t="s">
        <v>51</v>
      </c>
      <c r="C1788" s="10" t="s">
        <v>58</v>
      </c>
      <c r="D1788" s="62">
        <v>91</v>
      </c>
      <c r="E1788" s="61" t="s">
        <v>2880</v>
      </c>
      <c r="F1788" s="16" t="s">
        <v>1671</v>
      </c>
      <c r="G1788" s="10" t="s">
        <v>1278</v>
      </c>
      <c r="H1788" s="10" t="s">
        <v>2390</v>
      </c>
      <c r="I1788" s="62">
        <v>64</v>
      </c>
      <c r="J1788" s="10" t="s">
        <v>2372</v>
      </c>
      <c r="K1788" s="10" t="s">
        <v>847</v>
      </c>
      <c r="L1788" s="10" t="s">
        <v>2373</v>
      </c>
      <c r="M1788" s="10" t="s">
        <v>2372</v>
      </c>
      <c r="N1788" s="10" t="s">
        <v>2373</v>
      </c>
      <c r="O1788" s="10"/>
    </row>
    <row r="1789" spans="1:15" ht="18" customHeight="1" x14ac:dyDescent="0.3">
      <c r="A1789" s="24">
        <v>1788</v>
      </c>
      <c r="B1789" s="10" t="s">
        <v>51</v>
      </c>
      <c r="C1789" s="10" t="s">
        <v>58</v>
      </c>
      <c r="D1789" s="62">
        <v>91</v>
      </c>
      <c r="E1789" s="61" t="s">
        <v>2880</v>
      </c>
      <c r="F1789" s="16" t="s">
        <v>1671</v>
      </c>
      <c r="G1789" s="10" t="s">
        <v>1278</v>
      </c>
      <c r="H1789" s="10" t="s">
        <v>2382</v>
      </c>
      <c r="I1789" s="62">
        <v>64</v>
      </c>
      <c r="J1789" s="10" t="s">
        <v>2372</v>
      </c>
      <c r="K1789" s="10" t="s">
        <v>847</v>
      </c>
      <c r="L1789" s="10" t="s">
        <v>2373</v>
      </c>
      <c r="M1789" s="10" t="s">
        <v>2372</v>
      </c>
      <c r="N1789" s="10" t="s">
        <v>2373</v>
      </c>
      <c r="O1789" s="10"/>
    </row>
    <row r="1790" spans="1:15" ht="18" customHeight="1" x14ac:dyDescent="0.3">
      <c r="A1790" s="24">
        <v>1789</v>
      </c>
      <c r="B1790" s="10" t="s">
        <v>51</v>
      </c>
      <c r="C1790" s="10" t="s">
        <v>58</v>
      </c>
      <c r="D1790" s="62">
        <v>91</v>
      </c>
      <c r="E1790" s="61" t="s">
        <v>2880</v>
      </c>
      <c r="F1790" s="16" t="s">
        <v>1671</v>
      </c>
      <c r="G1790" s="10" t="s">
        <v>1278</v>
      </c>
      <c r="H1790" s="10" t="s">
        <v>2431</v>
      </c>
      <c r="I1790" s="62">
        <v>64</v>
      </c>
      <c r="J1790" s="10" t="s">
        <v>2372</v>
      </c>
      <c r="K1790" s="10" t="s">
        <v>847</v>
      </c>
      <c r="L1790" s="10" t="s">
        <v>2373</v>
      </c>
      <c r="M1790" s="10" t="s">
        <v>2372</v>
      </c>
      <c r="N1790" s="10" t="s">
        <v>2373</v>
      </c>
      <c r="O1790" s="10"/>
    </row>
    <row r="1791" spans="1:15" ht="18" customHeight="1" x14ac:dyDescent="0.3">
      <c r="A1791" s="24">
        <v>1790</v>
      </c>
      <c r="B1791" s="10" t="s">
        <v>51</v>
      </c>
      <c r="C1791" s="10" t="s">
        <v>58</v>
      </c>
      <c r="D1791" s="62">
        <v>91</v>
      </c>
      <c r="E1791" s="61" t="s">
        <v>2880</v>
      </c>
      <c r="F1791" s="16" t="s">
        <v>1671</v>
      </c>
      <c r="G1791" s="10" t="s">
        <v>1278</v>
      </c>
      <c r="H1791" s="10" t="s">
        <v>2383</v>
      </c>
      <c r="I1791" s="62">
        <v>51</v>
      </c>
      <c r="J1791" s="10" t="s">
        <v>2372</v>
      </c>
      <c r="K1791" s="10" t="s">
        <v>847</v>
      </c>
      <c r="L1791" s="10" t="s">
        <v>2373</v>
      </c>
      <c r="M1791" s="10" t="s">
        <v>2372</v>
      </c>
      <c r="N1791" s="10" t="s">
        <v>2373</v>
      </c>
      <c r="O1791" s="10"/>
    </row>
    <row r="1792" spans="1:15" ht="18" customHeight="1" x14ac:dyDescent="0.3">
      <c r="A1792" s="24">
        <v>1791</v>
      </c>
      <c r="B1792" s="10" t="s">
        <v>51</v>
      </c>
      <c r="C1792" s="10" t="s">
        <v>58</v>
      </c>
      <c r="D1792" s="62">
        <v>91</v>
      </c>
      <c r="E1792" s="61" t="s">
        <v>231</v>
      </c>
      <c r="F1792" s="16" t="s">
        <v>660</v>
      </c>
      <c r="G1792" s="10" t="s">
        <v>150</v>
      </c>
      <c r="H1792" s="10" t="s">
        <v>845</v>
      </c>
      <c r="I1792" s="62">
        <v>239</v>
      </c>
      <c r="J1792" s="8" t="s">
        <v>2372</v>
      </c>
      <c r="K1792" s="10" t="s">
        <v>847</v>
      </c>
      <c r="L1792" s="10" t="s">
        <v>2373</v>
      </c>
      <c r="M1792" s="10" t="s">
        <v>2372</v>
      </c>
      <c r="N1792" s="10" t="s">
        <v>2373</v>
      </c>
      <c r="O1792" s="10"/>
    </row>
    <row r="1793" spans="1:15" ht="18" customHeight="1" x14ac:dyDescent="0.3">
      <c r="A1793" s="24">
        <v>1792</v>
      </c>
      <c r="B1793" s="10" t="s">
        <v>51</v>
      </c>
      <c r="C1793" s="10" t="s">
        <v>58</v>
      </c>
      <c r="D1793" s="62">
        <v>91</v>
      </c>
      <c r="E1793" s="61" t="s">
        <v>231</v>
      </c>
      <c r="F1793" s="16" t="s">
        <v>660</v>
      </c>
      <c r="G1793" s="10" t="s">
        <v>150</v>
      </c>
      <c r="H1793" s="10" t="s">
        <v>848</v>
      </c>
      <c r="I1793" s="62">
        <v>130</v>
      </c>
      <c r="J1793" s="8" t="s">
        <v>2372</v>
      </c>
      <c r="K1793" s="10" t="s">
        <v>847</v>
      </c>
      <c r="L1793" s="10" t="s">
        <v>2373</v>
      </c>
      <c r="M1793" s="10" t="s">
        <v>2372</v>
      </c>
      <c r="N1793" s="10" t="s">
        <v>2373</v>
      </c>
      <c r="O1793" s="10"/>
    </row>
    <row r="1794" spans="1:15" ht="18" customHeight="1" x14ac:dyDescent="0.3">
      <c r="A1794" s="24">
        <v>1793</v>
      </c>
      <c r="B1794" s="10" t="s">
        <v>51</v>
      </c>
      <c r="C1794" s="10" t="s">
        <v>58</v>
      </c>
      <c r="D1794" s="62">
        <v>91</v>
      </c>
      <c r="E1794" s="61" t="s">
        <v>231</v>
      </c>
      <c r="F1794" s="16" t="s">
        <v>660</v>
      </c>
      <c r="G1794" s="10" t="s">
        <v>150</v>
      </c>
      <c r="H1794" s="10" t="s">
        <v>849</v>
      </c>
      <c r="I1794" s="62">
        <v>152</v>
      </c>
      <c r="J1794" s="8" t="s">
        <v>2372</v>
      </c>
      <c r="K1794" s="10" t="s">
        <v>847</v>
      </c>
      <c r="L1794" s="10" t="s">
        <v>2373</v>
      </c>
      <c r="M1794" s="10" t="s">
        <v>2372</v>
      </c>
      <c r="N1794" s="10" t="s">
        <v>2373</v>
      </c>
      <c r="O1794" s="10"/>
    </row>
    <row r="1795" spans="1:15" ht="18" customHeight="1" x14ac:dyDescent="0.3">
      <c r="A1795" s="24">
        <v>1794</v>
      </c>
      <c r="B1795" s="10" t="s">
        <v>51</v>
      </c>
      <c r="C1795" s="10" t="s">
        <v>58</v>
      </c>
      <c r="D1795" s="62">
        <v>91</v>
      </c>
      <c r="E1795" s="61" t="s">
        <v>231</v>
      </c>
      <c r="F1795" s="16" t="s">
        <v>660</v>
      </c>
      <c r="G1795" s="10" t="s">
        <v>150</v>
      </c>
      <c r="H1795" s="10" t="s">
        <v>850</v>
      </c>
      <c r="I1795" s="62">
        <v>254</v>
      </c>
      <c r="J1795" s="8" t="s">
        <v>846</v>
      </c>
      <c r="K1795" s="10" t="s">
        <v>847</v>
      </c>
      <c r="L1795" s="10" t="s">
        <v>2373</v>
      </c>
      <c r="M1795" s="10" t="s">
        <v>2372</v>
      </c>
      <c r="N1795" s="10" t="s">
        <v>2373</v>
      </c>
      <c r="O1795" s="10"/>
    </row>
    <row r="1796" spans="1:15" ht="18" customHeight="1" x14ac:dyDescent="0.3">
      <c r="A1796" s="24">
        <v>1795</v>
      </c>
      <c r="B1796" s="10" t="s">
        <v>51</v>
      </c>
      <c r="C1796" s="10" t="s">
        <v>58</v>
      </c>
      <c r="D1796" s="62">
        <v>91</v>
      </c>
      <c r="E1796" s="61" t="s">
        <v>231</v>
      </c>
      <c r="F1796" s="16" t="s">
        <v>660</v>
      </c>
      <c r="G1796" s="10" t="s">
        <v>150</v>
      </c>
      <c r="H1796" s="10" t="s">
        <v>851</v>
      </c>
      <c r="I1796" s="62">
        <v>157</v>
      </c>
      <c r="J1796" s="8" t="s">
        <v>846</v>
      </c>
      <c r="K1796" s="10" t="s">
        <v>847</v>
      </c>
      <c r="L1796" s="10" t="s">
        <v>2373</v>
      </c>
      <c r="M1796" s="10" t="s">
        <v>2372</v>
      </c>
      <c r="N1796" s="10" t="s">
        <v>2373</v>
      </c>
      <c r="O1796" s="10"/>
    </row>
    <row r="1797" spans="1:15" ht="18" customHeight="1" x14ac:dyDescent="0.3">
      <c r="A1797" s="24">
        <v>1796</v>
      </c>
      <c r="B1797" s="10" t="s">
        <v>51</v>
      </c>
      <c r="C1797" s="10" t="s">
        <v>58</v>
      </c>
      <c r="D1797" s="62">
        <v>91</v>
      </c>
      <c r="E1797" s="61" t="s">
        <v>2881</v>
      </c>
      <c r="F1797" s="16" t="s">
        <v>659</v>
      </c>
      <c r="G1797" s="10" t="s">
        <v>150</v>
      </c>
      <c r="H1797" s="10" t="s">
        <v>845</v>
      </c>
      <c r="I1797" s="62">
        <v>130</v>
      </c>
      <c r="J1797" s="10" t="s">
        <v>2372</v>
      </c>
      <c r="K1797" s="10" t="s">
        <v>847</v>
      </c>
      <c r="L1797" s="10" t="s">
        <v>2373</v>
      </c>
      <c r="M1797" s="10" t="s">
        <v>2372</v>
      </c>
      <c r="N1797" s="10" t="s">
        <v>2373</v>
      </c>
      <c r="O1797" s="10"/>
    </row>
    <row r="1798" spans="1:15" ht="18" customHeight="1" x14ac:dyDescent="0.3">
      <c r="A1798" s="24">
        <v>1797</v>
      </c>
      <c r="B1798" s="10" t="s">
        <v>51</v>
      </c>
      <c r="C1798" s="10" t="s">
        <v>58</v>
      </c>
      <c r="D1798" s="62">
        <v>91</v>
      </c>
      <c r="E1798" s="61" t="s">
        <v>2881</v>
      </c>
      <c r="F1798" s="16" t="s">
        <v>659</v>
      </c>
      <c r="G1798" s="10" t="s">
        <v>150</v>
      </c>
      <c r="H1798" s="10" t="s">
        <v>848</v>
      </c>
      <c r="I1798" s="62">
        <v>136</v>
      </c>
      <c r="J1798" s="10" t="s">
        <v>2372</v>
      </c>
      <c r="K1798" s="10" t="s">
        <v>847</v>
      </c>
      <c r="L1798" s="10" t="s">
        <v>2373</v>
      </c>
      <c r="M1798" s="10" t="s">
        <v>2372</v>
      </c>
      <c r="N1798" s="10" t="s">
        <v>2373</v>
      </c>
      <c r="O1798" s="10"/>
    </row>
    <row r="1799" spans="1:15" ht="18" customHeight="1" x14ac:dyDescent="0.3">
      <c r="A1799" s="24">
        <v>1798</v>
      </c>
      <c r="B1799" s="10" t="s">
        <v>51</v>
      </c>
      <c r="C1799" s="10" t="s">
        <v>58</v>
      </c>
      <c r="D1799" s="62">
        <v>91</v>
      </c>
      <c r="E1799" s="61" t="s">
        <v>2881</v>
      </c>
      <c r="F1799" s="16" t="s">
        <v>659</v>
      </c>
      <c r="G1799" s="10" t="s">
        <v>150</v>
      </c>
      <c r="H1799" s="10" t="s">
        <v>849</v>
      </c>
      <c r="I1799" s="62">
        <v>130</v>
      </c>
      <c r="J1799" s="10" t="s">
        <v>2374</v>
      </c>
      <c r="K1799" s="10" t="s">
        <v>847</v>
      </c>
      <c r="L1799" s="10" t="s">
        <v>2373</v>
      </c>
      <c r="M1799" s="10" t="s">
        <v>2372</v>
      </c>
      <c r="N1799" s="10" t="s">
        <v>2373</v>
      </c>
      <c r="O1799" s="10"/>
    </row>
    <row r="1800" spans="1:15" ht="18" customHeight="1" x14ac:dyDescent="0.3">
      <c r="A1800" s="24">
        <v>1799</v>
      </c>
      <c r="B1800" s="10" t="s">
        <v>51</v>
      </c>
      <c r="C1800" s="10" t="s">
        <v>58</v>
      </c>
      <c r="D1800" s="62">
        <v>91</v>
      </c>
      <c r="E1800" s="61" t="s">
        <v>2881</v>
      </c>
      <c r="F1800" s="16" t="s">
        <v>659</v>
      </c>
      <c r="G1800" s="10" t="s">
        <v>150</v>
      </c>
      <c r="H1800" s="10" t="s">
        <v>850</v>
      </c>
      <c r="I1800" s="62">
        <v>136</v>
      </c>
      <c r="J1800" s="10" t="s">
        <v>2374</v>
      </c>
      <c r="K1800" s="10" t="s">
        <v>847</v>
      </c>
      <c r="L1800" s="10" t="s">
        <v>2373</v>
      </c>
      <c r="M1800" s="10" t="s">
        <v>2372</v>
      </c>
      <c r="N1800" s="10" t="s">
        <v>2373</v>
      </c>
      <c r="O1800" s="10"/>
    </row>
    <row r="1801" spans="1:15" ht="18" customHeight="1" x14ac:dyDescent="0.3">
      <c r="A1801" s="24">
        <v>1800</v>
      </c>
      <c r="B1801" s="10" t="s">
        <v>51</v>
      </c>
      <c r="C1801" s="10" t="s">
        <v>58</v>
      </c>
      <c r="D1801" s="62">
        <v>91</v>
      </c>
      <c r="E1801" s="61" t="s">
        <v>2881</v>
      </c>
      <c r="F1801" s="16" t="s">
        <v>659</v>
      </c>
      <c r="G1801" s="10" t="s">
        <v>150</v>
      </c>
      <c r="H1801" s="10" t="s">
        <v>851</v>
      </c>
      <c r="I1801" s="62">
        <v>141</v>
      </c>
      <c r="J1801" s="10" t="s">
        <v>2374</v>
      </c>
      <c r="K1801" s="10" t="s">
        <v>847</v>
      </c>
      <c r="L1801" s="10" t="s">
        <v>2373</v>
      </c>
      <c r="M1801" s="10" t="s">
        <v>2372</v>
      </c>
      <c r="N1801" s="10" t="s">
        <v>2373</v>
      </c>
      <c r="O1801" s="10"/>
    </row>
    <row r="1802" spans="1:15" ht="18" customHeight="1" x14ac:dyDescent="0.3">
      <c r="A1802" s="24">
        <v>1801</v>
      </c>
      <c r="B1802" s="10" t="s">
        <v>51</v>
      </c>
      <c r="C1802" s="10" t="s">
        <v>58</v>
      </c>
      <c r="D1802" s="62">
        <v>91</v>
      </c>
      <c r="E1802" s="61" t="s">
        <v>2881</v>
      </c>
      <c r="F1802" s="16" t="s">
        <v>659</v>
      </c>
      <c r="G1802" s="10" t="s">
        <v>150</v>
      </c>
      <c r="H1802" s="10" t="s">
        <v>852</v>
      </c>
      <c r="I1802" s="62">
        <v>77</v>
      </c>
      <c r="J1802" s="10" t="s">
        <v>2372</v>
      </c>
      <c r="K1802" s="10" t="s">
        <v>847</v>
      </c>
      <c r="L1802" s="10" t="s">
        <v>2373</v>
      </c>
      <c r="M1802" s="10" t="s">
        <v>2372</v>
      </c>
      <c r="N1802" s="10" t="s">
        <v>2373</v>
      </c>
      <c r="O1802" s="10"/>
    </row>
    <row r="1803" spans="1:15" ht="18" customHeight="1" x14ac:dyDescent="0.3">
      <c r="A1803" s="24">
        <v>1802</v>
      </c>
      <c r="B1803" s="10" t="s">
        <v>51</v>
      </c>
      <c r="C1803" s="10" t="s">
        <v>58</v>
      </c>
      <c r="D1803" s="62">
        <v>91</v>
      </c>
      <c r="E1803" s="61" t="s">
        <v>2882</v>
      </c>
      <c r="F1803" s="19" t="s">
        <v>657</v>
      </c>
      <c r="G1803" s="10" t="s">
        <v>150</v>
      </c>
      <c r="H1803" s="10" t="s">
        <v>848</v>
      </c>
      <c r="I1803" s="62">
        <v>105</v>
      </c>
      <c r="J1803" s="10" t="s">
        <v>2372</v>
      </c>
      <c r="K1803" s="10" t="s">
        <v>847</v>
      </c>
      <c r="L1803" s="10" t="s">
        <v>2373</v>
      </c>
      <c r="M1803" s="10" t="s">
        <v>2372</v>
      </c>
      <c r="N1803" s="10" t="s">
        <v>2373</v>
      </c>
      <c r="O1803" s="10" t="s">
        <v>2598</v>
      </c>
    </row>
    <row r="1804" spans="1:15" ht="18" customHeight="1" x14ac:dyDescent="0.3">
      <c r="A1804" s="24">
        <v>1803</v>
      </c>
      <c r="B1804" s="10" t="s">
        <v>51</v>
      </c>
      <c r="C1804" s="10" t="s">
        <v>58</v>
      </c>
      <c r="D1804" s="62">
        <v>91</v>
      </c>
      <c r="E1804" s="61" t="s">
        <v>2882</v>
      </c>
      <c r="F1804" s="19" t="s">
        <v>657</v>
      </c>
      <c r="G1804" s="10" t="s">
        <v>150</v>
      </c>
      <c r="H1804" s="10" t="s">
        <v>849</v>
      </c>
      <c r="I1804" s="62">
        <v>124</v>
      </c>
      <c r="J1804" s="10" t="s">
        <v>2372</v>
      </c>
      <c r="K1804" s="10" t="s">
        <v>847</v>
      </c>
      <c r="L1804" s="10" t="s">
        <v>2373</v>
      </c>
      <c r="M1804" s="10" t="s">
        <v>2372</v>
      </c>
      <c r="N1804" s="10" t="s">
        <v>2373</v>
      </c>
      <c r="O1804" s="10"/>
    </row>
    <row r="1805" spans="1:15" ht="18" customHeight="1" x14ac:dyDescent="0.3">
      <c r="A1805" s="24">
        <v>1804</v>
      </c>
      <c r="B1805" s="10" t="s">
        <v>51</v>
      </c>
      <c r="C1805" s="10" t="s">
        <v>58</v>
      </c>
      <c r="D1805" s="62">
        <v>91</v>
      </c>
      <c r="E1805" s="61" t="s">
        <v>2882</v>
      </c>
      <c r="F1805" s="19" t="s">
        <v>657</v>
      </c>
      <c r="G1805" s="10" t="s">
        <v>150</v>
      </c>
      <c r="H1805" s="10" t="s">
        <v>851</v>
      </c>
      <c r="I1805" s="62">
        <v>124</v>
      </c>
      <c r="J1805" s="10" t="s">
        <v>2372</v>
      </c>
      <c r="K1805" s="10" t="s">
        <v>847</v>
      </c>
      <c r="L1805" s="10" t="s">
        <v>2373</v>
      </c>
      <c r="M1805" s="10" t="s">
        <v>2372</v>
      </c>
      <c r="N1805" s="10" t="s">
        <v>2373</v>
      </c>
      <c r="O1805" s="10"/>
    </row>
    <row r="1806" spans="1:15" ht="18" customHeight="1" x14ac:dyDescent="0.3">
      <c r="A1806" s="24">
        <v>1805</v>
      </c>
      <c r="B1806" s="10" t="s">
        <v>51</v>
      </c>
      <c r="C1806" s="10" t="s">
        <v>58</v>
      </c>
      <c r="D1806" s="62">
        <v>91</v>
      </c>
      <c r="E1806" s="61" t="s">
        <v>2882</v>
      </c>
      <c r="F1806" s="19" t="s">
        <v>657</v>
      </c>
      <c r="G1806" s="10" t="s">
        <v>150</v>
      </c>
      <c r="H1806" s="10" t="s">
        <v>852</v>
      </c>
      <c r="I1806" s="177">
        <v>256</v>
      </c>
      <c r="J1806" s="10" t="s">
        <v>2374</v>
      </c>
      <c r="K1806" s="173" t="s">
        <v>3527</v>
      </c>
      <c r="L1806" s="173" t="s">
        <v>2414</v>
      </c>
      <c r="M1806" s="10" t="s">
        <v>2372</v>
      </c>
      <c r="N1806" s="10" t="s">
        <v>2373</v>
      </c>
      <c r="O1806" s="10"/>
    </row>
    <row r="1807" spans="1:15" ht="18" customHeight="1" x14ac:dyDescent="0.3">
      <c r="A1807" s="24">
        <v>1806</v>
      </c>
      <c r="B1807" s="10" t="s">
        <v>51</v>
      </c>
      <c r="C1807" s="10" t="s">
        <v>58</v>
      </c>
      <c r="D1807" s="62">
        <v>91</v>
      </c>
      <c r="E1807" s="61" t="s">
        <v>2882</v>
      </c>
      <c r="F1807" s="19" t="s">
        <v>657</v>
      </c>
      <c r="G1807" s="10" t="s">
        <v>150</v>
      </c>
      <c r="H1807" s="10" t="s">
        <v>853</v>
      </c>
      <c r="I1807" s="62">
        <v>244</v>
      </c>
      <c r="J1807" s="10" t="s">
        <v>2374</v>
      </c>
      <c r="K1807" s="10" t="s">
        <v>847</v>
      </c>
      <c r="L1807" s="10" t="s">
        <v>2373</v>
      </c>
      <c r="M1807" s="10" t="s">
        <v>2372</v>
      </c>
      <c r="N1807" s="10" t="s">
        <v>2373</v>
      </c>
      <c r="O1807" s="10"/>
    </row>
    <row r="1808" spans="1:15" ht="18" customHeight="1" x14ac:dyDescent="0.3">
      <c r="A1808" s="24">
        <v>1807</v>
      </c>
      <c r="B1808" s="10" t="s">
        <v>51</v>
      </c>
      <c r="C1808" s="10" t="s">
        <v>58</v>
      </c>
      <c r="D1808" s="62">
        <v>91</v>
      </c>
      <c r="E1808" s="61" t="s">
        <v>2882</v>
      </c>
      <c r="F1808" s="19" t="s">
        <v>657</v>
      </c>
      <c r="G1808" s="10" t="s">
        <v>150</v>
      </c>
      <c r="H1808" s="10" t="s">
        <v>854</v>
      </c>
      <c r="I1808" s="62">
        <v>116</v>
      </c>
      <c r="J1808" s="10" t="s">
        <v>2374</v>
      </c>
      <c r="K1808" s="10" t="s">
        <v>847</v>
      </c>
      <c r="L1808" s="10" t="s">
        <v>2373</v>
      </c>
      <c r="M1808" s="10" t="s">
        <v>2372</v>
      </c>
      <c r="N1808" s="10" t="s">
        <v>2373</v>
      </c>
      <c r="O1808" s="10"/>
    </row>
    <row r="1809" spans="1:15" ht="18" customHeight="1" x14ac:dyDescent="0.3">
      <c r="A1809" s="24">
        <v>1808</v>
      </c>
      <c r="B1809" s="10" t="s">
        <v>51</v>
      </c>
      <c r="C1809" s="10" t="s">
        <v>58</v>
      </c>
      <c r="D1809" s="62">
        <v>91</v>
      </c>
      <c r="E1809" s="61" t="s">
        <v>2882</v>
      </c>
      <c r="F1809" s="19" t="s">
        <v>2599</v>
      </c>
      <c r="G1809" s="10" t="s">
        <v>150</v>
      </c>
      <c r="H1809" s="10" t="s">
        <v>845</v>
      </c>
      <c r="I1809" s="62">
        <v>132</v>
      </c>
      <c r="J1809" s="10" t="s">
        <v>2374</v>
      </c>
      <c r="K1809" s="10" t="s">
        <v>2374</v>
      </c>
      <c r="L1809" s="10" t="s">
        <v>1516</v>
      </c>
      <c r="M1809" s="10" t="s">
        <v>2372</v>
      </c>
      <c r="N1809" s="10" t="s">
        <v>2373</v>
      </c>
      <c r="O1809" s="10"/>
    </row>
    <row r="1810" spans="1:15" ht="18" customHeight="1" x14ac:dyDescent="0.3">
      <c r="A1810" s="24">
        <v>1809</v>
      </c>
      <c r="B1810" s="10" t="s">
        <v>51</v>
      </c>
      <c r="C1810" s="10" t="s">
        <v>58</v>
      </c>
      <c r="D1810" s="62">
        <v>91</v>
      </c>
      <c r="E1810" s="61" t="s">
        <v>2882</v>
      </c>
      <c r="F1810" s="19" t="s">
        <v>2599</v>
      </c>
      <c r="G1810" s="10" t="s">
        <v>150</v>
      </c>
      <c r="H1810" s="10" t="s">
        <v>850</v>
      </c>
      <c r="I1810" s="62">
        <v>214</v>
      </c>
      <c r="J1810" s="10" t="s">
        <v>2374</v>
      </c>
      <c r="K1810" s="10" t="s">
        <v>846</v>
      </c>
      <c r="L1810" s="10" t="s">
        <v>985</v>
      </c>
      <c r="M1810" s="10" t="s">
        <v>2372</v>
      </c>
      <c r="N1810" s="10" t="s">
        <v>2373</v>
      </c>
      <c r="O1810" s="10"/>
    </row>
    <row r="1811" spans="1:15" ht="18" customHeight="1" x14ac:dyDescent="0.3">
      <c r="A1811" s="24">
        <v>1810</v>
      </c>
      <c r="B1811" s="10" t="s">
        <v>51</v>
      </c>
      <c r="C1811" s="10" t="s">
        <v>59</v>
      </c>
      <c r="D1811" s="62">
        <v>92</v>
      </c>
      <c r="E1811" s="61" t="s">
        <v>942</v>
      </c>
      <c r="F1811" s="16" t="s">
        <v>1675</v>
      </c>
      <c r="G1811" s="10" t="s">
        <v>2373</v>
      </c>
      <c r="H1811" s="10" t="s">
        <v>845</v>
      </c>
      <c r="I1811" s="62">
        <v>283</v>
      </c>
      <c r="J1811" s="10" t="s">
        <v>2372</v>
      </c>
      <c r="K1811" s="10" t="s">
        <v>847</v>
      </c>
      <c r="L1811" s="10" t="s">
        <v>2373</v>
      </c>
      <c r="M1811" s="10" t="s">
        <v>2372</v>
      </c>
      <c r="N1811" s="10" t="s">
        <v>2373</v>
      </c>
      <c r="O1811" s="10"/>
    </row>
    <row r="1812" spans="1:15" ht="18" customHeight="1" x14ac:dyDescent="0.3">
      <c r="A1812" s="24">
        <v>1811</v>
      </c>
      <c r="B1812" s="10" t="s">
        <v>51</v>
      </c>
      <c r="C1812" s="10" t="s">
        <v>59</v>
      </c>
      <c r="D1812" s="62">
        <v>92</v>
      </c>
      <c r="E1812" s="61" t="s">
        <v>290</v>
      </c>
      <c r="F1812" s="19" t="s">
        <v>1679</v>
      </c>
      <c r="G1812" s="10" t="s">
        <v>2373</v>
      </c>
      <c r="H1812" s="10" t="s">
        <v>845</v>
      </c>
      <c r="I1812" s="62">
        <v>218</v>
      </c>
      <c r="J1812" s="10" t="s">
        <v>2374</v>
      </c>
      <c r="K1812" s="10" t="s">
        <v>847</v>
      </c>
      <c r="L1812" s="10" t="s">
        <v>2373</v>
      </c>
      <c r="M1812" s="10" t="s">
        <v>2372</v>
      </c>
      <c r="N1812" s="10" t="s">
        <v>2373</v>
      </c>
      <c r="O1812" s="10"/>
    </row>
    <row r="1813" spans="1:15" ht="18" customHeight="1" x14ac:dyDescent="0.3">
      <c r="A1813" s="24">
        <v>1812</v>
      </c>
      <c r="B1813" s="10" t="s">
        <v>51</v>
      </c>
      <c r="C1813" s="10" t="s">
        <v>59</v>
      </c>
      <c r="D1813" s="62">
        <v>92</v>
      </c>
      <c r="E1813" s="61" t="s">
        <v>290</v>
      </c>
      <c r="F1813" s="19" t="s">
        <v>1679</v>
      </c>
      <c r="G1813" s="10" t="s">
        <v>2373</v>
      </c>
      <c r="H1813" s="10" t="s">
        <v>848</v>
      </c>
      <c r="I1813" s="177">
        <v>74</v>
      </c>
      <c r="J1813" s="10" t="s">
        <v>2372</v>
      </c>
      <c r="K1813" s="10" t="s">
        <v>847</v>
      </c>
      <c r="L1813" s="10" t="s">
        <v>2373</v>
      </c>
      <c r="M1813" s="10" t="s">
        <v>2372</v>
      </c>
      <c r="N1813" s="10" t="s">
        <v>2373</v>
      </c>
      <c r="O1813" s="10"/>
    </row>
    <row r="1814" spans="1:15" ht="18" customHeight="1" x14ac:dyDescent="0.3">
      <c r="A1814" s="24">
        <v>1813</v>
      </c>
      <c r="B1814" s="99" t="s">
        <v>3020</v>
      </c>
      <c r="C1814" s="99" t="s">
        <v>3030</v>
      </c>
      <c r="D1814" s="99">
        <v>92</v>
      </c>
      <c r="E1814" s="56" t="s">
        <v>3028</v>
      </c>
      <c r="F1814" s="56" t="s">
        <v>3029</v>
      </c>
      <c r="G1814" s="99" t="s">
        <v>3031</v>
      </c>
      <c r="H1814" s="10" t="s">
        <v>2995</v>
      </c>
      <c r="I1814" s="62">
        <v>96</v>
      </c>
      <c r="J1814" s="8" t="s">
        <v>3033</v>
      </c>
      <c r="K1814" s="10" t="s">
        <v>2994</v>
      </c>
      <c r="L1814" s="10" t="s">
        <v>820</v>
      </c>
      <c r="M1814" s="10" t="s">
        <v>884</v>
      </c>
      <c r="N1814" s="10" t="s">
        <v>820</v>
      </c>
      <c r="O1814" s="10"/>
    </row>
    <row r="1815" spans="1:15" ht="18" customHeight="1" x14ac:dyDescent="0.3">
      <c r="A1815" s="24">
        <v>1814</v>
      </c>
      <c r="B1815" s="99" t="s">
        <v>3020</v>
      </c>
      <c r="C1815" s="99" t="s">
        <v>3030</v>
      </c>
      <c r="D1815" s="99">
        <v>92</v>
      </c>
      <c r="E1815" s="56" t="s">
        <v>3028</v>
      </c>
      <c r="F1815" s="56" t="s">
        <v>3029</v>
      </c>
      <c r="G1815" s="99" t="s">
        <v>3031</v>
      </c>
      <c r="H1815" s="10" t="s">
        <v>2996</v>
      </c>
      <c r="I1815" s="62">
        <v>81</v>
      </c>
      <c r="J1815" s="8" t="s">
        <v>3033</v>
      </c>
      <c r="K1815" s="10" t="s">
        <v>2994</v>
      </c>
      <c r="L1815" s="10" t="s">
        <v>820</v>
      </c>
      <c r="M1815" s="10" t="s">
        <v>884</v>
      </c>
      <c r="N1815" s="10" t="s">
        <v>820</v>
      </c>
      <c r="O1815" s="10"/>
    </row>
    <row r="1816" spans="1:15" ht="18" customHeight="1" x14ac:dyDescent="0.3">
      <c r="A1816" s="24">
        <v>1815</v>
      </c>
      <c r="B1816" s="99" t="s">
        <v>3020</v>
      </c>
      <c r="C1816" s="99" t="s">
        <v>3030</v>
      </c>
      <c r="D1816" s="99">
        <v>92</v>
      </c>
      <c r="E1816" s="56" t="s">
        <v>3028</v>
      </c>
      <c r="F1816" s="56" t="s">
        <v>3029</v>
      </c>
      <c r="G1816" s="99" t="s">
        <v>3031</v>
      </c>
      <c r="H1816" s="10" t="s">
        <v>3032</v>
      </c>
      <c r="I1816" s="62">
        <v>51</v>
      </c>
      <c r="J1816" s="8" t="s">
        <v>3033</v>
      </c>
      <c r="K1816" s="10" t="s">
        <v>2994</v>
      </c>
      <c r="L1816" s="10" t="s">
        <v>820</v>
      </c>
      <c r="M1816" s="10" t="s">
        <v>884</v>
      </c>
      <c r="N1816" s="10" t="s">
        <v>820</v>
      </c>
      <c r="O1816" s="10"/>
    </row>
    <row r="1817" spans="1:15" ht="18" customHeight="1" x14ac:dyDescent="0.3">
      <c r="A1817" s="24">
        <v>1816</v>
      </c>
      <c r="B1817" s="99" t="s">
        <v>3020</v>
      </c>
      <c r="C1817" s="99" t="s">
        <v>3030</v>
      </c>
      <c r="D1817" s="99">
        <v>92</v>
      </c>
      <c r="E1817" s="56" t="s">
        <v>3028</v>
      </c>
      <c r="F1817" s="56" t="s">
        <v>3029</v>
      </c>
      <c r="G1817" s="99" t="s">
        <v>3031</v>
      </c>
      <c r="H1817" s="10" t="s">
        <v>3018</v>
      </c>
      <c r="I1817" s="62">
        <v>118</v>
      </c>
      <c r="J1817" s="8" t="s">
        <v>3033</v>
      </c>
      <c r="K1817" s="10" t="s">
        <v>2994</v>
      </c>
      <c r="L1817" s="10" t="s">
        <v>820</v>
      </c>
      <c r="M1817" s="10" t="s">
        <v>884</v>
      </c>
      <c r="N1817" s="10" t="s">
        <v>820</v>
      </c>
      <c r="O1817" s="10"/>
    </row>
    <row r="1818" spans="1:15" ht="18" customHeight="1" x14ac:dyDescent="0.3">
      <c r="A1818" s="24">
        <v>1817</v>
      </c>
      <c r="B1818" s="10" t="s">
        <v>51</v>
      </c>
      <c r="C1818" s="10" t="s">
        <v>60</v>
      </c>
      <c r="D1818" s="62">
        <v>93</v>
      </c>
      <c r="E1818" s="61" t="s">
        <v>271</v>
      </c>
      <c r="F1818" s="16" t="s">
        <v>620</v>
      </c>
      <c r="G1818" s="10" t="s">
        <v>160</v>
      </c>
      <c r="H1818" s="10" t="s">
        <v>845</v>
      </c>
      <c r="I1818" s="8">
        <v>76</v>
      </c>
      <c r="J1818" s="10" t="s">
        <v>2372</v>
      </c>
      <c r="K1818" s="10" t="s">
        <v>847</v>
      </c>
      <c r="L1818" s="10" t="s">
        <v>2373</v>
      </c>
      <c r="M1818" s="10" t="s">
        <v>2372</v>
      </c>
      <c r="N1818" s="10" t="s">
        <v>2373</v>
      </c>
      <c r="O1818" s="10"/>
    </row>
    <row r="1819" spans="1:15" ht="18" customHeight="1" x14ac:dyDescent="0.3">
      <c r="A1819" s="24">
        <v>1818</v>
      </c>
      <c r="B1819" s="10" t="s">
        <v>51</v>
      </c>
      <c r="C1819" s="10" t="s">
        <v>60</v>
      </c>
      <c r="D1819" s="62">
        <v>93</v>
      </c>
      <c r="E1819" s="61" t="s">
        <v>271</v>
      </c>
      <c r="F1819" s="16" t="s">
        <v>620</v>
      </c>
      <c r="G1819" s="10" t="s">
        <v>160</v>
      </c>
      <c r="H1819" s="10" t="s">
        <v>848</v>
      </c>
      <c r="I1819" s="8">
        <v>56</v>
      </c>
      <c r="J1819" s="10" t="s">
        <v>2372</v>
      </c>
      <c r="K1819" s="10" t="s">
        <v>847</v>
      </c>
      <c r="L1819" s="10" t="s">
        <v>2373</v>
      </c>
      <c r="M1819" s="10" t="s">
        <v>2372</v>
      </c>
      <c r="N1819" s="10" t="s">
        <v>2373</v>
      </c>
      <c r="O1819" s="10"/>
    </row>
    <row r="1820" spans="1:15" ht="18" customHeight="1" x14ac:dyDescent="0.3">
      <c r="A1820" s="24">
        <v>1819</v>
      </c>
      <c r="B1820" s="10" t="s">
        <v>51</v>
      </c>
      <c r="C1820" s="10" t="s">
        <v>60</v>
      </c>
      <c r="D1820" s="62">
        <v>93</v>
      </c>
      <c r="E1820" s="61" t="s">
        <v>271</v>
      </c>
      <c r="F1820" s="16" t="s">
        <v>620</v>
      </c>
      <c r="G1820" s="10" t="s">
        <v>160</v>
      </c>
      <c r="H1820" s="10" t="s">
        <v>849</v>
      </c>
      <c r="I1820" s="8">
        <v>57</v>
      </c>
      <c r="J1820" s="10" t="s">
        <v>2372</v>
      </c>
      <c r="K1820" s="10" t="s">
        <v>847</v>
      </c>
      <c r="L1820" s="10" t="s">
        <v>2373</v>
      </c>
      <c r="M1820" s="10" t="s">
        <v>2372</v>
      </c>
      <c r="N1820" s="10" t="s">
        <v>2373</v>
      </c>
      <c r="O1820" s="10"/>
    </row>
    <row r="1821" spans="1:15" ht="18" customHeight="1" x14ac:dyDescent="0.3">
      <c r="A1821" s="24">
        <v>1820</v>
      </c>
      <c r="B1821" s="10" t="s">
        <v>51</v>
      </c>
      <c r="C1821" s="10" t="s">
        <v>60</v>
      </c>
      <c r="D1821" s="62">
        <v>93</v>
      </c>
      <c r="E1821" s="61" t="s">
        <v>271</v>
      </c>
      <c r="F1821" s="16" t="s">
        <v>620</v>
      </c>
      <c r="G1821" s="10" t="s">
        <v>160</v>
      </c>
      <c r="H1821" s="10" t="s">
        <v>850</v>
      </c>
      <c r="I1821" s="8">
        <v>63</v>
      </c>
      <c r="J1821" s="10" t="s">
        <v>2372</v>
      </c>
      <c r="K1821" s="10" t="s">
        <v>847</v>
      </c>
      <c r="L1821" s="10" t="s">
        <v>2373</v>
      </c>
      <c r="M1821" s="10" t="s">
        <v>2372</v>
      </c>
      <c r="N1821" s="10" t="s">
        <v>2373</v>
      </c>
      <c r="O1821" s="10"/>
    </row>
    <row r="1822" spans="1:15" ht="18" customHeight="1" x14ac:dyDescent="0.3">
      <c r="A1822" s="24">
        <v>1821</v>
      </c>
      <c r="B1822" s="10" t="s">
        <v>51</v>
      </c>
      <c r="C1822" s="10" t="s">
        <v>60</v>
      </c>
      <c r="D1822" s="62">
        <v>93</v>
      </c>
      <c r="E1822" s="61" t="s">
        <v>271</v>
      </c>
      <c r="F1822" s="16" t="s">
        <v>620</v>
      </c>
      <c r="G1822" s="10" t="s">
        <v>160</v>
      </c>
      <c r="H1822" s="10" t="s">
        <v>851</v>
      </c>
      <c r="I1822" s="8">
        <v>56</v>
      </c>
      <c r="J1822" s="10" t="s">
        <v>2372</v>
      </c>
      <c r="K1822" s="10" t="s">
        <v>847</v>
      </c>
      <c r="L1822" s="10" t="s">
        <v>2373</v>
      </c>
      <c r="M1822" s="10" t="s">
        <v>2372</v>
      </c>
      <c r="N1822" s="10" t="s">
        <v>2373</v>
      </c>
      <c r="O1822" s="10"/>
    </row>
    <row r="1823" spans="1:15" ht="18" customHeight="1" x14ac:dyDescent="0.3">
      <c r="A1823" s="24">
        <v>1822</v>
      </c>
      <c r="B1823" s="10" t="s">
        <v>51</v>
      </c>
      <c r="C1823" s="10" t="s">
        <v>60</v>
      </c>
      <c r="D1823" s="62">
        <v>93</v>
      </c>
      <c r="E1823" s="61" t="s">
        <v>271</v>
      </c>
      <c r="F1823" s="16" t="s">
        <v>620</v>
      </c>
      <c r="G1823" s="10" t="s">
        <v>160</v>
      </c>
      <c r="H1823" s="10" t="s">
        <v>852</v>
      </c>
      <c r="I1823" s="8">
        <v>63</v>
      </c>
      <c r="J1823" s="10" t="s">
        <v>2372</v>
      </c>
      <c r="K1823" s="10" t="s">
        <v>847</v>
      </c>
      <c r="L1823" s="10" t="s">
        <v>2373</v>
      </c>
      <c r="M1823" s="10" t="s">
        <v>2372</v>
      </c>
      <c r="N1823" s="10" t="s">
        <v>2373</v>
      </c>
      <c r="O1823" s="10"/>
    </row>
    <row r="1824" spans="1:15" ht="18" customHeight="1" x14ac:dyDescent="0.3">
      <c r="A1824" s="24">
        <v>1823</v>
      </c>
      <c r="B1824" s="10" t="s">
        <v>51</v>
      </c>
      <c r="C1824" s="10" t="s">
        <v>60</v>
      </c>
      <c r="D1824" s="62">
        <v>93</v>
      </c>
      <c r="E1824" s="61" t="s">
        <v>891</v>
      </c>
      <c r="F1824" s="16" t="s">
        <v>1006</v>
      </c>
      <c r="G1824" s="10" t="s">
        <v>150</v>
      </c>
      <c r="H1824" s="10" t="s">
        <v>849</v>
      </c>
      <c r="I1824" s="62">
        <v>92</v>
      </c>
      <c r="J1824" s="8" t="s">
        <v>2372</v>
      </c>
      <c r="K1824" s="10" t="s">
        <v>847</v>
      </c>
      <c r="L1824" s="10" t="s">
        <v>2373</v>
      </c>
      <c r="M1824" s="10" t="s">
        <v>2372</v>
      </c>
      <c r="N1824" s="10" t="s">
        <v>2373</v>
      </c>
      <c r="O1824" s="10"/>
    </row>
    <row r="1825" spans="1:15" ht="18" customHeight="1" x14ac:dyDescent="0.3">
      <c r="A1825" s="24">
        <v>1824</v>
      </c>
      <c r="B1825" s="10" t="s">
        <v>51</v>
      </c>
      <c r="C1825" s="10" t="s">
        <v>60</v>
      </c>
      <c r="D1825" s="62">
        <v>93</v>
      </c>
      <c r="E1825" s="61" t="s">
        <v>891</v>
      </c>
      <c r="F1825" s="16" t="s">
        <v>1006</v>
      </c>
      <c r="G1825" s="10" t="s">
        <v>150</v>
      </c>
      <c r="H1825" s="10" t="s">
        <v>850</v>
      </c>
      <c r="I1825" s="62">
        <v>84</v>
      </c>
      <c r="J1825" s="8" t="s">
        <v>2372</v>
      </c>
      <c r="K1825" s="10" t="s">
        <v>847</v>
      </c>
      <c r="L1825" s="10" t="s">
        <v>2373</v>
      </c>
      <c r="M1825" s="10" t="s">
        <v>2372</v>
      </c>
      <c r="N1825" s="10" t="s">
        <v>2373</v>
      </c>
      <c r="O1825" s="10"/>
    </row>
    <row r="1826" spans="1:15" ht="18" customHeight="1" x14ac:dyDescent="0.3">
      <c r="A1826" s="24">
        <v>1825</v>
      </c>
      <c r="B1826" s="10" t="s">
        <v>51</v>
      </c>
      <c r="C1826" s="10" t="s">
        <v>60</v>
      </c>
      <c r="D1826" s="62">
        <v>93</v>
      </c>
      <c r="E1826" s="61" t="s">
        <v>891</v>
      </c>
      <c r="F1826" s="16" t="s">
        <v>1006</v>
      </c>
      <c r="G1826" s="10" t="s">
        <v>150</v>
      </c>
      <c r="H1826" s="10" t="s">
        <v>851</v>
      </c>
      <c r="I1826" s="62">
        <v>86</v>
      </c>
      <c r="J1826" s="8" t="s">
        <v>2372</v>
      </c>
      <c r="K1826" s="10" t="s">
        <v>847</v>
      </c>
      <c r="L1826" s="10" t="s">
        <v>2373</v>
      </c>
      <c r="M1826" s="10" t="s">
        <v>2372</v>
      </c>
      <c r="N1826" s="10" t="s">
        <v>2373</v>
      </c>
      <c r="O1826" s="10"/>
    </row>
    <row r="1827" spans="1:15" ht="18" customHeight="1" x14ac:dyDescent="0.3">
      <c r="A1827" s="24">
        <v>1826</v>
      </c>
      <c r="B1827" s="10" t="s">
        <v>51</v>
      </c>
      <c r="C1827" s="10" t="s">
        <v>60</v>
      </c>
      <c r="D1827" s="62">
        <v>93</v>
      </c>
      <c r="E1827" s="61" t="s">
        <v>891</v>
      </c>
      <c r="F1827" s="16" t="s">
        <v>1006</v>
      </c>
      <c r="G1827" s="10" t="s">
        <v>150</v>
      </c>
      <c r="H1827" s="10" t="s">
        <v>852</v>
      </c>
      <c r="I1827" s="62">
        <v>151</v>
      </c>
      <c r="J1827" s="8" t="s">
        <v>2372</v>
      </c>
      <c r="K1827" s="10" t="s">
        <v>847</v>
      </c>
      <c r="L1827" s="10" t="s">
        <v>2373</v>
      </c>
      <c r="M1827" s="10" t="s">
        <v>2372</v>
      </c>
      <c r="N1827" s="10" t="s">
        <v>2373</v>
      </c>
      <c r="O1827" s="10"/>
    </row>
    <row r="1828" spans="1:15" ht="18" customHeight="1" x14ac:dyDescent="0.3">
      <c r="A1828" s="24">
        <v>1827</v>
      </c>
      <c r="B1828" s="10" t="s">
        <v>51</v>
      </c>
      <c r="C1828" s="10" t="s">
        <v>60</v>
      </c>
      <c r="D1828" s="62">
        <v>93</v>
      </c>
      <c r="E1828" s="61" t="s">
        <v>891</v>
      </c>
      <c r="F1828" s="16" t="s">
        <v>1006</v>
      </c>
      <c r="G1828" s="10" t="s">
        <v>150</v>
      </c>
      <c r="H1828" s="10" t="s">
        <v>853</v>
      </c>
      <c r="I1828" s="62">
        <v>221</v>
      </c>
      <c r="J1828" s="8" t="s">
        <v>846</v>
      </c>
      <c r="K1828" s="10" t="s">
        <v>847</v>
      </c>
      <c r="L1828" s="10" t="s">
        <v>2373</v>
      </c>
      <c r="M1828" s="10" t="s">
        <v>2372</v>
      </c>
      <c r="N1828" s="10" t="s">
        <v>2373</v>
      </c>
      <c r="O1828" s="10"/>
    </row>
    <row r="1829" spans="1:15" ht="18" customHeight="1" x14ac:dyDescent="0.3">
      <c r="A1829" s="24">
        <v>1828</v>
      </c>
      <c r="B1829" s="10" t="s">
        <v>51</v>
      </c>
      <c r="C1829" s="10" t="s">
        <v>60</v>
      </c>
      <c r="D1829" s="62">
        <v>93</v>
      </c>
      <c r="E1829" s="61" t="s">
        <v>891</v>
      </c>
      <c r="F1829" s="16" t="s">
        <v>1006</v>
      </c>
      <c r="G1829" s="10" t="s">
        <v>150</v>
      </c>
      <c r="H1829" s="10" t="s">
        <v>854</v>
      </c>
      <c r="I1829" s="62">
        <v>201</v>
      </c>
      <c r="J1829" s="8" t="s">
        <v>2372</v>
      </c>
      <c r="K1829" s="10" t="s">
        <v>847</v>
      </c>
      <c r="L1829" s="10" t="s">
        <v>2373</v>
      </c>
      <c r="M1829" s="10" t="s">
        <v>2372</v>
      </c>
      <c r="N1829" s="10" t="s">
        <v>2373</v>
      </c>
      <c r="O1829" s="10"/>
    </row>
    <row r="1830" spans="1:15" ht="18" customHeight="1" x14ac:dyDescent="0.3">
      <c r="A1830" s="24">
        <v>1829</v>
      </c>
      <c r="B1830" s="10" t="s">
        <v>51</v>
      </c>
      <c r="C1830" s="10" t="s">
        <v>60</v>
      </c>
      <c r="D1830" s="62">
        <v>93</v>
      </c>
      <c r="E1830" s="61" t="s">
        <v>891</v>
      </c>
      <c r="F1830" s="16" t="s">
        <v>1006</v>
      </c>
      <c r="G1830" s="10" t="s">
        <v>150</v>
      </c>
      <c r="H1830" s="10" t="s">
        <v>855</v>
      </c>
      <c r="I1830" s="62">
        <v>158</v>
      </c>
      <c r="J1830" s="8" t="s">
        <v>846</v>
      </c>
      <c r="K1830" s="10" t="s">
        <v>847</v>
      </c>
      <c r="L1830" s="10" t="s">
        <v>2373</v>
      </c>
      <c r="M1830" s="10" t="s">
        <v>2372</v>
      </c>
      <c r="N1830" s="10" t="s">
        <v>2373</v>
      </c>
      <c r="O1830" s="10"/>
    </row>
    <row r="1831" spans="1:15" ht="18" customHeight="1" x14ac:dyDescent="0.3">
      <c r="A1831" s="24">
        <v>1830</v>
      </c>
      <c r="B1831" s="10" t="s">
        <v>51</v>
      </c>
      <c r="C1831" s="10" t="s">
        <v>60</v>
      </c>
      <c r="D1831" s="62">
        <v>93</v>
      </c>
      <c r="E1831" s="61" t="s">
        <v>891</v>
      </c>
      <c r="F1831" s="16" t="s">
        <v>615</v>
      </c>
      <c r="G1831" s="10" t="s">
        <v>150</v>
      </c>
      <c r="H1831" s="10" t="s">
        <v>845</v>
      </c>
      <c r="I1831" s="62">
        <v>170</v>
      </c>
      <c r="J1831" s="8" t="s">
        <v>2372</v>
      </c>
      <c r="K1831" s="10" t="s">
        <v>847</v>
      </c>
      <c r="L1831" s="10" t="s">
        <v>2373</v>
      </c>
      <c r="M1831" s="10" t="s">
        <v>2372</v>
      </c>
      <c r="N1831" s="10" t="s">
        <v>2373</v>
      </c>
      <c r="O1831" s="10"/>
    </row>
    <row r="1832" spans="1:15" ht="18" customHeight="1" x14ac:dyDescent="0.3">
      <c r="A1832" s="24">
        <v>1831</v>
      </c>
      <c r="B1832" s="10" t="s">
        <v>51</v>
      </c>
      <c r="C1832" s="10" t="s">
        <v>60</v>
      </c>
      <c r="D1832" s="62">
        <v>93</v>
      </c>
      <c r="E1832" s="61" t="s">
        <v>891</v>
      </c>
      <c r="F1832" s="16" t="s">
        <v>615</v>
      </c>
      <c r="G1832" s="10" t="s">
        <v>150</v>
      </c>
      <c r="H1832" s="10" t="s">
        <v>848</v>
      </c>
      <c r="I1832" s="62">
        <v>266</v>
      </c>
      <c r="J1832" s="8" t="s">
        <v>846</v>
      </c>
      <c r="K1832" s="10" t="s">
        <v>847</v>
      </c>
      <c r="L1832" s="10" t="s">
        <v>2373</v>
      </c>
      <c r="M1832" s="10" t="s">
        <v>2372</v>
      </c>
      <c r="N1832" s="10" t="s">
        <v>2373</v>
      </c>
      <c r="O1832" s="10"/>
    </row>
    <row r="1833" spans="1:15" ht="18" customHeight="1" x14ac:dyDescent="0.3">
      <c r="A1833" s="24">
        <v>1832</v>
      </c>
      <c r="B1833" s="10" t="s">
        <v>51</v>
      </c>
      <c r="C1833" s="10" t="s">
        <v>60</v>
      </c>
      <c r="D1833" s="62">
        <v>93</v>
      </c>
      <c r="E1833" s="61" t="s">
        <v>893</v>
      </c>
      <c r="F1833" s="16" t="s">
        <v>618</v>
      </c>
      <c r="G1833" s="10" t="s">
        <v>150</v>
      </c>
      <c r="H1833" s="10" t="s">
        <v>845</v>
      </c>
      <c r="I1833" s="62">
        <v>272</v>
      </c>
      <c r="J1833" s="8" t="s">
        <v>2372</v>
      </c>
      <c r="K1833" s="10" t="s">
        <v>847</v>
      </c>
      <c r="L1833" s="10" t="s">
        <v>2373</v>
      </c>
      <c r="M1833" s="10" t="s">
        <v>2372</v>
      </c>
      <c r="N1833" s="10" t="s">
        <v>2373</v>
      </c>
      <c r="O1833" s="10"/>
    </row>
    <row r="1834" spans="1:15" ht="18" customHeight="1" x14ac:dyDescent="0.3">
      <c r="A1834" s="24">
        <v>1833</v>
      </c>
      <c r="B1834" s="10" t="s">
        <v>51</v>
      </c>
      <c r="C1834" s="10" t="s">
        <v>60</v>
      </c>
      <c r="D1834" s="62">
        <v>93</v>
      </c>
      <c r="E1834" s="61" t="s">
        <v>893</v>
      </c>
      <c r="F1834" s="16" t="s">
        <v>618</v>
      </c>
      <c r="G1834" s="10" t="s">
        <v>150</v>
      </c>
      <c r="H1834" s="10" t="s">
        <v>848</v>
      </c>
      <c r="I1834" s="62">
        <v>272</v>
      </c>
      <c r="J1834" s="8" t="s">
        <v>2372</v>
      </c>
      <c r="K1834" s="10" t="s">
        <v>847</v>
      </c>
      <c r="L1834" s="10" t="s">
        <v>2373</v>
      </c>
      <c r="M1834" s="10" t="s">
        <v>2372</v>
      </c>
      <c r="N1834" s="10" t="s">
        <v>2373</v>
      </c>
      <c r="O1834" s="10"/>
    </row>
    <row r="1835" spans="1:15" ht="18" customHeight="1" x14ac:dyDescent="0.3">
      <c r="A1835" s="24">
        <v>1834</v>
      </c>
      <c r="B1835" s="10" t="s">
        <v>51</v>
      </c>
      <c r="C1835" s="10" t="s">
        <v>60</v>
      </c>
      <c r="D1835" s="62">
        <v>93</v>
      </c>
      <c r="E1835" s="61" t="s">
        <v>893</v>
      </c>
      <c r="F1835" s="16" t="s">
        <v>618</v>
      </c>
      <c r="G1835" s="10" t="s">
        <v>150</v>
      </c>
      <c r="H1835" s="10" t="s">
        <v>849</v>
      </c>
      <c r="I1835" s="62">
        <v>256</v>
      </c>
      <c r="J1835" s="8" t="s">
        <v>2372</v>
      </c>
      <c r="K1835" s="10" t="s">
        <v>847</v>
      </c>
      <c r="L1835" s="10" t="s">
        <v>2373</v>
      </c>
      <c r="M1835" s="10" t="s">
        <v>2372</v>
      </c>
      <c r="N1835" s="10" t="s">
        <v>2373</v>
      </c>
      <c r="O1835" s="10"/>
    </row>
    <row r="1836" spans="1:15" ht="18" customHeight="1" x14ac:dyDescent="0.3">
      <c r="A1836" s="24">
        <v>1835</v>
      </c>
      <c r="B1836" s="10" t="s">
        <v>51</v>
      </c>
      <c r="C1836" s="10" t="s">
        <v>60</v>
      </c>
      <c r="D1836" s="62">
        <v>93</v>
      </c>
      <c r="E1836" s="61" t="s">
        <v>893</v>
      </c>
      <c r="F1836" s="16" t="s">
        <v>618</v>
      </c>
      <c r="G1836" s="10" t="s">
        <v>150</v>
      </c>
      <c r="H1836" s="10" t="s">
        <v>850</v>
      </c>
      <c r="I1836" s="62">
        <v>256</v>
      </c>
      <c r="J1836" s="8" t="s">
        <v>2372</v>
      </c>
      <c r="K1836" s="10" t="s">
        <v>847</v>
      </c>
      <c r="L1836" s="10" t="s">
        <v>2373</v>
      </c>
      <c r="M1836" s="10" t="s">
        <v>2372</v>
      </c>
      <c r="N1836" s="10" t="s">
        <v>2373</v>
      </c>
      <c r="O1836" s="10"/>
    </row>
    <row r="1837" spans="1:15" ht="18" customHeight="1" x14ac:dyDescent="0.3">
      <c r="A1837" s="24">
        <v>1836</v>
      </c>
      <c r="B1837" s="10" t="s">
        <v>51</v>
      </c>
      <c r="C1837" s="10" t="s">
        <v>60</v>
      </c>
      <c r="D1837" s="62">
        <v>93</v>
      </c>
      <c r="E1837" s="61" t="s">
        <v>893</v>
      </c>
      <c r="F1837" s="16" t="s">
        <v>618</v>
      </c>
      <c r="G1837" s="10" t="s">
        <v>150</v>
      </c>
      <c r="H1837" s="10" t="s">
        <v>851</v>
      </c>
      <c r="I1837" s="62">
        <v>238</v>
      </c>
      <c r="J1837" s="8" t="s">
        <v>2372</v>
      </c>
      <c r="K1837" s="10" t="s">
        <v>847</v>
      </c>
      <c r="L1837" s="10" t="s">
        <v>2373</v>
      </c>
      <c r="M1837" s="10" t="s">
        <v>2372</v>
      </c>
      <c r="N1837" s="10" t="s">
        <v>2373</v>
      </c>
      <c r="O1837" s="10"/>
    </row>
    <row r="1838" spans="1:15" ht="18" customHeight="1" x14ac:dyDescent="0.3">
      <c r="A1838" s="24">
        <v>1837</v>
      </c>
      <c r="B1838" s="10" t="s">
        <v>51</v>
      </c>
      <c r="C1838" s="10" t="s">
        <v>60</v>
      </c>
      <c r="D1838" s="62">
        <v>93</v>
      </c>
      <c r="E1838" s="61" t="s">
        <v>893</v>
      </c>
      <c r="F1838" s="16" t="s">
        <v>618</v>
      </c>
      <c r="G1838" s="10" t="s">
        <v>150</v>
      </c>
      <c r="H1838" s="10" t="s">
        <v>852</v>
      </c>
      <c r="I1838" s="62">
        <v>256</v>
      </c>
      <c r="J1838" s="8" t="s">
        <v>846</v>
      </c>
      <c r="K1838" s="10" t="s">
        <v>847</v>
      </c>
      <c r="L1838" s="10" t="s">
        <v>2373</v>
      </c>
      <c r="M1838" s="10" t="s">
        <v>2372</v>
      </c>
      <c r="N1838" s="10" t="s">
        <v>2373</v>
      </c>
      <c r="O1838" s="10"/>
    </row>
    <row r="1839" spans="1:15" ht="18" customHeight="1" x14ac:dyDescent="0.3">
      <c r="A1839" s="24">
        <v>1838</v>
      </c>
      <c r="B1839" s="10" t="s">
        <v>51</v>
      </c>
      <c r="C1839" s="10" t="s">
        <v>60</v>
      </c>
      <c r="D1839" s="62">
        <v>93</v>
      </c>
      <c r="E1839" s="61" t="s">
        <v>893</v>
      </c>
      <c r="F1839" s="16" t="s">
        <v>618</v>
      </c>
      <c r="G1839" s="10" t="s">
        <v>150</v>
      </c>
      <c r="H1839" s="10" t="s">
        <v>853</v>
      </c>
      <c r="I1839" s="62">
        <v>238</v>
      </c>
      <c r="J1839" s="8" t="s">
        <v>846</v>
      </c>
      <c r="K1839" s="10" t="s">
        <v>847</v>
      </c>
      <c r="L1839" s="10" t="s">
        <v>2373</v>
      </c>
      <c r="M1839" s="10" t="s">
        <v>2372</v>
      </c>
      <c r="N1839" s="10" t="s">
        <v>2373</v>
      </c>
      <c r="O1839" s="10"/>
    </row>
    <row r="1840" spans="1:15" ht="18" customHeight="1" x14ac:dyDescent="0.3">
      <c r="A1840" s="24">
        <v>1839</v>
      </c>
      <c r="B1840" s="10" t="s">
        <v>51</v>
      </c>
      <c r="C1840" s="10" t="s">
        <v>60</v>
      </c>
      <c r="D1840" s="62">
        <v>93</v>
      </c>
      <c r="E1840" s="61" t="s">
        <v>2883</v>
      </c>
      <c r="F1840" s="19" t="s">
        <v>1005</v>
      </c>
      <c r="G1840" s="10" t="s">
        <v>150</v>
      </c>
      <c r="H1840" s="10" t="s">
        <v>849</v>
      </c>
      <c r="I1840" s="62">
        <v>229</v>
      </c>
      <c r="J1840" s="10" t="s">
        <v>2372</v>
      </c>
      <c r="K1840" s="10" t="s">
        <v>847</v>
      </c>
      <c r="L1840" s="10" t="s">
        <v>2373</v>
      </c>
      <c r="M1840" s="10" t="s">
        <v>2372</v>
      </c>
      <c r="N1840" s="10" t="s">
        <v>2373</v>
      </c>
      <c r="O1840" s="10"/>
    </row>
    <row r="1841" spans="1:15" ht="18" customHeight="1" x14ac:dyDescent="0.3">
      <c r="A1841" s="24">
        <v>1840</v>
      </c>
      <c r="B1841" s="10" t="s">
        <v>51</v>
      </c>
      <c r="C1841" s="10" t="s">
        <v>60</v>
      </c>
      <c r="D1841" s="62">
        <v>93</v>
      </c>
      <c r="E1841" s="61" t="s">
        <v>2883</v>
      </c>
      <c r="F1841" s="19" t="s">
        <v>1005</v>
      </c>
      <c r="G1841" s="10" t="s">
        <v>150</v>
      </c>
      <c r="H1841" s="10" t="s">
        <v>851</v>
      </c>
      <c r="I1841" s="62">
        <v>247</v>
      </c>
      <c r="J1841" s="10" t="s">
        <v>2372</v>
      </c>
      <c r="K1841" s="10" t="s">
        <v>847</v>
      </c>
      <c r="L1841" s="10" t="s">
        <v>2373</v>
      </c>
      <c r="M1841" s="10" t="s">
        <v>2372</v>
      </c>
      <c r="N1841" s="10" t="s">
        <v>2373</v>
      </c>
      <c r="O1841" s="10"/>
    </row>
    <row r="1842" spans="1:15" ht="18" customHeight="1" x14ac:dyDescent="0.3">
      <c r="A1842" s="24">
        <v>1841</v>
      </c>
      <c r="B1842" s="10" t="s">
        <v>51</v>
      </c>
      <c r="C1842" s="10" t="s">
        <v>60</v>
      </c>
      <c r="D1842" s="62">
        <v>93</v>
      </c>
      <c r="E1842" s="61" t="s">
        <v>2883</v>
      </c>
      <c r="F1842" s="19" t="s">
        <v>1005</v>
      </c>
      <c r="G1842" s="10" t="s">
        <v>150</v>
      </c>
      <c r="H1842" s="10" t="s">
        <v>852</v>
      </c>
      <c r="I1842" s="62">
        <v>173</v>
      </c>
      <c r="J1842" s="10" t="s">
        <v>2372</v>
      </c>
      <c r="K1842" s="10" t="s">
        <v>847</v>
      </c>
      <c r="L1842" s="10" t="s">
        <v>2373</v>
      </c>
      <c r="M1842" s="10" t="s">
        <v>2372</v>
      </c>
      <c r="N1842" s="10" t="s">
        <v>2373</v>
      </c>
      <c r="O1842" s="10"/>
    </row>
    <row r="1843" spans="1:15" ht="18" customHeight="1" x14ac:dyDescent="0.3">
      <c r="A1843" s="24">
        <v>1842</v>
      </c>
      <c r="B1843" s="10" t="s">
        <v>51</v>
      </c>
      <c r="C1843" s="10" t="s">
        <v>60</v>
      </c>
      <c r="D1843" s="62">
        <v>93</v>
      </c>
      <c r="E1843" s="61" t="s">
        <v>2883</v>
      </c>
      <c r="F1843" s="19" t="s">
        <v>1005</v>
      </c>
      <c r="G1843" s="10" t="s">
        <v>150</v>
      </c>
      <c r="H1843" s="10" t="s">
        <v>853</v>
      </c>
      <c r="I1843" s="62">
        <v>248</v>
      </c>
      <c r="J1843" s="10" t="s">
        <v>2374</v>
      </c>
      <c r="K1843" s="10" t="s">
        <v>847</v>
      </c>
      <c r="L1843" s="10" t="s">
        <v>2373</v>
      </c>
      <c r="M1843" s="10" t="s">
        <v>2372</v>
      </c>
      <c r="N1843" s="10" t="s">
        <v>2373</v>
      </c>
      <c r="O1843" s="10"/>
    </row>
    <row r="1844" spans="1:15" ht="18" customHeight="1" x14ac:dyDescent="0.3">
      <c r="A1844" s="24">
        <v>1843</v>
      </c>
      <c r="B1844" s="10" t="s">
        <v>51</v>
      </c>
      <c r="C1844" s="10" t="s">
        <v>60</v>
      </c>
      <c r="D1844" s="62">
        <v>93</v>
      </c>
      <c r="E1844" s="61" t="s">
        <v>2883</v>
      </c>
      <c r="F1844" s="19" t="s">
        <v>2600</v>
      </c>
      <c r="G1844" s="10" t="s">
        <v>150</v>
      </c>
      <c r="H1844" s="10" t="s">
        <v>854</v>
      </c>
      <c r="I1844" s="62">
        <v>175</v>
      </c>
      <c r="J1844" s="10" t="s">
        <v>2372</v>
      </c>
      <c r="K1844" s="10" t="s">
        <v>846</v>
      </c>
      <c r="L1844" s="10" t="s">
        <v>985</v>
      </c>
      <c r="M1844" s="10" t="s">
        <v>2372</v>
      </c>
      <c r="N1844" s="10" t="s">
        <v>2373</v>
      </c>
      <c r="O1844" s="10"/>
    </row>
    <row r="1845" spans="1:15" ht="18" customHeight="1" x14ac:dyDescent="0.3">
      <c r="A1845" s="24">
        <v>1844</v>
      </c>
      <c r="B1845" s="10" t="s">
        <v>51</v>
      </c>
      <c r="C1845" s="10" t="s">
        <v>60</v>
      </c>
      <c r="D1845" s="62">
        <v>93</v>
      </c>
      <c r="E1845" s="61" t="s">
        <v>2883</v>
      </c>
      <c r="F1845" s="19" t="s">
        <v>2600</v>
      </c>
      <c r="G1845" s="10" t="s">
        <v>150</v>
      </c>
      <c r="H1845" s="10" t="s">
        <v>923</v>
      </c>
      <c r="I1845" s="62">
        <v>132</v>
      </c>
      <c r="J1845" s="10" t="s">
        <v>2374</v>
      </c>
      <c r="K1845" s="10" t="s">
        <v>846</v>
      </c>
      <c r="L1845" s="10" t="s">
        <v>1516</v>
      </c>
      <c r="M1845" s="10" t="s">
        <v>2372</v>
      </c>
      <c r="N1845" s="10" t="s">
        <v>2373</v>
      </c>
      <c r="O1845" s="10"/>
    </row>
    <row r="1846" spans="1:15" ht="18" customHeight="1" x14ac:dyDescent="0.3">
      <c r="A1846" s="24">
        <v>1845</v>
      </c>
      <c r="B1846" s="10" t="s">
        <v>51</v>
      </c>
      <c r="C1846" s="10" t="s">
        <v>60</v>
      </c>
      <c r="D1846" s="62">
        <v>93</v>
      </c>
      <c r="E1846" s="61" t="s">
        <v>2883</v>
      </c>
      <c r="F1846" s="19" t="s">
        <v>613</v>
      </c>
      <c r="G1846" s="10" t="s">
        <v>150</v>
      </c>
      <c r="H1846" s="10" t="s">
        <v>845</v>
      </c>
      <c r="I1846" s="62">
        <v>231</v>
      </c>
      <c r="J1846" s="10" t="s">
        <v>2372</v>
      </c>
      <c r="K1846" s="10" t="s">
        <v>847</v>
      </c>
      <c r="L1846" s="10" t="s">
        <v>2373</v>
      </c>
      <c r="M1846" s="10" t="s">
        <v>2372</v>
      </c>
      <c r="N1846" s="10" t="s">
        <v>2373</v>
      </c>
      <c r="O1846" s="10"/>
    </row>
    <row r="1847" spans="1:15" ht="18" customHeight="1" x14ac:dyDescent="0.3">
      <c r="A1847" s="24">
        <v>1846</v>
      </c>
      <c r="B1847" s="10" t="s">
        <v>51</v>
      </c>
      <c r="C1847" s="10" t="s">
        <v>60</v>
      </c>
      <c r="D1847" s="62">
        <v>93</v>
      </c>
      <c r="E1847" s="61" t="s">
        <v>2883</v>
      </c>
      <c r="F1847" s="19" t="s">
        <v>613</v>
      </c>
      <c r="G1847" s="10" t="s">
        <v>150</v>
      </c>
      <c r="H1847" s="10" t="s">
        <v>848</v>
      </c>
      <c r="I1847" s="62">
        <v>173</v>
      </c>
      <c r="J1847" s="10" t="s">
        <v>2372</v>
      </c>
      <c r="K1847" s="10" t="s">
        <v>847</v>
      </c>
      <c r="L1847" s="10" t="s">
        <v>2373</v>
      </c>
      <c r="M1847" s="10" t="s">
        <v>2372</v>
      </c>
      <c r="N1847" s="10" t="s">
        <v>2373</v>
      </c>
      <c r="O1847" s="10"/>
    </row>
    <row r="1848" spans="1:15" ht="18" customHeight="1" x14ac:dyDescent="0.3">
      <c r="A1848" s="24">
        <v>1847</v>
      </c>
      <c r="B1848" s="10" t="s">
        <v>51</v>
      </c>
      <c r="C1848" s="10" t="s">
        <v>60</v>
      </c>
      <c r="D1848" s="62">
        <v>93</v>
      </c>
      <c r="E1848" s="61" t="s">
        <v>943</v>
      </c>
      <c r="F1848" s="19" t="s">
        <v>1686</v>
      </c>
      <c r="G1848" s="10" t="s">
        <v>2373</v>
      </c>
      <c r="H1848" s="10" t="s">
        <v>944</v>
      </c>
      <c r="I1848" s="62">
        <v>199</v>
      </c>
      <c r="J1848" s="10" t="s">
        <v>2372</v>
      </c>
      <c r="K1848" s="10" t="s">
        <v>847</v>
      </c>
      <c r="L1848" s="10" t="s">
        <v>2373</v>
      </c>
      <c r="M1848" s="10" t="s">
        <v>2374</v>
      </c>
      <c r="N1848" s="10" t="s">
        <v>1687</v>
      </c>
      <c r="O1848" s="10"/>
    </row>
    <row r="1849" spans="1:15" ht="18" customHeight="1" x14ac:dyDescent="0.3">
      <c r="A1849" s="24">
        <v>1848</v>
      </c>
      <c r="B1849" s="10" t="s">
        <v>51</v>
      </c>
      <c r="C1849" s="10" t="s">
        <v>60</v>
      </c>
      <c r="D1849" s="62">
        <v>93</v>
      </c>
      <c r="E1849" s="61" t="s">
        <v>1691</v>
      </c>
      <c r="F1849" s="16" t="s">
        <v>616</v>
      </c>
      <c r="G1849" s="10" t="s">
        <v>150</v>
      </c>
      <c r="H1849" s="10" t="s">
        <v>848</v>
      </c>
      <c r="I1849" s="62">
        <v>169</v>
      </c>
      <c r="J1849" s="8" t="s">
        <v>846</v>
      </c>
      <c r="K1849" s="10" t="s">
        <v>847</v>
      </c>
      <c r="L1849" s="10" t="s">
        <v>2373</v>
      </c>
      <c r="M1849" s="10" t="s">
        <v>2372</v>
      </c>
      <c r="N1849" s="10" t="s">
        <v>2373</v>
      </c>
      <c r="O1849" s="10"/>
    </row>
    <row r="1850" spans="1:15" ht="18" customHeight="1" x14ac:dyDescent="0.3">
      <c r="A1850" s="24">
        <v>1849</v>
      </c>
      <c r="B1850" s="10" t="s">
        <v>51</v>
      </c>
      <c r="C1850" s="10" t="s">
        <v>60</v>
      </c>
      <c r="D1850" s="62">
        <v>93</v>
      </c>
      <c r="E1850" s="61" t="s">
        <v>1691</v>
      </c>
      <c r="F1850" s="16" t="s">
        <v>616</v>
      </c>
      <c r="G1850" s="10" t="s">
        <v>150</v>
      </c>
      <c r="H1850" s="10" t="s">
        <v>849</v>
      </c>
      <c r="I1850" s="62">
        <v>143</v>
      </c>
      <c r="J1850" s="8" t="s">
        <v>2372</v>
      </c>
      <c r="K1850" s="10" t="s">
        <v>847</v>
      </c>
      <c r="L1850" s="10" t="s">
        <v>2373</v>
      </c>
      <c r="M1850" s="10" t="s">
        <v>2372</v>
      </c>
      <c r="N1850" s="10" t="s">
        <v>2373</v>
      </c>
      <c r="O1850" s="10"/>
    </row>
    <row r="1851" spans="1:15" ht="18" customHeight="1" x14ac:dyDescent="0.3">
      <c r="A1851" s="24">
        <v>1850</v>
      </c>
      <c r="B1851" s="10" t="s">
        <v>51</v>
      </c>
      <c r="C1851" s="10" t="s">
        <v>60</v>
      </c>
      <c r="D1851" s="62">
        <v>93</v>
      </c>
      <c r="E1851" s="61" t="s">
        <v>1691</v>
      </c>
      <c r="F1851" s="16" t="s">
        <v>616</v>
      </c>
      <c r="G1851" s="10" t="s">
        <v>150</v>
      </c>
      <c r="H1851" s="10" t="s">
        <v>850</v>
      </c>
      <c r="I1851" s="62">
        <v>143</v>
      </c>
      <c r="J1851" s="8" t="s">
        <v>2372</v>
      </c>
      <c r="K1851" s="10" t="s">
        <v>847</v>
      </c>
      <c r="L1851" s="10" t="s">
        <v>2373</v>
      </c>
      <c r="M1851" s="10" t="s">
        <v>2372</v>
      </c>
      <c r="N1851" s="10" t="s">
        <v>2373</v>
      </c>
      <c r="O1851" s="10"/>
    </row>
    <row r="1852" spans="1:15" ht="18" customHeight="1" x14ac:dyDescent="0.3">
      <c r="A1852" s="24">
        <v>1851</v>
      </c>
      <c r="B1852" s="10" t="s">
        <v>51</v>
      </c>
      <c r="C1852" s="10" t="s">
        <v>60</v>
      </c>
      <c r="D1852" s="62">
        <v>93</v>
      </c>
      <c r="E1852" s="61" t="s">
        <v>1691</v>
      </c>
      <c r="F1852" s="16" t="s">
        <v>616</v>
      </c>
      <c r="G1852" s="10" t="s">
        <v>150</v>
      </c>
      <c r="H1852" s="10" t="s">
        <v>851</v>
      </c>
      <c r="I1852" s="62">
        <v>372</v>
      </c>
      <c r="J1852" s="8" t="s">
        <v>846</v>
      </c>
      <c r="K1852" s="10" t="s">
        <v>847</v>
      </c>
      <c r="L1852" s="10" t="s">
        <v>2373</v>
      </c>
      <c r="M1852" s="10" t="s">
        <v>2372</v>
      </c>
      <c r="N1852" s="10" t="s">
        <v>2373</v>
      </c>
      <c r="O1852" s="10"/>
    </row>
    <row r="1853" spans="1:15" ht="18" customHeight="1" x14ac:dyDescent="0.3">
      <c r="A1853" s="24">
        <v>1852</v>
      </c>
      <c r="B1853" s="10" t="s">
        <v>51</v>
      </c>
      <c r="C1853" s="10" t="s">
        <v>60</v>
      </c>
      <c r="D1853" s="62">
        <v>93</v>
      </c>
      <c r="E1853" s="61" t="s">
        <v>1691</v>
      </c>
      <c r="F1853" s="16" t="s">
        <v>616</v>
      </c>
      <c r="G1853" s="10" t="s">
        <v>150</v>
      </c>
      <c r="H1853" s="10" t="s">
        <v>852</v>
      </c>
      <c r="I1853" s="62">
        <v>199</v>
      </c>
      <c r="J1853" s="8" t="s">
        <v>2372</v>
      </c>
      <c r="K1853" s="10" t="s">
        <v>847</v>
      </c>
      <c r="L1853" s="10" t="s">
        <v>2373</v>
      </c>
      <c r="M1853" s="10" t="s">
        <v>2372</v>
      </c>
      <c r="N1853" s="10" t="s">
        <v>2373</v>
      </c>
      <c r="O1853" s="10"/>
    </row>
    <row r="1854" spans="1:15" ht="18" customHeight="1" x14ac:dyDescent="0.3">
      <c r="A1854" s="24">
        <v>1853</v>
      </c>
      <c r="B1854" s="10" t="s">
        <v>51</v>
      </c>
      <c r="C1854" s="10" t="s">
        <v>60</v>
      </c>
      <c r="D1854" s="62">
        <v>93</v>
      </c>
      <c r="E1854" s="61" t="s">
        <v>1691</v>
      </c>
      <c r="F1854" s="16" t="s">
        <v>616</v>
      </c>
      <c r="G1854" s="10" t="s">
        <v>150</v>
      </c>
      <c r="H1854" s="10" t="s">
        <v>853</v>
      </c>
      <c r="I1854" s="62">
        <v>255</v>
      </c>
      <c r="J1854" s="8" t="s">
        <v>2372</v>
      </c>
      <c r="K1854" s="10" t="s">
        <v>847</v>
      </c>
      <c r="L1854" s="10" t="s">
        <v>2373</v>
      </c>
      <c r="M1854" s="10" t="s">
        <v>2372</v>
      </c>
      <c r="N1854" s="10" t="s">
        <v>2373</v>
      </c>
      <c r="O1854" s="10"/>
    </row>
    <row r="1855" spans="1:15" ht="18" customHeight="1" x14ac:dyDescent="0.3">
      <c r="A1855" s="24">
        <v>1854</v>
      </c>
      <c r="B1855" s="10" t="s">
        <v>51</v>
      </c>
      <c r="C1855" s="10" t="s">
        <v>60</v>
      </c>
      <c r="D1855" s="62">
        <v>93</v>
      </c>
      <c r="E1855" s="61" t="s">
        <v>1691</v>
      </c>
      <c r="F1855" s="16" t="s">
        <v>616</v>
      </c>
      <c r="G1855" s="10" t="s">
        <v>150</v>
      </c>
      <c r="H1855" s="10" t="s">
        <v>854</v>
      </c>
      <c r="I1855" s="62">
        <v>294</v>
      </c>
      <c r="J1855" s="8" t="s">
        <v>846</v>
      </c>
      <c r="K1855" s="10" t="s">
        <v>847</v>
      </c>
      <c r="L1855" s="10" t="s">
        <v>2373</v>
      </c>
      <c r="M1855" s="10" t="s">
        <v>2372</v>
      </c>
      <c r="N1855" s="10" t="s">
        <v>2373</v>
      </c>
      <c r="O1855" s="10"/>
    </row>
    <row r="1856" spans="1:15" ht="18" customHeight="1" x14ac:dyDescent="0.3">
      <c r="A1856" s="24">
        <v>1855</v>
      </c>
      <c r="B1856" s="10" t="s">
        <v>51</v>
      </c>
      <c r="C1856" s="10" t="s">
        <v>60</v>
      </c>
      <c r="D1856" s="62">
        <v>93</v>
      </c>
      <c r="E1856" s="61" t="s">
        <v>2601</v>
      </c>
      <c r="F1856" s="16" t="s">
        <v>1127</v>
      </c>
      <c r="G1856" s="10" t="s">
        <v>150</v>
      </c>
      <c r="H1856" s="10" t="s">
        <v>1156</v>
      </c>
      <c r="I1856" s="62">
        <v>32</v>
      </c>
      <c r="J1856" s="8" t="s">
        <v>2372</v>
      </c>
      <c r="K1856" s="10" t="s">
        <v>2374</v>
      </c>
      <c r="L1856" s="10" t="s">
        <v>2392</v>
      </c>
      <c r="M1856" s="10" t="s">
        <v>2372</v>
      </c>
      <c r="N1856" s="10" t="s">
        <v>2373</v>
      </c>
      <c r="O1856" s="10"/>
    </row>
    <row r="1857" spans="1:15" ht="18" customHeight="1" x14ac:dyDescent="0.3">
      <c r="A1857" s="24">
        <v>1856</v>
      </c>
      <c r="B1857" s="10" t="s">
        <v>51</v>
      </c>
      <c r="C1857" s="10" t="s">
        <v>61</v>
      </c>
      <c r="D1857" s="62">
        <v>96</v>
      </c>
      <c r="E1857" s="61" t="s">
        <v>252</v>
      </c>
      <c r="F1857" s="16" t="s">
        <v>559</v>
      </c>
      <c r="G1857" s="10" t="s">
        <v>150</v>
      </c>
      <c r="H1857" s="10" t="s">
        <v>845</v>
      </c>
      <c r="I1857" s="62">
        <v>178</v>
      </c>
      <c r="J1857" s="10" t="s">
        <v>2372</v>
      </c>
      <c r="K1857" s="10" t="s">
        <v>847</v>
      </c>
      <c r="L1857" s="10" t="s">
        <v>2373</v>
      </c>
      <c r="M1857" s="10" t="s">
        <v>2372</v>
      </c>
      <c r="N1857" s="10" t="s">
        <v>2373</v>
      </c>
      <c r="O1857" s="10"/>
    </row>
    <row r="1858" spans="1:15" ht="18" customHeight="1" x14ac:dyDescent="0.3">
      <c r="A1858" s="24">
        <v>1857</v>
      </c>
      <c r="B1858" s="10" t="s">
        <v>51</v>
      </c>
      <c r="C1858" s="10" t="s">
        <v>61</v>
      </c>
      <c r="D1858" s="62">
        <v>96</v>
      </c>
      <c r="E1858" s="61" t="s">
        <v>252</v>
      </c>
      <c r="F1858" s="16" t="s">
        <v>559</v>
      </c>
      <c r="G1858" s="10" t="s">
        <v>150</v>
      </c>
      <c r="H1858" s="10" t="s">
        <v>848</v>
      </c>
      <c r="I1858" s="62">
        <v>118</v>
      </c>
      <c r="J1858" s="10" t="s">
        <v>2372</v>
      </c>
      <c r="K1858" s="10" t="s">
        <v>847</v>
      </c>
      <c r="L1858" s="10" t="s">
        <v>2373</v>
      </c>
      <c r="M1858" s="10" t="s">
        <v>2372</v>
      </c>
      <c r="N1858" s="10" t="s">
        <v>2373</v>
      </c>
      <c r="O1858" s="10"/>
    </row>
    <row r="1859" spans="1:15" ht="18" customHeight="1" x14ac:dyDescent="0.3">
      <c r="A1859" s="24">
        <v>1858</v>
      </c>
      <c r="B1859" s="10" t="s">
        <v>51</v>
      </c>
      <c r="C1859" s="10" t="s">
        <v>61</v>
      </c>
      <c r="D1859" s="62">
        <v>96</v>
      </c>
      <c r="E1859" s="61" t="s">
        <v>252</v>
      </c>
      <c r="F1859" s="16" t="s">
        <v>559</v>
      </c>
      <c r="G1859" s="10" t="s">
        <v>150</v>
      </c>
      <c r="H1859" s="10" t="s">
        <v>849</v>
      </c>
      <c r="I1859" s="62">
        <v>136</v>
      </c>
      <c r="J1859" s="10" t="s">
        <v>2372</v>
      </c>
      <c r="K1859" s="10" t="s">
        <v>847</v>
      </c>
      <c r="L1859" s="10" t="s">
        <v>2373</v>
      </c>
      <c r="M1859" s="10" t="s">
        <v>2372</v>
      </c>
      <c r="N1859" s="10" t="s">
        <v>2373</v>
      </c>
      <c r="O1859" s="10"/>
    </row>
    <row r="1860" spans="1:15" ht="18" customHeight="1" x14ac:dyDescent="0.3">
      <c r="A1860" s="24">
        <v>1859</v>
      </c>
      <c r="B1860" s="10" t="s">
        <v>51</v>
      </c>
      <c r="C1860" s="10" t="s">
        <v>61</v>
      </c>
      <c r="D1860" s="62">
        <v>96</v>
      </c>
      <c r="E1860" s="61" t="s">
        <v>252</v>
      </c>
      <c r="F1860" s="16" t="s">
        <v>559</v>
      </c>
      <c r="G1860" s="10" t="s">
        <v>150</v>
      </c>
      <c r="H1860" s="10" t="s">
        <v>850</v>
      </c>
      <c r="I1860" s="62">
        <v>190</v>
      </c>
      <c r="J1860" s="10" t="s">
        <v>2372</v>
      </c>
      <c r="K1860" s="10" t="s">
        <v>847</v>
      </c>
      <c r="L1860" s="10" t="s">
        <v>2373</v>
      </c>
      <c r="M1860" s="10" t="s">
        <v>2372</v>
      </c>
      <c r="N1860" s="10" t="s">
        <v>2373</v>
      </c>
      <c r="O1860" s="10"/>
    </row>
    <row r="1861" spans="1:15" ht="18" customHeight="1" x14ac:dyDescent="0.3">
      <c r="A1861" s="24">
        <v>1860</v>
      </c>
      <c r="B1861" s="10" t="s">
        <v>51</v>
      </c>
      <c r="C1861" s="10" t="s">
        <v>61</v>
      </c>
      <c r="D1861" s="62">
        <v>96</v>
      </c>
      <c r="E1861" s="61" t="s">
        <v>252</v>
      </c>
      <c r="F1861" s="16" t="s">
        <v>559</v>
      </c>
      <c r="G1861" s="10" t="s">
        <v>150</v>
      </c>
      <c r="H1861" s="10" t="s">
        <v>851</v>
      </c>
      <c r="I1861" s="62">
        <v>168</v>
      </c>
      <c r="J1861" s="10" t="s">
        <v>2372</v>
      </c>
      <c r="K1861" s="10" t="s">
        <v>847</v>
      </c>
      <c r="L1861" s="10" t="s">
        <v>2373</v>
      </c>
      <c r="M1861" s="10" t="s">
        <v>2372</v>
      </c>
      <c r="N1861" s="10" t="s">
        <v>2373</v>
      </c>
      <c r="O1861" s="10"/>
    </row>
    <row r="1862" spans="1:15" ht="18" customHeight="1" x14ac:dyDescent="0.3">
      <c r="A1862" s="24">
        <v>1861</v>
      </c>
      <c r="B1862" s="10" t="s">
        <v>51</v>
      </c>
      <c r="C1862" s="10" t="s">
        <v>61</v>
      </c>
      <c r="D1862" s="62">
        <v>96</v>
      </c>
      <c r="E1862" s="61" t="s">
        <v>252</v>
      </c>
      <c r="F1862" s="16" t="s">
        <v>559</v>
      </c>
      <c r="G1862" s="10" t="s">
        <v>150</v>
      </c>
      <c r="H1862" s="10" t="s">
        <v>853</v>
      </c>
      <c r="I1862" s="62">
        <v>152</v>
      </c>
      <c r="J1862" s="10" t="s">
        <v>2372</v>
      </c>
      <c r="K1862" s="10" t="s">
        <v>847</v>
      </c>
      <c r="L1862" s="10" t="s">
        <v>2373</v>
      </c>
      <c r="M1862" s="10" t="s">
        <v>2372</v>
      </c>
      <c r="N1862" s="10" t="s">
        <v>2373</v>
      </c>
      <c r="O1862" s="10"/>
    </row>
    <row r="1863" spans="1:15" ht="18" customHeight="1" x14ac:dyDescent="0.3">
      <c r="A1863" s="24">
        <v>1862</v>
      </c>
      <c r="B1863" s="10" t="s">
        <v>51</v>
      </c>
      <c r="C1863" s="10" t="s">
        <v>61</v>
      </c>
      <c r="D1863" s="62">
        <v>96</v>
      </c>
      <c r="E1863" s="61" t="s">
        <v>252</v>
      </c>
      <c r="F1863" s="16" t="s">
        <v>559</v>
      </c>
      <c r="G1863" s="10" t="s">
        <v>150</v>
      </c>
      <c r="H1863" s="10" t="s">
        <v>854</v>
      </c>
      <c r="I1863" s="62">
        <v>25</v>
      </c>
      <c r="J1863" s="10" t="s">
        <v>2372</v>
      </c>
      <c r="K1863" s="10" t="s">
        <v>847</v>
      </c>
      <c r="L1863" s="10" t="s">
        <v>2373</v>
      </c>
      <c r="M1863" s="10" t="s">
        <v>2372</v>
      </c>
      <c r="N1863" s="10" t="s">
        <v>2373</v>
      </c>
      <c r="O1863" s="10"/>
    </row>
    <row r="1864" spans="1:15" ht="18" customHeight="1" x14ac:dyDescent="0.3">
      <c r="A1864" s="24">
        <v>1863</v>
      </c>
      <c r="B1864" s="10" t="s">
        <v>51</v>
      </c>
      <c r="C1864" s="10" t="s">
        <v>61</v>
      </c>
      <c r="D1864" s="62">
        <v>96</v>
      </c>
      <c r="E1864" s="61" t="s">
        <v>252</v>
      </c>
      <c r="F1864" s="16" t="s">
        <v>559</v>
      </c>
      <c r="G1864" s="10" t="s">
        <v>150</v>
      </c>
      <c r="H1864" s="10" t="s">
        <v>855</v>
      </c>
      <c r="I1864" s="62">
        <v>29</v>
      </c>
      <c r="J1864" s="10" t="s">
        <v>2372</v>
      </c>
      <c r="K1864" s="10" t="s">
        <v>847</v>
      </c>
      <c r="L1864" s="10" t="s">
        <v>2373</v>
      </c>
      <c r="M1864" s="10" t="s">
        <v>2372</v>
      </c>
      <c r="N1864" s="10" t="s">
        <v>2373</v>
      </c>
      <c r="O1864" s="10"/>
    </row>
    <row r="1865" spans="1:15" ht="18" customHeight="1" x14ac:dyDescent="0.3">
      <c r="A1865" s="24">
        <v>1864</v>
      </c>
      <c r="B1865" s="10" t="s">
        <v>51</v>
      </c>
      <c r="C1865" s="10" t="s">
        <v>61</v>
      </c>
      <c r="D1865" s="62">
        <v>96</v>
      </c>
      <c r="E1865" s="61" t="s">
        <v>252</v>
      </c>
      <c r="F1865" s="16" t="s">
        <v>559</v>
      </c>
      <c r="G1865" s="10" t="s">
        <v>150</v>
      </c>
      <c r="H1865" s="10" t="s">
        <v>2382</v>
      </c>
      <c r="I1865" s="62">
        <v>218</v>
      </c>
      <c r="J1865" s="10" t="s">
        <v>2372</v>
      </c>
      <c r="K1865" s="10" t="s">
        <v>846</v>
      </c>
      <c r="L1865" s="173" t="s">
        <v>3196</v>
      </c>
      <c r="M1865" s="10" t="s">
        <v>2372</v>
      </c>
      <c r="N1865" s="10" t="s">
        <v>2373</v>
      </c>
      <c r="O1865" s="10" t="s">
        <v>2447</v>
      </c>
    </row>
    <row r="1866" spans="1:15" ht="18" customHeight="1" x14ac:dyDescent="0.3">
      <c r="A1866" s="24">
        <v>1865</v>
      </c>
      <c r="B1866" s="10" t="s">
        <v>1600</v>
      </c>
      <c r="C1866" s="10" t="s">
        <v>1692</v>
      </c>
      <c r="D1866" s="62">
        <v>96</v>
      </c>
      <c r="E1866" s="61" t="s">
        <v>2884</v>
      </c>
      <c r="F1866" s="11" t="s">
        <v>2602</v>
      </c>
      <c r="G1866" s="10" t="s">
        <v>1264</v>
      </c>
      <c r="H1866" s="10" t="s">
        <v>2385</v>
      </c>
      <c r="I1866" s="62">
        <v>98</v>
      </c>
      <c r="J1866" s="10" t="s">
        <v>2372</v>
      </c>
      <c r="K1866" s="10" t="s">
        <v>2372</v>
      </c>
      <c r="L1866" s="10" t="s">
        <v>2373</v>
      </c>
      <c r="M1866" s="10" t="s">
        <v>2372</v>
      </c>
      <c r="N1866" s="10" t="s">
        <v>2373</v>
      </c>
      <c r="O1866" s="10"/>
    </row>
    <row r="1867" spans="1:15" ht="18" customHeight="1" x14ac:dyDescent="0.3">
      <c r="A1867" s="24">
        <v>1866</v>
      </c>
      <c r="B1867" s="10" t="s">
        <v>1600</v>
      </c>
      <c r="C1867" s="10" t="s">
        <v>1692</v>
      </c>
      <c r="D1867" s="62">
        <v>96</v>
      </c>
      <c r="E1867" s="61" t="s">
        <v>2884</v>
      </c>
      <c r="F1867" s="11" t="s">
        <v>2602</v>
      </c>
      <c r="G1867" s="10" t="s">
        <v>1264</v>
      </c>
      <c r="H1867" s="10" t="s">
        <v>2378</v>
      </c>
      <c r="I1867" s="62">
        <v>148</v>
      </c>
      <c r="J1867" s="10" t="s">
        <v>2372</v>
      </c>
      <c r="K1867" s="10" t="s">
        <v>2372</v>
      </c>
      <c r="L1867" s="10" t="s">
        <v>2373</v>
      </c>
      <c r="M1867" s="10" t="s">
        <v>2372</v>
      </c>
      <c r="N1867" s="10" t="s">
        <v>2373</v>
      </c>
      <c r="O1867" s="10"/>
    </row>
    <row r="1868" spans="1:15" ht="18" customHeight="1" x14ac:dyDescent="0.3">
      <c r="A1868" s="24">
        <v>1867</v>
      </c>
      <c r="B1868" s="10" t="s">
        <v>1600</v>
      </c>
      <c r="C1868" s="10" t="s">
        <v>1692</v>
      </c>
      <c r="D1868" s="62">
        <v>96</v>
      </c>
      <c r="E1868" s="61" t="s">
        <v>2884</v>
      </c>
      <c r="F1868" s="11" t="s">
        <v>2602</v>
      </c>
      <c r="G1868" s="10" t="s">
        <v>1264</v>
      </c>
      <c r="H1868" s="10" t="s">
        <v>2379</v>
      </c>
      <c r="I1868" s="62">
        <v>83</v>
      </c>
      <c r="J1868" s="10" t="s">
        <v>2372</v>
      </c>
      <c r="K1868" s="10" t="s">
        <v>2372</v>
      </c>
      <c r="L1868" s="10" t="s">
        <v>2373</v>
      </c>
      <c r="M1868" s="10" t="s">
        <v>2372</v>
      </c>
      <c r="N1868" s="10" t="s">
        <v>2373</v>
      </c>
      <c r="O1868" s="10"/>
    </row>
    <row r="1869" spans="1:15" ht="18" customHeight="1" x14ac:dyDescent="0.3">
      <c r="A1869" s="24">
        <v>1868</v>
      </c>
      <c r="B1869" s="10" t="s">
        <v>1600</v>
      </c>
      <c r="C1869" s="10" t="s">
        <v>1692</v>
      </c>
      <c r="D1869" s="62">
        <v>96</v>
      </c>
      <c r="E1869" s="61" t="s">
        <v>2884</v>
      </c>
      <c r="F1869" s="11" t="s">
        <v>2602</v>
      </c>
      <c r="G1869" s="10" t="s">
        <v>1264</v>
      </c>
      <c r="H1869" s="10" t="s">
        <v>2380</v>
      </c>
      <c r="I1869" s="62">
        <v>98</v>
      </c>
      <c r="J1869" s="10" t="s">
        <v>2372</v>
      </c>
      <c r="K1869" s="10" t="s">
        <v>2372</v>
      </c>
      <c r="L1869" s="10" t="s">
        <v>2373</v>
      </c>
      <c r="M1869" s="10" t="s">
        <v>2372</v>
      </c>
      <c r="N1869" s="10" t="s">
        <v>2373</v>
      </c>
      <c r="O1869" s="10"/>
    </row>
    <row r="1870" spans="1:15" ht="18" customHeight="1" x14ac:dyDescent="0.3">
      <c r="A1870" s="24">
        <v>1869</v>
      </c>
      <c r="B1870" s="10" t="s">
        <v>1600</v>
      </c>
      <c r="C1870" s="10" t="s">
        <v>1692</v>
      </c>
      <c r="D1870" s="62">
        <v>96</v>
      </c>
      <c r="E1870" s="61" t="s">
        <v>2884</v>
      </c>
      <c r="F1870" s="11" t="s">
        <v>2602</v>
      </c>
      <c r="G1870" s="10" t="s">
        <v>1264</v>
      </c>
      <c r="H1870" s="10" t="s">
        <v>2390</v>
      </c>
      <c r="I1870" s="62">
        <v>148</v>
      </c>
      <c r="J1870" s="10" t="s">
        <v>2374</v>
      </c>
      <c r="K1870" s="10" t="s">
        <v>2372</v>
      </c>
      <c r="L1870" s="10" t="s">
        <v>2373</v>
      </c>
      <c r="M1870" s="10" t="s">
        <v>2372</v>
      </c>
      <c r="N1870" s="10" t="s">
        <v>2373</v>
      </c>
      <c r="O1870" s="10"/>
    </row>
    <row r="1871" spans="1:15" ht="18" customHeight="1" x14ac:dyDescent="0.3">
      <c r="A1871" s="24">
        <v>1870</v>
      </c>
      <c r="B1871" s="10" t="s">
        <v>1600</v>
      </c>
      <c r="C1871" s="10" t="s">
        <v>1692</v>
      </c>
      <c r="D1871" s="62">
        <v>96</v>
      </c>
      <c r="E1871" s="61" t="s">
        <v>2884</v>
      </c>
      <c r="F1871" s="11" t="s">
        <v>2602</v>
      </c>
      <c r="G1871" s="10" t="s">
        <v>1264</v>
      </c>
      <c r="H1871" s="10" t="s">
        <v>2382</v>
      </c>
      <c r="I1871" s="62">
        <v>83</v>
      </c>
      <c r="J1871" s="10" t="s">
        <v>2372</v>
      </c>
      <c r="K1871" s="10" t="s">
        <v>2372</v>
      </c>
      <c r="L1871" s="10" t="s">
        <v>2373</v>
      </c>
      <c r="M1871" s="10" t="s">
        <v>2372</v>
      </c>
      <c r="N1871" s="10" t="s">
        <v>2373</v>
      </c>
      <c r="O1871" s="10"/>
    </row>
    <row r="1872" spans="1:15" ht="18" customHeight="1" x14ac:dyDescent="0.3">
      <c r="A1872" s="24">
        <v>1871</v>
      </c>
      <c r="B1872" s="10" t="s">
        <v>51</v>
      </c>
      <c r="C1872" s="10" t="s">
        <v>61</v>
      </c>
      <c r="D1872" s="62">
        <v>96</v>
      </c>
      <c r="E1872" s="61" t="s">
        <v>2885</v>
      </c>
      <c r="F1872" s="19" t="s">
        <v>555</v>
      </c>
      <c r="G1872" s="10" t="s">
        <v>160</v>
      </c>
      <c r="H1872" s="10" t="s">
        <v>845</v>
      </c>
      <c r="I1872" s="62">
        <v>146</v>
      </c>
      <c r="J1872" s="10" t="s">
        <v>2374</v>
      </c>
      <c r="K1872" s="10" t="s">
        <v>847</v>
      </c>
      <c r="L1872" s="10" t="s">
        <v>2373</v>
      </c>
      <c r="M1872" s="10" t="s">
        <v>2372</v>
      </c>
      <c r="N1872" s="10" t="s">
        <v>2373</v>
      </c>
      <c r="O1872" s="10"/>
    </row>
    <row r="1873" spans="1:15" ht="18" customHeight="1" x14ac:dyDescent="0.3">
      <c r="A1873" s="24">
        <v>1872</v>
      </c>
      <c r="B1873" s="10" t="s">
        <v>51</v>
      </c>
      <c r="C1873" s="10" t="s">
        <v>61</v>
      </c>
      <c r="D1873" s="62">
        <v>96</v>
      </c>
      <c r="E1873" s="61" t="s">
        <v>2885</v>
      </c>
      <c r="F1873" s="19" t="s">
        <v>555</v>
      </c>
      <c r="G1873" s="10" t="s">
        <v>160</v>
      </c>
      <c r="H1873" s="10" t="s">
        <v>848</v>
      </c>
      <c r="I1873" s="62">
        <v>144</v>
      </c>
      <c r="J1873" s="10" t="s">
        <v>2374</v>
      </c>
      <c r="K1873" s="10" t="s">
        <v>847</v>
      </c>
      <c r="L1873" s="10" t="s">
        <v>2373</v>
      </c>
      <c r="M1873" s="10" t="s">
        <v>2372</v>
      </c>
      <c r="N1873" s="10" t="s">
        <v>2373</v>
      </c>
      <c r="O1873" s="10"/>
    </row>
    <row r="1874" spans="1:15" ht="18" customHeight="1" x14ac:dyDescent="0.3">
      <c r="A1874" s="24">
        <v>1873</v>
      </c>
      <c r="B1874" s="10" t="s">
        <v>51</v>
      </c>
      <c r="C1874" s="10" t="s">
        <v>61</v>
      </c>
      <c r="D1874" s="62">
        <v>96</v>
      </c>
      <c r="E1874" s="61" t="s">
        <v>2885</v>
      </c>
      <c r="F1874" s="19" t="s">
        <v>555</v>
      </c>
      <c r="G1874" s="10" t="s">
        <v>160</v>
      </c>
      <c r="H1874" s="10" t="s">
        <v>849</v>
      </c>
      <c r="I1874" s="62">
        <v>120</v>
      </c>
      <c r="J1874" s="10" t="s">
        <v>2374</v>
      </c>
      <c r="K1874" s="10" t="s">
        <v>847</v>
      </c>
      <c r="L1874" s="10" t="s">
        <v>2373</v>
      </c>
      <c r="M1874" s="10" t="s">
        <v>2372</v>
      </c>
      <c r="N1874" s="10" t="s">
        <v>2373</v>
      </c>
      <c r="O1874" s="10"/>
    </row>
    <row r="1875" spans="1:15" ht="18" customHeight="1" x14ac:dyDescent="0.3">
      <c r="A1875" s="24">
        <v>1874</v>
      </c>
      <c r="B1875" s="10" t="s">
        <v>51</v>
      </c>
      <c r="C1875" s="10" t="s">
        <v>61</v>
      </c>
      <c r="D1875" s="62">
        <v>96</v>
      </c>
      <c r="E1875" s="61" t="s">
        <v>2885</v>
      </c>
      <c r="F1875" s="19" t="s">
        <v>555</v>
      </c>
      <c r="G1875" s="10" t="s">
        <v>160</v>
      </c>
      <c r="H1875" s="10" t="s">
        <v>850</v>
      </c>
      <c r="I1875" s="62">
        <v>81</v>
      </c>
      <c r="J1875" s="10" t="s">
        <v>2372</v>
      </c>
      <c r="K1875" s="10" t="s">
        <v>847</v>
      </c>
      <c r="L1875" s="10" t="s">
        <v>2373</v>
      </c>
      <c r="M1875" s="10" t="s">
        <v>2372</v>
      </c>
      <c r="N1875" s="10" t="s">
        <v>2373</v>
      </c>
      <c r="O1875" s="10"/>
    </row>
    <row r="1876" spans="1:15" ht="18" customHeight="1" x14ac:dyDescent="0.3">
      <c r="A1876" s="24">
        <v>1875</v>
      </c>
      <c r="B1876" s="10" t="s">
        <v>51</v>
      </c>
      <c r="C1876" s="10" t="s">
        <v>61</v>
      </c>
      <c r="D1876" s="62">
        <v>96</v>
      </c>
      <c r="E1876" s="61" t="s">
        <v>2885</v>
      </c>
      <c r="F1876" s="19" t="s">
        <v>555</v>
      </c>
      <c r="G1876" s="10" t="s">
        <v>160</v>
      </c>
      <c r="H1876" s="10" t="s">
        <v>851</v>
      </c>
      <c r="I1876" s="62">
        <v>86</v>
      </c>
      <c r="J1876" s="10" t="s">
        <v>2372</v>
      </c>
      <c r="K1876" s="10" t="s">
        <v>847</v>
      </c>
      <c r="L1876" s="10" t="s">
        <v>2373</v>
      </c>
      <c r="M1876" s="10" t="s">
        <v>2372</v>
      </c>
      <c r="N1876" s="10" t="s">
        <v>2373</v>
      </c>
      <c r="O1876" s="10"/>
    </row>
    <row r="1877" spans="1:15" ht="18" customHeight="1" x14ac:dyDescent="0.3">
      <c r="A1877" s="24">
        <v>1876</v>
      </c>
      <c r="B1877" s="10" t="s">
        <v>51</v>
      </c>
      <c r="C1877" s="10" t="s">
        <v>61</v>
      </c>
      <c r="D1877" s="62">
        <v>96</v>
      </c>
      <c r="E1877" s="61" t="s">
        <v>2885</v>
      </c>
      <c r="F1877" s="19" t="s">
        <v>555</v>
      </c>
      <c r="G1877" s="10" t="s">
        <v>160</v>
      </c>
      <c r="H1877" s="10" t="s">
        <v>852</v>
      </c>
      <c r="I1877" s="62">
        <v>92</v>
      </c>
      <c r="J1877" s="10" t="s">
        <v>2372</v>
      </c>
      <c r="K1877" s="10" t="s">
        <v>847</v>
      </c>
      <c r="L1877" s="10" t="s">
        <v>2373</v>
      </c>
      <c r="M1877" s="10" t="s">
        <v>2372</v>
      </c>
      <c r="N1877" s="10" t="s">
        <v>2373</v>
      </c>
      <c r="O1877" s="10"/>
    </row>
    <row r="1878" spans="1:15" ht="18" customHeight="1" x14ac:dyDescent="0.3">
      <c r="A1878" s="24">
        <v>1877</v>
      </c>
      <c r="B1878" s="10" t="s">
        <v>51</v>
      </c>
      <c r="C1878" s="10" t="s">
        <v>61</v>
      </c>
      <c r="D1878" s="62">
        <v>96</v>
      </c>
      <c r="E1878" s="61" t="s">
        <v>2885</v>
      </c>
      <c r="F1878" s="19" t="s">
        <v>555</v>
      </c>
      <c r="G1878" s="10" t="s">
        <v>160</v>
      </c>
      <c r="H1878" s="10" t="s">
        <v>853</v>
      </c>
      <c r="I1878" s="62">
        <v>88</v>
      </c>
      <c r="J1878" s="10" t="s">
        <v>2372</v>
      </c>
      <c r="K1878" s="10" t="s">
        <v>847</v>
      </c>
      <c r="L1878" s="10" t="s">
        <v>2373</v>
      </c>
      <c r="M1878" s="10" t="s">
        <v>2372</v>
      </c>
      <c r="N1878" s="10" t="s">
        <v>2373</v>
      </c>
      <c r="O1878" s="10"/>
    </row>
    <row r="1879" spans="1:15" ht="18" customHeight="1" x14ac:dyDescent="0.3">
      <c r="A1879" s="24">
        <v>1878</v>
      </c>
      <c r="B1879" s="10" t="s">
        <v>51</v>
      </c>
      <c r="C1879" s="10" t="s">
        <v>61</v>
      </c>
      <c r="D1879" s="62">
        <v>96</v>
      </c>
      <c r="E1879" s="61" t="s">
        <v>2885</v>
      </c>
      <c r="F1879" s="19" t="s">
        <v>555</v>
      </c>
      <c r="G1879" s="10" t="s">
        <v>160</v>
      </c>
      <c r="H1879" s="10" t="s">
        <v>854</v>
      </c>
      <c r="I1879" s="62">
        <v>129</v>
      </c>
      <c r="J1879" s="10" t="s">
        <v>2372</v>
      </c>
      <c r="K1879" s="10" t="s">
        <v>847</v>
      </c>
      <c r="L1879" s="10" t="s">
        <v>2373</v>
      </c>
      <c r="M1879" s="10" t="s">
        <v>2372</v>
      </c>
      <c r="N1879" s="10" t="s">
        <v>2373</v>
      </c>
      <c r="O1879" s="10"/>
    </row>
    <row r="1880" spans="1:15" ht="18" customHeight="1" x14ac:dyDescent="0.3">
      <c r="A1880" s="24">
        <v>1879</v>
      </c>
      <c r="B1880" s="10" t="s">
        <v>51</v>
      </c>
      <c r="C1880" s="10" t="s">
        <v>61</v>
      </c>
      <c r="D1880" s="62">
        <v>96</v>
      </c>
      <c r="E1880" s="61" t="s">
        <v>3110</v>
      </c>
      <c r="F1880" s="16" t="s">
        <v>561</v>
      </c>
      <c r="G1880" s="10" t="s">
        <v>150</v>
      </c>
      <c r="H1880" s="10" t="s">
        <v>1147</v>
      </c>
      <c r="I1880" s="62">
        <v>141</v>
      </c>
      <c r="J1880" s="10" t="s">
        <v>2372</v>
      </c>
      <c r="K1880" s="10" t="s">
        <v>846</v>
      </c>
      <c r="L1880" s="10" t="s">
        <v>3113</v>
      </c>
      <c r="M1880" s="10" t="s">
        <v>2372</v>
      </c>
      <c r="N1880" s="10" t="s">
        <v>2373</v>
      </c>
      <c r="O1880" s="10" t="s">
        <v>3111</v>
      </c>
    </row>
    <row r="1881" spans="1:15" ht="18" customHeight="1" x14ac:dyDescent="0.3">
      <c r="A1881" s="24">
        <v>1880</v>
      </c>
      <c r="B1881" s="10" t="s">
        <v>51</v>
      </c>
      <c r="C1881" s="10" t="s">
        <v>61</v>
      </c>
      <c r="D1881" s="62">
        <v>96</v>
      </c>
      <c r="E1881" s="61" t="s">
        <v>3110</v>
      </c>
      <c r="F1881" s="16" t="s">
        <v>561</v>
      </c>
      <c r="G1881" s="10" t="s">
        <v>150</v>
      </c>
      <c r="H1881" s="10" t="s">
        <v>1146</v>
      </c>
      <c r="I1881" s="62">
        <v>129</v>
      </c>
      <c r="J1881" s="10" t="s">
        <v>2372</v>
      </c>
      <c r="K1881" s="10" t="s">
        <v>846</v>
      </c>
      <c r="L1881" s="10" t="s">
        <v>3113</v>
      </c>
      <c r="M1881" s="10" t="s">
        <v>2372</v>
      </c>
      <c r="N1881" s="10" t="s">
        <v>2373</v>
      </c>
      <c r="O1881" s="10" t="s">
        <v>3111</v>
      </c>
    </row>
    <row r="1882" spans="1:15" ht="18" customHeight="1" x14ac:dyDescent="0.3">
      <c r="A1882" s="24">
        <v>1881</v>
      </c>
      <c r="B1882" s="10" t="s">
        <v>51</v>
      </c>
      <c r="C1882" s="10" t="s">
        <v>61</v>
      </c>
      <c r="D1882" s="62">
        <v>96</v>
      </c>
      <c r="E1882" s="61" t="s">
        <v>3110</v>
      </c>
      <c r="F1882" s="16" t="s">
        <v>561</v>
      </c>
      <c r="G1882" s="10" t="s">
        <v>150</v>
      </c>
      <c r="H1882" s="10" t="s">
        <v>1148</v>
      </c>
      <c r="I1882" s="62">
        <v>129</v>
      </c>
      <c r="J1882" s="10" t="s">
        <v>2372</v>
      </c>
      <c r="K1882" s="10" t="s">
        <v>846</v>
      </c>
      <c r="L1882" s="10" t="s">
        <v>3113</v>
      </c>
      <c r="M1882" s="10" t="s">
        <v>2372</v>
      </c>
      <c r="N1882" s="10" t="s">
        <v>2373</v>
      </c>
      <c r="O1882" s="10" t="s">
        <v>3111</v>
      </c>
    </row>
    <row r="1883" spans="1:15" ht="18" customHeight="1" x14ac:dyDescent="0.3">
      <c r="A1883" s="24">
        <v>1882</v>
      </c>
      <c r="B1883" s="10" t="s">
        <v>51</v>
      </c>
      <c r="C1883" s="10" t="s">
        <v>61</v>
      </c>
      <c r="D1883" s="62">
        <v>96</v>
      </c>
      <c r="E1883" s="61" t="s">
        <v>3110</v>
      </c>
      <c r="F1883" s="16" t="s">
        <v>561</v>
      </c>
      <c r="G1883" s="10" t="s">
        <v>150</v>
      </c>
      <c r="H1883" s="10" t="s">
        <v>1149</v>
      </c>
      <c r="I1883" s="62">
        <v>141</v>
      </c>
      <c r="J1883" s="10" t="s">
        <v>2374</v>
      </c>
      <c r="K1883" s="10" t="s">
        <v>846</v>
      </c>
      <c r="L1883" s="10" t="s">
        <v>3113</v>
      </c>
      <c r="M1883" s="10" t="s">
        <v>2372</v>
      </c>
      <c r="N1883" s="10" t="s">
        <v>2373</v>
      </c>
      <c r="O1883" s="10" t="s">
        <v>3111</v>
      </c>
    </row>
    <row r="1884" spans="1:15" ht="18" customHeight="1" x14ac:dyDescent="0.3">
      <c r="A1884" s="24">
        <v>1883</v>
      </c>
      <c r="B1884" s="10" t="s">
        <v>51</v>
      </c>
      <c r="C1884" s="10" t="s">
        <v>61</v>
      </c>
      <c r="D1884" s="62">
        <v>96</v>
      </c>
      <c r="E1884" s="61" t="s">
        <v>3110</v>
      </c>
      <c r="F1884" s="16" t="s">
        <v>561</v>
      </c>
      <c r="G1884" s="10" t="s">
        <v>150</v>
      </c>
      <c r="H1884" s="10" t="s">
        <v>1150</v>
      </c>
      <c r="I1884" s="62">
        <v>209</v>
      </c>
      <c r="J1884" s="10" t="s">
        <v>2372</v>
      </c>
      <c r="K1884" s="10" t="s">
        <v>846</v>
      </c>
      <c r="L1884" s="10" t="s">
        <v>3113</v>
      </c>
      <c r="M1884" s="10" t="s">
        <v>2372</v>
      </c>
      <c r="N1884" s="10" t="s">
        <v>2373</v>
      </c>
      <c r="O1884" s="10" t="s">
        <v>3111</v>
      </c>
    </row>
    <row r="1885" spans="1:15" ht="18" customHeight="1" x14ac:dyDescent="0.3">
      <c r="A1885" s="24">
        <v>1884</v>
      </c>
      <c r="B1885" s="10" t="s">
        <v>51</v>
      </c>
      <c r="C1885" s="10" t="s">
        <v>61</v>
      </c>
      <c r="D1885" s="62">
        <v>96</v>
      </c>
      <c r="E1885" s="61" t="s">
        <v>220</v>
      </c>
      <c r="F1885" s="16" t="s">
        <v>556</v>
      </c>
      <c r="G1885" s="10" t="s">
        <v>1278</v>
      </c>
      <c r="H1885" s="10" t="s">
        <v>845</v>
      </c>
      <c r="I1885" s="62">
        <v>118</v>
      </c>
      <c r="J1885" s="8" t="s">
        <v>2372</v>
      </c>
      <c r="K1885" s="10" t="s">
        <v>2374</v>
      </c>
      <c r="L1885" s="10" t="s">
        <v>2229</v>
      </c>
      <c r="M1885" s="10" t="s">
        <v>2372</v>
      </c>
      <c r="N1885" s="10" t="s">
        <v>2373</v>
      </c>
      <c r="O1885" s="10"/>
    </row>
    <row r="1886" spans="1:15" ht="18" customHeight="1" x14ac:dyDescent="0.3">
      <c r="A1886" s="24">
        <v>1885</v>
      </c>
      <c r="B1886" s="10" t="s">
        <v>51</v>
      </c>
      <c r="C1886" s="10" t="s">
        <v>61</v>
      </c>
      <c r="D1886" s="62">
        <v>96</v>
      </c>
      <c r="E1886" s="61" t="s">
        <v>220</v>
      </c>
      <c r="F1886" s="16" t="s">
        <v>556</v>
      </c>
      <c r="G1886" s="10" t="s">
        <v>1278</v>
      </c>
      <c r="H1886" s="10" t="s">
        <v>848</v>
      </c>
      <c r="I1886" s="62">
        <v>152</v>
      </c>
      <c r="J1886" s="8" t="s">
        <v>2372</v>
      </c>
      <c r="K1886" s="10" t="s">
        <v>2374</v>
      </c>
      <c r="L1886" s="10" t="s">
        <v>2229</v>
      </c>
      <c r="M1886" s="10" t="s">
        <v>2372</v>
      </c>
      <c r="N1886" s="10" t="s">
        <v>2373</v>
      </c>
      <c r="O1886" s="10"/>
    </row>
    <row r="1887" spans="1:15" ht="18" customHeight="1" x14ac:dyDescent="0.3">
      <c r="A1887" s="24">
        <v>1886</v>
      </c>
      <c r="B1887" s="10" t="s">
        <v>51</v>
      </c>
      <c r="C1887" s="10" t="s">
        <v>61</v>
      </c>
      <c r="D1887" s="62">
        <v>96</v>
      </c>
      <c r="E1887" s="61" t="s">
        <v>220</v>
      </c>
      <c r="F1887" s="16" t="s">
        <v>556</v>
      </c>
      <c r="G1887" s="10" t="s">
        <v>1278</v>
      </c>
      <c r="H1887" s="10" t="s">
        <v>2379</v>
      </c>
      <c r="I1887" s="62">
        <v>66</v>
      </c>
      <c r="J1887" s="8" t="s">
        <v>2372</v>
      </c>
      <c r="K1887" s="10" t="s">
        <v>2374</v>
      </c>
      <c r="L1887" s="10" t="s">
        <v>2229</v>
      </c>
      <c r="M1887" s="10" t="s">
        <v>2372</v>
      </c>
      <c r="N1887" s="10" t="s">
        <v>2373</v>
      </c>
      <c r="O1887" s="10"/>
    </row>
    <row r="1888" spans="1:15" ht="18" customHeight="1" x14ac:dyDescent="0.3">
      <c r="A1888" s="24">
        <v>1887</v>
      </c>
      <c r="B1888" s="10" t="s">
        <v>51</v>
      </c>
      <c r="C1888" s="10" t="s">
        <v>61</v>
      </c>
      <c r="D1888" s="62">
        <v>96</v>
      </c>
      <c r="E1888" s="61" t="s">
        <v>220</v>
      </c>
      <c r="F1888" s="16" t="s">
        <v>556</v>
      </c>
      <c r="G1888" s="10" t="s">
        <v>1278</v>
      </c>
      <c r="H1888" s="10" t="s">
        <v>2771</v>
      </c>
      <c r="I1888" s="62">
        <v>127</v>
      </c>
      <c r="J1888" s="8" t="s">
        <v>2372</v>
      </c>
      <c r="K1888" s="10" t="s">
        <v>2374</v>
      </c>
      <c r="L1888" s="10" t="s">
        <v>2229</v>
      </c>
      <c r="M1888" s="10" t="s">
        <v>2372</v>
      </c>
      <c r="N1888" s="10" t="s">
        <v>2373</v>
      </c>
      <c r="O1888" s="10"/>
    </row>
    <row r="1889" spans="1:15" ht="18" customHeight="1" x14ac:dyDescent="0.3">
      <c r="A1889" s="24">
        <v>1888</v>
      </c>
      <c r="B1889" s="10" t="s">
        <v>51</v>
      </c>
      <c r="C1889" s="10" t="s">
        <v>61</v>
      </c>
      <c r="D1889" s="62">
        <v>96</v>
      </c>
      <c r="E1889" s="61" t="s">
        <v>220</v>
      </c>
      <c r="F1889" s="16" t="s">
        <v>556</v>
      </c>
      <c r="G1889" s="10" t="s">
        <v>1278</v>
      </c>
      <c r="H1889" s="10" t="s">
        <v>2603</v>
      </c>
      <c r="I1889" s="62">
        <v>72</v>
      </c>
      <c r="J1889" s="8" t="s">
        <v>2372</v>
      </c>
      <c r="K1889" s="10" t="s">
        <v>2374</v>
      </c>
      <c r="L1889" s="10" t="s">
        <v>2229</v>
      </c>
      <c r="M1889" s="10" t="s">
        <v>2372</v>
      </c>
      <c r="N1889" s="10" t="s">
        <v>2373</v>
      </c>
      <c r="O1889" s="10"/>
    </row>
    <row r="1890" spans="1:15" ht="18" customHeight="1" x14ac:dyDescent="0.3">
      <c r="A1890" s="24">
        <v>1889</v>
      </c>
      <c r="B1890" s="10" t="s">
        <v>51</v>
      </c>
      <c r="C1890" s="10" t="s">
        <v>61</v>
      </c>
      <c r="D1890" s="62">
        <v>96</v>
      </c>
      <c r="E1890" s="61" t="s">
        <v>220</v>
      </c>
      <c r="F1890" s="16" t="s">
        <v>556</v>
      </c>
      <c r="G1890" s="10" t="s">
        <v>1278</v>
      </c>
      <c r="H1890" s="10" t="s">
        <v>2604</v>
      </c>
      <c r="I1890" s="62">
        <v>70</v>
      </c>
      <c r="J1890" s="8" t="s">
        <v>2372</v>
      </c>
      <c r="K1890" s="10" t="s">
        <v>2374</v>
      </c>
      <c r="L1890" s="10" t="s">
        <v>2229</v>
      </c>
      <c r="M1890" s="10" t="s">
        <v>2372</v>
      </c>
      <c r="N1890" s="10" t="s">
        <v>2373</v>
      </c>
      <c r="O1890" s="10"/>
    </row>
    <row r="1891" spans="1:15" ht="18" customHeight="1" x14ac:dyDescent="0.3">
      <c r="A1891" s="24">
        <v>1890</v>
      </c>
      <c r="B1891" s="10" t="s">
        <v>51</v>
      </c>
      <c r="C1891" s="10" t="s">
        <v>61</v>
      </c>
      <c r="D1891" s="62">
        <v>96</v>
      </c>
      <c r="E1891" s="61" t="s">
        <v>220</v>
      </c>
      <c r="F1891" s="16" t="s">
        <v>556</v>
      </c>
      <c r="G1891" s="10" t="s">
        <v>1278</v>
      </c>
      <c r="H1891" s="10" t="s">
        <v>2605</v>
      </c>
      <c r="I1891" s="62">
        <v>70</v>
      </c>
      <c r="J1891" s="8" t="s">
        <v>2372</v>
      </c>
      <c r="K1891" s="10" t="s">
        <v>2374</v>
      </c>
      <c r="L1891" s="10" t="s">
        <v>2229</v>
      </c>
      <c r="M1891" s="10" t="s">
        <v>2372</v>
      </c>
      <c r="N1891" s="10" t="s">
        <v>2373</v>
      </c>
      <c r="O1891" s="10"/>
    </row>
    <row r="1892" spans="1:15" ht="18" customHeight="1" x14ac:dyDescent="0.3">
      <c r="A1892" s="24">
        <v>1891</v>
      </c>
      <c r="B1892" s="10" t="s">
        <v>51</v>
      </c>
      <c r="C1892" s="10" t="s">
        <v>61</v>
      </c>
      <c r="D1892" s="62">
        <v>96</v>
      </c>
      <c r="E1892" s="61" t="s">
        <v>220</v>
      </c>
      <c r="F1892" s="16" t="s">
        <v>556</v>
      </c>
      <c r="G1892" s="10" t="s">
        <v>1278</v>
      </c>
      <c r="H1892" s="10" t="s">
        <v>2383</v>
      </c>
      <c r="I1892" s="62">
        <v>70</v>
      </c>
      <c r="J1892" s="8" t="s">
        <v>2372</v>
      </c>
      <c r="K1892" s="10" t="s">
        <v>2374</v>
      </c>
      <c r="L1892" s="10" t="s">
        <v>2229</v>
      </c>
      <c r="M1892" s="10" t="s">
        <v>2372</v>
      </c>
      <c r="N1892" s="10" t="s">
        <v>2373</v>
      </c>
      <c r="O1892" s="10"/>
    </row>
    <row r="1893" spans="1:15" ht="18" customHeight="1" x14ac:dyDescent="0.3">
      <c r="A1893" s="24">
        <v>1892</v>
      </c>
      <c r="B1893" s="10" t="s">
        <v>51</v>
      </c>
      <c r="C1893" s="10" t="s">
        <v>61</v>
      </c>
      <c r="D1893" s="62">
        <v>96</v>
      </c>
      <c r="E1893" s="61" t="s">
        <v>2886</v>
      </c>
      <c r="F1893" s="19" t="s">
        <v>991</v>
      </c>
      <c r="G1893" s="10" t="s">
        <v>150</v>
      </c>
      <c r="H1893" s="10" t="s">
        <v>850</v>
      </c>
      <c r="I1893" s="62">
        <v>271</v>
      </c>
      <c r="J1893" s="10" t="s">
        <v>2374</v>
      </c>
      <c r="K1893" s="10" t="s">
        <v>847</v>
      </c>
      <c r="L1893" s="10" t="s">
        <v>2373</v>
      </c>
      <c r="M1893" s="10" t="s">
        <v>2372</v>
      </c>
      <c r="N1893" s="10" t="s">
        <v>2373</v>
      </c>
      <c r="O1893" s="10"/>
    </row>
    <row r="1894" spans="1:15" ht="18" customHeight="1" x14ac:dyDescent="0.3">
      <c r="A1894" s="24">
        <v>1893</v>
      </c>
      <c r="B1894" s="10" t="s">
        <v>51</v>
      </c>
      <c r="C1894" s="10" t="s">
        <v>61</v>
      </c>
      <c r="D1894" s="62">
        <v>96</v>
      </c>
      <c r="E1894" s="61" t="s">
        <v>2886</v>
      </c>
      <c r="F1894" s="19" t="s">
        <v>991</v>
      </c>
      <c r="G1894" s="10" t="s">
        <v>150</v>
      </c>
      <c r="H1894" s="10" t="s">
        <v>852</v>
      </c>
      <c r="I1894" s="62">
        <v>232</v>
      </c>
      <c r="J1894" s="10" t="s">
        <v>2374</v>
      </c>
      <c r="K1894" s="10" t="s">
        <v>847</v>
      </c>
      <c r="L1894" s="10" t="s">
        <v>2373</v>
      </c>
      <c r="M1894" s="10" t="s">
        <v>2372</v>
      </c>
      <c r="N1894" s="10" t="s">
        <v>2373</v>
      </c>
      <c r="O1894" s="10"/>
    </row>
    <row r="1895" spans="1:15" ht="18" customHeight="1" x14ac:dyDescent="0.3">
      <c r="A1895" s="24">
        <v>1894</v>
      </c>
      <c r="B1895" s="10" t="s">
        <v>51</v>
      </c>
      <c r="C1895" s="10" t="s">
        <v>61</v>
      </c>
      <c r="D1895" s="62">
        <v>96</v>
      </c>
      <c r="E1895" s="61" t="s">
        <v>2886</v>
      </c>
      <c r="F1895" s="19" t="s">
        <v>991</v>
      </c>
      <c r="G1895" s="10" t="s">
        <v>150</v>
      </c>
      <c r="H1895" s="10" t="s">
        <v>853</v>
      </c>
      <c r="I1895" s="62">
        <v>209</v>
      </c>
      <c r="J1895" s="10" t="s">
        <v>2372</v>
      </c>
      <c r="K1895" s="10" t="s">
        <v>847</v>
      </c>
      <c r="L1895" s="10" t="s">
        <v>2373</v>
      </c>
      <c r="M1895" s="10" t="s">
        <v>2372</v>
      </c>
      <c r="N1895" s="10" t="s">
        <v>2373</v>
      </c>
      <c r="O1895" s="10"/>
    </row>
    <row r="1896" spans="1:15" ht="18" customHeight="1" x14ac:dyDescent="0.3">
      <c r="A1896" s="24">
        <v>1895</v>
      </c>
      <c r="B1896" s="10" t="s">
        <v>51</v>
      </c>
      <c r="C1896" s="10" t="s">
        <v>61</v>
      </c>
      <c r="D1896" s="62">
        <v>96</v>
      </c>
      <c r="E1896" s="61" t="s">
        <v>2886</v>
      </c>
      <c r="F1896" s="19" t="s">
        <v>991</v>
      </c>
      <c r="G1896" s="10" t="s">
        <v>150</v>
      </c>
      <c r="H1896" s="10" t="s">
        <v>854</v>
      </c>
      <c r="I1896" s="62">
        <v>232</v>
      </c>
      <c r="J1896" s="10" t="s">
        <v>2374</v>
      </c>
      <c r="K1896" s="10" t="s">
        <v>847</v>
      </c>
      <c r="L1896" s="10" t="s">
        <v>2373</v>
      </c>
      <c r="M1896" s="10" t="s">
        <v>2372</v>
      </c>
      <c r="N1896" s="10" t="s">
        <v>2373</v>
      </c>
      <c r="O1896" s="10"/>
    </row>
    <row r="1897" spans="1:15" ht="18" customHeight="1" x14ac:dyDescent="0.3">
      <c r="A1897" s="24">
        <v>1896</v>
      </c>
      <c r="B1897" s="10" t="s">
        <v>51</v>
      </c>
      <c r="C1897" s="10" t="s">
        <v>61</v>
      </c>
      <c r="D1897" s="62">
        <v>96</v>
      </c>
      <c r="E1897" s="61" t="s">
        <v>2886</v>
      </c>
      <c r="F1897" s="19" t="s">
        <v>2606</v>
      </c>
      <c r="G1897" s="10" t="s">
        <v>150</v>
      </c>
      <c r="H1897" s="10" t="s">
        <v>851</v>
      </c>
      <c r="I1897" s="62">
        <v>209</v>
      </c>
      <c r="J1897" s="10" t="s">
        <v>2372</v>
      </c>
      <c r="K1897" s="10" t="s">
        <v>846</v>
      </c>
      <c r="L1897" s="10" t="s">
        <v>985</v>
      </c>
      <c r="M1897" s="10" t="s">
        <v>2372</v>
      </c>
      <c r="N1897" s="10" t="s">
        <v>2373</v>
      </c>
      <c r="O1897" s="10"/>
    </row>
    <row r="1898" spans="1:15" ht="18" customHeight="1" x14ac:dyDescent="0.3">
      <c r="A1898" s="24">
        <v>1897</v>
      </c>
      <c r="B1898" s="10" t="s">
        <v>51</v>
      </c>
      <c r="C1898" s="10" t="s">
        <v>61</v>
      </c>
      <c r="D1898" s="62">
        <v>96</v>
      </c>
      <c r="E1898" s="61" t="s">
        <v>2886</v>
      </c>
      <c r="F1898" s="19" t="s">
        <v>2606</v>
      </c>
      <c r="G1898" s="10" t="s">
        <v>150</v>
      </c>
      <c r="H1898" s="10" t="s">
        <v>923</v>
      </c>
      <c r="I1898" s="62">
        <v>120</v>
      </c>
      <c r="J1898" s="10" t="s">
        <v>2374</v>
      </c>
      <c r="K1898" s="10" t="s">
        <v>846</v>
      </c>
      <c r="L1898" s="10" t="s">
        <v>1516</v>
      </c>
      <c r="M1898" s="10" t="s">
        <v>2372</v>
      </c>
      <c r="N1898" s="10" t="s">
        <v>2373</v>
      </c>
      <c r="O1898" s="10"/>
    </row>
    <row r="1899" spans="1:15" ht="18" customHeight="1" x14ac:dyDescent="0.3">
      <c r="A1899" s="24">
        <v>1898</v>
      </c>
      <c r="B1899" s="10" t="s">
        <v>51</v>
      </c>
      <c r="C1899" s="10" t="s">
        <v>61</v>
      </c>
      <c r="D1899" s="62">
        <v>96</v>
      </c>
      <c r="E1899" s="61" t="s">
        <v>2886</v>
      </c>
      <c r="F1899" s="19" t="s">
        <v>2606</v>
      </c>
      <c r="G1899" s="10" t="s">
        <v>150</v>
      </c>
      <c r="H1899" s="10" t="s">
        <v>921</v>
      </c>
      <c r="I1899" s="62">
        <v>276</v>
      </c>
      <c r="J1899" s="10" t="s">
        <v>2374</v>
      </c>
      <c r="K1899" s="10" t="s">
        <v>846</v>
      </c>
      <c r="L1899" s="10" t="s">
        <v>2414</v>
      </c>
      <c r="M1899" s="10" t="s">
        <v>2372</v>
      </c>
      <c r="N1899" s="10" t="s">
        <v>2373</v>
      </c>
      <c r="O1899" s="10"/>
    </row>
    <row r="1900" spans="1:15" ht="18" customHeight="1" x14ac:dyDescent="0.3">
      <c r="A1900" s="24">
        <v>1899</v>
      </c>
      <c r="B1900" s="10" t="s">
        <v>51</v>
      </c>
      <c r="C1900" s="10" t="s">
        <v>61</v>
      </c>
      <c r="D1900" s="62">
        <v>96</v>
      </c>
      <c r="E1900" s="61" t="s">
        <v>2886</v>
      </c>
      <c r="F1900" s="19" t="s">
        <v>554</v>
      </c>
      <c r="G1900" s="10" t="s">
        <v>150</v>
      </c>
      <c r="H1900" s="10" t="s">
        <v>845</v>
      </c>
      <c r="I1900" s="62">
        <v>107</v>
      </c>
      <c r="J1900" s="10" t="s">
        <v>2372</v>
      </c>
      <c r="K1900" s="10" t="s">
        <v>847</v>
      </c>
      <c r="L1900" s="10" t="s">
        <v>2373</v>
      </c>
      <c r="M1900" s="10" t="s">
        <v>2372</v>
      </c>
      <c r="N1900" s="10" t="s">
        <v>2373</v>
      </c>
      <c r="O1900" s="10"/>
    </row>
    <row r="1901" spans="1:15" ht="18" customHeight="1" x14ac:dyDescent="0.3">
      <c r="A1901" s="24">
        <v>1900</v>
      </c>
      <c r="B1901" s="10" t="s">
        <v>51</v>
      </c>
      <c r="C1901" s="10" t="s">
        <v>61</v>
      </c>
      <c r="D1901" s="62">
        <v>96</v>
      </c>
      <c r="E1901" s="61" t="s">
        <v>2886</v>
      </c>
      <c r="F1901" s="19" t="s">
        <v>2607</v>
      </c>
      <c r="G1901" s="10" t="s">
        <v>150</v>
      </c>
      <c r="H1901" s="10" t="s">
        <v>1155</v>
      </c>
      <c r="I1901" s="62">
        <v>48</v>
      </c>
      <c r="J1901" s="10" t="s">
        <v>2374</v>
      </c>
      <c r="K1901" s="10" t="s">
        <v>2374</v>
      </c>
      <c r="L1901" s="10" t="s">
        <v>2426</v>
      </c>
      <c r="M1901" s="10" t="s">
        <v>2372</v>
      </c>
      <c r="N1901" s="10" t="s">
        <v>2373</v>
      </c>
      <c r="O1901" s="10"/>
    </row>
    <row r="1902" spans="1:15" ht="18" customHeight="1" x14ac:dyDescent="0.3">
      <c r="A1902" s="24">
        <v>1901</v>
      </c>
      <c r="B1902" s="99" t="s">
        <v>3001</v>
      </c>
      <c r="C1902" s="99" t="s">
        <v>3002</v>
      </c>
      <c r="D1902" s="99">
        <v>96</v>
      </c>
      <c r="E1902" s="30" t="s">
        <v>2999</v>
      </c>
      <c r="F1902" s="30" t="s">
        <v>3000</v>
      </c>
      <c r="G1902" s="99" t="s">
        <v>3003</v>
      </c>
      <c r="H1902" s="10" t="s">
        <v>2995</v>
      </c>
      <c r="I1902" s="62">
        <v>229</v>
      </c>
      <c r="J1902" s="8" t="s">
        <v>2997</v>
      </c>
      <c r="K1902" s="10" t="s">
        <v>2994</v>
      </c>
      <c r="L1902" s="10" t="s">
        <v>820</v>
      </c>
      <c r="M1902" s="10" t="s">
        <v>884</v>
      </c>
      <c r="N1902" s="10" t="s">
        <v>820</v>
      </c>
      <c r="O1902" s="10"/>
    </row>
    <row r="1903" spans="1:15" ht="18" customHeight="1" x14ac:dyDescent="0.3">
      <c r="A1903" s="24">
        <v>1902</v>
      </c>
      <c r="B1903" s="99" t="s">
        <v>3001</v>
      </c>
      <c r="C1903" s="99" t="s">
        <v>3002</v>
      </c>
      <c r="D1903" s="99">
        <v>96</v>
      </c>
      <c r="E1903" s="30" t="s">
        <v>2999</v>
      </c>
      <c r="F1903" s="30" t="s">
        <v>3000</v>
      </c>
      <c r="G1903" s="99" t="s">
        <v>3003</v>
      </c>
      <c r="H1903" s="10" t="s">
        <v>2996</v>
      </c>
      <c r="I1903" s="62">
        <v>112</v>
      </c>
      <c r="J1903" s="8" t="s">
        <v>2997</v>
      </c>
      <c r="K1903" s="10" t="s">
        <v>2994</v>
      </c>
      <c r="L1903" s="10" t="s">
        <v>820</v>
      </c>
      <c r="M1903" s="10" t="s">
        <v>884</v>
      </c>
      <c r="N1903" s="10" t="s">
        <v>820</v>
      </c>
      <c r="O1903" s="10"/>
    </row>
    <row r="1904" spans="1:15" ht="18" customHeight="1" x14ac:dyDescent="0.3">
      <c r="A1904" s="24">
        <v>1903</v>
      </c>
      <c r="B1904" s="99" t="s">
        <v>3001</v>
      </c>
      <c r="C1904" s="99" t="s">
        <v>3002</v>
      </c>
      <c r="D1904" s="99">
        <v>96</v>
      </c>
      <c r="E1904" s="30" t="s">
        <v>2999</v>
      </c>
      <c r="F1904" s="30" t="s">
        <v>3000</v>
      </c>
      <c r="G1904" s="99" t="s">
        <v>3003</v>
      </c>
      <c r="H1904" s="10" t="s">
        <v>3006</v>
      </c>
      <c r="I1904" s="62">
        <v>133</v>
      </c>
      <c r="J1904" s="8" t="s">
        <v>2997</v>
      </c>
      <c r="K1904" s="10" t="s">
        <v>2994</v>
      </c>
      <c r="L1904" s="10" t="s">
        <v>820</v>
      </c>
      <c r="M1904" s="10" t="s">
        <v>884</v>
      </c>
      <c r="N1904" s="10" t="s">
        <v>820</v>
      </c>
      <c r="O1904" s="10"/>
    </row>
    <row r="1905" spans="1:15" ht="18" customHeight="1" x14ac:dyDescent="0.3">
      <c r="A1905" s="24">
        <v>1904</v>
      </c>
      <c r="B1905" s="99" t="s">
        <v>3001</v>
      </c>
      <c r="C1905" s="99" t="s">
        <v>3002</v>
      </c>
      <c r="D1905" s="99">
        <v>96</v>
      </c>
      <c r="E1905" s="30" t="s">
        <v>2999</v>
      </c>
      <c r="F1905" s="30" t="s">
        <v>3000</v>
      </c>
      <c r="G1905" s="99" t="s">
        <v>3003</v>
      </c>
      <c r="H1905" s="10" t="s">
        <v>3007</v>
      </c>
      <c r="I1905" s="62">
        <v>133</v>
      </c>
      <c r="J1905" s="8" t="s">
        <v>2997</v>
      </c>
      <c r="K1905" s="10" t="s">
        <v>2994</v>
      </c>
      <c r="L1905" s="10" t="s">
        <v>820</v>
      </c>
      <c r="M1905" s="10" t="s">
        <v>884</v>
      </c>
      <c r="N1905" s="10" t="s">
        <v>820</v>
      </c>
      <c r="O1905" s="10"/>
    </row>
    <row r="1906" spans="1:15" ht="18" customHeight="1" x14ac:dyDescent="0.3">
      <c r="A1906" s="24">
        <v>1905</v>
      </c>
      <c r="B1906" s="99" t="s">
        <v>3001</v>
      </c>
      <c r="C1906" s="99" t="s">
        <v>3002</v>
      </c>
      <c r="D1906" s="99">
        <v>96</v>
      </c>
      <c r="E1906" s="30" t="s">
        <v>2999</v>
      </c>
      <c r="F1906" s="30" t="s">
        <v>3000</v>
      </c>
      <c r="G1906" s="99" t="s">
        <v>3003</v>
      </c>
      <c r="H1906" s="10" t="s">
        <v>3009</v>
      </c>
      <c r="I1906" s="62">
        <v>133</v>
      </c>
      <c r="J1906" s="8" t="s">
        <v>2997</v>
      </c>
      <c r="K1906" s="10" t="s">
        <v>2994</v>
      </c>
      <c r="L1906" s="10" t="s">
        <v>820</v>
      </c>
      <c r="M1906" s="10" t="s">
        <v>884</v>
      </c>
      <c r="N1906" s="10" t="s">
        <v>820</v>
      </c>
      <c r="O1906" s="10"/>
    </row>
    <row r="1907" spans="1:15" ht="18" customHeight="1" x14ac:dyDescent="0.3">
      <c r="A1907" s="24">
        <v>1906</v>
      </c>
      <c r="B1907" s="99" t="s">
        <v>3001</v>
      </c>
      <c r="C1907" s="99" t="s">
        <v>3002</v>
      </c>
      <c r="D1907" s="99">
        <v>96</v>
      </c>
      <c r="E1907" s="30" t="s">
        <v>2999</v>
      </c>
      <c r="F1907" s="30" t="s">
        <v>3000</v>
      </c>
      <c r="G1907" s="99" t="s">
        <v>3003</v>
      </c>
      <c r="H1907" s="10" t="s">
        <v>3008</v>
      </c>
      <c r="I1907" s="62">
        <v>133</v>
      </c>
      <c r="J1907" s="8" t="s">
        <v>2997</v>
      </c>
      <c r="K1907" s="10" t="s">
        <v>2994</v>
      </c>
      <c r="L1907" s="10" t="s">
        <v>820</v>
      </c>
      <c r="M1907" s="10" t="s">
        <v>884</v>
      </c>
      <c r="N1907" s="10" t="s">
        <v>820</v>
      </c>
      <c r="O1907" s="10"/>
    </row>
    <row r="1908" spans="1:15" ht="18" customHeight="1" x14ac:dyDescent="0.3">
      <c r="A1908" s="24">
        <v>1907</v>
      </c>
      <c r="B1908" s="99" t="s">
        <v>3001</v>
      </c>
      <c r="C1908" s="99" t="s">
        <v>3002</v>
      </c>
      <c r="D1908" s="99">
        <v>96</v>
      </c>
      <c r="E1908" s="30" t="s">
        <v>2999</v>
      </c>
      <c r="F1908" s="30" t="s">
        <v>3000</v>
      </c>
      <c r="G1908" s="99" t="s">
        <v>3003</v>
      </c>
      <c r="H1908" s="10" t="s">
        <v>3010</v>
      </c>
      <c r="I1908" s="62">
        <v>257</v>
      </c>
      <c r="J1908" s="8" t="s">
        <v>2997</v>
      </c>
      <c r="K1908" s="10" t="s">
        <v>2994</v>
      </c>
      <c r="L1908" s="10" t="s">
        <v>820</v>
      </c>
      <c r="M1908" s="10" t="s">
        <v>884</v>
      </c>
      <c r="N1908" s="10" t="s">
        <v>820</v>
      </c>
      <c r="O1908" s="10"/>
    </row>
    <row r="1909" spans="1:15" ht="18" customHeight="1" x14ac:dyDescent="0.3">
      <c r="A1909" s="24">
        <v>1908</v>
      </c>
      <c r="B1909" s="10" t="s">
        <v>51</v>
      </c>
      <c r="C1909" s="10" t="s">
        <v>61</v>
      </c>
      <c r="D1909" s="62">
        <v>96</v>
      </c>
      <c r="E1909" s="61" t="s">
        <v>2608</v>
      </c>
      <c r="F1909" s="16" t="s">
        <v>558</v>
      </c>
      <c r="G1909" s="10" t="s">
        <v>1278</v>
      </c>
      <c r="H1909" s="10" t="s">
        <v>845</v>
      </c>
      <c r="I1909" s="62">
        <v>89</v>
      </c>
      <c r="J1909" s="8" t="s">
        <v>2372</v>
      </c>
      <c r="K1909" s="10" t="s">
        <v>2374</v>
      </c>
      <c r="L1909" s="10" t="s">
        <v>2229</v>
      </c>
      <c r="M1909" s="10" t="s">
        <v>2372</v>
      </c>
      <c r="N1909" s="10" t="s">
        <v>2373</v>
      </c>
      <c r="O1909" s="10"/>
    </row>
    <row r="1910" spans="1:15" ht="18" customHeight="1" x14ac:dyDescent="0.3">
      <c r="A1910" s="24">
        <v>1909</v>
      </c>
      <c r="B1910" s="10" t="s">
        <v>51</v>
      </c>
      <c r="C1910" s="10" t="s">
        <v>61</v>
      </c>
      <c r="D1910" s="62">
        <v>96</v>
      </c>
      <c r="E1910" s="61" t="s">
        <v>2608</v>
      </c>
      <c r="F1910" s="16" t="s">
        <v>558</v>
      </c>
      <c r="G1910" s="10" t="s">
        <v>1278</v>
      </c>
      <c r="H1910" s="10" t="s">
        <v>848</v>
      </c>
      <c r="I1910" s="62">
        <v>89</v>
      </c>
      <c r="J1910" s="8" t="s">
        <v>2372</v>
      </c>
      <c r="K1910" s="10" t="s">
        <v>2374</v>
      </c>
      <c r="L1910" s="10" t="s">
        <v>2229</v>
      </c>
      <c r="M1910" s="10" t="s">
        <v>2372</v>
      </c>
      <c r="N1910" s="10" t="s">
        <v>2373</v>
      </c>
      <c r="O1910" s="10"/>
    </row>
    <row r="1911" spans="1:15" ht="18" customHeight="1" x14ac:dyDescent="0.3">
      <c r="A1911" s="24">
        <v>1910</v>
      </c>
      <c r="B1911" s="10" t="s">
        <v>51</v>
      </c>
      <c r="C1911" s="10" t="s">
        <v>61</v>
      </c>
      <c r="D1911" s="62">
        <v>96</v>
      </c>
      <c r="E1911" s="61" t="s">
        <v>2608</v>
      </c>
      <c r="F1911" s="16" t="s">
        <v>558</v>
      </c>
      <c r="G1911" s="10" t="s">
        <v>1278</v>
      </c>
      <c r="H1911" s="10" t="s">
        <v>849</v>
      </c>
      <c r="I1911" s="62">
        <v>65</v>
      </c>
      <c r="J1911" s="8" t="s">
        <v>2372</v>
      </c>
      <c r="K1911" s="10" t="s">
        <v>2374</v>
      </c>
      <c r="L1911" s="10" t="s">
        <v>2229</v>
      </c>
      <c r="M1911" s="10" t="s">
        <v>2372</v>
      </c>
      <c r="N1911" s="10" t="s">
        <v>2373</v>
      </c>
      <c r="O1911" s="10"/>
    </row>
    <row r="1912" spans="1:15" ht="18" customHeight="1" x14ac:dyDescent="0.3">
      <c r="A1912" s="24">
        <v>1911</v>
      </c>
      <c r="B1912" s="10" t="s">
        <v>51</v>
      </c>
      <c r="C1912" s="10" t="s">
        <v>61</v>
      </c>
      <c r="D1912" s="62">
        <v>96</v>
      </c>
      <c r="E1912" s="61" t="s">
        <v>2608</v>
      </c>
      <c r="F1912" s="16" t="s">
        <v>558</v>
      </c>
      <c r="G1912" s="10" t="s">
        <v>1278</v>
      </c>
      <c r="H1912" s="10" t="s">
        <v>850</v>
      </c>
      <c r="I1912" s="62">
        <v>67</v>
      </c>
      <c r="J1912" s="8" t="s">
        <v>2372</v>
      </c>
      <c r="K1912" s="10" t="s">
        <v>2374</v>
      </c>
      <c r="L1912" s="10" t="s">
        <v>2229</v>
      </c>
      <c r="M1912" s="10" t="s">
        <v>2372</v>
      </c>
      <c r="N1912" s="10" t="s">
        <v>2373</v>
      </c>
      <c r="O1912" s="10"/>
    </row>
    <row r="1913" spans="1:15" ht="18" customHeight="1" x14ac:dyDescent="0.3">
      <c r="A1913" s="24">
        <v>1912</v>
      </c>
      <c r="B1913" s="10" t="s">
        <v>51</v>
      </c>
      <c r="C1913" s="10" t="s">
        <v>61</v>
      </c>
      <c r="D1913" s="62">
        <v>96</v>
      </c>
      <c r="E1913" s="61" t="s">
        <v>2608</v>
      </c>
      <c r="F1913" s="16" t="s">
        <v>558</v>
      </c>
      <c r="G1913" s="10" t="s">
        <v>1278</v>
      </c>
      <c r="H1913" s="10" t="s">
        <v>851</v>
      </c>
      <c r="I1913" s="62">
        <v>67</v>
      </c>
      <c r="J1913" s="8" t="s">
        <v>2372</v>
      </c>
      <c r="K1913" s="10" t="s">
        <v>2374</v>
      </c>
      <c r="L1913" s="10" t="s">
        <v>2229</v>
      </c>
      <c r="M1913" s="10" t="s">
        <v>2372</v>
      </c>
      <c r="N1913" s="10" t="s">
        <v>2373</v>
      </c>
      <c r="O1913" s="10"/>
    </row>
    <row r="1914" spans="1:15" ht="18" customHeight="1" x14ac:dyDescent="0.3">
      <c r="A1914" s="24">
        <v>1913</v>
      </c>
      <c r="B1914" s="10" t="s">
        <v>51</v>
      </c>
      <c r="C1914" s="10" t="s">
        <v>61</v>
      </c>
      <c r="D1914" s="62">
        <v>96</v>
      </c>
      <c r="E1914" s="61" t="s">
        <v>2608</v>
      </c>
      <c r="F1914" s="16" t="s">
        <v>558</v>
      </c>
      <c r="G1914" s="10" t="s">
        <v>1278</v>
      </c>
      <c r="H1914" s="10" t="s">
        <v>852</v>
      </c>
      <c r="I1914" s="177">
        <v>88</v>
      </c>
      <c r="J1914" s="8" t="s">
        <v>2372</v>
      </c>
      <c r="K1914" s="10" t="s">
        <v>2372</v>
      </c>
      <c r="L1914" s="10" t="s">
        <v>2373</v>
      </c>
      <c r="M1914" s="10" t="s">
        <v>2372</v>
      </c>
      <c r="N1914" s="10" t="s">
        <v>2373</v>
      </c>
      <c r="O1914" s="10"/>
    </row>
    <row r="1915" spans="1:15" ht="18" customHeight="1" x14ac:dyDescent="0.3">
      <c r="A1915" s="24">
        <v>1914</v>
      </c>
      <c r="B1915" s="8" t="s">
        <v>1600</v>
      </c>
      <c r="C1915" s="8" t="s">
        <v>1692</v>
      </c>
      <c r="D1915" s="8">
        <v>96</v>
      </c>
      <c r="E1915" s="19" t="s">
        <v>1701</v>
      </c>
      <c r="F1915" s="19" t="s">
        <v>1702</v>
      </c>
      <c r="G1915" s="8" t="s">
        <v>2373</v>
      </c>
      <c r="H1915" s="13" t="s">
        <v>2385</v>
      </c>
      <c r="I1915" s="96">
        <v>16</v>
      </c>
      <c r="J1915" s="10" t="s">
        <v>2372</v>
      </c>
      <c r="K1915" s="10" t="s">
        <v>847</v>
      </c>
      <c r="L1915" s="10" t="s">
        <v>2373</v>
      </c>
      <c r="M1915" s="10" t="s">
        <v>2372</v>
      </c>
      <c r="N1915" s="10" t="s">
        <v>2373</v>
      </c>
      <c r="O1915" s="10"/>
    </row>
    <row r="1916" spans="1:15" ht="18" customHeight="1" x14ac:dyDescent="0.3">
      <c r="A1916" s="24">
        <v>1915</v>
      </c>
      <c r="B1916" s="10" t="s">
        <v>51</v>
      </c>
      <c r="C1916" s="10" t="s">
        <v>61</v>
      </c>
      <c r="D1916" s="62">
        <v>96</v>
      </c>
      <c r="E1916" s="61" t="s">
        <v>286</v>
      </c>
      <c r="F1916" s="16" t="s">
        <v>562</v>
      </c>
      <c r="G1916" s="10" t="s">
        <v>150</v>
      </c>
      <c r="H1916" s="10" t="s">
        <v>850</v>
      </c>
      <c r="I1916" s="62">
        <v>284</v>
      </c>
      <c r="J1916" s="10" t="s">
        <v>2372</v>
      </c>
      <c r="K1916" s="10" t="s">
        <v>847</v>
      </c>
      <c r="L1916" s="10" t="s">
        <v>2373</v>
      </c>
      <c r="M1916" s="10" t="s">
        <v>2372</v>
      </c>
      <c r="N1916" s="10" t="s">
        <v>2373</v>
      </c>
      <c r="O1916" s="10"/>
    </row>
    <row r="1917" spans="1:15" ht="18" customHeight="1" x14ac:dyDescent="0.3">
      <c r="A1917" s="24">
        <v>1916</v>
      </c>
      <c r="B1917" s="10" t="s">
        <v>51</v>
      </c>
      <c r="C1917" s="10" t="s">
        <v>61</v>
      </c>
      <c r="D1917" s="62">
        <v>96</v>
      </c>
      <c r="E1917" s="61" t="s">
        <v>286</v>
      </c>
      <c r="F1917" s="16" t="s">
        <v>562</v>
      </c>
      <c r="G1917" s="10" t="s">
        <v>150</v>
      </c>
      <c r="H1917" s="10" t="s">
        <v>851</v>
      </c>
      <c r="I1917" s="62">
        <v>168</v>
      </c>
      <c r="J1917" s="10" t="s">
        <v>2372</v>
      </c>
      <c r="K1917" s="10" t="s">
        <v>847</v>
      </c>
      <c r="L1917" s="10" t="s">
        <v>2373</v>
      </c>
      <c r="M1917" s="10" t="s">
        <v>2372</v>
      </c>
      <c r="N1917" s="10" t="s">
        <v>2373</v>
      </c>
      <c r="O1917" s="10"/>
    </row>
    <row r="1918" spans="1:15" ht="18" customHeight="1" x14ac:dyDescent="0.3">
      <c r="A1918" s="24">
        <v>1917</v>
      </c>
      <c r="B1918" s="10" t="s">
        <v>51</v>
      </c>
      <c r="C1918" s="10" t="s">
        <v>61</v>
      </c>
      <c r="D1918" s="62">
        <v>96</v>
      </c>
      <c r="E1918" s="61" t="s">
        <v>286</v>
      </c>
      <c r="F1918" s="16" t="s">
        <v>562</v>
      </c>
      <c r="G1918" s="10" t="s">
        <v>150</v>
      </c>
      <c r="H1918" s="10" t="s">
        <v>852</v>
      </c>
      <c r="I1918" s="62">
        <v>284</v>
      </c>
      <c r="J1918" s="10" t="s">
        <v>847</v>
      </c>
      <c r="K1918" s="10" t="s">
        <v>847</v>
      </c>
      <c r="L1918" s="10" t="s">
        <v>2373</v>
      </c>
      <c r="M1918" s="10" t="s">
        <v>2372</v>
      </c>
      <c r="N1918" s="10" t="s">
        <v>2373</v>
      </c>
      <c r="O1918" s="10"/>
    </row>
    <row r="1919" spans="1:15" ht="18" customHeight="1" x14ac:dyDescent="0.3">
      <c r="A1919" s="24">
        <v>1918</v>
      </c>
      <c r="B1919" s="10" t="s">
        <v>51</v>
      </c>
      <c r="C1919" s="10" t="s">
        <v>61</v>
      </c>
      <c r="D1919" s="62">
        <v>96</v>
      </c>
      <c r="E1919" s="61" t="s">
        <v>286</v>
      </c>
      <c r="F1919" s="16" t="s">
        <v>562</v>
      </c>
      <c r="G1919" s="10" t="s">
        <v>150</v>
      </c>
      <c r="H1919" s="10" t="s">
        <v>853</v>
      </c>
      <c r="I1919" s="62">
        <v>284</v>
      </c>
      <c r="J1919" s="10" t="s">
        <v>847</v>
      </c>
      <c r="K1919" s="10" t="s">
        <v>847</v>
      </c>
      <c r="L1919" s="10" t="s">
        <v>2373</v>
      </c>
      <c r="M1919" s="10" t="s">
        <v>2372</v>
      </c>
      <c r="N1919" s="10" t="s">
        <v>2373</v>
      </c>
      <c r="O1919" s="10"/>
    </row>
    <row r="1920" spans="1:15" ht="18" customHeight="1" x14ac:dyDescent="0.3">
      <c r="A1920" s="24">
        <v>1919</v>
      </c>
      <c r="B1920" s="10" t="s">
        <v>51</v>
      </c>
      <c r="C1920" s="10" t="s">
        <v>61</v>
      </c>
      <c r="D1920" s="62">
        <v>96</v>
      </c>
      <c r="E1920" s="61" t="s">
        <v>286</v>
      </c>
      <c r="F1920" s="16" t="s">
        <v>562</v>
      </c>
      <c r="G1920" s="10" t="s">
        <v>150</v>
      </c>
      <c r="H1920" s="10" t="s">
        <v>854</v>
      </c>
      <c r="I1920" s="62">
        <v>150</v>
      </c>
      <c r="J1920" s="10" t="s">
        <v>847</v>
      </c>
      <c r="K1920" s="10" t="s">
        <v>847</v>
      </c>
      <c r="L1920" s="10" t="s">
        <v>2373</v>
      </c>
      <c r="M1920" s="10" t="s">
        <v>2372</v>
      </c>
      <c r="N1920" s="10" t="s">
        <v>2373</v>
      </c>
      <c r="O1920" s="10"/>
    </row>
    <row r="1921" spans="1:15" ht="18" customHeight="1" x14ac:dyDescent="0.3">
      <c r="A1921" s="24">
        <v>1920</v>
      </c>
      <c r="B1921" s="10" t="s">
        <v>51</v>
      </c>
      <c r="C1921" s="10" t="s">
        <v>61</v>
      </c>
      <c r="D1921" s="62">
        <v>96</v>
      </c>
      <c r="E1921" s="61" t="s">
        <v>286</v>
      </c>
      <c r="F1921" s="16" t="s">
        <v>2609</v>
      </c>
      <c r="G1921" s="10" t="s">
        <v>150</v>
      </c>
      <c r="H1921" s="10" t="s">
        <v>845</v>
      </c>
      <c r="I1921" s="62">
        <v>384</v>
      </c>
      <c r="J1921" s="10" t="s">
        <v>847</v>
      </c>
      <c r="K1921" s="10" t="s">
        <v>2374</v>
      </c>
      <c r="L1921" s="10" t="s">
        <v>1422</v>
      </c>
      <c r="M1921" s="10" t="s">
        <v>2372</v>
      </c>
      <c r="N1921" s="10" t="s">
        <v>2373</v>
      </c>
      <c r="O1921" s="10"/>
    </row>
    <row r="1922" spans="1:15" ht="18" customHeight="1" x14ac:dyDescent="0.3">
      <c r="A1922" s="24">
        <v>1921</v>
      </c>
      <c r="B1922" s="10" t="s">
        <v>51</v>
      </c>
      <c r="C1922" s="10" t="s">
        <v>61</v>
      </c>
      <c r="D1922" s="62">
        <v>96</v>
      </c>
      <c r="E1922" s="61" t="s">
        <v>286</v>
      </c>
      <c r="F1922" s="16" t="s">
        <v>2609</v>
      </c>
      <c r="G1922" s="10" t="s">
        <v>150</v>
      </c>
      <c r="H1922" s="10" t="s">
        <v>849</v>
      </c>
      <c r="I1922" s="62">
        <v>130</v>
      </c>
      <c r="J1922" s="10" t="s">
        <v>847</v>
      </c>
      <c r="K1922" s="10" t="s">
        <v>2374</v>
      </c>
      <c r="L1922" s="10" t="s">
        <v>1422</v>
      </c>
      <c r="M1922" s="10" t="s">
        <v>2372</v>
      </c>
      <c r="N1922" s="10" t="s">
        <v>2373</v>
      </c>
      <c r="O1922" s="10"/>
    </row>
    <row r="1923" spans="1:15" ht="18" customHeight="1" x14ac:dyDescent="0.3">
      <c r="A1923" s="24">
        <v>1922</v>
      </c>
      <c r="B1923" s="10" t="s">
        <v>51</v>
      </c>
      <c r="C1923" s="10" t="s">
        <v>61</v>
      </c>
      <c r="D1923" s="62">
        <v>96</v>
      </c>
      <c r="E1923" s="61" t="s">
        <v>286</v>
      </c>
      <c r="F1923" s="16" t="s">
        <v>2609</v>
      </c>
      <c r="G1923" s="10" t="s">
        <v>150</v>
      </c>
      <c r="H1923" s="10" t="s">
        <v>266</v>
      </c>
      <c r="I1923" s="62">
        <v>36</v>
      </c>
      <c r="J1923" s="10" t="s">
        <v>2372</v>
      </c>
      <c r="K1923" s="10" t="s">
        <v>2374</v>
      </c>
      <c r="L1923" s="10" t="s">
        <v>2422</v>
      </c>
      <c r="M1923" s="10" t="s">
        <v>2372</v>
      </c>
      <c r="N1923" s="10" t="s">
        <v>2373</v>
      </c>
      <c r="O1923" s="10"/>
    </row>
    <row r="1924" spans="1:15" ht="18" customHeight="1" x14ac:dyDescent="0.3">
      <c r="A1924" s="24">
        <v>1923</v>
      </c>
      <c r="B1924" s="99" t="s">
        <v>3011</v>
      </c>
      <c r="C1924" s="99" t="s">
        <v>3012</v>
      </c>
      <c r="D1924" s="99">
        <v>101</v>
      </c>
      <c r="E1924" s="56" t="s">
        <v>3013</v>
      </c>
      <c r="F1924" s="56" t="s">
        <v>3015</v>
      </c>
      <c r="G1924" s="99" t="s">
        <v>3014</v>
      </c>
      <c r="H1924" s="10" t="s">
        <v>3016</v>
      </c>
      <c r="I1924" s="62">
        <v>250</v>
      </c>
      <c r="J1924" s="8" t="s">
        <v>860</v>
      </c>
      <c r="K1924" s="10" t="s">
        <v>847</v>
      </c>
      <c r="L1924" s="10" t="s">
        <v>820</v>
      </c>
      <c r="M1924" s="10" t="s">
        <v>884</v>
      </c>
      <c r="N1924" s="10" t="s">
        <v>820</v>
      </c>
      <c r="O1924" s="10"/>
    </row>
    <row r="1925" spans="1:15" ht="18" customHeight="1" x14ac:dyDescent="0.3">
      <c r="A1925" s="24">
        <v>1924</v>
      </c>
      <c r="B1925" s="99" t="s">
        <v>3011</v>
      </c>
      <c r="C1925" s="99" t="s">
        <v>3012</v>
      </c>
      <c r="D1925" s="99">
        <v>101</v>
      </c>
      <c r="E1925" s="56" t="s">
        <v>3013</v>
      </c>
      <c r="F1925" s="56" t="s">
        <v>3015</v>
      </c>
      <c r="G1925" s="99" t="s">
        <v>3014</v>
      </c>
      <c r="H1925" s="10" t="s">
        <v>2996</v>
      </c>
      <c r="I1925" s="62">
        <v>31</v>
      </c>
      <c r="J1925" s="8" t="s">
        <v>2997</v>
      </c>
      <c r="K1925" s="10" t="s">
        <v>2994</v>
      </c>
      <c r="L1925" s="10" t="s">
        <v>820</v>
      </c>
      <c r="M1925" s="10" t="s">
        <v>884</v>
      </c>
      <c r="N1925" s="10" t="s">
        <v>820</v>
      </c>
      <c r="O1925" s="10"/>
    </row>
    <row r="1926" spans="1:15" ht="18" customHeight="1" x14ac:dyDescent="0.3">
      <c r="A1926" s="24">
        <v>1925</v>
      </c>
      <c r="B1926" s="99" t="s">
        <v>3011</v>
      </c>
      <c r="C1926" s="99" t="s">
        <v>3012</v>
      </c>
      <c r="D1926" s="99">
        <v>101</v>
      </c>
      <c r="E1926" s="56" t="s">
        <v>3013</v>
      </c>
      <c r="F1926" s="56" t="s">
        <v>3015</v>
      </c>
      <c r="G1926" s="99" t="s">
        <v>3014</v>
      </c>
      <c r="H1926" s="10" t="s">
        <v>3017</v>
      </c>
      <c r="I1926" s="62">
        <v>31</v>
      </c>
      <c r="J1926" s="8" t="s">
        <v>2997</v>
      </c>
      <c r="K1926" s="10" t="s">
        <v>2994</v>
      </c>
      <c r="L1926" s="10" t="s">
        <v>820</v>
      </c>
      <c r="M1926" s="10" t="s">
        <v>884</v>
      </c>
      <c r="N1926" s="10" t="s">
        <v>820</v>
      </c>
      <c r="O1926" s="10"/>
    </row>
    <row r="1927" spans="1:15" ht="18" customHeight="1" x14ac:dyDescent="0.3">
      <c r="A1927" s="24">
        <v>1926</v>
      </c>
      <c r="B1927" s="99" t="s">
        <v>3011</v>
      </c>
      <c r="C1927" s="99" t="s">
        <v>3012</v>
      </c>
      <c r="D1927" s="99">
        <v>101</v>
      </c>
      <c r="E1927" s="56" t="s">
        <v>3013</v>
      </c>
      <c r="F1927" s="56" t="s">
        <v>3015</v>
      </c>
      <c r="G1927" s="99" t="s">
        <v>3014</v>
      </c>
      <c r="H1927" s="10" t="s">
        <v>3018</v>
      </c>
      <c r="I1927" s="62">
        <v>24</v>
      </c>
      <c r="J1927" s="8" t="s">
        <v>2997</v>
      </c>
      <c r="K1927" s="10" t="s">
        <v>2994</v>
      </c>
      <c r="L1927" s="10" t="s">
        <v>820</v>
      </c>
      <c r="M1927" s="10" t="s">
        <v>884</v>
      </c>
      <c r="N1927" s="10" t="s">
        <v>820</v>
      </c>
      <c r="O1927" s="10"/>
    </row>
    <row r="1928" spans="1:15" ht="18" customHeight="1" x14ac:dyDescent="0.3">
      <c r="A1928" s="24">
        <v>1927</v>
      </c>
      <c r="B1928" s="99" t="s">
        <v>3011</v>
      </c>
      <c r="C1928" s="99" t="s">
        <v>3012</v>
      </c>
      <c r="D1928" s="99">
        <v>101</v>
      </c>
      <c r="E1928" s="56" t="s">
        <v>3013</v>
      </c>
      <c r="F1928" s="56" t="s">
        <v>3015</v>
      </c>
      <c r="G1928" s="99" t="s">
        <v>3014</v>
      </c>
      <c r="H1928" s="10" t="s">
        <v>3009</v>
      </c>
      <c r="I1928" s="62">
        <v>46</v>
      </c>
      <c r="J1928" s="8" t="s">
        <v>2997</v>
      </c>
      <c r="K1928" s="10" t="s">
        <v>2994</v>
      </c>
      <c r="L1928" s="10" t="s">
        <v>820</v>
      </c>
      <c r="M1928" s="10" t="s">
        <v>884</v>
      </c>
      <c r="N1928" s="10" t="s">
        <v>820</v>
      </c>
      <c r="O1928" s="10"/>
    </row>
    <row r="1929" spans="1:15" ht="18" customHeight="1" x14ac:dyDescent="0.3">
      <c r="A1929" s="24">
        <v>1928</v>
      </c>
      <c r="B1929" s="99" t="s">
        <v>3011</v>
      </c>
      <c r="C1929" s="99" t="s">
        <v>3012</v>
      </c>
      <c r="D1929" s="99">
        <v>101</v>
      </c>
      <c r="E1929" s="56" t="s">
        <v>3013</v>
      </c>
      <c r="F1929" s="56" t="s">
        <v>3015</v>
      </c>
      <c r="G1929" s="99" t="s">
        <v>3014</v>
      </c>
      <c r="H1929" s="10" t="s">
        <v>3008</v>
      </c>
      <c r="I1929" s="62">
        <v>110</v>
      </c>
      <c r="J1929" s="8" t="s">
        <v>2997</v>
      </c>
      <c r="K1929" s="10" t="s">
        <v>2994</v>
      </c>
      <c r="L1929" s="10" t="s">
        <v>820</v>
      </c>
      <c r="M1929" s="10" t="s">
        <v>884</v>
      </c>
      <c r="N1929" s="10" t="s">
        <v>820</v>
      </c>
      <c r="O1929" s="10"/>
    </row>
    <row r="1930" spans="1:15" ht="18" customHeight="1" x14ac:dyDescent="0.3">
      <c r="A1930" s="24">
        <v>1929</v>
      </c>
      <c r="B1930" s="10" t="s">
        <v>51</v>
      </c>
      <c r="C1930" s="10" t="s">
        <v>62</v>
      </c>
      <c r="D1930" s="62">
        <v>101</v>
      </c>
      <c r="E1930" s="61" t="s">
        <v>2887</v>
      </c>
      <c r="F1930" s="11" t="s">
        <v>571</v>
      </c>
      <c r="G1930" s="10" t="s">
        <v>150</v>
      </c>
      <c r="H1930" s="10" t="s">
        <v>845</v>
      </c>
      <c r="I1930" s="62">
        <v>174</v>
      </c>
      <c r="J1930" s="10" t="s">
        <v>2372</v>
      </c>
      <c r="K1930" s="10" t="s">
        <v>847</v>
      </c>
      <c r="L1930" s="10" t="s">
        <v>2373</v>
      </c>
      <c r="M1930" s="10" t="s">
        <v>2372</v>
      </c>
      <c r="N1930" s="10" t="s">
        <v>2373</v>
      </c>
      <c r="O1930" s="10"/>
    </row>
    <row r="1931" spans="1:15" ht="18" customHeight="1" x14ac:dyDescent="0.3">
      <c r="A1931" s="24">
        <v>1930</v>
      </c>
      <c r="B1931" s="10" t="s">
        <v>51</v>
      </c>
      <c r="C1931" s="10" t="s">
        <v>62</v>
      </c>
      <c r="D1931" s="62">
        <v>101</v>
      </c>
      <c r="E1931" s="61" t="s">
        <v>2887</v>
      </c>
      <c r="F1931" s="11" t="s">
        <v>571</v>
      </c>
      <c r="G1931" s="10" t="s">
        <v>150</v>
      </c>
      <c r="H1931" s="10" t="s">
        <v>848</v>
      </c>
      <c r="I1931" s="62">
        <v>185</v>
      </c>
      <c r="J1931" s="10" t="s">
        <v>2374</v>
      </c>
      <c r="K1931" s="10" t="s">
        <v>847</v>
      </c>
      <c r="L1931" s="10" t="s">
        <v>2373</v>
      </c>
      <c r="M1931" s="10" t="s">
        <v>2372</v>
      </c>
      <c r="N1931" s="10" t="s">
        <v>2373</v>
      </c>
      <c r="O1931" s="10"/>
    </row>
    <row r="1932" spans="1:15" ht="18" customHeight="1" x14ac:dyDescent="0.3">
      <c r="A1932" s="24">
        <v>1931</v>
      </c>
      <c r="B1932" s="10" t="s">
        <v>51</v>
      </c>
      <c r="C1932" s="10" t="s">
        <v>62</v>
      </c>
      <c r="D1932" s="62">
        <v>101</v>
      </c>
      <c r="E1932" s="61" t="s">
        <v>2887</v>
      </c>
      <c r="F1932" s="11" t="s">
        <v>571</v>
      </c>
      <c r="G1932" s="10" t="s">
        <v>150</v>
      </c>
      <c r="H1932" s="10" t="s">
        <v>849</v>
      </c>
      <c r="I1932" s="62">
        <v>144</v>
      </c>
      <c r="J1932" s="10" t="s">
        <v>2374</v>
      </c>
      <c r="K1932" s="10" t="s">
        <v>847</v>
      </c>
      <c r="L1932" s="10" t="s">
        <v>2373</v>
      </c>
      <c r="M1932" s="10" t="s">
        <v>2372</v>
      </c>
      <c r="N1932" s="10" t="s">
        <v>2373</v>
      </c>
      <c r="O1932" s="10"/>
    </row>
    <row r="1933" spans="1:15" ht="18" customHeight="1" x14ac:dyDescent="0.3">
      <c r="A1933" s="24">
        <v>1932</v>
      </c>
      <c r="B1933" s="10" t="s">
        <v>51</v>
      </c>
      <c r="C1933" s="10" t="s">
        <v>62</v>
      </c>
      <c r="D1933" s="62">
        <v>101</v>
      </c>
      <c r="E1933" s="61" t="s">
        <v>2887</v>
      </c>
      <c r="F1933" s="11" t="s">
        <v>571</v>
      </c>
      <c r="G1933" s="10" t="s">
        <v>150</v>
      </c>
      <c r="H1933" s="10" t="s">
        <v>850</v>
      </c>
      <c r="I1933" s="62">
        <v>185</v>
      </c>
      <c r="J1933" s="10" t="s">
        <v>2372</v>
      </c>
      <c r="K1933" s="10" t="s">
        <v>847</v>
      </c>
      <c r="L1933" s="10" t="s">
        <v>2373</v>
      </c>
      <c r="M1933" s="10" t="s">
        <v>2372</v>
      </c>
      <c r="N1933" s="10" t="s">
        <v>2373</v>
      </c>
      <c r="O1933" s="10"/>
    </row>
    <row r="1934" spans="1:15" ht="18" customHeight="1" x14ac:dyDescent="0.3">
      <c r="A1934" s="24">
        <v>1933</v>
      </c>
      <c r="B1934" s="10" t="s">
        <v>51</v>
      </c>
      <c r="C1934" s="10" t="s">
        <v>62</v>
      </c>
      <c r="D1934" s="62">
        <v>101</v>
      </c>
      <c r="E1934" s="61" t="s">
        <v>2887</v>
      </c>
      <c r="F1934" s="11" t="s">
        <v>571</v>
      </c>
      <c r="G1934" s="10" t="s">
        <v>150</v>
      </c>
      <c r="H1934" s="10" t="s">
        <v>851</v>
      </c>
      <c r="I1934" s="62">
        <v>144</v>
      </c>
      <c r="J1934" s="10" t="s">
        <v>2374</v>
      </c>
      <c r="K1934" s="10" t="s">
        <v>847</v>
      </c>
      <c r="L1934" s="10" t="s">
        <v>2373</v>
      </c>
      <c r="M1934" s="10" t="s">
        <v>2372</v>
      </c>
      <c r="N1934" s="10" t="s">
        <v>2373</v>
      </c>
      <c r="O1934" s="10"/>
    </row>
    <row r="1935" spans="1:15" ht="18" customHeight="1" x14ac:dyDescent="0.3">
      <c r="A1935" s="24">
        <v>1934</v>
      </c>
      <c r="B1935" s="10" t="s">
        <v>51</v>
      </c>
      <c r="C1935" s="10" t="s">
        <v>62</v>
      </c>
      <c r="D1935" s="62">
        <v>101</v>
      </c>
      <c r="E1935" s="61" t="s">
        <v>2887</v>
      </c>
      <c r="F1935" s="11" t="s">
        <v>571</v>
      </c>
      <c r="G1935" s="10" t="s">
        <v>150</v>
      </c>
      <c r="H1935" s="10" t="s">
        <v>852</v>
      </c>
      <c r="I1935" s="62">
        <v>185</v>
      </c>
      <c r="J1935" s="10" t="s">
        <v>2372</v>
      </c>
      <c r="K1935" s="10" t="s">
        <v>847</v>
      </c>
      <c r="L1935" s="10" t="s">
        <v>2373</v>
      </c>
      <c r="M1935" s="10" t="s">
        <v>2372</v>
      </c>
      <c r="N1935" s="10" t="s">
        <v>2373</v>
      </c>
      <c r="O1935" s="10"/>
    </row>
    <row r="1936" spans="1:15" ht="18" customHeight="1" x14ac:dyDescent="0.3">
      <c r="A1936" s="24">
        <v>1935</v>
      </c>
      <c r="B1936" s="10" t="s">
        <v>51</v>
      </c>
      <c r="C1936" s="10" t="s">
        <v>62</v>
      </c>
      <c r="D1936" s="62">
        <v>101</v>
      </c>
      <c r="E1936" s="61" t="s">
        <v>2887</v>
      </c>
      <c r="F1936" s="11" t="s">
        <v>571</v>
      </c>
      <c r="G1936" s="10" t="s">
        <v>150</v>
      </c>
      <c r="H1936" s="10" t="s">
        <v>853</v>
      </c>
      <c r="I1936" s="62">
        <v>148</v>
      </c>
      <c r="J1936" s="10" t="s">
        <v>2372</v>
      </c>
      <c r="K1936" s="10" t="s">
        <v>847</v>
      </c>
      <c r="L1936" s="10" t="s">
        <v>2373</v>
      </c>
      <c r="M1936" s="10" t="s">
        <v>2372</v>
      </c>
      <c r="N1936" s="10" t="s">
        <v>2373</v>
      </c>
      <c r="O1936" s="10"/>
    </row>
    <row r="1937" spans="1:15" ht="18" customHeight="1" x14ac:dyDescent="0.3">
      <c r="A1937" s="24">
        <v>1936</v>
      </c>
      <c r="B1937" s="10" t="s">
        <v>51</v>
      </c>
      <c r="C1937" s="10" t="s">
        <v>62</v>
      </c>
      <c r="D1937" s="62">
        <v>101</v>
      </c>
      <c r="E1937" s="61" t="s">
        <v>208</v>
      </c>
      <c r="F1937" s="16" t="s">
        <v>993</v>
      </c>
      <c r="G1937" s="10" t="s">
        <v>150</v>
      </c>
      <c r="H1937" s="10" t="s">
        <v>849</v>
      </c>
      <c r="I1937" s="62">
        <v>289</v>
      </c>
      <c r="J1937" s="8" t="s">
        <v>846</v>
      </c>
      <c r="K1937" s="10" t="s">
        <v>847</v>
      </c>
      <c r="L1937" s="10" t="s">
        <v>2373</v>
      </c>
      <c r="M1937" s="10" t="s">
        <v>2372</v>
      </c>
      <c r="N1937" s="10" t="s">
        <v>2373</v>
      </c>
      <c r="O1937" s="10"/>
    </row>
    <row r="1938" spans="1:15" ht="18" customHeight="1" x14ac:dyDescent="0.3">
      <c r="A1938" s="24">
        <v>1937</v>
      </c>
      <c r="B1938" s="10" t="s">
        <v>51</v>
      </c>
      <c r="C1938" s="10" t="s">
        <v>62</v>
      </c>
      <c r="D1938" s="62">
        <v>101</v>
      </c>
      <c r="E1938" s="61" t="s">
        <v>208</v>
      </c>
      <c r="F1938" s="16" t="s">
        <v>993</v>
      </c>
      <c r="G1938" s="10" t="s">
        <v>150</v>
      </c>
      <c r="H1938" s="10" t="s">
        <v>850</v>
      </c>
      <c r="I1938" s="62">
        <v>137</v>
      </c>
      <c r="J1938" s="8" t="s">
        <v>2372</v>
      </c>
      <c r="K1938" s="10" t="s">
        <v>847</v>
      </c>
      <c r="L1938" s="10" t="s">
        <v>2373</v>
      </c>
      <c r="M1938" s="10" t="s">
        <v>2372</v>
      </c>
      <c r="N1938" s="10" t="s">
        <v>2373</v>
      </c>
      <c r="O1938" s="10"/>
    </row>
    <row r="1939" spans="1:15" ht="18" customHeight="1" x14ac:dyDescent="0.3">
      <c r="A1939" s="24">
        <v>1938</v>
      </c>
      <c r="B1939" s="10" t="s">
        <v>51</v>
      </c>
      <c r="C1939" s="10" t="s">
        <v>62</v>
      </c>
      <c r="D1939" s="62">
        <v>101</v>
      </c>
      <c r="E1939" s="61" t="s">
        <v>208</v>
      </c>
      <c r="F1939" s="16" t="s">
        <v>993</v>
      </c>
      <c r="G1939" s="10" t="s">
        <v>150</v>
      </c>
      <c r="H1939" s="10" t="s">
        <v>851</v>
      </c>
      <c r="I1939" s="62">
        <v>137</v>
      </c>
      <c r="J1939" s="8" t="s">
        <v>2372</v>
      </c>
      <c r="K1939" s="10" t="s">
        <v>847</v>
      </c>
      <c r="L1939" s="10" t="s">
        <v>2373</v>
      </c>
      <c r="M1939" s="10" t="s">
        <v>2372</v>
      </c>
      <c r="N1939" s="10" t="s">
        <v>2373</v>
      </c>
      <c r="O1939" s="10"/>
    </row>
    <row r="1940" spans="1:15" ht="18" customHeight="1" x14ac:dyDescent="0.3">
      <c r="A1940" s="24">
        <v>1939</v>
      </c>
      <c r="B1940" s="10" t="s">
        <v>51</v>
      </c>
      <c r="C1940" s="10" t="s">
        <v>62</v>
      </c>
      <c r="D1940" s="62">
        <v>101</v>
      </c>
      <c r="E1940" s="61" t="s">
        <v>208</v>
      </c>
      <c r="F1940" s="16" t="s">
        <v>993</v>
      </c>
      <c r="G1940" s="10" t="s">
        <v>150</v>
      </c>
      <c r="H1940" s="10" t="s">
        <v>852</v>
      </c>
      <c r="I1940" s="62">
        <v>144</v>
      </c>
      <c r="J1940" s="8" t="s">
        <v>846</v>
      </c>
      <c r="K1940" s="10" t="s">
        <v>847</v>
      </c>
      <c r="L1940" s="10" t="s">
        <v>2373</v>
      </c>
      <c r="M1940" s="10" t="s">
        <v>2372</v>
      </c>
      <c r="N1940" s="10" t="s">
        <v>2373</v>
      </c>
      <c r="O1940" s="10"/>
    </row>
    <row r="1941" spans="1:15" ht="18" customHeight="1" x14ac:dyDescent="0.3">
      <c r="A1941" s="24">
        <v>1940</v>
      </c>
      <c r="B1941" s="10" t="s">
        <v>51</v>
      </c>
      <c r="C1941" s="10" t="s">
        <v>62</v>
      </c>
      <c r="D1941" s="62">
        <v>101</v>
      </c>
      <c r="E1941" s="61" t="s">
        <v>208</v>
      </c>
      <c r="F1941" s="16" t="s">
        <v>993</v>
      </c>
      <c r="G1941" s="10" t="s">
        <v>150</v>
      </c>
      <c r="H1941" s="10" t="s">
        <v>853</v>
      </c>
      <c r="I1941" s="62">
        <v>93</v>
      </c>
      <c r="J1941" s="8" t="s">
        <v>2372</v>
      </c>
      <c r="K1941" s="10" t="s">
        <v>847</v>
      </c>
      <c r="L1941" s="10" t="s">
        <v>2373</v>
      </c>
      <c r="M1941" s="10" t="s">
        <v>2372</v>
      </c>
      <c r="N1941" s="10" t="s">
        <v>2373</v>
      </c>
      <c r="O1941" s="10"/>
    </row>
    <row r="1942" spans="1:15" ht="18" customHeight="1" x14ac:dyDescent="0.3">
      <c r="A1942" s="24">
        <v>1941</v>
      </c>
      <c r="B1942" s="10" t="s">
        <v>51</v>
      </c>
      <c r="C1942" s="10" t="s">
        <v>62</v>
      </c>
      <c r="D1942" s="62">
        <v>101</v>
      </c>
      <c r="E1942" s="61" t="s">
        <v>208</v>
      </c>
      <c r="F1942" s="16" t="s">
        <v>574</v>
      </c>
      <c r="G1942" s="10" t="s">
        <v>150</v>
      </c>
      <c r="H1942" s="10" t="s">
        <v>845</v>
      </c>
      <c r="I1942" s="62">
        <v>131</v>
      </c>
      <c r="J1942" s="8" t="s">
        <v>2372</v>
      </c>
      <c r="K1942" s="10" t="s">
        <v>847</v>
      </c>
      <c r="L1942" s="10" t="s">
        <v>2373</v>
      </c>
      <c r="M1942" s="10" t="s">
        <v>2372</v>
      </c>
      <c r="N1942" s="10" t="s">
        <v>2373</v>
      </c>
      <c r="O1942" s="10"/>
    </row>
    <row r="1943" spans="1:15" ht="18" customHeight="1" x14ac:dyDescent="0.3">
      <c r="A1943" s="24">
        <v>1942</v>
      </c>
      <c r="B1943" s="10" t="s">
        <v>51</v>
      </c>
      <c r="C1943" s="10" t="s">
        <v>62</v>
      </c>
      <c r="D1943" s="62">
        <v>101</v>
      </c>
      <c r="E1943" s="61" t="s">
        <v>208</v>
      </c>
      <c r="F1943" s="16" t="s">
        <v>574</v>
      </c>
      <c r="G1943" s="10" t="s">
        <v>150</v>
      </c>
      <c r="H1943" s="10" t="s">
        <v>848</v>
      </c>
      <c r="I1943" s="62">
        <v>184</v>
      </c>
      <c r="J1943" s="8" t="s">
        <v>2372</v>
      </c>
      <c r="K1943" s="10" t="s">
        <v>847</v>
      </c>
      <c r="L1943" s="10" t="s">
        <v>2373</v>
      </c>
      <c r="M1943" s="10" t="s">
        <v>2372</v>
      </c>
      <c r="N1943" s="10" t="s">
        <v>2373</v>
      </c>
      <c r="O1943" s="10"/>
    </row>
    <row r="1944" spans="1:15" ht="18" customHeight="1" x14ac:dyDescent="0.3">
      <c r="A1944" s="24">
        <v>1943</v>
      </c>
      <c r="B1944" s="8" t="s">
        <v>3712</v>
      </c>
      <c r="C1944" s="8" t="s">
        <v>3713</v>
      </c>
      <c r="D1944" s="8">
        <v>102</v>
      </c>
      <c r="E1944" s="600" t="s">
        <v>3714</v>
      </c>
      <c r="F1944" s="16" t="s">
        <v>3715</v>
      </c>
      <c r="G1944" s="10" t="s">
        <v>3716</v>
      </c>
      <c r="H1944" s="10" t="s">
        <v>3718</v>
      </c>
      <c r="I1944" s="62">
        <v>58</v>
      </c>
      <c r="J1944" s="8" t="s">
        <v>884</v>
      </c>
      <c r="K1944" s="601" t="s">
        <v>3724</v>
      </c>
      <c r="L1944" s="601" t="s">
        <v>2538</v>
      </c>
      <c r="M1944" s="10" t="s">
        <v>884</v>
      </c>
      <c r="N1944" s="10" t="s">
        <v>820</v>
      </c>
      <c r="O1944" s="10"/>
    </row>
    <row r="1945" spans="1:15" ht="18" customHeight="1" x14ac:dyDescent="0.3">
      <c r="A1945" s="24">
        <v>1944</v>
      </c>
      <c r="B1945" s="8" t="s">
        <v>3712</v>
      </c>
      <c r="C1945" s="8" t="s">
        <v>3713</v>
      </c>
      <c r="D1945" s="8">
        <v>102</v>
      </c>
      <c r="E1945" s="600" t="s">
        <v>3714</v>
      </c>
      <c r="F1945" s="16" t="s">
        <v>3715</v>
      </c>
      <c r="G1945" s="10" t="s">
        <v>3716</v>
      </c>
      <c r="H1945" s="10" t="s">
        <v>3719</v>
      </c>
      <c r="I1945" s="62">
        <v>58</v>
      </c>
      <c r="J1945" s="8" t="s">
        <v>884</v>
      </c>
      <c r="K1945" s="601" t="s">
        <v>3724</v>
      </c>
      <c r="L1945" s="601" t="s">
        <v>2538</v>
      </c>
      <c r="M1945" s="10" t="s">
        <v>884</v>
      </c>
      <c r="N1945" s="10" t="s">
        <v>820</v>
      </c>
      <c r="O1945" s="10"/>
    </row>
    <row r="1946" spans="1:15" ht="18" customHeight="1" x14ac:dyDescent="0.3">
      <c r="A1946" s="24">
        <v>1945</v>
      </c>
      <c r="B1946" s="8" t="s">
        <v>3712</v>
      </c>
      <c r="C1946" s="8" t="s">
        <v>3713</v>
      </c>
      <c r="D1946" s="8">
        <v>102</v>
      </c>
      <c r="E1946" s="600" t="s">
        <v>3714</v>
      </c>
      <c r="F1946" s="16" t="s">
        <v>3715</v>
      </c>
      <c r="G1946" s="10" t="s">
        <v>3716</v>
      </c>
      <c r="H1946" s="10" t="s">
        <v>3720</v>
      </c>
      <c r="I1946" s="62">
        <v>58</v>
      </c>
      <c r="J1946" s="8" t="s">
        <v>884</v>
      </c>
      <c r="K1946" s="601" t="s">
        <v>3724</v>
      </c>
      <c r="L1946" s="601" t="s">
        <v>2538</v>
      </c>
      <c r="M1946" s="10" t="s">
        <v>884</v>
      </c>
      <c r="N1946" s="10" t="s">
        <v>820</v>
      </c>
      <c r="O1946" s="10"/>
    </row>
    <row r="1947" spans="1:15" ht="18" customHeight="1" x14ac:dyDescent="0.3">
      <c r="A1947" s="24">
        <v>1946</v>
      </c>
      <c r="B1947" s="8" t="s">
        <v>3712</v>
      </c>
      <c r="C1947" s="8" t="s">
        <v>3713</v>
      </c>
      <c r="D1947" s="8">
        <v>102</v>
      </c>
      <c r="E1947" s="600" t="s">
        <v>3714</v>
      </c>
      <c r="F1947" s="16" t="s">
        <v>3715</v>
      </c>
      <c r="G1947" s="10" t="s">
        <v>3716</v>
      </c>
      <c r="H1947" s="10" t="s">
        <v>3721</v>
      </c>
      <c r="I1947" s="62">
        <v>46</v>
      </c>
      <c r="J1947" s="8" t="s">
        <v>884</v>
      </c>
      <c r="K1947" s="601" t="s">
        <v>3724</v>
      </c>
      <c r="L1947" s="601" t="s">
        <v>2538</v>
      </c>
      <c r="M1947" s="10" t="s">
        <v>884</v>
      </c>
      <c r="N1947" s="10" t="s">
        <v>820</v>
      </c>
      <c r="O1947" s="10"/>
    </row>
    <row r="1948" spans="1:15" ht="18" customHeight="1" x14ac:dyDescent="0.3">
      <c r="A1948" s="24">
        <v>1947</v>
      </c>
      <c r="B1948" s="8" t="s">
        <v>3712</v>
      </c>
      <c r="C1948" s="8" t="s">
        <v>3713</v>
      </c>
      <c r="D1948" s="8">
        <v>102</v>
      </c>
      <c r="E1948" s="600" t="s">
        <v>3714</v>
      </c>
      <c r="F1948" s="16" t="s">
        <v>3715</v>
      </c>
      <c r="G1948" s="10" t="s">
        <v>3716</v>
      </c>
      <c r="H1948" s="10" t="s">
        <v>3722</v>
      </c>
      <c r="I1948" s="62">
        <v>64</v>
      </c>
      <c r="J1948" s="8" t="s">
        <v>884</v>
      </c>
      <c r="K1948" s="601" t="s">
        <v>3724</v>
      </c>
      <c r="L1948" s="601" t="s">
        <v>2538</v>
      </c>
      <c r="M1948" s="10" t="s">
        <v>884</v>
      </c>
      <c r="N1948" s="10" t="s">
        <v>820</v>
      </c>
      <c r="O1948" s="10"/>
    </row>
    <row r="1949" spans="1:15" ht="18" customHeight="1" x14ac:dyDescent="0.3">
      <c r="A1949" s="24">
        <v>1948</v>
      </c>
      <c r="B1949" s="8" t="s">
        <v>3712</v>
      </c>
      <c r="C1949" s="8" t="s">
        <v>3713</v>
      </c>
      <c r="D1949" s="8">
        <v>102</v>
      </c>
      <c r="E1949" s="600" t="s">
        <v>3714</v>
      </c>
      <c r="F1949" s="16" t="s">
        <v>3715</v>
      </c>
      <c r="G1949" s="10" t="s">
        <v>3716</v>
      </c>
      <c r="H1949" s="10" t="s">
        <v>3723</v>
      </c>
      <c r="I1949" s="62">
        <v>64</v>
      </c>
      <c r="J1949" s="8" t="s">
        <v>884</v>
      </c>
      <c r="K1949" s="601" t="s">
        <v>3724</v>
      </c>
      <c r="L1949" s="601" t="s">
        <v>2538</v>
      </c>
      <c r="M1949" s="10" t="s">
        <v>884</v>
      </c>
      <c r="N1949" s="10" t="s">
        <v>820</v>
      </c>
      <c r="O1949" s="10"/>
    </row>
    <row r="1950" spans="1:15" ht="18" customHeight="1" x14ac:dyDescent="0.3">
      <c r="A1950" s="24">
        <v>1949</v>
      </c>
      <c r="B1950" s="99" t="s">
        <v>3020</v>
      </c>
      <c r="C1950" s="99" t="s">
        <v>3021</v>
      </c>
      <c r="D1950" s="99">
        <v>102</v>
      </c>
      <c r="E1950" s="30" t="s">
        <v>3019</v>
      </c>
      <c r="F1950" s="30" t="s">
        <v>3022</v>
      </c>
      <c r="G1950" s="99" t="s">
        <v>2991</v>
      </c>
      <c r="H1950" s="10" t="s">
        <v>3023</v>
      </c>
      <c r="I1950" s="62">
        <v>89</v>
      </c>
      <c r="J1950" s="8" t="s">
        <v>2997</v>
      </c>
      <c r="K1950" s="10" t="s">
        <v>2994</v>
      </c>
      <c r="L1950" s="10" t="s">
        <v>820</v>
      </c>
      <c r="M1950" s="10" t="s">
        <v>884</v>
      </c>
      <c r="N1950" s="10" t="s">
        <v>820</v>
      </c>
      <c r="O1950" s="10"/>
    </row>
    <row r="1951" spans="1:15" ht="18" customHeight="1" x14ac:dyDescent="0.3">
      <c r="A1951" s="24">
        <v>1950</v>
      </c>
      <c r="B1951" s="99" t="s">
        <v>3020</v>
      </c>
      <c r="C1951" s="99" t="s">
        <v>3021</v>
      </c>
      <c r="D1951" s="99">
        <v>102</v>
      </c>
      <c r="E1951" s="30" t="s">
        <v>3019</v>
      </c>
      <c r="F1951" s="30" t="s">
        <v>3022</v>
      </c>
      <c r="G1951" s="99" t="s">
        <v>2991</v>
      </c>
      <c r="H1951" s="10" t="s">
        <v>2996</v>
      </c>
      <c r="I1951" s="62">
        <v>83</v>
      </c>
      <c r="J1951" s="8" t="s">
        <v>2997</v>
      </c>
      <c r="K1951" s="10" t="s">
        <v>2994</v>
      </c>
      <c r="L1951" s="10" t="s">
        <v>820</v>
      </c>
      <c r="M1951" s="10" t="s">
        <v>884</v>
      </c>
      <c r="N1951" s="10" t="s">
        <v>820</v>
      </c>
      <c r="O1951" s="10"/>
    </row>
    <row r="1952" spans="1:15" ht="18" customHeight="1" x14ac:dyDescent="0.3">
      <c r="A1952" s="24">
        <v>1951</v>
      </c>
      <c r="B1952" s="99" t="s">
        <v>3020</v>
      </c>
      <c r="C1952" s="99" t="s">
        <v>3021</v>
      </c>
      <c r="D1952" s="99">
        <v>102</v>
      </c>
      <c r="E1952" s="30" t="s">
        <v>3019</v>
      </c>
      <c r="F1952" s="30" t="s">
        <v>3022</v>
      </c>
      <c r="G1952" s="99" t="s">
        <v>2991</v>
      </c>
      <c r="H1952" s="10" t="s">
        <v>3024</v>
      </c>
      <c r="I1952" s="62">
        <v>71</v>
      </c>
      <c r="J1952" s="8" t="s">
        <v>2997</v>
      </c>
      <c r="K1952" s="10" t="s">
        <v>2994</v>
      </c>
      <c r="L1952" s="10" t="s">
        <v>820</v>
      </c>
      <c r="M1952" s="10" t="s">
        <v>884</v>
      </c>
      <c r="N1952" s="10" t="s">
        <v>820</v>
      </c>
      <c r="O1952" s="10"/>
    </row>
    <row r="1953" spans="1:15" ht="18" customHeight="1" x14ac:dyDescent="0.3">
      <c r="A1953" s="24">
        <v>1952</v>
      </c>
      <c r="B1953" s="99" t="s">
        <v>3020</v>
      </c>
      <c r="C1953" s="99" t="s">
        <v>3021</v>
      </c>
      <c r="D1953" s="99">
        <v>102</v>
      </c>
      <c r="E1953" s="30" t="s">
        <v>3019</v>
      </c>
      <c r="F1953" s="30" t="s">
        <v>3022</v>
      </c>
      <c r="G1953" s="99" t="s">
        <v>2991</v>
      </c>
      <c r="H1953" s="10" t="s">
        <v>3018</v>
      </c>
      <c r="I1953" s="62">
        <v>90</v>
      </c>
      <c r="J1953" s="8" t="s">
        <v>2997</v>
      </c>
      <c r="K1953" s="10" t="s">
        <v>2994</v>
      </c>
      <c r="L1953" s="10" t="s">
        <v>820</v>
      </c>
      <c r="M1953" s="10" t="s">
        <v>884</v>
      </c>
      <c r="N1953" s="10" t="s">
        <v>820</v>
      </c>
      <c r="O1953" s="10"/>
    </row>
    <row r="1954" spans="1:15" ht="18" customHeight="1" x14ac:dyDescent="0.3">
      <c r="A1954" s="24">
        <v>1953</v>
      </c>
      <c r="B1954" s="99" t="s">
        <v>3020</v>
      </c>
      <c r="C1954" s="99" t="s">
        <v>3021</v>
      </c>
      <c r="D1954" s="99">
        <v>102</v>
      </c>
      <c r="E1954" s="30" t="s">
        <v>3019</v>
      </c>
      <c r="F1954" s="30" t="s">
        <v>3022</v>
      </c>
      <c r="G1954" s="99" t="s">
        <v>2991</v>
      </c>
      <c r="H1954" s="10" t="s">
        <v>3025</v>
      </c>
      <c r="I1954" s="62">
        <v>77</v>
      </c>
      <c r="J1954" s="8" t="s">
        <v>2997</v>
      </c>
      <c r="K1954" s="10" t="s">
        <v>2994</v>
      </c>
      <c r="L1954" s="10" t="s">
        <v>820</v>
      </c>
      <c r="M1954" s="10" t="s">
        <v>884</v>
      </c>
      <c r="N1954" s="10" t="s">
        <v>820</v>
      </c>
      <c r="O1954" s="10"/>
    </row>
    <row r="1955" spans="1:15" ht="18" customHeight="1" x14ac:dyDescent="0.3">
      <c r="A1955" s="24">
        <v>1954</v>
      </c>
      <c r="B1955" s="99" t="s">
        <v>3020</v>
      </c>
      <c r="C1955" s="99" t="s">
        <v>3021</v>
      </c>
      <c r="D1955" s="99">
        <v>102</v>
      </c>
      <c r="E1955" s="30" t="s">
        <v>3019</v>
      </c>
      <c r="F1955" s="30" t="s">
        <v>3022</v>
      </c>
      <c r="G1955" s="99" t="s">
        <v>2991</v>
      </c>
      <c r="H1955" s="10" t="s">
        <v>3026</v>
      </c>
      <c r="I1955" s="62">
        <v>39</v>
      </c>
      <c r="J1955" s="8" t="s">
        <v>2997</v>
      </c>
      <c r="K1955" s="10" t="s">
        <v>2994</v>
      </c>
      <c r="L1955" s="10" t="s">
        <v>820</v>
      </c>
      <c r="M1955" s="10" t="s">
        <v>884</v>
      </c>
      <c r="N1955" s="10" t="s">
        <v>820</v>
      </c>
      <c r="O1955" s="10"/>
    </row>
    <row r="1956" spans="1:15" ht="18" customHeight="1" x14ac:dyDescent="0.3">
      <c r="A1956" s="24">
        <v>1955</v>
      </c>
      <c r="B1956" s="99" t="s">
        <v>3020</v>
      </c>
      <c r="C1956" s="99" t="s">
        <v>3021</v>
      </c>
      <c r="D1956" s="99">
        <v>102</v>
      </c>
      <c r="E1956" s="30" t="s">
        <v>3019</v>
      </c>
      <c r="F1956" s="30" t="s">
        <v>3022</v>
      </c>
      <c r="G1956" s="99" t="s">
        <v>2991</v>
      </c>
      <c r="H1956" s="10" t="s">
        <v>3027</v>
      </c>
      <c r="I1956" s="62">
        <v>89</v>
      </c>
      <c r="J1956" s="8" t="s">
        <v>2997</v>
      </c>
      <c r="K1956" s="10" t="s">
        <v>2994</v>
      </c>
      <c r="L1956" s="10" t="s">
        <v>820</v>
      </c>
      <c r="M1956" s="10" t="s">
        <v>884</v>
      </c>
      <c r="N1956" s="10" t="s">
        <v>820</v>
      </c>
      <c r="O1956" s="10"/>
    </row>
    <row r="1957" spans="1:15" ht="18" customHeight="1" x14ac:dyDescent="0.3">
      <c r="A1957" s="24">
        <v>1956</v>
      </c>
      <c r="B1957" s="10" t="s">
        <v>51</v>
      </c>
      <c r="C1957" s="10" t="s">
        <v>63</v>
      </c>
      <c r="D1957" s="62">
        <v>102</v>
      </c>
      <c r="E1957" s="61" t="s">
        <v>256</v>
      </c>
      <c r="F1957" s="16" t="s">
        <v>581</v>
      </c>
      <c r="G1957" s="10" t="s">
        <v>160</v>
      </c>
      <c r="H1957" s="10" t="s">
        <v>845</v>
      </c>
      <c r="I1957" s="8">
        <v>94</v>
      </c>
      <c r="J1957" s="10" t="s">
        <v>2374</v>
      </c>
      <c r="K1957" s="173" t="s">
        <v>860</v>
      </c>
      <c r="L1957" s="173" t="s">
        <v>3452</v>
      </c>
      <c r="M1957" s="10" t="s">
        <v>2372</v>
      </c>
      <c r="N1957" s="10" t="s">
        <v>2373</v>
      </c>
      <c r="O1957" s="10"/>
    </row>
    <row r="1958" spans="1:15" ht="18" customHeight="1" x14ac:dyDescent="0.3">
      <c r="A1958" s="24">
        <v>1957</v>
      </c>
      <c r="B1958" s="10" t="s">
        <v>51</v>
      </c>
      <c r="C1958" s="10" t="s">
        <v>63</v>
      </c>
      <c r="D1958" s="62">
        <v>102</v>
      </c>
      <c r="E1958" s="61" t="s">
        <v>256</v>
      </c>
      <c r="F1958" s="16" t="s">
        <v>581</v>
      </c>
      <c r="G1958" s="10" t="s">
        <v>160</v>
      </c>
      <c r="H1958" s="10" t="s">
        <v>848</v>
      </c>
      <c r="I1958" s="8">
        <v>85</v>
      </c>
      <c r="J1958" s="10" t="s">
        <v>2374</v>
      </c>
      <c r="K1958" s="173" t="s">
        <v>860</v>
      </c>
      <c r="L1958" s="173" t="s">
        <v>3453</v>
      </c>
      <c r="M1958" s="10" t="s">
        <v>2372</v>
      </c>
      <c r="N1958" s="10" t="s">
        <v>2373</v>
      </c>
      <c r="O1958" s="10"/>
    </row>
    <row r="1959" spans="1:15" ht="18" customHeight="1" x14ac:dyDescent="0.3">
      <c r="A1959" s="24">
        <v>1958</v>
      </c>
      <c r="B1959" s="10" t="s">
        <v>51</v>
      </c>
      <c r="C1959" s="10" t="s">
        <v>63</v>
      </c>
      <c r="D1959" s="62">
        <v>102</v>
      </c>
      <c r="E1959" s="61" t="s">
        <v>256</v>
      </c>
      <c r="F1959" s="16" t="s">
        <v>581</v>
      </c>
      <c r="G1959" s="10" t="s">
        <v>160</v>
      </c>
      <c r="H1959" s="10" t="s">
        <v>849</v>
      </c>
      <c r="I1959" s="8">
        <v>39</v>
      </c>
      <c r="J1959" s="10" t="s">
        <v>2372</v>
      </c>
      <c r="K1959" s="173" t="s">
        <v>860</v>
      </c>
      <c r="L1959" s="173" t="s">
        <v>1422</v>
      </c>
      <c r="M1959" s="10" t="s">
        <v>2372</v>
      </c>
      <c r="N1959" s="10" t="s">
        <v>2373</v>
      </c>
      <c r="O1959" s="10"/>
    </row>
    <row r="1960" spans="1:15" ht="18" customHeight="1" x14ac:dyDescent="0.3">
      <c r="A1960" s="24">
        <v>1959</v>
      </c>
      <c r="B1960" s="10" t="s">
        <v>51</v>
      </c>
      <c r="C1960" s="10" t="s">
        <v>63</v>
      </c>
      <c r="D1960" s="62">
        <v>102</v>
      </c>
      <c r="E1960" s="61" t="s">
        <v>256</v>
      </c>
      <c r="F1960" s="16" t="s">
        <v>581</v>
      </c>
      <c r="G1960" s="10" t="s">
        <v>160</v>
      </c>
      <c r="H1960" s="10" t="s">
        <v>851</v>
      </c>
      <c r="I1960" s="8">
        <v>78</v>
      </c>
      <c r="J1960" s="10" t="s">
        <v>2372</v>
      </c>
      <c r="K1960" s="173" t="s">
        <v>860</v>
      </c>
      <c r="L1960" s="173" t="s">
        <v>1422</v>
      </c>
      <c r="M1960" s="10" t="s">
        <v>2372</v>
      </c>
      <c r="N1960" s="10" t="s">
        <v>2373</v>
      </c>
      <c r="O1960" s="10"/>
    </row>
    <row r="1961" spans="1:15" ht="18" customHeight="1" x14ac:dyDescent="0.3">
      <c r="A1961" s="24">
        <v>1960</v>
      </c>
      <c r="B1961" s="10" t="s">
        <v>51</v>
      </c>
      <c r="C1961" s="10" t="s">
        <v>63</v>
      </c>
      <c r="D1961" s="62">
        <v>102</v>
      </c>
      <c r="E1961" s="61" t="s">
        <v>256</v>
      </c>
      <c r="F1961" s="16" t="s">
        <v>581</v>
      </c>
      <c r="G1961" s="10" t="s">
        <v>160</v>
      </c>
      <c r="H1961" s="10" t="s">
        <v>852</v>
      </c>
      <c r="I1961" s="8">
        <v>78</v>
      </c>
      <c r="J1961" s="10" t="s">
        <v>2372</v>
      </c>
      <c r="K1961" s="173" t="s">
        <v>860</v>
      </c>
      <c r="L1961" s="173" t="s">
        <v>1422</v>
      </c>
      <c r="M1961" s="10" t="s">
        <v>2372</v>
      </c>
      <c r="N1961" s="10" t="s">
        <v>2373</v>
      </c>
      <c r="O1961" s="10"/>
    </row>
    <row r="1962" spans="1:15" ht="18" customHeight="1" x14ac:dyDescent="0.3">
      <c r="A1962" s="24">
        <v>1961</v>
      </c>
      <c r="B1962" s="10" t="s">
        <v>51</v>
      </c>
      <c r="C1962" s="10" t="s">
        <v>63</v>
      </c>
      <c r="D1962" s="62">
        <v>102</v>
      </c>
      <c r="E1962" s="61" t="s">
        <v>256</v>
      </c>
      <c r="F1962" s="16" t="s">
        <v>581</v>
      </c>
      <c r="G1962" s="10" t="s">
        <v>160</v>
      </c>
      <c r="H1962" s="10" t="s">
        <v>853</v>
      </c>
      <c r="I1962" s="8">
        <v>92</v>
      </c>
      <c r="J1962" s="10" t="s">
        <v>2372</v>
      </c>
      <c r="K1962" s="10" t="s">
        <v>847</v>
      </c>
      <c r="L1962" s="10" t="s">
        <v>2373</v>
      </c>
      <c r="M1962" s="10" t="s">
        <v>2372</v>
      </c>
      <c r="N1962" s="10" t="s">
        <v>2373</v>
      </c>
      <c r="O1962" s="10"/>
    </row>
    <row r="1963" spans="1:15" ht="18" customHeight="1" x14ac:dyDescent="0.3">
      <c r="A1963" s="24">
        <v>1962</v>
      </c>
      <c r="B1963" s="10" t="s">
        <v>51</v>
      </c>
      <c r="C1963" s="10" t="s">
        <v>63</v>
      </c>
      <c r="D1963" s="62">
        <v>102</v>
      </c>
      <c r="E1963" s="61" t="s">
        <v>256</v>
      </c>
      <c r="F1963" s="16" t="s">
        <v>581</v>
      </c>
      <c r="G1963" s="10" t="s">
        <v>160</v>
      </c>
      <c r="H1963" s="10" t="s">
        <v>854</v>
      </c>
      <c r="I1963" s="8">
        <v>107</v>
      </c>
      <c r="J1963" s="10" t="s">
        <v>2372</v>
      </c>
      <c r="K1963" s="10" t="s">
        <v>847</v>
      </c>
      <c r="L1963" s="10" t="s">
        <v>2373</v>
      </c>
      <c r="M1963" s="10" t="s">
        <v>2372</v>
      </c>
      <c r="N1963" s="10" t="s">
        <v>2373</v>
      </c>
      <c r="O1963" s="10"/>
    </row>
    <row r="1964" spans="1:15" ht="18" customHeight="1" x14ac:dyDescent="0.3">
      <c r="A1964" s="24">
        <v>1963</v>
      </c>
      <c r="B1964" s="10" t="s">
        <v>51</v>
      </c>
      <c r="C1964" s="10" t="s">
        <v>63</v>
      </c>
      <c r="D1964" s="62">
        <v>102</v>
      </c>
      <c r="E1964" s="61" t="s">
        <v>256</v>
      </c>
      <c r="F1964" s="16" t="s">
        <v>581</v>
      </c>
      <c r="G1964" s="10" t="s">
        <v>160</v>
      </c>
      <c r="H1964" s="10" t="s">
        <v>855</v>
      </c>
      <c r="I1964" s="8">
        <v>165</v>
      </c>
      <c r="J1964" s="10" t="s">
        <v>2374</v>
      </c>
      <c r="K1964" s="10" t="s">
        <v>847</v>
      </c>
      <c r="L1964" s="10" t="s">
        <v>2373</v>
      </c>
      <c r="M1964" s="10" t="s">
        <v>2372</v>
      </c>
      <c r="N1964" s="10" t="s">
        <v>2373</v>
      </c>
      <c r="O1964" s="10"/>
    </row>
    <row r="1965" spans="1:15" ht="18" customHeight="1" x14ac:dyDescent="0.3">
      <c r="A1965" s="24">
        <v>1964</v>
      </c>
      <c r="B1965" s="10" t="s">
        <v>51</v>
      </c>
      <c r="C1965" s="10" t="s">
        <v>1707</v>
      </c>
      <c r="D1965" s="62">
        <v>102</v>
      </c>
      <c r="E1965" s="61" t="s">
        <v>2888</v>
      </c>
      <c r="F1965" s="11" t="s">
        <v>2610</v>
      </c>
      <c r="G1965" s="10" t="s">
        <v>1278</v>
      </c>
      <c r="H1965" s="10" t="s">
        <v>2385</v>
      </c>
      <c r="I1965" s="62">
        <v>68</v>
      </c>
      <c r="J1965" s="10" t="s">
        <v>2372</v>
      </c>
      <c r="K1965" s="10" t="s">
        <v>847</v>
      </c>
      <c r="L1965" s="10" t="s">
        <v>2373</v>
      </c>
      <c r="M1965" s="10" t="s">
        <v>2372</v>
      </c>
      <c r="N1965" s="10" t="s">
        <v>2373</v>
      </c>
      <c r="O1965" s="10"/>
    </row>
    <row r="1966" spans="1:15" ht="18" customHeight="1" x14ac:dyDescent="0.3">
      <c r="A1966" s="24">
        <v>1965</v>
      </c>
      <c r="B1966" s="10" t="s">
        <v>51</v>
      </c>
      <c r="C1966" s="10" t="s">
        <v>1707</v>
      </c>
      <c r="D1966" s="62">
        <v>102</v>
      </c>
      <c r="E1966" s="61" t="s">
        <v>2888</v>
      </c>
      <c r="F1966" s="11" t="s">
        <v>2610</v>
      </c>
      <c r="G1966" s="10" t="s">
        <v>1278</v>
      </c>
      <c r="H1966" s="10" t="s">
        <v>2378</v>
      </c>
      <c r="I1966" s="62">
        <v>149</v>
      </c>
      <c r="J1966" s="10" t="s">
        <v>2372</v>
      </c>
      <c r="K1966" s="10" t="s">
        <v>847</v>
      </c>
      <c r="L1966" s="10" t="s">
        <v>2373</v>
      </c>
      <c r="M1966" s="10" t="s">
        <v>2372</v>
      </c>
      <c r="N1966" s="10" t="s">
        <v>2373</v>
      </c>
      <c r="O1966" s="10"/>
    </row>
    <row r="1967" spans="1:15" ht="18" customHeight="1" x14ac:dyDescent="0.3">
      <c r="A1967" s="24">
        <v>1966</v>
      </c>
      <c r="B1967" s="10" t="s">
        <v>51</v>
      </c>
      <c r="C1967" s="10" t="s">
        <v>1707</v>
      </c>
      <c r="D1967" s="62">
        <v>102</v>
      </c>
      <c r="E1967" s="61" t="s">
        <v>2888</v>
      </c>
      <c r="F1967" s="11" t="s">
        <v>2610</v>
      </c>
      <c r="G1967" s="10" t="s">
        <v>1278</v>
      </c>
      <c r="H1967" s="10" t="s">
        <v>2379</v>
      </c>
      <c r="I1967" s="62">
        <v>152</v>
      </c>
      <c r="J1967" s="10" t="s">
        <v>2372</v>
      </c>
      <c r="K1967" s="10" t="s">
        <v>847</v>
      </c>
      <c r="L1967" s="10" t="s">
        <v>2373</v>
      </c>
      <c r="M1967" s="10" t="s">
        <v>2372</v>
      </c>
      <c r="N1967" s="10" t="s">
        <v>2373</v>
      </c>
      <c r="O1967" s="10"/>
    </row>
    <row r="1968" spans="1:15" ht="18" customHeight="1" x14ac:dyDescent="0.3">
      <c r="A1968" s="24">
        <v>1967</v>
      </c>
      <c r="B1968" s="10" t="s">
        <v>51</v>
      </c>
      <c r="C1968" s="10" t="s">
        <v>1707</v>
      </c>
      <c r="D1968" s="62">
        <v>102</v>
      </c>
      <c r="E1968" s="61" t="s">
        <v>2888</v>
      </c>
      <c r="F1968" s="11" t="s">
        <v>2610</v>
      </c>
      <c r="G1968" s="10" t="s">
        <v>1278</v>
      </c>
      <c r="H1968" s="10" t="s">
        <v>2380</v>
      </c>
      <c r="I1968" s="62">
        <v>199</v>
      </c>
      <c r="J1968" s="10" t="s">
        <v>2372</v>
      </c>
      <c r="K1968" s="10" t="s">
        <v>847</v>
      </c>
      <c r="L1968" s="10" t="s">
        <v>2373</v>
      </c>
      <c r="M1968" s="10" t="s">
        <v>2372</v>
      </c>
      <c r="N1968" s="10" t="s">
        <v>2373</v>
      </c>
      <c r="O1968" s="10"/>
    </row>
    <row r="1969" spans="1:15" ht="18" customHeight="1" x14ac:dyDescent="0.3">
      <c r="A1969" s="24">
        <v>1968</v>
      </c>
      <c r="B1969" s="10" t="s">
        <v>51</v>
      </c>
      <c r="C1969" s="10" t="s">
        <v>1707</v>
      </c>
      <c r="D1969" s="62">
        <v>102</v>
      </c>
      <c r="E1969" s="61" t="s">
        <v>2888</v>
      </c>
      <c r="F1969" s="11" t="s">
        <v>2610</v>
      </c>
      <c r="G1969" s="10" t="s">
        <v>1278</v>
      </c>
      <c r="H1969" s="10" t="s">
        <v>2390</v>
      </c>
      <c r="I1969" s="62">
        <v>66</v>
      </c>
      <c r="J1969" s="10" t="s">
        <v>2372</v>
      </c>
      <c r="K1969" s="10" t="s">
        <v>847</v>
      </c>
      <c r="L1969" s="10" t="s">
        <v>2373</v>
      </c>
      <c r="M1969" s="10" t="s">
        <v>2372</v>
      </c>
      <c r="N1969" s="10" t="s">
        <v>2373</v>
      </c>
      <c r="O1969" s="10"/>
    </row>
    <row r="1970" spans="1:15" ht="18" customHeight="1" x14ac:dyDescent="0.3">
      <c r="A1970" s="24">
        <v>1969</v>
      </c>
      <c r="B1970" s="10" t="s">
        <v>51</v>
      </c>
      <c r="C1970" s="10" t="s">
        <v>1707</v>
      </c>
      <c r="D1970" s="62">
        <v>102</v>
      </c>
      <c r="E1970" s="61" t="s">
        <v>2888</v>
      </c>
      <c r="F1970" s="11" t="s">
        <v>2610</v>
      </c>
      <c r="G1970" s="10" t="s">
        <v>1278</v>
      </c>
      <c r="H1970" s="10" t="s">
        <v>2382</v>
      </c>
      <c r="I1970" s="62">
        <v>53</v>
      </c>
      <c r="J1970" s="10" t="s">
        <v>2372</v>
      </c>
      <c r="K1970" s="10" t="s">
        <v>847</v>
      </c>
      <c r="L1970" s="10" t="s">
        <v>2373</v>
      </c>
      <c r="M1970" s="10" t="s">
        <v>2372</v>
      </c>
      <c r="N1970" s="10" t="s">
        <v>2373</v>
      </c>
      <c r="O1970" s="10"/>
    </row>
    <row r="1971" spans="1:15" ht="18" customHeight="1" x14ac:dyDescent="0.3">
      <c r="A1971" s="24">
        <v>1970</v>
      </c>
      <c r="B1971" s="10" t="s">
        <v>51</v>
      </c>
      <c r="C1971" s="10" t="s">
        <v>1707</v>
      </c>
      <c r="D1971" s="62">
        <v>102</v>
      </c>
      <c r="E1971" s="61" t="s">
        <v>2888</v>
      </c>
      <c r="F1971" s="11" t="s">
        <v>2610</v>
      </c>
      <c r="G1971" s="10" t="s">
        <v>1278</v>
      </c>
      <c r="H1971" s="10" t="s">
        <v>2431</v>
      </c>
      <c r="I1971" s="62">
        <v>32</v>
      </c>
      <c r="J1971" s="10" t="s">
        <v>2372</v>
      </c>
      <c r="K1971" s="10" t="s">
        <v>847</v>
      </c>
      <c r="L1971" s="10" t="s">
        <v>2373</v>
      </c>
      <c r="M1971" s="10" t="s">
        <v>2372</v>
      </c>
      <c r="N1971" s="10" t="s">
        <v>2373</v>
      </c>
      <c r="O1971" s="10"/>
    </row>
    <row r="1972" spans="1:15" ht="18" customHeight="1" x14ac:dyDescent="0.3">
      <c r="A1972" s="24">
        <v>1971</v>
      </c>
      <c r="B1972" s="10" t="s">
        <v>51</v>
      </c>
      <c r="C1972" s="10" t="s">
        <v>1707</v>
      </c>
      <c r="D1972" s="62">
        <v>102</v>
      </c>
      <c r="E1972" s="61" t="s">
        <v>2888</v>
      </c>
      <c r="F1972" s="11" t="s">
        <v>2610</v>
      </c>
      <c r="G1972" s="10" t="s">
        <v>1278</v>
      </c>
      <c r="H1972" s="10" t="s">
        <v>2383</v>
      </c>
      <c r="I1972" s="62">
        <v>62</v>
      </c>
      <c r="J1972" s="10" t="s">
        <v>2372</v>
      </c>
      <c r="K1972" s="10" t="s">
        <v>847</v>
      </c>
      <c r="L1972" s="10" t="s">
        <v>2373</v>
      </c>
      <c r="M1972" s="10" t="s">
        <v>2372</v>
      </c>
      <c r="N1972" s="10" t="s">
        <v>2373</v>
      </c>
      <c r="O1972" s="10"/>
    </row>
    <row r="1973" spans="1:15" ht="18" customHeight="1" x14ac:dyDescent="0.3">
      <c r="A1973" s="24">
        <v>1972</v>
      </c>
      <c r="B1973" s="10" t="s">
        <v>51</v>
      </c>
      <c r="C1973" s="10" t="s">
        <v>1707</v>
      </c>
      <c r="D1973" s="62">
        <v>102</v>
      </c>
      <c r="E1973" s="61" t="s">
        <v>2888</v>
      </c>
      <c r="F1973" s="11" t="s">
        <v>2610</v>
      </c>
      <c r="G1973" s="10" t="s">
        <v>1278</v>
      </c>
      <c r="H1973" s="10" t="s">
        <v>2515</v>
      </c>
      <c r="I1973" s="62">
        <v>51</v>
      </c>
      <c r="J1973" s="10" t="s">
        <v>2372</v>
      </c>
      <c r="K1973" s="10" t="s">
        <v>847</v>
      </c>
      <c r="L1973" s="10" t="s">
        <v>2373</v>
      </c>
      <c r="M1973" s="10" t="s">
        <v>2372</v>
      </c>
      <c r="N1973" s="10" t="s">
        <v>2373</v>
      </c>
      <c r="O1973" s="10"/>
    </row>
    <row r="1974" spans="1:15" ht="18" customHeight="1" x14ac:dyDescent="0.3">
      <c r="A1974" s="24">
        <v>1973</v>
      </c>
      <c r="B1974" s="10" t="s">
        <v>51</v>
      </c>
      <c r="C1974" s="10" t="s">
        <v>1707</v>
      </c>
      <c r="D1974" s="62">
        <v>102</v>
      </c>
      <c r="E1974" s="61" t="s">
        <v>2888</v>
      </c>
      <c r="F1974" s="11" t="s">
        <v>2610</v>
      </c>
      <c r="G1974" s="10" t="s">
        <v>1278</v>
      </c>
      <c r="H1974" s="10" t="s">
        <v>2471</v>
      </c>
      <c r="I1974" s="62">
        <v>30</v>
      </c>
      <c r="J1974" s="10" t="s">
        <v>2372</v>
      </c>
      <c r="K1974" s="10" t="s">
        <v>847</v>
      </c>
      <c r="L1974" s="10" t="s">
        <v>2373</v>
      </c>
      <c r="M1974" s="10" t="s">
        <v>2372</v>
      </c>
      <c r="N1974" s="10" t="s">
        <v>2373</v>
      </c>
      <c r="O1974" s="10"/>
    </row>
    <row r="1975" spans="1:15" ht="18" customHeight="1" x14ac:dyDescent="0.3">
      <c r="A1975" s="24">
        <v>1974</v>
      </c>
      <c r="B1975" s="10" t="s">
        <v>1600</v>
      </c>
      <c r="C1975" s="10" t="s">
        <v>1707</v>
      </c>
      <c r="D1975" s="62">
        <v>102</v>
      </c>
      <c r="E1975" s="61" t="s">
        <v>1710</v>
      </c>
      <c r="F1975" s="16" t="s">
        <v>2611</v>
      </c>
      <c r="G1975" s="10" t="s">
        <v>1264</v>
      </c>
      <c r="H1975" s="10" t="s">
        <v>2385</v>
      </c>
      <c r="I1975" s="62">
        <v>163</v>
      </c>
      <c r="J1975" s="10" t="s">
        <v>2372</v>
      </c>
      <c r="K1975" s="10" t="s">
        <v>2372</v>
      </c>
      <c r="L1975" s="10" t="s">
        <v>2373</v>
      </c>
      <c r="M1975" s="10" t="s">
        <v>2372</v>
      </c>
      <c r="N1975" s="10" t="s">
        <v>2373</v>
      </c>
      <c r="O1975" s="10"/>
    </row>
    <row r="1976" spans="1:15" ht="18" customHeight="1" x14ac:dyDescent="0.3">
      <c r="A1976" s="24">
        <v>1975</v>
      </c>
      <c r="B1976" s="10" t="s">
        <v>1600</v>
      </c>
      <c r="C1976" s="10" t="s">
        <v>1707</v>
      </c>
      <c r="D1976" s="62">
        <v>102</v>
      </c>
      <c r="E1976" s="61" t="s">
        <v>1710</v>
      </c>
      <c r="F1976" s="16" t="s">
        <v>2611</v>
      </c>
      <c r="G1976" s="10" t="s">
        <v>1264</v>
      </c>
      <c r="H1976" s="10" t="s">
        <v>2378</v>
      </c>
      <c r="I1976" s="62">
        <v>163</v>
      </c>
      <c r="J1976" s="10" t="s">
        <v>2372</v>
      </c>
      <c r="K1976" s="10" t="s">
        <v>2372</v>
      </c>
      <c r="L1976" s="10" t="s">
        <v>2373</v>
      </c>
      <c r="M1976" s="10" t="s">
        <v>2372</v>
      </c>
      <c r="N1976" s="10" t="s">
        <v>2373</v>
      </c>
      <c r="O1976" s="10"/>
    </row>
    <row r="1977" spans="1:15" ht="18" customHeight="1" x14ac:dyDescent="0.3">
      <c r="A1977" s="24">
        <v>1976</v>
      </c>
      <c r="B1977" s="10" t="s">
        <v>1600</v>
      </c>
      <c r="C1977" s="10" t="s">
        <v>1707</v>
      </c>
      <c r="D1977" s="62">
        <v>102</v>
      </c>
      <c r="E1977" s="61" t="s">
        <v>1710</v>
      </c>
      <c r="F1977" s="16" t="s">
        <v>2611</v>
      </c>
      <c r="G1977" s="10" t="s">
        <v>1264</v>
      </c>
      <c r="H1977" s="10" t="s">
        <v>2379</v>
      </c>
      <c r="I1977" s="62">
        <v>155</v>
      </c>
      <c r="J1977" s="10" t="s">
        <v>2372</v>
      </c>
      <c r="K1977" s="10" t="s">
        <v>2372</v>
      </c>
      <c r="L1977" s="10" t="s">
        <v>2373</v>
      </c>
      <c r="M1977" s="10" t="s">
        <v>2372</v>
      </c>
      <c r="N1977" s="10" t="s">
        <v>2373</v>
      </c>
      <c r="O1977" s="10"/>
    </row>
    <row r="1978" spans="1:15" ht="18" customHeight="1" x14ac:dyDescent="0.3">
      <c r="A1978" s="24">
        <v>1977</v>
      </c>
      <c r="B1978" s="10" t="s">
        <v>1600</v>
      </c>
      <c r="C1978" s="10" t="s">
        <v>1707</v>
      </c>
      <c r="D1978" s="62">
        <v>102</v>
      </c>
      <c r="E1978" s="61" t="s">
        <v>1710</v>
      </c>
      <c r="F1978" s="16" t="s">
        <v>2611</v>
      </c>
      <c r="G1978" s="10" t="s">
        <v>1264</v>
      </c>
      <c r="H1978" s="10" t="s">
        <v>2380</v>
      </c>
      <c r="I1978" s="62">
        <v>163</v>
      </c>
      <c r="J1978" s="10" t="s">
        <v>2374</v>
      </c>
      <c r="K1978" s="10" t="s">
        <v>2372</v>
      </c>
      <c r="L1978" s="10" t="s">
        <v>2373</v>
      </c>
      <c r="M1978" s="10" t="s">
        <v>2372</v>
      </c>
      <c r="N1978" s="10" t="s">
        <v>2373</v>
      </c>
      <c r="O1978" s="10"/>
    </row>
    <row r="1979" spans="1:15" ht="18" customHeight="1" x14ac:dyDescent="0.3">
      <c r="A1979" s="24">
        <v>1978</v>
      </c>
      <c r="B1979" s="10" t="s">
        <v>1600</v>
      </c>
      <c r="C1979" s="10" t="s">
        <v>1707</v>
      </c>
      <c r="D1979" s="62">
        <v>102</v>
      </c>
      <c r="E1979" s="61" t="s">
        <v>1710</v>
      </c>
      <c r="F1979" s="16" t="s">
        <v>2611</v>
      </c>
      <c r="G1979" s="10" t="s">
        <v>1264</v>
      </c>
      <c r="H1979" s="10" t="s">
        <v>1777</v>
      </c>
      <c r="I1979" s="62">
        <v>290</v>
      </c>
      <c r="J1979" s="10" t="s">
        <v>2374</v>
      </c>
      <c r="K1979" s="10" t="s">
        <v>2374</v>
      </c>
      <c r="L1979" s="10" t="s">
        <v>1777</v>
      </c>
      <c r="M1979" s="10" t="s">
        <v>2372</v>
      </c>
      <c r="N1979" s="10" t="s">
        <v>2373</v>
      </c>
      <c r="O1979" s="10"/>
    </row>
    <row r="1980" spans="1:15" ht="18" customHeight="1" x14ac:dyDescent="0.3">
      <c r="A1980" s="24">
        <v>1979</v>
      </c>
      <c r="B1980" s="10" t="s">
        <v>1600</v>
      </c>
      <c r="C1980" s="10" t="s">
        <v>1707</v>
      </c>
      <c r="D1980" s="62">
        <v>102</v>
      </c>
      <c r="E1980" s="61" t="s">
        <v>1710</v>
      </c>
      <c r="F1980" s="16" t="s">
        <v>2611</v>
      </c>
      <c r="G1980" s="10" t="s">
        <v>1264</v>
      </c>
      <c r="H1980" s="10" t="s">
        <v>2382</v>
      </c>
      <c r="I1980" s="62">
        <v>120</v>
      </c>
      <c r="J1980" s="10" t="s">
        <v>2372</v>
      </c>
      <c r="K1980" s="10" t="s">
        <v>2372</v>
      </c>
      <c r="L1980" s="10" t="s">
        <v>2373</v>
      </c>
      <c r="M1980" s="10" t="s">
        <v>2372</v>
      </c>
      <c r="N1980" s="10" t="s">
        <v>2373</v>
      </c>
      <c r="O1980" s="10"/>
    </row>
    <row r="1981" spans="1:15" ht="18" customHeight="1" x14ac:dyDescent="0.3">
      <c r="A1981" s="24">
        <v>1980</v>
      </c>
      <c r="B1981" s="10" t="s">
        <v>1600</v>
      </c>
      <c r="C1981" s="10" t="s">
        <v>1707</v>
      </c>
      <c r="D1981" s="62">
        <v>102</v>
      </c>
      <c r="E1981" s="61" t="s">
        <v>1710</v>
      </c>
      <c r="F1981" s="16" t="s">
        <v>2611</v>
      </c>
      <c r="G1981" s="10" t="s">
        <v>1264</v>
      </c>
      <c r="H1981" s="10" t="s">
        <v>2431</v>
      </c>
      <c r="I1981" s="62">
        <v>121</v>
      </c>
      <c r="J1981" s="10" t="s">
        <v>2372</v>
      </c>
      <c r="K1981" s="10" t="s">
        <v>2372</v>
      </c>
      <c r="L1981" s="10" t="s">
        <v>2373</v>
      </c>
      <c r="M1981" s="10" t="s">
        <v>2372</v>
      </c>
      <c r="N1981" s="10" t="s">
        <v>2373</v>
      </c>
      <c r="O1981" s="10"/>
    </row>
    <row r="1982" spans="1:15" ht="18" customHeight="1" x14ac:dyDescent="0.3">
      <c r="A1982" s="24">
        <v>1981</v>
      </c>
      <c r="B1982" s="10" t="s">
        <v>1600</v>
      </c>
      <c r="C1982" s="10" t="s">
        <v>1707</v>
      </c>
      <c r="D1982" s="62">
        <v>102</v>
      </c>
      <c r="E1982" s="61" t="s">
        <v>1710</v>
      </c>
      <c r="F1982" s="16" t="s">
        <v>2611</v>
      </c>
      <c r="G1982" s="10" t="s">
        <v>1264</v>
      </c>
      <c r="H1982" s="10" t="s">
        <v>2612</v>
      </c>
      <c r="I1982" s="62">
        <v>40</v>
      </c>
      <c r="J1982" s="10" t="s">
        <v>2372</v>
      </c>
      <c r="K1982" s="10" t="s">
        <v>2374</v>
      </c>
      <c r="L1982" s="10" t="s">
        <v>1422</v>
      </c>
      <c r="M1982" s="10" t="s">
        <v>2372</v>
      </c>
      <c r="N1982" s="10" t="s">
        <v>2373</v>
      </c>
      <c r="O1982" s="10"/>
    </row>
    <row r="1983" spans="1:15" ht="18" customHeight="1" x14ac:dyDescent="0.3">
      <c r="A1983" s="24">
        <v>1982</v>
      </c>
      <c r="B1983" s="10" t="s">
        <v>51</v>
      </c>
      <c r="C1983" s="10" t="s">
        <v>63</v>
      </c>
      <c r="D1983" s="62">
        <v>102</v>
      </c>
      <c r="E1983" s="61" t="s">
        <v>857</v>
      </c>
      <c r="F1983" s="16" t="s">
        <v>583</v>
      </c>
      <c r="G1983" s="10" t="s">
        <v>160</v>
      </c>
      <c r="H1983" s="10" t="s">
        <v>845</v>
      </c>
      <c r="I1983" s="62">
        <v>177</v>
      </c>
      <c r="J1983" s="10" t="s">
        <v>2372</v>
      </c>
      <c r="K1983" s="10" t="s">
        <v>847</v>
      </c>
      <c r="L1983" s="10" t="s">
        <v>2373</v>
      </c>
      <c r="M1983" s="10" t="s">
        <v>2372</v>
      </c>
      <c r="N1983" s="10" t="s">
        <v>2373</v>
      </c>
      <c r="O1983" s="10"/>
    </row>
    <row r="1984" spans="1:15" ht="18" customHeight="1" x14ac:dyDescent="0.3">
      <c r="A1984" s="24">
        <v>1983</v>
      </c>
      <c r="B1984" s="10" t="s">
        <v>51</v>
      </c>
      <c r="C1984" s="10" t="s">
        <v>63</v>
      </c>
      <c r="D1984" s="62">
        <v>102</v>
      </c>
      <c r="E1984" s="61" t="s">
        <v>857</v>
      </c>
      <c r="F1984" s="16" t="s">
        <v>583</v>
      </c>
      <c r="G1984" s="10" t="s">
        <v>160</v>
      </c>
      <c r="H1984" s="10" t="s">
        <v>848</v>
      </c>
      <c r="I1984" s="62">
        <v>129</v>
      </c>
      <c r="J1984" s="10" t="s">
        <v>2372</v>
      </c>
      <c r="K1984" s="10" t="s">
        <v>847</v>
      </c>
      <c r="L1984" s="10" t="s">
        <v>2373</v>
      </c>
      <c r="M1984" s="10" t="s">
        <v>2372</v>
      </c>
      <c r="N1984" s="10" t="s">
        <v>2373</v>
      </c>
      <c r="O1984" s="10"/>
    </row>
    <row r="1985" spans="1:15" ht="18" customHeight="1" x14ac:dyDescent="0.3">
      <c r="A1985" s="24">
        <v>1984</v>
      </c>
      <c r="B1985" s="10" t="s">
        <v>51</v>
      </c>
      <c r="C1985" s="10" t="s">
        <v>63</v>
      </c>
      <c r="D1985" s="62">
        <v>102</v>
      </c>
      <c r="E1985" s="61" t="s">
        <v>857</v>
      </c>
      <c r="F1985" s="16" t="s">
        <v>583</v>
      </c>
      <c r="G1985" s="10" t="s">
        <v>160</v>
      </c>
      <c r="H1985" s="10" t="s">
        <v>849</v>
      </c>
      <c r="I1985" s="62">
        <v>43</v>
      </c>
      <c r="J1985" s="10" t="s">
        <v>2372</v>
      </c>
      <c r="K1985" s="10" t="s">
        <v>847</v>
      </c>
      <c r="L1985" s="10" t="s">
        <v>2373</v>
      </c>
      <c r="M1985" s="10" t="s">
        <v>2372</v>
      </c>
      <c r="N1985" s="10" t="s">
        <v>2373</v>
      </c>
      <c r="O1985" s="10"/>
    </row>
    <row r="1986" spans="1:15" ht="18" customHeight="1" x14ac:dyDescent="0.3">
      <c r="A1986" s="24">
        <v>1985</v>
      </c>
      <c r="B1986" s="10" t="s">
        <v>51</v>
      </c>
      <c r="C1986" s="10" t="s">
        <v>63</v>
      </c>
      <c r="D1986" s="62">
        <v>102</v>
      </c>
      <c r="E1986" s="61" t="s">
        <v>857</v>
      </c>
      <c r="F1986" s="16" t="s">
        <v>583</v>
      </c>
      <c r="G1986" s="10" t="s">
        <v>160</v>
      </c>
      <c r="H1986" s="10" t="s">
        <v>850</v>
      </c>
      <c r="I1986" s="62">
        <v>31</v>
      </c>
      <c r="J1986" s="10" t="s">
        <v>2372</v>
      </c>
      <c r="K1986" s="10" t="s">
        <v>847</v>
      </c>
      <c r="L1986" s="10" t="s">
        <v>2373</v>
      </c>
      <c r="M1986" s="10" t="s">
        <v>2372</v>
      </c>
      <c r="N1986" s="10" t="s">
        <v>2373</v>
      </c>
      <c r="O1986" s="10"/>
    </row>
    <row r="1987" spans="1:15" ht="18" customHeight="1" x14ac:dyDescent="0.3">
      <c r="A1987" s="24">
        <v>1986</v>
      </c>
      <c r="B1987" s="10" t="s">
        <v>51</v>
      </c>
      <c r="C1987" s="10" t="s">
        <v>63</v>
      </c>
      <c r="D1987" s="62">
        <v>102</v>
      </c>
      <c r="E1987" s="61" t="s">
        <v>857</v>
      </c>
      <c r="F1987" s="16" t="s">
        <v>583</v>
      </c>
      <c r="G1987" s="10" t="s">
        <v>160</v>
      </c>
      <c r="H1987" s="10" t="s">
        <v>851</v>
      </c>
      <c r="I1987" s="62">
        <v>35</v>
      </c>
      <c r="J1987" s="10" t="s">
        <v>2372</v>
      </c>
      <c r="K1987" s="10" t="s">
        <v>847</v>
      </c>
      <c r="L1987" s="10" t="s">
        <v>2373</v>
      </c>
      <c r="M1987" s="10" t="s">
        <v>2372</v>
      </c>
      <c r="N1987" s="10" t="s">
        <v>2373</v>
      </c>
      <c r="O1987" s="10"/>
    </row>
    <row r="1988" spans="1:15" ht="18" customHeight="1" x14ac:dyDescent="0.3">
      <c r="A1988" s="24">
        <v>1987</v>
      </c>
      <c r="B1988" s="10" t="s">
        <v>51</v>
      </c>
      <c r="C1988" s="10" t="s">
        <v>63</v>
      </c>
      <c r="D1988" s="62">
        <v>102</v>
      </c>
      <c r="E1988" s="61" t="s">
        <v>857</v>
      </c>
      <c r="F1988" s="16" t="s">
        <v>583</v>
      </c>
      <c r="G1988" s="10" t="s">
        <v>160</v>
      </c>
      <c r="H1988" s="10" t="s">
        <v>852</v>
      </c>
      <c r="I1988" s="62">
        <v>39</v>
      </c>
      <c r="J1988" s="10" t="s">
        <v>2372</v>
      </c>
      <c r="K1988" s="10" t="s">
        <v>847</v>
      </c>
      <c r="L1988" s="10" t="s">
        <v>2373</v>
      </c>
      <c r="M1988" s="10" t="s">
        <v>2372</v>
      </c>
      <c r="N1988" s="10" t="s">
        <v>2373</v>
      </c>
      <c r="O1988" s="10"/>
    </row>
    <row r="1989" spans="1:15" ht="18" customHeight="1" x14ac:dyDescent="0.3">
      <c r="A1989" s="24">
        <v>1988</v>
      </c>
      <c r="B1989" s="10" t="s">
        <v>1600</v>
      </c>
      <c r="C1989" s="10" t="s">
        <v>1707</v>
      </c>
      <c r="D1989" s="62">
        <v>102</v>
      </c>
      <c r="E1989" s="61" t="s">
        <v>1713</v>
      </c>
      <c r="F1989" s="16" t="s">
        <v>1714</v>
      </c>
      <c r="G1989" s="10" t="s">
        <v>1264</v>
      </c>
      <c r="H1989" s="10" t="s">
        <v>2385</v>
      </c>
      <c r="I1989" s="62">
        <v>181</v>
      </c>
      <c r="J1989" s="8" t="s">
        <v>846</v>
      </c>
      <c r="K1989" s="10" t="s">
        <v>847</v>
      </c>
      <c r="L1989" s="10" t="s">
        <v>2373</v>
      </c>
      <c r="M1989" s="10" t="s">
        <v>2372</v>
      </c>
      <c r="N1989" s="10" t="s">
        <v>2373</v>
      </c>
      <c r="O1989" s="10"/>
    </row>
    <row r="1990" spans="1:15" ht="18" customHeight="1" x14ac:dyDescent="0.3">
      <c r="A1990" s="24">
        <v>1989</v>
      </c>
      <c r="B1990" s="10" t="s">
        <v>1600</v>
      </c>
      <c r="C1990" s="10" t="s">
        <v>1707</v>
      </c>
      <c r="D1990" s="62">
        <v>102</v>
      </c>
      <c r="E1990" s="61" t="s">
        <v>1713</v>
      </c>
      <c r="F1990" s="16" t="s">
        <v>1714</v>
      </c>
      <c r="G1990" s="10" t="s">
        <v>1264</v>
      </c>
      <c r="H1990" s="10" t="s">
        <v>2378</v>
      </c>
      <c r="I1990" s="62">
        <v>149</v>
      </c>
      <c r="J1990" s="8" t="s">
        <v>2372</v>
      </c>
      <c r="K1990" s="10" t="s">
        <v>847</v>
      </c>
      <c r="L1990" s="10" t="s">
        <v>2373</v>
      </c>
      <c r="M1990" s="10" t="s">
        <v>2372</v>
      </c>
      <c r="N1990" s="10" t="s">
        <v>2373</v>
      </c>
      <c r="O1990" s="10"/>
    </row>
    <row r="1991" spans="1:15" ht="18" customHeight="1" x14ac:dyDescent="0.3">
      <c r="A1991" s="24">
        <v>1990</v>
      </c>
      <c r="B1991" s="10" t="s">
        <v>1600</v>
      </c>
      <c r="C1991" s="10" t="s">
        <v>1707</v>
      </c>
      <c r="D1991" s="62">
        <v>102</v>
      </c>
      <c r="E1991" s="61" t="s">
        <v>1713</v>
      </c>
      <c r="F1991" s="16" t="s">
        <v>1714</v>
      </c>
      <c r="G1991" s="10" t="s">
        <v>1264</v>
      </c>
      <c r="H1991" s="10" t="s">
        <v>2379</v>
      </c>
      <c r="I1991" s="62">
        <v>119</v>
      </c>
      <c r="J1991" s="8" t="s">
        <v>2372</v>
      </c>
      <c r="K1991" s="10" t="s">
        <v>847</v>
      </c>
      <c r="L1991" s="10" t="s">
        <v>2373</v>
      </c>
      <c r="M1991" s="10" t="s">
        <v>2372</v>
      </c>
      <c r="N1991" s="10" t="s">
        <v>2373</v>
      </c>
      <c r="O1991" s="10"/>
    </row>
    <row r="1992" spans="1:15" ht="18" customHeight="1" x14ac:dyDescent="0.3">
      <c r="A1992" s="24">
        <v>1991</v>
      </c>
      <c r="B1992" s="10" t="s">
        <v>1600</v>
      </c>
      <c r="C1992" s="10" t="s">
        <v>1707</v>
      </c>
      <c r="D1992" s="62">
        <v>102</v>
      </c>
      <c r="E1992" s="61" t="s">
        <v>1713</v>
      </c>
      <c r="F1992" s="16" t="s">
        <v>1714</v>
      </c>
      <c r="G1992" s="10" t="s">
        <v>1264</v>
      </c>
      <c r="H1992" s="10" t="s">
        <v>2380</v>
      </c>
      <c r="I1992" s="62">
        <v>163</v>
      </c>
      <c r="J1992" s="8" t="s">
        <v>2372</v>
      </c>
      <c r="K1992" s="10" t="s">
        <v>847</v>
      </c>
      <c r="L1992" s="10" t="s">
        <v>2373</v>
      </c>
      <c r="M1992" s="10" t="s">
        <v>2372</v>
      </c>
      <c r="N1992" s="10" t="s">
        <v>2373</v>
      </c>
      <c r="O1992" s="10"/>
    </row>
    <row r="1993" spans="1:15" ht="18" customHeight="1" x14ac:dyDescent="0.3">
      <c r="A1993" s="24">
        <v>1992</v>
      </c>
      <c r="B1993" s="10" t="s">
        <v>1600</v>
      </c>
      <c r="C1993" s="10" t="s">
        <v>1707</v>
      </c>
      <c r="D1993" s="62">
        <v>102</v>
      </c>
      <c r="E1993" s="61" t="s">
        <v>1713</v>
      </c>
      <c r="F1993" s="16" t="s">
        <v>1714</v>
      </c>
      <c r="G1993" s="10" t="s">
        <v>1264</v>
      </c>
      <c r="H1993" s="10" t="s">
        <v>2390</v>
      </c>
      <c r="I1993" s="62">
        <v>163</v>
      </c>
      <c r="J1993" s="8" t="s">
        <v>846</v>
      </c>
      <c r="K1993" s="10" t="s">
        <v>847</v>
      </c>
      <c r="L1993" s="10" t="s">
        <v>2373</v>
      </c>
      <c r="M1993" s="10" t="s">
        <v>2372</v>
      </c>
      <c r="N1993" s="10" t="s">
        <v>2373</v>
      </c>
      <c r="O1993" s="10"/>
    </row>
    <row r="1994" spans="1:15" ht="18" customHeight="1" x14ac:dyDescent="0.3">
      <c r="A1994" s="24">
        <v>1993</v>
      </c>
      <c r="B1994" s="10" t="s">
        <v>51</v>
      </c>
      <c r="C1994" s="10" t="s">
        <v>63</v>
      </c>
      <c r="D1994" s="62">
        <v>102</v>
      </c>
      <c r="E1994" s="61" t="s">
        <v>246</v>
      </c>
      <c r="F1994" s="9" t="s">
        <v>1715</v>
      </c>
      <c r="G1994" s="10" t="s">
        <v>150</v>
      </c>
      <c r="H1994" s="10" t="s">
        <v>845</v>
      </c>
      <c r="I1994" s="62">
        <v>116</v>
      </c>
      <c r="J1994" s="8" t="s">
        <v>846</v>
      </c>
      <c r="K1994" s="10" t="s">
        <v>847</v>
      </c>
      <c r="L1994" s="10" t="s">
        <v>2373</v>
      </c>
      <c r="M1994" s="10" t="s">
        <v>2372</v>
      </c>
      <c r="N1994" s="10" t="s">
        <v>2373</v>
      </c>
      <c r="O1994" s="10"/>
    </row>
    <row r="1995" spans="1:15" ht="18" customHeight="1" x14ac:dyDescent="0.3">
      <c r="A1995" s="24">
        <v>1994</v>
      </c>
      <c r="B1995" s="10" t="s">
        <v>51</v>
      </c>
      <c r="C1995" s="10" t="s">
        <v>63</v>
      </c>
      <c r="D1995" s="62">
        <v>102</v>
      </c>
      <c r="E1995" s="61" t="s">
        <v>246</v>
      </c>
      <c r="F1995" s="9" t="s">
        <v>1715</v>
      </c>
      <c r="G1995" s="10" t="s">
        <v>150</v>
      </c>
      <c r="H1995" s="10" t="s">
        <v>848</v>
      </c>
      <c r="I1995" s="62">
        <v>119</v>
      </c>
      <c r="J1995" s="8" t="s">
        <v>846</v>
      </c>
      <c r="K1995" s="10" t="s">
        <v>847</v>
      </c>
      <c r="L1995" s="10" t="s">
        <v>2373</v>
      </c>
      <c r="M1995" s="10" t="s">
        <v>2372</v>
      </c>
      <c r="N1995" s="10" t="s">
        <v>2373</v>
      </c>
      <c r="O1995" s="10"/>
    </row>
    <row r="1996" spans="1:15" ht="18" customHeight="1" x14ac:dyDescent="0.3">
      <c r="A1996" s="24">
        <v>1995</v>
      </c>
      <c r="B1996" s="10" t="s">
        <v>51</v>
      </c>
      <c r="C1996" s="10" t="s">
        <v>63</v>
      </c>
      <c r="D1996" s="62">
        <v>102</v>
      </c>
      <c r="E1996" s="61" t="s">
        <v>246</v>
      </c>
      <c r="F1996" s="9" t="s">
        <v>1715</v>
      </c>
      <c r="G1996" s="10" t="s">
        <v>150</v>
      </c>
      <c r="H1996" s="10" t="s">
        <v>849</v>
      </c>
      <c r="I1996" s="62">
        <v>93</v>
      </c>
      <c r="J1996" s="8" t="s">
        <v>2372</v>
      </c>
      <c r="K1996" s="10" t="s">
        <v>847</v>
      </c>
      <c r="L1996" s="10" t="s">
        <v>2373</v>
      </c>
      <c r="M1996" s="10" t="s">
        <v>2372</v>
      </c>
      <c r="N1996" s="10" t="s">
        <v>2373</v>
      </c>
      <c r="O1996" s="10"/>
    </row>
    <row r="1997" spans="1:15" ht="18" customHeight="1" x14ac:dyDescent="0.3">
      <c r="A1997" s="24">
        <v>1996</v>
      </c>
      <c r="B1997" s="10" t="s">
        <v>51</v>
      </c>
      <c r="C1997" s="10" t="s">
        <v>63</v>
      </c>
      <c r="D1997" s="62">
        <v>102</v>
      </c>
      <c r="E1997" s="61" t="s">
        <v>888</v>
      </c>
      <c r="F1997" s="16" t="s">
        <v>586</v>
      </c>
      <c r="G1997" s="10" t="s">
        <v>150</v>
      </c>
      <c r="H1997" s="10" t="s">
        <v>845</v>
      </c>
      <c r="I1997" s="62">
        <v>86</v>
      </c>
      <c r="J1997" s="8" t="s">
        <v>2372</v>
      </c>
      <c r="K1997" s="10" t="s">
        <v>847</v>
      </c>
      <c r="L1997" s="10" t="s">
        <v>2373</v>
      </c>
      <c r="M1997" s="10" t="s">
        <v>2372</v>
      </c>
      <c r="N1997" s="10" t="s">
        <v>2373</v>
      </c>
      <c r="O1997" s="10"/>
    </row>
    <row r="1998" spans="1:15" ht="18" customHeight="1" x14ac:dyDescent="0.3">
      <c r="A1998" s="24">
        <v>1997</v>
      </c>
      <c r="B1998" s="10" t="s">
        <v>51</v>
      </c>
      <c r="C1998" s="10" t="s">
        <v>63</v>
      </c>
      <c r="D1998" s="62">
        <v>102</v>
      </c>
      <c r="E1998" s="61" t="s">
        <v>888</v>
      </c>
      <c r="F1998" s="16" t="s">
        <v>586</v>
      </c>
      <c r="G1998" s="10" t="s">
        <v>150</v>
      </c>
      <c r="H1998" s="10" t="s">
        <v>848</v>
      </c>
      <c r="I1998" s="62">
        <v>86</v>
      </c>
      <c r="J1998" s="8" t="s">
        <v>846</v>
      </c>
      <c r="K1998" s="10" t="s">
        <v>847</v>
      </c>
      <c r="L1998" s="10" t="s">
        <v>2373</v>
      </c>
      <c r="M1998" s="10" t="s">
        <v>2372</v>
      </c>
      <c r="N1998" s="10" t="s">
        <v>2373</v>
      </c>
      <c r="O1998" s="10"/>
    </row>
    <row r="1999" spans="1:15" ht="18" customHeight="1" x14ac:dyDescent="0.3">
      <c r="A1999" s="24">
        <v>1998</v>
      </c>
      <c r="B1999" s="10" t="s">
        <v>51</v>
      </c>
      <c r="C1999" s="10" t="s">
        <v>64</v>
      </c>
      <c r="D1999" s="62">
        <v>103</v>
      </c>
      <c r="E1999" s="61" t="s">
        <v>1716</v>
      </c>
      <c r="F1999" s="11" t="s">
        <v>1717</v>
      </c>
      <c r="G1999" s="10" t="s">
        <v>160</v>
      </c>
      <c r="H1999" s="10" t="s">
        <v>2378</v>
      </c>
      <c r="I1999" s="62">
        <v>65</v>
      </c>
      <c r="J1999" s="8" t="s">
        <v>2372</v>
      </c>
      <c r="K1999" s="10" t="s">
        <v>2374</v>
      </c>
      <c r="L1999" s="10" t="s">
        <v>2229</v>
      </c>
      <c r="M1999" s="10" t="s">
        <v>2372</v>
      </c>
      <c r="N1999" s="10" t="s">
        <v>2373</v>
      </c>
      <c r="O1999" s="10"/>
    </row>
    <row r="2000" spans="1:15" ht="18" customHeight="1" x14ac:dyDescent="0.3">
      <c r="A2000" s="24">
        <v>1999</v>
      </c>
      <c r="B2000" s="10" t="s">
        <v>51</v>
      </c>
      <c r="C2000" s="10" t="s">
        <v>64</v>
      </c>
      <c r="D2000" s="62">
        <v>103</v>
      </c>
      <c r="E2000" s="61" t="s">
        <v>1716</v>
      </c>
      <c r="F2000" s="11" t="s">
        <v>1717</v>
      </c>
      <c r="G2000" s="10" t="s">
        <v>160</v>
      </c>
      <c r="H2000" s="10" t="s">
        <v>2379</v>
      </c>
      <c r="I2000" s="62">
        <v>62</v>
      </c>
      <c r="J2000" s="8" t="s">
        <v>2372</v>
      </c>
      <c r="K2000" s="10" t="s">
        <v>2374</v>
      </c>
      <c r="L2000" s="10" t="s">
        <v>2229</v>
      </c>
      <c r="M2000" s="10" t="s">
        <v>2372</v>
      </c>
      <c r="N2000" s="10" t="s">
        <v>2373</v>
      </c>
      <c r="O2000" s="10"/>
    </row>
    <row r="2001" spans="1:15" ht="18" customHeight="1" x14ac:dyDescent="0.3">
      <c r="A2001" s="24">
        <v>2000</v>
      </c>
      <c r="B2001" s="10" t="s">
        <v>51</v>
      </c>
      <c r="C2001" s="10" t="s">
        <v>64</v>
      </c>
      <c r="D2001" s="62">
        <v>103</v>
      </c>
      <c r="E2001" s="61" t="s">
        <v>1716</v>
      </c>
      <c r="F2001" s="11" t="s">
        <v>1717</v>
      </c>
      <c r="G2001" s="10" t="s">
        <v>160</v>
      </c>
      <c r="H2001" s="10" t="s">
        <v>2390</v>
      </c>
      <c r="I2001" s="62">
        <v>119</v>
      </c>
      <c r="J2001" s="8" t="s">
        <v>2372</v>
      </c>
      <c r="K2001" s="10" t="s">
        <v>2374</v>
      </c>
      <c r="L2001" s="10" t="s">
        <v>2229</v>
      </c>
      <c r="M2001" s="10" t="s">
        <v>2372</v>
      </c>
      <c r="N2001" s="10" t="s">
        <v>2373</v>
      </c>
      <c r="O2001" s="10"/>
    </row>
    <row r="2002" spans="1:15" ht="18" customHeight="1" x14ac:dyDescent="0.3">
      <c r="A2002" s="24">
        <v>2001</v>
      </c>
      <c r="B2002" s="10" t="s">
        <v>51</v>
      </c>
      <c r="C2002" s="10" t="s">
        <v>64</v>
      </c>
      <c r="D2002" s="62">
        <v>103</v>
      </c>
      <c r="E2002" s="61" t="s">
        <v>1716</v>
      </c>
      <c r="F2002" s="11" t="s">
        <v>1717</v>
      </c>
      <c r="G2002" s="10" t="s">
        <v>160</v>
      </c>
      <c r="H2002" s="10" t="s">
        <v>2382</v>
      </c>
      <c r="I2002" s="62">
        <v>75</v>
      </c>
      <c r="J2002" s="8" t="s">
        <v>2374</v>
      </c>
      <c r="K2002" s="10" t="s">
        <v>2374</v>
      </c>
      <c r="L2002" s="10" t="s">
        <v>2229</v>
      </c>
      <c r="M2002" s="10" t="s">
        <v>2372</v>
      </c>
      <c r="N2002" s="10" t="s">
        <v>2373</v>
      </c>
      <c r="O2002" s="10"/>
    </row>
    <row r="2003" spans="1:15" ht="18" customHeight="1" x14ac:dyDescent="0.3">
      <c r="A2003" s="24">
        <v>2002</v>
      </c>
      <c r="B2003" s="10" t="s">
        <v>51</v>
      </c>
      <c r="C2003" s="10" t="s">
        <v>64</v>
      </c>
      <c r="D2003" s="62">
        <v>103</v>
      </c>
      <c r="E2003" s="61" t="s">
        <v>1716</v>
      </c>
      <c r="F2003" s="11" t="s">
        <v>1717</v>
      </c>
      <c r="G2003" s="10" t="s">
        <v>160</v>
      </c>
      <c r="H2003" s="10" t="s">
        <v>2431</v>
      </c>
      <c r="I2003" s="62">
        <v>54</v>
      </c>
      <c r="J2003" s="8" t="s">
        <v>2372</v>
      </c>
      <c r="K2003" s="10" t="s">
        <v>2374</v>
      </c>
      <c r="L2003" s="10" t="s">
        <v>2229</v>
      </c>
      <c r="M2003" s="10" t="s">
        <v>2372</v>
      </c>
      <c r="N2003" s="10" t="s">
        <v>2373</v>
      </c>
      <c r="O2003" s="10"/>
    </row>
    <row r="2004" spans="1:15" ht="18" customHeight="1" x14ac:dyDescent="0.3">
      <c r="A2004" s="24">
        <v>2003</v>
      </c>
      <c r="B2004" s="10" t="s">
        <v>51</v>
      </c>
      <c r="C2004" s="10" t="s">
        <v>64</v>
      </c>
      <c r="D2004" s="62">
        <v>103</v>
      </c>
      <c r="E2004" s="61" t="s">
        <v>2889</v>
      </c>
      <c r="F2004" s="16" t="s">
        <v>1721</v>
      </c>
      <c r="G2004" s="10" t="s">
        <v>160</v>
      </c>
      <c r="H2004" s="10" t="s">
        <v>845</v>
      </c>
      <c r="I2004" s="62">
        <v>52</v>
      </c>
      <c r="J2004" s="10" t="s">
        <v>2372</v>
      </c>
      <c r="K2004" s="10" t="s">
        <v>847</v>
      </c>
      <c r="L2004" s="10" t="s">
        <v>2373</v>
      </c>
      <c r="M2004" s="10" t="s">
        <v>2372</v>
      </c>
      <c r="N2004" s="10" t="s">
        <v>2373</v>
      </c>
      <c r="O2004" s="10"/>
    </row>
    <row r="2005" spans="1:15" ht="18" customHeight="1" x14ac:dyDescent="0.3">
      <c r="A2005" s="24">
        <v>2004</v>
      </c>
      <c r="B2005" s="10" t="s">
        <v>51</v>
      </c>
      <c r="C2005" s="10" t="s">
        <v>64</v>
      </c>
      <c r="D2005" s="62">
        <v>103</v>
      </c>
      <c r="E2005" s="61" t="s">
        <v>2889</v>
      </c>
      <c r="F2005" s="16" t="s">
        <v>1721</v>
      </c>
      <c r="G2005" s="10" t="s">
        <v>160</v>
      </c>
      <c r="H2005" s="10" t="s">
        <v>848</v>
      </c>
      <c r="I2005" s="62">
        <v>92</v>
      </c>
      <c r="J2005" s="10" t="s">
        <v>2372</v>
      </c>
      <c r="K2005" s="10" t="s">
        <v>847</v>
      </c>
      <c r="L2005" s="10" t="s">
        <v>2373</v>
      </c>
      <c r="M2005" s="10" t="s">
        <v>2372</v>
      </c>
      <c r="N2005" s="10" t="s">
        <v>2373</v>
      </c>
      <c r="O2005" s="10"/>
    </row>
    <row r="2006" spans="1:15" ht="18" customHeight="1" x14ac:dyDescent="0.3">
      <c r="A2006" s="24">
        <v>2005</v>
      </c>
      <c r="B2006" s="10" t="s">
        <v>51</v>
      </c>
      <c r="C2006" s="10" t="s">
        <v>64</v>
      </c>
      <c r="D2006" s="62">
        <v>103</v>
      </c>
      <c r="E2006" s="61" t="s">
        <v>2889</v>
      </c>
      <c r="F2006" s="16" t="s">
        <v>1008</v>
      </c>
      <c r="G2006" s="10" t="s">
        <v>160</v>
      </c>
      <c r="H2006" s="10" t="s">
        <v>849</v>
      </c>
      <c r="I2006" s="62">
        <v>78</v>
      </c>
      <c r="J2006" s="10" t="s">
        <v>2374</v>
      </c>
      <c r="K2006" s="10" t="s">
        <v>847</v>
      </c>
      <c r="L2006" s="10" t="s">
        <v>2373</v>
      </c>
      <c r="M2006" s="10" t="s">
        <v>2372</v>
      </c>
      <c r="N2006" s="10" t="s">
        <v>2373</v>
      </c>
      <c r="O2006" s="10"/>
    </row>
    <row r="2007" spans="1:15" ht="18" customHeight="1" x14ac:dyDescent="0.3">
      <c r="A2007" s="24">
        <v>2006</v>
      </c>
      <c r="B2007" s="10" t="s">
        <v>51</v>
      </c>
      <c r="C2007" s="10" t="s">
        <v>64</v>
      </c>
      <c r="D2007" s="62">
        <v>103</v>
      </c>
      <c r="E2007" s="61" t="s">
        <v>2889</v>
      </c>
      <c r="F2007" s="16" t="s">
        <v>1008</v>
      </c>
      <c r="G2007" s="10" t="s">
        <v>160</v>
      </c>
      <c r="H2007" s="10" t="s">
        <v>850</v>
      </c>
      <c r="I2007" s="62">
        <v>68</v>
      </c>
      <c r="J2007" s="10" t="s">
        <v>2372</v>
      </c>
      <c r="K2007" s="10" t="s">
        <v>847</v>
      </c>
      <c r="L2007" s="10" t="s">
        <v>2373</v>
      </c>
      <c r="M2007" s="10" t="s">
        <v>2372</v>
      </c>
      <c r="N2007" s="10" t="s">
        <v>2373</v>
      </c>
      <c r="O2007" s="10"/>
    </row>
    <row r="2008" spans="1:15" ht="18" customHeight="1" x14ac:dyDescent="0.3">
      <c r="A2008" s="24">
        <v>2007</v>
      </c>
      <c r="B2008" s="10" t="s">
        <v>51</v>
      </c>
      <c r="C2008" s="10" t="s">
        <v>64</v>
      </c>
      <c r="D2008" s="62">
        <v>103</v>
      </c>
      <c r="E2008" s="61" t="s">
        <v>2889</v>
      </c>
      <c r="F2008" s="16" t="s">
        <v>1008</v>
      </c>
      <c r="G2008" s="10" t="s">
        <v>160</v>
      </c>
      <c r="H2008" s="10" t="s">
        <v>851</v>
      </c>
      <c r="I2008" s="62">
        <v>63</v>
      </c>
      <c r="J2008" s="10" t="s">
        <v>2372</v>
      </c>
      <c r="K2008" s="10" t="s">
        <v>847</v>
      </c>
      <c r="L2008" s="10" t="s">
        <v>2373</v>
      </c>
      <c r="M2008" s="10" t="s">
        <v>2372</v>
      </c>
      <c r="N2008" s="10" t="s">
        <v>2373</v>
      </c>
      <c r="O2008" s="10"/>
    </row>
    <row r="2009" spans="1:15" ht="18" customHeight="1" x14ac:dyDescent="0.3">
      <c r="A2009" s="24">
        <v>2008</v>
      </c>
      <c r="B2009" s="10" t="s">
        <v>51</v>
      </c>
      <c r="C2009" s="10" t="s">
        <v>64</v>
      </c>
      <c r="D2009" s="62">
        <v>103</v>
      </c>
      <c r="E2009" s="61" t="s">
        <v>2889</v>
      </c>
      <c r="F2009" s="16" t="s">
        <v>1008</v>
      </c>
      <c r="G2009" s="10" t="s">
        <v>160</v>
      </c>
      <c r="H2009" s="10" t="s">
        <v>852</v>
      </c>
      <c r="I2009" s="62">
        <v>72</v>
      </c>
      <c r="J2009" s="10" t="s">
        <v>2372</v>
      </c>
      <c r="K2009" s="10" t="s">
        <v>847</v>
      </c>
      <c r="L2009" s="10" t="s">
        <v>2373</v>
      </c>
      <c r="M2009" s="10" t="s">
        <v>2372</v>
      </c>
      <c r="N2009" s="10" t="s">
        <v>2373</v>
      </c>
      <c r="O2009" s="10"/>
    </row>
    <row r="2010" spans="1:15" ht="18" customHeight="1" x14ac:dyDescent="0.3">
      <c r="A2010" s="24">
        <v>2009</v>
      </c>
      <c r="B2010" s="10" t="s">
        <v>51</v>
      </c>
      <c r="C2010" s="10" t="s">
        <v>64</v>
      </c>
      <c r="D2010" s="62">
        <v>103</v>
      </c>
      <c r="E2010" s="61" t="s">
        <v>2889</v>
      </c>
      <c r="F2010" s="16" t="s">
        <v>1008</v>
      </c>
      <c r="G2010" s="10" t="s">
        <v>160</v>
      </c>
      <c r="H2010" s="10" t="s">
        <v>853</v>
      </c>
      <c r="I2010" s="62">
        <v>74</v>
      </c>
      <c r="J2010" s="10" t="s">
        <v>2372</v>
      </c>
      <c r="K2010" s="10" t="s">
        <v>847</v>
      </c>
      <c r="L2010" s="10" t="s">
        <v>2373</v>
      </c>
      <c r="M2010" s="10" t="s">
        <v>2372</v>
      </c>
      <c r="N2010" s="10" t="s">
        <v>2373</v>
      </c>
      <c r="O2010" s="10"/>
    </row>
    <row r="2011" spans="1:15" ht="18" customHeight="1" x14ac:dyDescent="0.3">
      <c r="A2011" s="24">
        <v>2010</v>
      </c>
      <c r="B2011" s="10" t="s">
        <v>51</v>
      </c>
      <c r="C2011" s="10" t="s">
        <v>64</v>
      </c>
      <c r="D2011" s="62">
        <v>103</v>
      </c>
      <c r="E2011" s="61" t="s">
        <v>2889</v>
      </c>
      <c r="F2011" s="16" t="s">
        <v>1008</v>
      </c>
      <c r="G2011" s="10" t="s">
        <v>160</v>
      </c>
      <c r="H2011" s="10" t="s">
        <v>854</v>
      </c>
      <c r="I2011" s="62">
        <v>53</v>
      </c>
      <c r="J2011" s="10" t="s">
        <v>2372</v>
      </c>
      <c r="K2011" s="10" t="s">
        <v>847</v>
      </c>
      <c r="L2011" s="10" t="s">
        <v>2373</v>
      </c>
      <c r="M2011" s="10" t="s">
        <v>2372</v>
      </c>
      <c r="N2011" s="10" t="s">
        <v>2373</v>
      </c>
      <c r="O2011" s="10"/>
    </row>
    <row r="2012" spans="1:15" ht="18" customHeight="1" x14ac:dyDescent="0.3">
      <c r="A2012" s="24">
        <v>2011</v>
      </c>
      <c r="B2012" s="10" t="s">
        <v>51</v>
      </c>
      <c r="C2012" s="10" t="s">
        <v>64</v>
      </c>
      <c r="D2012" s="62">
        <v>103</v>
      </c>
      <c r="E2012" s="61" t="s">
        <v>2890</v>
      </c>
      <c r="F2012" s="16" t="s">
        <v>1723</v>
      </c>
      <c r="G2012" s="10" t="s">
        <v>160</v>
      </c>
      <c r="H2012" s="10" t="s">
        <v>845</v>
      </c>
      <c r="I2012" s="62">
        <v>59</v>
      </c>
      <c r="J2012" s="10" t="s">
        <v>2372</v>
      </c>
      <c r="K2012" s="10" t="s">
        <v>847</v>
      </c>
      <c r="L2012" s="10" t="s">
        <v>2373</v>
      </c>
      <c r="M2012" s="10" t="s">
        <v>2372</v>
      </c>
      <c r="N2012" s="10" t="s">
        <v>2373</v>
      </c>
      <c r="O2012" s="10"/>
    </row>
    <row r="2013" spans="1:15" ht="18" customHeight="1" x14ac:dyDescent="0.3">
      <c r="A2013" s="24">
        <v>2012</v>
      </c>
      <c r="B2013" s="10" t="s">
        <v>51</v>
      </c>
      <c r="C2013" s="10" t="s">
        <v>64</v>
      </c>
      <c r="D2013" s="62">
        <v>103</v>
      </c>
      <c r="E2013" s="61" t="s">
        <v>2890</v>
      </c>
      <c r="F2013" s="16" t="s">
        <v>1723</v>
      </c>
      <c r="G2013" s="10" t="s">
        <v>160</v>
      </c>
      <c r="H2013" s="10" t="s">
        <v>848</v>
      </c>
      <c r="I2013" s="62">
        <v>36</v>
      </c>
      <c r="J2013" s="10" t="s">
        <v>2374</v>
      </c>
      <c r="K2013" s="10" t="s">
        <v>847</v>
      </c>
      <c r="L2013" s="10" t="s">
        <v>2373</v>
      </c>
      <c r="M2013" s="10" t="s">
        <v>2372</v>
      </c>
      <c r="N2013" s="10" t="s">
        <v>2373</v>
      </c>
      <c r="O2013" s="10"/>
    </row>
    <row r="2014" spans="1:15" ht="18" customHeight="1" x14ac:dyDescent="0.3">
      <c r="A2014" s="24">
        <v>2013</v>
      </c>
      <c r="B2014" s="10" t="s">
        <v>51</v>
      </c>
      <c r="C2014" s="10" t="s">
        <v>64</v>
      </c>
      <c r="D2014" s="62">
        <v>103</v>
      </c>
      <c r="E2014" s="61" t="s">
        <v>2890</v>
      </c>
      <c r="F2014" s="16" t="s">
        <v>1007</v>
      </c>
      <c r="G2014" s="10" t="s">
        <v>160</v>
      </c>
      <c r="H2014" s="10" t="s">
        <v>849</v>
      </c>
      <c r="I2014" s="62">
        <v>59</v>
      </c>
      <c r="J2014" s="10" t="s">
        <v>2372</v>
      </c>
      <c r="K2014" s="10" t="s">
        <v>847</v>
      </c>
      <c r="L2014" s="10" t="s">
        <v>2373</v>
      </c>
      <c r="M2014" s="10" t="s">
        <v>2372</v>
      </c>
      <c r="N2014" s="10" t="s">
        <v>2373</v>
      </c>
      <c r="O2014" s="10"/>
    </row>
    <row r="2015" spans="1:15" ht="18" customHeight="1" x14ac:dyDescent="0.3">
      <c r="A2015" s="24">
        <v>2014</v>
      </c>
      <c r="B2015" s="10" t="s">
        <v>51</v>
      </c>
      <c r="C2015" s="10" t="s">
        <v>64</v>
      </c>
      <c r="D2015" s="62">
        <v>103</v>
      </c>
      <c r="E2015" s="61" t="s">
        <v>2890</v>
      </c>
      <c r="F2015" s="16" t="s">
        <v>1007</v>
      </c>
      <c r="G2015" s="10" t="s">
        <v>160</v>
      </c>
      <c r="H2015" s="10" t="s">
        <v>850</v>
      </c>
      <c r="I2015" s="62">
        <v>35</v>
      </c>
      <c r="J2015" s="10" t="s">
        <v>2374</v>
      </c>
      <c r="K2015" s="10" t="s">
        <v>847</v>
      </c>
      <c r="L2015" s="10" t="s">
        <v>2373</v>
      </c>
      <c r="M2015" s="10" t="s">
        <v>2372</v>
      </c>
      <c r="N2015" s="10" t="s">
        <v>2373</v>
      </c>
      <c r="O2015" s="10"/>
    </row>
    <row r="2016" spans="1:15" ht="18" customHeight="1" x14ac:dyDescent="0.3">
      <c r="A2016" s="24">
        <v>2015</v>
      </c>
      <c r="B2016" s="10" t="s">
        <v>51</v>
      </c>
      <c r="C2016" s="10" t="s">
        <v>64</v>
      </c>
      <c r="D2016" s="62">
        <v>103</v>
      </c>
      <c r="E2016" s="61" t="s">
        <v>2890</v>
      </c>
      <c r="F2016" s="16" t="s">
        <v>1007</v>
      </c>
      <c r="G2016" s="10" t="s">
        <v>160</v>
      </c>
      <c r="H2016" s="10" t="s">
        <v>851</v>
      </c>
      <c r="I2016" s="62">
        <v>62</v>
      </c>
      <c r="J2016" s="10" t="s">
        <v>2372</v>
      </c>
      <c r="K2016" s="10" t="s">
        <v>847</v>
      </c>
      <c r="L2016" s="10" t="s">
        <v>2373</v>
      </c>
      <c r="M2016" s="10" t="s">
        <v>2372</v>
      </c>
      <c r="N2016" s="10" t="s">
        <v>2373</v>
      </c>
      <c r="O2016" s="10"/>
    </row>
    <row r="2017" spans="1:15" ht="18" customHeight="1" x14ac:dyDescent="0.3">
      <c r="A2017" s="24">
        <v>2016</v>
      </c>
      <c r="B2017" s="10" t="s">
        <v>51</v>
      </c>
      <c r="C2017" s="10" t="s">
        <v>64</v>
      </c>
      <c r="D2017" s="62">
        <v>103</v>
      </c>
      <c r="E2017" s="61" t="s">
        <v>2890</v>
      </c>
      <c r="F2017" s="16" t="s">
        <v>1007</v>
      </c>
      <c r="G2017" s="10" t="s">
        <v>160</v>
      </c>
      <c r="H2017" s="10" t="s">
        <v>852</v>
      </c>
      <c r="I2017" s="62">
        <v>112</v>
      </c>
      <c r="J2017" s="10" t="s">
        <v>2372</v>
      </c>
      <c r="K2017" s="10" t="s">
        <v>847</v>
      </c>
      <c r="L2017" s="10" t="s">
        <v>2373</v>
      </c>
      <c r="M2017" s="10" t="s">
        <v>2372</v>
      </c>
      <c r="N2017" s="10" t="s">
        <v>2373</v>
      </c>
      <c r="O2017" s="10"/>
    </row>
    <row r="2018" spans="1:15" ht="18" customHeight="1" x14ac:dyDescent="0.3">
      <c r="A2018" s="24">
        <v>2017</v>
      </c>
      <c r="B2018" s="10" t="s">
        <v>51</v>
      </c>
      <c r="C2018" s="10" t="s">
        <v>65</v>
      </c>
      <c r="D2018" s="62">
        <v>104</v>
      </c>
      <c r="E2018" s="61" t="s">
        <v>234</v>
      </c>
      <c r="F2018" s="16" t="s">
        <v>610</v>
      </c>
      <c r="G2018" s="10" t="s">
        <v>1278</v>
      </c>
      <c r="H2018" s="10" t="s">
        <v>845</v>
      </c>
      <c r="I2018" s="62">
        <v>76</v>
      </c>
      <c r="J2018" s="8" t="s">
        <v>2372</v>
      </c>
      <c r="K2018" s="10" t="s">
        <v>2374</v>
      </c>
      <c r="L2018" s="10" t="s">
        <v>2229</v>
      </c>
      <c r="M2018" s="10" t="s">
        <v>2372</v>
      </c>
      <c r="N2018" s="10" t="s">
        <v>2373</v>
      </c>
      <c r="O2018" s="10"/>
    </row>
    <row r="2019" spans="1:15" ht="18" customHeight="1" x14ac:dyDescent="0.3">
      <c r="A2019" s="24">
        <v>2018</v>
      </c>
      <c r="B2019" s="10" t="s">
        <v>51</v>
      </c>
      <c r="C2019" s="10" t="s">
        <v>65</v>
      </c>
      <c r="D2019" s="62">
        <v>104</v>
      </c>
      <c r="E2019" s="61" t="s">
        <v>234</v>
      </c>
      <c r="F2019" s="16" t="s">
        <v>610</v>
      </c>
      <c r="G2019" s="10" t="s">
        <v>1278</v>
      </c>
      <c r="H2019" s="10" t="s">
        <v>848</v>
      </c>
      <c r="I2019" s="62">
        <v>55</v>
      </c>
      <c r="J2019" s="8" t="s">
        <v>2372</v>
      </c>
      <c r="K2019" s="10" t="s">
        <v>2374</v>
      </c>
      <c r="L2019" s="10" t="s">
        <v>2229</v>
      </c>
      <c r="M2019" s="10" t="s">
        <v>2372</v>
      </c>
      <c r="N2019" s="10" t="s">
        <v>2373</v>
      </c>
      <c r="O2019" s="10"/>
    </row>
    <row r="2020" spans="1:15" ht="18" customHeight="1" x14ac:dyDescent="0.3">
      <c r="A2020" s="24">
        <v>2019</v>
      </c>
      <c r="B2020" s="10" t="s">
        <v>51</v>
      </c>
      <c r="C2020" s="10" t="s">
        <v>65</v>
      </c>
      <c r="D2020" s="62">
        <v>104</v>
      </c>
      <c r="E2020" s="61" t="s">
        <v>234</v>
      </c>
      <c r="F2020" s="16" t="s">
        <v>610</v>
      </c>
      <c r="G2020" s="10" t="s">
        <v>1278</v>
      </c>
      <c r="H2020" s="10" t="s">
        <v>849</v>
      </c>
      <c r="I2020" s="62">
        <v>76</v>
      </c>
      <c r="J2020" s="8" t="s">
        <v>2372</v>
      </c>
      <c r="K2020" s="10" t="s">
        <v>2374</v>
      </c>
      <c r="L2020" s="10" t="s">
        <v>2229</v>
      </c>
      <c r="M2020" s="10" t="s">
        <v>2372</v>
      </c>
      <c r="N2020" s="10" t="s">
        <v>2373</v>
      </c>
      <c r="O2020" s="10"/>
    </row>
    <row r="2021" spans="1:15" ht="18" customHeight="1" x14ac:dyDescent="0.3">
      <c r="A2021" s="24">
        <v>2020</v>
      </c>
      <c r="B2021" s="10" t="s">
        <v>51</v>
      </c>
      <c r="C2021" s="10" t="s">
        <v>65</v>
      </c>
      <c r="D2021" s="62">
        <v>104</v>
      </c>
      <c r="E2021" s="61" t="s">
        <v>234</v>
      </c>
      <c r="F2021" s="16" t="s">
        <v>610</v>
      </c>
      <c r="G2021" s="10" t="s">
        <v>1278</v>
      </c>
      <c r="H2021" s="10" t="s">
        <v>850</v>
      </c>
      <c r="I2021" s="62">
        <v>55</v>
      </c>
      <c r="J2021" s="8" t="s">
        <v>2372</v>
      </c>
      <c r="K2021" s="10" t="s">
        <v>2374</v>
      </c>
      <c r="L2021" s="10" t="s">
        <v>2229</v>
      </c>
      <c r="M2021" s="10" t="s">
        <v>2372</v>
      </c>
      <c r="N2021" s="10" t="s">
        <v>2373</v>
      </c>
      <c r="O2021" s="10"/>
    </row>
    <row r="2022" spans="1:15" ht="18" customHeight="1" x14ac:dyDescent="0.3">
      <c r="A2022" s="24">
        <v>2021</v>
      </c>
      <c r="B2022" s="10" t="s">
        <v>51</v>
      </c>
      <c r="C2022" s="10" t="s">
        <v>65</v>
      </c>
      <c r="D2022" s="62">
        <v>104</v>
      </c>
      <c r="E2022" s="61" t="s">
        <v>234</v>
      </c>
      <c r="F2022" s="16" t="s">
        <v>610</v>
      </c>
      <c r="G2022" s="10" t="s">
        <v>1278</v>
      </c>
      <c r="H2022" s="10" t="s">
        <v>851</v>
      </c>
      <c r="I2022" s="62">
        <v>76</v>
      </c>
      <c r="J2022" s="8" t="s">
        <v>2372</v>
      </c>
      <c r="K2022" s="10" t="s">
        <v>2374</v>
      </c>
      <c r="L2022" s="10" t="s">
        <v>2229</v>
      </c>
      <c r="M2022" s="10" t="s">
        <v>2372</v>
      </c>
      <c r="N2022" s="10" t="s">
        <v>2373</v>
      </c>
      <c r="O2022" s="10"/>
    </row>
    <row r="2023" spans="1:15" ht="18" customHeight="1" x14ac:dyDescent="0.3">
      <c r="A2023" s="24">
        <v>2022</v>
      </c>
      <c r="B2023" s="10" t="s">
        <v>51</v>
      </c>
      <c r="C2023" s="10" t="s">
        <v>65</v>
      </c>
      <c r="D2023" s="62">
        <v>104</v>
      </c>
      <c r="E2023" s="61" t="s">
        <v>234</v>
      </c>
      <c r="F2023" s="16" t="s">
        <v>610</v>
      </c>
      <c r="G2023" s="10" t="s">
        <v>1278</v>
      </c>
      <c r="H2023" s="10" t="s">
        <v>852</v>
      </c>
      <c r="I2023" s="62">
        <v>55</v>
      </c>
      <c r="J2023" s="8" t="s">
        <v>2372</v>
      </c>
      <c r="K2023" s="10" t="s">
        <v>2374</v>
      </c>
      <c r="L2023" s="10" t="s">
        <v>2229</v>
      </c>
      <c r="M2023" s="10" t="s">
        <v>2372</v>
      </c>
      <c r="N2023" s="10" t="s">
        <v>2373</v>
      </c>
      <c r="O2023" s="10"/>
    </row>
    <row r="2024" spans="1:15" ht="18" customHeight="1" x14ac:dyDescent="0.3">
      <c r="A2024" s="24">
        <v>2023</v>
      </c>
      <c r="B2024" s="10" t="s">
        <v>51</v>
      </c>
      <c r="C2024" s="10" t="s">
        <v>65</v>
      </c>
      <c r="D2024" s="62">
        <v>104</v>
      </c>
      <c r="E2024" s="61" t="s">
        <v>234</v>
      </c>
      <c r="F2024" s="16" t="s">
        <v>610</v>
      </c>
      <c r="G2024" s="10" t="s">
        <v>1278</v>
      </c>
      <c r="H2024" s="10" t="s">
        <v>853</v>
      </c>
      <c r="I2024" s="62">
        <v>76</v>
      </c>
      <c r="J2024" s="8" t="s">
        <v>2372</v>
      </c>
      <c r="K2024" s="10" t="s">
        <v>2374</v>
      </c>
      <c r="L2024" s="10" t="s">
        <v>2229</v>
      </c>
      <c r="M2024" s="10" t="s">
        <v>2372</v>
      </c>
      <c r="N2024" s="10" t="s">
        <v>2373</v>
      </c>
      <c r="O2024" s="10"/>
    </row>
    <row r="2025" spans="1:15" ht="18" customHeight="1" x14ac:dyDescent="0.3">
      <c r="A2025" s="24">
        <v>2024</v>
      </c>
      <c r="B2025" s="10" t="s">
        <v>51</v>
      </c>
      <c r="C2025" s="10" t="s">
        <v>65</v>
      </c>
      <c r="D2025" s="62">
        <v>104</v>
      </c>
      <c r="E2025" s="61" t="s">
        <v>234</v>
      </c>
      <c r="F2025" s="16" t="s">
        <v>610</v>
      </c>
      <c r="G2025" s="10" t="s">
        <v>1278</v>
      </c>
      <c r="H2025" s="10" t="s">
        <v>854</v>
      </c>
      <c r="I2025" s="62">
        <v>55</v>
      </c>
      <c r="J2025" s="8" t="s">
        <v>2372</v>
      </c>
      <c r="K2025" s="10" t="s">
        <v>2374</v>
      </c>
      <c r="L2025" s="10" t="s">
        <v>2229</v>
      </c>
      <c r="M2025" s="10" t="s">
        <v>2372</v>
      </c>
      <c r="N2025" s="10" t="s">
        <v>2373</v>
      </c>
      <c r="O2025" s="10"/>
    </row>
    <row r="2026" spans="1:15" ht="18" customHeight="1" x14ac:dyDescent="0.3">
      <c r="A2026" s="24">
        <v>2025</v>
      </c>
      <c r="B2026" s="10" t="s">
        <v>51</v>
      </c>
      <c r="C2026" s="10" t="s">
        <v>65</v>
      </c>
      <c r="D2026" s="62">
        <v>104</v>
      </c>
      <c r="E2026" s="61" t="s">
        <v>2613</v>
      </c>
      <c r="F2026" s="16" t="s">
        <v>612</v>
      </c>
      <c r="G2026" s="10" t="s">
        <v>160</v>
      </c>
      <c r="H2026" s="10" t="s">
        <v>845</v>
      </c>
      <c r="I2026" s="62">
        <v>222</v>
      </c>
      <c r="J2026" s="10" t="s">
        <v>2374</v>
      </c>
      <c r="K2026" s="10" t="s">
        <v>2374</v>
      </c>
      <c r="L2026" s="10" t="s">
        <v>1422</v>
      </c>
      <c r="M2026" s="10" t="s">
        <v>2372</v>
      </c>
      <c r="N2026" s="10" t="s">
        <v>2373</v>
      </c>
      <c r="O2026" s="10"/>
    </row>
    <row r="2027" spans="1:15" ht="18" customHeight="1" x14ac:dyDescent="0.3">
      <c r="A2027" s="24">
        <v>2026</v>
      </c>
      <c r="B2027" s="10" t="s">
        <v>51</v>
      </c>
      <c r="C2027" s="10" t="s">
        <v>65</v>
      </c>
      <c r="D2027" s="62">
        <v>104</v>
      </c>
      <c r="E2027" s="61" t="s">
        <v>2613</v>
      </c>
      <c r="F2027" s="16" t="s">
        <v>612</v>
      </c>
      <c r="G2027" s="10" t="s">
        <v>160</v>
      </c>
      <c r="H2027" s="10" t="s">
        <v>848</v>
      </c>
      <c r="I2027" s="62">
        <v>203</v>
      </c>
      <c r="J2027" s="10" t="s">
        <v>2372</v>
      </c>
      <c r="K2027" s="10" t="s">
        <v>847</v>
      </c>
      <c r="L2027" s="10" t="s">
        <v>2373</v>
      </c>
      <c r="M2027" s="10" t="s">
        <v>2372</v>
      </c>
      <c r="N2027" s="10" t="s">
        <v>2373</v>
      </c>
      <c r="O2027" s="10"/>
    </row>
    <row r="2028" spans="1:15" ht="18" customHeight="1" x14ac:dyDescent="0.3">
      <c r="A2028" s="24">
        <v>2027</v>
      </c>
      <c r="B2028" s="10" t="s">
        <v>51</v>
      </c>
      <c r="C2028" s="10" t="s">
        <v>65</v>
      </c>
      <c r="D2028" s="62">
        <v>104</v>
      </c>
      <c r="E2028" s="61" t="s">
        <v>2613</v>
      </c>
      <c r="F2028" s="16" t="s">
        <v>612</v>
      </c>
      <c r="G2028" s="10" t="s">
        <v>160</v>
      </c>
      <c r="H2028" s="10" t="s">
        <v>849</v>
      </c>
      <c r="I2028" s="62">
        <v>186</v>
      </c>
      <c r="J2028" s="10" t="s">
        <v>2372</v>
      </c>
      <c r="K2028" s="10" t="s">
        <v>847</v>
      </c>
      <c r="L2028" s="10" t="s">
        <v>2373</v>
      </c>
      <c r="M2028" s="10" t="s">
        <v>2372</v>
      </c>
      <c r="N2028" s="10" t="s">
        <v>2373</v>
      </c>
      <c r="O2028" s="10"/>
    </row>
    <row r="2029" spans="1:15" ht="18" customHeight="1" x14ac:dyDescent="0.3">
      <c r="A2029" s="24">
        <v>2028</v>
      </c>
      <c r="B2029" s="10" t="s">
        <v>51</v>
      </c>
      <c r="C2029" s="10" t="s">
        <v>65</v>
      </c>
      <c r="D2029" s="62">
        <v>104</v>
      </c>
      <c r="E2029" s="61" t="s">
        <v>2613</v>
      </c>
      <c r="F2029" s="16" t="s">
        <v>612</v>
      </c>
      <c r="G2029" s="10" t="s">
        <v>160</v>
      </c>
      <c r="H2029" s="10" t="s">
        <v>850</v>
      </c>
      <c r="I2029" s="62">
        <v>186</v>
      </c>
      <c r="J2029" s="10" t="s">
        <v>2372</v>
      </c>
      <c r="K2029" s="10" t="s">
        <v>847</v>
      </c>
      <c r="L2029" s="10" t="s">
        <v>2373</v>
      </c>
      <c r="M2029" s="10" t="s">
        <v>2372</v>
      </c>
      <c r="N2029" s="10" t="s">
        <v>2373</v>
      </c>
      <c r="O2029" s="10"/>
    </row>
    <row r="2030" spans="1:15" ht="18" customHeight="1" x14ac:dyDescent="0.3">
      <c r="A2030" s="24">
        <v>2029</v>
      </c>
      <c r="B2030" s="10" t="s">
        <v>51</v>
      </c>
      <c r="C2030" s="10" t="s">
        <v>65</v>
      </c>
      <c r="D2030" s="62">
        <v>104</v>
      </c>
      <c r="E2030" s="61" t="s">
        <v>2613</v>
      </c>
      <c r="F2030" s="16" t="s">
        <v>612</v>
      </c>
      <c r="G2030" s="10" t="s">
        <v>160</v>
      </c>
      <c r="H2030" s="10" t="s">
        <v>851</v>
      </c>
      <c r="I2030" s="62">
        <v>200</v>
      </c>
      <c r="J2030" s="10" t="s">
        <v>2374</v>
      </c>
      <c r="K2030" s="10" t="s">
        <v>847</v>
      </c>
      <c r="L2030" s="10" t="s">
        <v>2373</v>
      </c>
      <c r="M2030" s="10" t="s">
        <v>2372</v>
      </c>
      <c r="N2030" s="10" t="s">
        <v>2373</v>
      </c>
      <c r="O2030" s="10"/>
    </row>
    <row r="2031" spans="1:15" ht="18" customHeight="1" x14ac:dyDescent="0.3">
      <c r="A2031" s="24">
        <v>2030</v>
      </c>
      <c r="B2031" s="10" t="s">
        <v>51</v>
      </c>
      <c r="C2031" s="10" t="s">
        <v>65</v>
      </c>
      <c r="D2031" s="62">
        <v>104</v>
      </c>
      <c r="E2031" s="61" t="s">
        <v>2613</v>
      </c>
      <c r="F2031" s="16" t="s">
        <v>612</v>
      </c>
      <c r="G2031" s="10" t="s">
        <v>160</v>
      </c>
      <c r="H2031" s="10" t="s">
        <v>852</v>
      </c>
      <c r="I2031" s="62">
        <v>230</v>
      </c>
      <c r="J2031" s="10" t="s">
        <v>2372</v>
      </c>
      <c r="K2031" s="10" t="s">
        <v>847</v>
      </c>
      <c r="L2031" s="10" t="s">
        <v>2373</v>
      </c>
      <c r="M2031" s="10" t="s">
        <v>2372</v>
      </c>
      <c r="N2031" s="10" t="s">
        <v>2373</v>
      </c>
      <c r="O2031" s="10"/>
    </row>
    <row r="2032" spans="1:15" ht="18" customHeight="1" x14ac:dyDescent="0.3">
      <c r="A2032" s="24">
        <v>2031</v>
      </c>
      <c r="B2032" s="10" t="s">
        <v>51</v>
      </c>
      <c r="C2032" s="10" t="s">
        <v>65</v>
      </c>
      <c r="D2032" s="62">
        <v>104</v>
      </c>
      <c r="E2032" s="61" t="s">
        <v>2891</v>
      </c>
      <c r="F2032" s="19" t="s">
        <v>609</v>
      </c>
      <c r="G2032" s="10" t="s">
        <v>160</v>
      </c>
      <c r="H2032" s="10" t="s">
        <v>845</v>
      </c>
      <c r="I2032" s="62">
        <v>131</v>
      </c>
      <c r="J2032" s="10" t="s">
        <v>2372</v>
      </c>
      <c r="K2032" s="10" t="s">
        <v>847</v>
      </c>
      <c r="L2032" s="10" t="s">
        <v>2373</v>
      </c>
      <c r="M2032" s="10" t="s">
        <v>2372</v>
      </c>
      <c r="N2032" s="10" t="s">
        <v>2373</v>
      </c>
      <c r="O2032" s="10"/>
    </row>
    <row r="2033" spans="1:15" ht="18" customHeight="1" x14ac:dyDescent="0.3">
      <c r="A2033" s="24">
        <v>2032</v>
      </c>
      <c r="B2033" s="10" t="s">
        <v>51</v>
      </c>
      <c r="C2033" s="10" t="s">
        <v>65</v>
      </c>
      <c r="D2033" s="62">
        <v>104</v>
      </c>
      <c r="E2033" s="61" t="s">
        <v>2891</v>
      </c>
      <c r="F2033" s="19" t="s">
        <v>609</v>
      </c>
      <c r="G2033" s="10" t="s">
        <v>160</v>
      </c>
      <c r="H2033" s="10" t="s">
        <v>848</v>
      </c>
      <c r="I2033" s="62">
        <v>100</v>
      </c>
      <c r="J2033" s="10" t="s">
        <v>2374</v>
      </c>
      <c r="K2033" s="10" t="s">
        <v>847</v>
      </c>
      <c r="L2033" s="10" t="s">
        <v>2373</v>
      </c>
      <c r="M2033" s="10" t="s">
        <v>2372</v>
      </c>
      <c r="N2033" s="10" t="s">
        <v>2373</v>
      </c>
      <c r="O2033" s="10"/>
    </row>
    <row r="2034" spans="1:15" ht="18" customHeight="1" x14ac:dyDescent="0.3">
      <c r="A2034" s="24">
        <v>2033</v>
      </c>
      <c r="B2034" s="10" t="s">
        <v>51</v>
      </c>
      <c r="C2034" s="10" t="s">
        <v>65</v>
      </c>
      <c r="D2034" s="62">
        <v>104</v>
      </c>
      <c r="E2034" s="61" t="s">
        <v>2891</v>
      </c>
      <c r="F2034" s="19" t="s">
        <v>609</v>
      </c>
      <c r="G2034" s="10" t="s">
        <v>160</v>
      </c>
      <c r="H2034" s="10" t="s">
        <v>849</v>
      </c>
      <c r="I2034" s="62">
        <v>91</v>
      </c>
      <c r="J2034" s="10" t="s">
        <v>2372</v>
      </c>
      <c r="K2034" s="10" t="s">
        <v>847</v>
      </c>
      <c r="L2034" s="10" t="s">
        <v>2373</v>
      </c>
      <c r="M2034" s="10" t="s">
        <v>2372</v>
      </c>
      <c r="N2034" s="10" t="s">
        <v>2373</v>
      </c>
      <c r="O2034" s="10"/>
    </row>
    <row r="2035" spans="1:15" ht="18" customHeight="1" x14ac:dyDescent="0.3">
      <c r="A2035" s="24">
        <v>2034</v>
      </c>
      <c r="B2035" s="10" t="s">
        <v>51</v>
      </c>
      <c r="C2035" s="10" t="s">
        <v>65</v>
      </c>
      <c r="D2035" s="62">
        <v>104</v>
      </c>
      <c r="E2035" s="61" t="s">
        <v>2891</v>
      </c>
      <c r="F2035" s="19" t="s">
        <v>609</v>
      </c>
      <c r="G2035" s="10" t="s">
        <v>160</v>
      </c>
      <c r="H2035" s="10" t="s">
        <v>850</v>
      </c>
      <c r="I2035" s="62">
        <v>140</v>
      </c>
      <c r="J2035" s="10" t="s">
        <v>2374</v>
      </c>
      <c r="K2035" s="10" t="s">
        <v>847</v>
      </c>
      <c r="L2035" s="10" t="s">
        <v>2373</v>
      </c>
      <c r="M2035" s="10" t="s">
        <v>2372</v>
      </c>
      <c r="N2035" s="10" t="s">
        <v>2373</v>
      </c>
      <c r="O2035" s="10"/>
    </row>
    <row r="2036" spans="1:15" ht="18" customHeight="1" x14ac:dyDescent="0.3">
      <c r="A2036" s="24">
        <v>2035</v>
      </c>
      <c r="B2036" s="10" t="s">
        <v>51</v>
      </c>
      <c r="C2036" s="10" t="s">
        <v>65</v>
      </c>
      <c r="D2036" s="62">
        <v>104</v>
      </c>
      <c r="E2036" s="61" t="s">
        <v>2892</v>
      </c>
      <c r="F2036" s="19" t="s">
        <v>608</v>
      </c>
      <c r="G2036" s="10" t="s">
        <v>150</v>
      </c>
      <c r="H2036" s="10" t="s">
        <v>845</v>
      </c>
      <c r="I2036" s="62">
        <v>184</v>
      </c>
      <c r="J2036" s="10" t="s">
        <v>2374</v>
      </c>
      <c r="K2036" s="10" t="s">
        <v>847</v>
      </c>
      <c r="L2036" s="10" t="s">
        <v>2373</v>
      </c>
      <c r="M2036" s="10" t="s">
        <v>2372</v>
      </c>
      <c r="N2036" s="10" t="s">
        <v>2373</v>
      </c>
      <c r="O2036" s="10"/>
    </row>
    <row r="2037" spans="1:15" ht="18" customHeight="1" x14ac:dyDescent="0.3">
      <c r="A2037" s="24">
        <v>2036</v>
      </c>
      <c r="B2037" s="10" t="s">
        <v>51</v>
      </c>
      <c r="C2037" s="10" t="s">
        <v>65</v>
      </c>
      <c r="D2037" s="62">
        <v>104</v>
      </c>
      <c r="E2037" s="61" t="s">
        <v>2892</v>
      </c>
      <c r="F2037" s="19" t="s">
        <v>608</v>
      </c>
      <c r="G2037" s="10" t="s">
        <v>150</v>
      </c>
      <c r="H2037" s="10" t="s">
        <v>848</v>
      </c>
      <c r="I2037" s="62">
        <v>184</v>
      </c>
      <c r="J2037" s="10" t="s">
        <v>2372</v>
      </c>
      <c r="K2037" s="10" t="s">
        <v>847</v>
      </c>
      <c r="L2037" s="10" t="s">
        <v>2373</v>
      </c>
      <c r="M2037" s="10" t="s">
        <v>2372</v>
      </c>
      <c r="N2037" s="10" t="s">
        <v>2373</v>
      </c>
      <c r="O2037" s="10"/>
    </row>
    <row r="2038" spans="1:15" ht="18" customHeight="1" x14ac:dyDescent="0.3">
      <c r="A2038" s="24">
        <v>2037</v>
      </c>
      <c r="B2038" s="10" t="s">
        <v>51</v>
      </c>
      <c r="C2038" s="10" t="s">
        <v>65</v>
      </c>
      <c r="D2038" s="62">
        <v>104</v>
      </c>
      <c r="E2038" s="61" t="s">
        <v>2892</v>
      </c>
      <c r="F2038" s="19" t="s">
        <v>608</v>
      </c>
      <c r="G2038" s="10" t="s">
        <v>150</v>
      </c>
      <c r="H2038" s="10" t="s">
        <v>849</v>
      </c>
      <c r="I2038" s="62">
        <v>103</v>
      </c>
      <c r="J2038" s="10" t="s">
        <v>2372</v>
      </c>
      <c r="K2038" s="10" t="s">
        <v>847</v>
      </c>
      <c r="L2038" s="10" t="s">
        <v>2373</v>
      </c>
      <c r="M2038" s="10" t="s">
        <v>2372</v>
      </c>
      <c r="N2038" s="10" t="s">
        <v>2373</v>
      </c>
      <c r="O2038" s="10"/>
    </row>
    <row r="2039" spans="1:15" ht="18" customHeight="1" x14ac:dyDescent="0.3">
      <c r="A2039" s="24">
        <v>2038</v>
      </c>
      <c r="B2039" s="10" t="s">
        <v>51</v>
      </c>
      <c r="C2039" s="10" t="s">
        <v>65</v>
      </c>
      <c r="D2039" s="62">
        <v>104</v>
      </c>
      <c r="E2039" s="61" t="s">
        <v>2892</v>
      </c>
      <c r="F2039" s="19" t="s">
        <v>608</v>
      </c>
      <c r="G2039" s="10" t="s">
        <v>150</v>
      </c>
      <c r="H2039" s="10" t="s">
        <v>850</v>
      </c>
      <c r="I2039" s="62">
        <v>142</v>
      </c>
      <c r="J2039" s="10" t="s">
        <v>2372</v>
      </c>
      <c r="K2039" s="10" t="s">
        <v>847</v>
      </c>
      <c r="L2039" s="10" t="s">
        <v>2373</v>
      </c>
      <c r="M2039" s="10" t="s">
        <v>2372</v>
      </c>
      <c r="N2039" s="10" t="s">
        <v>2373</v>
      </c>
      <c r="O2039" s="10"/>
    </row>
    <row r="2040" spans="1:15" ht="18" customHeight="1" x14ac:dyDescent="0.3">
      <c r="A2040" s="24">
        <v>2039</v>
      </c>
      <c r="B2040" s="10" t="s">
        <v>51</v>
      </c>
      <c r="C2040" s="10" t="s">
        <v>65</v>
      </c>
      <c r="D2040" s="62">
        <v>104</v>
      </c>
      <c r="E2040" s="61" t="s">
        <v>2892</v>
      </c>
      <c r="F2040" s="19" t="s">
        <v>608</v>
      </c>
      <c r="G2040" s="10" t="s">
        <v>150</v>
      </c>
      <c r="H2040" s="10" t="s">
        <v>851</v>
      </c>
      <c r="I2040" s="62">
        <v>109</v>
      </c>
      <c r="J2040" s="10" t="s">
        <v>2372</v>
      </c>
      <c r="K2040" s="10" t="s">
        <v>847</v>
      </c>
      <c r="L2040" s="10" t="s">
        <v>2373</v>
      </c>
      <c r="M2040" s="10" t="s">
        <v>2372</v>
      </c>
      <c r="N2040" s="10" t="s">
        <v>2373</v>
      </c>
      <c r="O2040" s="10"/>
    </row>
    <row r="2041" spans="1:15" ht="18" customHeight="1" x14ac:dyDescent="0.3">
      <c r="A2041" s="24">
        <v>2040</v>
      </c>
      <c r="B2041" s="10" t="s">
        <v>51</v>
      </c>
      <c r="C2041" s="10" t="s">
        <v>65</v>
      </c>
      <c r="D2041" s="62">
        <v>104</v>
      </c>
      <c r="E2041" s="61" t="s">
        <v>2892</v>
      </c>
      <c r="F2041" s="19" t="s">
        <v>608</v>
      </c>
      <c r="G2041" s="10" t="s">
        <v>150</v>
      </c>
      <c r="H2041" s="10" t="s">
        <v>852</v>
      </c>
      <c r="I2041" s="62">
        <v>131</v>
      </c>
      <c r="J2041" s="10" t="s">
        <v>2372</v>
      </c>
      <c r="K2041" s="10" t="s">
        <v>847</v>
      </c>
      <c r="L2041" s="10" t="s">
        <v>2373</v>
      </c>
      <c r="M2041" s="10" t="s">
        <v>2372</v>
      </c>
      <c r="N2041" s="10" t="s">
        <v>2373</v>
      </c>
      <c r="O2041" s="10"/>
    </row>
    <row r="2042" spans="1:15" ht="18" customHeight="1" x14ac:dyDescent="0.3">
      <c r="A2042" s="24">
        <v>2041</v>
      </c>
      <c r="B2042" s="8" t="s">
        <v>1600</v>
      </c>
      <c r="C2042" s="8" t="s">
        <v>1728</v>
      </c>
      <c r="D2042" s="8">
        <v>104</v>
      </c>
      <c r="E2042" s="56" t="s">
        <v>1729</v>
      </c>
      <c r="F2042" s="16" t="s">
        <v>1199</v>
      </c>
      <c r="G2042" s="8" t="s">
        <v>1264</v>
      </c>
      <c r="H2042" s="10" t="s">
        <v>2385</v>
      </c>
      <c r="I2042" s="62">
        <v>59</v>
      </c>
      <c r="J2042" s="8" t="s">
        <v>2372</v>
      </c>
      <c r="K2042" s="10" t="s">
        <v>2374</v>
      </c>
      <c r="L2042" s="10" t="s">
        <v>2229</v>
      </c>
      <c r="M2042" s="10" t="s">
        <v>2372</v>
      </c>
      <c r="N2042" s="10" t="s">
        <v>2373</v>
      </c>
      <c r="O2042" s="10"/>
    </row>
    <row r="2043" spans="1:15" ht="18" customHeight="1" x14ac:dyDescent="0.3">
      <c r="A2043" s="24">
        <v>2042</v>
      </c>
      <c r="B2043" s="8" t="s">
        <v>1600</v>
      </c>
      <c r="C2043" s="8" t="s">
        <v>1728</v>
      </c>
      <c r="D2043" s="8">
        <v>104</v>
      </c>
      <c r="E2043" s="56" t="s">
        <v>1729</v>
      </c>
      <c r="F2043" s="16" t="s">
        <v>1199</v>
      </c>
      <c r="G2043" s="8" t="s">
        <v>1264</v>
      </c>
      <c r="H2043" s="10" t="s">
        <v>2378</v>
      </c>
      <c r="I2043" s="62">
        <v>34</v>
      </c>
      <c r="J2043" s="8" t="s">
        <v>2372</v>
      </c>
      <c r="K2043" s="10" t="s">
        <v>2374</v>
      </c>
      <c r="L2043" s="10" t="s">
        <v>2229</v>
      </c>
      <c r="M2043" s="10" t="s">
        <v>2372</v>
      </c>
      <c r="N2043" s="10" t="s">
        <v>2373</v>
      </c>
      <c r="O2043" s="10"/>
    </row>
    <row r="2044" spans="1:15" ht="18" customHeight="1" x14ac:dyDescent="0.3">
      <c r="A2044" s="24">
        <v>2043</v>
      </c>
      <c r="B2044" s="8" t="s">
        <v>1600</v>
      </c>
      <c r="C2044" s="8" t="s">
        <v>1728</v>
      </c>
      <c r="D2044" s="8">
        <v>104</v>
      </c>
      <c r="E2044" s="56" t="s">
        <v>1729</v>
      </c>
      <c r="F2044" s="16" t="s">
        <v>1199</v>
      </c>
      <c r="G2044" s="8" t="s">
        <v>1264</v>
      </c>
      <c r="H2044" s="10" t="s">
        <v>2379</v>
      </c>
      <c r="I2044" s="62">
        <v>164</v>
      </c>
      <c r="J2044" s="8" t="s">
        <v>846</v>
      </c>
      <c r="K2044" s="10" t="s">
        <v>2372</v>
      </c>
      <c r="L2044" s="10" t="s">
        <v>2373</v>
      </c>
      <c r="M2044" s="10" t="s">
        <v>2372</v>
      </c>
      <c r="N2044" s="10" t="s">
        <v>2373</v>
      </c>
      <c r="O2044" s="10"/>
    </row>
    <row r="2045" spans="1:15" ht="18" customHeight="1" x14ac:dyDescent="0.3">
      <c r="A2045" s="24">
        <v>2044</v>
      </c>
      <c r="B2045" s="8" t="s">
        <v>1600</v>
      </c>
      <c r="C2045" s="8" t="s">
        <v>1728</v>
      </c>
      <c r="D2045" s="8">
        <v>104</v>
      </c>
      <c r="E2045" s="56" t="s">
        <v>1729</v>
      </c>
      <c r="F2045" s="16" t="s">
        <v>1199</v>
      </c>
      <c r="G2045" s="8" t="s">
        <v>1264</v>
      </c>
      <c r="H2045" s="10" t="s">
        <v>2380</v>
      </c>
      <c r="I2045" s="62">
        <v>243</v>
      </c>
      <c r="J2045" s="8" t="s">
        <v>846</v>
      </c>
      <c r="K2045" s="10" t="s">
        <v>2372</v>
      </c>
      <c r="L2045" s="10" t="s">
        <v>2373</v>
      </c>
      <c r="M2045" s="10" t="s">
        <v>2372</v>
      </c>
      <c r="N2045" s="10" t="s">
        <v>2373</v>
      </c>
      <c r="O2045" s="10"/>
    </row>
    <row r="2046" spans="1:15" ht="18" customHeight="1" x14ac:dyDescent="0.3">
      <c r="A2046" s="24">
        <v>2045</v>
      </c>
      <c r="B2046" s="8" t="s">
        <v>1600</v>
      </c>
      <c r="C2046" s="8" t="s">
        <v>1728</v>
      </c>
      <c r="D2046" s="8">
        <v>104</v>
      </c>
      <c r="E2046" s="56" t="s">
        <v>1729</v>
      </c>
      <c r="F2046" s="16" t="s">
        <v>1199</v>
      </c>
      <c r="G2046" s="8" t="s">
        <v>1264</v>
      </c>
      <c r="H2046" s="10" t="s">
        <v>2390</v>
      </c>
      <c r="I2046" s="62">
        <v>152</v>
      </c>
      <c r="J2046" s="8" t="s">
        <v>2372</v>
      </c>
      <c r="K2046" s="10" t="s">
        <v>2372</v>
      </c>
      <c r="L2046" s="10" t="s">
        <v>2373</v>
      </c>
      <c r="M2046" s="10" t="s">
        <v>2372</v>
      </c>
      <c r="N2046" s="10" t="s">
        <v>2373</v>
      </c>
      <c r="O2046" s="10"/>
    </row>
    <row r="2047" spans="1:15" ht="18" customHeight="1" x14ac:dyDescent="0.3">
      <c r="A2047" s="24">
        <v>2046</v>
      </c>
      <c r="B2047" s="10" t="s">
        <v>1600</v>
      </c>
      <c r="C2047" s="10" t="s">
        <v>1728</v>
      </c>
      <c r="D2047" s="62">
        <v>104</v>
      </c>
      <c r="E2047" s="61" t="s">
        <v>2893</v>
      </c>
      <c r="F2047" s="19" t="s">
        <v>2614</v>
      </c>
      <c r="G2047" s="10" t="s">
        <v>1278</v>
      </c>
      <c r="H2047" s="10" t="s">
        <v>2385</v>
      </c>
      <c r="I2047" s="62">
        <v>83</v>
      </c>
      <c r="J2047" s="10" t="s">
        <v>2372</v>
      </c>
      <c r="K2047" s="10" t="s">
        <v>847</v>
      </c>
      <c r="L2047" s="10" t="s">
        <v>2373</v>
      </c>
      <c r="M2047" s="10" t="s">
        <v>2372</v>
      </c>
      <c r="N2047" s="10" t="s">
        <v>2373</v>
      </c>
      <c r="O2047" s="10"/>
    </row>
    <row r="2048" spans="1:15" ht="18" customHeight="1" x14ac:dyDescent="0.3">
      <c r="A2048" s="24">
        <v>2047</v>
      </c>
      <c r="B2048" s="10" t="s">
        <v>1600</v>
      </c>
      <c r="C2048" s="10" t="s">
        <v>1728</v>
      </c>
      <c r="D2048" s="62">
        <v>104</v>
      </c>
      <c r="E2048" s="61" t="s">
        <v>2893</v>
      </c>
      <c r="F2048" s="19" t="s">
        <v>2614</v>
      </c>
      <c r="G2048" s="10" t="s">
        <v>1278</v>
      </c>
      <c r="H2048" s="10" t="s">
        <v>2378</v>
      </c>
      <c r="I2048" s="62">
        <v>92</v>
      </c>
      <c r="J2048" s="10" t="s">
        <v>2372</v>
      </c>
      <c r="K2048" s="10" t="s">
        <v>847</v>
      </c>
      <c r="L2048" s="10" t="s">
        <v>2373</v>
      </c>
      <c r="M2048" s="10" t="s">
        <v>2372</v>
      </c>
      <c r="N2048" s="10" t="s">
        <v>2373</v>
      </c>
      <c r="O2048" s="10"/>
    </row>
    <row r="2049" spans="1:15" ht="18" customHeight="1" x14ac:dyDescent="0.3">
      <c r="A2049" s="24">
        <v>2048</v>
      </c>
      <c r="B2049" s="10" t="s">
        <v>1600</v>
      </c>
      <c r="C2049" s="10" t="s">
        <v>1728</v>
      </c>
      <c r="D2049" s="62">
        <v>104</v>
      </c>
      <c r="E2049" s="61" t="s">
        <v>2893</v>
      </c>
      <c r="F2049" s="19" t="s">
        <v>2614</v>
      </c>
      <c r="G2049" s="10" t="s">
        <v>1278</v>
      </c>
      <c r="H2049" s="10" t="s">
        <v>2379</v>
      </c>
      <c r="I2049" s="62">
        <v>92</v>
      </c>
      <c r="J2049" s="10" t="s">
        <v>2372</v>
      </c>
      <c r="K2049" s="10" t="s">
        <v>847</v>
      </c>
      <c r="L2049" s="10" t="s">
        <v>2373</v>
      </c>
      <c r="M2049" s="10" t="s">
        <v>2372</v>
      </c>
      <c r="N2049" s="10" t="s">
        <v>2373</v>
      </c>
      <c r="O2049" s="10"/>
    </row>
    <row r="2050" spans="1:15" ht="18" customHeight="1" x14ac:dyDescent="0.3">
      <c r="A2050" s="24">
        <v>2049</v>
      </c>
      <c r="B2050" s="10" t="s">
        <v>1600</v>
      </c>
      <c r="C2050" s="10" t="s">
        <v>1728</v>
      </c>
      <c r="D2050" s="62">
        <v>104</v>
      </c>
      <c r="E2050" s="61" t="s">
        <v>2893</v>
      </c>
      <c r="F2050" s="19" t="s">
        <v>2614</v>
      </c>
      <c r="G2050" s="10" t="s">
        <v>1278</v>
      </c>
      <c r="H2050" s="10" t="s">
        <v>2380</v>
      </c>
      <c r="I2050" s="62">
        <v>90</v>
      </c>
      <c r="J2050" s="10" t="s">
        <v>2372</v>
      </c>
      <c r="K2050" s="10" t="s">
        <v>847</v>
      </c>
      <c r="L2050" s="10" t="s">
        <v>2373</v>
      </c>
      <c r="M2050" s="10" t="s">
        <v>2372</v>
      </c>
      <c r="N2050" s="10" t="s">
        <v>2373</v>
      </c>
      <c r="O2050" s="10" t="s">
        <v>2615</v>
      </c>
    </row>
    <row r="2051" spans="1:15" ht="18" customHeight="1" x14ac:dyDescent="0.3">
      <c r="A2051" s="24">
        <v>2050</v>
      </c>
      <c r="B2051" s="10" t="s">
        <v>1600</v>
      </c>
      <c r="C2051" s="10" t="s">
        <v>1728</v>
      </c>
      <c r="D2051" s="62">
        <v>104</v>
      </c>
      <c r="E2051" s="61" t="s">
        <v>2893</v>
      </c>
      <c r="F2051" s="19" t="s">
        <v>2614</v>
      </c>
      <c r="G2051" s="10" t="s">
        <v>1278</v>
      </c>
      <c r="H2051" s="10" t="s">
        <v>2390</v>
      </c>
      <c r="I2051" s="62">
        <v>91</v>
      </c>
      <c r="J2051" s="10" t="s">
        <v>2372</v>
      </c>
      <c r="K2051" s="10" t="s">
        <v>847</v>
      </c>
      <c r="L2051" s="10" t="s">
        <v>2373</v>
      </c>
      <c r="M2051" s="10" t="s">
        <v>2372</v>
      </c>
      <c r="N2051" s="10" t="s">
        <v>2373</v>
      </c>
      <c r="O2051" s="10" t="s">
        <v>2615</v>
      </c>
    </row>
    <row r="2052" spans="1:15" ht="18" customHeight="1" x14ac:dyDescent="0.3">
      <c r="A2052" s="24">
        <v>2051</v>
      </c>
      <c r="B2052" s="10" t="s">
        <v>51</v>
      </c>
      <c r="C2052" s="10" t="s">
        <v>66</v>
      </c>
      <c r="D2052" s="62">
        <v>105</v>
      </c>
      <c r="E2052" s="61" t="s">
        <v>2894</v>
      </c>
      <c r="F2052" s="11" t="s">
        <v>575</v>
      </c>
      <c r="G2052" s="10" t="s">
        <v>160</v>
      </c>
      <c r="H2052" s="10" t="s">
        <v>845</v>
      </c>
      <c r="I2052" s="171">
        <v>94</v>
      </c>
      <c r="J2052" s="10" t="s">
        <v>2372</v>
      </c>
      <c r="K2052" s="10" t="s">
        <v>847</v>
      </c>
      <c r="L2052" s="10" t="s">
        <v>2373</v>
      </c>
      <c r="M2052" s="10" t="s">
        <v>2372</v>
      </c>
      <c r="N2052" s="10" t="s">
        <v>2373</v>
      </c>
      <c r="O2052" s="10"/>
    </row>
    <row r="2053" spans="1:15" ht="18" customHeight="1" x14ac:dyDescent="0.3">
      <c r="A2053" s="24">
        <v>2052</v>
      </c>
      <c r="B2053" s="10" t="s">
        <v>51</v>
      </c>
      <c r="C2053" s="10" t="s">
        <v>66</v>
      </c>
      <c r="D2053" s="62">
        <v>105</v>
      </c>
      <c r="E2053" s="61" t="s">
        <v>2894</v>
      </c>
      <c r="F2053" s="11" t="s">
        <v>575</v>
      </c>
      <c r="G2053" s="10" t="s">
        <v>160</v>
      </c>
      <c r="H2053" s="10" t="s">
        <v>848</v>
      </c>
      <c r="I2053" s="171">
        <v>109</v>
      </c>
      <c r="J2053" s="10" t="s">
        <v>2374</v>
      </c>
      <c r="K2053" s="10" t="s">
        <v>847</v>
      </c>
      <c r="L2053" s="10" t="s">
        <v>2373</v>
      </c>
      <c r="M2053" s="10" t="s">
        <v>2372</v>
      </c>
      <c r="N2053" s="10" t="s">
        <v>2373</v>
      </c>
      <c r="O2053" s="10"/>
    </row>
    <row r="2054" spans="1:15" ht="18" customHeight="1" x14ac:dyDescent="0.3">
      <c r="A2054" s="24">
        <v>2053</v>
      </c>
      <c r="B2054" s="10" t="s">
        <v>51</v>
      </c>
      <c r="C2054" s="10" t="s">
        <v>66</v>
      </c>
      <c r="D2054" s="62">
        <v>105</v>
      </c>
      <c r="E2054" s="61" t="s">
        <v>2894</v>
      </c>
      <c r="F2054" s="11" t="s">
        <v>575</v>
      </c>
      <c r="G2054" s="10" t="s">
        <v>160</v>
      </c>
      <c r="H2054" s="10" t="s">
        <v>849</v>
      </c>
      <c r="I2054" s="171">
        <v>120</v>
      </c>
      <c r="J2054" s="10" t="s">
        <v>2372</v>
      </c>
      <c r="K2054" s="10" t="s">
        <v>847</v>
      </c>
      <c r="L2054" s="10" t="s">
        <v>2373</v>
      </c>
      <c r="M2054" s="10" t="s">
        <v>2372</v>
      </c>
      <c r="N2054" s="10" t="s">
        <v>2373</v>
      </c>
      <c r="O2054" s="10"/>
    </row>
    <row r="2055" spans="1:15" ht="18" customHeight="1" x14ac:dyDescent="0.3">
      <c r="A2055" s="24">
        <v>2054</v>
      </c>
      <c r="B2055" s="10" t="s">
        <v>51</v>
      </c>
      <c r="C2055" s="10" t="s">
        <v>66</v>
      </c>
      <c r="D2055" s="62">
        <v>105</v>
      </c>
      <c r="E2055" s="61" t="s">
        <v>2894</v>
      </c>
      <c r="F2055" s="11" t="s">
        <v>575</v>
      </c>
      <c r="G2055" s="10" t="s">
        <v>160</v>
      </c>
      <c r="H2055" s="10" t="s">
        <v>850</v>
      </c>
      <c r="I2055" s="171">
        <v>104</v>
      </c>
      <c r="J2055" s="10" t="s">
        <v>2372</v>
      </c>
      <c r="K2055" s="10" t="s">
        <v>847</v>
      </c>
      <c r="L2055" s="10" t="s">
        <v>2373</v>
      </c>
      <c r="M2055" s="10" t="s">
        <v>2372</v>
      </c>
      <c r="N2055" s="10" t="s">
        <v>2373</v>
      </c>
      <c r="O2055" s="10"/>
    </row>
    <row r="2056" spans="1:15" ht="18" customHeight="1" x14ac:dyDescent="0.3">
      <c r="A2056" s="24">
        <v>2055</v>
      </c>
      <c r="B2056" s="10" t="s">
        <v>51</v>
      </c>
      <c r="C2056" s="10" t="s">
        <v>66</v>
      </c>
      <c r="D2056" s="62">
        <v>105</v>
      </c>
      <c r="E2056" s="61" t="s">
        <v>2894</v>
      </c>
      <c r="F2056" s="11" t="s">
        <v>575</v>
      </c>
      <c r="G2056" s="10" t="s">
        <v>160</v>
      </c>
      <c r="H2056" s="10" t="s">
        <v>851</v>
      </c>
      <c r="I2056" s="171">
        <v>120</v>
      </c>
      <c r="J2056" s="10" t="s">
        <v>2372</v>
      </c>
      <c r="K2056" s="10" t="s">
        <v>847</v>
      </c>
      <c r="L2056" s="10" t="s">
        <v>2373</v>
      </c>
      <c r="M2056" s="10" t="s">
        <v>2372</v>
      </c>
      <c r="N2056" s="10" t="s">
        <v>2373</v>
      </c>
      <c r="O2056" s="10"/>
    </row>
    <row r="2057" spans="1:15" ht="18" customHeight="1" x14ac:dyDescent="0.3">
      <c r="A2057" s="24">
        <v>2056</v>
      </c>
      <c r="B2057" s="10" t="s">
        <v>51</v>
      </c>
      <c r="C2057" s="10" t="s">
        <v>66</v>
      </c>
      <c r="D2057" s="62">
        <v>105</v>
      </c>
      <c r="E2057" s="61" t="s">
        <v>2894</v>
      </c>
      <c r="F2057" s="11" t="s">
        <v>575</v>
      </c>
      <c r="G2057" s="10" t="s">
        <v>160</v>
      </c>
      <c r="H2057" s="10" t="s">
        <v>852</v>
      </c>
      <c r="I2057" s="171">
        <v>74</v>
      </c>
      <c r="J2057" s="10" t="s">
        <v>2372</v>
      </c>
      <c r="K2057" s="10" t="s">
        <v>847</v>
      </c>
      <c r="L2057" s="10" t="s">
        <v>2373</v>
      </c>
      <c r="M2057" s="10" t="s">
        <v>2372</v>
      </c>
      <c r="N2057" s="10" t="s">
        <v>2373</v>
      </c>
      <c r="O2057" s="10"/>
    </row>
    <row r="2058" spans="1:15" ht="18" customHeight="1" x14ac:dyDescent="0.3">
      <c r="A2058" s="24">
        <v>2057</v>
      </c>
      <c r="B2058" s="10" t="s">
        <v>51</v>
      </c>
      <c r="C2058" s="10" t="s">
        <v>66</v>
      </c>
      <c r="D2058" s="62">
        <v>105</v>
      </c>
      <c r="E2058" s="61" t="s">
        <v>225</v>
      </c>
      <c r="F2058" s="9" t="s">
        <v>577</v>
      </c>
      <c r="G2058" s="10" t="s">
        <v>150</v>
      </c>
      <c r="H2058" s="10" t="s">
        <v>845</v>
      </c>
      <c r="I2058" s="62">
        <v>149</v>
      </c>
      <c r="J2058" s="8" t="s">
        <v>2372</v>
      </c>
      <c r="K2058" s="10" t="s">
        <v>847</v>
      </c>
      <c r="L2058" s="10" t="s">
        <v>2373</v>
      </c>
      <c r="M2058" s="10" t="s">
        <v>2372</v>
      </c>
      <c r="N2058" s="10" t="s">
        <v>2373</v>
      </c>
      <c r="O2058" s="10"/>
    </row>
    <row r="2059" spans="1:15" ht="18" customHeight="1" x14ac:dyDescent="0.3">
      <c r="A2059" s="24">
        <v>2058</v>
      </c>
      <c r="B2059" s="10" t="s">
        <v>51</v>
      </c>
      <c r="C2059" s="10" t="s">
        <v>66</v>
      </c>
      <c r="D2059" s="62">
        <v>105</v>
      </c>
      <c r="E2059" s="61" t="s">
        <v>225</v>
      </c>
      <c r="F2059" s="9" t="s">
        <v>577</v>
      </c>
      <c r="G2059" s="10" t="s">
        <v>150</v>
      </c>
      <c r="H2059" s="10" t="s">
        <v>848</v>
      </c>
      <c r="I2059" s="62">
        <v>149</v>
      </c>
      <c r="J2059" s="8" t="s">
        <v>2372</v>
      </c>
      <c r="K2059" s="10" t="s">
        <v>847</v>
      </c>
      <c r="L2059" s="10" t="s">
        <v>2373</v>
      </c>
      <c r="M2059" s="10" t="s">
        <v>2372</v>
      </c>
      <c r="N2059" s="10" t="s">
        <v>2373</v>
      </c>
      <c r="O2059" s="10"/>
    </row>
    <row r="2060" spans="1:15" ht="18" customHeight="1" x14ac:dyDescent="0.3">
      <c r="A2060" s="24">
        <v>2059</v>
      </c>
      <c r="B2060" s="10" t="s">
        <v>51</v>
      </c>
      <c r="C2060" s="10" t="s">
        <v>66</v>
      </c>
      <c r="D2060" s="62">
        <v>105</v>
      </c>
      <c r="E2060" s="61" t="s">
        <v>225</v>
      </c>
      <c r="F2060" s="9" t="s">
        <v>577</v>
      </c>
      <c r="G2060" s="10" t="s">
        <v>150</v>
      </c>
      <c r="H2060" s="10" t="s">
        <v>849</v>
      </c>
      <c r="I2060" s="62">
        <v>149</v>
      </c>
      <c r="J2060" s="8" t="s">
        <v>2372</v>
      </c>
      <c r="K2060" s="10" t="s">
        <v>847</v>
      </c>
      <c r="L2060" s="10" t="s">
        <v>2373</v>
      </c>
      <c r="M2060" s="10" t="s">
        <v>2372</v>
      </c>
      <c r="N2060" s="10" t="s">
        <v>2373</v>
      </c>
      <c r="O2060" s="10"/>
    </row>
    <row r="2061" spans="1:15" ht="18" customHeight="1" x14ac:dyDescent="0.3">
      <c r="A2061" s="24">
        <v>2060</v>
      </c>
      <c r="B2061" s="10" t="s">
        <v>51</v>
      </c>
      <c r="C2061" s="10" t="s">
        <v>66</v>
      </c>
      <c r="D2061" s="62">
        <v>105</v>
      </c>
      <c r="E2061" s="61" t="s">
        <v>225</v>
      </c>
      <c r="F2061" s="9" t="s">
        <v>577</v>
      </c>
      <c r="G2061" s="10" t="s">
        <v>150</v>
      </c>
      <c r="H2061" s="10" t="s">
        <v>850</v>
      </c>
      <c r="I2061" s="62">
        <v>105</v>
      </c>
      <c r="J2061" s="8" t="s">
        <v>846</v>
      </c>
      <c r="K2061" s="10" t="s">
        <v>847</v>
      </c>
      <c r="L2061" s="10" t="s">
        <v>2373</v>
      </c>
      <c r="M2061" s="10" t="s">
        <v>2372</v>
      </c>
      <c r="N2061" s="10" t="s">
        <v>2373</v>
      </c>
      <c r="O2061" s="10"/>
    </row>
    <row r="2062" spans="1:15" ht="18" customHeight="1" x14ac:dyDescent="0.3">
      <c r="A2062" s="24">
        <v>2061</v>
      </c>
      <c r="B2062" s="10" t="s">
        <v>51</v>
      </c>
      <c r="C2062" s="10" t="s">
        <v>66</v>
      </c>
      <c r="D2062" s="62">
        <v>105</v>
      </c>
      <c r="E2062" s="61" t="s">
        <v>225</v>
      </c>
      <c r="F2062" s="9" t="s">
        <v>577</v>
      </c>
      <c r="G2062" s="10" t="s">
        <v>150</v>
      </c>
      <c r="H2062" s="10" t="s">
        <v>851</v>
      </c>
      <c r="I2062" s="62">
        <v>87</v>
      </c>
      <c r="J2062" s="8" t="s">
        <v>2372</v>
      </c>
      <c r="K2062" s="10" t="s">
        <v>847</v>
      </c>
      <c r="L2062" s="10" t="s">
        <v>2373</v>
      </c>
      <c r="M2062" s="10" t="s">
        <v>2372</v>
      </c>
      <c r="N2062" s="10" t="s">
        <v>2373</v>
      </c>
      <c r="O2062" s="10"/>
    </row>
    <row r="2063" spans="1:15" ht="18" customHeight="1" x14ac:dyDescent="0.3">
      <c r="A2063" s="24">
        <v>2062</v>
      </c>
      <c r="B2063" s="10" t="s">
        <v>51</v>
      </c>
      <c r="C2063" s="10" t="s">
        <v>66</v>
      </c>
      <c r="D2063" s="62">
        <v>105</v>
      </c>
      <c r="E2063" s="61" t="s">
        <v>225</v>
      </c>
      <c r="F2063" s="9" t="s">
        <v>577</v>
      </c>
      <c r="G2063" s="10" t="s">
        <v>150</v>
      </c>
      <c r="H2063" s="10" t="s">
        <v>852</v>
      </c>
      <c r="I2063" s="62">
        <v>162</v>
      </c>
      <c r="J2063" s="8" t="s">
        <v>2372</v>
      </c>
      <c r="K2063" s="10" t="s">
        <v>847</v>
      </c>
      <c r="L2063" s="10" t="s">
        <v>2373</v>
      </c>
      <c r="M2063" s="10" t="s">
        <v>2372</v>
      </c>
      <c r="N2063" s="10" t="s">
        <v>2373</v>
      </c>
      <c r="O2063" s="10"/>
    </row>
    <row r="2064" spans="1:15" ht="18" customHeight="1" x14ac:dyDescent="0.3">
      <c r="A2064" s="24">
        <v>2063</v>
      </c>
      <c r="B2064" s="10" t="s">
        <v>51</v>
      </c>
      <c r="C2064" s="10" t="s">
        <v>66</v>
      </c>
      <c r="D2064" s="62">
        <v>105</v>
      </c>
      <c r="E2064" s="61" t="s">
        <v>225</v>
      </c>
      <c r="F2064" s="9" t="s">
        <v>577</v>
      </c>
      <c r="G2064" s="10" t="s">
        <v>150</v>
      </c>
      <c r="H2064" s="10" t="s">
        <v>853</v>
      </c>
      <c r="I2064" s="62">
        <v>179</v>
      </c>
      <c r="J2064" s="8" t="s">
        <v>846</v>
      </c>
      <c r="K2064" s="10" t="s">
        <v>847</v>
      </c>
      <c r="L2064" s="10" t="s">
        <v>2373</v>
      </c>
      <c r="M2064" s="10" t="s">
        <v>2372</v>
      </c>
      <c r="N2064" s="10" t="s">
        <v>2373</v>
      </c>
      <c r="O2064" s="10"/>
    </row>
    <row r="2065" spans="1:15" ht="18" customHeight="1" x14ac:dyDescent="0.3">
      <c r="A2065" s="24">
        <v>2064</v>
      </c>
      <c r="B2065" s="10" t="s">
        <v>1600</v>
      </c>
      <c r="C2065" s="10" t="s">
        <v>1734</v>
      </c>
      <c r="D2065" s="62">
        <v>105</v>
      </c>
      <c r="E2065" s="61" t="s">
        <v>2616</v>
      </c>
      <c r="F2065" s="16" t="s">
        <v>1736</v>
      </c>
      <c r="G2065" s="8" t="s">
        <v>1264</v>
      </c>
      <c r="H2065" s="10" t="s">
        <v>2617</v>
      </c>
      <c r="I2065" s="62">
        <v>74</v>
      </c>
      <c r="J2065" s="10" t="s">
        <v>2372</v>
      </c>
      <c r="K2065" s="10" t="s">
        <v>2374</v>
      </c>
      <c r="L2065" s="10" t="s">
        <v>1422</v>
      </c>
      <c r="M2065" s="10" t="s">
        <v>2372</v>
      </c>
      <c r="N2065" s="10" t="s">
        <v>2373</v>
      </c>
      <c r="O2065" s="10"/>
    </row>
    <row r="2066" spans="1:15" ht="18" customHeight="1" x14ac:dyDescent="0.3">
      <c r="A2066" s="24">
        <v>2065</v>
      </c>
      <c r="B2066" s="10" t="s">
        <v>1600</v>
      </c>
      <c r="C2066" s="10" t="s">
        <v>1734</v>
      </c>
      <c r="D2066" s="62">
        <v>105</v>
      </c>
      <c r="E2066" s="61" t="s">
        <v>2616</v>
      </c>
      <c r="F2066" s="16" t="s">
        <v>1736</v>
      </c>
      <c r="G2066" s="8" t="s">
        <v>1264</v>
      </c>
      <c r="H2066" s="10" t="s">
        <v>2548</v>
      </c>
      <c r="I2066" s="62">
        <v>78</v>
      </c>
      <c r="J2066" s="10" t="s">
        <v>2372</v>
      </c>
      <c r="K2066" s="10" t="s">
        <v>2374</v>
      </c>
      <c r="L2066" s="10" t="s">
        <v>1422</v>
      </c>
      <c r="M2066" s="10" t="s">
        <v>2372</v>
      </c>
      <c r="N2066" s="10" t="s">
        <v>2373</v>
      </c>
      <c r="O2066" s="10"/>
    </row>
    <row r="2067" spans="1:15" ht="18" customHeight="1" x14ac:dyDescent="0.3">
      <c r="A2067" s="24">
        <v>2066</v>
      </c>
      <c r="B2067" s="10" t="s">
        <v>1600</v>
      </c>
      <c r="C2067" s="10" t="s">
        <v>1734</v>
      </c>
      <c r="D2067" s="62">
        <v>105</v>
      </c>
      <c r="E2067" s="61" t="s">
        <v>2616</v>
      </c>
      <c r="F2067" s="16" t="s">
        <v>1736</v>
      </c>
      <c r="G2067" s="8" t="s">
        <v>1264</v>
      </c>
      <c r="H2067" s="10" t="s">
        <v>2618</v>
      </c>
      <c r="I2067" s="62">
        <v>56</v>
      </c>
      <c r="J2067" s="10" t="s">
        <v>2372</v>
      </c>
      <c r="K2067" s="10" t="s">
        <v>2374</v>
      </c>
      <c r="L2067" s="10" t="s">
        <v>1422</v>
      </c>
      <c r="M2067" s="10" t="s">
        <v>2372</v>
      </c>
      <c r="N2067" s="10" t="s">
        <v>2373</v>
      </c>
      <c r="O2067" s="10"/>
    </row>
    <row r="2068" spans="1:15" ht="18" customHeight="1" x14ac:dyDescent="0.3">
      <c r="A2068" s="24">
        <v>2067</v>
      </c>
      <c r="B2068" s="10" t="s">
        <v>1600</v>
      </c>
      <c r="C2068" s="10" t="s">
        <v>1734</v>
      </c>
      <c r="D2068" s="62">
        <v>105</v>
      </c>
      <c r="E2068" s="61" t="s">
        <v>2616</v>
      </c>
      <c r="F2068" s="16" t="s">
        <v>1736</v>
      </c>
      <c r="G2068" s="8" t="s">
        <v>1264</v>
      </c>
      <c r="H2068" s="10" t="s">
        <v>2619</v>
      </c>
      <c r="I2068" s="62">
        <v>91</v>
      </c>
      <c r="J2068" s="10" t="s">
        <v>2372</v>
      </c>
      <c r="K2068" s="10" t="s">
        <v>2374</v>
      </c>
      <c r="L2068" s="10" t="s">
        <v>1422</v>
      </c>
      <c r="M2068" s="10" t="s">
        <v>2372</v>
      </c>
      <c r="N2068" s="10" t="s">
        <v>2373</v>
      </c>
      <c r="O2068" s="10"/>
    </row>
    <row r="2069" spans="1:15" ht="18" customHeight="1" x14ac:dyDescent="0.3">
      <c r="A2069" s="24">
        <v>2068</v>
      </c>
      <c r="B2069" s="10" t="s">
        <v>1600</v>
      </c>
      <c r="C2069" s="10" t="s">
        <v>1734</v>
      </c>
      <c r="D2069" s="62">
        <v>105</v>
      </c>
      <c r="E2069" s="61" t="s">
        <v>2616</v>
      </c>
      <c r="F2069" s="16" t="s">
        <v>1736</v>
      </c>
      <c r="G2069" s="8" t="s">
        <v>1264</v>
      </c>
      <c r="H2069" s="10" t="s">
        <v>2620</v>
      </c>
      <c r="I2069" s="62">
        <v>84</v>
      </c>
      <c r="J2069" s="10" t="s">
        <v>2372</v>
      </c>
      <c r="K2069" s="10" t="s">
        <v>2374</v>
      </c>
      <c r="L2069" s="10" t="s">
        <v>1422</v>
      </c>
      <c r="M2069" s="10" t="s">
        <v>2372</v>
      </c>
      <c r="N2069" s="10" t="s">
        <v>2373</v>
      </c>
      <c r="O2069" s="10"/>
    </row>
    <row r="2070" spans="1:15" ht="18" customHeight="1" x14ac:dyDescent="0.3">
      <c r="A2070" s="24">
        <v>2069</v>
      </c>
      <c r="B2070" s="10" t="s">
        <v>1600</v>
      </c>
      <c r="C2070" s="10" t="s">
        <v>1734</v>
      </c>
      <c r="D2070" s="62">
        <v>105</v>
      </c>
      <c r="E2070" s="61" t="s">
        <v>2616</v>
      </c>
      <c r="F2070" s="16" t="s">
        <v>1736</v>
      </c>
      <c r="G2070" s="8" t="s">
        <v>1264</v>
      </c>
      <c r="H2070" s="10" t="s">
        <v>2621</v>
      </c>
      <c r="I2070" s="62">
        <v>59</v>
      </c>
      <c r="J2070" s="10" t="s">
        <v>2372</v>
      </c>
      <c r="K2070" s="10" t="s">
        <v>2374</v>
      </c>
      <c r="L2070" s="10" t="s">
        <v>1422</v>
      </c>
      <c r="M2070" s="10" t="s">
        <v>2372</v>
      </c>
      <c r="N2070" s="10" t="s">
        <v>2373</v>
      </c>
      <c r="O2070" s="10"/>
    </row>
    <row r="2071" spans="1:15" ht="18" customHeight="1" x14ac:dyDescent="0.3">
      <c r="A2071" s="24">
        <v>2070</v>
      </c>
      <c r="B2071" s="10" t="s">
        <v>1600</v>
      </c>
      <c r="C2071" s="10" t="s">
        <v>1734</v>
      </c>
      <c r="D2071" s="62">
        <v>105</v>
      </c>
      <c r="E2071" s="61" t="s">
        <v>2616</v>
      </c>
      <c r="F2071" s="16" t="s">
        <v>1736</v>
      </c>
      <c r="G2071" s="8" t="s">
        <v>1264</v>
      </c>
      <c r="H2071" s="10" t="s">
        <v>2622</v>
      </c>
      <c r="I2071" s="62">
        <v>171</v>
      </c>
      <c r="J2071" s="10" t="s">
        <v>2372</v>
      </c>
      <c r="K2071" s="10" t="s">
        <v>2374</v>
      </c>
      <c r="L2071" s="10" t="s">
        <v>1422</v>
      </c>
      <c r="M2071" s="10" t="s">
        <v>2372</v>
      </c>
      <c r="N2071" s="10" t="s">
        <v>2373</v>
      </c>
      <c r="O2071" s="10"/>
    </row>
    <row r="2072" spans="1:15" ht="18" customHeight="1" x14ac:dyDescent="0.3">
      <c r="A2072" s="24">
        <v>2071</v>
      </c>
      <c r="B2072" s="10" t="s">
        <v>1600</v>
      </c>
      <c r="C2072" s="10" t="s">
        <v>1737</v>
      </c>
      <c r="D2072" s="62">
        <v>107</v>
      </c>
      <c r="E2072" s="61" t="s">
        <v>2895</v>
      </c>
      <c r="F2072" s="16" t="s">
        <v>1739</v>
      </c>
      <c r="G2072" s="10" t="s">
        <v>1278</v>
      </c>
      <c r="H2072" s="10" t="s">
        <v>2385</v>
      </c>
      <c r="I2072" s="62">
        <v>99</v>
      </c>
      <c r="J2072" s="10" t="s">
        <v>2372</v>
      </c>
      <c r="K2072" s="10" t="s">
        <v>2372</v>
      </c>
      <c r="L2072" s="10" t="s">
        <v>2373</v>
      </c>
      <c r="M2072" s="10" t="s">
        <v>2372</v>
      </c>
      <c r="N2072" s="10" t="s">
        <v>2373</v>
      </c>
      <c r="O2072" s="10"/>
    </row>
    <row r="2073" spans="1:15" ht="18" customHeight="1" x14ac:dyDescent="0.3">
      <c r="A2073" s="24">
        <v>2072</v>
      </c>
      <c r="B2073" s="10" t="s">
        <v>1600</v>
      </c>
      <c r="C2073" s="10" t="s">
        <v>1737</v>
      </c>
      <c r="D2073" s="62">
        <v>107</v>
      </c>
      <c r="E2073" s="61" t="s">
        <v>2895</v>
      </c>
      <c r="F2073" s="16" t="s">
        <v>1739</v>
      </c>
      <c r="G2073" s="10" t="s">
        <v>1278</v>
      </c>
      <c r="H2073" s="10" t="s">
        <v>2378</v>
      </c>
      <c r="I2073" s="62">
        <v>95</v>
      </c>
      <c r="J2073" s="10" t="s">
        <v>2372</v>
      </c>
      <c r="K2073" s="10" t="s">
        <v>2372</v>
      </c>
      <c r="L2073" s="10" t="s">
        <v>2373</v>
      </c>
      <c r="M2073" s="10" t="s">
        <v>2372</v>
      </c>
      <c r="N2073" s="10" t="s">
        <v>2373</v>
      </c>
      <c r="O2073" s="10"/>
    </row>
    <row r="2074" spans="1:15" ht="18" customHeight="1" x14ac:dyDescent="0.3">
      <c r="A2074" s="24">
        <v>2073</v>
      </c>
      <c r="B2074" s="10" t="s">
        <v>1600</v>
      </c>
      <c r="C2074" s="10" t="s">
        <v>1737</v>
      </c>
      <c r="D2074" s="62">
        <v>107</v>
      </c>
      <c r="E2074" s="61" t="s">
        <v>2895</v>
      </c>
      <c r="F2074" s="16" t="s">
        <v>1739</v>
      </c>
      <c r="G2074" s="10" t="s">
        <v>1278</v>
      </c>
      <c r="H2074" s="10" t="s">
        <v>2379</v>
      </c>
      <c r="I2074" s="62">
        <v>210</v>
      </c>
      <c r="J2074" s="10" t="s">
        <v>2372</v>
      </c>
      <c r="K2074" s="10" t="s">
        <v>2372</v>
      </c>
      <c r="L2074" s="10" t="s">
        <v>2373</v>
      </c>
      <c r="M2074" s="10" t="s">
        <v>2372</v>
      </c>
      <c r="N2074" s="10" t="s">
        <v>2373</v>
      </c>
      <c r="O2074" s="10"/>
    </row>
    <row r="2075" spans="1:15" ht="18" customHeight="1" x14ac:dyDescent="0.3">
      <c r="A2075" s="24">
        <v>2074</v>
      </c>
      <c r="B2075" s="10" t="s">
        <v>1600</v>
      </c>
      <c r="C2075" s="10" t="s">
        <v>1737</v>
      </c>
      <c r="D2075" s="62">
        <v>107</v>
      </c>
      <c r="E2075" s="61" t="s">
        <v>2895</v>
      </c>
      <c r="F2075" s="16" t="s">
        <v>1739</v>
      </c>
      <c r="G2075" s="10" t="s">
        <v>1278</v>
      </c>
      <c r="H2075" s="10" t="s">
        <v>2380</v>
      </c>
      <c r="I2075" s="62">
        <v>95</v>
      </c>
      <c r="J2075" s="10" t="s">
        <v>2372</v>
      </c>
      <c r="K2075" s="10" t="s">
        <v>2372</v>
      </c>
      <c r="L2075" s="10" t="s">
        <v>2373</v>
      </c>
      <c r="M2075" s="10" t="s">
        <v>2372</v>
      </c>
      <c r="N2075" s="10" t="s">
        <v>2373</v>
      </c>
      <c r="O2075" s="10"/>
    </row>
    <row r="2076" spans="1:15" ht="18" customHeight="1" x14ac:dyDescent="0.3">
      <c r="A2076" s="24">
        <v>2075</v>
      </c>
      <c r="B2076" s="10" t="s">
        <v>1600</v>
      </c>
      <c r="C2076" s="10" t="s">
        <v>1737</v>
      </c>
      <c r="D2076" s="62">
        <v>107</v>
      </c>
      <c r="E2076" s="61" t="s">
        <v>2895</v>
      </c>
      <c r="F2076" s="16" t="s">
        <v>1739</v>
      </c>
      <c r="G2076" s="10" t="s">
        <v>1278</v>
      </c>
      <c r="H2076" s="10" t="s">
        <v>2390</v>
      </c>
      <c r="I2076" s="62">
        <v>40</v>
      </c>
      <c r="J2076" s="10" t="s">
        <v>2372</v>
      </c>
      <c r="K2076" s="10" t="s">
        <v>2372</v>
      </c>
      <c r="L2076" s="10" t="s">
        <v>2373</v>
      </c>
      <c r="M2076" s="10" t="s">
        <v>2372</v>
      </c>
      <c r="N2076" s="10" t="s">
        <v>2373</v>
      </c>
      <c r="O2076" s="10"/>
    </row>
    <row r="2077" spans="1:15" ht="18" customHeight="1" x14ac:dyDescent="0.3">
      <c r="A2077" s="24">
        <v>2076</v>
      </c>
      <c r="B2077" s="10" t="s">
        <v>1600</v>
      </c>
      <c r="C2077" s="10" t="s">
        <v>1737</v>
      </c>
      <c r="D2077" s="62">
        <v>107</v>
      </c>
      <c r="E2077" s="61" t="s">
        <v>2895</v>
      </c>
      <c r="F2077" s="16" t="s">
        <v>1739</v>
      </c>
      <c r="G2077" s="10" t="s">
        <v>1278</v>
      </c>
      <c r="H2077" s="10" t="s">
        <v>2382</v>
      </c>
      <c r="I2077" s="62">
        <v>222</v>
      </c>
      <c r="J2077" s="10" t="s">
        <v>2372</v>
      </c>
      <c r="K2077" s="10" t="s">
        <v>2372</v>
      </c>
      <c r="L2077" s="10" t="s">
        <v>2373</v>
      </c>
      <c r="M2077" s="10" t="s">
        <v>2372</v>
      </c>
      <c r="N2077" s="10" t="s">
        <v>2373</v>
      </c>
      <c r="O2077" s="10"/>
    </row>
    <row r="2078" spans="1:15" ht="18" customHeight="1" x14ac:dyDescent="0.3">
      <c r="A2078" s="24">
        <v>2077</v>
      </c>
      <c r="B2078" s="10" t="s">
        <v>1600</v>
      </c>
      <c r="C2078" s="10" t="s">
        <v>1737</v>
      </c>
      <c r="D2078" s="62">
        <v>107</v>
      </c>
      <c r="E2078" s="61" t="s">
        <v>2895</v>
      </c>
      <c r="F2078" s="16" t="s">
        <v>1739</v>
      </c>
      <c r="G2078" s="10" t="s">
        <v>1278</v>
      </c>
      <c r="H2078" s="10" t="s">
        <v>2431</v>
      </c>
      <c r="I2078" s="62">
        <v>114</v>
      </c>
      <c r="J2078" s="10" t="s">
        <v>2372</v>
      </c>
      <c r="K2078" s="10" t="s">
        <v>2372</v>
      </c>
      <c r="L2078" s="10" t="s">
        <v>2373</v>
      </c>
      <c r="M2078" s="10" t="s">
        <v>2372</v>
      </c>
      <c r="N2078" s="10" t="s">
        <v>2373</v>
      </c>
      <c r="O2078" s="10"/>
    </row>
    <row r="2079" spans="1:15" ht="18" customHeight="1" x14ac:dyDescent="0.3">
      <c r="A2079" s="24">
        <v>2078</v>
      </c>
      <c r="B2079" s="10" t="s">
        <v>51</v>
      </c>
      <c r="C2079" s="10" t="s">
        <v>67</v>
      </c>
      <c r="D2079" s="62">
        <v>107</v>
      </c>
      <c r="E2079" s="61" t="s">
        <v>863</v>
      </c>
      <c r="F2079" s="16" t="s">
        <v>663</v>
      </c>
      <c r="G2079" s="10" t="s">
        <v>160</v>
      </c>
      <c r="H2079" s="10" t="s">
        <v>845</v>
      </c>
      <c r="I2079" s="62">
        <v>42</v>
      </c>
      <c r="J2079" s="10" t="s">
        <v>2372</v>
      </c>
      <c r="K2079" s="10" t="s">
        <v>847</v>
      </c>
      <c r="L2079" s="10" t="s">
        <v>2373</v>
      </c>
      <c r="M2079" s="10" t="s">
        <v>2372</v>
      </c>
      <c r="N2079" s="10" t="s">
        <v>2373</v>
      </c>
      <c r="O2079" s="10"/>
    </row>
    <row r="2080" spans="1:15" ht="18" customHeight="1" x14ac:dyDescent="0.3">
      <c r="A2080" s="24">
        <v>2079</v>
      </c>
      <c r="B2080" s="10" t="s">
        <v>51</v>
      </c>
      <c r="C2080" s="10" t="s">
        <v>67</v>
      </c>
      <c r="D2080" s="62">
        <v>107</v>
      </c>
      <c r="E2080" s="61" t="s">
        <v>863</v>
      </c>
      <c r="F2080" s="16" t="s">
        <v>663</v>
      </c>
      <c r="G2080" s="10" t="s">
        <v>160</v>
      </c>
      <c r="H2080" s="10" t="s">
        <v>848</v>
      </c>
      <c r="I2080" s="62">
        <v>48</v>
      </c>
      <c r="J2080" s="10" t="s">
        <v>2372</v>
      </c>
      <c r="K2080" s="10" t="s">
        <v>847</v>
      </c>
      <c r="L2080" s="10" t="s">
        <v>2373</v>
      </c>
      <c r="M2080" s="10" t="s">
        <v>2372</v>
      </c>
      <c r="N2080" s="10" t="s">
        <v>2373</v>
      </c>
      <c r="O2080" s="10"/>
    </row>
    <row r="2081" spans="1:15" ht="18" customHeight="1" x14ac:dyDescent="0.3">
      <c r="A2081" s="24">
        <v>2080</v>
      </c>
      <c r="B2081" s="10" t="s">
        <v>51</v>
      </c>
      <c r="C2081" s="10" t="s">
        <v>67</v>
      </c>
      <c r="D2081" s="62">
        <v>107</v>
      </c>
      <c r="E2081" s="61" t="s">
        <v>863</v>
      </c>
      <c r="F2081" s="16" t="s">
        <v>663</v>
      </c>
      <c r="G2081" s="10" t="s">
        <v>160</v>
      </c>
      <c r="H2081" s="10" t="s">
        <v>849</v>
      </c>
      <c r="I2081" s="62">
        <v>72</v>
      </c>
      <c r="J2081" s="10" t="s">
        <v>2372</v>
      </c>
      <c r="K2081" s="10" t="s">
        <v>847</v>
      </c>
      <c r="L2081" s="10" t="s">
        <v>2373</v>
      </c>
      <c r="M2081" s="10" t="s">
        <v>2372</v>
      </c>
      <c r="N2081" s="10" t="s">
        <v>2373</v>
      </c>
      <c r="O2081" s="10"/>
    </row>
    <row r="2082" spans="1:15" ht="18" customHeight="1" x14ac:dyDescent="0.3">
      <c r="A2082" s="24">
        <v>2081</v>
      </c>
      <c r="B2082" s="10" t="s">
        <v>51</v>
      </c>
      <c r="C2082" s="10" t="s">
        <v>67</v>
      </c>
      <c r="D2082" s="62">
        <v>107</v>
      </c>
      <c r="E2082" s="61" t="s">
        <v>863</v>
      </c>
      <c r="F2082" s="16" t="s">
        <v>663</v>
      </c>
      <c r="G2082" s="10" t="s">
        <v>160</v>
      </c>
      <c r="H2082" s="10" t="s">
        <v>850</v>
      </c>
      <c r="I2082" s="62">
        <v>46</v>
      </c>
      <c r="J2082" s="10" t="s">
        <v>2372</v>
      </c>
      <c r="K2082" s="10" t="s">
        <v>847</v>
      </c>
      <c r="L2082" s="10" t="s">
        <v>2373</v>
      </c>
      <c r="M2082" s="10" t="s">
        <v>2372</v>
      </c>
      <c r="N2082" s="10" t="s">
        <v>2373</v>
      </c>
      <c r="O2082" s="10"/>
    </row>
    <row r="2083" spans="1:15" ht="18" customHeight="1" x14ac:dyDescent="0.3">
      <c r="A2083" s="24">
        <v>2082</v>
      </c>
      <c r="B2083" s="10" t="s">
        <v>51</v>
      </c>
      <c r="C2083" s="10" t="s">
        <v>67</v>
      </c>
      <c r="D2083" s="62">
        <v>107</v>
      </c>
      <c r="E2083" s="61" t="s">
        <v>863</v>
      </c>
      <c r="F2083" s="16" t="s">
        <v>663</v>
      </c>
      <c r="G2083" s="10" t="s">
        <v>160</v>
      </c>
      <c r="H2083" s="10" t="s">
        <v>851</v>
      </c>
      <c r="I2083" s="62">
        <v>42</v>
      </c>
      <c r="J2083" s="10" t="s">
        <v>2372</v>
      </c>
      <c r="K2083" s="10" t="s">
        <v>847</v>
      </c>
      <c r="L2083" s="10" t="s">
        <v>2373</v>
      </c>
      <c r="M2083" s="10" t="s">
        <v>2372</v>
      </c>
      <c r="N2083" s="10" t="s">
        <v>2373</v>
      </c>
      <c r="O2083" s="10"/>
    </row>
    <row r="2084" spans="1:15" ht="18" customHeight="1" x14ac:dyDescent="0.3">
      <c r="A2084" s="24">
        <v>2083</v>
      </c>
      <c r="B2084" s="10" t="s">
        <v>51</v>
      </c>
      <c r="C2084" s="10" t="s">
        <v>67</v>
      </c>
      <c r="D2084" s="62">
        <v>107</v>
      </c>
      <c r="E2084" s="61" t="s">
        <v>1741</v>
      </c>
      <c r="F2084" s="44" t="s">
        <v>1742</v>
      </c>
      <c r="G2084" s="24" t="s">
        <v>1278</v>
      </c>
      <c r="H2084" s="10" t="s">
        <v>2385</v>
      </c>
      <c r="I2084" s="62">
        <v>39</v>
      </c>
      <c r="J2084" s="8" t="s">
        <v>2372</v>
      </c>
      <c r="K2084" s="10" t="s">
        <v>2374</v>
      </c>
      <c r="L2084" s="10" t="s">
        <v>2229</v>
      </c>
      <c r="M2084" s="10" t="s">
        <v>2372</v>
      </c>
      <c r="N2084" s="10" t="s">
        <v>2373</v>
      </c>
      <c r="O2084" s="10"/>
    </row>
    <row r="2085" spans="1:15" ht="18" customHeight="1" x14ac:dyDescent="0.3">
      <c r="A2085" s="24">
        <v>2084</v>
      </c>
      <c r="B2085" s="10" t="s">
        <v>51</v>
      </c>
      <c r="C2085" s="10" t="s">
        <v>67</v>
      </c>
      <c r="D2085" s="62">
        <v>107</v>
      </c>
      <c r="E2085" s="61" t="s">
        <v>1741</v>
      </c>
      <c r="F2085" s="44" t="s">
        <v>1742</v>
      </c>
      <c r="G2085" s="24" t="s">
        <v>1278</v>
      </c>
      <c r="H2085" s="10" t="s">
        <v>2378</v>
      </c>
      <c r="I2085" s="62">
        <v>51</v>
      </c>
      <c r="J2085" s="8" t="s">
        <v>2372</v>
      </c>
      <c r="K2085" s="10" t="s">
        <v>2374</v>
      </c>
      <c r="L2085" s="10" t="s">
        <v>2229</v>
      </c>
      <c r="M2085" s="10" t="s">
        <v>2372</v>
      </c>
      <c r="N2085" s="10" t="s">
        <v>2373</v>
      </c>
      <c r="O2085" s="10"/>
    </row>
    <row r="2086" spans="1:15" ht="18" customHeight="1" x14ac:dyDescent="0.3">
      <c r="A2086" s="24">
        <v>2085</v>
      </c>
      <c r="B2086" s="10" t="s">
        <v>51</v>
      </c>
      <c r="C2086" s="10" t="s">
        <v>67</v>
      </c>
      <c r="D2086" s="62">
        <v>107</v>
      </c>
      <c r="E2086" s="61" t="s">
        <v>1741</v>
      </c>
      <c r="F2086" s="44" t="s">
        <v>1742</v>
      </c>
      <c r="G2086" s="24" t="s">
        <v>1278</v>
      </c>
      <c r="H2086" s="10" t="s">
        <v>2379</v>
      </c>
      <c r="I2086" s="62">
        <v>84</v>
      </c>
      <c r="J2086" s="8" t="s">
        <v>2372</v>
      </c>
      <c r="K2086" s="10" t="s">
        <v>2374</v>
      </c>
      <c r="L2086" s="10" t="s">
        <v>2229</v>
      </c>
      <c r="M2086" s="10" t="s">
        <v>2372</v>
      </c>
      <c r="N2086" s="10" t="s">
        <v>2373</v>
      </c>
      <c r="O2086" s="10"/>
    </row>
    <row r="2087" spans="1:15" ht="18" customHeight="1" x14ac:dyDescent="0.3">
      <c r="A2087" s="24">
        <v>2086</v>
      </c>
      <c r="B2087" s="10" t="s">
        <v>51</v>
      </c>
      <c r="C2087" s="10" t="s">
        <v>67</v>
      </c>
      <c r="D2087" s="62">
        <v>107</v>
      </c>
      <c r="E2087" s="61" t="s">
        <v>1741</v>
      </c>
      <c r="F2087" s="44" t="s">
        <v>1742</v>
      </c>
      <c r="G2087" s="24" t="s">
        <v>1278</v>
      </c>
      <c r="H2087" s="10" t="s">
        <v>2380</v>
      </c>
      <c r="I2087" s="62">
        <v>72</v>
      </c>
      <c r="J2087" s="8" t="s">
        <v>2372</v>
      </c>
      <c r="K2087" s="10" t="s">
        <v>2374</v>
      </c>
      <c r="L2087" s="10" t="s">
        <v>2229</v>
      </c>
      <c r="M2087" s="10" t="s">
        <v>2372</v>
      </c>
      <c r="N2087" s="10" t="s">
        <v>2373</v>
      </c>
      <c r="O2087" s="10"/>
    </row>
    <row r="2088" spans="1:15" ht="18" customHeight="1" x14ac:dyDescent="0.3">
      <c r="A2088" s="24">
        <v>2087</v>
      </c>
      <c r="B2088" s="10" t="s">
        <v>51</v>
      </c>
      <c r="C2088" s="10" t="s">
        <v>67</v>
      </c>
      <c r="D2088" s="62">
        <v>107</v>
      </c>
      <c r="E2088" s="61" t="s">
        <v>1741</v>
      </c>
      <c r="F2088" s="44" t="s">
        <v>1742</v>
      </c>
      <c r="G2088" s="24" t="s">
        <v>1278</v>
      </c>
      <c r="H2088" s="10" t="s">
        <v>2390</v>
      </c>
      <c r="I2088" s="62">
        <v>82</v>
      </c>
      <c r="J2088" s="8" t="s">
        <v>2374</v>
      </c>
      <c r="K2088" s="10" t="s">
        <v>2374</v>
      </c>
      <c r="L2088" s="10" t="s">
        <v>2229</v>
      </c>
      <c r="M2088" s="10" t="s">
        <v>2372</v>
      </c>
      <c r="N2088" s="10" t="s">
        <v>2373</v>
      </c>
      <c r="O2088" s="10"/>
    </row>
    <row r="2089" spans="1:15" ht="18" customHeight="1" x14ac:dyDescent="0.3">
      <c r="A2089" s="24">
        <v>2088</v>
      </c>
      <c r="B2089" s="10" t="s">
        <v>51</v>
      </c>
      <c r="C2089" s="10" t="s">
        <v>67</v>
      </c>
      <c r="D2089" s="62">
        <v>107</v>
      </c>
      <c r="E2089" s="61" t="s">
        <v>1741</v>
      </c>
      <c r="F2089" s="44" t="s">
        <v>1742</v>
      </c>
      <c r="G2089" s="24" t="s">
        <v>1278</v>
      </c>
      <c r="H2089" s="10" t="s">
        <v>2382</v>
      </c>
      <c r="I2089" s="62">
        <v>96</v>
      </c>
      <c r="J2089" s="8" t="s">
        <v>2372</v>
      </c>
      <c r="K2089" s="10" t="s">
        <v>2374</v>
      </c>
      <c r="L2089" s="10" t="s">
        <v>2229</v>
      </c>
      <c r="M2089" s="10" t="s">
        <v>2372</v>
      </c>
      <c r="N2089" s="10" t="s">
        <v>2373</v>
      </c>
      <c r="O2089" s="10"/>
    </row>
    <row r="2090" spans="1:15" ht="18" customHeight="1" x14ac:dyDescent="0.3">
      <c r="A2090" s="24">
        <v>2089</v>
      </c>
      <c r="B2090" s="10" t="s">
        <v>51</v>
      </c>
      <c r="C2090" s="10" t="s">
        <v>67</v>
      </c>
      <c r="D2090" s="62">
        <v>107</v>
      </c>
      <c r="E2090" s="61" t="s">
        <v>1741</v>
      </c>
      <c r="F2090" s="44" t="s">
        <v>1742</v>
      </c>
      <c r="G2090" s="24" t="s">
        <v>1278</v>
      </c>
      <c r="H2090" s="10" t="s">
        <v>2431</v>
      </c>
      <c r="I2090" s="62">
        <v>243</v>
      </c>
      <c r="J2090" s="8" t="s">
        <v>2372</v>
      </c>
      <c r="K2090" s="10" t="s">
        <v>847</v>
      </c>
      <c r="L2090" s="10" t="s">
        <v>2373</v>
      </c>
      <c r="M2090" s="10" t="s">
        <v>2372</v>
      </c>
      <c r="N2090" s="10" t="s">
        <v>2373</v>
      </c>
      <c r="O2090" s="10"/>
    </row>
    <row r="2091" spans="1:15" ht="18" customHeight="1" x14ac:dyDescent="0.3">
      <c r="A2091" s="24">
        <v>2090</v>
      </c>
      <c r="B2091" s="10" t="s">
        <v>51</v>
      </c>
      <c r="C2091" s="10" t="s">
        <v>67</v>
      </c>
      <c r="D2091" s="62">
        <v>107</v>
      </c>
      <c r="E2091" s="61" t="s">
        <v>1741</v>
      </c>
      <c r="F2091" s="44" t="s">
        <v>1742</v>
      </c>
      <c r="G2091" s="24" t="s">
        <v>1278</v>
      </c>
      <c r="H2091" s="10" t="s">
        <v>2383</v>
      </c>
      <c r="I2091" s="62">
        <v>223</v>
      </c>
      <c r="J2091" s="8" t="s">
        <v>2372</v>
      </c>
      <c r="K2091" s="10" t="s">
        <v>847</v>
      </c>
      <c r="L2091" s="10" t="s">
        <v>2373</v>
      </c>
      <c r="M2091" s="10" t="s">
        <v>2372</v>
      </c>
      <c r="N2091" s="10" t="s">
        <v>2373</v>
      </c>
      <c r="O2091" s="10"/>
    </row>
    <row r="2092" spans="1:15" ht="18" customHeight="1" x14ac:dyDescent="0.3">
      <c r="A2092" s="24">
        <v>2091</v>
      </c>
      <c r="B2092" s="10" t="s">
        <v>51</v>
      </c>
      <c r="C2092" s="10" t="s">
        <v>67</v>
      </c>
      <c r="D2092" s="62">
        <v>107</v>
      </c>
      <c r="E2092" s="61" t="s">
        <v>288</v>
      </c>
      <c r="F2092" s="16" t="s">
        <v>664</v>
      </c>
      <c r="G2092" s="10" t="s">
        <v>150</v>
      </c>
      <c r="H2092" s="10" t="s">
        <v>845</v>
      </c>
      <c r="I2092" s="62">
        <v>188</v>
      </c>
      <c r="J2092" s="10" t="s">
        <v>2374</v>
      </c>
      <c r="K2092" s="10" t="s">
        <v>847</v>
      </c>
      <c r="L2092" s="10" t="s">
        <v>2373</v>
      </c>
      <c r="M2092" s="10" t="s">
        <v>2372</v>
      </c>
      <c r="N2092" s="10" t="s">
        <v>2373</v>
      </c>
      <c r="O2092" s="10"/>
    </row>
    <row r="2093" spans="1:15" ht="18" customHeight="1" x14ac:dyDescent="0.3">
      <c r="A2093" s="24">
        <v>2092</v>
      </c>
      <c r="B2093" s="10" t="s">
        <v>51</v>
      </c>
      <c r="C2093" s="10" t="s">
        <v>67</v>
      </c>
      <c r="D2093" s="62">
        <v>107</v>
      </c>
      <c r="E2093" s="61" t="s">
        <v>288</v>
      </c>
      <c r="F2093" s="16" t="s">
        <v>664</v>
      </c>
      <c r="G2093" s="10" t="s">
        <v>150</v>
      </c>
      <c r="H2093" s="10" t="s">
        <v>848</v>
      </c>
      <c r="I2093" s="62">
        <v>188</v>
      </c>
      <c r="J2093" s="10" t="s">
        <v>2372</v>
      </c>
      <c r="K2093" s="10" t="s">
        <v>847</v>
      </c>
      <c r="L2093" s="10" t="s">
        <v>2373</v>
      </c>
      <c r="M2093" s="10" t="s">
        <v>2372</v>
      </c>
      <c r="N2093" s="10" t="s">
        <v>2373</v>
      </c>
      <c r="O2093" s="10"/>
    </row>
    <row r="2094" spans="1:15" ht="18" customHeight="1" x14ac:dyDescent="0.3">
      <c r="A2094" s="24">
        <v>2093</v>
      </c>
      <c r="B2094" s="10" t="s">
        <v>51</v>
      </c>
      <c r="C2094" s="10" t="s">
        <v>67</v>
      </c>
      <c r="D2094" s="62">
        <v>107</v>
      </c>
      <c r="E2094" s="61" t="s">
        <v>288</v>
      </c>
      <c r="F2094" s="16" t="s">
        <v>664</v>
      </c>
      <c r="G2094" s="10" t="s">
        <v>150</v>
      </c>
      <c r="H2094" s="10" t="s">
        <v>849</v>
      </c>
      <c r="I2094" s="62">
        <v>188</v>
      </c>
      <c r="J2094" s="10" t="s">
        <v>2372</v>
      </c>
      <c r="K2094" s="10" t="s">
        <v>847</v>
      </c>
      <c r="L2094" s="10" t="s">
        <v>2373</v>
      </c>
      <c r="M2094" s="10" t="s">
        <v>2372</v>
      </c>
      <c r="N2094" s="10" t="s">
        <v>2373</v>
      </c>
      <c r="O2094" s="10"/>
    </row>
    <row r="2095" spans="1:15" ht="18" customHeight="1" x14ac:dyDescent="0.3">
      <c r="A2095" s="24">
        <v>2094</v>
      </c>
      <c r="B2095" s="10" t="s">
        <v>51</v>
      </c>
      <c r="C2095" s="10" t="s">
        <v>67</v>
      </c>
      <c r="D2095" s="62">
        <v>107</v>
      </c>
      <c r="E2095" s="61" t="s">
        <v>288</v>
      </c>
      <c r="F2095" s="16" t="s">
        <v>664</v>
      </c>
      <c r="G2095" s="10" t="s">
        <v>150</v>
      </c>
      <c r="H2095" s="10" t="s">
        <v>850</v>
      </c>
      <c r="I2095" s="62">
        <v>152</v>
      </c>
      <c r="J2095" s="10" t="s">
        <v>2372</v>
      </c>
      <c r="K2095" s="10" t="s">
        <v>847</v>
      </c>
      <c r="L2095" s="10" t="s">
        <v>2373</v>
      </c>
      <c r="M2095" s="10" t="s">
        <v>2372</v>
      </c>
      <c r="N2095" s="10" t="s">
        <v>2373</v>
      </c>
      <c r="O2095" s="10"/>
    </row>
    <row r="2096" spans="1:15" ht="18" customHeight="1" x14ac:dyDescent="0.3">
      <c r="A2096" s="24">
        <v>2095</v>
      </c>
      <c r="B2096" s="10" t="s">
        <v>51</v>
      </c>
      <c r="C2096" s="10" t="s">
        <v>67</v>
      </c>
      <c r="D2096" s="62">
        <v>107</v>
      </c>
      <c r="E2096" s="61" t="s">
        <v>288</v>
      </c>
      <c r="F2096" s="16" t="s">
        <v>664</v>
      </c>
      <c r="G2096" s="10" t="s">
        <v>150</v>
      </c>
      <c r="H2096" s="10" t="s">
        <v>851</v>
      </c>
      <c r="I2096" s="62">
        <v>116</v>
      </c>
      <c r="J2096" s="10" t="s">
        <v>2372</v>
      </c>
      <c r="K2096" s="10" t="s">
        <v>847</v>
      </c>
      <c r="L2096" s="10" t="s">
        <v>2373</v>
      </c>
      <c r="M2096" s="10" t="s">
        <v>2372</v>
      </c>
      <c r="N2096" s="10" t="s">
        <v>2373</v>
      </c>
      <c r="O2096" s="10"/>
    </row>
    <row r="2097" spans="1:15" ht="18" customHeight="1" x14ac:dyDescent="0.3">
      <c r="A2097" s="24">
        <v>2096</v>
      </c>
      <c r="B2097" s="10" t="s">
        <v>51</v>
      </c>
      <c r="C2097" s="10" t="s">
        <v>67</v>
      </c>
      <c r="D2097" s="62">
        <v>107</v>
      </c>
      <c r="E2097" s="61" t="s">
        <v>288</v>
      </c>
      <c r="F2097" s="16" t="s">
        <v>664</v>
      </c>
      <c r="G2097" s="10" t="s">
        <v>150</v>
      </c>
      <c r="H2097" s="10" t="s">
        <v>852</v>
      </c>
      <c r="I2097" s="62">
        <v>187</v>
      </c>
      <c r="J2097" s="10" t="s">
        <v>2372</v>
      </c>
      <c r="K2097" s="10" t="s">
        <v>847</v>
      </c>
      <c r="L2097" s="10" t="s">
        <v>2373</v>
      </c>
      <c r="M2097" s="10" t="s">
        <v>2372</v>
      </c>
      <c r="N2097" s="10" t="s">
        <v>2373</v>
      </c>
      <c r="O2097" s="10"/>
    </row>
    <row r="2098" spans="1:15" ht="18" customHeight="1" x14ac:dyDescent="0.3">
      <c r="A2098" s="24">
        <v>2097</v>
      </c>
      <c r="B2098" s="10" t="s">
        <v>51</v>
      </c>
      <c r="C2098" s="10" t="s">
        <v>67</v>
      </c>
      <c r="D2098" s="62">
        <v>107</v>
      </c>
      <c r="E2098" s="61" t="s">
        <v>288</v>
      </c>
      <c r="F2098" s="16" t="s">
        <v>664</v>
      </c>
      <c r="G2098" s="10" t="s">
        <v>150</v>
      </c>
      <c r="H2098" s="10" t="s">
        <v>2423</v>
      </c>
      <c r="I2098" s="62">
        <v>40</v>
      </c>
      <c r="J2098" s="10" t="s">
        <v>2372</v>
      </c>
      <c r="K2098" s="10" t="s">
        <v>846</v>
      </c>
      <c r="L2098" s="10" t="s">
        <v>2422</v>
      </c>
      <c r="M2098" s="10" t="s">
        <v>2372</v>
      </c>
      <c r="N2098" s="10" t="s">
        <v>2373</v>
      </c>
      <c r="O2098" s="10"/>
    </row>
    <row r="2099" spans="1:15" ht="18" customHeight="1" x14ac:dyDescent="0.3">
      <c r="A2099" s="24">
        <v>2098</v>
      </c>
      <c r="B2099" s="10" t="s">
        <v>51</v>
      </c>
      <c r="C2099" s="10" t="s">
        <v>67</v>
      </c>
      <c r="D2099" s="62">
        <v>107</v>
      </c>
      <c r="E2099" s="61" t="s">
        <v>288</v>
      </c>
      <c r="F2099" s="16" t="s">
        <v>664</v>
      </c>
      <c r="G2099" s="10" t="s">
        <v>150</v>
      </c>
      <c r="H2099" s="10" t="s">
        <v>1146</v>
      </c>
      <c r="I2099" s="62">
        <v>62</v>
      </c>
      <c r="J2099" s="10" t="s">
        <v>2372</v>
      </c>
      <c r="K2099" s="10" t="s">
        <v>846</v>
      </c>
      <c r="L2099" s="10" t="s">
        <v>2484</v>
      </c>
      <c r="M2099" s="10" t="s">
        <v>2372</v>
      </c>
      <c r="N2099" s="10" t="s">
        <v>2373</v>
      </c>
      <c r="O2099" s="10"/>
    </row>
    <row r="2100" spans="1:15" ht="18" customHeight="1" x14ac:dyDescent="0.3">
      <c r="A2100" s="24">
        <v>2099</v>
      </c>
      <c r="B2100" s="10" t="s">
        <v>51</v>
      </c>
      <c r="C2100" s="10" t="s">
        <v>67</v>
      </c>
      <c r="D2100" s="62">
        <v>107</v>
      </c>
      <c r="E2100" s="61" t="s">
        <v>288</v>
      </c>
      <c r="F2100" s="16" t="s">
        <v>664</v>
      </c>
      <c r="G2100" s="10" t="s">
        <v>150</v>
      </c>
      <c r="H2100" s="10" t="s">
        <v>2623</v>
      </c>
      <c r="I2100" s="62">
        <v>32</v>
      </c>
      <c r="J2100" s="10" t="s">
        <v>2372</v>
      </c>
      <c r="K2100" s="10" t="s">
        <v>846</v>
      </c>
      <c r="L2100" s="10" t="s">
        <v>2532</v>
      </c>
      <c r="M2100" s="10" t="s">
        <v>2372</v>
      </c>
      <c r="N2100" s="10" t="s">
        <v>2373</v>
      </c>
      <c r="O2100" s="10"/>
    </row>
    <row r="2101" spans="1:15" ht="18" customHeight="1" x14ac:dyDescent="0.3">
      <c r="A2101" s="24">
        <v>2100</v>
      </c>
      <c r="B2101" s="10" t="s">
        <v>51</v>
      </c>
      <c r="C2101" s="10" t="s">
        <v>67</v>
      </c>
      <c r="D2101" s="62">
        <v>107</v>
      </c>
      <c r="E2101" s="61" t="s">
        <v>288</v>
      </c>
      <c r="F2101" s="16" t="s">
        <v>664</v>
      </c>
      <c r="G2101" s="10" t="s">
        <v>150</v>
      </c>
      <c r="H2101" s="10" t="s">
        <v>2624</v>
      </c>
      <c r="I2101" s="62">
        <v>32</v>
      </c>
      <c r="J2101" s="10" t="s">
        <v>2372</v>
      </c>
      <c r="K2101" s="10" t="s">
        <v>846</v>
      </c>
      <c r="L2101" s="10" t="s">
        <v>2532</v>
      </c>
      <c r="M2101" s="10" t="s">
        <v>2372</v>
      </c>
      <c r="N2101" s="10" t="s">
        <v>2373</v>
      </c>
      <c r="O2101" s="10"/>
    </row>
    <row r="2102" spans="1:15" ht="18" customHeight="1" x14ac:dyDescent="0.3">
      <c r="A2102" s="24">
        <v>2101</v>
      </c>
      <c r="B2102" s="10" t="s">
        <v>51</v>
      </c>
      <c r="C2102" s="10" t="s">
        <v>67</v>
      </c>
      <c r="D2102" s="62">
        <v>107</v>
      </c>
      <c r="E2102" s="61" t="s">
        <v>288</v>
      </c>
      <c r="F2102" s="16" t="s">
        <v>664</v>
      </c>
      <c r="G2102" s="10" t="s">
        <v>150</v>
      </c>
      <c r="H2102" s="173" t="s">
        <v>3474</v>
      </c>
      <c r="I2102" s="62">
        <v>338</v>
      </c>
      <c r="J2102" s="10" t="s">
        <v>2374</v>
      </c>
      <c r="K2102" s="10" t="s">
        <v>846</v>
      </c>
      <c r="L2102" s="173" t="s">
        <v>3196</v>
      </c>
      <c r="M2102" s="10" t="s">
        <v>2372</v>
      </c>
      <c r="N2102" s="10" t="s">
        <v>2373</v>
      </c>
      <c r="O2102" s="10"/>
    </row>
    <row r="2103" spans="1:15" ht="18" customHeight="1" x14ac:dyDescent="0.3">
      <c r="A2103" s="24">
        <v>2102</v>
      </c>
      <c r="B2103" s="10" t="s">
        <v>51</v>
      </c>
      <c r="C2103" s="10" t="s">
        <v>67</v>
      </c>
      <c r="D2103" s="62">
        <v>107</v>
      </c>
      <c r="E2103" s="61" t="s">
        <v>2896</v>
      </c>
      <c r="F2103" s="16" t="s">
        <v>661</v>
      </c>
      <c r="G2103" s="10" t="s">
        <v>150</v>
      </c>
      <c r="H2103" s="10" t="s">
        <v>845</v>
      </c>
      <c r="I2103" s="62">
        <v>88</v>
      </c>
      <c r="J2103" s="10" t="s">
        <v>2372</v>
      </c>
      <c r="K2103" s="10" t="s">
        <v>847</v>
      </c>
      <c r="L2103" s="10" t="s">
        <v>2373</v>
      </c>
      <c r="M2103" s="10" t="s">
        <v>2372</v>
      </c>
      <c r="N2103" s="10" t="s">
        <v>2373</v>
      </c>
      <c r="O2103" s="10"/>
    </row>
    <row r="2104" spans="1:15" ht="18" customHeight="1" x14ac:dyDescent="0.3">
      <c r="A2104" s="24">
        <v>2103</v>
      </c>
      <c r="B2104" s="10" t="s">
        <v>51</v>
      </c>
      <c r="C2104" s="10" t="s">
        <v>67</v>
      </c>
      <c r="D2104" s="62">
        <v>107</v>
      </c>
      <c r="E2104" s="61" t="s">
        <v>2896</v>
      </c>
      <c r="F2104" s="16" t="s">
        <v>661</v>
      </c>
      <c r="G2104" s="10" t="s">
        <v>150</v>
      </c>
      <c r="H2104" s="10" t="s">
        <v>848</v>
      </c>
      <c r="I2104" s="62">
        <v>88</v>
      </c>
      <c r="J2104" s="10" t="s">
        <v>2372</v>
      </c>
      <c r="K2104" s="10" t="s">
        <v>847</v>
      </c>
      <c r="L2104" s="10" t="s">
        <v>2373</v>
      </c>
      <c r="M2104" s="10" t="s">
        <v>2372</v>
      </c>
      <c r="N2104" s="10" t="s">
        <v>2373</v>
      </c>
      <c r="O2104" s="10"/>
    </row>
    <row r="2105" spans="1:15" ht="18" customHeight="1" x14ac:dyDescent="0.3">
      <c r="A2105" s="24">
        <v>2104</v>
      </c>
      <c r="B2105" s="10" t="s">
        <v>51</v>
      </c>
      <c r="C2105" s="10" t="s">
        <v>67</v>
      </c>
      <c r="D2105" s="62">
        <v>107</v>
      </c>
      <c r="E2105" s="61" t="s">
        <v>2896</v>
      </c>
      <c r="F2105" s="16" t="s">
        <v>661</v>
      </c>
      <c r="G2105" s="10" t="s">
        <v>150</v>
      </c>
      <c r="H2105" s="10" t="s">
        <v>849</v>
      </c>
      <c r="I2105" s="62">
        <v>146</v>
      </c>
      <c r="J2105" s="10" t="s">
        <v>2374</v>
      </c>
      <c r="K2105" s="10" t="s">
        <v>847</v>
      </c>
      <c r="L2105" s="10" t="s">
        <v>2373</v>
      </c>
      <c r="M2105" s="10" t="s">
        <v>2372</v>
      </c>
      <c r="N2105" s="10" t="s">
        <v>2373</v>
      </c>
      <c r="O2105" s="10"/>
    </row>
    <row r="2106" spans="1:15" ht="18" customHeight="1" x14ac:dyDescent="0.3">
      <c r="A2106" s="24">
        <v>2105</v>
      </c>
      <c r="B2106" s="10" t="s">
        <v>51</v>
      </c>
      <c r="C2106" s="10" t="s">
        <v>67</v>
      </c>
      <c r="D2106" s="62">
        <v>107</v>
      </c>
      <c r="E2106" s="61" t="s">
        <v>2896</v>
      </c>
      <c r="F2106" s="16" t="s">
        <v>661</v>
      </c>
      <c r="G2106" s="10" t="s">
        <v>150</v>
      </c>
      <c r="H2106" s="10" t="s">
        <v>850</v>
      </c>
      <c r="I2106" s="62">
        <v>147</v>
      </c>
      <c r="J2106" s="10" t="s">
        <v>2372</v>
      </c>
      <c r="K2106" s="10" t="s">
        <v>847</v>
      </c>
      <c r="L2106" s="10" t="s">
        <v>2373</v>
      </c>
      <c r="M2106" s="10" t="s">
        <v>2372</v>
      </c>
      <c r="N2106" s="10" t="s">
        <v>2373</v>
      </c>
      <c r="O2106" s="10"/>
    </row>
    <row r="2107" spans="1:15" ht="18" customHeight="1" x14ac:dyDescent="0.3">
      <c r="A2107" s="24">
        <v>2106</v>
      </c>
      <c r="B2107" s="10" t="s">
        <v>51</v>
      </c>
      <c r="C2107" s="10" t="s">
        <v>67</v>
      </c>
      <c r="D2107" s="62">
        <v>107</v>
      </c>
      <c r="E2107" s="61" t="s">
        <v>2896</v>
      </c>
      <c r="F2107" s="16" t="s">
        <v>661</v>
      </c>
      <c r="G2107" s="10" t="s">
        <v>150</v>
      </c>
      <c r="H2107" s="10" t="s">
        <v>851</v>
      </c>
      <c r="I2107" s="62">
        <v>253</v>
      </c>
      <c r="J2107" s="10" t="s">
        <v>2374</v>
      </c>
      <c r="K2107" s="10" t="s">
        <v>847</v>
      </c>
      <c r="L2107" s="10" t="s">
        <v>2373</v>
      </c>
      <c r="M2107" s="10" t="s">
        <v>2372</v>
      </c>
      <c r="N2107" s="10" t="s">
        <v>2373</v>
      </c>
      <c r="O2107" s="10"/>
    </row>
    <row r="2108" spans="1:15" ht="18" customHeight="1" x14ac:dyDescent="0.3">
      <c r="A2108" s="24">
        <v>2107</v>
      </c>
      <c r="B2108" s="10" t="s">
        <v>51</v>
      </c>
      <c r="C2108" s="10" t="s">
        <v>67</v>
      </c>
      <c r="D2108" s="62">
        <v>107</v>
      </c>
      <c r="E2108" s="61" t="s">
        <v>2896</v>
      </c>
      <c r="F2108" s="16" t="s">
        <v>661</v>
      </c>
      <c r="G2108" s="10" t="s">
        <v>150</v>
      </c>
      <c r="H2108" s="10" t="s">
        <v>852</v>
      </c>
      <c r="I2108" s="62">
        <v>159</v>
      </c>
      <c r="J2108" s="10" t="s">
        <v>2372</v>
      </c>
      <c r="K2108" s="10" t="s">
        <v>847</v>
      </c>
      <c r="L2108" s="10" t="s">
        <v>2373</v>
      </c>
      <c r="M2108" s="10" t="s">
        <v>2372</v>
      </c>
      <c r="N2108" s="10" t="s">
        <v>2373</v>
      </c>
      <c r="O2108" s="10"/>
    </row>
    <row r="2109" spans="1:15" ht="18" customHeight="1" x14ac:dyDescent="0.3">
      <c r="A2109" s="24">
        <v>2108</v>
      </c>
      <c r="B2109" s="10" t="s">
        <v>51</v>
      </c>
      <c r="C2109" s="10" t="s">
        <v>68</v>
      </c>
      <c r="D2109" s="62">
        <v>108</v>
      </c>
      <c r="E2109" s="61" t="s">
        <v>861</v>
      </c>
      <c r="F2109" s="16" t="s">
        <v>1012</v>
      </c>
      <c r="G2109" s="10" t="s">
        <v>160</v>
      </c>
      <c r="H2109" s="10" t="s">
        <v>849</v>
      </c>
      <c r="I2109" s="62">
        <v>142</v>
      </c>
      <c r="J2109" s="10" t="s">
        <v>2372</v>
      </c>
      <c r="K2109" s="10" t="s">
        <v>847</v>
      </c>
      <c r="L2109" s="10" t="s">
        <v>2373</v>
      </c>
      <c r="M2109" s="10" t="s">
        <v>2372</v>
      </c>
      <c r="N2109" s="10" t="s">
        <v>2373</v>
      </c>
      <c r="O2109" s="10"/>
    </row>
    <row r="2110" spans="1:15" ht="18" customHeight="1" x14ac:dyDescent="0.3">
      <c r="A2110" s="24">
        <v>2109</v>
      </c>
      <c r="B2110" s="10" t="s">
        <v>51</v>
      </c>
      <c r="C2110" s="10" t="s">
        <v>68</v>
      </c>
      <c r="D2110" s="62">
        <v>108</v>
      </c>
      <c r="E2110" s="61" t="s">
        <v>861</v>
      </c>
      <c r="F2110" s="16" t="s">
        <v>1012</v>
      </c>
      <c r="G2110" s="10" t="s">
        <v>160</v>
      </c>
      <c r="H2110" s="10" t="s">
        <v>850</v>
      </c>
      <c r="I2110" s="62">
        <v>118</v>
      </c>
      <c r="J2110" s="10" t="s">
        <v>2372</v>
      </c>
      <c r="K2110" s="10" t="s">
        <v>847</v>
      </c>
      <c r="L2110" s="10" t="s">
        <v>2373</v>
      </c>
      <c r="M2110" s="10" t="s">
        <v>2372</v>
      </c>
      <c r="N2110" s="10" t="s">
        <v>2373</v>
      </c>
      <c r="O2110" s="10"/>
    </row>
    <row r="2111" spans="1:15" ht="18" customHeight="1" x14ac:dyDescent="0.3">
      <c r="A2111" s="24">
        <v>2110</v>
      </c>
      <c r="B2111" s="10" t="s">
        <v>51</v>
      </c>
      <c r="C2111" s="10" t="s">
        <v>68</v>
      </c>
      <c r="D2111" s="62">
        <v>108</v>
      </c>
      <c r="E2111" s="61" t="s">
        <v>861</v>
      </c>
      <c r="F2111" s="16" t="s">
        <v>1012</v>
      </c>
      <c r="G2111" s="10" t="s">
        <v>160</v>
      </c>
      <c r="H2111" s="10" t="s">
        <v>851</v>
      </c>
      <c r="I2111" s="62">
        <v>91</v>
      </c>
      <c r="J2111" s="10" t="s">
        <v>2372</v>
      </c>
      <c r="K2111" s="10" t="s">
        <v>847</v>
      </c>
      <c r="L2111" s="10" t="s">
        <v>2373</v>
      </c>
      <c r="M2111" s="10" t="s">
        <v>2372</v>
      </c>
      <c r="N2111" s="10" t="s">
        <v>2373</v>
      </c>
      <c r="O2111" s="10"/>
    </row>
    <row r="2112" spans="1:15" ht="18" customHeight="1" x14ac:dyDescent="0.3">
      <c r="A2112" s="24">
        <v>2111</v>
      </c>
      <c r="B2112" s="10" t="s">
        <v>51</v>
      </c>
      <c r="C2112" s="10" t="s">
        <v>68</v>
      </c>
      <c r="D2112" s="62">
        <v>108</v>
      </c>
      <c r="E2112" s="61" t="s">
        <v>861</v>
      </c>
      <c r="F2112" s="16" t="s">
        <v>1746</v>
      </c>
      <c r="G2112" s="10" t="s">
        <v>160</v>
      </c>
      <c r="H2112" s="10" t="s">
        <v>848</v>
      </c>
      <c r="I2112" s="62">
        <v>142</v>
      </c>
      <c r="J2112" s="10" t="s">
        <v>2372</v>
      </c>
      <c r="K2112" s="10" t="s">
        <v>847</v>
      </c>
      <c r="L2112" s="10" t="s">
        <v>2373</v>
      </c>
      <c r="M2112" s="10" t="s">
        <v>2372</v>
      </c>
      <c r="N2112" s="10" t="s">
        <v>2373</v>
      </c>
      <c r="O2112" s="10"/>
    </row>
    <row r="2113" spans="1:15" ht="18" customHeight="1" x14ac:dyDescent="0.3">
      <c r="A2113" s="24">
        <v>2112</v>
      </c>
      <c r="B2113" s="10" t="s">
        <v>51</v>
      </c>
      <c r="C2113" s="10" t="s">
        <v>68</v>
      </c>
      <c r="D2113" s="62">
        <v>108</v>
      </c>
      <c r="E2113" s="61" t="s">
        <v>861</v>
      </c>
      <c r="F2113" s="16" t="s">
        <v>1746</v>
      </c>
      <c r="G2113" s="10" t="s">
        <v>160</v>
      </c>
      <c r="H2113" s="10" t="s">
        <v>2382</v>
      </c>
      <c r="I2113" s="62">
        <v>40</v>
      </c>
      <c r="J2113" s="10" t="s">
        <v>2372</v>
      </c>
      <c r="K2113" s="10" t="s">
        <v>2374</v>
      </c>
      <c r="L2113" s="10" t="s">
        <v>1422</v>
      </c>
      <c r="M2113" s="10" t="s">
        <v>2372</v>
      </c>
      <c r="N2113" s="10" t="s">
        <v>2373</v>
      </c>
      <c r="O2113" s="10"/>
    </row>
    <row r="2114" spans="1:15" ht="18" customHeight="1" x14ac:dyDescent="0.3">
      <c r="A2114" s="24">
        <v>2113</v>
      </c>
      <c r="B2114" s="10" t="s">
        <v>51</v>
      </c>
      <c r="C2114" s="10" t="s">
        <v>68</v>
      </c>
      <c r="D2114" s="62">
        <v>108</v>
      </c>
      <c r="E2114" s="61" t="s">
        <v>861</v>
      </c>
      <c r="F2114" s="16" t="s">
        <v>1746</v>
      </c>
      <c r="G2114" s="10" t="s">
        <v>160</v>
      </c>
      <c r="H2114" s="10" t="s">
        <v>845</v>
      </c>
      <c r="I2114" s="62">
        <v>78</v>
      </c>
      <c r="J2114" s="10" t="s">
        <v>2372</v>
      </c>
      <c r="K2114" s="10" t="s">
        <v>2374</v>
      </c>
      <c r="L2114" s="10" t="s">
        <v>1422</v>
      </c>
      <c r="M2114" s="10" t="s">
        <v>2372</v>
      </c>
      <c r="N2114" s="10" t="s">
        <v>2373</v>
      </c>
      <c r="O2114" s="10"/>
    </row>
    <row r="2115" spans="1:15" ht="18" customHeight="1" x14ac:dyDescent="0.3">
      <c r="A2115" s="24">
        <v>2114</v>
      </c>
      <c r="B2115" s="10" t="s">
        <v>51</v>
      </c>
      <c r="C2115" s="10" t="s">
        <v>68</v>
      </c>
      <c r="D2115" s="62">
        <v>108</v>
      </c>
      <c r="E2115" s="61" t="s">
        <v>239</v>
      </c>
      <c r="F2115" s="16" t="s">
        <v>642</v>
      </c>
      <c r="G2115" s="10" t="s">
        <v>150</v>
      </c>
      <c r="H2115" s="10" t="s">
        <v>845</v>
      </c>
      <c r="I2115" s="62">
        <v>274</v>
      </c>
      <c r="J2115" s="8" t="s">
        <v>2372</v>
      </c>
      <c r="K2115" s="10" t="s">
        <v>847</v>
      </c>
      <c r="L2115" s="10" t="s">
        <v>2373</v>
      </c>
      <c r="M2115" s="10" t="s">
        <v>2372</v>
      </c>
      <c r="N2115" s="10" t="s">
        <v>2373</v>
      </c>
      <c r="O2115" s="10"/>
    </row>
    <row r="2116" spans="1:15" ht="18" customHeight="1" x14ac:dyDescent="0.3">
      <c r="A2116" s="24">
        <v>2115</v>
      </c>
      <c r="B2116" s="10" t="s">
        <v>51</v>
      </c>
      <c r="C2116" s="10" t="s">
        <v>68</v>
      </c>
      <c r="D2116" s="62">
        <v>108</v>
      </c>
      <c r="E2116" s="61" t="s">
        <v>239</v>
      </c>
      <c r="F2116" s="16" t="s">
        <v>642</v>
      </c>
      <c r="G2116" s="10" t="s">
        <v>150</v>
      </c>
      <c r="H2116" s="10" t="s">
        <v>848</v>
      </c>
      <c r="I2116" s="62">
        <v>176</v>
      </c>
      <c r="J2116" s="8" t="s">
        <v>2372</v>
      </c>
      <c r="K2116" s="10" t="s">
        <v>847</v>
      </c>
      <c r="L2116" s="10" t="s">
        <v>2373</v>
      </c>
      <c r="M2116" s="10" t="s">
        <v>2372</v>
      </c>
      <c r="N2116" s="10" t="s">
        <v>2373</v>
      </c>
      <c r="O2116" s="10"/>
    </row>
    <row r="2117" spans="1:15" ht="18" customHeight="1" x14ac:dyDescent="0.3">
      <c r="A2117" s="24">
        <v>2116</v>
      </c>
      <c r="B2117" s="10" t="s">
        <v>51</v>
      </c>
      <c r="C2117" s="10" t="s">
        <v>68</v>
      </c>
      <c r="D2117" s="62">
        <v>108</v>
      </c>
      <c r="E2117" s="61" t="s">
        <v>239</v>
      </c>
      <c r="F2117" s="16" t="s">
        <v>642</v>
      </c>
      <c r="G2117" s="10" t="s">
        <v>150</v>
      </c>
      <c r="H2117" s="10" t="s">
        <v>849</v>
      </c>
      <c r="I2117" s="62">
        <v>120</v>
      </c>
      <c r="J2117" s="8" t="s">
        <v>846</v>
      </c>
      <c r="K2117" s="10" t="s">
        <v>847</v>
      </c>
      <c r="L2117" s="10" t="s">
        <v>2373</v>
      </c>
      <c r="M2117" s="10" t="s">
        <v>2372</v>
      </c>
      <c r="N2117" s="10" t="s">
        <v>2373</v>
      </c>
      <c r="O2117" s="10"/>
    </row>
    <row r="2118" spans="1:15" ht="18" customHeight="1" x14ac:dyDescent="0.3">
      <c r="A2118" s="24">
        <v>2117</v>
      </c>
      <c r="B2118" s="10" t="s">
        <v>51</v>
      </c>
      <c r="C2118" s="10" t="s">
        <v>68</v>
      </c>
      <c r="D2118" s="62">
        <v>108</v>
      </c>
      <c r="E2118" s="61" t="s">
        <v>239</v>
      </c>
      <c r="F2118" s="16" t="s">
        <v>642</v>
      </c>
      <c r="G2118" s="10" t="s">
        <v>150</v>
      </c>
      <c r="H2118" s="10" t="s">
        <v>850</v>
      </c>
      <c r="I2118" s="62">
        <v>106</v>
      </c>
      <c r="J2118" s="8" t="s">
        <v>2372</v>
      </c>
      <c r="K2118" s="10" t="s">
        <v>847</v>
      </c>
      <c r="L2118" s="10" t="s">
        <v>2373</v>
      </c>
      <c r="M2118" s="10" t="s">
        <v>2372</v>
      </c>
      <c r="N2118" s="10" t="s">
        <v>2373</v>
      </c>
      <c r="O2118" s="10"/>
    </row>
    <row r="2119" spans="1:15" ht="18" customHeight="1" x14ac:dyDescent="0.3">
      <c r="A2119" s="24">
        <v>2118</v>
      </c>
      <c r="B2119" s="10" t="s">
        <v>51</v>
      </c>
      <c r="C2119" s="10" t="s">
        <v>68</v>
      </c>
      <c r="D2119" s="62">
        <v>108</v>
      </c>
      <c r="E2119" s="61" t="s">
        <v>239</v>
      </c>
      <c r="F2119" s="16" t="s">
        <v>642</v>
      </c>
      <c r="G2119" s="10" t="s">
        <v>150</v>
      </c>
      <c r="H2119" s="10" t="s">
        <v>851</v>
      </c>
      <c r="I2119" s="62">
        <v>111</v>
      </c>
      <c r="J2119" s="8" t="s">
        <v>846</v>
      </c>
      <c r="K2119" s="10" t="s">
        <v>847</v>
      </c>
      <c r="L2119" s="10" t="s">
        <v>2373</v>
      </c>
      <c r="M2119" s="10" t="s">
        <v>2372</v>
      </c>
      <c r="N2119" s="10" t="s">
        <v>2373</v>
      </c>
      <c r="O2119" s="10"/>
    </row>
    <row r="2120" spans="1:15" ht="18" customHeight="1" x14ac:dyDescent="0.3">
      <c r="A2120" s="24">
        <v>2119</v>
      </c>
      <c r="B2120" s="10" t="s">
        <v>51</v>
      </c>
      <c r="C2120" s="10" t="s">
        <v>68</v>
      </c>
      <c r="D2120" s="62">
        <v>108</v>
      </c>
      <c r="E2120" s="61" t="s">
        <v>239</v>
      </c>
      <c r="F2120" s="16" t="s">
        <v>642</v>
      </c>
      <c r="G2120" s="10" t="s">
        <v>150</v>
      </c>
      <c r="H2120" s="10" t="s">
        <v>852</v>
      </c>
      <c r="I2120" s="62">
        <v>106</v>
      </c>
      <c r="J2120" s="8" t="s">
        <v>2372</v>
      </c>
      <c r="K2120" s="10" t="s">
        <v>847</v>
      </c>
      <c r="L2120" s="10" t="s">
        <v>2373</v>
      </c>
      <c r="M2120" s="10" t="s">
        <v>2372</v>
      </c>
      <c r="N2120" s="10" t="s">
        <v>2373</v>
      </c>
      <c r="O2120" s="10"/>
    </row>
    <row r="2121" spans="1:15" ht="18" customHeight="1" x14ac:dyDescent="0.3">
      <c r="A2121" s="24">
        <v>2120</v>
      </c>
      <c r="B2121" s="10" t="s">
        <v>51</v>
      </c>
      <c r="C2121" s="10" t="s">
        <v>68</v>
      </c>
      <c r="D2121" s="62">
        <v>108</v>
      </c>
      <c r="E2121" s="61" t="s">
        <v>239</v>
      </c>
      <c r="F2121" s="16" t="s">
        <v>642</v>
      </c>
      <c r="G2121" s="10" t="s">
        <v>150</v>
      </c>
      <c r="H2121" s="10" t="s">
        <v>853</v>
      </c>
      <c r="I2121" s="62">
        <v>198</v>
      </c>
      <c r="J2121" s="8" t="s">
        <v>2372</v>
      </c>
      <c r="K2121" s="10" t="s">
        <v>847</v>
      </c>
      <c r="L2121" s="10" t="s">
        <v>2373</v>
      </c>
      <c r="M2121" s="10" t="s">
        <v>2372</v>
      </c>
      <c r="N2121" s="10" t="s">
        <v>2373</v>
      </c>
      <c r="O2121" s="10"/>
    </row>
    <row r="2122" spans="1:15" ht="18" customHeight="1" x14ac:dyDescent="0.3">
      <c r="A2122" s="24">
        <v>2121</v>
      </c>
      <c r="B2122" s="10" t="s">
        <v>51</v>
      </c>
      <c r="C2122" s="10" t="s">
        <v>68</v>
      </c>
      <c r="D2122" s="62">
        <v>108</v>
      </c>
      <c r="E2122" s="61" t="s">
        <v>2897</v>
      </c>
      <c r="F2122" s="19" t="s">
        <v>1009</v>
      </c>
      <c r="G2122" s="10" t="s">
        <v>160</v>
      </c>
      <c r="H2122" s="10" t="s">
        <v>849</v>
      </c>
      <c r="I2122" s="62">
        <v>232</v>
      </c>
      <c r="J2122" s="10" t="s">
        <v>2374</v>
      </c>
      <c r="K2122" s="10" t="s">
        <v>847</v>
      </c>
      <c r="L2122" s="10" t="s">
        <v>2373</v>
      </c>
      <c r="M2122" s="10" t="s">
        <v>2372</v>
      </c>
      <c r="N2122" s="10" t="s">
        <v>2373</v>
      </c>
      <c r="O2122" s="10"/>
    </row>
    <row r="2123" spans="1:15" ht="18" customHeight="1" x14ac:dyDescent="0.3">
      <c r="A2123" s="24">
        <v>2122</v>
      </c>
      <c r="B2123" s="10" t="s">
        <v>51</v>
      </c>
      <c r="C2123" s="10" t="s">
        <v>68</v>
      </c>
      <c r="D2123" s="62">
        <v>108</v>
      </c>
      <c r="E2123" s="61" t="s">
        <v>2897</v>
      </c>
      <c r="F2123" s="19" t="s">
        <v>1009</v>
      </c>
      <c r="G2123" s="10" t="s">
        <v>160</v>
      </c>
      <c r="H2123" s="10" t="s">
        <v>850</v>
      </c>
      <c r="I2123" s="62">
        <v>246</v>
      </c>
      <c r="J2123" s="10" t="s">
        <v>2374</v>
      </c>
      <c r="K2123" s="10" t="s">
        <v>847</v>
      </c>
      <c r="L2123" s="10" t="s">
        <v>2373</v>
      </c>
      <c r="M2123" s="10" t="s">
        <v>2372</v>
      </c>
      <c r="N2123" s="10" t="s">
        <v>2373</v>
      </c>
      <c r="O2123" s="10"/>
    </row>
    <row r="2124" spans="1:15" ht="18" customHeight="1" x14ac:dyDescent="0.3">
      <c r="A2124" s="24">
        <v>2123</v>
      </c>
      <c r="B2124" s="10" t="s">
        <v>51</v>
      </c>
      <c r="C2124" s="10" t="s">
        <v>68</v>
      </c>
      <c r="D2124" s="62">
        <v>108</v>
      </c>
      <c r="E2124" s="61" t="s">
        <v>2897</v>
      </c>
      <c r="F2124" s="19" t="s">
        <v>1009</v>
      </c>
      <c r="G2124" s="10" t="s">
        <v>160</v>
      </c>
      <c r="H2124" s="10" t="s">
        <v>851</v>
      </c>
      <c r="I2124" s="62">
        <v>114</v>
      </c>
      <c r="J2124" s="10" t="s">
        <v>2374</v>
      </c>
      <c r="K2124" s="10" t="s">
        <v>847</v>
      </c>
      <c r="L2124" s="10" t="s">
        <v>2373</v>
      </c>
      <c r="M2124" s="10" t="s">
        <v>2372</v>
      </c>
      <c r="N2124" s="10" t="s">
        <v>2373</v>
      </c>
      <c r="O2124" s="10"/>
    </row>
    <row r="2125" spans="1:15" ht="18" customHeight="1" x14ac:dyDescent="0.3">
      <c r="A2125" s="24">
        <v>2124</v>
      </c>
      <c r="B2125" s="10" t="s">
        <v>51</v>
      </c>
      <c r="C2125" s="10" t="s">
        <v>68</v>
      </c>
      <c r="D2125" s="62">
        <v>108</v>
      </c>
      <c r="E2125" s="61" t="s">
        <v>2897</v>
      </c>
      <c r="F2125" s="19" t="s">
        <v>1009</v>
      </c>
      <c r="G2125" s="10" t="s">
        <v>160</v>
      </c>
      <c r="H2125" s="10" t="s">
        <v>852</v>
      </c>
      <c r="I2125" s="62">
        <v>103</v>
      </c>
      <c r="J2125" s="10" t="s">
        <v>2372</v>
      </c>
      <c r="K2125" s="10" t="s">
        <v>847</v>
      </c>
      <c r="L2125" s="10" t="s">
        <v>2373</v>
      </c>
      <c r="M2125" s="10" t="s">
        <v>2372</v>
      </c>
      <c r="N2125" s="10" t="s">
        <v>2373</v>
      </c>
      <c r="O2125" s="10"/>
    </row>
    <row r="2126" spans="1:15" ht="18" customHeight="1" x14ac:dyDescent="0.3">
      <c r="A2126" s="24">
        <v>2125</v>
      </c>
      <c r="B2126" s="10" t="s">
        <v>51</v>
      </c>
      <c r="C2126" s="10" t="s">
        <v>68</v>
      </c>
      <c r="D2126" s="62">
        <v>108</v>
      </c>
      <c r="E2126" s="61" t="s">
        <v>2897</v>
      </c>
      <c r="F2126" s="19" t="s">
        <v>1009</v>
      </c>
      <c r="G2126" s="10" t="s">
        <v>160</v>
      </c>
      <c r="H2126" s="10" t="s">
        <v>853</v>
      </c>
      <c r="I2126" s="62">
        <v>126</v>
      </c>
      <c r="J2126" s="10" t="s">
        <v>2372</v>
      </c>
      <c r="K2126" s="10" t="s">
        <v>847</v>
      </c>
      <c r="L2126" s="10" t="s">
        <v>2373</v>
      </c>
      <c r="M2126" s="10" t="s">
        <v>2372</v>
      </c>
      <c r="N2126" s="10" t="s">
        <v>2373</v>
      </c>
      <c r="O2126" s="10"/>
    </row>
    <row r="2127" spans="1:15" ht="18" customHeight="1" x14ac:dyDescent="0.3">
      <c r="A2127" s="24">
        <v>2126</v>
      </c>
      <c r="B2127" s="10" t="s">
        <v>51</v>
      </c>
      <c r="C2127" s="10" t="s">
        <v>68</v>
      </c>
      <c r="D2127" s="62">
        <v>108</v>
      </c>
      <c r="E2127" s="61" t="s">
        <v>2897</v>
      </c>
      <c r="F2127" s="19" t="s">
        <v>1009</v>
      </c>
      <c r="G2127" s="10" t="s">
        <v>160</v>
      </c>
      <c r="H2127" s="10" t="s">
        <v>854</v>
      </c>
      <c r="I2127" s="62">
        <v>103</v>
      </c>
      <c r="J2127" s="10" t="s">
        <v>2372</v>
      </c>
      <c r="K2127" s="10" t="s">
        <v>847</v>
      </c>
      <c r="L2127" s="10" t="s">
        <v>2373</v>
      </c>
      <c r="M2127" s="10" t="s">
        <v>2372</v>
      </c>
      <c r="N2127" s="10" t="s">
        <v>2373</v>
      </c>
      <c r="O2127" s="10"/>
    </row>
    <row r="2128" spans="1:15" ht="18" customHeight="1" x14ac:dyDescent="0.3">
      <c r="A2128" s="24">
        <v>2127</v>
      </c>
      <c r="B2128" s="10" t="s">
        <v>51</v>
      </c>
      <c r="C2128" s="10" t="s">
        <v>68</v>
      </c>
      <c r="D2128" s="62">
        <v>108</v>
      </c>
      <c r="E2128" s="61" t="s">
        <v>2897</v>
      </c>
      <c r="F2128" s="19" t="s">
        <v>639</v>
      </c>
      <c r="G2128" s="10" t="s">
        <v>160</v>
      </c>
      <c r="H2128" s="10" t="s">
        <v>845</v>
      </c>
      <c r="I2128" s="62">
        <v>116</v>
      </c>
      <c r="J2128" s="10" t="s">
        <v>2372</v>
      </c>
      <c r="K2128" s="10" t="s">
        <v>847</v>
      </c>
      <c r="L2128" s="10" t="s">
        <v>2373</v>
      </c>
      <c r="M2128" s="10" t="s">
        <v>2372</v>
      </c>
      <c r="N2128" s="10" t="s">
        <v>2373</v>
      </c>
      <c r="O2128" s="10"/>
    </row>
    <row r="2129" spans="1:15" ht="18" customHeight="1" x14ac:dyDescent="0.3">
      <c r="A2129" s="24">
        <v>2128</v>
      </c>
      <c r="B2129" s="10" t="s">
        <v>51</v>
      </c>
      <c r="C2129" s="10" t="s">
        <v>68</v>
      </c>
      <c r="D2129" s="62">
        <v>108</v>
      </c>
      <c r="E2129" s="61" t="s">
        <v>2897</v>
      </c>
      <c r="F2129" s="19" t="s">
        <v>639</v>
      </c>
      <c r="G2129" s="10" t="s">
        <v>160</v>
      </c>
      <c r="H2129" s="10" t="s">
        <v>848</v>
      </c>
      <c r="I2129" s="62">
        <v>104</v>
      </c>
      <c r="J2129" s="10" t="s">
        <v>2372</v>
      </c>
      <c r="K2129" s="10" t="s">
        <v>847</v>
      </c>
      <c r="L2129" s="10" t="s">
        <v>2373</v>
      </c>
      <c r="M2129" s="10" t="s">
        <v>2372</v>
      </c>
      <c r="N2129" s="10" t="s">
        <v>2373</v>
      </c>
      <c r="O2129" s="10"/>
    </row>
    <row r="2130" spans="1:15" ht="18" customHeight="1" x14ac:dyDescent="0.3">
      <c r="A2130" s="24">
        <v>2129</v>
      </c>
      <c r="B2130" s="10" t="s">
        <v>1600</v>
      </c>
      <c r="C2130" s="10" t="s">
        <v>1744</v>
      </c>
      <c r="D2130" s="62">
        <v>108</v>
      </c>
      <c r="E2130" s="61" t="s">
        <v>1750</v>
      </c>
      <c r="F2130" s="16" t="s">
        <v>1751</v>
      </c>
      <c r="G2130" s="10" t="s">
        <v>1264</v>
      </c>
      <c r="H2130" s="10" t="s">
        <v>2385</v>
      </c>
      <c r="I2130" s="62">
        <v>44</v>
      </c>
      <c r="J2130" s="10" t="s">
        <v>2372</v>
      </c>
      <c r="K2130" s="10" t="s">
        <v>2374</v>
      </c>
      <c r="L2130" s="10" t="s">
        <v>1422</v>
      </c>
      <c r="M2130" s="10" t="s">
        <v>2372</v>
      </c>
      <c r="N2130" s="10" t="s">
        <v>2373</v>
      </c>
      <c r="O2130" s="10"/>
    </row>
    <row r="2131" spans="1:15" ht="18" customHeight="1" x14ac:dyDescent="0.3">
      <c r="A2131" s="24">
        <v>2130</v>
      </c>
      <c r="B2131" s="10" t="s">
        <v>1600</v>
      </c>
      <c r="C2131" s="10" t="s">
        <v>1744</v>
      </c>
      <c r="D2131" s="62">
        <v>108</v>
      </c>
      <c r="E2131" s="61" t="s">
        <v>1750</v>
      </c>
      <c r="F2131" s="16" t="s">
        <v>1751</v>
      </c>
      <c r="G2131" s="10" t="s">
        <v>1264</v>
      </c>
      <c r="H2131" s="10" t="s">
        <v>2378</v>
      </c>
      <c r="I2131" s="62">
        <v>39</v>
      </c>
      <c r="J2131" s="10" t="s">
        <v>2372</v>
      </c>
      <c r="K2131" s="10" t="s">
        <v>2374</v>
      </c>
      <c r="L2131" s="10" t="s">
        <v>1422</v>
      </c>
      <c r="M2131" s="10" t="s">
        <v>2372</v>
      </c>
      <c r="N2131" s="10" t="s">
        <v>2373</v>
      </c>
      <c r="O2131" s="10"/>
    </row>
    <row r="2132" spans="1:15" ht="18" customHeight="1" x14ac:dyDescent="0.3">
      <c r="A2132" s="24">
        <v>2131</v>
      </c>
      <c r="B2132" s="10" t="s">
        <v>1600</v>
      </c>
      <c r="C2132" s="10" t="s">
        <v>1744</v>
      </c>
      <c r="D2132" s="62">
        <v>108</v>
      </c>
      <c r="E2132" s="61" t="s">
        <v>1750</v>
      </c>
      <c r="F2132" s="16" t="s">
        <v>1751</v>
      </c>
      <c r="G2132" s="10" t="s">
        <v>1264</v>
      </c>
      <c r="H2132" s="10" t="s">
        <v>2379</v>
      </c>
      <c r="I2132" s="62">
        <v>44</v>
      </c>
      <c r="J2132" s="10" t="s">
        <v>2372</v>
      </c>
      <c r="K2132" s="10" t="s">
        <v>2374</v>
      </c>
      <c r="L2132" s="10" t="s">
        <v>1422</v>
      </c>
      <c r="M2132" s="10" t="s">
        <v>2372</v>
      </c>
      <c r="N2132" s="10" t="s">
        <v>2373</v>
      </c>
      <c r="O2132" s="10"/>
    </row>
    <row r="2133" spans="1:15" ht="18" customHeight="1" x14ac:dyDescent="0.3">
      <c r="A2133" s="24">
        <v>2132</v>
      </c>
      <c r="B2133" s="10" t="s">
        <v>1600</v>
      </c>
      <c r="C2133" s="10" t="s">
        <v>1744</v>
      </c>
      <c r="D2133" s="62">
        <v>108</v>
      </c>
      <c r="E2133" s="61" t="s">
        <v>1750</v>
      </c>
      <c r="F2133" s="16" t="s">
        <v>1751</v>
      </c>
      <c r="G2133" s="10" t="s">
        <v>1264</v>
      </c>
      <c r="H2133" s="10" t="s">
        <v>2380</v>
      </c>
      <c r="I2133" s="62">
        <v>39</v>
      </c>
      <c r="J2133" s="10" t="s">
        <v>2372</v>
      </c>
      <c r="K2133" s="10" t="s">
        <v>2374</v>
      </c>
      <c r="L2133" s="10" t="s">
        <v>1422</v>
      </c>
      <c r="M2133" s="10" t="s">
        <v>2372</v>
      </c>
      <c r="N2133" s="10" t="s">
        <v>2373</v>
      </c>
      <c r="O2133" s="10"/>
    </row>
    <row r="2134" spans="1:15" ht="18" customHeight="1" x14ac:dyDescent="0.3">
      <c r="A2134" s="24">
        <v>2133</v>
      </c>
      <c r="B2134" s="10" t="s">
        <v>1600</v>
      </c>
      <c r="C2134" s="10" t="s">
        <v>1744</v>
      </c>
      <c r="D2134" s="62">
        <v>108</v>
      </c>
      <c r="E2134" s="61" t="s">
        <v>1750</v>
      </c>
      <c r="F2134" s="16" t="s">
        <v>1751</v>
      </c>
      <c r="G2134" s="10" t="s">
        <v>1264</v>
      </c>
      <c r="H2134" s="10" t="s">
        <v>2390</v>
      </c>
      <c r="I2134" s="62">
        <v>44</v>
      </c>
      <c r="J2134" s="10" t="s">
        <v>2372</v>
      </c>
      <c r="K2134" s="10" t="s">
        <v>2374</v>
      </c>
      <c r="L2134" s="10" t="s">
        <v>1422</v>
      </c>
      <c r="M2134" s="10" t="s">
        <v>2372</v>
      </c>
      <c r="N2134" s="10" t="s">
        <v>2373</v>
      </c>
      <c r="O2134" s="10"/>
    </row>
    <row r="2135" spans="1:15" ht="18" customHeight="1" x14ac:dyDescent="0.3">
      <c r="A2135" s="24">
        <v>2134</v>
      </c>
      <c r="B2135" s="10" t="s">
        <v>1600</v>
      </c>
      <c r="C2135" s="10" t="s">
        <v>1744</v>
      </c>
      <c r="D2135" s="62">
        <v>108</v>
      </c>
      <c r="E2135" s="61" t="s">
        <v>1750</v>
      </c>
      <c r="F2135" s="16" t="s">
        <v>1751</v>
      </c>
      <c r="G2135" s="10" t="s">
        <v>1264</v>
      </c>
      <c r="H2135" s="10" t="s">
        <v>2382</v>
      </c>
      <c r="I2135" s="62">
        <v>44</v>
      </c>
      <c r="J2135" s="10" t="s">
        <v>2372</v>
      </c>
      <c r="K2135" s="10" t="s">
        <v>2374</v>
      </c>
      <c r="L2135" s="10" t="s">
        <v>1422</v>
      </c>
      <c r="M2135" s="10" t="s">
        <v>2372</v>
      </c>
      <c r="N2135" s="10" t="s">
        <v>2373</v>
      </c>
      <c r="O2135" s="10"/>
    </row>
    <row r="2136" spans="1:15" ht="18" customHeight="1" x14ac:dyDescent="0.3">
      <c r="A2136" s="24">
        <v>2135</v>
      </c>
      <c r="B2136" s="10" t="s">
        <v>51</v>
      </c>
      <c r="C2136" s="10" t="s">
        <v>68</v>
      </c>
      <c r="D2136" s="62">
        <v>108</v>
      </c>
      <c r="E2136" s="61" t="s">
        <v>2898</v>
      </c>
      <c r="F2136" s="19" t="s">
        <v>638</v>
      </c>
      <c r="G2136" s="10" t="s">
        <v>160</v>
      </c>
      <c r="H2136" s="10" t="s">
        <v>845</v>
      </c>
      <c r="I2136" s="62">
        <v>63</v>
      </c>
      <c r="J2136" s="10" t="s">
        <v>2372</v>
      </c>
      <c r="K2136" s="10" t="s">
        <v>847</v>
      </c>
      <c r="L2136" s="10" t="s">
        <v>2373</v>
      </c>
      <c r="M2136" s="10" t="s">
        <v>2372</v>
      </c>
      <c r="N2136" s="10" t="s">
        <v>2373</v>
      </c>
      <c r="O2136" s="10"/>
    </row>
    <row r="2137" spans="1:15" ht="18" customHeight="1" x14ac:dyDescent="0.3">
      <c r="A2137" s="24">
        <v>2136</v>
      </c>
      <c r="B2137" s="10" t="s">
        <v>51</v>
      </c>
      <c r="C2137" s="10" t="s">
        <v>68</v>
      </c>
      <c r="D2137" s="62">
        <v>108</v>
      </c>
      <c r="E2137" s="61" t="s">
        <v>2898</v>
      </c>
      <c r="F2137" s="19" t="s">
        <v>638</v>
      </c>
      <c r="G2137" s="10" t="s">
        <v>160</v>
      </c>
      <c r="H2137" s="10" t="s">
        <v>848</v>
      </c>
      <c r="I2137" s="62">
        <v>118</v>
      </c>
      <c r="J2137" s="10" t="s">
        <v>2372</v>
      </c>
      <c r="K2137" s="10" t="s">
        <v>847</v>
      </c>
      <c r="L2137" s="10" t="s">
        <v>2373</v>
      </c>
      <c r="M2137" s="10" t="s">
        <v>2372</v>
      </c>
      <c r="N2137" s="10" t="s">
        <v>2373</v>
      </c>
      <c r="O2137" s="10"/>
    </row>
    <row r="2138" spans="1:15" ht="18" customHeight="1" x14ac:dyDescent="0.3">
      <c r="A2138" s="24">
        <v>2137</v>
      </c>
      <c r="B2138" s="10" t="s">
        <v>51</v>
      </c>
      <c r="C2138" s="10" t="s">
        <v>68</v>
      </c>
      <c r="D2138" s="62">
        <v>108</v>
      </c>
      <c r="E2138" s="61" t="s">
        <v>2898</v>
      </c>
      <c r="F2138" s="19" t="s">
        <v>638</v>
      </c>
      <c r="G2138" s="10" t="s">
        <v>160</v>
      </c>
      <c r="H2138" s="10" t="s">
        <v>849</v>
      </c>
      <c r="I2138" s="62">
        <v>107</v>
      </c>
      <c r="J2138" s="10" t="s">
        <v>2372</v>
      </c>
      <c r="K2138" s="10" t="s">
        <v>847</v>
      </c>
      <c r="L2138" s="10" t="s">
        <v>2373</v>
      </c>
      <c r="M2138" s="10" t="s">
        <v>2372</v>
      </c>
      <c r="N2138" s="10" t="s">
        <v>2373</v>
      </c>
      <c r="O2138" s="10"/>
    </row>
    <row r="2139" spans="1:15" ht="18" customHeight="1" x14ac:dyDescent="0.3">
      <c r="A2139" s="24">
        <v>2138</v>
      </c>
      <c r="B2139" s="10" t="s">
        <v>51</v>
      </c>
      <c r="C2139" s="10" t="s">
        <v>68</v>
      </c>
      <c r="D2139" s="62">
        <v>108</v>
      </c>
      <c r="E2139" s="61" t="s">
        <v>2898</v>
      </c>
      <c r="F2139" s="19" t="s">
        <v>638</v>
      </c>
      <c r="G2139" s="10" t="s">
        <v>160</v>
      </c>
      <c r="H2139" s="10" t="s">
        <v>850</v>
      </c>
      <c r="I2139" s="62">
        <v>118</v>
      </c>
      <c r="J2139" s="10" t="s">
        <v>2374</v>
      </c>
      <c r="K2139" s="10" t="s">
        <v>847</v>
      </c>
      <c r="L2139" s="10" t="s">
        <v>2373</v>
      </c>
      <c r="M2139" s="10" t="s">
        <v>2372</v>
      </c>
      <c r="N2139" s="10" t="s">
        <v>2373</v>
      </c>
      <c r="O2139" s="10"/>
    </row>
    <row r="2140" spans="1:15" ht="18" customHeight="1" x14ac:dyDescent="0.3">
      <c r="A2140" s="24">
        <v>2139</v>
      </c>
      <c r="B2140" s="10" t="s">
        <v>51</v>
      </c>
      <c r="C2140" s="10" t="s">
        <v>68</v>
      </c>
      <c r="D2140" s="62">
        <v>108</v>
      </c>
      <c r="E2140" s="61" t="s">
        <v>895</v>
      </c>
      <c r="F2140" s="19" t="s">
        <v>1754</v>
      </c>
      <c r="G2140" s="10" t="s">
        <v>150</v>
      </c>
      <c r="H2140" s="10" t="s">
        <v>845</v>
      </c>
      <c r="I2140" s="62">
        <v>396</v>
      </c>
      <c r="J2140" s="8" t="s">
        <v>2372</v>
      </c>
      <c r="K2140" s="10" t="s">
        <v>2374</v>
      </c>
      <c r="L2140" s="10" t="s">
        <v>2446</v>
      </c>
      <c r="M2140" s="10" t="s">
        <v>2372</v>
      </c>
      <c r="N2140" s="10" t="s">
        <v>2373</v>
      </c>
      <c r="O2140" s="10"/>
    </row>
    <row r="2141" spans="1:15" ht="18" customHeight="1" x14ac:dyDescent="0.3">
      <c r="A2141" s="24">
        <v>2140</v>
      </c>
      <c r="B2141" s="10" t="s">
        <v>51</v>
      </c>
      <c r="C2141" s="10" t="s">
        <v>68</v>
      </c>
      <c r="D2141" s="62">
        <v>108</v>
      </c>
      <c r="E2141" s="61" t="s">
        <v>895</v>
      </c>
      <c r="F2141" s="19" t="s">
        <v>1754</v>
      </c>
      <c r="G2141" s="10" t="s">
        <v>150</v>
      </c>
      <c r="H2141" s="10" t="s">
        <v>848</v>
      </c>
      <c r="I2141" s="62">
        <v>279</v>
      </c>
      <c r="J2141" s="8" t="s">
        <v>846</v>
      </c>
      <c r="K2141" s="10" t="s">
        <v>847</v>
      </c>
      <c r="L2141" s="10" t="s">
        <v>2373</v>
      </c>
      <c r="M2141" s="10" t="s">
        <v>2372</v>
      </c>
      <c r="N2141" s="10" t="s">
        <v>2373</v>
      </c>
      <c r="O2141" s="10"/>
    </row>
    <row r="2142" spans="1:15" ht="18" customHeight="1" x14ac:dyDescent="0.3">
      <c r="A2142" s="24">
        <v>2141</v>
      </c>
      <c r="B2142" s="10" t="s">
        <v>51</v>
      </c>
      <c r="C2142" s="10" t="s">
        <v>68</v>
      </c>
      <c r="D2142" s="62">
        <v>108</v>
      </c>
      <c r="E2142" s="61" t="s">
        <v>895</v>
      </c>
      <c r="F2142" s="19" t="s">
        <v>1010</v>
      </c>
      <c r="G2142" s="10" t="s">
        <v>150</v>
      </c>
      <c r="H2142" s="10" t="s">
        <v>849</v>
      </c>
      <c r="I2142" s="62">
        <v>71</v>
      </c>
      <c r="J2142" s="8" t="s">
        <v>2372</v>
      </c>
      <c r="K2142" s="10" t="s">
        <v>2374</v>
      </c>
      <c r="L2142" s="10" t="s">
        <v>2229</v>
      </c>
      <c r="M2142" s="10" t="s">
        <v>2372</v>
      </c>
      <c r="N2142" s="10" t="s">
        <v>2373</v>
      </c>
      <c r="O2142" s="10"/>
    </row>
    <row r="2143" spans="1:15" ht="18" customHeight="1" x14ac:dyDescent="0.3">
      <c r="A2143" s="24">
        <v>2142</v>
      </c>
      <c r="B2143" s="10" t="s">
        <v>51</v>
      </c>
      <c r="C2143" s="10" t="s">
        <v>68</v>
      </c>
      <c r="D2143" s="62">
        <v>108</v>
      </c>
      <c r="E2143" s="61" t="s">
        <v>895</v>
      </c>
      <c r="F2143" s="19" t="s">
        <v>1010</v>
      </c>
      <c r="G2143" s="10" t="s">
        <v>150</v>
      </c>
      <c r="H2143" s="10" t="s">
        <v>850</v>
      </c>
      <c r="I2143" s="62">
        <v>63</v>
      </c>
      <c r="J2143" s="8" t="s">
        <v>2372</v>
      </c>
      <c r="K2143" s="10" t="s">
        <v>2374</v>
      </c>
      <c r="L2143" s="10" t="s">
        <v>2229</v>
      </c>
      <c r="M2143" s="10" t="s">
        <v>2372</v>
      </c>
      <c r="N2143" s="10" t="s">
        <v>2373</v>
      </c>
      <c r="O2143" s="10"/>
    </row>
    <row r="2144" spans="1:15" ht="18" customHeight="1" x14ac:dyDescent="0.3">
      <c r="A2144" s="24">
        <v>2143</v>
      </c>
      <c r="B2144" s="10" t="s">
        <v>51</v>
      </c>
      <c r="C2144" s="10" t="s">
        <v>68</v>
      </c>
      <c r="D2144" s="62">
        <v>108</v>
      </c>
      <c r="E2144" s="61" t="s">
        <v>895</v>
      </c>
      <c r="F2144" s="19" t="s">
        <v>1010</v>
      </c>
      <c r="G2144" s="10" t="s">
        <v>150</v>
      </c>
      <c r="H2144" s="10" t="s">
        <v>851</v>
      </c>
      <c r="I2144" s="62">
        <v>81</v>
      </c>
      <c r="J2144" s="8" t="s">
        <v>846</v>
      </c>
      <c r="K2144" s="10" t="s">
        <v>2374</v>
      </c>
      <c r="L2144" s="10" t="s">
        <v>2229</v>
      </c>
      <c r="M2144" s="10" t="s">
        <v>2372</v>
      </c>
      <c r="N2144" s="10" t="s">
        <v>2373</v>
      </c>
      <c r="O2144" s="10"/>
    </row>
    <row r="2145" spans="1:15" ht="18" customHeight="1" x14ac:dyDescent="0.3">
      <c r="A2145" s="24">
        <v>2144</v>
      </c>
      <c r="B2145" s="10" t="s">
        <v>51</v>
      </c>
      <c r="C2145" s="10" t="s">
        <v>68</v>
      </c>
      <c r="D2145" s="62">
        <v>108</v>
      </c>
      <c r="E2145" s="61" t="s">
        <v>895</v>
      </c>
      <c r="F2145" s="19" t="s">
        <v>1010</v>
      </c>
      <c r="G2145" s="10" t="s">
        <v>150</v>
      </c>
      <c r="H2145" s="10" t="s">
        <v>852</v>
      </c>
      <c r="I2145" s="62">
        <v>161</v>
      </c>
      <c r="J2145" s="8" t="s">
        <v>846</v>
      </c>
      <c r="K2145" s="10" t="s">
        <v>847</v>
      </c>
      <c r="L2145" s="10" t="s">
        <v>2373</v>
      </c>
      <c r="M2145" s="10" t="s">
        <v>2372</v>
      </c>
      <c r="N2145" s="10" t="s">
        <v>2373</v>
      </c>
      <c r="O2145" s="10"/>
    </row>
    <row r="2146" spans="1:15" ht="18" customHeight="1" x14ac:dyDescent="0.3">
      <c r="A2146" s="24">
        <v>2145</v>
      </c>
      <c r="B2146" s="10" t="s">
        <v>51</v>
      </c>
      <c r="C2146" s="10" t="s">
        <v>68</v>
      </c>
      <c r="D2146" s="62">
        <v>108</v>
      </c>
      <c r="E2146" s="61" t="s">
        <v>895</v>
      </c>
      <c r="F2146" s="19" t="s">
        <v>1010</v>
      </c>
      <c r="G2146" s="10" t="s">
        <v>150</v>
      </c>
      <c r="H2146" s="10" t="s">
        <v>853</v>
      </c>
      <c r="I2146" s="62">
        <v>107</v>
      </c>
      <c r="J2146" s="8" t="s">
        <v>2372</v>
      </c>
      <c r="K2146" s="10" t="s">
        <v>847</v>
      </c>
      <c r="L2146" s="10" t="s">
        <v>2373</v>
      </c>
      <c r="M2146" s="10" t="s">
        <v>2372</v>
      </c>
      <c r="N2146" s="10" t="s">
        <v>2373</v>
      </c>
      <c r="O2146" s="10"/>
    </row>
    <row r="2147" spans="1:15" ht="18" customHeight="1" x14ac:dyDescent="0.3">
      <c r="A2147" s="24">
        <v>2146</v>
      </c>
      <c r="B2147" s="10" t="s">
        <v>51</v>
      </c>
      <c r="C2147" s="10" t="s">
        <v>68</v>
      </c>
      <c r="D2147" s="62">
        <v>108</v>
      </c>
      <c r="E2147" s="61" t="s">
        <v>895</v>
      </c>
      <c r="F2147" s="19" t="s">
        <v>1010</v>
      </c>
      <c r="G2147" s="10" t="s">
        <v>150</v>
      </c>
      <c r="H2147" s="10" t="s">
        <v>854</v>
      </c>
      <c r="I2147" s="62">
        <v>173</v>
      </c>
      <c r="J2147" s="8" t="s">
        <v>846</v>
      </c>
      <c r="K2147" s="10" t="s">
        <v>847</v>
      </c>
      <c r="L2147" s="10" t="s">
        <v>2373</v>
      </c>
      <c r="M2147" s="10" t="s">
        <v>2372</v>
      </c>
      <c r="N2147" s="10" t="s">
        <v>2373</v>
      </c>
      <c r="O2147" s="10"/>
    </row>
    <row r="2148" spans="1:15" ht="18" customHeight="1" x14ac:dyDescent="0.3">
      <c r="A2148" s="24">
        <v>2147</v>
      </c>
      <c r="B2148" s="99" t="s">
        <v>51</v>
      </c>
      <c r="C2148" s="99" t="s">
        <v>68</v>
      </c>
      <c r="D2148" s="99">
        <v>108</v>
      </c>
      <c r="E2148" s="502" t="s">
        <v>3682</v>
      </c>
      <c r="F2148" s="30" t="s">
        <v>1130</v>
      </c>
      <c r="G2148" s="99" t="s">
        <v>150</v>
      </c>
      <c r="H2148" s="10" t="s">
        <v>3041</v>
      </c>
      <c r="I2148" s="62">
        <v>22</v>
      </c>
      <c r="J2148" s="173" t="s">
        <v>884</v>
      </c>
      <c r="K2148" s="172" t="s">
        <v>860</v>
      </c>
      <c r="L2148" s="173" t="s">
        <v>3041</v>
      </c>
      <c r="M2148" s="10" t="s">
        <v>884</v>
      </c>
      <c r="N2148" s="10" t="s">
        <v>820</v>
      </c>
      <c r="O2148" s="10"/>
    </row>
    <row r="2149" spans="1:15" ht="18" customHeight="1" x14ac:dyDescent="0.3">
      <c r="A2149" s="24">
        <v>2148</v>
      </c>
      <c r="B2149" s="99" t="s">
        <v>51</v>
      </c>
      <c r="C2149" s="99" t="s">
        <v>68</v>
      </c>
      <c r="D2149" s="99">
        <v>108</v>
      </c>
      <c r="E2149" s="502" t="s">
        <v>3682</v>
      </c>
      <c r="F2149" s="30" t="s">
        <v>1130</v>
      </c>
      <c r="G2149" s="99" t="s">
        <v>150</v>
      </c>
      <c r="H2149" s="10" t="s">
        <v>3042</v>
      </c>
      <c r="I2149" s="62">
        <v>40</v>
      </c>
      <c r="J2149" s="173" t="s">
        <v>884</v>
      </c>
      <c r="K2149" s="172" t="s">
        <v>860</v>
      </c>
      <c r="L2149" s="173" t="s">
        <v>3042</v>
      </c>
      <c r="M2149" s="10" t="s">
        <v>884</v>
      </c>
      <c r="N2149" s="10" t="s">
        <v>820</v>
      </c>
      <c r="O2149" s="10"/>
    </row>
    <row r="2150" spans="1:15" ht="18" customHeight="1" x14ac:dyDescent="0.3">
      <c r="A2150" s="24">
        <v>2149</v>
      </c>
      <c r="B2150" s="99" t="s">
        <v>51</v>
      </c>
      <c r="C2150" s="99" t="s">
        <v>68</v>
      </c>
      <c r="D2150" s="99">
        <v>108</v>
      </c>
      <c r="E2150" s="502" t="s">
        <v>3682</v>
      </c>
      <c r="F2150" s="30" t="s">
        <v>1130</v>
      </c>
      <c r="G2150" s="99" t="s">
        <v>150</v>
      </c>
      <c r="H2150" s="10" t="s">
        <v>3043</v>
      </c>
      <c r="I2150" s="62">
        <v>315</v>
      </c>
      <c r="J2150" s="173" t="s">
        <v>884</v>
      </c>
      <c r="K2150" s="173" t="s">
        <v>884</v>
      </c>
      <c r="L2150" s="173" t="s">
        <v>820</v>
      </c>
      <c r="M2150" s="10" t="s">
        <v>884</v>
      </c>
      <c r="N2150" s="10" t="s">
        <v>820</v>
      </c>
      <c r="O2150" s="10"/>
    </row>
    <row r="2151" spans="1:15" ht="18" customHeight="1" x14ac:dyDescent="0.3">
      <c r="A2151" s="24">
        <v>2150</v>
      </c>
      <c r="B2151" s="99" t="s">
        <v>51</v>
      </c>
      <c r="C2151" s="99" t="s">
        <v>68</v>
      </c>
      <c r="D2151" s="99">
        <v>108</v>
      </c>
      <c r="E2151" s="502" t="s">
        <v>3682</v>
      </c>
      <c r="F2151" s="30" t="s">
        <v>1130</v>
      </c>
      <c r="G2151" s="99" t="s">
        <v>150</v>
      </c>
      <c r="H2151" s="10" t="s">
        <v>3044</v>
      </c>
      <c r="I2151" s="62">
        <v>168</v>
      </c>
      <c r="J2151" s="173" t="s">
        <v>884</v>
      </c>
      <c r="K2151" s="172" t="s">
        <v>860</v>
      </c>
      <c r="L2151" s="173" t="s">
        <v>3047</v>
      </c>
      <c r="M2151" s="10" t="s">
        <v>884</v>
      </c>
      <c r="N2151" s="10" t="s">
        <v>820</v>
      </c>
      <c r="O2151" s="10"/>
    </row>
    <row r="2152" spans="1:15" ht="18" customHeight="1" x14ac:dyDescent="0.3">
      <c r="A2152" s="24">
        <v>2151</v>
      </c>
      <c r="B2152" s="99" t="s">
        <v>51</v>
      </c>
      <c r="C2152" s="99" t="s">
        <v>68</v>
      </c>
      <c r="D2152" s="99">
        <v>108</v>
      </c>
      <c r="E2152" s="502" t="s">
        <v>3682</v>
      </c>
      <c r="F2152" s="30" t="s">
        <v>1130</v>
      </c>
      <c r="G2152" s="99" t="s">
        <v>150</v>
      </c>
      <c r="H2152" s="10" t="s">
        <v>3045</v>
      </c>
      <c r="I2152" s="62">
        <v>45</v>
      </c>
      <c r="J2152" s="173" t="s">
        <v>884</v>
      </c>
      <c r="K2152" s="172" t="s">
        <v>860</v>
      </c>
      <c r="L2152" s="173" t="s">
        <v>3047</v>
      </c>
      <c r="M2152" s="10" t="s">
        <v>884</v>
      </c>
      <c r="N2152" s="10" t="s">
        <v>820</v>
      </c>
      <c r="O2152" s="10"/>
    </row>
    <row r="2153" spans="1:15" ht="18" customHeight="1" x14ac:dyDescent="0.3">
      <c r="A2153" s="24">
        <v>2152</v>
      </c>
      <c r="B2153" s="99" t="s">
        <v>51</v>
      </c>
      <c r="C2153" s="99" t="s">
        <v>68</v>
      </c>
      <c r="D2153" s="99">
        <v>108</v>
      </c>
      <c r="E2153" s="502" t="s">
        <v>3682</v>
      </c>
      <c r="F2153" s="30" t="s">
        <v>1130</v>
      </c>
      <c r="G2153" s="99" t="s">
        <v>150</v>
      </c>
      <c r="H2153" s="10" t="s">
        <v>3046</v>
      </c>
      <c r="I2153" s="62">
        <v>76</v>
      </c>
      <c r="J2153" s="173" t="s">
        <v>884</v>
      </c>
      <c r="K2153" s="172" t="s">
        <v>860</v>
      </c>
      <c r="L2153" s="173" t="s">
        <v>3048</v>
      </c>
      <c r="M2153" s="10" t="s">
        <v>884</v>
      </c>
      <c r="N2153" s="10" t="s">
        <v>820</v>
      </c>
      <c r="O2153" s="10"/>
    </row>
    <row r="2154" spans="1:15" ht="18" customHeight="1" x14ac:dyDescent="0.3">
      <c r="A2154" s="24">
        <v>2153</v>
      </c>
      <c r="B2154" s="10" t="s">
        <v>51</v>
      </c>
      <c r="C2154" s="10" t="s">
        <v>68</v>
      </c>
      <c r="D2154" s="62">
        <v>108</v>
      </c>
      <c r="E2154" s="61" t="s">
        <v>2899</v>
      </c>
      <c r="F2154" s="19" t="s">
        <v>640</v>
      </c>
      <c r="G2154" s="10" t="s">
        <v>160</v>
      </c>
      <c r="H2154" s="10" t="s">
        <v>845</v>
      </c>
      <c r="I2154" s="62">
        <v>121</v>
      </c>
      <c r="J2154" s="10" t="s">
        <v>2374</v>
      </c>
      <c r="K2154" s="10" t="s">
        <v>847</v>
      </c>
      <c r="L2154" s="10" t="s">
        <v>2373</v>
      </c>
      <c r="M2154" s="10" t="s">
        <v>2372</v>
      </c>
      <c r="N2154" s="10" t="s">
        <v>2373</v>
      </c>
      <c r="O2154" s="10"/>
    </row>
    <row r="2155" spans="1:15" ht="18" customHeight="1" x14ac:dyDescent="0.3">
      <c r="A2155" s="24">
        <v>2154</v>
      </c>
      <c r="B2155" s="10" t="s">
        <v>51</v>
      </c>
      <c r="C2155" s="10" t="s">
        <v>68</v>
      </c>
      <c r="D2155" s="62">
        <v>108</v>
      </c>
      <c r="E2155" s="61" t="s">
        <v>2899</v>
      </c>
      <c r="F2155" s="19" t="s">
        <v>640</v>
      </c>
      <c r="G2155" s="10" t="s">
        <v>160</v>
      </c>
      <c r="H2155" s="10" t="s">
        <v>848</v>
      </c>
      <c r="I2155" s="62">
        <v>95</v>
      </c>
      <c r="J2155" s="10" t="s">
        <v>2374</v>
      </c>
      <c r="K2155" s="10" t="s">
        <v>847</v>
      </c>
      <c r="L2155" s="10" t="s">
        <v>2373</v>
      </c>
      <c r="M2155" s="10" t="s">
        <v>2372</v>
      </c>
      <c r="N2155" s="10" t="s">
        <v>2373</v>
      </c>
      <c r="O2155" s="10"/>
    </row>
    <row r="2156" spans="1:15" ht="18" customHeight="1" x14ac:dyDescent="0.3">
      <c r="A2156" s="24">
        <v>2155</v>
      </c>
      <c r="B2156" s="10" t="s">
        <v>51</v>
      </c>
      <c r="C2156" s="10" t="s">
        <v>68</v>
      </c>
      <c r="D2156" s="62">
        <v>108</v>
      </c>
      <c r="E2156" s="61" t="s">
        <v>2899</v>
      </c>
      <c r="F2156" s="19" t="s">
        <v>640</v>
      </c>
      <c r="G2156" s="10" t="s">
        <v>160</v>
      </c>
      <c r="H2156" s="10" t="s">
        <v>849</v>
      </c>
      <c r="I2156" s="62">
        <v>95</v>
      </c>
      <c r="J2156" s="10" t="s">
        <v>2372</v>
      </c>
      <c r="K2156" s="10" t="s">
        <v>847</v>
      </c>
      <c r="L2156" s="10" t="s">
        <v>2373</v>
      </c>
      <c r="M2156" s="10" t="s">
        <v>2372</v>
      </c>
      <c r="N2156" s="10" t="s">
        <v>2373</v>
      </c>
      <c r="O2156" s="10"/>
    </row>
    <row r="2157" spans="1:15" ht="18" customHeight="1" x14ac:dyDescent="0.3">
      <c r="A2157" s="24">
        <v>2156</v>
      </c>
      <c r="B2157" s="10" t="s">
        <v>51</v>
      </c>
      <c r="C2157" s="10" t="s">
        <v>68</v>
      </c>
      <c r="D2157" s="62">
        <v>108</v>
      </c>
      <c r="E2157" s="61" t="s">
        <v>2899</v>
      </c>
      <c r="F2157" s="19" t="s">
        <v>640</v>
      </c>
      <c r="G2157" s="10" t="s">
        <v>160</v>
      </c>
      <c r="H2157" s="10" t="s">
        <v>850</v>
      </c>
      <c r="I2157" s="62">
        <v>84</v>
      </c>
      <c r="J2157" s="10" t="s">
        <v>2374</v>
      </c>
      <c r="K2157" s="10" t="s">
        <v>847</v>
      </c>
      <c r="L2157" s="10" t="s">
        <v>2373</v>
      </c>
      <c r="M2157" s="10" t="s">
        <v>2372</v>
      </c>
      <c r="N2157" s="10" t="s">
        <v>2373</v>
      </c>
      <c r="O2157" s="10"/>
    </row>
    <row r="2158" spans="1:15" ht="18" customHeight="1" x14ac:dyDescent="0.3">
      <c r="A2158" s="24">
        <v>2157</v>
      </c>
      <c r="B2158" s="10" t="s">
        <v>51</v>
      </c>
      <c r="C2158" s="10" t="s">
        <v>68</v>
      </c>
      <c r="D2158" s="62">
        <v>108</v>
      </c>
      <c r="E2158" s="61" t="s">
        <v>2899</v>
      </c>
      <c r="F2158" s="19" t="s">
        <v>640</v>
      </c>
      <c r="G2158" s="10" t="s">
        <v>160</v>
      </c>
      <c r="H2158" s="10" t="s">
        <v>2390</v>
      </c>
      <c r="I2158" s="62">
        <v>56</v>
      </c>
      <c r="J2158" s="10" t="s">
        <v>2372</v>
      </c>
      <c r="K2158" s="10" t="s">
        <v>847</v>
      </c>
      <c r="L2158" s="10" t="s">
        <v>2373</v>
      </c>
      <c r="M2158" s="10" t="s">
        <v>2372</v>
      </c>
      <c r="N2158" s="10" t="s">
        <v>2373</v>
      </c>
      <c r="O2158" s="10"/>
    </row>
    <row r="2159" spans="1:15" ht="18" customHeight="1" x14ac:dyDescent="0.3">
      <c r="A2159" s="24">
        <v>2158</v>
      </c>
      <c r="B2159" s="10" t="s">
        <v>51</v>
      </c>
      <c r="C2159" s="10" t="s">
        <v>68</v>
      </c>
      <c r="D2159" s="62">
        <v>108</v>
      </c>
      <c r="E2159" s="61" t="s">
        <v>2899</v>
      </c>
      <c r="F2159" s="19" t="s">
        <v>640</v>
      </c>
      <c r="G2159" s="10" t="s">
        <v>160</v>
      </c>
      <c r="H2159" s="10" t="s">
        <v>852</v>
      </c>
      <c r="I2159" s="62">
        <v>74</v>
      </c>
      <c r="J2159" s="10" t="s">
        <v>2372</v>
      </c>
      <c r="K2159" s="10" t="s">
        <v>2372</v>
      </c>
      <c r="L2159" s="10" t="s">
        <v>2373</v>
      </c>
      <c r="M2159" s="10" t="s">
        <v>2372</v>
      </c>
      <c r="N2159" s="10" t="s">
        <v>2373</v>
      </c>
      <c r="O2159" s="10"/>
    </row>
    <row r="2160" spans="1:15" ht="18" customHeight="1" x14ac:dyDescent="0.3">
      <c r="A2160" s="24">
        <v>2159</v>
      </c>
      <c r="B2160" s="10" t="s">
        <v>51</v>
      </c>
      <c r="C2160" s="10" t="s">
        <v>68</v>
      </c>
      <c r="D2160" s="62">
        <v>108</v>
      </c>
      <c r="E2160" s="61" t="s">
        <v>2899</v>
      </c>
      <c r="F2160" s="19" t="s">
        <v>640</v>
      </c>
      <c r="G2160" s="10" t="s">
        <v>160</v>
      </c>
      <c r="H2160" s="10" t="s">
        <v>2431</v>
      </c>
      <c r="I2160" s="62">
        <v>56</v>
      </c>
      <c r="J2160" s="10" t="s">
        <v>2372</v>
      </c>
      <c r="K2160" s="10" t="s">
        <v>847</v>
      </c>
      <c r="L2160" s="10" t="s">
        <v>2373</v>
      </c>
      <c r="M2160" s="10" t="s">
        <v>2372</v>
      </c>
      <c r="N2160" s="10" t="s">
        <v>2373</v>
      </c>
      <c r="O2160" s="10"/>
    </row>
    <row r="2161" spans="1:15" ht="18" customHeight="1" x14ac:dyDescent="0.3">
      <c r="A2161" s="24">
        <v>2160</v>
      </c>
      <c r="B2161" s="10" t="s">
        <v>51</v>
      </c>
      <c r="C2161" s="10" t="s">
        <v>68</v>
      </c>
      <c r="D2161" s="62">
        <v>108</v>
      </c>
      <c r="E2161" s="61" t="s">
        <v>2899</v>
      </c>
      <c r="F2161" s="19" t="s">
        <v>640</v>
      </c>
      <c r="G2161" s="10" t="s">
        <v>160</v>
      </c>
      <c r="H2161" s="10" t="s">
        <v>2383</v>
      </c>
      <c r="I2161" s="62">
        <v>90</v>
      </c>
      <c r="J2161" s="10" t="s">
        <v>2372</v>
      </c>
      <c r="K2161" s="10" t="s">
        <v>847</v>
      </c>
      <c r="L2161" s="10" t="s">
        <v>2373</v>
      </c>
      <c r="M2161" s="10" t="s">
        <v>2372</v>
      </c>
      <c r="N2161" s="10" t="s">
        <v>2373</v>
      </c>
      <c r="O2161" s="10"/>
    </row>
    <row r="2162" spans="1:15" ht="18" customHeight="1" x14ac:dyDescent="0.3">
      <c r="A2162" s="24">
        <v>2161</v>
      </c>
      <c r="B2162" s="10" t="s">
        <v>51</v>
      </c>
      <c r="C2162" s="10" t="s">
        <v>68</v>
      </c>
      <c r="D2162" s="62">
        <v>108</v>
      </c>
      <c r="E2162" s="61" t="s">
        <v>896</v>
      </c>
      <c r="F2162" s="19" t="s">
        <v>1011</v>
      </c>
      <c r="G2162" s="10" t="s">
        <v>150</v>
      </c>
      <c r="H2162" s="10" t="s">
        <v>850</v>
      </c>
      <c r="I2162" s="62">
        <v>214</v>
      </c>
      <c r="J2162" s="8" t="s">
        <v>2372</v>
      </c>
      <c r="K2162" s="10" t="s">
        <v>847</v>
      </c>
      <c r="L2162" s="10" t="s">
        <v>2373</v>
      </c>
      <c r="M2162" s="10" t="s">
        <v>2372</v>
      </c>
      <c r="N2162" s="10" t="s">
        <v>2373</v>
      </c>
      <c r="O2162" s="10"/>
    </row>
    <row r="2163" spans="1:15" ht="18" customHeight="1" x14ac:dyDescent="0.3">
      <c r="A2163" s="24">
        <v>2162</v>
      </c>
      <c r="B2163" s="10" t="s">
        <v>51</v>
      </c>
      <c r="C2163" s="10" t="s">
        <v>68</v>
      </c>
      <c r="D2163" s="62">
        <v>108</v>
      </c>
      <c r="E2163" s="61" t="s">
        <v>896</v>
      </c>
      <c r="F2163" s="19" t="s">
        <v>1011</v>
      </c>
      <c r="G2163" s="10" t="s">
        <v>150</v>
      </c>
      <c r="H2163" s="10" t="s">
        <v>851</v>
      </c>
      <c r="I2163" s="62">
        <v>276</v>
      </c>
      <c r="J2163" s="8" t="s">
        <v>2372</v>
      </c>
      <c r="K2163" s="10" t="s">
        <v>847</v>
      </c>
      <c r="L2163" s="10" t="s">
        <v>2373</v>
      </c>
      <c r="M2163" s="10" t="s">
        <v>2372</v>
      </c>
      <c r="N2163" s="10" t="s">
        <v>2373</v>
      </c>
      <c r="O2163" s="10"/>
    </row>
    <row r="2164" spans="1:15" ht="18" customHeight="1" x14ac:dyDescent="0.3">
      <c r="A2164" s="24">
        <v>2163</v>
      </c>
      <c r="B2164" s="10" t="s">
        <v>51</v>
      </c>
      <c r="C2164" s="10" t="s">
        <v>68</v>
      </c>
      <c r="D2164" s="62">
        <v>108</v>
      </c>
      <c r="E2164" s="61" t="s">
        <v>896</v>
      </c>
      <c r="F2164" s="19" t="s">
        <v>1011</v>
      </c>
      <c r="G2164" s="10" t="s">
        <v>150</v>
      </c>
      <c r="H2164" s="10" t="s">
        <v>852</v>
      </c>
      <c r="I2164" s="62">
        <v>78</v>
      </c>
      <c r="J2164" s="8" t="s">
        <v>2372</v>
      </c>
      <c r="K2164" s="10" t="s">
        <v>2374</v>
      </c>
      <c r="L2164" s="10" t="s">
        <v>2229</v>
      </c>
      <c r="M2164" s="10" t="s">
        <v>2372</v>
      </c>
      <c r="N2164" s="10" t="s">
        <v>2373</v>
      </c>
      <c r="O2164" s="10"/>
    </row>
    <row r="2165" spans="1:15" ht="18" customHeight="1" x14ac:dyDescent="0.3">
      <c r="A2165" s="24">
        <v>2164</v>
      </c>
      <c r="B2165" s="10" t="s">
        <v>51</v>
      </c>
      <c r="C2165" s="10" t="s">
        <v>68</v>
      </c>
      <c r="D2165" s="62">
        <v>108</v>
      </c>
      <c r="E2165" s="61" t="s">
        <v>896</v>
      </c>
      <c r="F2165" s="19" t="s">
        <v>1011</v>
      </c>
      <c r="G2165" s="10" t="s">
        <v>150</v>
      </c>
      <c r="H2165" s="10" t="s">
        <v>853</v>
      </c>
      <c r="I2165" s="62">
        <v>160</v>
      </c>
      <c r="J2165" s="8" t="s">
        <v>2372</v>
      </c>
      <c r="K2165" s="10" t="s">
        <v>847</v>
      </c>
      <c r="L2165" s="10" t="s">
        <v>2373</v>
      </c>
      <c r="M2165" s="10" t="s">
        <v>2372</v>
      </c>
      <c r="N2165" s="10" t="s">
        <v>2373</v>
      </c>
      <c r="O2165" s="10"/>
    </row>
    <row r="2166" spans="1:15" ht="18" customHeight="1" x14ac:dyDescent="0.3">
      <c r="A2166" s="24">
        <v>2165</v>
      </c>
      <c r="B2166" s="10" t="s">
        <v>51</v>
      </c>
      <c r="C2166" s="10" t="s">
        <v>68</v>
      </c>
      <c r="D2166" s="62">
        <v>108</v>
      </c>
      <c r="E2166" s="61" t="s">
        <v>896</v>
      </c>
      <c r="F2166" s="19" t="s">
        <v>1758</v>
      </c>
      <c r="G2166" s="10" t="s">
        <v>150</v>
      </c>
      <c r="H2166" s="10" t="s">
        <v>845</v>
      </c>
      <c r="I2166" s="62">
        <v>108</v>
      </c>
      <c r="J2166" s="8" t="s">
        <v>846</v>
      </c>
      <c r="K2166" s="10" t="s">
        <v>847</v>
      </c>
      <c r="L2166" s="10" t="s">
        <v>2373</v>
      </c>
      <c r="M2166" s="10" t="s">
        <v>2372</v>
      </c>
      <c r="N2166" s="10" t="s">
        <v>2373</v>
      </c>
      <c r="O2166" s="10"/>
    </row>
    <row r="2167" spans="1:15" ht="18" customHeight="1" x14ac:dyDescent="0.3">
      <c r="A2167" s="24">
        <v>2166</v>
      </c>
      <c r="B2167" s="10" t="s">
        <v>51</v>
      </c>
      <c r="C2167" s="10" t="s">
        <v>68</v>
      </c>
      <c r="D2167" s="62">
        <v>108</v>
      </c>
      <c r="E2167" s="61" t="s">
        <v>896</v>
      </c>
      <c r="F2167" s="19" t="s">
        <v>1758</v>
      </c>
      <c r="G2167" s="10" t="s">
        <v>150</v>
      </c>
      <c r="H2167" s="10" t="s">
        <v>848</v>
      </c>
      <c r="I2167" s="62">
        <v>57</v>
      </c>
      <c r="J2167" s="8" t="s">
        <v>846</v>
      </c>
      <c r="K2167" s="10" t="s">
        <v>2374</v>
      </c>
      <c r="L2167" s="10" t="s">
        <v>2229</v>
      </c>
      <c r="M2167" s="10" t="s">
        <v>2372</v>
      </c>
      <c r="N2167" s="10" t="s">
        <v>2373</v>
      </c>
      <c r="O2167" s="10"/>
    </row>
    <row r="2168" spans="1:15" ht="18" customHeight="1" x14ac:dyDescent="0.3">
      <c r="A2168" s="24">
        <v>2167</v>
      </c>
      <c r="B2168" s="10" t="s">
        <v>51</v>
      </c>
      <c r="C2168" s="10" t="s">
        <v>68</v>
      </c>
      <c r="D2168" s="62">
        <v>108</v>
      </c>
      <c r="E2168" s="61" t="s">
        <v>896</v>
      </c>
      <c r="F2168" s="19" t="s">
        <v>1758</v>
      </c>
      <c r="G2168" s="10" t="s">
        <v>150</v>
      </c>
      <c r="H2168" s="10" t="s">
        <v>849</v>
      </c>
      <c r="I2168" s="62">
        <v>109</v>
      </c>
      <c r="J2168" s="8" t="s">
        <v>2372</v>
      </c>
      <c r="K2168" s="10" t="s">
        <v>2374</v>
      </c>
      <c r="L2168" s="10" t="s">
        <v>2229</v>
      </c>
      <c r="M2168" s="10" t="s">
        <v>2372</v>
      </c>
      <c r="N2168" s="10" t="s">
        <v>2373</v>
      </c>
      <c r="O2168" s="10"/>
    </row>
    <row r="2169" spans="1:15" ht="18" customHeight="1" x14ac:dyDescent="0.3">
      <c r="A2169" s="24">
        <v>2168</v>
      </c>
      <c r="B2169" s="10" t="s">
        <v>1600</v>
      </c>
      <c r="C2169" s="10" t="s">
        <v>1744</v>
      </c>
      <c r="D2169" s="62">
        <v>110</v>
      </c>
      <c r="E2169" s="61" t="s">
        <v>2900</v>
      </c>
      <c r="F2169" s="113" t="s">
        <v>1761</v>
      </c>
      <c r="G2169" s="10" t="s">
        <v>1278</v>
      </c>
      <c r="H2169" s="10" t="s">
        <v>2385</v>
      </c>
      <c r="I2169" s="62">
        <v>89</v>
      </c>
      <c r="J2169" s="10" t="s">
        <v>2372</v>
      </c>
      <c r="K2169" s="10" t="s">
        <v>847</v>
      </c>
      <c r="L2169" s="10" t="s">
        <v>2373</v>
      </c>
      <c r="M2169" s="10" t="s">
        <v>2372</v>
      </c>
      <c r="N2169" s="10" t="s">
        <v>2373</v>
      </c>
      <c r="O2169" s="10"/>
    </row>
    <row r="2170" spans="1:15" ht="18" customHeight="1" x14ac:dyDescent="0.3">
      <c r="A2170" s="24">
        <v>2169</v>
      </c>
      <c r="B2170" s="10" t="s">
        <v>1600</v>
      </c>
      <c r="C2170" s="10" t="s">
        <v>1744</v>
      </c>
      <c r="D2170" s="62">
        <v>110</v>
      </c>
      <c r="E2170" s="61" t="s">
        <v>2900</v>
      </c>
      <c r="F2170" s="113" t="s">
        <v>1761</v>
      </c>
      <c r="G2170" s="10" t="s">
        <v>1278</v>
      </c>
      <c r="H2170" s="10" t="s">
        <v>2378</v>
      </c>
      <c r="I2170" s="62">
        <v>89</v>
      </c>
      <c r="J2170" s="10" t="s">
        <v>2372</v>
      </c>
      <c r="K2170" s="10" t="s">
        <v>847</v>
      </c>
      <c r="L2170" s="10" t="s">
        <v>2373</v>
      </c>
      <c r="M2170" s="10" t="s">
        <v>2372</v>
      </c>
      <c r="N2170" s="10" t="s">
        <v>2373</v>
      </c>
      <c r="O2170" s="10"/>
    </row>
    <row r="2171" spans="1:15" ht="18" customHeight="1" x14ac:dyDescent="0.3">
      <c r="A2171" s="24">
        <v>2170</v>
      </c>
      <c r="B2171" s="10" t="s">
        <v>1600</v>
      </c>
      <c r="C2171" s="10" t="s">
        <v>1744</v>
      </c>
      <c r="D2171" s="62">
        <v>110</v>
      </c>
      <c r="E2171" s="61" t="s">
        <v>2900</v>
      </c>
      <c r="F2171" s="113" t="s">
        <v>1761</v>
      </c>
      <c r="G2171" s="10" t="s">
        <v>1278</v>
      </c>
      <c r="H2171" s="10" t="s">
        <v>2379</v>
      </c>
      <c r="I2171" s="62">
        <v>127</v>
      </c>
      <c r="J2171" s="10" t="s">
        <v>2372</v>
      </c>
      <c r="K2171" s="10" t="s">
        <v>847</v>
      </c>
      <c r="L2171" s="10" t="s">
        <v>2373</v>
      </c>
      <c r="M2171" s="10" t="s">
        <v>2372</v>
      </c>
      <c r="N2171" s="10" t="s">
        <v>2373</v>
      </c>
      <c r="O2171" s="10"/>
    </row>
    <row r="2172" spans="1:15" ht="18" customHeight="1" x14ac:dyDescent="0.3">
      <c r="A2172" s="24">
        <v>2171</v>
      </c>
      <c r="B2172" s="10" t="s">
        <v>1600</v>
      </c>
      <c r="C2172" s="10" t="s">
        <v>1744</v>
      </c>
      <c r="D2172" s="62">
        <v>110</v>
      </c>
      <c r="E2172" s="61" t="s">
        <v>2900</v>
      </c>
      <c r="F2172" s="113" t="s">
        <v>1761</v>
      </c>
      <c r="G2172" s="10" t="s">
        <v>1278</v>
      </c>
      <c r="H2172" s="10" t="s">
        <v>2380</v>
      </c>
      <c r="I2172" s="62">
        <v>133</v>
      </c>
      <c r="J2172" s="10" t="s">
        <v>2372</v>
      </c>
      <c r="K2172" s="10" t="s">
        <v>847</v>
      </c>
      <c r="L2172" s="10" t="s">
        <v>2373</v>
      </c>
      <c r="M2172" s="10" t="s">
        <v>2372</v>
      </c>
      <c r="N2172" s="10" t="s">
        <v>2373</v>
      </c>
      <c r="O2172" s="10"/>
    </row>
    <row r="2173" spans="1:15" ht="18" customHeight="1" x14ac:dyDescent="0.3">
      <c r="A2173" s="24">
        <v>2172</v>
      </c>
      <c r="B2173" s="10" t="s">
        <v>1600</v>
      </c>
      <c r="C2173" s="10" t="s">
        <v>1744</v>
      </c>
      <c r="D2173" s="62">
        <v>110</v>
      </c>
      <c r="E2173" s="61" t="s">
        <v>2900</v>
      </c>
      <c r="F2173" s="113" t="s">
        <v>1761</v>
      </c>
      <c r="G2173" s="10" t="s">
        <v>1278</v>
      </c>
      <c r="H2173" s="10" t="s">
        <v>2390</v>
      </c>
      <c r="I2173" s="62">
        <v>139</v>
      </c>
      <c r="J2173" s="10" t="s">
        <v>2372</v>
      </c>
      <c r="K2173" s="10" t="s">
        <v>847</v>
      </c>
      <c r="L2173" s="10" t="s">
        <v>2373</v>
      </c>
      <c r="M2173" s="10" t="s">
        <v>2372</v>
      </c>
      <c r="N2173" s="10" t="s">
        <v>2373</v>
      </c>
      <c r="O2173" s="10"/>
    </row>
    <row r="2174" spans="1:15" ht="18" customHeight="1" x14ac:dyDescent="0.3">
      <c r="A2174" s="24">
        <v>2173</v>
      </c>
      <c r="B2174" s="10" t="s">
        <v>1600</v>
      </c>
      <c r="C2174" s="10" t="s">
        <v>1744</v>
      </c>
      <c r="D2174" s="62">
        <v>110</v>
      </c>
      <c r="E2174" s="61" t="s">
        <v>2900</v>
      </c>
      <c r="F2174" s="113" t="s">
        <v>1761</v>
      </c>
      <c r="G2174" s="10" t="s">
        <v>1278</v>
      </c>
      <c r="H2174" s="10" t="s">
        <v>2382</v>
      </c>
      <c r="I2174" s="62">
        <v>167</v>
      </c>
      <c r="J2174" s="10" t="s">
        <v>2372</v>
      </c>
      <c r="K2174" s="10" t="s">
        <v>847</v>
      </c>
      <c r="L2174" s="10" t="s">
        <v>2373</v>
      </c>
      <c r="M2174" s="10" t="s">
        <v>2372</v>
      </c>
      <c r="N2174" s="10" t="s">
        <v>2373</v>
      </c>
      <c r="O2174" s="10"/>
    </row>
    <row r="2175" spans="1:15" ht="18" customHeight="1" x14ac:dyDescent="0.3">
      <c r="A2175" s="24">
        <v>2174</v>
      </c>
      <c r="B2175" s="10" t="s">
        <v>1600</v>
      </c>
      <c r="C2175" s="10" t="s">
        <v>1762</v>
      </c>
      <c r="D2175" s="62">
        <v>112</v>
      </c>
      <c r="E2175" s="61" t="s">
        <v>2901</v>
      </c>
      <c r="F2175" s="19" t="s">
        <v>1764</v>
      </c>
      <c r="G2175" s="10" t="s">
        <v>1278</v>
      </c>
      <c r="H2175" s="10" t="s">
        <v>2385</v>
      </c>
      <c r="I2175" s="62">
        <v>87</v>
      </c>
      <c r="J2175" s="10" t="s">
        <v>2372</v>
      </c>
      <c r="K2175" s="10" t="s">
        <v>2372</v>
      </c>
      <c r="L2175" s="10" t="s">
        <v>2373</v>
      </c>
      <c r="M2175" s="10" t="s">
        <v>2372</v>
      </c>
      <c r="N2175" s="10" t="s">
        <v>2373</v>
      </c>
      <c r="O2175" s="10"/>
    </row>
    <row r="2176" spans="1:15" ht="18" customHeight="1" x14ac:dyDescent="0.3">
      <c r="A2176" s="24">
        <v>2175</v>
      </c>
      <c r="B2176" s="10" t="s">
        <v>1600</v>
      </c>
      <c r="C2176" s="10" t="s">
        <v>1762</v>
      </c>
      <c r="D2176" s="62">
        <v>112</v>
      </c>
      <c r="E2176" s="61" t="s">
        <v>2901</v>
      </c>
      <c r="F2176" s="19" t="s">
        <v>1764</v>
      </c>
      <c r="G2176" s="10" t="s">
        <v>1278</v>
      </c>
      <c r="H2176" s="10" t="s">
        <v>2378</v>
      </c>
      <c r="I2176" s="62">
        <v>44</v>
      </c>
      <c r="J2176" s="10" t="s">
        <v>2372</v>
      </c>
      <c r="K2176" s="10" t="s">
        <v>2372</v>
      </c>
      <c r="L2176" s="10" t="s">
        <v>2373</v>
      </c>
      <c r="M2176" s="10" t="s">
        <v>2372</v>
      </c>
      <c r="N2176" s="10" t="s">
        <v>2373</v>
      </c>
      <c r="O2176" s="10"/>
    </row>
    <row r="2177" spans="1:15" ht="18" customHeight="1" x14ac:dyDescent="0.3">
      <c r="A2177" s="24">
        <v>2176</v>
      </c>
      <c r="B2177" s="10" t="s">
        <v>1600</v>
      </c>
      <c r="C2177" s="10" t="s">
        <v>1762</v>
      </c>
      <c r="D2177" s="62">
        <v>112</v>
      </c>
      <c r="E2177" s="61" t="s">
        <v>2901</v>
      </c>
      <c r="F2177" s="19" t="s">
        <v>1764</v>
      </c>
      <c r="G2177" s="10" t="s">
        <v>1278</v>
      </c>
      <c r="H2177" s="10" t="s">
        <v>2379</v>
      </c>
      <c r="I2177" s="62">
        <v>88</v>
      </c>
      <c r="J2177" s="10" t="s">
        <v>2372</v>
      </c>
      <c r="K2177" s="10" t="s">
        <v>2372</v>
      </c>
      <c r="L2177" s="10" t="s">
        <v>2373</v>
      </c>
      <c r="M2177" s="10" t="s">
        <v>2372</v>
      </c>
      <c r="N2177" s="10" t="s">
        <v>2373</v>
      </c>
      <c r="O2177" s="10"/>
    </row>
    <row r="2178" spans="1:15" ht="18" customHeight="1" x14ac:dyDescent="0.3">
      <c r="A2178" s="24">
        <v>2177</v>
      </c>
      <c r="B2178" s="10" t="s">
        <v>1600</v>
      </c>
      <c r="C2178" s="10" t="s">
        <v>1762</v>
      </c>
      <c r="D2178" s="62">
        <v>112</v>
      </c>
      <c r="E2178" s="61" t="s">
        <v>2901</v>
      </c>
      <c r="F2178" s="19" t="s">
        <v>1764</v>
      </c>
      <c r="G2178" s="10" t="s">
        <v>1278</v>
      </c>
      <c r="H2178" s="10" t="s">
        <v>2380</v>
      </c>
      <c r="I2178" s="62">
        <v>101</v>
      </c>
      <c r="J2178" s="10" t="s">
        <v>2372</v>
      </c>
      <c r="K2178" s="10" t="s">
        <v>2372</v>
      </c>
      <c r="L2178" s="10" t="s">
        <v>2373</v>
      </c>
      <c r="M2178" s="10" t="s">
        <v>2372</v>
      </c>
      <c r="N2178" s="10" t="s">
        <v>2373</v>
      </c>
      <c r="O2178" s="10"/>
    </row>
    <row r="2179" spans="1:15" ht="18" customHeight="1" x14ac:dyDescent="0.3">
      <c r="A2179" s="24">
        <v>2178</v>
      </c>
      <c r="B2179" s="10" t="s">
        <v>1600</v>
      </c>
      <c r="C2179" s="10" t="s">
        <v>1762</v>
      </c>
      <c r="D2179" s="62">
        <v>112</v>
      </c>
      <c r="E2179" s="61" t="s">
        <v>2901</v>
      </c>
      <c r="F2179" s="19" t="s">
        <v>1764</v>
      </c>
      <c r="G2179" s="10" t="s">
        <v>1278</v>
      </c>
      <c r="H2179" s="10" t="s">
        <v>2390</v>
      </c>
      <c r="I2179" s="62">
        <v>94</v>
      </c>
      <c r="J2179" s="10" t="s">
        <v>2374</v>
      </c>
      <c r="K2179" s="10" t="s">
        <v>2372</v>
      </c>
      <c r="L2179" s="10" t="s">
        <v>2373</v>
      </c>
      <c r="M2179" s="10" t="s">
        <v>2372</v>
      </c>
      <c r="N2179" s="10" t="s">
        <v>2373</v>
      </c>
      <c r="O2179" s="10"/>
    </row>
    <row r="2180" spans="1:15" ht="18" customHeight="1" x14ac:dyDescent="0.3">
      <c r="A2180" s="24">
        <v>2179</v>
      </c>
      <c r="B2180" s="10" t="s">
        <v>51</v>
      </c>
      <c r="C2180" s="10" t="s">
        <v>69</v>
      </c>
      <c r="D2180" s="62">
        <v>112</v>
      </c>
      <c r="E2180" s="61" t="s">
        <v>2902</v>
      </c>
      <c r="F2180" s="16" t="s">
        <v>653</v>
      </c>
      <c r="G2180" s="10" t="s">
        <v>160</v>
      </c>
      <c r="H2180" s="10" t="s">
        <v>848</v>
      </c>
      <c r="I2180" s="62">
        <v>146</v>
      </c>
      <c r="J2180" s="10" t="s">
        <v>2374</v>
      </c>
      <c r="K2180" s="10" t="s">
        <v>847</v>
      </c>
      <c r="L2180" s="10" t="s">
        <v>2373</v>
      </c>
      <c r="M2180" s="10" t="s">
        <v>2372</v>
      </c>
      <c r="N2180" s="10" t="s">
        <v>2373</v>
      </c>
      <c r="O2180" s="10"/>
    </row>
    <row r="2181" spans="1:15" ht="18" customHeight="1" x14ac:dyDescent="0.3">
      <c r="A2181" s="24">
        <v>2180</v>
      </c>
      <c r="B2181" s="10" t="s">
        <v>51</v>
      </c>
      <c r="C2181" s="10" t="s">
        <v>69</v>
      </c>
      <c r="D2181" s="62">
        <v>112</v>
      </c>
      <c r="E2181" s="61" t="s">
        <v>2625</v>
      </c>
      <c r="F2181" s="16" t="s">
        <v>653</v>
      </c>
      <c r="G2181" s="10" t="s">
        <v>160</v>
      </c>
      <c r="H2181" s="10" t="s">
        <v>849</v>
      </c>
      <c r="I2181" s="62">
        <v>95</v>
      </c>
      <c r="J2181" s="10" t="s">
        <v>2372</v>
      </c>
      <c r="K2181" s="10" t="s">
        <v>847</v>
      </c>
      <c r="L2181" s="10" t="s">
        <v>2373</v>
      </c>
      <c r="M2181" s="10" t="s">
        <v>2372</v>
      </c>
      <c r="N2181" s="10" t="s">
        <v>2373</v>
      </c>
      <c r="O2181" s="10"/>
    </row>
    <row r="2182" spans="1:15" ht="18" customHeight="1" x14ac:dyDescent="0.3">
      <c r="A2182" s="24">
        <v>2181</v>
      </c>
      <c r="B2182" s="10" t="s">
        <v>51</v>
      </c>
      <c r="C2182" s="10" t="s">
        <v>69</v>
      </c>
      <c r="D2182" s="62">
        <v>112</v>
      </c>
      <c r="E2182" s="61" t="s">
        <v>2625</v>
      </c>
      <c r="F2182" s="16" t="s">
        <v>653</v>
      </c>
      <c r="G2182" s="10" t="s">
        <v>160</v>
      </c>
      <c r="H2182" s="10" t="s">
        <v>850</v>
      </c>
      <c r="I2182" s="62">
        <v>96</v>
      </c>
      <c r="J2182" s="10" t="s">
        <v>2372</v>
      </c>
      <c r="K2182" s="10" t="s">
        <v>847</v>
      </c>
      <c r="L2182" s="10" t="s">
        <v>2373</v>
      </c>
      <c r="M2182" s="10" t="s">
        <v>2372</v>
      </c>
      <c r="N2182" s="10" t="s">
        <v>2373</v>
      </c>
      <c r="O2182" s="10"/>
    </row>
    <row r="2183" spans="1:15" ht="18" customHeight="1" x14ac:dyDescent="0.3">
      <c r="A2183" s="24">
        <v>2182</v>
      </c>
      <c r="B2183" s="10" t="s">
        <v>51</v>
      </c>
      <c r="C2183" s="10" t="s">
        <v>69</v>
      </c>
      <c r="D2183" s="62">
        <v>112</v>
      </c>
      <c r="E2183" s="61" t="s">
        <v>2625</v>
      </c>
      <c r="F2183" s="16" t="s">
        <v>653</v>
      </c>
      <c r="G2183" s="10" t="s">
        <v>160</v>
      </c>
      <c r="H2183" s="10" t="s">
        <v>851</v>
      </c>
      <c r="I2183" s="62">
        <v>96</v>
      </c>
      <c r="J2183" s="10" t="s">
        <v>2374</v>
      </c>
      <c r="K2183" s="10" t="s">
        <v>847</v>
      </c>
      <c r="L2183" s="10" t="s">
        <v>2373</v>
      </c>
      <c r="M2183" s="10" t="s">
        <v>2372</v>
      </c>
      <c r="N2183" s="10" t="s">
        <v>2373</v>
      </c>
      <c r="O2183" s="10"/>
    </row>
    <row r="2184" spans="1:15" ht="18" customHeight="1" x14ac:dyDescent="0.3">
      <c r="A2184" s="24">
        <v>2183</v>
      </c>
      <c r="B2184" s="10" t="s">
        <v>51</v>
      </c>
      <c r="C2184" s="10" t="s">
        <v>69</v>
      </c>
      <c r="D2184" s="62">
        <v>112</v>
      </c>
      <c r="E2184" s="61" t="s">
        <v>2625</v>
      </c>
      <c r="F2184" s="16" t="s">
        <v>653</v>
      </c>
      <c r="G2184" s="10" t="s">
        <v>160</v>
      </c>
      <c r="H2184" s="10" t="s">
        <v>852</v>
      </c>
      <c r="I2184" s="62">
        <v>110</v>
      </c>
      <c r="J2184" s="10" t="s">
        <v>2372</v>
      </c>
      <c r="K2184" s="10" t="s">
        <v>847</v>
      </c>
      <c r="L2184" s="10" t="s">
        <v>2373</v>
      </c>
      <c r="M2184" s="10" t="s">
        <v>2372</v>
      </c>
      <c r="N2184" s="10" t="s">
        <v>2373</v>
      </c>
      <c r="O2184" s="10"/>
    </row>
    <row r="2185" spans="1:15" ht="18" customHeight="1" x14ac:dyDescent="0.3">
      <c r="A2185" s="24">
        <v>2184</v>
      </c>
      <c r="B2185" s="10" t="s">
        <v>51</v>
      </c>
      <c r="C2185" s="10" t="s">
        <v>69</v>
      </c>
      <c r="D2185" s="62">
        <v>112</v>
      </c>
      <c r="E2185" s="61" t="s">
        <v>2625</v>
      </c>
      <c r="F2185" s="16" t="s">
        <v>653</v>
      </c>
      <c r="G2185" s="10" t="s">
        <v>160</v>
      </c>
      <c r="H2185" s="10" t="s">
        <v>845</v>
      </c>
      <c r="I2185" s="62">
        <v>139</v>
      </c>
      <c r="J2185" s="10" t="s">
        <v>2372</v>
      </c>
      <c r="K2185" s="10" t="s">
        <v>847</v>
      </c>
      <c r="L2185" s="10" t="s">
        <v>2373</v>
      </c>
      <c r="M2185" s="10" t="s">
        <v>2372</v>
      </c>
      <c r="N2185" s="10" t="s">
        <v>2373</v>
      </c>
      <c r="O2185" s="10"/>
    </row>
    <row r="2186" spans="1:15" ht="18" customHeight="1" x14ac:dyDescent="0.3">
      <c r="A2186" s="24">
        <v>2185</v>
      </c>
      <c r="B2186" s="10" t="s">
        <v>51</v>
      </c>
      <c r="C2186" s="10" t="s">
        <v>69</v>
      </c>
      <c r="D2186" s="62">
        <v>112</v>
      </c>
      <c r="E2186" s="61" t="s">
        <v>2625</v>
      </c>
      <c r="F2186" s="16" t="s">
        <v>653</v>
      </c>
      <c r="G2186" s="10" t="s">
        <v>160</v>
      </c>
      <c r="H2186" s="10" t="s">
        <v>853</v>
      </c>
      <c r="I2186" s="62">
        <v>200</v>
      </c>
      <c r="J2186" s="10" t="s">
        <v>2372</v>
      </c>
      <c r="K2186" s="10" t="s">
        <v>847</v>
      </c>
      <c r="L2186" s="10" t="s">
        <v>2373</v>
      </c>
      <c r="M2186" s="10" t="s">
        <v>2372</v>
      </c>
      <c r="N2186" s="10" t="s">
        <v>2373</v>
      </c>
      <c r="O2186" s="10"/>
    </row>
    <row r="2187" spans="1:15" ht="18" customHeight="1" x14ac:dyDescent="0.3">
      <c r="A2187" s="24">
        <v>2186</v>
      </c>
      <c r="B2187" s="10" t="s">
        <v>51</v>
      </c>
      <c r="C2187" s="10" t="s">
        <v>69</v>
      </c>
      <c r="D2187" s="62">
        <v>112</v>
      </c>
      <c r="E2187" s="61" t="s">
        <v>287</v>
      </c>
      <c r="F2187" s="16" t="s">
        <v>654</v>
      </c>
      <c r="G2187" s="10" t="s">
        <v>150</v>
      </c>
      <c r="H2187" s="10" t="s">
        <v>845</v>
      </c>
      <c r="I2187" s="62">
        <v>164</v>
      </c>
      <c r="J2187" s="10" t="s">
        <v>2372</v>
      </c>
      <c r="K2187" s="10" t="s">
        <v>847</v>
      </c>
      <c r="L2187" s="10" t="s">
        <v>2373</v>
      </c>
      <c r="M2187" s="10" t="s">
        <v>2372</v>
      </c>
      <c r="N2187" s="10" t="s">
        <v>2373</v>
      </c>
      <c r="O2187" s="10"/>
    </row>
    <row r="2188" spans="1:15" ht="18" customHeight="1" x14ac:dyDescent="0.3">
      <c r="A2188" s="24">
        <v>2187</v>
      </c>
      <c r="B2188" s="10" t="s">
        <v>51</v>
      </c>
      <c r="C2188" s="10" t="s">
        <v>69</v>
      </c>
      <c r="D2188" s="62">
        <v>112</v>
      </c>
      <c r="E2188" s="61" t="s">
        <v>287</v>
      </c>
      <c r="F2188" s="16" t="s">
        <v>654</v>
      </c>
      <c r="G2188" s="10" t="s">
        <v>150</v>
      </c>
      <c r="H2188" s="10" t="s">
        <v>848</v>
      </c>
      <c r="I2188" s="62">
        <v>170</v>
      </c>
      <c r="J2188" s="10" t="s">
        <v>2372</v>
      </c>
      <c r="K2188" s="10" t="s">
        <v>847</v>
      </c>
      <c r="L2188" s="10" t="s">
        <v>2373</v>
      </c>
      <c r="M2188" s="10" t="s">
        <v>2372</v>
      </c>
      <c r="N2188" s="10" t="s">
        <v>2373</v>
      </c>
      <c r="O2188" s="10"/>
    </row>
    <row r="2189" spans="1:15" ht="18" customHeight="1" x14ac:dyDescent="0.3">
      <c r="A2189" s="24">
        <v>2188</v>
      </c>
      <c r="B2189" s="10" t="s">
        <v>51</v>
      </c>
      <c r="C2189" s="10" t="s">
        <v>69</v>
      </c>
      <c r="D2189" s="62">
        <v>112</v>
      </c>
      <c r="E2189" s="61" t="s">
        <v>287</v>
      </c>
      <c r="F2189" s="16" t="s">
        <v>654</v>
      </c>
      <c r="G2189" s="10" t="s">
        <v>150</v>
      </c>
      <c r="H2189" s="10" t="s">
        <v>849</v>
      </c>
      <c r="I2189" s="62">
        <v>168</v>
      </c>
      <c r="J2189" s="10" t="s">
        <v>2372</v>
      </c>
      <c r="K2189" s="10" t="s">
        <v>847</v>
      </c>
      <c r="L2189" s="10" t="s">
        <v>2373</v>
      </c>
      <c r="M2189" s="10" t="s">
        <v>2372</v>
      </c>
      <c r="N2189" s="10" t="s">
        <v>2373</v>
      </c>
      <c r="O2189" s="10"/>
    </row>
    <row r="2190" spans="1:15" ht="18" customHeight="1" x14ac:dyDescent="0.3">
      <c r="A2190" s="24">
        <v>2189</v>
      </c>
      <c r="B2190" s="10" t="s">
        <v>51</v>
      </c>
      <c r="C2190" s="10" t="s">
        <v>69</v>
      </c>
      <c r="D2190" s="62">
        <v>112</v>
      </c>
      <c r="E2190" s="61" t="s">
        <v>287</v>
      </c>
      <c r="F2190" s="16" t="s">
        <v>654</v>
      </c>
      <c r="G2190" s="10" t="s">
        <v>150</v>
      </c>
      <c r="H2190" s="10" t="s">
        <v>850</v>
      </c>
      <c r="I2190" s="62">
        <v>166</v>
      </c>
      <c r="J2190" s="10" t="s">
        <v>2372</v>
      </c>
      <c r="K2190" s="10" t="s">
        <v>847</v>
      </c>
      <c r="L2190" s="10" t="s">
        <v>2373</v>
      </c>
      <c r="M2190" s="10" t="s">
        <v>2372</v>
      </c>
      <c r="N2190" s="10" t="s">
        <v>2373</v>
      </c>
      <c r="O2190" s="10"/>
    </row>
    <row r="2191" spans="1:15" ht="18" customHeight="1" x14ac:dyDescent="0.3">
      <c r="A2191" s="24">
        <v>2190</v>
      </c>
      <c r="B2191" s="10" t="s">
        <v>51</v>
      </c>
      <c r="C2191" s="10" t="s">
        <v>69</v>
      </c>
      <c r="D2191" s="62">
        <v>112</v>
      </c>
      <c r="E2191" s="61" t="s">
        <v>287</v>
      </c>
      <c r="F2191" s="16" t="s">
        <v>654</v>
      </c>
      <c r="G2191" s="10" t="s">
        <v>150</v>
      </c>
      <c r="H2191" s="10" t="s">
        <v>851</v>
      </c>
      <c r="I2191" s="62">
        <v>172</v>
      </c>
      <c r="J2191" s="10" t="s">
        <v>2374</v>
      </c>
      <c r="K2191" s="10" t="s">
        <v>847</v>
      </c>
      <c r="L2191" s="10" t="s">
        <v>2373</v>
      </c>
      <c r="M2191" s="10" t="s">
        <v>2372</v>
      </c>
      <c r="N2191" s="10" t="s">
        <v>2373</v>
      </c>
      <c r="O2191" s="10"/>
    </row>
    <row r="2192" spans="1:15" ht="18" customHeight="1" x14ac:dyDescent="0.3">
      <c r="A2192" s="24">
        <v>2191</v>
      </c>
      <c r="B2192" s="10" t="s">
        <v>51</v>
      </c>
      <c r="C2192" s="10" t="s">
        <v>69</v>
      </c>
      <c r="D2192" s="62">
        <v>112</v>
      </c>
      <c r="E2192" s="61" t="s">
        <v>287</v>
      </c>
      <c r="F2192" s="16" t="s">
        <v>654</v>
      </c>
      <c r="G2192" s="10" t="s">
        <v>150</v>
      </c>
      <c r="H2192" s="10" t="s">
        <v>852</v>
      </c>
      <c r="I2192" s="62">
        <v>172</v>
      </c>
      <c r="J2192" s="10" t="s">
        <v>2372</v>
      </c>
      <c r="K2192" s="10" t="s">
        <v>847</v>
      </c>
      <c r="L2192" s="10" t="s">
        <v>2373</v>
      </c>
      <c r="M2192" s="10" t="s">
        <v>2372</v>
      </c>
      <c r="N2192" s="10" t="s">
        <v>2373</v>
      </c>
      <c r="O2192" s="10"/>
    </row>
    <row r="2193" spans="1:15" ht="18" customHeight="1" x14ac:dyDescent="0.3">
      <c r="A2193" s="24">
        <v>2192</v>
      </c>
      <c r="B2193" s="10" t="s">
        <v>51</v>
      </c>
      <c r="C2193" s="10" t="s">
        <v>69</v>
      </c>
      <c r="D2193" s="62">
        <v>112</v>
      </c>
      <c r="E2193" s="61" t="s">
        <v>287</v>
      </c>
      <c r="F2193" s="16" t="s">
        <v>654</v>
      </c>
      <c r="G2193" s="10" t="s">
        <v>150</v>
      </c>
      <c r="H2193" s="10" t="s">
        <v>853</v>
      </c>
      <c r="I2193" s="62">
        <v>172</v>
      </c>
      <c r="J2193" s="10" t="s">
        <v>2372</v>
      </c>
      <c r="K2193" s="10" t="s">
        <v>847</v>
      </c>
      <c r="L2193" s="10" t="s">
        <v>2373</v>
      </c>
      <c r="M2193" s="10" t="s">
        <v>2372</v>
      </c>
      <c r="N2193" s="10" t="s">
        <v>2373</v>
      </c>
      <c r="O2193" s="10"/>
    </row>
    <row r="2194" spans="1:15" ht="18" customHeight="1" x14ac:dyDescent="0.3">
      <c r="A2194" s="24">
        <v>2193</v>
      </c>
      <c r="B2194" s="10" t="s">
        <v>51</v>
      </c>
      <c r="C2194" s="10" t="s">
        <v>69</v>
      </c>
      <c r="D2194" s="62">
        <v>112</v>
      </c>
      <c r="E2194" s="61" t="s">
        <v>287</v>
      </c>
      <c r="F2194" s="16" t="s">
        <v>654</v>
      </c>
      <c r="G2194" s="10" t="s">
        <v>150</v>
      </c>
      <c r="H2194" s="10" t="s">
        <v>854</v>
      </c>
      <c r="I2194" s="62">
        <v>341</v>
      </c>
      <c r="J2194" s="10" t="s">
        <v>2372</v>
      </c>
      <c r="K2194" s="10" t="s">
        <v>847</v>
      </c>
      <c r="L2194" s="10" t="s">
        <v>2373</v>
      </c>
      <c r="M2194" s="10" t="s">
        <v>2372</v>
      </c>
      <c r="N2194" s="10" t="s">
        <v>2373</v>
      </c>
      <c r="O2194" s="10"/>
    </row>
    <row r="2195" spans="1:15" ht="18" customHeight="1" x14ac:dyDescent="0.3">
      <c r="A2195" s="24">
        <v>2194</v>
      </c>
      <c r="B2195" s="10" t="s">
        <v>51</v>
      </c>
      <c r="C2195" s="10" t="s">
        <v>69</v>
      </c>
      <c r="D2195" s="62">
        <v>112</v>
      </c>
      <c r="E2195" s="61" t="s">
        <v>287</v>
      </c>
      <c r="F2195" s="16" t="s">
        <v>654</v>
      </c>
      <c r="G2195" s="10" t="s">
        <v>150</v>
      </c>
      <c r="H2195" s="10" t="s">
        <v>855</v>
      </c>
      <c r="I2195" s="62">
        <v>128</v>
      </c>
      <c r="J2195" s="10" t="s">
        <v>2372</v>
      </c>
      <c r="K2195" s="10" t="s">
        <v>847</v>
      </c>
      <c r="L2195" s="10" t="s">
        <v>2373</v>
      </c>
      <c r="M2195" s="10" t="s">
        <v>2372</v>
      </c>
      <c r="N2195" s="10" t="s">
        <v>2373</v>
      </c>
      <c r="O2195" s="10"/>
    </row>
    <row r="2196" spans="1:15" ht="18" customHeight="1" x14ac:dyDescent="0.3">
      <c r="A2196" s="24">
        <v>2195</v>
      </c>
      <c r="B2196" s="142" t="s">
        <v>3155</v>
      </c>
      <c r="C2196" s="142" t="s">
        <v>3156</v>
      </c>
      <c r="D2196" s="142">
        <v>112</v>
      </c>
      <c r="E2196" s="164" t="s">
        <v>3154</v>
      </c>
      <c r="F2196" s="164" t="s">
        <v>3158</v>
      </c>
      <c r="G2196" s="117" t="s">
        <v>3157</v>
      </c>
      <c r="H2196" s="10" t="s">
        <v>3159</v>
      </c>
      <c r="I2196" s="62">
        <v>213</v>
      </c>
      <c r="J2196" s="173" t="s">
        <v>884</v>
      </c>
      <c r="K2196" s="173" t="s">
        <v>884</v>
      </c>
      <c r="L2196" s="173" t="s">
        <v>820</v>
      </c>
      <c r="M2196" s="10" t="s">
        <v>884</v>
      </c>
      <c r="N2196" s="10" t="s">
        <v>820</v>
      </c>
      <c r="O2196" s="10"/>
    </row>
    <row r="2197" spans="1:15" ht="18" customHeight="1" x14ac:dyDescent="0.3">
      <c r="A2197" s="24">
        <v>2196</v>
      </c>
      <c r="B2197" s="142" t="s">
        <v>3155</v>
      </c>
      <c r="C2197" s="142" t="s">
        <v>3156</v>
      </c>
      <c r="D2197" s="142">
        <v>112</v>
      </c>
      <c r="E2197" s="164" t="s">
        <v>3154</v>
      </c>
      <c r="F2197" s="164" t="s">
        <v>3158</v>
      </c>
      <c r="G2197" s="117" t="s">
        <v>3157</v>
      </c>
      <c r="H2197" s="10" t="s">
        <v>3160</v>
      </c>
      <c r="I2197" s="62">
        <v>122</v>
      </c>
      <c r="J2197" s="173" t="s">
        <v>884</v>
      </c>
      <c r="K2197" s="173" t="s">
        <v>3167</v>
      </c>
      <c r="L2197" s="173" t="s">
        <v>3166</v>
      </c>
      <c r="M2197" s="10" t="s">
        <v>884</v>
      </c>
      <c r="N2197" s="10" t="s">
        <v>820</v>
      </c>
      <c r="O2197" s="10"/>
    </row>
    <row r="2198" spans="1:15" ht="18" customHeight="1" x14ac:dyDescent="0.3">
      <c r="A2198" s="24">
        <v>2197</v>
      </c>
      <c r="B2198" s="142" t="s">
        <v>3155</v>
      </c>
      <c r="C2198" s="142" t="s">
        <v>3156</v>
      </c>
      <c r="D2198" s="142">
        <v>112</v>
      </c>
      <c r="E2198" s="164" t="s">
        <v>3154</v>
      </c>
      <c r="F2198" s="164" t="s">
        <v>3158</v>
      </c>
      <c r="G2198" s="117" t="s">
        <v>3157</v>
      </c>
      <c r="H2198" s="10" t="s">
        <v>3161</v>
      </c>
      <c r="I2198" s="62">
        <v>73</v>
      </c>
      <c r="J2198" s="173" t="s">
        <v>884</v>
      </c>
      <c r="K2198" s="173" t="s">
        <v>3167</v>
      </c>
      <c r="L2198" s="173" t="s">
        <v>3166</v>
      </c>
      <c r="M2198" s="10" t="s">
        <v>884</v>
      </c>
      <c r="N2198" s="10" t="s">
        <v>820</v>
      </c>
      <c r="O2198" s="10"/>
    </row>
    <row r="2199" spans="1:15" ht="18" customHeight="1" x14ac:dyDescent="0.3">
      <c r="A2199" s="24">
        <v>2198</v>
      </c>
      <c r="B2199" s="142" t="s">
        <v>3155</v>
      </c>
      <c r="C2199" s="142" t="s">
        <v>3156</v>
      </c>
      <c r="D2199" s="142">
        <v>112</v>
      </c>
      <c r="E2199" s="164" t="s">
        <v>3154</v>
      </c>
      <c r="F2199" s="164" t="s">
        <v>3158</v>
      </c>
      <c r="G2199" s="117" t="s">
        <v>3157</v>
      </c>
      <c r="H2199" s="10" t="s">
        <v>3162</v>
      </c>
      <c r="I2199" s="62">
        <v>83</v>
      </c>
      <c r="J2199" s="173" t="s">
        <v>884</v>
      </c>
      <c r="K2199" s="173" t="s">
        <v>3167</v>
      </c>
      <c r="L2199" s="173" t="s">
        <v>3166</v>
      </c>
      <c r="M2199" s="10" t="s">
        <v>884</v>
      </c>
      <c r="N2199" s="10" t="s">
        <v>820</v>
      </c>
      <c r="O2199" s="10"/>
    </row>
    <row r="2200" spans="1:15" ht="18" customHeight="1" x14ac:dyDescent="0.3">
      <c r="A2200" s="24">
        <v>2199</v>
      </c>
      <c r="B2200" s="142" t="s">
        <v>3155</v>
      </c>
      <c r="C2200" s="142" t="s">
        <v>3156</v>
      </c>
      <c r="D2200" s="142">
        <v>112</v>
      </c>
      <c r="E2200" s="164" t="s">
        <v>3154</v>
      </c>
      <c r="F2200" s="164" t="s">
        <v>3158</v>
      </c>
      <c r="G2200" s="117" t="s">
        <v>3157</v>
      </c>
      <c r="H2200" s="10" t="s">
        <v>3163</v>
      </c>
      <c r="I2200" s="62">
        <v>220</v>
      </c>
      <c r="J2200" s="173" t="s">
        <v>884</v>
      </c>
      <c r="K2200" s="173" t="s">
        <v>884</v>
      </c>
      <c r="L2200" s="173" t="s">
        <v>820</v>
      </c>
      <c r="M2200" s="10" t="s">
        <v>884</v>
      </c>
      <c r="N2200" s="10" t="s">
        <v>820</v>
      </c>
      <c r="O2200" s="10"/>
    </row>
    <row r="2201" spans="1:15" ht="18" customHeight="1" x14ac:dyDescent="0.3">
      <c r="A2201" s="24">
        <v>2200</v>
      </c>
      <c r="B2201" s="142" t="s">
        <v>3155</v>
      </c>
      <c r="C2201" s="142" t="s">
        <v>3156</v>
      </c>
      <c r="D2201" s="142">
        <v>112</v>
      </c>
      <c r="E2201" s="164" t="s">
        <v>3154</v>
      </c>
      <c r="F2201" s="164" t="s">
        <v>3158</v>
      </c>
      <c r="G2201" s="117" t="s">
        <v>3157</v>
      </c>
      <c r="H2201" s="10" t="s">
        <v>3164</v>
      </c>
      <c r="I2201" s="62">
        <v>82</v>
      </c>
      <c r="J2201" s="173" t="s">
        <v>884</v>
      </c>
      <c r="K2201" s="173" t="s">
        <v>3168</v>
      </c>
      <c r="L2201" s="173" t="s">
        <v>3166</v>
      </c>
      <c r="M2201" s="10" t="s">
        <v>884</v>
      </c>
      <c r="N2201" s="10" t="s">
        <v>820</v>
      </c>
      <c r="O2201" s="10"/>
    </row>
    <row r="2202" spans="1:15" ht="18" customHeight="1" x14ac:dyDescent="0.3">
      <c r="A2202" s="24">
        <v>2201</v>
      </c>
      <c r="B2202" s="142" t="s">
        <v>3155</v>
      </c>
      <c r="C2202" s="142" t="s">
        <v>3156</v>
      </c>
      <c r="D2202" s="142">
        <v>112</v>
      </c>
      <c r="E2202" s="164" t="s">
        <v>3154</v>
      </c>
      <c r="F2202" s="164" t="s">
        <v>3158</v>
      </c>
      <c r="G2202" s="117" t="s">
        <v>3157</v>
      </c>
      <c r="H2202" s="10" t="s">
        <v>3165</v>
      </c>
      <c r="I2202" s="62">
        <v>131</v>
      </c>
      <c r="J2202" s="10" t="s">
        <v>884</v>
      </c>
      <c r="K2202" s="10" t="s">
        <v>884</v>
      </c>
      <c r="L2202" s="10" t="s">
        <v>820</v>
      </c>
      <c r="M2202" s="10" t="s">
        <v>884</v>
      </c>
      <c r="N2202" s="10" t="s">
        <v>820</v>
      </c>
      <c r="O2202" s="10"/>
    </row>
    <row r="2203" spans="1:15" ht="18" customHeight="1" x14ac:dyDescent="0.3">
      <c r="A2203" s="24">
        <v>2202</v>
      </c>
      <c r="B2203" s="10" t="s">
        <v>51</v>
      </c>
      <c r="C2203" s="10" t="s">
        <v>69</v>
      </c>
      <c r="D2203" s="62">
        <v>112</v>
      </c>
      <c r="E2203" s="61" t="s">
        <v>2903</v>
      </c>
      <c r="F2203" s="19" t="s">
        <v>1014</v>
      </c>
      <c r="G2203" s="10" t="s">
        <v>150</v>
      </c>
      <c r="H2203" s="10" t="s">
        <v>849</v>
      </c>
      <c r="I2203" s="62">
        <v>97</v>
      </c>
      <c r="J2203" s="10" t="s">
        <v>2372</v>
      </c>
      <c r="K2203" s="10" t="s">
        <v>847</v>
      </c>
      <c r="L2203" s="10" t="s">
        <v>2373</v>
      </c>
      <c r="M2203" s="10" t="s">
        <v>2372</v>
      </c>
      <c r="N2203" s="10" t="s">
        <v>2373</v>
      </c>
      <c r="O2203" s="10"/>
    </row>
    <row r="2204" spans="1:15" ht="18" customHeight="1" x14ac:dyDescent="0.3">
      <c r="A2204" s="24">
        <v>2203</v>
      </c>
      <c r="B2204" s="10" t="s">
        <v>51</v>
      </c>
      <c r="C2204" s="10" t="s">
        <v>69</v>
      </c>
      <c r="D2204" s="62">
        <v>112</v>
      </c>
      <c r="E2204" s="61" t="s">
        <v>2903</v>
      </c>
      <c r="F2204" s="19" t="s">
        <v>656</v>
      </c>
      <c r="G2204" s="10" t="s">
        <v>150</v>
      </c>
      <c r="H2204" s="10" t="s">
        <v>845</v>
      </c>
      <c r="I2204" s="62">
        <v>131</v>
      </c>
      <c r="J2204" s="10" t="s">
        <v>2374</v>
      </c>
      <c r="K2204" s="10" t="s">
        <v>847</v>
      </c>
      <c r="L2204" s="10" t="s">
        <v>2373</v>
      </c>
      <c r="M2204" s="10" t="s">
        <v>2372</v>
      </c>
      <c r="N2204" s="10" t="s">
        <v>2373</v>
      </c>
      <c r="O2204" s="10"/>
    </row>
    <row r="2205" spans="1:15" ht="18" customHeight="1" x14ac:dyDescent="0.3">
      <c r="A2205" s="24">
        <v>2204</v>
      </c>
      <c r="B2205" s="10" t="s">
        <v>51</v>
      </c>
      <c r="C2205" s="10" t="s">
        <v>69</v>
      </c>
      <c r="D2205" s="62">
        <v>112</v>
      </c>
      <c r="E2205" s="61" t="s">
        <v>2903</v>
      </c>
      <c r="F2205" s="19" t="s">
        <v>656</v>
      </c>
      <c r="G2205" s="10" t="s">
        <v>150</v>
      </c>
      <c r="H2205" s="10" t="s">
        <v>848</v>
      </c>
      <c r="I2205" s="62">
        <v>113</v>
      </c>
      <c r="J2205" s="10" t="s">
        <v>2374</v>
      </c>
      <c r="K2205" s="10" t="s">
        <v>847</v>
      </c>
      <c r="L2205" s="10" t="s">
        <v>2373</v>
      </c>
      <c r="M2205" s="10" t="s">
        <v>2372</v>
      </c>
      <c r="N2205" s="10" t="s">
        <v>2373</v>
      </c>
      <c r="O2205" s="10"/>
    </row>
    <row r="2206" spans="1:15" ht="18" customHeight="1" x14ac:dyDescent="0.3">
      <c r="A2206" s="24">
        <v>2205</v>
      </c>
      <c r="B2206" s="10" t="s">
        <v>51</v>
      </c>
      <c r="C2206" s="10" t="s">
        <v>69</v>
      </c>
      <c r="D2206" s="62">
        <v>112</v>
      </c>
      <c r="E2206" s="61" t="s">
        <v>862</v>
      </c>
      <c r="F2206" s="16" t="s">
        <v>651</v>
      </c>
      <c r="G2206" s="10" t="s">
        <v>160</v>
      </c>
      <c r="H2206" s="10" t="s">
        <v>845</v>
      </c>
      <c r="I2206" s="62">
        <v>148</v>
      </c>
      <c r="J2206" s="10" t="s">
        <v>2372</v>
      </c>
      <c r="K2206" s="10" t="s">
        <v>847</v>
      </c>
      <c r="L2206" s="10" t="s">
        <v>2373</v>
      </c>
      <c r="M2206" s="10" t="s">
        <v>2372</v>
      </c>
      <c r="N2206" s="10" t="s">
        <v>2373</v>
      </c>
      <c r="O2206" s="10"/>
    </row>
    <row r="2207" spans="1:15" ht="18" customHeight="1" x14ac:dyDescent="0.3">
      <c r="A2207" s="24">
        <v>2206</v>
      </c>
      <c r="B2207" s="10" t="s">
        <v>51</v>
      </c>
      <c r="C2207" s="10" t="s">
        <v>69</v>
      </c>
      <c r="D2207" s="62">
        <v>112</v>
      </c>
      <c r="E2207" s="61" t="s">
        <v>862</v>
      </c>
      <c r="F2207" s="16" t="s">
        <v>651</v>
      </c>
      <c r="G2207" s="10" t="s">
        <v>160</v>
      </c>
      <c r="H2207" s="10" t="s">
        <v>848</v>
      </c>
      <c r="I2207" s="62">
        <v>82</v>
      </c>
      <c r="J2207" s="10" t="s">
        <v>2372</v>
      </c>
      <c r="K2207" s="10" t="s">
        <v>847</v>
      </c>
      <c r="L2207" s="10" t="s">
        <v>2373</v>
      </c>
      <c r="M2207" s="10" t="s">
        <v>2372</v>
      </c>
      <c r="N2207" s="10" t="s">
        <v>2373</v>
      </c>
      <c r="O2207" s="10"/>
    </row>
    <row r="2208" spans="1:15" ht="18" customHeight="1" x14ac:dyDescent="0.3">
      <c r="A2208" s="24">
        <v>2207</v>
      </c>
      <c r="B2208" s="10" t="s">
        <v>51</v>
      </c>
      <c r="C2208" s="10" t="s">
        <v>69</v>
      </c>
      <c r="D2208" s="62">
        <v>112</v>
      </c>
      <c r="E2208" s="61" t="s">
        <v>862</v>
      </c>
      <c r="F2208" s="16" t="s">
        <v>651</v>
      </c>
      <c r="G2208" s="10" t="s">
        <v>160</v>
      </c>
      <c r="H2208" s="10" t="s">
        <v>849</v>
      </c>
      <c r="I2208" s="62">
        <v>182</v>
      </c>
      <c r="J2208" s="10" t="s">
        <v>2374</v>
      </c>
      <c r="K2208" s="10" t="s">
        <v>847</v>
      </c>
      <c r="L2208" s="10" t="s">
        <v>2373</v>
      </c>
      <c r="M2208" s="10" t="s">
        <v>2372</v>
      </c>
      <c r="N2208" s="10" t="s">
        <v>2373</v>
      </c>
      <c r="O2208" s="10"/>
    </row>
    <row r="2209" spans="1:15" ht="18" customHeight="1" x14ac:dyDescent="0.3">
      <c r="A2209" s="24">
        <v>2208</v>
      </c>
      <c r="B2209" s="10" t="s">
        <v>51</v>
      </c>
      <c r="C2209" s="10" t="s">
        <v>69</v>
      </c>
      <c r="D2209" s="62">
        <v>112</v>
      </c>
      <c r="E2209" s="61" t="s">
        <v>862</v>
      </c>
      <c r="F2209" s="16" t="s">
        <v>651</v>
      </c>
      <c r="G2209" s="10" t="s">
        <v>160</v>
      </c>
      <c r="H2209" s="10" t="s">
        <v>850</v>
      </c>
      <c r="I2209" s="62">
        <v>182</v>
      </c>
      <c r="J2209" s="10" t="s">
        <v>2372</v>
      </c>
      <c r="K2209" s="10" t="s">
        <v>847</v>
      </c>
      <c r="L2209" s="10" t="s">
        <v>2373</v>
      </c>
      <c r="M2209" s="10" t="s">
        <v>2372</v>
      </c>
      <c r="N2209" s="10" t="s">
        <v>2373</v>
      </c>
      <c r="O2209" s="10"/>
    </row>
    <row r="2210" spans="1:15" ht="18" customHeight="1" x14ac:dyDescent="0.3">
      <c r="A2210" s="24">
        <v>2209</v>
      </c>
      <c r="B2210" s="10" t="s">
        <v>51</v>
      </c>
      <c r="C2210" s="10" t="s">
        <v>69</v>
      </c>
      <c r="D2210" s="62">
        <v>112</v>
      </c>
      <c r="E2210" s="61" t="s">
        <v>862</v>
      </c>
      <c r="F2210" s="16" t="s">
        <v>651</v>
      </c>
      <c r="G2210" s="10" t="s">
        <v>160</v>
      </c>
      <c r="H2210" s="10" t="s">
        <v>852</v>
      </c>
      <c r="I2210" s="62">
        <v>115</v>
      </c>
      <c r="J2210" s="10" t="s">
        <v>2372</v>
      </c>
      <c r="K2210" s="10" t="s">
        <v>847</v>
      </c>
      <c r="L2210" s="10" t="s">
        <v>2373</v>
      </c>
      <c r="M2210" s="10" t="s">
        <v>2372</v>
      </c>
      <c r="N2210" s="10" t="s">
        <v>2373</v>
      </c>
      <c r="O2210" s="10"/>
    </row>
    <row r="2211" spans="1:15" ht="18" customHeight="1" x14ac:dyDescent="0.3">
      <c r="A2211" s="24">
        <v>2210</v>
      </c>
      <c r="B2211" s="10" t="s">
        <v>51</v>
      </c>
      <c r="C2211" s="10" t="s">
        <v>69</v>
      </c>
      <c r="D2211" s="62">
        <v>112</v>
      </c>
      <c r="E2211" s="61" t="s">
        <v>862</v>
      </c>
      <c r="F2211" s="16" t="s">
        <v>1131</v>
      </c>
      <c r="G2211" s="10" t="s">
        <v>160</v>
      </c>
      <c r="H2211" s="10" t="s">
        <v>851</v>
      </c>
      <c r="I2211" s="62">
        <v>36</v>
      </c>
      <c r="J2211" s="10" t="s">
        <v>2372</v>
      </c>
      <c r="K2211" s="10" t="s">
        <v>2372</v>
      </c>
      <c r="L2211" s="10" t="s">
        <v>2373</v>
      </c>
      <c r="M2211" s="10" t="s">
        <v>2372</v>
      </c>
      <c r="N2211" s="10" t="s">
        <v>2373</v>
      </c>
      <c r="O2211" s="10"/>
    </row>
    <row r="2212" spans="1:15" ht="18" customHeight="1" x14ac:dyDescent="0.3">
      <c r="A2212" s="24">
        <v>2211</v>
      </c>
      <c r="B2212" s="10" t="s">
        <v>51</v>
      </c>
      <c r="C2212" s="10" t="s">
        <v>69</v>
      </c>
      <c r="D2212" s="62">
        <v>112</v>
      </c>
      <c r="E2212" s="61" t="s">
        <v>862</v>
      </c>
      <c r="F2212" s="16" t="s">
        <v>1131</v>
      </c>
      <c r="G2212" s="10" t="s">
        <v>160</v>
      </c>
      <c r="H2212" s="10" t="s">
        <v>2431</v>
      </c>
      <c r="I2212" s="62">
        <v>176</v>
      </c>
      <c r="J2212" s="10" t="s">
        <v>2372</v>
      </c>
      <c r="K2212" s="10" t="s">
        <v>2374</v>
      </c>
      <c r="L2212" s="10" t="s">
        <v>1422</v>
      </c>
      <c r="M2212" s="10" t="s">
        <v>2372</v>
      </c>
      <c r="N2212" s="10" t="s">
        <v>2373</v>
      </c>
      <c r="O2212" s="10"/>
    </row>
    <row r="2213" spans="1:15" ht="18" customHeight="1" x14ac:dyDescent="0.3">
      <c r="A2213" s="24">
        <v>2212</v>
      </c>
      <c r="B2213" s="10" t="s">
        <v>51</v>
      </c>
      <c r="C2213" s="10" t="s">
        <v>69</v>
      </c>
      <c r="D2213" s="62">
        <v>112</v>
      </c>
      <c r="E2213" s="61" t="s">
        <v>249</v>
      </c>
      <c r="F2213" s="9" t="s">
        <v>1768</v>
      </c>
      <c r="G2213" s="10" t="s">
        <v>150</v>
      </c>
      <c r="H2213" s="10" t="s">
        <v>845</v>
      </c>
      <c r="I2213" s="62">
        <v>202</v>
      </c>
      <c r="J2213" s="8" t="s">
        <v>2372</v>
      </c>
      <c r="K2213" s="10" t="s">
        <v>847</v>
      </c>
      <c r="L2213" s="10" t="s">
        <v>2373</v>
      </c>
      <c r="M2213" s="10" t="s">
        <v>2372</v>
      </c>
      <c r="N2213" s="10" t="s">
        <v>2373</v>
      </c>
      <c r="O2213" s="10"/>
    </row>
    <row r="2214" spans="1:15" ht="18" customHeight="1" x14ac:dyDescent="0.3">
      <c r="A2214" s="24">
        <v>2213</v>
      </c>
      <c r="B2214" s="10" t="s">
        <v>51</v>
      </c>
      <c r="C2214" s="10" t="s">
        <v>69</v>
      </c>
      <c r="D2214" s="62">
        <v>112</v>
      </c>
      <c r="E2214" s="61" t="s">
        <v>249</v>
      </c>
      <c r="F2214" s="9" t="s">
        <v>1768</v>
      </c>
      <c r="G2214" s="10" t="s">
        <v>150</v>
      </c>
      <c r="H2214" s="10" t="s">
        <v>848</v>
      </c>
      <c r="I2214" s="62">
        <v>143</v>
      </c>
      <c r="J2214" s="8" t="s">
        <v>846</v>
      </c>
      <c r="K2214" s="10" t="s">
        <v>847</v>
      </c>
      <c r="L2214" s="10" t="s">
        <v>2373</v>
      </c>
      <c r="M2214" s="10" t="s">
        <v>2372</v>
      </c>
      <c r="N2214" s="10" t="s">
        <v>2373</v>
      </c>
      <c r="O2214" s="10"/>
    </row>
    <row r="2215" spans="1:15" ht="18" customHeight="1" x14ac:dyDescent="0.3">
      <c r="A2215" s="24">
        <v>2214</v>
      </c>
      <c r="B2215" s="10" t="s">
        <v>51</v>
      </c>
      <c r="C2215" s="10" t="s">
        <v>69</v>
      </c>
      <c r="D2215" s="62">
        <v>112</v>
      </c>
      <c r="E2215" s="61" t="s">
        <v>249</v>
      </c>
      <c r="F2215" s="9" t="s">
        <v>1176</v>
      </c>
      <c r="G2215" s="10" t="s">
        <v>150</v>
      </c>
      <c r="H2215" s="10" t="s">
        <v>849</v>
      </c>
      <c r="I2215" s="62">
        <v>143</v>
      </c>
      <c r="J2215" s="8" t="s">
        <v>2372</v>
      </c>
      <c r="K2215" s="10" t="s">
        <v>847</v>
      </c>
      <c r="L2215" s="10" t="s">
        <v>2373</v>
      </c>
      <c r="M2215" s="10" t="s">
        <v>2372</v>
      </c>
      <c r="N2215" s="10" t="s">
        <v>2373</v>
      </c>
      <c r="O2215" s="10"/>
    </row>
    <row r="2216" spans="1:15" ht="18" customHeight="1" x14ac:dyDescent="0.3">
      <c r="A2216" s="24">
        <v>2215</v>
      </c>
      <c r="B2216" s="10" t="s">
        <v>51</v>
      </c>
      <c r="C2216" s="10" t="s">
        <v>69</v>
      </c>
      <c r="D2216" s="62">
        <v>112</v>
      </c>
      <c r="E2216" s="61" t="s">
        <v>249</v>
      </c>
      <c r="F2216" s="9" t="s">
        <v>1176</v>
      </c>
      <c r="G2216" s="10" t="s">
        <v>150</v>
      </c>
      <c r="H2216" s="10" t="s">
        <v>850</v>
      </c>
      <c r="I2216" s="62">
        <v>358</v>
      </c>
      <c r="J2216" s="8" t="s">
        <v>846</v>
      </c>
      <c r="K2216" s="10" t="s">
        <v>2374</v>
      </c>
      <c r="L2216" s="10" t="s">
        <v>2446</v>
      </c>
      <c r="M2216" s="10" t="s">
        <v>2372</v>
      </c>
      <c r="N2216" s="10" t="s">
        <v>2373</v>
      </c>
      <c r="O2216" s="10" t="s">
        <v>2562</v>
      </c>
    </row>
    <row r="2217" spans="1:15" ht="18" customHeight="1" x14ac:dyDescent="0.3">
      <c r="A2217" s="24">
        <v>2216</v>
      </c>
      <c r="B2217" s="10" t="s">
        <v>51</v>
      </c>
      <c r="C2217" s="10" t="s">
        <v>69</v>
      </c>
      <c r="D2217" s="62">
        <v>112</v>
      </c>
      <c r="E2217" s="61" t="s">
        <v>249</v>
      </c>
      <c r="F2217" s="9" t="s">
        <v>1176</v>
      </c>
      <c r="G2217" s="10" t="s">
        <v>150</v>
      </c>
      <c r="H2217" s="10" t="s">
        <v>851</v>
      </c>
      <c r="I2217" s="62">
        <v>102</v>
      </c>
      <c r="J2217" s="8" t="s">
        <v>2372</v>
      </c>
      <c r="K2217" s="10" t="s">
        <v>847</v>
      </c>
      <c r="L2217" s="10" t="s">
        <v>2373</v>
      </c>
      <c r="M2217" s="10" t="s">
        <v>2372</v>
      </c>
      <c r="N2217" s="10" t="s">
        <v>2373</v>
      </c>
      <c r="O2217" s="10"/>
    </row>
    <row r="2218" spans="1:15" ht="18" customHeight="1" x14ac:dyDescent="0.3">
      <c r="A2218" s="24">
        <v>2217</v>
      </c>
      <c r="B2218" s="10" t="s">
        <v>51</v>
      </c>
      <c r="C2218" s="10" t="s">
        <v>69</v>
      </c>
      <c r="D2218" s="62">
        <v>112</v>
      </c>
      <c r="E2218" s="61" t="s">
        <v>249</v>
      </c>
      <c r="F2218" s="9" t="s">
        <v>1176</v>
      </c>
      <c r="G2218" s="10" t="s">
        <v>150</v>
      </c>
      <c r="H2218" s="10" t="s">
        <v>852</v>
      </c>
      <c r="I2218" s="62">
        <v>102</v>
      </c>
      <c r="J2218" s="8" t="s">
        <v>2372</v>
      </c>
      <c r="K2218" s="10" t="s">
        <v>847</v>
      </c>
      <c r="L2218" s="10" t="s">
        <v>2373</v>
      </c>
      <c r="M2218" s="10" t="s">
        <v>2372</v>
      </c>
      <c r="N2218" s="10" t="s">
        <v>2373</v>
      </c>
      <c r="O2218" s="10"/>
    </row>
    <row r="2219" spans="1:15" ht="18" customHeight="1" x14ac:dyDescent="0.3">
      <c r="A2219" s="24">
        <v>2218</v>
      </c>
      <c r="B2219" s="10" t="s">
        <v>51</v>
      </c>
      <c r="C2219" s="10" t="s">
        <v>69</v>
      </c>
      <c r="D2219" s="62">
        <v>112</v>
      </c>
      <c r="E2219" s="61" t="s">
        <v>249</v>
      </c>
      <c r="F2219" s="9" t="s">
        <v>1176</v>
      </c>
      <c r="G2219" s="10" t="s">
        <v>150</v>
      </c>
      <c r="H2219" s="10" t="s">
        <v>853</v>
      </c>
      <c r="I2219" s="62">
        <v>188</v>
      </c>
      <c r="J2219" s="8" t="s">
        <v>2372</v>
      </c>
      <c r="K2219" s="10" t="s">
        <v>847</v>
      </c>
      <c r="L2219" s="10" t="s">
        <v>2373</v>
      </c>
      <c r="M2219" s="10" t="s">
        <v>2372</v>
      </c>
      <c r="N2219" s="10" t="s">
        <v>2373</v>
      </c>
      <c r="O2219" s="10"/>
    </row>
    <row r="2220" spans="1:15" ht="18" customHeight="1" x14ac:dyDescent="0.3">
      <c r="A2220" s="24">
        <v>2219</v>
      </c>
      <c r="B2220" s="10" t="s">
        <v>51</v>
      </c>
      <c r="C2220" s="10" t="s">
        <v>69</v>
      </c>
      <c r="D2220" s="62">
        <v>112</v>
      </c>
      <c r="E2220" s="61" t="s">
        <v>946</v>
      </c>
      <c r="F2220" s="19" t="s">
        <v>1771</v>
      </c>
      <c r="G2220" s="10" t="s">
        <v>2373</v>
      </c>
      <c r="H2220" s="10" t="s">
        <v>845</v>
      </c>
      <c r="I2220" s="62">
        <v>30</v>
      </c>
      <c r="J2220" s="10" t="s">
        <v>2372</v>
      </c>
      <c r="K2220" s="10" t="s">
        <v>847</v>
      </c>
      <c r="L2220" s="10" t="s">
        <v>2373</v>
      </c>
      <c r="M2220" s="10" t="s">
        <v>2374</v>
      </c>
      <c r="N2220" s="10" t="s">
        <v>1234</v>
      </c>
      <c r="O2220" s="10"/>
    </row>
    <row r="2221" spans="1:15" ht="18" customHeight="1" x14ac:dyDescent="0.3">
      <c r="A2221" s="24">
        <v>2220</v>
      </c>
      <c r="B2221" s="10" t="s">
        <v>51</v>
      </c>
      <c r="C2221" s="10" t="s">
        <v>70</v>
      </c>
      <c r="D2221" s="62">
        <v>113</v>
      </c>
      <c r="E2221" s="61" t="s">
        <v>2904</v>
      </c>
      <c r="F2221" s="19" t="s">
        <v>649</v>
      </c>
      <c r="G2221" s="10" t="s">
        <v>160</v>
      </c>
      <c r="H2221" s="10" t="s">
        <v>2385</v>
      </c>
      <c r="I2221" s="62">
        <v>183</v>
      </c>
      <c r="J2221" s="10" t="s">
        <v>2374</v>
      </c>
      <c r="K2221" s="10" t="s">
        <v>2372</v>
      </c>
      <c r="L2221" s="10" t="s">
        <v>2373</v>
      </c>
      <c r="M2221" s="10" t="s">
        <v>2372</v>
      </c>
      <c r="N2221" s="10" t="s">
        <v>2373</v>
      </c>
      <c r="O2221" s="10"/>
    </row>
    <row r="2222" spans="1:15" ht="18" customHeight="1" x14ac:dyDescent="0.3">
      <c r="A2222" s="24">
        <v>2221</v>
      </c>
      <c r="B2222" s="10" t="s">
        <v>51</v>
      </c>
      <c r="C2222" s="10" t="s">
        <v>70</v>
      </c>
      <c r="D2222" s="62">
        <v>113</v>
      </c>
      <c r="E2222" s="61" t="s">
        <v>2904</v>
      </c>
      <c r="F2222" s="19" t="s">
        <v>649</v>
      </c>
      <c r="G2222" s="10" t="s">
        <v>160</v>
      </c>
      <c r="H2222" s="10" t="s">
        <v>848</v>
      </c>
      <c r="I2222" s="62">
        <v>134</v>
      </c>
      <c r="J2222" s="10" t="s">
        <v>2372</v>
      </c>
      <c r="K2222" s="10" t="s">
        <v>847</v>
      </c>
      <c r="L2222" s="10" t="s">
        <v>2373</v>
      </c>
      <c r="M2222" s="10" t="s">
        <v>2372</v>
      </c>
      <c r="N2222" s="10" t="s">
        <v>2373</v>
      </c>
      <c r="O2222" s="10"/>
    </row>
    <row r="2223" spans="1:15" ht="18" customHeight="1" x14ac:dyDescent="0.3">
      <c r="A2223" s="24">
        <v>2222</v>
      </c>
      <c r="B2223" s="10" t="s">
        <v>51</v>
      </c>
      <c r="C2223" s="10" t="s">
        <v>70</v>
      </c>
      <c r="D2223" s="62">
        <v>113</v>
      </c>
      <c r="E2223" s="61" t="s">
        <v>2904</v>
      </c>
      <c r="F2223" s="19" t="s">
        <v>649</v>
      </c>
      <c r="G2223" s="10" t="s">
        <v>160</v>
      </c>
      <c r="H2223" s="10" t="s">
        <v>849</v>
      </c>
      <c r="I2223" s="62">
        <v>139</v>
      </c>
      <c r="J2223" s="10" t="s">
        <v>2374</v>
      </c>
      <c r="K2223" s="10" t="s">
        <v>847</v>
      </c>
      <c r="L2223" s="10" t="s">
        <v>2373</v>
      </c>
      <c r="M2223" s="10" t="s">
        <v>2372</v>
      </c>
      <c r="N2223" s="10" t="s">
        <v>2373</v>
      </c>
      <c r="O2223" s="10"/>
    </row>
    <row r="2224" spans="1:15" ht="18" customHeight="1" x14ac:dyDescent="0.3">
      <c r="A2224" s="24">
        <v>2223</v>
      </c>
      <c r="B2224" s="10" t="s">
        <v>51</v>
      </c>
      <c r="C2224" s="10" t="s">
        <v>70</v>
      </c>
      <c r="D2224" s="62">
        <v>113</v>
      </c>
      <c r="E2224" s="61" t="s">
        <v>2904</v>
      </c>
      <c r="F2224" s="19" t="s">
        <v>649</v>
      </c>
      <c r="G2224" s="10" t="s">
        <v>160</v>
      </c>
      <c r="H2224" s="10" t="s">
        <v>850</v>
      </c>
      <c r="I2224" s="62">
        <v>114</v>
      </c>
      <c r="J2224" s="10" t="s">
        <v>2374</v>
      </c>
      <c r="K2224" s="10" t="s">
        <v>847</v>
      </c>
      <c r="L2224" s="10" t="s">
        <v>2373</v>
      </c>
      <c r="M2224" s="10" t="s">
        <v>2372</v>
      </c>
      <c r="N2224" s="10" t="s">
        <v>2373</v>
      </c>
      <c r="O2224" s="10"/>
    </row>
    <row r="2225" spans="1:15" ht="18" customHeight="1" x14ac:dyDescent="0.3">
      <c r="A2225" s="24">
        <v>2224</v>
      </c>
      <c r="B2225" s="10" t="s">
        <v>51</v>
      </c>
      <c r="C2225" s="10" t="s">
        <v>70</v>
      </c>
      <c r="D2225" s="62">
        <v>113</v>
      </c>
      <c r="E2225" s="61" t="s">
        <v>2904</v>
      </c>
      <c r="F2225" s="19" t="s">
        <v>649</v>
      </c>
      <c r="G2225" s="10" t="s">
        <v>160</v>
      </c>
      <c r="H2225" s="10" t="s">
        <v>851</v>
      </c>
      <c r="I2225" s="62">
        <v>141</v>
      </c>
      <c r="J2225" s="10" t="s">
        <v>2372</v>
      </c>
      <c r="K2225" s="10" t="s">
        <v>847</v>
      </c>
      <c r="L2225" s="10" t="s">
        <v>2373</v>
      </c>
      <c r="M2225" s="10" t="s">
        <v>2372</v>
      </c>
      <c r="N2225" s="10" t="s">
        <v>2373</v>
      </c>
      <c r="O2225" s="10"/>
    </row>
    <row r="2226" spans="1:15" ht="18" customHeight="1" x14ac:dyDescent="0.3">
      <c r="A2226" s="24">
        <v>2225</v>
      </c>
      <c r="B2226" s="10" t="s">
        <v>51</v>
      </c>
      <c r="C2226" s="10" t="s">
        <v>70</v>
      </c>
      <c r="D2226" s="62">
        <v>113</v>
      </c>
      <c r="E2226" s="61" t="s">
        <v>2904</v>
      </c>
      <c r="F2226" s="19" t="s">
        <v>649</v>
      </c>
      <c r="G2226" s="10" t="s">
        <v>160</v>
      </c>
      <c r="H2226" s="10" t="s">
        <v>852</v>
      </c>
      <c r="I2226" s="62">
        <v>125</v>
      </c>
      <c r="J2226" s="10" t="s">
        <v>2372</v>
      </c>
      <c r="K2226" s="10" t="s">
        <v>847</v>
      </c>
      <c r="L2226" s="10" t="s">
        <v>2373</v>
      </c>
      <c r="M2226" s="10" t="s">
        <v>2372</v>
      </c>
      <c r="N2226" s="10" t="s">
        <v>2373</v>
      </c>
      <c r="O2226" s="10"/>
    </row>
    <row r="2227" spans="1:15" ht="18" customHeight="1" x14ac:dyDescent="0.3">
      <c r="A2227" s="24">
        <v>2226</v>
      </c>
      <c r="B2227" s="10" t="s">
        <v>51</v>
      </c>
      <c r="C2227" s="10" t="s">
        <v>70</v>
      </c>
      <c r="D2227" s="62">
        <v>113</v>
      </c>
      <c r="E2227" s="61" t="s">
        <v>2904</v>
      </c>
      <c r="F2227" s="19" t="s">
        <v>649</v>
      </c>
      <c r="G2227" s="10" t="s">
        <v>160</v>
      </c>
      <c r="H2227" s="10" t="s">
        <v>853</v>
      </c>
      <c r="I2227" s="62">
        <v>175</v>
      </c>
      <c r="J2227" s="10" t="s">
        <v>2374</v>
      </c>
      <c r="K2227" s="10" t="s">
        <v>847</v>
      </c>
      <c r="L2227" s="10" t="s">
        <v>2373</v>
      </c>
      <c r="M2227" s="10" t="s">
        <v>2372</v>
      </c>
      <c r="N2227" s="10" t="s">
        <v>2373</v>
      </c>
      <c r="O2227" s="10"/>
    </row>
    <row r="2228" spans="1:15" ht="18" customHeight="1" x14ac:dyDescent="0.3">
      <c r="A2228" s="24">
        <v>2227</v>
      </c>
      <c r="B2228" s="10" t="s">
        <v>51</v>
      </c>
      <c r="C2228" s="10" t="s">
        <v>70</v>
      </c>
      <c r="D2228" s="62">
        <v>113</v>
      </c>
      <c r="E2228" s="61" t="s">
        <v>2904</v>
      </c>
      <c r="F2228" s="19" t="s">
        <v>649</v>
      </c>
      <c r="G2228" s="10" t="s">
        <v>160</v>
      </c>
      <c r="H2228" s="10" t="s">
        <v>2383</v>
      </c>
      <c r="I2228" s="62">
        <v>36</v>
      </c>
      <c r="J2228" s="10" t="s">
        <v>2372</v>
      </c>
      <c r="K2228" s="10" t="s">
        <v>2372</v>
      </c>
      <c r="L2228" s="10" t="s">
        <v>2373</v>
      </c>
      <c r="M2228" s="10" t="s">
        <v>2372</v>
      </c>
      <c r="N2228" s="10" t="s">
        <v>2373</v>
      </c>
      <c r="O2228" s="10"/>
    </row>
    <row r="2229" spans="1:15" ht="18" customHeight="1" x14ac:dyDescent="0.3">
      <c r="A2229" s="24">
        <v>2228</v>
      </c>
      <c r="B2229" s="10" t="s">
        <v>51</v>
      </c>
      <c r="C2229" s="10" t="s">
        <v>70</v>
      </c>
      <c r="D2229" s="62">
        <v>113</v>
      </c>
      <c r="E2229" s="61" t="s">
        <v>2904</v>
      </c>
      <c r="F2229" s="19" t="s">
        <v>649</v>
      </c>
      <c r="G2229" s="10" t="s">
        <v>160</v>
      </c>
      <c r="H2229" s="10" t="s">
        <v>2626</v>
      </c>
      <c r="I2229" s="62">
        <v>66</v>
      </c>
      <c r="J2229" s="10" t="s">
        <v>2372</v>
      </c>
      <c r="K2229" s="10" t="s">
        <v>2372</v>
      </c>
      <c r="L2229" s="10" t="s">
        <v>2373</v>
      </c>
      <c r="M2229" s="10" t="s">
        <v>2372</v>
      </c>
      <c r="N2229" s="10" t="s">
        <v>2373</v>
      </c>
      <c r="O2229" s="10"/>
    </row>
    <row r="2230" spans="1:15" ht="18" customHeight="1" x14ac:dyDescent="0.3">
      <c r="A2230" s="24">
        <v>2229</v>
      </c>
      <c r="B2230" s="10" t="s">
        <v>51</v>
      </c>
      <c r="C2230" s="10" t="s">
        <v>70</v>
      </c>
      <c r="D2230" s="62">
        <v>113</v>
      </c>
      <c r="E2230" s="61" t="s">
        <v>2904</v>
      </c>
      <c r="F2230" s="19" t="s">
        <v>649</v>
      </c>
      <c r="G2230" s="10" t="s">
        <v>160</v>
      </c>
      <c r="H2230" s="10" t="s">
        <v>2471</v>
      </c>
      <c r="I2230" s="62">
        <v>30</v>
      </c>
      <c r="J2230" s="10" t="s">
        <v>2372</v>
      </c>
      <c r="K2230" s="10" t="s">
        <v>847</v>
      </c>
      <c r="L2230" s="10" t="s">
        <v>2373</v>
      </c>
      <c r="M2230" s="10" t="s">
        <v>2372</v>
      </c>
      <c r="N2230" s="10" t="s">
        <v>2373</v>
      </c>
      <c r="O2230" s="10"/>
    </row>
    <row r="2231" spans="1:15" ht="18" customHeight="1" x14ac:dyDescent="0.3">
      <c r="A2231" s="24">
        <v>2230</v>
      </c>
      <c r="B2231" s="10" t="s">
        <v>1600</v>
      </c>
      <c r="C2231" s="10" t="s">
        <v>1774</v>
      </c>
      <c r="D2231" s="62">
        <v>114</v>
      </c>
      <c r="E2231" s="61" t="s">
        <v>1775</v>
      </c>
      <c r="F2231" s="16" t="s">
        <v>1776</v>
      </c>
      <c r="G2231" s="10" t="s">
        <v>1264</v>
      </c>
      <c r="H2231" s="10" t="s">
        <v>2385</v>
      </c>
      <c r="I2231" s="62">
        <v>130</v>
      </c>
      <c r="J2231" s="10" t="s">
        <v>2372</v>
      </c>
      <c r="K2231" s="10" t="s">
        <v>847</v>
      </c>
      <c r="L2231" s="10" t="s">
        <v>2373</v>
      </c>
      <c r="M2231" s="10" t="s">
        <v>2372</v>
      </c>
      <c r="N2231" s="10" t="s">
        <v>2373</v>
      </c>
      <c r="O2231" s="10"/>
    </row>
    <row r="2232" spans="1:15" ht="18" customHeight="1" x14ac:dyDescent="0.3">
      <c r="A2232" s="24">
        <v>2231</v>
      </c>
      <c r="B2232" s="10" t="s">
        <v>1600</v>
      </c>
      <c r="C2232" s="10" t="s">
        <v>1774</v>
      </c>
      <c r="D2232" s="62">
        <v>114</v>
      </c>
      <c r="E2232" s="61" t="s">
        <v>1775</v>
      </c>
      <c r="F2232" s="16" t="s">
        <v>1776</v>
      </c>
      <c r="G2232" s="10" t="s">
        <v>1264</v>
      </c>
      <c r="H2232" s="10" t="s">
        <v>2378</v>
      </c>
      <c r="I2232" s="62">
        <v>254</v>
      </c>
      <c r="J2232" s="10" t="s">
        <v>2372</v>
      </c>
      <c r="K2232" s="10" t="s">
        <v>847</v>
      </c>
      <c r="L2232" s="10" t="s">
        <v>2373</v>
      </c>
      <c r="M2232" s="10" t="s">
        <v>2372</v>
      </c>
      <c r="N2232" s="10" t="s">
        <v>2373</v>
      </c>
      <c r="O2232" s="10"/>
    </row>
    <row r="2233" spans="1:15" ht="18" customHeight="1" x14ac:dyDescent="0.3">
      <c r="A2233" s="24">
        <v>2232</v>
      </c>
      <c r="B2233" s="10" t="s">
        <v>1600</v>
      </c>
      <c r="C2233" s="10" t="s">
        <v>1774</v>
      </c>
      <c r="D2233" s="62">
        <v>114</v>
      </c>
      <c r="E2233" s="61" t="s">
        <v>1775</v>
      </c>
      <c r="F2233" s="16" t="s">
        <v>1776</v>
      </c>
      <c r="G2233" s="10" t="s">
        <v>1264</v>
      </c>
      <c r="H2233" s="10" t="s">
        <v>2379</v>
      </c>
      <c r="I2233" s="62">
        <v>262</v>
      </c>
      <c r="J2233" s="10" t="s">
        <v>2372</v>
      </c>
      <c r="K2233" s="10" t="s">
        <v>847</v>
      </c>
      <c r="L2233" s="10" t="s">
        <v>2373</v>
      </c>
      <c r="M2233" s="10" t="s">
        <v>2372</v>
      </c>
      <c r="N2233" s="10" t="s">
        <v>2373</v>
      </c>
      <c r="O2233" s="10"/>
    </row>
    <row r="2234" spans="1:15" ht="18" customHeight="1" x14ac:dyDescent="0.3">
      <c r="A2234" s="24">
        <v>2233</v>
      </c>
      <c r="B2234" s="10" t="s">
        <v>1600</v>
      </c>
      <c r="C2234" s="10" t="s">
        <v>1774</v>
      </c>
      <c r="D2234" s="62">
        <v>114</v>
      </c>
      <c r="E2234" s="61" t="s">
        <v>1775</v>
      </c>
      <c r="F2234" s="16" t="s">
        <v>1776</v>
      </c>
      <c r="G2234" s="10" t="s">
        <v>1264</v>
      </c>
      <c r="H2234" s="10" t="s">
        <v>2380</v>
      </c>
      <c r="I2234" s="62">
        <v>181</v>
      </c>
      <c r="J2234" s="10" t="s">
        <v>2372</v>
      </c>
      <c r="K2234" s="10" t="s">
        <v>847</v>
      </c>
      <c r="L2234" s="10" t="s">
        <v>2373</v>
      </c>
      <c r="M2234" s="10" t="s">
        <v>2372</v>
      </c>
      <c r="N2234" s="10" t="s">
        <v>2373</v>
      </c>
      <c r="O2234" s="10"/>
    </row>
    <row r="2235" spans="1:15" ht="18" customHeight="1" x14ac:dyDescent="0.3">
      <c r="A2235" s="24">
        <v>2234</v>
      </c>
      <c r="B2235" s="10" t="s">
        <v>1600</v>
      </c>
      <c r="C2235" s="10" t="s">
        <v>1774</v>
      </c>
      <c r="D2235" s="62">
        <v>114</v>
      </c>
      <c r="E2235" s="61" t="s">
        <v>1775</v>
      </c>
      <c r="F2235" s="16" t="s">
        <v>1776</v>
      </c>
      <c r="G2235" s="10" t="s">
        <v>1264</v>
      </c>
      <c r="H2235" s="10" t="s">
        <v>2431</v>
      </c>
      <c r="I2235" s="62">
        <v>42</v>
      </c>
      <c r="J2235" s="10" t="s">
        <v>2372</v>
      </c>
      <c r="K2235" s="10" t="s">
        <v>847</v>
      </c>
      <c r="L2235" s="10" t="s">
        <v>2373</v>
      </c>
      <c r="M2235" s="10" t="s">
        <v>2372</v>
      </c>
      <c r="N2235" s="10" t="s">
        <v>2373</v>
      </c>
      <c r="O2235" s="10"/>
    </row>
    <row r="2236" spans="1:15" ht="18" customHeight="1" x14ac:dyDescent="0.3">
      <c r="A2236" s="24">
        <v>2235</v>
      </c>
      <c r="B2236" s="10" t="s">
        <v>1600</v>
      </c>
      <c r="C2236" s="10" t="s">
        <v>1774</v>
      </c>
      <c r="D2236" s="62">
        <v>114</v>
      </c>
      <c r="E2236" s="61" t="s">
        <v>1775</v>
      </c>
      <c r="F2236" s="16" t="s">
        <v>1776</v>
      </c>
      <c r="G2236" s="10" t="s">
        <v>1264</v>
      </c>
      <c r="H2236" s="10" t="s">
        <v>2382</v>
      </c>
      <c r="I2236" s="62">
        <v>133</v>
      </c>
      <c r="J2236" s="10" t="s">
        <v>2372</v>
      </c>
      <c r="K2236" s="10" t="s">
        <v>847</v>
      </c>
      <c r="L2236" s="10" t="s">
        <v>2373</v>
      </c>
      <c r="M2236" s="10" t="s">
        <v>2372</v>
      </c>
      <c r="N2236" s="10" t="s">
        <v>2373</v>
      </c>
      <c r="O2236" s="10"/>
    </row>
    <row r="2237" spans="1:15" ht="18" customHeight="1" x14ac:dyDescent="0.3">
      <c r="A2237" s="24">
        <v>2236</v>
      </c>
      <c r="B2237" s="10" t="s">
        <v>1600</v>
      </c>
      <c r="C2237" s="10" t="s">
        <v>1774</v>
      </c>
      <c r="D2237" s="62">
        <v>114</v>
      </c>
      <c r="E2237" s="61" t="s">
        <v>1775</v>
      </c>
      <c r="F2237" s="16" t="s">
        <v>1776</v>
      </c>
      <c r="G2237" s="10" t="s">
        <v>1264</v>
      </c>
      <c r="H2237" s="10" t="s">
        <v>1777</v>
      </c>
      <c r="I2237" s="62">
        <v>254</v>
      </c>
      <c r="J2237" s="10" t="s">
        <v>2374</v>
      </c>
      <c r="K2237" s="10" t="s">
        <v>2374</v>
      </c>
      <c r="L2237" s="10" t="s">
        <v>1777</v>
      </c>
      <c r="M2237" s="10" t="s">
        <v>2372</v>
      </c>
      <c r="N2237" s="10" t="s">
        <v>2373</v>
      </c>
      <c r="O2237" s="10"/>
    </row>
    <row r="2238" spans="1:15" ht="18" customHeight="1" x14ac:dyDescent="0.3">
      <c r="A2238" s="24">
        <v>2237</v>
      </c>
      <c r="B2238" s="10" t="s">
        <v>51</v>
      </c>
      <c r="C2238" s="10" t="s">
        <v>71</v>
      </c>
      <c r="D2238" s="62">
        <v>114</v>
      </c>
      <c r="E2238" s="61" t="s">
        <v>235</v>
      </c>
      <c r="F2238" s="16" t="s">
        <v>624</v>
      </c>
      <c r="G2238" s="10" t="s">
        <v>1278</v>
      </c>
      <c r="H2238" s="10" t="s">
        <v>845</v>
      </c>
      <c r="I2238" s="62">
        <v>85</v>
      </c>
      <c r="J2238" s="8" t="s">
        <v>2372</v>
      </c>
      <c r="K2238" s="10" t="s">
        <v>847</v>
      </c>
      <c r="L2238" s="10" t="s">
        <v>2373</v>
      </c>
      <c r="M2238" s="10" t="s">
        <v>2372</v>
      </c>
      <c r="N2238" s="10" t="s">
        <v>2373</v>
      </c>
      <c r="O2238" s="10"/>
    </row>
    <row r="2239" spans="1:15" ht="18" customHeight="1" x14ac:dyDescent="0.3">
      <c r="A2239" s="24">
        <v>2238</v>
      </c>
      <c r="B2239" s="10" t="s">
        <v>51</v>
      </c>
      <c r="C2239" s="10" t="s">
        <v>71</v>
      </c>
      <c r="D2239" s="62">
        <v>114</v>
      </c>
      <c r="E2239" s="61" t="s">
        <v>235</v>
      </c>
      <c r="F2239" s="16" t="s">
        <v>624</v>
      </c>
      <c r="G2239" s="10" t="s">
        <v>1278</v>
      </c>
      <c r="H2239" s="10" t="s">
        <v>848</v>
      </c>
      <c r="I2239" s="62">
        <v>79</v>
      </c>
      <c r="J2239" s="8" t="s">
        <v>2372</v>
      </c>
      <c r="K2239" s="10" t="s">
        <v>847</v>
      </c>
      <c r="L2239" s="10" t="s">
        <v>2373</v>
      </c>
      <c r="M2239" s="10" t="s">
        <v>2372</v>
      </c>
      <c r="N2239" s="10" t="s">
        <v>2373</v>
      </c>
      <c r="O2239" s="10"/>
    </row>
    <row r="2240" spans="1:15" ht="18" customHeight="1" x14ac:dyDescent="0.3">
      <c r="A2240" s="24">
        <v>2239</v>
      </c>
      <c r="B2240" s="10" t="s">
        <v>51</v>
      </c>
      <c r="C2240" s="10" t="s">
        <v>71</v>
      </c>
      <c r="D2240" s="62">
        <v>114</v>
      </c>
      <c r="E2240" s="61" t="s">
        <v>2905</v>
      </c>
      <c r="F2240" s="19" t="s">
        <v>622</v>
      </c>
      <c r="G2240" s="10" t="s">
        <v>160</v>
      </c>
      <c r="H2240" s="10" t="s">
        <v>845</v>
      </c>
      <c r="I2240" s="62">
        <v>173</v>
      </c>
      <c r="J2240" s="10" t="s">
        <v>2374</v>
      </c>
      <c r="K2240" s="10" t="s">
        <v>847</v>
      </c>
      <c r="L2240" s="10" t="s">
        <v>2373</v>
      </c>
      <c r="M2240" s="10" t="s">
        <v>2372</v>
      </c>
      <c r="N2240" s="10" t="s">
        <v>2373</v>
      </c>
      <c r="O2240" s="10"/>
    </row>
    <row r="2241" spans="1:15" ht="18" customHeight="1" x14ac:dyDescent="0.3">
      <c r="A2241" s="24">
        <v>2240</v>
      </c>
      <c r="B2241" s="10" t="s">
        <v>51</v>
      </c>
      <c r="C2241" s="10" t="s">
        <v>71</v>
      </c>
      <c r="D2241" s="62">
        <v>114</v>
      </c>
      <c r="E2241" s="61" t="s">
        <v>2905</v>
      </c>
      <c r="F2241" s="19" t="s">
        <v>622</v>
      </c>
      <c r="G2241" s="10" t="s">
        <v>160</v>
      </c>
      <c r="H2241" s="10" t="s">
        <v>848</v>
      </c>
      <c r="I2241" s="62">
        <v>50</v>
      </c>
      <c r="J2241" s="10" t="s">
        <v>2372</v>
      </c>
      <c r="K2241" s="10" t="s">
        <v>847</v>
      </c>
      <c r="L2241" s="10" t="s">
        <v>2373</v>
      </c>
      <c r="M2241" s="10" t="s">
        <v>2372</v>
      </c>
      <c r="N2241" s="10" t="s">
        <v>2373</v>
      </c>
      <c r="O2241" s="10"/>
    </row>
    <row r="2242" spans="1:15" ht="18" customHeight="1" x14ac:dyDescent="0.3">
      <c r="A2242" s="24">
        <v>2241</v>
      </c>
      <c r="B2242" s="10" t="s">
        <v>51</v>
      </c>
      <c r="C2242" s="10" t="s">
        <v>71</v>
      </c>
      <c r="D2242" s="62">
        <v>114</v>
      </c>
      <c r="E2242" s="61" t="s">
        <v>2905</v>
      </c>
      <c r="F2242" s="19" t="s">
        <v>622</v>
      </c>
      <c r="G2242" s="10" t="s">
        <v>160</v>
      </c>
      <c r="H2242" s="10" t="s">
        <v>849</v>
      </c>
      <c r="I2242" s="62">
        <v>119</v>
      </c>
      <c r="J2242" s="10" t="s">
        <v>2372</v>
      </c>
      <c r="K2242" s="10" t="s">
        <v>847</v>
      </c>
      <c r="L2242" s="10" t="s">
        <v>2373</v>
      </c>
      <c r="M2242" s="10" t="s">
        <v>2372</v>
      </c>
      <c r="N2242" s="10" t="s">
        <v>2373</v>
      </c>
      <c r="O2242" s="10"/>
    </row>
    <row r="2243" spans="1:15" ht="18" customHeight="1" x14ac:dyDescent="0.3">
      <c r="A2243" s="24">
        <v>2242</v>
      </c>
      <c r="B2243" s="10" t="s">
        <v>51</v>
      </c>
      <c r="C2243" s="10" t="s">
        <v>71</v>
      </c>
      <c r="D2243" s="62">
        <v>114</v>
      </c>
      <c r="E2243" s="61" t="s">
        <v>2905</v>
      </c>
      <c r="F2243" s="19" t="s">
        <v>622</v>
      </c>
      <c r="G2243" s="10" t="s">
        <v>160</v>
      </c>
      <c r="H2243" s="10" t="s">
        <v>850</v>
      </c>
      <c r="I2243" s="62">
        <v>136</v>
      </c>
      <c r="J2243" s="10" t="s">
        <v>2374</v>
      </c>
      <c r="K2243" s="10" t="s">
        <v>847</v>
      </c>
      <c r="L2243" s="10" t="s">
        <v>2373</v>
      </c>
      <c r="M2243" s="10" t="s">
        <v>2372</v>
      </c>
      <c r="N2243" s="10" t="s">
        <v>2373</v>
      </c>
      <c r="O2243" s="10"/>
    </row>
    <row r="2244" spans="1:15" ht="18" customHeight="1" x14ac:dyDescent="0.3">
      <c r="A2244" s="24">
        <v>2243</v>
      </c>
      <c r="B2244" s="10" t="s">
        <v>51</v>
      </c>
      <c r="C2244" s="10" t="s">
        <v>71</v>
      </c>
      <c r="D2244" s="62">
        <v>114</v>
      </c>
      <c r="E2244" s="61" t="s">
        <v>2905</v>
      </c>
      <c r="F2244" s="19" t="s">
        <v>622</v>
      </c>
      <c r="G2244" s="10" t="s">
        <v>160</v>
      </c>
      <c r="H2244" s="10" t="s">
        <v>851</v>
      </c>
      <c r="I2244" s="62">
        <v>187</v>
      </c>
      <c r="J2244" s="10" t="s">
        <v>2372</v>
      </c>
      <c r="K2244" s="10" t="s">
        <v>847</v>
      </c>
      <c r="L2244" s="10" t="s">
        <v>2373</v>
      </c>
      <c r="M2244" s="10" t="s">
        <v>2372</v>
      </c>
      <c r="N2244" s="10" t="s">
        <v>2373</v>
      </c>
      <c r="O2244" s="10"/>
    </row>
    <row r="2245" spans="1:15" ht="18" customHeight="1" x14ac:dyDescent="0.3">
      <c r="A2245" s="24">
        <v>2244</v>
      </c>
      <c r="B2245" s="10" t="s">
        <v>51</v>
      </c>
      <c r="C2245" s="10" t="s">
        <v>71</v>
      </c>
      <c r="D2245" s="62">
        <v>114</v>
      </c>
      <c r="E2245" s="61" t="s">
        <v>2905</v>
      </c>
      <c r="F2245" s="19" t="s">
        <v>622</v>
      </c>
      <c r="G2245" s="10" t="s">
        <v>160</v>
      </c>
      <c r="H2245" s="10" t="s">
        <v>852</v>
      </c>
      <c r="I2245" s="62">
        <v>85</v>
      </c>
      <c r="J2245" s="10" t="s">
        <v>2372</v>
      </c>
      <c r="K2245" s="10" t="s">
        <v>847</v>
      </c>
      <c r="L2245" s="10" t="s">
        <v>2373</v>
      </c>
      <c r="M2245" s="10" t="s">
        <v>2372</v>
      </c>
      <c r="N2245" s="10" t="s">
        <v>2373</v>
      </c>
      <c r="O2245" s="10"/>
    </row>
    <row r="2246" spans="1:15" ht="18" customHeight="1" x14ac:dyDescent="0.3">
      <c r="A2246" s="24">
        <v>2245</v>
      </c>
      <c r="B2246" s="10" t="s">
        <v>51</v>
      </c>
      <c r="C2246" s="10" t="s">
        <v>71</v>
      </c>
      <c r="D2246" s="62">
        <v>114</v>
      </c>
      <c r="E2246" s="61" t="s">
        <v>2905</v>
      </c>
      <c r="F2246" s="19" t="s">
        <v>622</v>
      </c>
      <c r="G2246" s="10" t="s">
        <v>160</v>
      </c>
      <c r="H2246" s="10" t="s">
        <v>853</v>
      </c>
      <c r="I2246" s="62">
        <v>119</v>
      </c>
      <c r="J2246" s="10" t="s">
        <v>2372</v>
      </c>
      <c r="K2246" s="10" t="s">
        <v>847</v>
      </c>
      <c r="L2246" s="10" t="s">
        <v>2373</v>
      </c>
      <c r="M2246" s="10" t="s">
        <v>2372</v>
      </c>
      <c r="N2246" s="10" t="s">
        <v>2373</v>
      </c>
      <c r="O2246" s="10"/>
    </row>
    <row r="2247" spans="1:15" ht="18" customHeight="1" x14ac:dyDescent="0.3">
      <c r="A2247" s="24">
        <v>2246</v>
      </c>
      <c r="B2247" s="10" t="s">
        <v>51</v>
      </c>
      <c r="C2247" s="10" t="s">
        <v>71</v>
      </c>
      <c r="D2247" s="62">
        <v>114</v>
      </c>
      <c r="E2247" s="61" t="s">
        <v>2905</v>
      </c>
      <c r="F2247" s="19" t="s">
        <v>622</v>
      </c>
      <c r="G2247" s="10" t="s">
        <v>160</v>
      </c>
      <c r="H2247" s="10" t="s">
        <v>854</v>
      </c>
      <c r="I2247" s="62">
        <v>132</v>
      </c>
      <c r="J2247" s="10" t="s">
        <v>2372</v>
      </c>
      <c r="K2247" s="10" t="s">
        <v>847</v>
      </c>
      <c r="L2247" s="10" t="s">
        <v>2373</v>
      </c>
      <c r="M2247" s="10" t="s">
        <v>2372</v>
      </c>
      <c r="N2247" s="10" t="s">
        <v>2373</v>
      </c>
      <c r="O2247" s="10"/>
    </row>
    <row r="2248" spans="1:15" ht="18" customHeight="1" x14ac:dyDescent="0.3">
      <c r="A2248" s="24">
        <v>2247</v>
      </c>
      <c r="B2248" s="10" t="s">
        <v>51</v>
      </c>
      <c r="C2248" s="10" t="s">
        <v>72</v>
      </c>
      <c r="D2248" s="62">
        <v>115</v>
      </c>
      <c r="E2248" s="61" t="s">
        <v>2906</v>
      </c>
      <c r="F2248" s="16" t="s">
        <v>1781</v>
      </c>
      <c r="G2248" s="10" t="s">
        <v>160</v>
      </c>
      <c r="H2248" s="10" t="s">
        <v>845</v>
      </c>
      <c r="I2248" s="62">
        <v>153</v>
      </c>
      <c r="J2248" s="10" t="s">
        <v>2372</v>
      </c>
      <c r="K2248" s="10" t="s">
        <v>847</v>
      </c>
      <c r="L2248" s="10" t="s">
        <v>2373</v>
      </c>
      <c r="M2248" s="10" t="s">
        <v>2372</v>
      </c>
      <c r="N2248" s="10" t="s">
        <v>2373</v>
      </c>
      <c r="O2248" s="10"/>
    </row>
    <row r="2249" spans="1:15" ht="18" customHeight="1" x14ac:dyDescent="0.3">
      <c r="A2249" s="24">
        <v>2248</v>
      </c>
      <c r="B2249" s="10" t="s">
        <v>51</v>
      </c>
      <c r="C2249" s="10" t="s">
        <v>72</v>
      </c>
      <c r="D2249" s="62">
        <v>115</v>
      </c>
      <c r="E2249" s="61" t="s">
        <v>2906</v>
      </c>
      <c r="F2249" s="16" t="s">
        <v>1781</v>
      </c>
      <c r="G2249" s="10" t="s">
        <v>160</v>
      </c>
      <c r="H2249" s="10" t="s">
        <v>848</v>
      </c>
      <c r="I2249" s="62">
        <v>151</v>
      </c>
      <c r="J2249" s="10" t="s">
        <v>2374</v>
      </c>
      <c r="K2249" s="10" t="s">
        <v>847</v>
      </c>
      <c r="L2249" s="10" t="s">
        <v>2373</v>
      </c>
      <c r="M2249" s="10" t="s">
        <v>2372</v>
      </c>
      <c r="N2249" s="10" t="s">
        <v>2373</v>
      </c>
      <c r="O2249" s="10"/>
    </row>
    <row r="2250" spans="1:15" ht="18" customHeight="1" x14ac:dyDescent="0.3">
      <c r="A2250" s="24">
        <v>2249</v>
      </c>
      <c r="B2250" s="10" t="s">
        <v>51</v>
      </c>
      <c r="C2250" s="10" t="s">
        <v>72</v>
      </c>
      <c r="D2250" s="62">
        <v>115</v>
      </c>
      <c r="E2250" s="61" t="s">
        <v>2906</v>
      </c>
      <c r="F2250" s="16" t="s">
        <v>994</v>
      </c>
      <c r="G2250" s="10" t="s">
        <v>160</v>
      </c>
      <c r="H2250" s="10" t="s">
        <v>849</v>
      </c>
      <c r="I2250" s="62">
        <v>138</v>
      </c>
      <c r="J2250" s="10" t="s">
        <v>2372</v>
      </c>
      <c r="K2250" s="10" t="s">
        <v>847</v>
      </c>
      <c r="L2250" s="10" t="s">
        <v>2373</v>
      </c>
      <c r="M2250" s="10" t="s">
        <v>2372</v>
      </c>
      <c r="N2250" s="10" t="s">
        <v>2373</v>
      </c>
      <c r="O2250" s="10"/>
    </row>
    <row r="2251" spans="1:15" ht="18" customHeight="1" x14ac:dyDescent="0.3">
      <c r="A2251" s="24">
        <v>2250</v>
      </c>
      <c r="B2251" s="10" t="s">
        <v>51</v>
      </c>
      <c r="C2251" s="10" t="s">
        <v>72</v>
      </c>
      <c r="D2251" s="62">
        <v>115</v>
      </c>
      <c r="E2251" s="61" t="s">
        <v>2906</v>
      </c>
      <c r="F2251" s="16" t="s">
        <v>994</v>
      </c>
      <c r="G2251" s="10" t="s">
        <v>160</v>
      </c>
      <c r="H2251" s="10" t="s">
        <v>2380</v>
      </c>
      <c r="I2251" s="62">
        <v>36</v>
      </c>
      <c r="J2251" s="10" t="s">
        <v>2372</v>
      </c>
      <c r="K2251" s="10" t="s">
        <v>847</v>
      </c>
      <c r="L2251" s="10" t="s">
        <v>2373</v>
      </c>
      <c r="M2251" s="10" t="s">
        <v>2372</v>
      </c>
      <c r="N2251" s="10" t="s">
        <v>2373</v>
      </c>
      <c r="O2251" s="10"/>
    </row>
    <row r="2252" spans="1:15" ht="18" customHeight="1" x14ac:dyDescent="0.3">
      <c r="A2252" s="24">
        <v>2251</v>
      </c>
      <c r="B2252" s="10" t="s">
        <v>51</v>
      </c>
      <c r="C2252" s="10" t="s">
        <v>72</v>
      </c>
      <c r="D2252" s="62">
        <v>115</v>
      </c>
      <c r="E2252" s="61" t="s">
        <v>2907</v>
      </c>
      <c r="F2252" s="19" t="s">
        <v>995</v>
      </c>
      <c r="G2252" s="10" t="s">
        <v>150</v>
      </c>
      <c r="H2252" s="10" t="s">
        <v>849</v>
      </c>
      <c r="I2252" s="62">
        <v>114</v>
      </c>
      <c r="J2252" s="10" t="s">
        <v>2372</v>
      </c>
      <c r="K2252" s="10" t="s">
        <v>847</v>
      </c>
      <c r="L2252" s="10" t="s">
        <v>2373</v>
      </c>
      <c r="M2252" s="10" t="s">
        <v>2372</v>
      </c>
      <c r="N2252" s="10" t="s">
        <v>2373</v>
      </c>
      <c r="O2252" s="10"/>
    </row>
    <row r="2253" spans="1:15" ht="18" customHeight="1" x14ac:dyDescent="0.3">
      <c r="A2253" s="24">
        <v>2252</v>
      </c>
      <c r="B2253" s="10" t="s">
        <v>51</v>
      </c>
      <c r="C2253" s="10" t="s">
        <v>72</v>
      </c>
      <c r="D2253" s="62">
        <v>115</v>
      </c>
      <c r="E2253" s="61" t="s">
        <v>2907</v>
      </c>
      <c r="F2253" s="19" t="s">
        <v>995</v>
      </c>
      <c r="G2253" s="10" t="s">
        <v>150</v>
      </c>
      <c r="H2253" s="10" t="s">
        <v>850</v>
      </c>
      <c r="I2253" s="62">
        <v>112</v>
      </c>
      <c r="J2253" s="10" t="s">
        <v>2372</v>
      </c>
      <c r="K2253" s="10" t="s">
        <v>847</v>
      </c>
      <c r="L2253" s="10" t="s">
        <v>2373</v>
      </c>
      <c r="M2253" s="10" t="s">
        <v>2372</v>
      </c>
      <c r="N2253" s="10" t="s">
        <v>2373</v>
      </c>
      <c r="O2253" s="10"/>
    </row>
    <row r="2254" spans="1:15" ht="18" customHeight="1" x14ac:dyDescent="0.3">
      <c r="A2254" s="24">
        <v>2253</v>
      </c>
      <c r="B2254" s="10" t="s">
        <v>51</v>
      </c>
      <c r="C2254" s="10" t="s">
        <v>72</v>
      </c>
      <c r="D2254" s="62">
        <v>115</v>
      </c>
      <c r="E2254" s="61" t="s">
        <v>2907</v>
      </c>
      <c r="F2254" s="19" t="s">
        <v>579</v>
      </c>
      <c r="G2254" s="10" t="s">
        <v>150</v>
      </c>
      <c r="H2254" s="10" t="s">
        <v>845</v>
      </c>
      <c r="I2254" s="62">
        <v>84</v>
      </c>
      <c r="J2254" s="10" t="s">
        <v>2374</v>
      </c>
      <c r="K2254" s="10" t="s">
        <v>847</v>
      </c>
      <c r="L2254" s="10" t="s">
        <v>2373</v>
      </c>
      <c r="M2254" s="10" t="s">
        <v>2372</v>
      </c>
      <c r="N2254" s="10" t="s">
        <v>2373</v>
      </c>
      <c r="O2254" s="10"/>
    </row>
    <row r="2255" spans="1:15" ht="18" customHeight="1" x14ac:dyDescent="0.3">
      <c r="A2255" s="24">
        <v>2254</v>
      </c>
      <c r="B2255" s="10" t="s">
        <v>51</v>
      </c>
      <c r="C2255" s="10" t="s">
        <v>72</v>
      </c>
      <c r="D2255" s="62">
        <v>115</v>
      </c>
      <c r="E2255" s="61" t="s">
        <v>2907</v>
      </c>
      <c r="F2255" s="19" t="s">
        <v>579</v>
      </c>
      <c r="G2255" s="10" t="s">
        <v>150</v>
      </c>
      <c r="H2255" s="10" t="s">
        <v>848</v>
      </c>
      <c r="I2255" s="62">
        <v>114</v>
      </c>
      <c r="J2255" s="10" t="s">
        <v>2374</v>
      </c>
      <c r="K2255" s="10" t="s">
        <v>847</v>
      </c>
      <c r="L2255" s="10" t="s">
        <v>2373</v>
      </c>
      <c r="M2255" s="10" t="s">
        <v>2372</v>
      </c>
      <c r="N2255" s="10" t="s">
        <v>2373</v>
      </c>
      <c r="O2255" s="10"/>
    </row>
    <row r="2256" spans="1:15" ht="18" customHeight="1" x14ac:dyDescent="0.3">
      <c r="A2256" s="24">
        <v>2255</v>
      </c>
      <c r="B2256" s="10" t="s">
        <v>51</v>
      </c>
      <c r="C2256" s="10" t="s">
        <v>72</v>
      </c>
      <c r="D2256" s="62">
        <v>115</v>
      </c>
      <c r="E2256" s="61" t="s">
        <v>255</v>
      </c>
      <c r="F2256" s="16" t="s">
        <v>580</v>
      </c>
      <c r="G2256" s="10" t="s">
        <v>150</v>
      </c>
      <c r="H2256" s="10" t="s">
        <v>845</v>
      </c>
      <c r="I2256" s="62">
        <v>137</v>
      </c>
      <c r="J2256" s="10" t="s">
        <v>2372</v>
      </c>
      <c r="K2256" s="10" t="s">
        <v>847</v>
      </c>
      <c r="L2256" s="10" t="s">
        <v>2373</v>
      </c>
      <c r="M2256" s="10" t="s">
        <v>2372</v>
      </c>
      <c r="N2256" s="10" t="s">
        <v>2373</v>
      </c>
      <c r="O2256" s="10"/>
    </row>
    <row r="2257" spans="1:15" ht="18" customHeight="1" x14ac:dyDescent="0.3">
      <c r="A2257" s="24">
        <v>2256</v>
      </c>
      <c r="B2257" s="10" t="s">
        <v>51</v>
      </c>
      <c r="C2257" s="10" t="s">
        <v>72</v>
      </c>
      <c r="D2257" s="62">
        <v>115</v>
      </c>
      <c r="E2257" s="61" t="s">
        <v>255</v>
      </c>
      <c r="F2257" s="16" t="s">
        <v>580</v>
      </c>
      <c r="G2257" s="10" t="s">
        <v>150</v>
      </c>
      <c r="H2257" s="10" t="s">
        <v>848</v>
      </c>
      <c r="I2257" s="62">
        <v>150</v>
      </c>
      <c r="J2257" s="10" t="s">
        <v>2372</v>
      </c>
      <c r="K2257" s="10" t="s">
        <v>847</v>
      </c>
      <c r="L2257" s="10" t="s">
        <v>2373</v>
      </c>
      <c r="M2257" s="10" t="s">
        <v>2372</v>
      </c>
      <c r="N2257" s="10" t="s">
        <v>2373</v>
      </c>
      <c r="O2257" s="10"/>
    </row>
    <row r="2258" spans="1:15" ht="18" customHeight="1" x14ac:dyDescent="0.3">
      <c r="A2258" s="24">
        <v>2257</v>
      </c>
      <c r="B2258" s="10" t="s">
        <v>51</v>
      </c>
      <c r="C2258" s="10" t="s">
        <v>72</v>
      </c>
      <c r="D2258" s="62">
        <v>115</v>
      </c>
      <c r="E2258" s="61" t="s">
        <v>255</v>
      </c>
      <c r="F2258" s="16" t="s">
        <v>580</v>
      </c>
      <c r="G2258" s="10" t="s">
        <v>150</v>
      </c>
      <c r="H2258" s="10" t="s">
        <v>849</v>
      </c>
      <c r="I2258" s="62">
        <v>138</v>
      </c>
      <c r="J2258" s="10" t="s">
        <v>2374</v>
      </c>
      <c r="K2258" s="10" t="s">
        <v>847</v>
      </c>
      <c r="L2258" s="10" t="s">
        <v>2373</v>
      </c>
      <c r="M2258" s="10" t="s">
        <v>2372</v>
      </c>
      <c r="N2258" s="10" t="s">
        <v>2373</v>
      </c>
      <c r="O2258" s="10"/>
    </row>
    <row r="2259" spans="1:15" ht="18" customHeight="1" x14ac:dyDescent="0.3">
      <c r="A2259" s="24">
        <v>2258</v>
      </c>
      <c r="B2259" s="10" t="s">
        <v>51</v>
      </c>
      <c r="C2259" s="10" t="s">
        <v>72</v>
      </c>
      <c r="D2259" s="62">
        <v>115</v>
      </c>
      <c r="E2259" s="61" t="s">
        <v>255</v>
      </c>
      <c r="F2259" s="16" t="s">
        <v>580</v>
      </c>
      <c r="G2259" s="10" t="s">
        <v>150</v>
      </c>
      <c r="H2259" s="10" t="s">
        <v>850</v>
      </c>
      <c r="I2259" s="62">
        <v>150</v>
      </c>
      <c r="J2259" s="10" t="s">
        <v>2372</v>
      </c>
      <c r="K2259" s="10" t="s">
        <v>847</v>
      </c>
      <c r="L2259" s="10" t="s">
        <v>2373</v>
      </c>
      <c r="M2259" s="10" t="s">
        <v>2372</v>
      </c>
      <c r="N2259" s="10" t="s">
        <v>2373</v>
      </c>
      <c r="O2259" s="10"/>
    </row>
    <row r="2260" spans="1:15" ht="18" customHeight="1" x14ac:dyDescent="0.3">
      <c r="A2260" s="24">
        <v>2259</v>
      </c>
      <c r="B2260" s="10" t="s">
        <v>51</v>
      </c>
      <c r="C2260" s="10" t="s">
        <v>72</v>
      </c>
      <c r="D2260" s="62">
        <v>115</v>
      </c>
      <c r="E2260" s="61" t="s">
        <v>255</v>
      </c>
      <c r="F2260" s="16" t="s">
        <v>580</v>
      </c>
      <c r="G2260" s="10" t="s">
        <v>150</v>
      </c>
      <c r="H2260" s="10" t="s">
        <v>851</v>
      </c>
      <c r="I2260" s="62">
        <v>137</v>
      </c>
      <c r="J2260" s="10" t="s">
        <v>2372</v>
      </c>
      <c r="K2260" s="10" t="s">
        <v>847</v>
      </c>
      <c r="L2260" s="10" t="s">
        <v>2373</v>
      </c>
      <c r="M2260" s="10" t="s">
        <v>2372</v>
      </c>
      <c r="N2260" s="10" t="s">
        <v>2373</v>
      </c>
      <c r="O2260" s="10"/>
    </row>
    <row r="2261" spans="1:15" ht="18" customHeight="1" x14ac:dyDescent="0.3">
      <c r="A2261" s="24">
        <v>2260</v>
      </c>
      <c r="B2261" s="99" t="s">
        <v>1600</v>
      </c>
      <c r="C2261" s="99" t="s">
        <v>3558</v>
      </c>
      <c r="D2261" s="99">
        <v>115</v>
      </c>
      <c r="E2261" s="56" t="s">
        <v>3608</v>
      </c>
      <c r="F2261" s="56" t="s">
        <v>3560</v>
      </c>
      <c r="G2261" s="99" t="s">
        <v>2373</v>
      </c>
      <c r="H2261" s="10" t="s">
        <v>3623</v>
      </c>
      <c r="I2261" s="62">
        <v>40</v>
      </c>
      <c r="J2261" s="10" t="s">
        <v>3597</v>
      </c>
      <c r="K2261" s="10" t="s">
        <v>847</v>
      </c>
      <c r="L2261" s="10" t="s">
        <v>2373</v>
      </c>
      <c r="M2261" s="10" t="s">
        <v>3586</v>
      </c>
      <c r="N2261" s="10" t="s">
        <v>3571</v>
      </c>
      <c r="O2261" s="10"/>
    </row>
    <row r="2262" spans="1:15" ht="18" customHeight="1" x14ac:dyDescent="0.3">
      <c r="A2262" s="24">
        <v>2261</v>
      </c>
      <c r="B2262" s="99" t="s">
        <v>3624</v>
      </c>
      <c r="C2262" s="99" t="s">
        <v>3625</v>
      </c>
      <c r="D2262" s="99">
        <v>115</v>
      </c>
      <c r="E2262" s="56" t="s">
        <v>3608</v>
      </c>
      <c r="F2262" s="56" t="s">
        <v>3626</v>
      </c>
      <c r="G2262" s="99" t="s">
        <v>2373</v>
      </c>
      <c r="H2262" s="10" t="s">
        <v>3602</v>
      </c>
      <c r="I2262" s="62">
        <v>70</v>
      </c>
      <c r="J2262" s="10" t="s">
        <v>3586</v>
      </c>
      <c r="K2262" s="10" t="s">
        <v>847</v>
      </c>
      <c r="L2262" s="10" t="s">
        <v>2373</v>
      </c>
      <c r="M2262" s="10" t="s">
        <v>2372</v>
      </c>
      <c r="N2262" s="10" t="s">
        <v>3603</v>
      </c>
      <c r="O2262" s="10"/>
    </row>
    <row r="2263" spans="1:15" ht="18" customHeight="1" x14ac:dyDescent="0.3">
      <c r="A2263" s="24">
        <v>2262</v>
      </c>
      <c r="B2263" s="10" t="s">
        <v>1600</v>
      </c>
      <c r="C2263" s="10" t="s">
        <v>1783</v>
      </c>
      <c r="D2263" s="62">
        <v>115</v>
      </c>
      <c r="E2263" s="61" t="s">
        <v>2908</v>
      </c>
      <c r="F2263" s="113" t="s">
        <v>1786</v>
      </c>
      <c r="G2263" s="10" t="s">
        <v>1264</v>
      </c>
      <c r="H2263" s="10" t="s">
        <v>2385</v>
      </c>
      <c r="I2263" s="62">
        <v>130</v>
      </c>
      <c r="J2263" s="10" t="s">
        <v>2372</v>
      </c>
      <c r="K2263" s="10" t="s">
        <v>847</v>
      </c>
      <c r="L2263" s="10" t="s">
        <v>2373</v>
      </c>
      <c r="M2263" s="10" t="s">
        <v>2372</v>
      </c>
      <c r="N2263" s="10" t="s">
        <v>2373</v>
      </c>
      <c r="O2263" s="10"/>
    </row>
    <row r="2264" spans="1:15" ht="18" customHeight="1" x14ac:dyDescent="0.3">
      <c r="A2264" s="24">
        <v>2263</v>
      </c>
      <c r="B2264" s="10" t="s">
        <v>1600</v>
      </c>
      <c r="C2264" s="10" t="s">
        <v>1783</v>
      </c>
      <c r="D2264" s="62">
        <v>115</v>
      </c>
      <c r="E2264" s="61" t="s">
        <v>2908</v>
      </c>
      <c r="F2264" s="113" t="s">
        <v>1786</v>
      </c>
      <c r="G2264" s="10" t="s">
        <v>1264</v>
      </c>
      <c r="H2264" s="10" t="s">
        <v>2378</v>
      </c>
      <c r="I2264" s="62">
        <v>119</v>
      </c>
      <c r="J2264" s="10" t="s">
        <v>2372</v>
      </c>
      <c r="K2264" s="10" t="s">
        <v>847</v>
      </c>
      <c r="L2264" s="10" t="s">
        <v>2373</v>
      </c>
      <c r="M2264" s="10" t="s">
        <v>2372</v>
      </c>
      <c r="N2264" s="10" t="s">
        <v>2373</v>
      </c>
      <c r="O2264" s="10"/>
    </row>
    <row r="2265" spans="1:15" ht="18" customHeight="1" x14ac:dyDescent="0.3">
      <c r="A2265" s="24">
        <v>2264</v>
      </c>
      <c r="B2265" s="10" t="s">
        <v>1600</v>
      </c>
      <c r="C2265" s="10" t="s">
        <v>1783</v>
      </c>
      <c r="D2265" s="62">
        <v>115</v>
      </c>
      <c r="E2265" s="61" t="s">
        <v>2908</v>
      </c>
      <c r="F2265" s="113" t="s">
        <v>1786</v>
      </c>
      <c r="G2265" s="10" t="s">
        <v>1264</v>
      </c>
      <c r="H2265" s="10" t="s">
        <v>2379</v>
      </c>
      <c r="I2265" s="62">
        <v>130</v>
      </c>
      <c r="J2265" s="10" t="s">
        <v>2372</v>
      </c>
      <c r="K2265" s="10" t="s">
        <v>847</v>
      </c>
      <c r="L2265" s="10" t="s">
        <v>2373</v>
      </c>
      <c r="M2265" s="10" t="s">
        <v>2372</v>
      </c>
      <c r="N2265" s="10" t="s">
        <v>2373</v>
      </c>
      <c r="O2265" s="10"/>
    </row>
    <row r="2266" spans="1:15" ht="18" customHeight="1" x14ac:dyDescent="0.3">
      <c r="A2266" s="24">
        <v>2265</v>
      </c>
      <c r="B2266" s="10" t="s">
        <v>1600</v>
      </c>
      <c r="C2266" s="10" t="s">
        <v>1783</v>
      </c>
      <c r="D2266" s="62">
        <v>115</v>
      </c>
      <c r="E2266" s="61" t="s">
        <v>2908</v>
      </c>
      <c r="F2266" s="113" t="s">
        <v>1786</v>
      </c>
      <c r="G2266" s="10" t="s">
        <v>1264</v>
      </c>
      <c r="H2266" s="10" t="s">
        <v>2380</v>
      </c>
      <c r="I2266" s="62">
        <v>154</v>
      </c>
      <c r="J2266" s="10" t="s">
        <v>2372</v>
      </c>
      <c r="K2266" s="10" t="s">
        <v>847</v>
      </c>
      <c r="L2266" s="10" t="s">
        <v>2373</v>
      </c>
      <c r="M2266" s="10" t="s">
        <v>2372</v>
      </c>
      <c r="N2266" s="10" t="s">
        <v>2373</v>
      </c>
      <c r="O2266" s="10"/>
    </row>
    <row r="2267" spans="1:15" ht="18" customHeight="1" x14ac:dyDescent="0.3">
      <c r="A2267" s="24">
        <v>2266</v>
      </c>
      <c r="B2267" s="10" t="s">
        <v>1600</v>
      </c>
      <c r="C2267" s="10" t="s">
        <v>1783</v>
      </c>
      <c r="D2267" s="62">
        <v>115</v>
      </c>
      <c r="E2267" s="61" t="s">
        <v>2908</v>
      </c>
      <c r="F2267" s="113" t="s">
        <v>1786</v>
      </c>
      <c r="G2267" s="10" t="s">
        <v>1264</v>
      </c>
      <c r="H2267" s="10" t="s">
        <v>2390</v>
      </c>
      <c r="I2267" s="62">
        <v>141</v>
      </c>
      <c r="J2267" s="10" t="s">
        <v>2372</v>
      </c>
      <c r="K2267" s="10" t="s">
        <v>847</v>
      </c>
      <c r="L2267" s="10" t="s">
        <v>2373</v>
      </c>
      <c r="M2267" s="10" t="s">
        <v>2372</v>
      </c>
      <c r="N2267" s="10" t="s">
        <v>2373</v>
      </c>
      <c r="O2267" s="10"/>
    </row>
    <row r="2268" spans="1:15" ht="18" customHeight="1" x14ac:dyDescent="0.3">
      <c r="A2268" s="24">
        <v>2267</v>
      </c>
      <c r="B2268" s="10" t="s">
        <v>1600</v>
      </c>
      <c r="C2268" s="10" t="s">
        <v>1783</v>
      </c>
      <c r="D2268" s="62">
        <v>115</v>
      </c>
      <c r="E2268" s="61" t="s">
        <v>2908</v>
      </c>
      <c r="F2268" s="113" t="s">
        <v>1786</v>
      </c>
      <c r="G2268" s="10" t="s">
        <v>1264</v>
      </c>
      <c r="H2268" s="10" t="s">
        <v>2382</v>
      </c>
      <c r="I2268" s="62">
        <v>132</v>
      </c>
      <c r="J2268" s="10" t="s">
        <v>2372</v>
      </c>
      <c r="K2268" s="10" t="s">
        <v>847</v>
      </c>
      <c r="L2268" s="10" t="s">
        <v>2373</v>
      </c>
      <c r="M2268" s="10" t="s">
        <v>2372</v>
      </c>
      <c r="N2268" s="10" t="s">
        <v>2373</v>
      </c>
      <c r="O2268" s="10"/>
    </row>
    <row r="2269" spans="1:15" ht="18" customHeight="1" x14ac:dyDescent="0.3">
      <c r="A2269" s="24">
        <v>2268</v>
      </c>
      <c r="B2269" s="10" t="s">
        <v>1600</v>
      </c>
      <c r="C2269" s="10" t="s">
        <v>1787</v>
      </c>
      <c r="D2269" s="62">
        <v>116</v>
      </c>
      <c r="E2269" s="61" t="s">
        <v>2909</v>
      </c>
      <c r="F2269" s="19" t="s">
        <v>2627</v>
      </c>
      <c r="G2269" s="10" t="s">
        <v>1264</v>
      </c>
      <c r="H2269" s="10" t="s">
        <v>2385</v>
      </c>
      <c r="I2269" s="62">
        <v>98</v>
      </c>
      <c r="J2269" s="10" t="s">
        <v>2374</v>
      </c>
      <c r="K2269" s="10" t="s">
        <v>2372</v>
      </c>
      <c r="L2269" s="10" t="s">
        <v>2373</v>
      </c>
      <c r="M2269" s="10" t="s">
        <v>2372</v>
      </c>
      <c r="N2269" s="10" t="s">
        <v>2373</v>
      </c>
      <c r="O2269" s="10"/>
    </row>
    <row r="2270" spans="1:15" ht="18" customHeight="1" x14ac:dyDescent="0.3">
      <c r="A2270" s="24">
        <v>2269</v>
      </c>
      <c r="B2270" s="10" t="s">
        <v>1600</v>
      </c>
      <c r="C2270" s="10" t="s">
        <v>1787</v>
      </c>
      <c r="D2270" s="62">
        <v>116</v>
      </c>
      <c r="E2270" s="61" t="s">
        <v>2909</v>
      </c>
      <c r="F2270" s="19" t="s">
        <v>2627</v>
      </c>
      <c r="G2270" s="10" t="s">
        <v>1264</v>
      </c>
      <c r="H2270" s="10" t="s">
        <v>2378</v>
      </c>
      <c r="I2270" s="62">
        <v>98</v>
      </c>
      <c r="J2270" s="10" t="s">
        <v>2374</v>
      </c>
      <c r="K2270" s="10" t="s">
        <v>2372</v>
      </c>
      <c r="L2270" s="10" t="s">
        <v>2373</v>
      </c>
      <c r="M2270" s="10" t="s">
        <v>2372</v>
      </c>
      <c r="N2270" s="10" t="s">
        <v>2373</v>
      </c>
      <c r="O2270" s="10"/>
    </row>
    <row r="2271" spans="1:15" ht="18" customHeight="1" x14ac:dyDescent="0.3">
      <c r="A2271" s="24">
        <v>2270</v>
      </c>
      <c r="B2271" s="10" t="s">
        <v>1600</v>
      </c>
      <c r="C2271" s="10" t="s">
        <v>1787</v>
      </c>
      <c r="D2271" s="62">
        <v>116</v>
      </c>
      <c r="E2271" s="61" t="s">
        <v>2909</v>
      </c>
      <c r="F2271" s="19" t="s">
        <v>2627</v>
      </c>
      <c r="G2271" s="10" t="s">
        <v>1264</v>
      </c>
      <c r="H2271" s="10" t="s">
        <v>2379</v>
      </c>
      <c r="I2271" s="62">
        <v>111</v>
      </c>
      <c r="J2271" s="10" t="s">
        <v>2372</v>
      </c>
      <c r="K2271" s="10" t="s">
        <v>2372</v>
      </c>
      <c r="L2271" s="10" t="s">
        <v>2373</v>
      </c>
      <c r="M2271" s="10" t="s">
        <v>2372</v>
      </c>
      <c r="N2271" s="10" t="s">
        <v>2373</v>
      </c>
      <c r="O2271" s="10"/>
    </row>
    <row r="2272" spans="1:15" ht="18" customHeight="1" x14ac:dyDescent="0.3">
      <c r="A2272" s="24">
        <v>2271</v>
      </c>
      <c r="B2272" s="10" t="s">
        <v>1600</v>
      </c>
      <c r="C2272" s="10" t="s">
        <v>1787</v>
      </c>
      <c r="D2272" s="62">
        <v>116</v>
      </c>
      <c r="E2272" s="61" t="s">
        <v>2909</v>
      </c>
      <c r="F2272" s="19" t="s">
        <v>2627</v>
      </c>
      <c r="G2272" s="10" t="s">
        <v>1264</v>
      </c>
      <c r="H2272" s="10" t="s">
        <v>2380</v>
      </c>
      <c r="I2272" s="62">
        <v>111</v>
      </c>
      <c r="J2272" s="10" t="s">
        <v>2372</v>
      </c>
      <c r="K2272" s="10" t="s">
        <v>2372</v>
      </c>
      <c r="L2272" s="10" t="s">
        <v>2373</v>
      </c>
      <c r="M2272" s="10" t="s">
        <v>2372</v>
      </c>
      <c r="N2272" s="10" t="s">
        <v>2373</v>
      </c>
      <c r="O2272" s="10"/>
    </row>
    <row r="2273" spans="1:15" ht="18" customHeight="1" x14ac:dyDescent="0.3">
      <c r="A2273" s="24">
        <v>2272</v>
      </c>
      <c r="B2273" s="10" t="s">
        <v>1600</v>
      </c>
      <c r="C2273" s="10" t="s">
        <v>1787</v>
      </c>
      <c r="D2273" s="62">
        <v>116</v>
      </c>
      <c r="E2273" s="61" t="s">
        <v>2909</v>
      </c>
      <c r="F2273" s="19" t="s">
        <v>2627</v>
      </c>
      <c r="G2273" s="10" t="s">
        <v>1264</v>
      </c>
      <c r="H2273" s="10" t="s">
        <v>2390</v>
      </c>
      <c r="I2273" s="62">
        <v>111</v>
      </c>
      <c r="J2273" s="10" t="s">
        <v>2372</v>
      </c>
      <c r="K2273" s="10" t="s">
        <v>2372</v>
      </c>
      <c r="L2273" s="10" t="s">
        <v>2373</v>
      </c>
      <c r="M2273" s="10" t="s">
        <v>2372</v>
      </c>
      <c r="N2273" s="10" t="s">
        <v>2373</v>
      </c>
      <c r="O2273" s="10"/>
    </row>
    <row r="2274" spans="1:15" ht="18" customHeight="1" x14ac:dyDescent="0.3">
      <c r="A2274" s="24">
        <v>2273</v>
      </c>
      <c r="B2274" s="10" t="s">
        <v>1600</v>
      </c>
      <c r="C2274" s="10" t="s">
        <v>1787</v>
      </c>
      <c r="D2274" s="62">
        <v>116</v>
      </c>
      <c r="E2274" s="61" t="s">
        <v>2909</v>
      </c>
      <c r="F2274" s="19" t="s">
        <v>2627</v>
      </c>
      <c r="G2274" s="10" t="s">
        <v>1264</v>
      </c>
      <c r="H2274" s="10" t="s">
        <v>2382</v>
      </c>
      <c r="I2274" s="62">
        <v>111</v>
      </c>
      <c r="J2274" s="10" t="s">
        <v>2374</v>
      </c>
      <c r="K2274" s="10" t="s">
        <v>2372</v>
      </c>
      <c r="L2274" s="10" t="s">
        <v>2373</v>
      </c>
      <c r="M2274" s="10" t="s">
        <v>2372</v>
      </c>
      <c r="N2274" s="10" t="s">
        <v>2373</v>
      </c>
      <c r="O2274" s="10"/>
    </row>
    <row r="2275" spans="1:15" ht="18" customHeight="1" x14ac:dyDescent="0.3">
      <c r="A2275" s="24">
        <v>2274</v>
      </c>
      <c r="B2275" s="10" t="s">
        <v>51</v>
      </c>
      <c r="C2275" s="10" t="s">
        <v>73</v>
      </c>
      <c r="D2275" s="62">
        <v>116</v>
      </c>
      <c r="E2275" s="61" t="s">
        <v>2910</v>
      </c>
      <c r="F2275" s="19" t="s">
        <v>2628</v>
      </c>
      <c r="G2275" s="10" t="s">
        <v>150</v>
      </c>
      <c r="H2275" s="10" t="s">
        <v>845</v>
      </c>
      <c r="I2275" s="62">
        <v>182</v>
      </c>
      <c r="J2275" s="10" t="s">
        <v>2372</v>
      </c>
      <c r="K2275" s="10" t="s">
        <v>846</v>
      </c>
      <c r="L2275" s="10" t="s">
        <v>985</v>
      </c>
      <c r="M2275" s="10" t="s">
        <v>2372</v>
      </c>
      <c r="N2275" s="10" t="s">
        <v>2373</v>
      </c>
      <c r="O2275" s="10"/>
    </row>
    <row r="2276" spans="1:15" ht="18" customHeight="1" x14ac:dyDescent="0.3">
      <c r="A2276" s="24">
        <v>2275</v>
      </c>
      <c r="B2276" s="10" t="s">
        <v>51</v>
      </c>
      <c r="C2276" s="10" t="s">
        <v>73</v>
      </c>
      <c r="D2276" s="62">
        <v>116</v>
      </c>
      <c r="E2276" s="61" t="s">
        <v>2910</v>
      </c>
      <c r="F2276" s="19" t="s">
        <v>2628</v>
      </c>
      <c r="G2276" s="10" t="s">
        <v>150</v>
      </c>
      <c r="H2276" s="10" t="s">
        <v>848</v>
      </c>
      <c r="I2276" s="62">
        <v>164</v>
      </c>
      <c r="J2276" s="10" t="s">
        <v>2372</v>
      </c>
      <c r="K2276" s="10" t="s">
        <v>847</v>
      </c>
      <c r="L2276" s="10" t="s">
        <v>2373</v>
      </c>
      <c r="M2276" s="10" t="s">
        <v>2372</v>
      </c>
      <c r="N2276" s="10" t="s">
        <v>2373</v>
      </c>
      <c r="O2276" s="10"/>
    </row>
    <row r="2277" spans="1:15" ht="18" customHeight="1" x14ac:dyDescent="0.3">
      <c r="A2277" s="24">
        <v>2276</v>
      </c>
      <c r="B2277" s="10" t="s">
        <v>51</v>
      </c>
      <c r="C2277" s="10" t="s">
        <v>73</v>
      </c>
      <c r="D2277" s="62">
        <v>116</v>
      </c>
      <c r="E2277" s="61" t="s">
        <v>2910</v>
      </c>
      <c r="F2277" s="19" t="s">
        <v>2628</v>
      </c>
      <c r="G2277" s="10" t="s">
        <v>150</v>
      </c>
      <c r="H2277" s="10" t="s">
        <v>2379</v>
      </c>
      <c r="I2277" s="62">
        <v>78</v>
      </c>
      <c r="J2277" s="10" t="s">
        <v>2372</v>
      </c>
      <c r="K2277" s="10" t="s">
        <v>2372</v>
      </c>
      <c r="L2277" s="10" t="s">
        <v>2373</v>
      </c>
      <c r="M2277" s="10" t="s">
        <v>2372</v>
      </c>
      <c r="N2277" s="10" t="s">
        <v>2373</v>
      </c>
      <c r="O2277" s="10"/>
    </row>
    <row r="2278" spans="1:15" ht="18" customHeight="1" x14ac:dyDescent="0.3">
      <c r="A2278" s="24">
        <v>2277</v>
      </c>
      <c r="B2278" s="10" t="s">
        <v>51</v>
      </c>
      <c r="C2278" s="10" t="s">
        <v>73</v>
      </c>
      <c r="D2278" s="62">
        <v>116</v>
      </c>
      <c r="E2278" s="61" t="s">
        <v>2910</v>
      </c>
      <c r="F2278" s="19" t="s">
        <v>2628</v>
      </c>
      <c r="G2278" s="10" t="s">
        <v>150</v>
      </c>
      <c r="H2278" s="10" t="s">
        <v>850</v>
      </c>
      <c r="I2278" s="62">
        <v>184</v>
      </c>
      <c r="J2278" s="10" t="s">
        <v>2374</v>
      </c>
      <c r="K2278" s="10" t="s">
        <v>847</v>
      </c>
      <c r="L2278" s="10" t="s">
        <v>2373</v>
      </c>
      <c r="M2278" s="10" t="s">
        <v>2372</v>
      </c>
      <c r="N2278" s="10" t="s">
        <v>2373</v>
      </c>
      <c r="O2278" s="10"/>
    </row>
    <row r="2279" spans="1:15" ht="18" customHeight="1" x14ac:dyDescent="0.3">
      <c r="A2279" s="24">
        <v>2278</v>
      </c>
      <c r="B2279" s="10" t="s">
        <v>51</v>
      </c>
      <c r="C2279" s="10" t="s">
        <v>73</v>
      </c>
      <c r="D2279" s="62">
        <v>116</v>
      </c>
      <c r="E2279" s="61" t="s">
        <v>2910</v>
      </c>
      <c r="F2279" s="19" t="s">
        <v>2628</v>
      </c>
      <c r="G2279" s="10" t="s">
        <v>150</v>
      </c>
      <c r="H2279" s="10" t="s">
        <v>851</v>
      </c>
      <c r="I2279" s="62">
        <v>154</v>
      </c>
      <c r="J2279" s="10" t="s">
        <v>2372</v>
      </c>
      <c r="K2279" s="10" t="s">
        <v>847</v>
      </c>
      <c r="L2279" s="10" t="s">
        <v>2373</v>
      </c>
      <c r="M2279" s="10" t="s">
        <v>2372</v>
      </c>
      <c r="N2279" s="10" t="s">
        <v>2373</v>
      </c>
      <c r="O2279" s="10"/>
    </row>
    <row r="2280" spans="1:15" ht="18" customHeight="1" x14ac:dyDescent="0.3">
      <c r="A2280" s="24">
        <v>2279</v>
      </c>
      <c r="B2280" s="10" t="s">
        <v>51</v>
      </c>
      <c r="C2280" s="10" t="s">
        <v>73</v>
      </c>
      <c r="D2280" s="62">
        <v>116</v>
      </c>
      <c r="E2280" s="61" t="s">
        <v>2910</v>
      </c>
      <c r="F2280" s="19" t="s">
        <v>2628</v>
      </c>
      <c r="G2280" s="10" t="s">
        <v>150</v>
      </c>
      <c r="H2280" s="10" t="s">
        <v>852</v>
      </c>
      <c r="I2280" s="62">
        <v>180</v>
      </c>
      <c r="J2280" s="10" t="s">
        <v>2372</v>
      </c>
      <c r="K2280" s="10" t="s">
        <v>847</v>
      </c>
      <c r="L2280" s="10" t="s">
        <v>2373</v>
      </c>
      <c r="M2280" s="10" t="s">
        <v>2372</v>
      </c>
      <c r="N2280" s="10" t="s">
        <v>2373</v>
      </c>
      <c r="O2280" s="10"/>
    </row>
    <row r="2281" spans="1:15" ht="18" customHeight="1" x14ac:dyDescent="0.3">
      <c r="A2281" s="24">
        <v>2280</v>
      </c>
      <c r="B2281" s="10" t="s">
        <v>51</v>
      </c>
      <c r="C2281" s="10" t="s">
        <v>73</v>
      </c>
      <c r="D2281" s="62">
        <v>116</v>
      </c>
      <c r="E2281" s="61" t="s">
        <v>2910</v>
      </c>
      <c r="F2281" s="19" t="s">
        <v>2628</v>
      </c>
      <c r="G2281" s="10" t="s">
        <v>150</v>
      </c>
      <c r="H2281" s="10" t="s">
        <v>923</v>
      </c>
      <c r="I2281" s="62">
        <v>84</v>
      </c>
      <c r="J2281" s="10" t="s">
        <v>2374</v>
      </c>
      <c r="K2281" s="10" t="s">
        <v>846</v>
      </c>
      <c r="L2281" s="10" t="s">
        <v>1516</v>
      </c>
      <c r="M2281" s="10" t="s">
        <v>2372</v>
      </c>
      <c r="N2281" s="10" t="s">
        <v>2373</v>
      </c>
      <c r="O2281" s="10"/>
    </row>
    <row r="2282" spans="1:15" ht="18" customHeight="1" x14ac:dyDescent="0.3">
      <c r="A2282" s="24">
        <v>2281</v>
      </c>
      <c r="B2282" s="99" t="s">
        <v>3054</v>
      </c>
      <c r="C2282" s="99" t="s">
        <v>3055</v>
      </c>
      <c r="D2282" s="99">
        <v>116</v>
      </c>
      <c r="E2282" s="56" t="s">
        <v>3051</v>
      </c>
      <c r="F2282" s="56" t="s">
        <v>3053</v>
      </c>
      <c r="G2282" s="99" t="s">
        <v>3052</v>
      </c>
      <c r="H2282" s="10" t="s">
        <v>3056</v>
      </c>
      <c r="I2282" s="62">
        <v>31</v>
      </c>
      <c r="J2282" s="10" t="s">
        <v>884</v>
      </c>
      <c r="K2282" s="10" t="s">
        <v>884</v>
      </c>
      <c r="L2282" s="10" t="s">
        <v>820</v>
      </c>
      <c r="M2282" s="10" t="s">
        <v>884</v>
      </c>
      <c r="N2282" s="10" t="s">
        <v>820</v>
      </c>
      <c r="O2282" s="10"/>
    </row>
    <row r="2283" spans="1:15" ht="18" customHeight="1" x14ac:dyDescent="0.3">
      <c r="A2283" s="24">
        <v>2282</v>
      </c>
      <c r="B2283" s="99" t="s">
        <v>3054</v>
      </c>
      <c r="C2283" s="99" t="s">
        <v>3055</v>
      </c>
      <c r="D2283" s="99">
        <v>116</v>
      </c>
      <c r="E2283" s="56" t="s">
        <v>3051</v>
      </c>
      <c r="F2283" s="56" t="s">
        <v>3053</v>
      </c>
      <c r="G2283" s="99" t="s">
        <v>3052</v>
      </c>
      <c r="H2283" s="10" t="s">
        <v>3057</v>
      </c>
      <c r="I2283" s="62">
        <v>97</v>
      </c>
      <c r="J2283" s="10" t="s">
        <v>884</v>
      </c>
      <c r="K2283" s="10" t="s">
        <v>884</v>
      </c>
      <c r="L2283" s="10" t="s">
        <v>820</v>
      </c>
      <c r="M2283" s="10" t="s">
        <v>884</v>
      </c>
      <c r="N2283" s="10" t="s">
        <v>820</v>
      </c>
      <c r="O2283" s="10"/>
    </row>
    <row r="2284" spans="1:15" ht="18" customHeight="1" x14ac:dyDescent="0.3">
      <c r="A2284" s="24">
        <v>2283</v>
      </c>
      <c r="B2284" s="99" t="s">
        <v>3054</v>
      </c>
      <c r="C2284" s="99" t="s">
        <v>3055</v>
      </c>
      <c r="D2284" s="99">
        <v>116</v>
      </c>
      <c r="E2284" s="56" t="s">
        <v>3051</v>
      </c>
      <c r="F2284" s="56" t="s">
        <v>3053</v>
      </c>
      <c r="G2284" s="99" t="s">
        <v>3052</v>
      </c>
      <c r="H2284" s="10" t="s">
        <v>3058</v>
      </c>
      <c r="I2284" s="62">
        <v>82</v>
      </c>
      <c r="J2284" s="10" t="s">
        <v>884</v>
      </c>
      <c r="K2284" s="10" t="s">
        <v>884</v>
      </c>
      <c r="L2284" s="10" t="s">
        <v>820</v>
      </c>
      <c r="M2284" s="10" t="s">
        <v>884</v>
      </c>
      <c r="N2284" s="10" t="s">
        <v>820</v>
      </c>
      <c r="O2284" s="10"/>
    </row>
    <row r="2285" spans="1:15" ht="18" customHeight="1" x14ac:dyDescent="0.3">
      <c r="A2285" s="24">
        <v>2284</v>
      </c>
      <c r="B2285" s="99" t="s">
        <v>3054</v>
      </c>
      <c r="C2285" s="99" t="s">
        <v>3055</v>
      </c>
      <c r="D2285" s="99">
        <v>116</v>
      </c>
      <c r="E2285" s="56" t="s">
        <v>3051</v>
      </c>
      <c r="F2285" s="56" t="s">
        <v>3053</v>
      </c>
      <c r="G2285" s="99" t="s">
        <v>3052</v>
      </c>
      <c r="H2285" s="10" t="s">
        <v>3059</v>
      </c>
      <c r="I2285" s="62">
        <v>92</v>
      </c>
      <c r="J2285" s="10" t="s">
        <v>884</v>
      </c>
      <c r="K2285" s="10" t="s">
        <v>884</v>
      </c>
      <c r="L2285" s="10" t="s">
        <v>820</v>
      </c>
      <c r="M2285" s="10" t="s">
        <v>884</v>
      </c>
      <c r="N2285" s="10" t="s">
        <v>820</v>
      </c>
      <c r="O2285" s="10"/>
    </row>
    <row r="2286" spans="1:15" ht="18" customHeight="1" x14ac:dyDescent="0.3">
      <c r="A2286" s="24">
        <v>2285</v>
      </c>
      <c r="B2286" s="99" t="s">
        <v>3054</v>
      </c>
      <c r="C2286" s="99" t="s">
        <v>3055</v>
      </c>
      <c r="D2286" s="99">
        <v>116</v>
      </c>
      <c r="E2286" s="56" t="s">
        <v>3051</v>
      </c>
      <c r="F2286" s="56" t="s">
        <v>3053</v>
      </c>
      <c r="G2286" s="99" t="s">
        <v>3052</v>
      </c>
      <c r="H2286" s="10" t="s">
        <v>3060</v>
      </c>
      <c r="I2286" s="62">
        <v>84</v>
      </c>
      <c r="J2286" s="10" t="s">
        <v>884</v>
      </c>
      <c r="K2286" s="10" t="s">
        <v>884</v>
      </c>
      <c r="L2286" s="10" t="s">
        <v>820</v>
      </c>
      <c r="M2286" s="10" t="s">
        <v>884</v>
      </c>
      <c r="N2286" s="10" t="s">
        <v>820</v>
      </c>
      <c r="O2286" s="10"/>
    </row>
    <row r="2287" spans="1:15" ht="18" customHeight="1" x14ac:dyDescent="0.3">
      <c r="A2287" s="24">
        <v>2286</v>
      </c>
      <c r="B2287" s="99" t="s">
        <v>3054</v>
      </c>
      <c r="C2287" s="99" t="s">
        <v>3055</v>
      </c>
      <c r="D2287" s="99">
        <v>116</v>
      </c>
      <c r="E2287" s="56" t="s">
        <v>3051</v>
      </c>
      <c r="F2287" s="56" t="s">
        <v>3053</v>
      </c>
      <c r="G2287" s="99" t="s">
        <v>3052</v>
      </c>
      <c r="H2287" s="10" t="s">
        <v>3061</v>
      </c>
      <c r="I2287" s="62">
        <v>97</v>
      </c>
      <c r="J2287" s="10" t="s">
        <v>884</v>
      </c>
      <c r="K2287" s="10" t="s">
        <v>884</v>
      </c>
      <c r="L2287" s="10" t="s">
        <v>820</v>
      </c>
      <c r="M2287" s="10" t="s">
        <v>884</v>
      </c>
      <c r="N2287" s="10" t="s">
        <v>820</v>
      </c>
      <c r="O2287" s="10"/>
    </row>
    <row r="2288" spans="1:15" ht="18" customHeight="1" x14ac:dyDescent="0.3">
      <c r="A2288" s="24">
        <v>2287</v>
      </c>
      <c r="B2288" s="99" t="s">
        <v>3054</v>
      </c>
      <c r="C2288" s="99" t="s">
        <v>3055</v>
      </c>
      <c r="D2288" s="99">
        <v>116</v>
      </c>
      <c r="E2288" s="56" t="s">
        <v>3051</v>
      </c>
      <c r="F2288" s="56" t="s">
        <v>3053</v>
      </c>
      <c r="G2288" s="99" t="s">
        <v>3052</v>
      </c>
      <c r="H2288" s="10" t="s">
        <v>3062</v>
      </c>
      <c r="I2288" s="62">
        <v>34</v>
      </c>
      <c r="J2288" s="10" t="s">
        <v>884</v>
      </c>
      <c r="K2288" s="10" t="s">
        <v>884</v>
      </c>
      <c r="L2288" s="10" t="s">
        <v>820</v>
      </c>
      <c r="M2288" s="10" t="s">
        <v>884</v>
      </c>
      <c r="N2288" s="10" t="s">
        <v>820</v>
      </c>
      <c r="O2288" s="10"/>
    </row>
    <row r="2289" spans="1:15" ht="18" customHeight="1" x14ac:dyDescent="0.3">
      <c r="A2289" s="24">
        <v>2288</v>
      </c>
      <c r="B2289" s="10" t="s">
        <v>1600</v>
      </c>
      <c r="C2289" s="10" t="s">
        <v>1787</v>
      </c>
      <c r="D2289" s="62">
        <v>116</v>
      </c>
      <c r="E2289" s="61" t="s">
        <v>1791</v>
      </c>
      <c r="F2289" s="19" t="s">
        <v>1792</v>
      </c>
      <c r="G2289" s="8" t="s">
        <v>2373</v>
      </c>
      <c r="H2289" s="13" t="s">
        <v>2385</v>
      </c>
      <c r="I2289" s="96">
        <v>40</v>
      </c>
      <c r="J2289" s="10" t="s">
        <v>2372</v>
      </c>
      <c r="K2289" s="10" t="s">
        <v>2372</v>
      </c>
      <c r="L2289" s="10" t="s">
        <v>2373</v>
      </c>
      <c r="M2289" s="10" t="s">
        <v>2372</v>
      </c>
      <c r="N2289" s="10" t="s">
        <v>2373</v>
      </c>
      <c r="O2289" s="10"/>
    </row>
    <row r="2290" spans="1:15" ht="18" customHeight="1" x14ac:dyDescent="0.3">
      <c r="A2290" s="24">
        <v>2289</v>
      </c>
      <c r="B2290" s="10" t="s">
        <v>51</v>
      </c>
      <c r="C2290" s="10" t="s">
        <v>73</v>
      </c>
      <c r="D2290" s="62">
        <v>116</v>
      </c>
      <c r="E2290" s="61" t="s">
        <v>1795</v>
      </c>
      <c r="F2290" s="44" t="s">
        <v>1796</v>
      </c>
      <c r="G2290" s="24" t="s">
        <v>1264</v>
      </c>
      <c r="H2290" s="10" t="s">
        <v>2378</v>
      </c>
      <c r="I2290" s="62">
        <v>81</v>
      </c>
      <c r="J2290" s="8" t="s">
        <v>2372</v>
      </c>
      <c r="K2290" s="10" t="s">
        <v>2374</v>
      </c>
      <c r="L2290" s="10" t="s">
        <v>2229</v>
      </c>
      <c r="M2290" s="10" t="s">
        <v>2372</v>
      </c>
      <c r="N2290" s="10" t="s">
        <v>2373</v>
      </c>
      <c r="O2290" s="10"/>
    </row>
    <row r="2291" spans="1:15" ht="18" customHeight="1" x14ac:dyDescent="0.3">
      <c r="A2291" s="24">
        <v>2290</v>
      </c>
      <c r="B2291" s="10" t="s">
        <v>51</v>
      </c>
      <c r="C2291" s="10" t="s">
        <v>73</v>
      </c>
      <c r="D2291" s="62">
        <v>116</v>
      </c>
      <c r="E2291" s="61" t="s">
        <v>1795</v>
      </c>
      <c r="F2291" s="44" t="s">
        <v>1796</v>
      </c>
      <c r="G2291" s="24" t="s">
        <v>1264</v>
      </c>
      <c r="H2291" s="10" t="s">
        <v>2379</v>
      </c>
      <c r="I2291" s="62">
        <v>197</v>
      </c>
      <c r="J2291" s="8" t="s">
        <v>846</v>
      </c>
      <c r="K2291" s="10" t="s">
        <v>847</v>
      </c>
      <c r="L2291" s="10" t="s">
        <v>2373</v>
      </c>
      <c r="M2291" s="10" t="s">
        <v>2372</v>
      </c>
      <c r="N2291" s="10" t="s">
        <v>2373</v>
      </c>
      <c r="O2291" s="10"/>
    </row>
    <row r="2292" spans="1:15" ht="18" customHeight="1" x14ac:dyDescent="0.3">
      <c r="A2292" s="24">
        <v>2291</v>
      </c>
      <c r="B2292" s="10" t="s">
        <v>51</v>
      </c>
      <c r="C2292" s="10" t="s">
        <v>73</v>
      </c>
      <c r="D2292" s="62">
        <v>116</v>
      </c>
      <c r="E2292" s="61" t="s">
        <v>1795</v>
      </c>
      <c r="F2292" s="44" t="s">
        <v>1796</v>
      </c>
      <c r="G2292" s="24" t="s">
        <v>1264</v>
      </c>
      <c r="H2292" s="10" t="s">
        <v>2380</v>
      </c>
      <c r="I2292" s="62">
        <v>341</v>
      </c>
      <c r="J2292" s="8" t="s">
        <v>846</v>
      </c>
      <c r="K2292" s="10" t="s">
        <v>2374</v>
      </c>
      <c r="L2292" s="10" t="s">
        <v>2446</v>
      </c>
      <c r="M2292" s="10" t="s">
        <v>2372</v>
      </c>
      <c r="N2292" s="10" t="s">
        <v>2373</v>
      </c>
      <c r="O2292" s="10" t="s">
        <v>2629</v>
      </c>
    </row>
    <row r="2293" spans="1:15" ht="18" customHeight="1" x14ac:dyDescent="0.3">
      <c r="A2293" s="24">
        <v>2292</v>
      </c>
      <c r="B2293" s="10" t="s">
        <v>51</v>
      </c>
      <c r="C2293" s="10" t="s">
        <v>73</v>
      </c>
      <c r="D2293" s="62">
        <v>116</v>
      </c>
      <c r="E2293" s="61" t="s">
        <v>1795</v>
      </c>
      <c r="F2293" s="44" t="s">
        <v>1796</v>
      </c>
      <c r="G2293" s="24" t="s">
        <v>1264</v>
      </c>
      <c r="H2293" s="10" t="s">
        <v>2390</v>
      </c>
      <c r="I2293" s="62">
        <v>183</v>
      </c>
      <c r="J2293" s="8" t="s">
        <v>2372</v>
      </c>
      <c r="K2293" s="10" t="s">
        <v>847</v>
      </c>
      <c r="L2293" s="10" t="s">
        <v>2373</v>
      </c>
      <c r="M2293" s="10" t="s">
        <v>2372</v>
      </c>
      <c r="N2293" s="10" t="s">
        <v>2373</v>
      </c>
      <c r="O2293" s="10"/>
    </row>
    <row r="2294" spans="1:15" ht="18" customHeight="1" x14ac:dyDescent="0.3">
      <c r="A2294" s="24">
        <v>2293</v>
      </c>
      <c r="B2294" s="10" t="s">
        <v>51</v>
      </c>
      <c r="C2294" s="10" t="s">
        <v>73</v>
      </c>
      <c r="D2294" s="62">
        <v>116</v>
      </c>
      <c r="E2294" s="61" t="s">
        <v>1795</v>
      </c>
      <c r="F2294" s="44" t="s">
        <v>1796</v>
      </c>
      <c r="G2294" s="24" t="s">
        <v>1264</v>
      </c>
      <c r="H2294" s="10" t="s">
        <v>2382</v>
      </c>
      <c r="I2294" s="62">
        <v>132</v>
      </c>
      <c r="J2294" s="8" t="s">
        <v>2372</v>
      </c>
      <c r="K2294" s="10" t="s">
        <v>847</v>
      </c>
      <c r="L2294" s="10" t="s">
        <v>2373</v>
      </c>
      <c r="M2294" s="10" t="s">
        <v>2372</v>
      </c>
      <c r="N2294" s="10" t="s">
        <v>2373</v>
      </c>
      <c r="O2294" s="10"/>
    </row>
    <row r="2295" spans="1:15" ht="18" customHeight="1" x14ac:dyDescent="0.3">
      <c r="A2295" s="24">
        <v>2294</v>
      </c>
      <c r="B2295" s="10" t="s">
        <v>51</v>
      </c>
      <c r="C2295" s="10" t="s">
        <v>73</v>
      </c>
      <c r="D2295" s="62">
        <v>116</v>
      </c>
      <c r="E2295" s="61" t="s">
        <v>1795</v>
      </c>
      <c r="F2295" s="44" t="s">
        <v>1796</v>
      </c>
      <c r="G2295" s="24" t="s">
        <v>1264</v>
      </c>
      <c r="H2295" s="10" t="s">
        <v>2431</v>
      </c>
      <c r="I2295" s="62">
        <v>183</v>
      </c>
      <c r="J2295" s="8" t="s">
        <v>2372</v>
      </c>
      <c r="K2295" s="10" t="s">
        <v>847</v>
      </c>
      <c r="L2295" s="10" t="s">
        <v>2373</v>
      </c>
      <c r="M2295" s="10" t="s">
        <v>2372</v>
      </c>
      <c r="N2295" s="10" t="s">
        <v>2373</v>
      </c>
      <c r="O2295" s="10"/>
    </row>
    <row r="2296" spans="1:15" ht="18" customHeight="1" x14ac:dyDescent="0.3">
      <c r="A2296" s="24">
        <v>2295</v>
      </c>
      <c r="B2296" s="10" t="s">
        <v>51</v>
      </c>
      <c r="C2296" s="10" t="s">
        <v>73</v>
      </c>
      <c r="D2296" s="62">
        <v>116</v>
      </c>
      <c r="E2296" s="61" t="s">
        <v>1795</v>
      </c>
      <c r="F2296" s="44" t="s">
        <v>1796</v>
      </c>
      <c r="G2296" s="24" t="s">
        <v>1264</v>
      </c>
      <c r="H2296" s="10" t="s">
        <v>2391</v>
      </c>
      <c r="I2296" s="62">
        <v>40</v>
      </c>
      <c r="J2296" s="8" t="s">
        <v>2372</v>
      </c>
      <c r="K2296" s="10" t="s">
        <v>2374</v>
      </c>
      <c r="L2296" s="10" t="s">
        <v>2392</v>
      </c>
      <c r="M2296" s="10" t="s">
        <v>2372</v>
      </c>
      <c r="N2296" s="10" t="s">
        <v>2373</v>
      </c>
      <c r="O2296" s="10"/>
    </row>
    <row r="2297" spans="1:15" ht="18" customHeight="1" x14ac:dyDescent="0.3">
      <c r="A2297" s="24">
        <v>2296</v>
      </c>
      <c r="B2297" s="142" t="s">
        <v>3177</v>
      </c>
      <c r="C2297" s="142" t="s">
        <v>3178</v>
      </c>
      <c r="D2297" s="142">
        <v>116</v>
      </c>
      <c r="E2297" s="164" t="s">
        <v>3176</v>
      </c>
      <c r="F2297" s="164" t="s">
        <v>3683</v>
      </c>
      <c r="G2297" s="117" t="s">
        <v>3157</v>
      </c>
      <c r="H2297" s="10" t="s">
        <v>3159</v>
      </c>
      <c r="I2297" s="62">
        <v>51</v>
      </c>
      <c r="J2297" s="173" t="s">
        <v>3182</v>
      </c>
      <c r="K2297" s="173" t="s">
        <v>3168</v>
      </c>
      <c r="L2297" s="173" t="s">
        <v>2538</v>
      </c>
      <c r="M2297" s="10" t="s">
        <v>884</v>
      </c>
      <c r="N2297" s="10" t="s">
        <v>820</v>
      </c>
      <c r="O2297" s="10"/>
    </row>
    <row r="2298" spans="1:15" ht="18" customHeight="1" x14ac:dyDescent="0.3">
      <c r="A2298" s="24">
        <v>2297</v>
      </c>
      <c r="B2298" s="142" t="s">
        <v>3177</v>
      </c>
      <c r="C2298" s="142" t="s">
        <v>3178</v>
      </c>
      <c r="D2298" s="142">
        <v>116</v>
      </c>
      <c r="E2298" s="164" t="s">
        <v>3176</v>
      </c>
      <c r="F2298" s="164" t="s">
        <v>3683</v>
      </c>
      <c r="G2298" s="117" t="s">
        <v>3157</v>
      </c>
      <c r="H2298" s="10" t="s">
        <v>3160</v>
      </c>
      <c r="I2298" s="62">
        <v>40</v>
      </c>
      <c r="J2298" s="173" t="s">
        <v>3182</v>
      </c>
      <c r="K2298" s="173" t="s">
        <v>3168</v>
      </c>
      <c r="L2298" s="173" t="s">
        <v>2538</v>
      </c>
      <c r="M2298" s="10" t="s">
        <v>884</v>
      </c>
      <c r="N2298" s="10" t="s">
        <v>820</v>
      </c>
      <c r="O2298" s="10"/>
    </row>
    <row r="2299" spans="1:15" ht="18" customHeight="1" x14ac:dyDescent="0.3">
      <c r="A2299" s="24">
        <v>2298</v>
      </c>
      <c r="B2299" s="142" t="s">
        <v>3177</v>
      </c>
      <c r="C2299" s="142" t="s">
        <v>3178</v>
      </c>
      <c r="D2299" s="142">
        <v>116</v>
      </c>
      <c r="E2299" s="164" t="s">
        <v>3176</v>
      </c>
      <c r="F2299" s="164" t="s">
        <v>3683</v>
      </c>
      <c r="G2299" s="117" t="s">
        <v>3157</v>
      </c>
      <c r="H2299" s="10" t="s">
        <v>3179</v>
      </c>
      <c r="I2299" s="62">
        <v>77</v>
      </c>
      <c r="J2299" s="173" t="s">
        <v>3182</v>
      </c>
      <c r="K2299" s="173" t="s">
        <v>3182</v>
      </c>
      <c r="L2299" s="173" t="s">
        <v>820</v>
      </c>
      <c r="M2299" s="10" t="s">
        <v>884</v>
      </c>
      <c r="N2299" s="10" t="s">
        <v>820</v>
      </c>
      <c r="O2299" s="10"/>
    </row>
    <row r="2300" spans="1:15" ht="18" customHeight="1" x14ac:dyDescent="0.3">
      <c r="A2300" s="24">
        <v>2299</v>
      </c>
      <c r="B2300" s="142" t="s">
        <v>3177</v>
      </c>
      <c r="C2300" s="142" t="s">
        <v>3178</v>
      </c>
      <c r="D2300" s="142">
        <v>116</v>
      </c>
      <c r="E2300" s="164" t="s">
        <v>3176</v>
      </c>
      <c r="F2300" s="164" t="s">
        <v>3683</v>
      </c>
      <c r="G2300" s="117" t="s">
        <v>3157</v>
      </c>
      <c r="H2300" s="10" t="s">
        <v>3180</v>
      </c>
      <c r="I2300" s="62">
        <v>28</v>
      </c>
      <c r="J2300" s="173" t="s">
        <v>3182</v>
      </c>
      <c r="K2300" s="173" t="s">
        <v>3168</v>
      </c>
      <c r="L2300" s="173" t="s">
        <v>2538</v>
      </c>
      <c r="M2300" s="10" t="s">
        <v>884</v>
      </c>
      <c r="N2300" s="10" t="s">
        <v>820</v>
      </c>
      <c r="O2300" s="10"/>
    </row>
    <row r="2301" spans="1:15" ht="18" customHeight="1" x14ac:dyDescent="0.3">
      <c r="A2301" s="24">
        <v>2300</v>
      </c>
      <c r="B2301" s="142" t="s">
        <v>3177</v>
      </c>
      <c r="C2301" s="142" t="s">
        <v>3178</v>
      </c>
      <c r="D2301" s="142">
        <v>116</v>
      </c>
      <c r="E2301" s="164" t="s">
        <v>3176</v>
      </c>
      <c r="F2301" s="164" t="s">
        <v>3683</v>
      </c>
      <c r="G2301" s="117" t="s">
        <v>3157</v>
      </c>
      <c r="H2301" s="10" t="s">
        <v>3181</v>
      </c>
      <c r="I2301" s="62">
        <v>74</v>
      </c>
      <c r="J2301" s="173" t="s">
        <v>3182</v>
      </c>
      <c r="K2301" s="173" t="s">
        <v>3175</v>
      </c>
      <c r="L2301" s="173" t="s">
        <v>2538</v>
      </c>
      <c r="M2301" s="10" t="s">
        <v>884</v>
      </c>
      <c r="N2301" s="10" t="s">
        <v>820</v>
      </c>
      <c r="O2301" s="10"/>
    </row>
    <row r="2302" spans="1:15" ht="18" customHeight="1" x14ac:dyDescent="0.3">
      <c r="A2302" s="24">
        <v>2301</v>
      </c>
      <c r="B2302" s="10" t="s">
        <v>51</v>
      </c>
      <c r="C2302" s="10" t="s">
        <v>73</v>
      </c>
      <c r="D2302" s="62">
        <v>116</v>
      </c>
      <c r="E2302" s="61" t="s">
        <v>2911</v>
      </c>
      <c r="F2302" s="19" t="s">
        <v>665</v>
      </c>
      <c r="G2302" s="10" t="s">
        <v>150</v>
      </c>
      <c r="H2302" s="10" t="s">
        <v>845</v>
      </c>
      <c r="I2302" s="62">
        <v>130</v>
      </c>
      <c r="J2302" s="10" t="s">
        <v>2372</v>
      </c>
      <c r="K2302" s="10" t="s">
        <v>847</v>
      </c>
      <c r="L2302" s="10" t="s">
        <v>2373</v>
      </c>
      <c r="M2302" s="10" t="s">
        <v>2372</v>
      </c>
      <c r="N2302" s="10" t="s">
        <v>2373</v>
      </c>
      <c r="O2302" s="10"/>
    </row>
    <row r="2303" spans="1:15" ht="18" customHeight="1" x14ac:dyDescent="0.3">
      <c r="A2303" s="24">
        <v>2302</v>
      </c>
      <c r="B2303" s="10" t="s">
        <v>51</v>
      </c>
      <c r="C2303" s="10" t="s">
        <v>73</v>
      </c>
      <c r="D2303" s="62">
        <v>116</v>
      </c>
      <c r="E2303" s="61" t="s">
        <v>2911</v>
      </c>
      <c r="F2303" s="19" t="s">
        <v>665</v>
      </c>
      <c r="G2303" s="10" t="s">
        <v>150</v>
      </c>
      <c r="H2303" s="10" t="s">
        <v>848</v>
      </c>
      <c r="I2303" s="62">
        <v>130</v>
      </c>
      <c r="J2303" s="10" t="s">
        <v>2374</v>
      </c>
      <c r="K2303" s="10" t="s">
        <v>847</v>
      </c>
      <c r="L2303" s="10" t="s">
        <v>2373</v>
      </c>
      <c r="M2303" s="10" t="s">
        <v>2372</v>
      </c>
      <c r="N2303" s="10" t="s">
        <v>2373</v>
      </c>
      <c r="O2303" s="10"/>
    </row>
    <row r="2304" spans="1:15" ht="18" customHeight="1" x14ac:dyDescent="0.3">
      <c r="A2304" s="24">
        <v>2303</v>
      </c>
      <c r="B2304" s="10" t="s">
        <v>51</v>
      </c>
      <c r="C2304" s="10" t="s">
        <v>73</v>
      </c>
      <c r="D2304" s="62">
        <v>116</v>
      </c>
      <c r="E2304" s="61" t="s">
        <v>2911</v>
      </c>
      <c r="F2304" s="19" t="s">
        <v>665</v>
      </c>
      <c r="G2304" s="10" t="s">
        <v>150</v>
      </c>
      <c r="H2304" s="10" t="s">
        <v>849</v>
      </c>
      <c r="I2304" s="62">
        <v>158</v>
      </c>
      <c r="J2304" s="10" t="s">
        <v>2374</v>
      </c>
      <c r="K2304" s="10" t="s">
        <v>847</v>
      </c>
      <c r="L2304" s="10" t="s">
        <v>2373</v>
      </c>
      <c r="M2304" s="10" t="s">
        <v>2372</v>
      </c>
      <c r="N2304" s="10" t="s">
        <v>2373</v>
      </c>
      <c r="O2304" s="10"/>
    </row>
    <row r="2305" spans="1:15" ht="18" customHeight="1" x14ac:dyDescent="0.3">
      <c r="A2305" s="24">
        <v>2304</v>
      </c>
      <c r="B2305" s="10" t="s">
        <v>51</v>
      </c>
      <c r="C2305" s="10" t="s">
        <v>73</v>
      </c>
      <c r="D2305" s="62">
        <v>116</v>
      </c>
      <c r="E2305" s="61" t="s">
        <v>2911</v>
      </c>
      <c r="F2305" s="19" t="s">
        <v>665</v>
      </c>
      <c r="G2305" s="10" t="s">
        <v>150</v>
      </c>
      <c r="H2305" s="10" t="s">
        <v>850</v>
      </c>
      <c r="I2305" s="62">
        <v>222</v>
      </c>
      <c r="J2305" s="10" t="s">
        <v>2374</v>
      </c>
      <c r="K2305" s="10" t="s">
        <v>847</v>
      </c>
      <c r="L2305" s="10" t="s">
        <v>2373</v>
      </c>
      <c r="M2305" s="10" t="s">
        <v>2372</v>
      </c>
      <c r="N2305" s="10" t="s">
        <v>2373</v>
      </c>
      <c r="O2305" s="10"/>
    </row>
    <row r="2306" spans="1:15" ht="18" customHeight="1" x14ac:dyDescent="0.3">
      <c r="A2306" s="24">
        <v>2305</v>
      </c>
      <c r="B2306" s="10" t="s">
        <v>51</v>
      </c>
      <c r="C2306" s="10" t="s">
        <v>73</v>
      </c>
      <c r="D2306" s="62">
        <v>116</v>
      </c>
      <c r="E2306" s="61" t="s">
        <v>2911</v>
      </c>
      <c r="F2306" s="19" t="s">
        <v>665</v>
      </c>
      <c r="G2306" s="10" t="s">
        <v>150</v>
      </c>
      <c r="H2306" s="10" t="s">
        <v>851</v>
      </c>
      <c r="I2306" s="62">
        <v>222</v>
      </c>
      <c r="J2306" s="10" t="s">
        <v>2372</v>
      </c>
      <c r="K2306" s="10" t="s">
        <v>847</v>
      </c>
      <c r="L2306" s="10" t="s">
        <v>2373</v>
      </c>
      <c r="M2306" s="10" t="s">
        <v>2372</v>
      </c>
      <c r="N2306" s="10" t="s">
        <v>2373</v>
      </c>
      <c r="O2306" s="10"/>
    </row>
    <row r="2307" spans="1:15" ht="18" customHeight="1" x14ac:dyDescent="0.3">
      <c r="A2307" s="24">
        <v>2306</v>
      </c>
      <c r="B2307" s="10" t="s">
        <v>51</v>
      </c>
      <c r="C2307" s="10" t="s">
        <v>73</v>
      </c>
      <c r="D2307" s="62">
        <v>116</v>
      </c>
      <c r="E2307" s="61" t="s">
        <v>2911</v>
      </c>
      <c r="F2307" s="19" t="s">
        <v>665</v>
      </c>
      <c r="G2307" s="10" t="s">
        <v>150</v>
      </c>
      <c r="H2307" s="10" t="s">
        <v>921</v>
      </c>
      <c r="I2307" s="62">
        <v>246</v>
      </c>
      <c r="J2307" s="10" t="s">
        <v>2374</v>
      </c>
      <c r="K2307" s="10" t="s">
        <v>2374</v>
      </c>
      <c r="L2307" s="10" t="s">
        <v>2414</v>
      </c>
      <c r="M2307" s="10" t="s">
        <v>2372</v>
      </c>
      <c r="N2307" s="10" t="s">
        <v>2373</v>
      </c>
      <c r="O2307" s="10" t="s">
        <v>2630</v>
      </c>
    </row>
    <row r="2308" spans="1:15" ht="18" customHeight="1" x14ac:dyDescent="0.3">
      <c r="A2308" s="24">
        <v>2307</v>
      </c>
      <c r="B2308" s="10" t="s">
        <v>51</v>
      </c>
      <c r="C2308" s="10" t="s">
        <v>73</v>
      </c>
      <c r="D2308" s="62">
        <v>116</v>
      </c>
      <c r="E2308" s="61" t="s">
        <v>2911</v>
      </c>
      <c r="F2308" s="19" t="s">
        <v>665</v>
      </c>
      <c r="G2308" s="10" t="s">
        <v>150</v>
      </c>
      <c r="H2308" s="10" t="s">
        <v>854</v>
      </c>
      <c r="I2308" s="62">
        <v>124</v>
      </c>
      <c r="J2308" s="10" t="s">
        <v>2372</v>
      </c>
      <c r="K2308" s="10" t="s">
        <v>847</v>
      </c>
      <c r="L2308" s="10" t="s">
        <v>2373</v>
      </c>
      <c r="M2308" s="10" t="s">
        <v>2372</v>
      </c>
      <c r="N2308" s="10" t="s">
        <v>2373</v>
      </c>
      <c r="O2308" s="10"/>
    </row>
    <row r="2309" spans="1:15" ht="18" customHeight="1" x14ac:dyDescent="0.3">
      <c r="A2309" s="24">
        <v>2308</v>
      </c>
      <c r="B2309" s="10" t="s">
        <v>51</v>
      </c>
      <c r="C2309" s="10" t="s">
        <v>73</v>
      </c>
      <c r="D2309" s="62">
        <v>116</v>
      </c>
      <c r="E2309" s="61" t="s">
        <v>2911</v>
      </c>
      <c r="F2309" s="19" t="s">
        <v>2631</v>
      </c>
      <c r="G2309" s="10" t="s">
        <v>150</v>
      </c>
      <c r="H2309" s="10" t="s">
        <v>852</v>
      </c>
      <c r="I2309" s="171">
        <v>170</v>
      </c>
      <c r="J2309" s="10" t="s">
        <v>2374</v>
      </c>
      <c r="K2309" s="10" t="s">
        <v>846</v>
      </c>
      <c r="L2309" s="10" t="s">
        <v>985</v>
      </c>
      <c r="M2309" s="10" t="s">
        <v>2372</v>
      </c>
      <c r="N2309" s="10" t="s">
        <v>2373</v>
      </c>
      <c r="O2309" s="10"/>
    </row>
    <row r="2310" spans="1:15" ht="18" customHeight="1" x14ac:dyDescent="0.3">
      <c r="A2310" s="24">
        <v>2309</v>
      </c>
      <c r="B2310" s="10" t="s">
        <v>51</v>
      </c>
      <c r="C2310" s="10" t="s">
        <v>73</v>
      </c>
      <c r="D2310" s="62">
        <v>116</v>
      </c>
      <c r="E2310" s="61" t="s">
        <v>864</v>
      </c>
      <c r="F2310" s="16" t="s">
        <v>1016</v>
      </c>
      <c r="G2310" s="10" t="s">
        <v>160</v>
      </c>
      <c r="H2310" s="10" t="s">
        <v>2770</v>
      </c>
      <c r="I2310" s="62">
        <v>85</v>
      </c>
      <c r="J2310" s="10" t="s">
        <v>2372</v>
      </c>
      <c r="K2310" s="10" t="s">
        <v>2374</v>
      </c>
      <c r="L2310" s="10" t="s">
        <v>1422</v>
      </c>
      <c r="M2310" s="10" t="s">
        <v>2372</v>
      </c>
      <c r="N2310" s="10" t="s">
        <v>2373</v>
      </c>
      <c r="O2310" s="10"/>
    </row>
    <row r="2311" spans="1:15" ht="18" customHeight="1" x14ac:dyDescent="0.3">
      <c r="A2311" s="24">
        <v>2310</v>
      </c>
      <c r="B2311" s="10" t="s">
        <v>51</v>
      </c>
      <c r="C2311" s="10" t="s">
        <v>73</v>
      </c>
      <c r="D2311" s="62">
        <v>116</v>
      </c>
      <c r="E2311" s="61" t="s">
        <v>864</v>
      </c>
      <c r="F2311" s="16" t="s">
        <v>1016</v>
      </c>
      <c r="G2311" s="10" t="s">
        <v>160</v>
      </c>
      <c r="H2311" s="10" t="s">
        <v>2581</v>
      </c>
      <c r="I2311" s="62">
        <v>89</v>
      </c>
      <c r="J2311" s="10" t="s">
        <v>2374</v>
      </c>
      <c r="K2311" s="10" t="s">
        <v>2374</v>
      </c>
      <c r="L2311" s="10" t="s">
        <v>1422</v>
      </c>
      <c r="M2311" s="10" t="s">
        <v>2372</v>
      </c>
      <c r="N2311" s="10" t="s">
        <v>2373</v>
      </c>
      <c r="O2311" s="10"/>
    </row>
    <row r="2312" spans="1:15" ht="18" customHeight="1" x14ac:dyDescent="0.3">
      <c r="A2312" s="24">
        <v>2311</v>
      </c>
      <c r="B2312" s="10" t="s">
        <v>51</v>
      </c>
      <c r="C2312" s="10" t="s">
        <v>73</v>
      </c>
      <c r="D2312" s="62">
        <v>116</v>
      </c>
      <c r="E2312" s="61" t="s">
        <v>864</v>
      </c>
      <c r="F2312" s="16" t="s">
        <v>1016</v>
      </c>
      <c r="G2312" s="10" t="s">
        <v>160</v>
      </c>
      <c r="H2312" s="10" t="s">
        <v>2467</v>
      </c>
      <c r="I2312" s="62">
        <v>92</v>
      </c>
      <c r="J2312" s="10" t="s">
        <v>2372</v>
      </c>
      <c r="K2312" s="10" t="s">
        <v>2374</v>
      </c>
      <c r="L2312" s="10" t="s">
        <v>1422</v>
      </c>
      <c r="M2312" s="10" t="s">
        <v>2372</v>
      </c>
      <c r="N2312" s="10" t="s">
        <v>2373</v>
      </c>
      <c r="O2312" s="10"/>
    </row>
    <row r="2313" spans="1:15" ht="18" customHeight="1" x14ac:dyDescent="0.3">
      <c r="A2313" s="24">
        <v>2312</v>
      </c>
      <c r="B2313" s="10" t="s">
        <v>51</v>
      </c>
      <c r="C2313" s="10" t="s">
        <v>73</v>
      </c>
      <c r="D2313" s="62">
        <v>116</v>
      </c>
      <c r="E2313" s="61" t="s">
        <v>864</v>
      </c>
      <c r="F2313" s="16" t="s">
        <v>1016</v>
      </c>
      <c r="G2313" s="10" t="s">
        <v>160</v>
      </c>
      <c r="H2313" s="10" t="s">
        <v>2464</v>
      </c>
      <c r="I2313" s="62">
        <v>92</v>
      </c>
      <c r="J2313" s="10" t="s">
        <v>2372</v>
      </c>
      <c r="K2313" s="10" t="s">
        <v>2374</v>
      </c>
      <c r="L2313" s="10" t="s">
        <v>1422</v>
      </c>
      <c r="M2313" s="10" t="s">
        <v>2372</v>
      </c>
      <c r="N2313" s="10" t="s">
        <v>2373</v>
      </c>
      <c r="O2313" s="10"/>
    </row>
    <row r="2314" spans="1:15" ht="18" customHeight="1" x14ac:dyDescent="0.3">
      <c r="A2314" s="24">
        <v>2313</v>
      </c>
      <c r="B2314" s="10" t="s">
        <v>51</v>
      </c>
      <c r="C2314" s="10" t="s">
        <v>73</v>
      </c>
      <c r="D2314" s="62">
        <v>116</v>
      </c>
      <c r="E2314" s="61" t="s">
        <v>864</v>
      </c>
      <c r="F2314" s="16" t="s">
        <v>1016</v>
      </c>
      <c r="G2314" s="10" t="s">
        <v>160</v>
      </c>
      <c r="H2314" s="10" t="s">
        <v>2506</v>
      </c>
      <c r="I2314" s="62">
        <v>85</v>
      </c>
      <c r="J2314" s="10" t="s">
        <v>2372</v>
      </c>
      <c r="K2314" s="10" t="s">
        <v>2374</v>
      </c>
      <c r="L2314" s="10" t="s">
        <v>1422</v>
      </c>
      <c r="M2314" s="10" t="s">
        <v>2372</v>
      </c>
      <c r="N2314" s="10" t="s">
        <v>2373</v>
      </c>
      <c r="O2314" s="10"/>
    </row>
    <row r="2315" spans="1:15" ht="18" customHeight="1" x14ac:dyDescent="0.3">
      <c r="A2315" s="24">
        <v>2314</v>
      </c>
      <c r="B2315" s="10" t="s">
        <v>51</v>
      </c>
      <c r="C2315" s="10" t="s">
        <v>73</v>
      </c>
      <c r="D2315" s="62">
        <v>116</v>
      </c>
      <c r="E2315" s="61" t="s">
        <v>864</v>
      </c>
      <c r="F2315" s="16" t="s">
        <v>1016</v>
      </c>
      <c r="G2315" s="10" t="s">
        <v>160</v>
      </c>
      <c r="H2315" s="10" t="s">
        <v>2507</v>
      </c>
      <c r="I2315" s="62">
        <v>89</v>
      </c>
      <c r="J2315" s="10" t="s">
        <v>2372</v>
      </c>
      <c r="K2315" s="10" t="s">
        <v>2374</v>
      </c>
      <c r="L2315" s="10" t="s">
        <v>1422</v>
      </c>
      <c r="M2315" s="10" t="s">
        <v>2372</v>
      </c>
      <c r="N2315" s="10" t="s">
        <v>2373</v>
      </c>
      <c r="O2315" s="10"/>
    </row>
    <row r="2316" spans="1:15" ht="18" customHeight="1" x14ac:dyDescent="0.3">
      <c r="A2316" s="24">
        <v>2315</v>
      </c>
      <c r="B2316" s="10" t="s">
        <v>51</v>
      </c>
      <c r="C2316" s="10" t="s">
        <v>73</v>
      </c>
      <c r="D2316" s="62">
        <v>116</v>
      </c>
      <c r="E2316" s="61" t="s">
        <v>864</v>
      </c>
      <c r="F2316" s="16" t="s">
        <v>670</v>
      </c>
      <c r="G2316" s="10" t="s">
        <v>160</v>
      </c>
      <c r="H2316" s="10" t="s">
        <v>2465</v>
      </c>
      <c r="I2316" s="62">
        <v>92</v>
      </c>
      <c r="J2316" s="10" t="s">
        <v>2374</v>
      </c>
      <c r="K2316" s="10" t="s">
        <v>2374</v>
      </c>
      <c r="L2316" s="10" t="s">
        <v>1422</v>
      </c>
      <c r="M2316" s="10" t="s">
        <v>2372</v>
      </c>
      <c r="N2316" s="10" t="s">
        <v>2373</v>
      </c>
      <c r="O2316" s="10"/>
    </row>
    <row r="2317" spans="1:15" ht="18" customHeight="1" x14ac:dyDescent="0.3">
      <c r="A2317" s="24">
        <v>2316</v>
      </c>
      <c r="B2317" s="10" t="s">
        <v>51</v>
      </c>
      <c r="C2317" s="10" t="s">
        <v>73</v>
      </c>
      <c r="D2317" s="62">
        <v>116</v>
      </c>
      <c r="E2317" s="61" t="s">
        <v>864</v>
      </c>
      <c r="F2317" s="16" t="s">
        <v>670</v>
      </c>
      <c r="G2317" s="10" t="s">
        <v>160</v>
      </c>
      <c r="H2317" s="10" t="s">
        <v>2632</v>
      </c>
      <c r="I2317" s="62">
        <v>92</v>
      </c>
      <c r="J2317" s="10" t="s">
        <v>2372</v>
      </c>
      <c r="K2317" s="10" t="s">
        <v>2374</v>
      </c>
      <c r="L2317" s="10" t="s">
        <v>1422</v>
      </c>
      <c r="M2317" s="10" t="s">
        <v>2372</v>
      </c>
      <c r="N2317" s="10" t="s">
        <v>2373</v>
      </c>
      <c r="O2317" s="10"/>
    </row>
    <row r="2318" spans="1:15" ht="18" customHeight="1" x14ac:dyDescent="0.3">
      <c r="A2318" s="24">
        <v>2317</v>
      </c>
      <c r="B2318" s="8" t="s">
        <v>1600</v>
      </c>
      <c r="C2318" s="8" t="s">
        <v>1787</v>
      </c>
      <c r="D2318" s="8">
        <v>116</v>
      </c>
      <c r="E2318" s="19" t="s">
        <v>1802</v>
      </c>
      <c r="F2318" s="19" t="s">
        <v>1803</v>
      </c>
      <c r="G2318" s="8" t="s">
        <v>2373</v>
      </c>
      <c r="H2318" s="13" t="s">
        <v>2385</v>
      </c>
      <c r="I2318" s="96">
        <v>75</v>
      </c>
      <c r="J2318" s="10" t="s">
        <v>2372</v>
      </c>
      <c r="K2318" s="10" t="s">
        <v>2372</v>
      </c>
      <c r="L2318" s="10" t="s">
        <v>2373</v>
      </c>
      <c r="M2318" s="10" t="s">
        <v>2372</v>
      </c>
      <c r="N2318" s="10" t="s">
        <v>2373</v>
      </c>
      <c r="O2318" s="10"/>
    </row>
    <row r="2319" spans="1:15" ht="18" customHeight="1" x14ac:dyDescent="0.3">
      <c r="A2319" s="24">
        <v>2318</v>
      </c>
      <c r="B2319" s="8" t="s">
        <v>1600</v>
      </c>
      <c r="C2319" s="8" t="s">
        <v>1787</v>
      </c>
      <c r="D2319" s="8">
        <v>116</v>
      </c>
      <c r="E2319" s="19" t="s">
        <v>1802</v>
      </c>
      <c r="F2319" s="19" t="s">
        <v>1803</v>
      </c>
      <c r="G2319" s="8" t="s">
        <v>2373</v>
      </c>
      <c r="H2319" s="13" t="s">
        <v>2378</v>
      </c>
      <c r="I2319" s="96">
        <v>75</v>
      </c>
      <c r="J2319" s="10" t="s">
        <v>2372</v>
      </c>
      <c r="K2319" s="10" t="s">
        <v>2372</v>
      </c>
      <c r="L2319" s="10" t="s">
        <v>2373</v>
      </c>
      <c r="M2319" s="10" t="s">
        <v>2372</v>
      </c>
      <c r="N2319" s="10" t="s">
        <v>2373</v>
      </c>
      <c r="O2319" s="10"/>
    </row>
    <row r="2320" spans="1:15" ht="18" customHeight="1" x14ac:dyDescent="0.3">
      <c r="A2320" s="24">
        <v>2319</v>
      </c>
      <c r="B2320" s="10" t="s">
        <v>51</v>
      </c>
      <c r="C2320" s="10" t="s">
        <v>73</v>
      </c>
      <c r="D2320" s="62">
        <v>116</v>
      </c>
      <c r="E2320" s="61" t="s">
        <v>2912</v>
      </c>
      <c r="F2320" s="19" t="s">
        <v>1807</v>
      </c>
      <c r="G2320" s="10" t="s">
        <v>160</v>
      </c>
      <c r="H2320" s="10" t="s">
        <v>845</v>
      </c>
      <c r="I2320" s="62">
        <v>177</v>
      </c>
      <c r="J2320" s="10" t="s">
        <v>2372</v>
      </c>
      <c r="K2320" s="10" t="s">
        <v>847</v>
      </c>
      <c r="L2320" s="10" t="s">
        <v>2373</v>
      </c>
      <c r="M2320" s="10" t="s">
        <v>2372</v>
      </c>
      <c r="N2320" s="10" t="s">
        <v>2373</v>
      </c>
      <c r="O2320" s="10"/>
    </row>
    <row r="2321" spans="1:15" ht="18" customHeight="1" x14ac:dyDescent="0.3">
      <c r="A2321" s="24">
        <v>2320</v>
      </c>
      <c r="B2321" s="10" t="s">
        <v>51</v>
      </c>
      <c r="C2321" s="10" t="s">
        <v>73</v>
      </c>
      <c r="D2321" s="62">
        <v>116</v>
      </c>
      <c r="E2321" s="61" t="s">
        <v>2912</v>
      </c>
      <c r="F2321" s="19" t="s">
        <v>1807</v>
      </c>
      <c r="G2321" s="10" t="s">
        <v>160</v>
      </c>
      <c r="H2321" s="10" t="s">
        <v>848</v>
      </c>
      <c r="I2321" s="62">
        <v>42</v>
      </c>
      <c r="J2321" s="10" t="s">
        <v>2372</v>
      </c>
      <c r="K2321" s="10" t="s">
        <v>847</v>
      </c>
      <c r="L2321" s="10" t="s">
        <v>2373</v>
      </c>
      <c r="M2321" s="10" t="s">
        <v>2372</v>
      </c>
      <c r="N2321" s="10" t="s">
        <v>2373</v>
      </c>
      <c r="O2321" s="10"/>
    </row>
    <row r="2322" spans="1:15" ht="18" customHeight="1" x14ac:dyDescent="0.3">
      <c r="A2322" s="24">
        <v>2321</v>
      </c>
      <c r="B2322" s="10" t="s">
        <v>51</v>
      </c>
      <c r="C2322" s="10" t="s">
        <v>73</v>
      </c>
      <c r="D2322" s="62">
        <v>116</v>
      </c>
      <c r="E2322" s="61" t="s">
        <v>2912</v>
      </c>
      <c r="F2322" s="19" t="s">
        <v>1015</v>
      </c>
      <c r="G2322" s="10" t="s">
        <v>160</v>
      </c>
      <c r="H2322" s="10" t="s">
        <v>849</v>
      </c>
      <c r="I2322" s="62">
        <v>54</v>
      </c>
      <c r="J2322" s="10" t="s">
        <v>2372</v>
      </c>
      <c r="K2322" s="10" t="s">
        <v>847</v>
      </c>
      <c r="L2322" s="10" t="s">
        <v>2373</v>
      </c>
      <c r="M2322" s="10" t="s">
        <v>2372</v>
      </c>
      <c r="N2322" s="10" t="s">
        <v>2373</v>
      </c>
      <c r="O2322" s="10"/>
    </row>
    <row r="2323" spans="1:15" ht="18" customHeight="1" x14ac:dyDescent="0.3">
      <c r="A2323" s="24">
        <v>2322</v>
      </c>
      <c r="B2323" s="10" t="s">
        <v>51</v>
      </c>
      <c r="C2323" s="10" t="s">
        <v>73</v>
      </c>
      <c r="D2323" s="62">
        <v>116</v>
      </c>
      <c r="E2323" s="61" t="s">
        <v>2912</v>
      </c>
      <c r="F2323" s="19" t="s">
        <v>1015</v>
      </c>
      <c r="G2323" s="10" t="s">
        <v>160</v>
      </c>
      <c r="H2323" s="10" t="s">
        <v>850</v>
      </c>
      <c r="I2323" s="62">
        <v>106</v>
      </c>
      <c r="J2323" s="10" t="s">
        <v>2372</v>
      </c>
      <c r="K2323" s="10" t="s">
        <v>847</v>
      </c>
      <c r="L2323" s="10" t="s">
        <v>2373</v>
      </c>
      <c r="M2323" s="10" t="s">
        <v>2372</v>
      </c>
      <c r="N2323" s="10" t="s">
        <v>2373</v>
      </c>
      <c r="O2323" s="10"/>
    </row>
    <row r="2324" spans="1:15" ht="18" customHeight="1" x14ac:dyDescent="0.3">
      <c r="A2324" s="24">
        <v>2323</v>
      </c>
      <c r="B2324" s="10" t="s">
        <v>51</v>
      </c>
      <c r="C2324" s="10" t="s">
        <v>73</v>
      </c>
      <c r="D2324" s="62">
        <v>116</v>
      </c>
      <c r="E2324" s="61" t="s">
        <v>251</v>
      </c>
      <c r="F2324" s="9" t="s">
        <v>668</v>
      </c>
      <c r="G2324" s="10" t="s">
        <v>150</v>
      </c>
      <c r="H2324" s="10" t="s">
        <v>845</v>
      </c>
      <c r="I2324" s="62">
        <v>138</v>
      </c>
      <c r="J2324" s="8" t="s">
        <v>846</v>
      </c>
      <c r="K2324" s="10" t="s">
        <v>847</v>
      </c>
      <c r="L2324" s="10" t="s">
        <v>2373</v>
      </c>
      <c r="M2324" s="10" t="s">
        <v>2372</v>
      </c>
      <c r="N2324" s="10" t="s">
        <v>2373</v>
      </c>
      <c r="O2324" s="10"/>
    </row>
    <row r="2325" spans="1:15" ht="18" customHeight="1" x14ac:dyDescent="0.3">
      <c r="A2325" s="24">
        <v>2324</v>
      </c>
      <c r="B2325" s="10" t="s">
        <v>51</v>
      </c>
      <c r="C2325" s="10" t="s">
        <v>73</v>
      </c>
      <c r="D2325" s="62">
        <v>116</v>
      </c>
      <c r="E2325" s="61" t="s">
        <v>251</v>
      </c>
      <c r="F2325" s="9" t="s">
        <v>668</v>
      </c>
      <c r="G2325" s="10" t="s">
        <v>150</v>
      </c>
      <c r="H2325" s="10" t="s">
        <v>848</v>
      </c>
      <c r="I2325" s="62">
        <v>138</v>
      </c>
      <c r="J2325" s="8" t="s">
        <v>846</v>
      </c>
      <c r="K2325" s="10" t="s">
        <v>847</v>
      </c>
      <c r="L2325" s="10" t="s">
        <v>2373</v>
      </c>
      <c r="M2325" s="10" t="s">
        <v>2372</v>
      </c>
      <c r="N2325" s="10" t="s">
        <v>2373</v>
      </c>
      <c r="O2325" s="10"/>
    </row>
    <row r="2326" spans="1:15" ht="18" customHeight="1" x14ac:dyDescent="0.3">
      <c r="A2326" s="24">
        <v>2325</v>
      </c>
      <c r="B2326" s="10" t="s">
        <v>51</v>
      </c>
      <c r="C2326" s="10" t="s">
        <v>73</v>
      </c>
      <c r="D2326" s="62">
        <v>116</v>
      </c>
      <c r="E2326" s="61" t="s">
        <v>251</v>
      </c>
      <c r="F2326" s="9" t="s">
        <v>668</v>
      </c>
      <c r="G2326" s="10" t="s">
        <v>150</v>
      </c>
      <c r="H2326" s="10" t="s">
        <v>849</v>
      </c>
      <c r="I2326" s="62">
        <v>128</v>
      </c>
      <c r="J2326" s="8" t="s">
        <v>2372</v>
      </c>
      <c r="K2326" s="10" t="s">
        <v>847</v>
      </c>
      <c r="L2326" s="10" t="s">
        <v>2373</v>
      </c>
      <c r="M2326" s="10" t="s">
        <v>2372</v>
      </c>
      <c r="N2326" s="10" t="s">
        <v>2373</v>
      </c>
      <c r="O2326" s="10"/>
    </row>
    <row r="2327" spans="1:15" ht="18" customHeight="1" x14ac:dyDescent="0.3">
      <c r="A2327" s="24">
        <v>2326</v>
      </c>
      <c r="B2327" s="10" t="s">
        <v>51</v>
      </c>
      <c r="C2327" s="10" t="s">
        <v>73</v>
      </c>
      <c r="D2327" s="62">
        <v>116</v>
      </c>
      <c r="E2327" s="61" t="s">
        <v>251</v>
      </c>
      <c r="F2327" s="9" t="s">
        <v>668</v>
      </c>
      <c r="G2327" s="10" t="s">
        <v>150</v>
      </c>
      <c r="H2327" s="10" t="s">
        <v>850</v>
      </c>
      <c r="I2327" s="62">
        <v>138</v>
      </c>
      <c r="J2327" s="8" t="s">
        <v>2372</v>
      </c>
      <c r="K2327" s="10" t="s">
        <v>847</v>
      </c>
      <c r="L2327" s="10" t="s">
        <v>2373</v>
      </c>
      <c r="M2327" s="10" t="s">
        <v>2372</v>
      </c>
      <c r="N2327" s="10" t="s">
        <v>2373</v>
      </c>
      <c r="O2327" s="10"/>
    </row>
    <row r="2328" spans="1:15" ht="18" customHeight="1" x14ac:dyDescent="0.3">
      <c r="A2328" s="24">
        <v>2327</v>
      </c>
      <c r="B2328" s="10" t="s">
        <v>51</v>
      </c>
      <c r="C2328" s="10" t="s">
        <v>73</v>
      </c>
      <c r="D2328" s="62">
        <v>116</v>
      </c>
      <c r="E2328" s="61" t="s">
        <v>251</v>
      </c>
      <c r="F2328" s="9" t="s">
        <v>668</v>
      </c>
      <c r="G2328" s="10" t="s">
        <v>150</v>
      </c>
      <c r="H2328" s="10" t="s">
        <v>851</v>
      </c>
      <c r="I2328" s="62">
        <v>138</v>
      </c>
      <c r="J2328" s="8" t="s">
        <v>2372</v>
      </c>
      <c r="K2328" s="10" t="s">
        <v>847</v>
      </c>
      <c r="L2328" s="10" t="s">
        <v>2373</v>
      </c>
      <c r="M2328" s="10" t="s">
        <v>2372</v>
      </c>
      <c r="N2328" s="10" t="s">
        <v>2373</v>
      </c>
      <c r="O2328" s="10"/>
    </row>
    <row r="2329" spans="1:15" ht="18" customHeight="1" x14ac:dyDescent="0.3">
      <c r="A2329" s="24">
        <v>2328</v>
      </c>
      <c r="B2329" s="10" t="s">
        <v>51</v>
      </c>
      <c r="C2329" s="10" t="s">
        <v>73</v>
      </c>
      <c r="D2329" s="62">
        <v>116</v>
      </c>
      <c r="E2329" s="61" t="s">
        <v>221</v>
      </c>
      <c r="F2329" s="9" t="s">
        <v>667</v>
      </c>
      <c r="G2329" s="10" t="s">
        <v>150</v>
      </c>
      <c r="H2329" s="10" t="s">
        <v>845</v>
      </c>
      <c r="I2329" s="62">
        <v>131</v>
      </c>
      <c r="J2329" s="8" t="s">
        <v>846</v>
      </c>
      <c r="K2329" s="10" t="s">
        <v>847</v>
      </c>
      <c r="L2329" s="10" t="s">
        <v>2373</v>
      </c>
      <c r="M2329" s="10" t="s">
        <v>2372</v>
      </c>
      <c r="N2329" s="10" t="s">
        <v>2373</v>
      </c>
      <c r="O2329" s="10"/>
    </row>
    <row r="2330" spans="1:15" ht="18" customHeight="1" x14ac:dyDescent="0.3">
      <c r="A2330" s="24">
        <v>2329</v>
      </c>
      <c r="B2330" s="10" t="s">
        <v>51</v>
      </c>
      <c r="C2330" s="10" t="s">
        <v>73</v>
      </c>
      <c r="D2330" s="62">
        <v>116</v>
      </c>
      <c r="E2330" s="61" t="s">
        <v>221</v>
      </c>
      <c r="F2330" s="9" t="s">
        <v>667</v>
      </c>
      <c r="G2330" s="10" t="s">
        <v>150</v>
      </c>
      <c r="H2330" s="10" t="s">
        <v>848</v>
      </c>
      <c r="I2330" s="62">
        <v>133</v>
      </c>
      <c r="J2330" s="8" t="s">
        <v>2372</v>
      </c>
      <c r="K2330" s="10" t="s">
        <v>847</v>
      </c>
      <c r="L2330" s="10" t="s">
        <v>2373</v>
      </c>
      <c r="M2330" s="10" t="s">
        <v>2372</v>
      </c>
      <c r="N2330" s="10" t="s">
        <v>2373</v>
      </c>
      <c r="O2330" s="10"/>
    </row>
    <row r="2331" spans="1:15" ht="18" customHeight="1" x14ac:dyDescent="0.3">
      <c r="A2331" s="24">
        <v>2330</v>
      </c>
      <c r="B2331" s="10" t="s">
        <v>51</v>
      </c>
      <c r="C2331" s="10" t="s">
        <v>73</v>
      </c>
      <c r="D2331" s="62">
        <v>116</v>
      </c>
      <c r="E2331" s="61" t="s">
        <v>221</v>
      </c>
      <c r="F2331" s="9" t="s">
        <v>667</v>
      </c>
      <c r="G2331" s="10" t="s">
        <v>150</v>
      </c>
      <c r="H2331" s="10" t="s">
        <v>849</v>
      </c>
      <c r="I2331" s="62">
        <v>133</v>
      </c>
      <c r="J2331" s="8" t="s">
        <v>2372</v>
      </c>
      <c r="K2331" s="10" t="s">
        <v>847</v>
      </c>
      <c r="L2331" s="10" t="s">
        <v>2373</v>
      </c>
      <c r="M2331" s="10" t="s">
        <v>2372</v>
      </c>
      <c r="N2331" s="10" t="s">
        <v>2373</v>
      </c>
      <c r="O2331" s="10"/>
    </row>
    <row r="2332" spans="1:15" ht="18" customHeight="1" x14ac:dyDescent="0.3">
      <c r="A2332" s="24">
        <v>2331</v>
      </c>
      <c r="B2332" s="10" t="s">
        <v>51</v>
      </c>
      <c r="C2332" s="10" t="s">
        <v>73</v>
      </c>
      <c r="D2332" s="62">
        <v>116</v>
      </c>
      <c r="E2332" s="61" t="s">
        <v>221</v>
      </c>
      <c r="F2332" s="9" t="s">
        <v>667</v>
      </c>
      <c r="G2332" s="10" t="s">
        <v>150</v>
      </c>
      <c r="H2332" s="10" t="s">
        <v>850</v>
      </c>
      <c r="I2332" s="62">
        <v>175</v>
      </c>
      <c r="J2332" s="8" t="s">
        <v>846</v>
      </c>
      <c r="K2332" s="10" t="s">
        <v>847</v>
      </c>
      <c r="L2332" s="10" t="s">
        <v>2373</v>
      </c>
      <c r="M2332" s="10" t="s">
        <v>2372</v>
      </c>
      <c r="N2332" s="10" t="s">
        <v>2373</v>
      </c>
      <c r="O2332" s="10"/>
    </row>
    <row r="2333" spans="1:15" ht="18" customHeight="1" x14ac:dyDescent="0.3">
      <c r="A2333" s="24">
        <v>2332</v>
      </c>
      <c r="B2333" s="10" t="s">
        <v>51</v>
      </c>
      <c r="C2333" s="10" t="s">
        <v>73</v>
      </c>
      <c r="D2333" s="62">
        <v>116</v>
      </c>
      <c r="E2333" s="61" t="s">
        <v>221</v>
      </c>
      <c r="F2333" s="9" t="s">
        <v>667</v>
      </c>
      <c r="G2333" s="10" t="s">
        <v>150</v>
      </c>
      <c r="H2333" s="10" t="s">
        <v>851</v>
      </c>
      <c r="I2333" s="62">
        <v>117</v>
      </c>
      <c r="J2333" s="8" t="s">
        <v>2372</v>
      </c>
      <c r="K2333" s="10" t="s">
        <v>847</v>
      </c>
      <c r="L2333" s="10" t="s">
        <v>2373</v>
      </c>
      <c r="M2333" s="10" t="s">
        <v>2372</v>
      </c>
      <c r="N2333" s="10" t="s">
        <v>2373</v>
      </c>
      <c r="O2333" s="10"/>
    </row>
    <row r="2334" spans="1:15" ht="18" customHeight="1" x14ac:dyDescent="0.3">
      <c r="A2334" s="24">
        <v>2333</v>
      </c>
      <c r="B2334" s="10" t="s">
        <v>51</v>
      </c>
      <c r="C2334" s="10" t="s">
        <v>73</v>
      </c>
      <c r="D2334" s="62">
        <v>116</v>
      </c>
      <c r="E2334" s="61" t="s">
        <v>221</v>
      </c>
      <c r="F2334" s="9" t="s">
        <v>667</v>
      </c>
      <c r="G2334" s="10" t="s">
        <v>150</v>
      </c>
      <c r="H2334" s="10" t="s">
        <v>852</v>
      </c>
      <c r="I2334" s="62">
        <v>119</v>
      </c>
      <c r="J2334" s="8" t="s">
        <v>2372</v>
      </c>
      <c r="K2334" s="10" t="s">
        <v>847</v>
      </c>
      <c r="L2334" s="10" t="s">
        <v>2373</v>
      </c>
      <c r="M2334" s="10" t="s">
        <v>2372</v>
      </c>
      <c r="N2334" s="10" t="s">
        <v>2373</v>
      </c>
      <c r="O2334" s="10"/>
    </row>
    <row r="2335" spans="1:15" ht="18" customHeight="1" x14ac:dyDescent="0.3">
      <c r="A2335" s="24">
        <v>2334</v>
      </c>
      <c r="B2335" s="10" t="s">
        <v>51</v>
      </c>
      <c r="C2335" s="10" t="s">
        <v>73</v>
      </c>
      <c r="D2335" s="62">
        <v>116</v>
      </c>
      <c r="E2335" s="61" t="s">
        <v>221</v>
      </c>
      <c r="F2335" s="9" t="s">
        <v>667</v>
      </c>
      <c r="G2335" s="10" t="s">
        <v>150</v>
      </c>
      <c r="H2335" s="10" t="s">
        <v>853</v>
      </c>
      <c r="I2335" s="62">
        <v>119</v>
      </c>
      <c r="J2335" s="8" t="s">
        <v>2372</v>
      </c>
      <c r="K2335" s="10" t="s">
        <v>847</v>
      </c>
      <c r="L2335" s="10" t="s">
        <v>2373</v>
      </c>
      <c r="M2335" s="10" t="s">
        <v>2372</v>
      </c>
      <c r="N2335" s="10" t="s">
        <v>2373</v>
      </c>
      <c r="O2335" s="10"/>
    </row>
    <row r="2336" spans="1:15" ht="18" customHeight="1" x14ac:dyDescent="0.3">
      <c r="A2336" s="24">
        <v>2335</v>
      </c>
      <c r="B2336" s="10" t="s">
        <v>51</v>
      </c>
      <c r="C2336" s="10" t="s">
        <v>73</v>
      </c>
      <c r="D2336" s="62">
        <v>116</v>
      </c>
      <c r="E2336" s="61" t="s">
        <v>221</v>
      </c>
      <c r="F2336" s="9" t="s">
        <v>667</v>
      </c>
      <c r="G2336" s="10" t="s">
        <v>150</v>
      </c>
      <c r="H2336" s="10" t="s">
        <v>854</v>
      </c>
      <c r="I2336" s="62">
        <v>171</v>
      </c>
      <c r="J2336" s="8" t="s">
        <v>2372</v>
      </c>
      <c r="K2336" s="10" t="s">
        <v>847</v>
      </c>
      <c r="L2336" s="10" t="s">
        <v>2373</v>
      </c>
      <c r="M2336" s="10" t="s">
        <v>2372</v>
      </c>
      <c r="N2336" s="10" t="s">
        <v>2373</v>
      </c>
      <c r="O2336" s="10"/>
    </row>
    <row r="2337" spans="1:15" ht="18" customHeight="1" x14ac:dyDescent="0.3">
      <c r="A2337" s="24">
        <v>2336</v>
      </c>
      <c r="B2337" s="10" t="s">
        <v>51</v>
      </c>
      <c r="C2337" s="10" t="s">
        <v>74</v>
      </c>
      <c r="D2337" s="62">
        <v>117</v>
      </c>
      <c r="E2337" s="61" t="s">
        <v>207</v>
      </c>
      <c r="F2337" s="9" t="s">
        <v>570</v>
      </c>
      <c r="G2337" s="10" t="s">
        <v>150</v>
      </c>
      <c r="H2337" s="10" t="s">
        <v>845</v>
      </c>
      <c r="I2337" s="62">
        <v>59</v>
      </c>
      <c r="J2337" s="8" t="s">
        <v>846</v>
      </c>
      <c r="K2337" s="10" t="s">
        <v>847</v>
      </c>
      <c r="L2337" s="10" t="s">
        <v>2373</v>
      </c>
      <c r="M2337" s="10" t="s">
        <v>2372</v>
      </c>
      <c r="N2337" s="10" t="s">
        <v>2373</v>
      </c>
      <c r="O2337" s="10"/>
    </row>
    <row r="2338" spans="1:15" ht="18" customHeight="1" x14ac:dyDescent="0.3">
      <c r="A2338" s="24">
        <v>2337</v>
      </c>
      <c r="B2338" s="10" t="s">
        <v>51</v>
      </c>
      <c r="C2338" s="10" t="s">
        <v>74</v>
      </c>
      <c r="D2338" s="62">
        <v>117</v>
      </c>
      <c r="E2338" s="61" t="s">
        <v>207</v>
      </c>
      <c r="F2338" s="9" t="s">
        <v>570</v>
      </c>
      <c r="G2338" s="10" t="s">
        <v>150</v>
      </c>
      <c r="H2338" s="10" t="s">
        <v>848</v>
      </c>
      <c r="I2338" s="62">
        <v>104</v>
      </c>
      <c r="J2338" s="8" t="s">
        <v>846</v>
      </c>
      <c r="K2338" s="10" t="s">
        <v>847</v>
      </c>
      <c r="L2338" s="10" t="s">
        <v>2373</v>
      </c>
      <c r="M2338" s="10" t="s">
        <v>2372</v>
      </c>
      <c r="N2338" s="10" t="s">
        <v>2373</v>
      </c>
      <c r="O2338" s="10"/>
    </row>
    <row r="2339" spans="1:15" ht="18" customHeight="1" x14ac:dyDescent="0.3">
      <c r="A2339" s="24">
        <v>2338</v>
      </c>
      <c r="B2339" s="10" t="s">
        <v>51</v>
      </c>
      <c r="C2339" s="10" t="s">
        <v>74</v>
      </c>
      <c r="D2339" s="62">
        <v>117</v>
      </c>
      <c r="E2339" s="61" t="s">
        <v>207</v>
      </c>
      <c r="F2339" s="9" t="s">
        <v>570</v>
      </c>
      <c r="G2339" s="10" t="s">
        <v>150</v>
      </c>
      <c r="H2339" s="10" t="s">
        <v>849</v>
      </c>
      <c r="I2339" s="62">
        <v>68</v>
      </c>
      <c r="J2339" s="8" t="s">
        <v>2372</v>
      </c>
      <c r="K2339" s="10" t="s">
        <v>847</v>
      </c>
      <c r="L2339" s="10" t="s">
        <v>2373</v>
      </c>
      <c r="M2339" s="10" t="s">
        <v>2372</v>
      </c>
      <c r="N2339" s="10" t="s">
        <v>2373</v>
      </c>
      <c r="O2339" s="10"/>
    </row>
    <row r="2340" spans="1:15" ht="18" customHeight="1" x14ac:dyDescent="0.3">
      <c r="A2340" s="24">
        <v>2339</v>
      </c>
      <c r="B2340" s="10" t="s">
        <v>51</v>
      </c>
      <c r="C2340" s="10" t="s">
        <v>74</v>
      </c>
      <c r="D2340" s="62">
        <v>117</v>
      </c>
      <c r="E2340" s="61" t="s">
        <v>2913</v>
      </c>
      <c r="F2340" s="11" t="s">
        <v>992</v>
      </c>
      <c r="G2340" s="10" t="s">
        <v>160</v>
      </c>
      <c r="H2340" s="10" t="s">
        <v>849</v>
      </c>
      <c r="I2340" s="62">
        <v>120</v>
      </c>
      <c r="J2340" s="10" t="s">
        <v>2374</v>
      </c>
      <c r="K2340" s="10" t="s">
        <v>847</v>
      </c>
      <c r="L2340" s="10" t="s">
        <v>2373</v>
      </c>
      <c r="M2340" s="10" t="s">
        <v>2372</v>
      </c>
      <c r="N2340" s="10" t="s">
        <v>2373</v>
      </c>
      <c r="O2340" s="10"/>
    </row>
    <row r="2341" spans="1:15" ht="18" customHeight="1" x14ac:dyDescent="0.3">
      <c r="A2341" s="24">
        <v>2340</v>
      </c>
      <c r="B2341" s="10" t="s">
        <v>51</v>
      </c>
      <c r="C2341" s="10" t="s">
        <v>74</v>
      </c>
      <c r="D2341" s="62">
        <v>117</v>
      </c>
      <c r="E2341" s="61" t="s">
        <v>2913</v>
      </c>
      <c r="F2341" s="11" t="s">
        <v>992</v>
      </c>
      <c r="G2341" s="10" t="s">
        <v>160</v>
      </c>
      <c r="H2341" s="10" t="s">
        <v>850</v>
      </c>
      <c r="I2341" s="62">
        <v>158</v>
      </c>
      <c r="J2341" s="10" t="s">
        <v>2372</v>
      </c>
      <c r="K2341" s="10" t="s">
        <v>847</v>
      </c>
      <c r="L2341" s="10" t="s">
        <v>2373</v>
      </c>
      <c r="M2341" s="10" t="s">
        <v>2372</v>
      </c>
      <c r="N2341" s="10" t="s">
        <v>2373</v>
      </c>
      <c r="O2341" s="10"/>
    </row>
    <row r="2342" spans="1:15" ht="18" customHeight="1" x14ac:dyDescent="0.3">
      <c r="A2342" s="24">
        <v>2341</v>
      </c>
      <c r="B2342" s="10" t="s">
        <v>51</v>
      </c>
      <c r="C2342" s="10" t="s">
        <v>74</v>
      </c>
      <c r="D2342" s="62">
        <v>117</v>
      </c>
      <c r="E2342" s="61" t="s">
        <v>2913</v>
      </c>
      <c r="F2342" s="11" t="s">
        <v>992</v>
      </c>
      <c r="G2342" s="10" t="s">
        <v>160</v>
      </c>
      <c r="H2342" s="10" t="s">
        <v>851</v>
      </c>
      <c r="I2342" s="62">
        <v>184</v>
      </c>
      <c r="J2342" s="10" t="s">
        <v>2372</v>
      </c>
      <c r="K2342" s="10" t="s">
        <v>847</v>
      </c>
      <c r="L2342" s="10" t="s">
        <v>2373</v>
      </c>
      <c r="M2342" s="10" t="s">
        <v>2372</v>
      </c>
      <c r="N2342" s="10" t="s">
        <v>2373</v>
      </c>
      <c r="O2342" s="10"/>
    </row>
    <row r="2343" spans="1:15" ht="18" customHeight="1" x14ac:dyDescent="0.3">
      <c r="A2343" s="24">
        <v>2342</v>
      </c>
      <c r="B2343" s="10" t="s">
        <v>51</v>
      </c>
      <c r="C2343" s="10" t="s">
        <v>74</v>
      </c>
      <c r="D2343" s="62">
        <v>117</v>
      </c>
      <c r="E2343" s="61" t="s">
        <v>2913</v>
      </c>
      <c r="F2343" s="11" t="s">
        <v>992</v>
      </c>
      <c r="G2343" s="10" t="s">
        <v>160</v>
      </c>
      <c r="H2343" s="10" t="s">
        <v>852</v>
      </c>
      <c r="I2343" s="62">
        <v>138</v>
      </c>
      <c r="J2343" s="10" t="s">
        <v>2372</v>
      </c>
      <c r="K2343" s="10" t="s">
        <v>847</v>
      </c>
      <c r="L2343" s="10" t="s">
        <v>2373</v>
      </c>
      <c r="M2343" s="10" t="s">
        <v>2372</v>
      </c>
      <c r="N2343" s="10" t="s">
        <v>2373</v>
      </c>
      <c r="O2343" s="10"/>
    </row>
    <row r="2344" spans="1:15" ht="18" customHeight="1" x14ac:dyDescent="0.3">
      <c r="A2344" s="24">
        <v>2343</v>
      </c>
      <c r="B2344" s="10" t="s">
        <v>51</v>
      </c>
      <c r="C2344" s="10" t="s">
        <v>74</v>
      </c>
      <c r="D2344" s="62">
        <v>117</v>
      </c>
      <c r="E2344" s="61" t="s">
        <v>2913</v>
      </c>
      <c r="F2344" s="11" t="s">
        <v>992</v>
      </c>
      <c r="G2344" s="10" t="s">
        <v>160</v>
      </c>
      <c r="H2344" s="10" t="s">
        <v>853</v>
      </c>
      <c r="I2344" s="62">
        <v>122</v>
      </c>
      <c r="J2344" s="10" t="s">
        <v>2372</v>
      </c>
      <c r="K2344" s="10" t="s">
        <v>847</v>
      </c>
      <c r="L2344" s="10" t="s">
        <v>2373</v>
      </c>
      <c r="M2344" s="10" t="s">
        <v>2372</v>
      </c>
      <c r="N2344" s="10" t="s">
        <v>2373</v>
      </c>
      <c r="O2344" s="10"/>
    </row>
    <row r="2345" spans="1:15" ht="18" customHeight="1" x14ac:dyDescent="0.3">
      <c r="A2345" s="24">
        <v>2344</v>
      </c>
      <c r="B2345" s="10" t="s">
        <v>51</v>
      </c>
      <c r="C2345" s="10" t="s">
        <v>74</v>
      </c>
      <c r="D2345" s="62">
        <v>117</v>
      </c>
      <c r="E2345" s="61" t="s">
        <v>2913</v>
      </c>
      <c r="F2345" s="11" t="s">
        <v>992</v>
      </c>
      <c r="G2345" s="10" t="s">
        <v>160</v>
      </c>
      <c r="H2345" s="10" t="s">
        <v>854</v>
      </c>
      <c r="I2345" s="62">
        <v>158</v>
      </c>
      <c r="J2345" s="10" t="s">
        <v>2372</v>
      </c>
      <c r="K2345" s="10" t="s">
        <v>847</v>
      </c>
      <c r="L2345" s="10" t="s">
        <v>2373</v>
      </c>
      <c r="M2345" s="10" t="s">
        <v>2372</v>
      </c>
      <c r="N2345" s="10" t="s">
        <v>2373</v>
      </c>
      <c r="O2345" s="10"/>
    </row>
    <row r="2346" spans="1:15" ht="18" customHeight="1" x14ac:dyDescent="0.3">
      <c r="A2346" s="24">
        <v>2345</v>
      </c>
      <c r="B2346" s="10" t="s">
        <v>51</v>
      </c>
      <c r="C2346" s="10" t="s">
        <v>74</v>
      </c>
      <c r="D2346" s="62">
        <v>117</v>
      </c>
      <c r="E2346" s="61" t="s">
        <v>2913</v>
      </c>
      <c r="F2346" s="11" t="s">
        <v>569</v>
      </c>
      <c r="G2346" s="10" t="s">
        <v>160</v>
      </c>
      <c r="H2346" s="10" t="s">
        <v>845</v>
      </c>
      <c r="I2346" s="62">
        <v>184</v>
      </c>
      <c r="J2346" s="10" t="s">
        <v>2374</v>
      </c>
      <c r="K2346" s="10" t="s">
        <v>847</v>
      </c>
      <c r="L2346" s="10" t="s">
        <v>2373</v>
      </c>
      <c r="M2346" s="10" t="s">
        <v>2372</v>
      </c>
      <c r="N2346" s="10" t="s">
        <v>2373</v>
      </c>
      <c r="O2346" s="10"/>
    </row>
    <row r="2347" spans="1:15" ht="18" customHeight="1" x14ac:dyDescent="0.3">
      <c r="A2347" s="24">
        <v>2346</v>
      </c>
      <c r="B2347" s="10" t="s">
        <v>51</v>
      </c>
      <c r="C2347" s="10" t="s">
        <v>74</v>
      </c>
      <c r="D2347" s="62">
        <v>117</v>
      </c>
      <c r="E2347" s="61" t="s">
        <v>2913</v>
      </c>
      <c r="F2347" s="11" t="s">
        <v>569</v>
      </c>
      <c r="G2347" s="10" t="s">
        <v>160</v>
      </c>
      <c r="H2347" s="10" t="s">
        <v>848</v>
      </c>
      <c r="I2347" s="62">
        <v>138</v>
      </c>
      <c r="J2347" s="10" t="s">
        <v>2372</v>
      </c>
      <c r="K2347" s="10" t="s">
        <v>847</v>
      </c>
      <c r="L2347" s="10" t="s">
        <v>2373</v>
      </c>
      <c r="M2347" s="10" t="s">
        <v>2372</v>
      </c>
      <c r="N2347" s="10" t="s">
        <v>2373</v>
      </c>
      <c r="O2347" s="10"/>
    </row>
    <row r="2348" spans="1:15" ht="18" customHeight="1" x14ac:dyDescent="0.3">
      <c r="A2348" s="24">
        <v>2347</v>
      </c>
      <c r="B2348" s="10" t="s">
        <v>51</v>
      </c>
      <c r="C2348" s="10" t="s">
        <v>75</v>
      </c>
      <c r="D2348" s="62">
        <v>118</v>
      </c>
      <c r="E2348" s="61" t="s">
        <v>272</v>
      </c>
      <c r="F2348" s="16" t="s">
        <v>636</v>
      </c>
      <c r="G2348" s="10" t="s">
        <v>160</v>
      </c>
      <c r="H2348" s="10" t="s">
        <v>2539</v>
      </c>
      <c r="I2348" s="62">
        <v>103</v>
      </c>
      <c r="J2348" s="10" t="s">
        <v>2374</v>
      </c>
      <c r="K2348" s="10" t="s">
        <v>2374</v>
      </c>
      <c r="L2348" s="10" t="s">
        <v>1422</v>
      </c>
      <c r="M2348" s="10" t="s">
        <v>2372</v>
      </c>
      <c r="N2348" s="10" t="s">
        <v>2373</v>
      </c>
      <c r="O2348" s="10"/>
    </row>
    <row r="2349" spans="1:15" ht="18" customHeight="1" x14ac:dyDescent="0.3">
      <c r="A2349" s="24">
        <v>2348</v>
      </c>
      <c r="B2349" s="10" t="s">
        <v>51</v>
      </c>
      <c r="C2349" s="10" t="s">
        <v>75</v>
      </c>
      <c r="D2349" s="62">
        <v>118</v>
      </c>
      <c r="E2349" s="61" t="s">
        <v>272</v>
      </c>
      <c r="F2349" s="16" t="s">
        <v>636</v>
      </c>
      <c r="G2349" s="10" t="s">
        <v>160</v>
      </c>
      <c r="H2349" s="10" t="s">
        <v>2465</v>
      </c>
      <c r="I2349" s="62">
        <v>78</v>
      </c>
      <c r="J2349" s="10" t="s">
        <v>2374</v>
      </c>
      <c r="K2349" s="10" t="s">
        <v>2374</v>
      </c>
      <c r="L2349" s="10" t="s">
        <v>1422</v>
      </c>
      <c r="M2349" s="10" t="s">
        <v>2372</v>
      </c>
      <c r="N2349" s="10" t="s">
        <v>2373</v>
      </c>
      <c r="O2349" s="10"/>
    </row>
    <row r="2350" spans="1:15" ht="18" customHeight="1" x14ac:dyDescent="0.3">
      <c r="A2350" s="24">
        <v>2349</v>
      </c>
      <c r="B2350" s="10" t="s">
        <v>51</v>
      </c>
      <c r="C2350" s="10" t="s">
        <v>75</v>
      </c>
      <c r="D2350" s="62">
        <v>118</v>
      </c>
      <c r="E2350" s="61" t="s">
        <v>272</v>
      </c>
      <c r="F2350" s="16" t="s">
        <v>636</v>
      </c>
      <c r="G2350" s="10" t="s">
        <v>160</v>
      </c>
      <c r="H2350" s="10" t="s">
        <v>849</v>
      </c>
      <c r="I2350" s="62">
        <v>70</v>
      </c>
      <c r="J2350" s="10" t="s">
        <v>2372</v>
      </c>
      <c r="K2350" s="10" t="s">
        <v>847</v>
      </c>
      <c r="L2350" s="10" t="s">
        <v>2373</v>
      </c>
      <c r="M2350" s="10" t="s">
        <v>2372</v>
      </c>
      <c r="N2350" s="10" t="s">
        <v>2373</v>
      </c>
      <c r="O2350" s="10"/>
    </row>
    <row r="2351" spans="1:15" ht="18" customHeight="1" x14ac:dyDescent="0.3">
      <c r="A2351" s="24">
        <v>2350</v>
      </c>
      <c r="B2351" s="10" t="s">
        <v>51</v>
      </c>
      <c r="C2351" s="10" t="s">
        <v>75</v>
      </c>
      <c r="D2351" s="62">
        <v>118</v>
      </c>
      <c r="E2351" s="61" t="s">
        <v>272</v>
      </c>
      <c r="F2351" s="16" t="s">
        <v>636</v>
      </c>
      <c r="G2351" s="10" t="s">
        <v>160</v>
      </c>
      <c r="H2351" s="10" t="s">
        <v>2581</v>
      </c>
      <c r="I2351" s="62">
        <v>87</v>
      </c>
      <c r="J2351" s="10" t="s">
        <v>2372</v>
      </c>
      <c r="K2351" s="10" t="s">
        <v>2374</v>
      </c>
      <c r="L2351" s="10" t="s">
        <v>1422</v>
      </c>
      <c r="M2351" s="10" t="s">
        <v>2372</v>
      </c>
      <c r="N2351" s="10" t="s">
        <v>2373</v>
      </c>
      <c r="O2351" s="10"/>
    </row>
    <row r="2352" spans="1:15" ht="18" customHeight="1" x14ac:dyDescent="0.3">
      <c r="A2352" s="24">
        <v>2351</v>
      </c>
      <c r="B2352" s="55" t="s">
        <v>1600</v>
      </c>
      <c r="C2352" s="55" t="s">
        <v>1810</v>
      </c>
      <c r="D2352" s="62">
        <v>118</v>
      </c>
      <c r="E2352" s="65" t="s">
        <v>2914</v>
      </c>
      <c r="F2352" s="19" t="s">
        <v>1812</v>
      </c>
      <c r="G2352" s="55" t="s">
        <v>1264</v>
      </c>
      <c r="H2352" s="55" t="s">
        <v>2385</v>
      </c>
      <c r="I2352" s="72">
        <v>110</v>
      </c>
      <c r="J2352" s="10" t="s">
        <v>2374</v>
      </c>
      <c r="K2352" s="55" t="s">
        <v>847</v>
      </c>
      <c r="L2352" s="10" t="s">
        <v>2373</v>
      </c>
      <c r="M2352" s="10" t="s">
        <v>2372</v>
      </c>
      <c r="N2352" s="10" t="s">
        <v>2373</v>
      </c>
      <c r="O2352" s="55"/>
    </row>
    <row r="2353" spans="1:15" ht="18" customHeight="1" x14ac:dyDescent="0.3">
      <c r="A2353" s="24">
        <v>2352</v>
      </c>
      <c r="B2353" s="55" t="s">
        <v>1600</v>
      </c>
      <c r="C2353" s="55" t="s">
        <v>1810</v>
      </c>
      <c r="D2353" s="62">
        <v>118</v>
      </c>
      <c r="E2353" s="65" t="s">
        <v>2914</v>
      </c>
      <c r="F2353" s="19" t="s">
        <v>1812</v>
      </c>
      <c r="G2353" s="55" t="s">
        <v>1264</v>
      </c>
      <c r="H2353" s="55" t="s">
        <v>2378</v>
      </c>
      <c r="I2353" s="72">
        <v>110</v>
      </c>
      <c r="J2353" s="10" t="s">
        <v>2372</v>
      </c>
      <c r="K2353" s="55" t="s">
        <v>847</v>
      </c>
      <c r="L2353" s="10" t="s">
        <v>2373</v>
      </c>
      <c r="M2353" s="10" t="s">
        <v>2372</v>
      </c>
      <c r="N2353" s="10" t="s">
        <v>2373</v>
      </c>
      <c r="O2353" s="55"/>
    </row>
    <row r="2354" spans="1:15" ht="18" customHeight="1" x14ac:dyDescent="0.3">
      <c r="A2354" s="24">
        <v>2353</v>
      </c>
      <c r="B2354" s="55" t="s">
        <v>1600</v>
      </c>
      <c r="C2354" s="55" t="s">
        <v>1810</v>
      </c>
      <c r="D2354" s="62">
        <v>118</v>
      </c>
      <c r="E2354" s="65" t="s">
        <v>2914</v>
      </c>
      <c r="F2354" s="19" t="s">
        <v>1812</v>
      </c>
      <c r="G2354" s="55" t="s">
        <v>1264</v>
      </c>
      <c r="H2354" s="55" t="s">
        <v>2379</v>
      </c>
      <c r="I2354" s="72">
        <v>92</v>
      </c>
      <c r="J2354" s="10" t="s">
        <v>2372</v>
      </c>
      <c r="K2354" s="55" t="s">
        <v>847</v>
      </c>
      <c r="L2354" s="10" t="s">
        <v>2373</v>
      </c>
      <c r="M2354" s="10" t="s">
        <v>2372</v>
      </c>
      <c r="N2354" s="10" t="s">
        <v>2373</v>
      </c>
      <c r="O2354" s="55"/>
    </row>
    <row r="2355" spans="1:15" ht="18" customHeight="1" x14ac:dyDescent="0.3">
      <c r="A2355" s="24">
        <v>2354</v>
      </c>
      <c r="B2355" s="55" t="s">
        <v>1600</v>
      </c>
      <c r="C2355" s="55" t="s">
        <v>1810</v>
      </c>
      <c r="D2355" s="62">
        <v>118</v>
      </c>
      <c r="E2355" s="65" t="s">
        <v>2914</v>
      </c>
      <c r="F2355" s="19" t="s">
        <v>1812</v>
      </c>
      <c r="G2355" s="55" t="s">
        <v>1264</v>
      </c>
      <c r="H2355" s="55" t="s">
        <v>2380</v>
      </c>
      <c r="I2355" s="72">
        <v>110</v>
      </c>
      <c r="J2355" s="10" t="s">
        <v>2372</v>
      </c>
      <c r="K2355" s="55" t="s">
        <v>847</v>
      </c>
      <c r="L2355" s="10" t="s">
        <v>2373</v>
      </c>
      <c r="M2355" s="10" t="s">
        <v>2372</v>
      </c>
      <c r="N2355" s="10" t="s">
        <v>2373</v>
      </c>
      <c r="O2355" s="55"/>
    </row>
    <row r="2356" spans="1:15" ht="18" customHeight="1" x14ac:dyDescent="0.3">
      <c r="A2356" s="24">
        <v>2355</v>
      </c>
      <c r="B2356" s="55" t="s">
        <v>1600</v>
      </c>
      <c r="C2356" s="55" t="s">
        <v>1810</v>
      </c>
      <c r="D2356" s="62">
        <v>118</v>
      </c>
      <c r="E2356" s="65" t="s">
        <v>2914</v>
      </c>
      <c r="F2356" s="19" t="s">
        <v>1812</v>
      </c>
      <c r="G2356" s="55" t="s">
        <v>1264</v>
      </c>
      <c r="H2356" s="55" t="s">
        <v>2390</v>
      </c>
      <c r="I2356" s="72">
        <v>110</v>
      </c>
      <c r="J2356" s="10" t="s">
        <v>2372</v>
      </c>
      <c r="K2356" s="55" t="s">
        <v>847</v>
      </c>
      <c r="L2356" s="10" t="s">
        <v>2373</v>
      </c>
      <c r="M2356" s="10" t="s">
        <v>2372</v>
      </c>
      <c r="N2356" s="10" t="s">
        <v>2373</v>
      </c>
      <c r="O2356" s="55"/>
    </row>
    <row r="2357" spans="1:15" ht="18" customHeight="1" x14ac:dyDescent="0.3">
      <c r="A2357" s="24">
        <v>2356</v>
      </c>
      <c r="B2357" s="55" t="s">
        <v>1600</v>
      </c>
      <c r="C2357" s="55" t="s">
        <v>1810</v>
      </c>
      <c r="D2357" s="62">
        <v>118</v>
      </c>
      <c r="E2357" s="65" t="s">
        <v>2914</v>
      </c>
      <c r="F2357" s="19" t="s">
        <v>1812</v>
      </c>
      <c r="G2357" s="55" t="s">
        <v>1264</v>
      </c>
      <c r="H2357" s="55" t="s">
        <v>2382</v>
      </c>
      <c r="I2357" s="72">
        <v>92</v>
      </c>
      <c r="J2357" s="10" t="s">
        <v>2374</v>
      </c>
      <c r="K2357" s="55" t="s">
        <v>847</v>
      </c>
      <c r="L2357" s="10" t="s">
        <v>2373</v>
      </c>
      <c r="M2357" s="10" t="s">
        <v>2372</v>
      </c>
      <c r="N2357" s="10" t="s">
        <v>2373</v>
      </c>
      <c r="O2357" s="55"/>
    </row>
    <row r="2358" spans="1:15" ht="18" customHeight="1" x14ac:dyDescent="0.3">
      <c r="A2358" s="24">
        <v>2357</v>
      </c>
      <c r="B2358" s="55" t="s">
        <v>1600</v>
      </c>
      <c r="C2358" s="55" t="s">
        <v>1810</v>
      </c>
      <c r="D2358" s="62">
        <v>118</v>
      </c>
      <c r="E2358" s="65" t="s">
        <v>2914</v>
      </c>
      <c r="F2358" s="19" t="s">
        <v>1812</v>
      </c>
      <c r="G2358" s="55" t="s">
        <v>1264</v>
      </c>
      <c r="H2358" s="55" t="s">
        <v>2431</v>
      </c>
      <c r="I2358" s="72">
        <v>100</v>
      </c>
      <c r="J2358" s="10" t="s">
        <v>2374</v>
      </c>
      <c r="K2358" s="55" t="s">
        <v>847</v>
      </c>
      <c r="L2358" s="10" t="s">
        <v>2373</v>
      </c>
      <c r="M2358" s="10" t="s">
        <v>2372</v>
      </c>
      <c r="N2358" s="10" t="s">
        <v>2373</v>
      </c>
      <c r="O2358" s="55"/>
    </row>
    <row r="2359" spans="1:15" ht="18" customHeight="1" x14ac:dyDescent="0.3">
      <c r="A2359" s="24">
        <v>2358</v>
      </c>
      <c r="B2359" s="10" t="s">
        <v>1600</v>
      </c>
      <c r="C2359" s="10" t="s">
        <v>1813</v>
      </c>
      <c r="D2359" s="62">
        <v>119</v>
      </c>
      <c r="E2359" s="61" t="s">
        <v>2915</v>
      </c>
      <c r="F2359" s="16" t="s">
        <v>1815</v>
      </c>
      <c r="G2359" s="10" t="s">
        <v>1278</v>
      </c>
      <c r="H2359" s="10" t="s">
        <v>2385</v>
      </c>
      <c r="I2359" s="62">
        <v>96</v>
      </c>
      <c r="J2359" s="10" t="s">
        <v>2372</v>
      </c>
      <c r="K2359" s="10" t="s">
        <v>847</v>
      </c>
      <c r="L2359" s="10" t="s">
        <v>2373</v>
      </c>
      <c r="M2359" s="10" t="s">
        <v>2372</v>
      </c>
      <c r="N2359" s="10" t="s">
        <v>2373</v>
      </c>
      <c r="O2359" s="10"/>
    </row>
    <row r="2360" spans="1:15" ht="18" customHeight="1" x14ac:dyDescent="0.3">
      <c r="A2360" s="24">
        <v>2359</v>
      </c>
      <c r="B2360" s="10" t="s">
        <v>1600</v>
      </c>
      <c r="C2360" s="10" t="s">
        <v>1813</v>
      </c>
      <c r="D2360" s="62">
        <v>119</v>
      </c>
      <c r="E2360" s="61" t="s">
        <v>2915</v>
      </c>
      <c r="F2360" s="16" t="s">
        <v>1815</v>
      </c>
      <c r="G2360" s="10" t="s">
        <v>1278</v>
      </c>
      <c r="H2360" s="10" t="s">
        <v>2378</v>
      </c>
      <c r="I2360" s="62">
        <v>72</v>
      </c>
      <c r="J2360" s="10" t="s">
        <v>2372</v>
      </c>
      <c r="K2360" s="10" t="s">
        <v>847</v>
      </c>
      <c r="L2360" s="10" t="s">
        <v>2373</v>
      </c>
      <c r="M2360" s="10" t="s">
        <v>2372</v>
      </c>
      <c r="N2360" s="10" t="s">
        <v>2373</v>
      </c>
      <c r="O2360" s="10"/>
    </row>
    <row r="2361" spans="1:15" ht="18" customHeight="1" x14ac:dyDescent="0.3">
      <c r="A2361" s="24">
        <v>2360</v>
      </c>
      <c r="B2361" s="10" t="s">
        <v>1600</v>
      </c>
      <c r="C2361" s="10" t="s">
        <v>1813</v>
      </c>
      <c r="D2361" s="62">
        <v>119</v>
      </c>
      <c r="E2361" s="61" t="s">
        <v>2915</v>
      </c>
      <c r="F2361" s="16" t="s">
        <v>1815</v>
      </c>
      <c r="G2361" s="10" t="s">
        <v>1278</v>
      </c>
      <c r="H2361" s="10" t="s">
        <v>2379</v>
      </c>
      <c r="I2361" s="62">
        <v>84</v>
      </c>
      <c r="J2361" s="10" t="s">
        <v>2372</v>
      </c>
      <c r="K2361" s="10" t="s">
        <v>847</v>
      </c>
      <c r="L2361" s="10" t="s">
        <v>2373</v>
      </c>
      <c r="M2361" s="10" t="s">
        <v>2372</v>
      </c>
      <c r="N2361" s="10" t="s">
        <v>2373</v>
      </c>
      <c r="O2361" s="10"/>
    </row>
    <row r="2362" spans="1:15" ht="18" customHeight="1" x14ac:dyDescent="0.3">
      <c r="A2362" s="24">
        <v>2361</v>
      </c>
      <c r="B2362" s="10" t="s">
        <v>1600</v>
      </c>
      <c r="C2362" s="10" t="s">
        <v>1813</v>
      </c>
      <c r="D2362" s="62">
        <v>119</v>
      </c>
      <c r="E2362" s="61" t="s">
        <v>2915</v>
      </c>
      <c r="F2362" s="16" t="s">
        <v>1815</v>
      </c>
      <c r="G2362" s="10" t="s">
        <v>1278</v>
      </c>
      <c r="H2362" s="10" t="s">
        <v>2380</v>
      </c>
      <c r="I2362" s="62">
        <v>84</v>
      </c>
      <c r="J2362" s="10" t="s">
        <v>2372</v>
      </c>
      <c r="K2362" s="10" t="s">
        <v>847</v>
      </c>
      <c r="L2362" s="10" t="s">
        <v>2373</v>
      </c>
      <c r="M2362" s="10" t="s">
        <v>2372</v>
      </c>
      <c r="N2362" s="10" t="s">
        <v>2373</v>
      </c>
      <c r="O2362" s="10"/>
    </row>
    <row r="2363" spans="1:15" ht="18" customHeight="1" x14ac:dyDescent="0.3">
      <c r="A2363" s="24">
        <v>2362</v>
      </c>
      <c r="B2363" s="10" t="s">
        <v>1600</v>
      </c>
      <c r="C2363" s="10" t="s">
        <v>1813</v>
      </c>
      <c r="D2363" s="62">
        <v>119</v>
      </c>
      <c r="E2363" s="61" t="s">
        <v>2915</v>
      </c>
      <c r="F2363" s="16" t="s">
        <v>1815</v>
      </c>
      <c r="G2363" s="10" t="s">
        <v>1278</v>
      </c>
      <c r="H2363" s="10" t="s">
        <v>2390</v>
      </c>
      <c r="I2363" s="62">
        <v>79</v>
      </c>
      <c r="J2363" s="10" t="s">
        <v>2374</v>
      </c>
      <c r="K2363" s="10" t="s">
        <v>847</v>
      </c>
      <c r="L2363" s="10" t="s">
        <v>2373</v>
      </c>
      <c r="M2363" s="10" t="s">
        <v>2372</v>
      </c>
      <c r="N2363" s="10" t="s">
        <v>2373</v>
      </c>
      <c r="O2363" s="10"/>
    </row>
    <row r="2364" spans="1:15" ht="18" customHeight="1" x14ac:dyDescent="0.3">
      <c r="A2364" s="24">
        <v>2363</v>
      </c>
      <c r="B2364" s="10" t="s">
        <v>1600</v>
      </c>
      <c r="C2364" s="10" t="s">
        <v>1813</v>
      </c>
      <c r="D2364" s="62">
        <v>119</v>
      </c>
      <c r="E2364" s="3" t="s">
        <v>1816</v>
      </c>
      <c r="F2364" s="16" t="s">
        <v>1817</v>
      </c>
      <c r="G2364" s="10" t="s">
        <v>2373</v>
      </c>
      <c r="H2364" s="10" t="s">
        <v>2385</v>
      </c>
      <c r="I2364" s="62">
        <v>49</v>
      </c>
      <c r="J2364" s="10" t="s">
        <v>2374</v>
      </c>
      <c r="K2364" s="10" t="s">
        <v>847</v>
      </c>
      <c r="L2364" s="10" t="s">
        <v>2373</v>
      </c>
      <c r="M2364" s="10" t="s">
        <v>2372</v>
      </c>
      <c r="N2364" s="10" t="s">
        <v>2373</v>
      </c>
      <c r="O2364" s="10"/>
    </row>
    <row r="2365" spans="1:15" ht="18" customHeight="1" x14ac:dyDescent="0.3">
      <c r="A2365" s="24">
        <v>2364</v>
      </c>
      <c r="B2365" s="10" t="s">
        <v>1600</v>
      </c>
      <c r="C2365" s="10" t="s">
        <v>1813</v>
      </c>
      <c r="D2365" s="62">
        <v>119</v>
      </c>
      <c r="E2365" s="3" t="s">
        <v>1816</v>
      </c>
      <c r="F2365" s="16" t="s">
        <v>1817</v>
      </c>
      <c r="G2365" s="10" t="s">
        <v>2373</v>
      </c>
      <c r="H2365" s="10" t="s">
        <v>2378</v>
      </c>
      <c r="I2365" s="62">
        <v>49</v>
      </c>
      <c r="J2365" s="10" t="s">
        <v>2372</v>
      </c>
      <c r="K2365" s="10" t="s">
        <v>847</v>
      </c>
      <c r="L2365" s="10" t="s">
        <v>2373</v>
      </c>
      <c r="M2365" s="10" t="s">
        <v>2372</v>
      </c>
      <c r="N2365" s="10" t="s">
        <v>2373</v>
      </c>
      <c r="O2365" s="10"/>
    </row>
    <row r="2366" spans="1:15" ht="18" customHeight="1" x14ac:dyDescent="0.3">
      <c r="A2366" s="24">
        <v>2365</v>
      </c>
      <c r="B2366" s="8" t="s">
        <v>1600</v>
      </c>
      <c r="C2366" s="8" t="s">
        <v>1820</v>
      </c>
      <c r="D2366" s="8">
        <v>122</v>
      </c>
      <c r="E2366" s="56" t="s">
        <v>2633</v>
      </c>
      <c r="F2366" s="16" t="s">
        <v>1822</v>
      </c>
      <c r="G2366" s="8" t="s">
        <v>2373</v>
      </c>
      <c r="H2366" s="10" t="s">
        <v>2385</v>
      </c>
      <c r="I2366" s="62">
        <v>63</v>
      </c>
      <c r="J2366" s="10" t="s">
        <v>2372</v>
      </c>
      <c r="K2366" s="10" t="s">
        <v>847</v>
      </c>
      <c r="L2366" s="10" t="s">
        <v>2373</v>
      </c>
      <c r="M2366" s="10" t="s">
        <v>2372</v>
      </c>
      <c r="N2366" s="10" t="s">
        <v>2373</v>
      </c>
      <c r="O2366" s="10"/>
    </row>
    <row r="2367" spans="1:15" ht="18" customHeight="1" x14ac:dyDescent="0.3">
      <c r="A2367" s="24">
        <v>2366</v>
      </c>
      <c r="B2367" s="8" t="s">
        <v>1600</v>
      </c>
      <c r="C2367" s="8" t="s">
        <v>1820</v>
      </c>
      <c r="D2367" s="8">
        <v>122</v>
      </c>
      <c r="E2367" s="56" t="s">
        <v>2633</v>
      </c>
      <c r="F2367" s="16" t="s">
        <v>1822</v>
      </c>
      <c r="G2367" s="8" t="s">
        <v>2373</v>
      </c>
      <c r="H2367" s="10" t="s">
        <v>2378</v>
      </c>
      <c r="I2367" s="62">
        <v>36</v>
      </c>
      <c r="J2367" s="10" t="s">
        <v>2372</v>
      </c>
      <c r="K2367" s="10" t="s">
        <v>847</v>
      </c>
      <c r="L2367" s="10" t="s">
        <v>2373</v>
      </c>
      <c r="M2367" s="10" t="s">
        <v>2372</v>
      </c>
      <c r="N2367" s="10" t="s">
        <v>2373</v>
      </c>
      <c r="O2367" s="10"/>
    </row>
    <row r="2368" spans="1:15" ht="18" customHeight="1" x14ac:dyDescent="0.3">
      <c r="A2368" s="24">
        <v>2367</v>
      </c>
      <c r="B2368" s="10" t="s">
        <v>1600</v>
      </c>
      <c r="C2368" s="10" t="s">
        <v>1820</v>
      </c>
      <c r="D2368" s="62">
        <v>122</v>
      </c>
      <c r="E2368" s="61" t="s">
        <v>2634</v>
      </c>
      <c r="F2368" s="16" t="s">
        <v>824</v>
      </c>
      <c r="G2368" s="10" t="s">
        <v>2373</v>
      </c>
      <c r="H2368" s="10" t="s">
        <v>2385</v>
      </c>
      <c r="I2368" s="62">
        <v>89</v>
      </c>
      <c r="J2368" s="10" t="s">
        <v>2374</v>
      </c>
      <c r="K2368" s="10" t="s">
        <v>847</v>
      </c>
      <c r="L2368" s="10" t="s">
        <v>2373</v>
      </c>
      <c r="M2368" s="10" t="s">
        <v>2372</v>
      </c>
      <c r="N2368" s="10" t="s">
        <v>2373</v>
      </c>
      <c r="O2368" s="10"/>
    </row>
    <row r="2369" spans="1:15" ht="18" customHeight="1" x14ac:dyDescent="0.3">
      <c r="A2369" s="24">
        <v>2368</v>
      </c>
      <c r="B2369" s="10" t="s">
        <v>1600</v>
      </c>
      <c r="C2369" s="10" t="s">
        <v>1820</v>
      </c>
      <c r="D2369" s="62">
        <v>122</v>
      </c>
      <c r="E2369" s="61" t="s">
        <v>2634</v>
      </c>
      <c r="F2369" s="16" t="s">
        <v>824</v>
      </c>
      <c r="G2369" s="10" t="s">
        <v>2373</v>
      </c>
      <c r="H2369" s="10" t="s">
        <v>2378</v>
      </c>
      <c r="I2369" s="62">
        <v>47</v>
      </c>
      <c r="J2369" s="10" t="s">
        <v>2372</v>
      </c>
      <c r="K2369" s="10" t="s">
        <v>847</v>
      </c>
      <c r="L2369" s="10" t="s">
        <v>2373</v>
      </c>
      <c r="M2369" s="10" t="s">
        <v>2372</v>
      </c>
      <c r="N2369" s="10" t="s">
        <v>2373</v>
      </c>
      <c r="O2369" s="10"/>
    </row>
    <row r="2370" spans="1:15" ht="18" customHeight="1" x14ac:dyDescent="0.3">
      <c r="A2370" s="24">
        <v>2369</v>
      </c>
      <c r="B2370" s="10" t="s">
        <v>51</v>
      </c>
      <c r="C2370" s="10" t="s">
        <v>76</v>
      </c>
      <c r="D2370" s="62">
        <v>123</v>
      </c>
      <c r="E2370" s="61" t="s">
        <v>945</v>
      </c>
      <c r="F2370" s="19" t="s">
        <v>1828</v>
      </c>
      <c r="G2370" s="10" t="s">
        <v>2373</v>
      </c>
      <c r="H2370" s="10" t="s">
        <v>845</v>
      </c>
      <c r="I2370" s="62">
        <v>152</v>
      </c>
      <c r="J2370" s="10" t="s">
        <v>2372</v>
      </c>
      <c r="K2370" s="10" t="s">
        <v>847</v>
      </c>
      <c r="L2370" s="10" t="s">
        <v>2373</v>
      </c>
      <c r="M2370" s="10" t="s">
        <v>2372</v>
      </c>
      <c r="N2370" s="10" t="s">
        <v>2373</v>
      </c>
      <c r="O2370" s="10"/>
    </row>
    <row r="2371" spans="1:15" ht="18" customHeight="1" x14ac:dyDescent="0.3">
      <c r="A2371" s="24">
        <v>2370</v>
      </c>
      <c r="B2371" s="10" t="s">
        <v>77</v>
      </c>
      <c r="C2371" s="10" t="s">
        <v>78</v>
      </c>
      <c r="D2371" s="62">
        <v>124</v>
      </c>
      <c r="E2371" s="61" t="s">
        <v>2635</v>
      </c>
      <c r="F2371" s="16" t="s">
        <v>1831</v>
      </c>
      <c r="G2371" s="10" t="s">
        <v>160</v>
      </c>
      <c r="H2371" s="10" t="s">
        <v>845</v>
      </c>
      <c r="I2371" s="62">
        <v>76</v>
      </c>
      <c r="J2371" s="8" t="s">
        <v>2372</v>
      </c>
      <c r="K2371" s="10" t="s">
        <v>847</v>
      </c>
      <c r="L2371" s="10" t="s">
        <v>2373</v>
      </c>
      <c r="M2371" s="10" t="s">
        <v>2372</v>
      </c>
      <c r="N2371" s="10" t="s">
        <v>2373</v>
      </c>
      <c r="O2371" s="9"/>
    </row>
    <row r="2372" spans="1:15" ht="18" customHeight="1" x14ac:dyDescent="0.3">
      <c r="A2372" s="24">
        <v>2371</v>
      </c>
      <c r="B2372" s="10" t="s">
        <v>77</v>
      </c>
      <c r="C2372" s="10" t="s">
        <v>78</v>
      </c>
      <c r="D2372" s="62">
        <v>124</v>
      </c>
      <c r="E2372" s="61" t="s">
        <v>2635</v>
      </c>
      <c r="F2372" s="16" t="s">
        <v>1831</v>
      </c>
      <c r="G2372" s="10" t="s">
        <v>160</v>
      </c>
      <c r="H2372" s="10" t="s">
        <v>848</v>
      </c>
      <c r="I2372" s="62">
        <v>65</v>
      </c>
      <c r="J2372" s="8" t="s">
        <v>2372</v>
      </c>
      <c r="K2372" s="10" t="s">
        <v>2374</v>
      </c>
      <c r="L2372" s="10" t="s">
        <v>2229</v>
      </c>
      <c r="M2372" s="10" t="s">
        <v>2372</v>
      </c>
      <c r="N2372" s="10" t="s">
        <v>2373</v>
      </c>
      <c r="O2372" s="10"/>
    </row>
    <row r="2373" spans="1:15" ht="18" customHeight="1" x14ac:dyDescent="0.3">
      <c r="A2373" s="24">
        <v>2372</v>
      </c>
      <c r="B2373" s="10" t="s">
        <v>77</v>
      </c>
      <c r="C2373" s="10" t="s">
        <v>78</v>
      </c>
      <c r="D2373" s="62">
        <v>124</v>
      </c>
      <c r="E2373" s="61" t="s">
        <v>2635</v>
      </c>
      <c r="F2373" s="16" t="s">
        <v>1175</v>
      </c>
      <c r="G2373" s="10" t="s">
        <v>160</v>
      </c>
      <c r="H2373" s="10" t="s">
        <v>849</v>
      </c>
      <c r="I2373" s="62">
        <v>72</v>
      </c>
      <c r="J2373" s="8" t="s">
        <v>2372</v>
      </c>
      <c r="K2373" s="10" t="s">
        <v>2374</v>
      </c>
      <c r="L2373" s="10" t="s">
        <v>2229</v>
      </c>
      <c r="M2373" s="10" t="s">
        <v>2372</v>
      </c>
      <c r="N2373" s="10" t="s">
        <v>2373</v>
      </c>
      <c r="O2373" s="10"/>
    </row>
    <row r="2374" spans="1:15" ht="18" customHeight="1" x14ac:dyDescent="0.3">
      <c r="A2374" s="24">
        <v>2373</v>
      </c>
      <c r="B2374" s="10" t="s">
        <v>77</v>
      </c>
      <c r="C2374" s="10" t="s">
        <v>78</v>
      </c>
      <c r="D2374" s="62">
        <v>124</v>
      </c>
      <c r="E2374" s="61" t="s">
        <v>2635</v>
      </c>
      <c r="F2374" s="16" t="s">
        <v>1175</v>
      </c>
      <c r="G2374" s="10" t="s">
        <v>160</v>
      </c>
      <c r="H2374" s="10" t="s">
        <v>850</v>
      </c>
      <c r="I2374" s="62">
        <v>75</v>
      </c>
      <c r="J2374" s="8" t="s">
        <v>2372</v>
      </c>
      <c r="K2374" s="10" t="s">
        <v>847</v>
      </c>
      <c r="L2374" s="10" t="s">
        <v>2373</v>
      </c>
      <c r="M2374" s="10" t="s">
        <v>2372</v>
      </c>
      <c r="N2374" s="10" t="s">
        <v>2373</v>
      </c>
      <c r="O2374" s="10"/>
    </row>
    <row r="2375" spans="1:15" ht="18" customHeight="1" x14ac:dyDescent="0.3">
      <c r="A2375" s="24">
        <v>2374</v>
      </c>
      <c r="B2375" s="10" t="s">
        <v>77</v>
      </c>
      <c r="C2375" s="10" t="s">
        <v>78</v>
      </c>
      <c r="D2375" s="62">
        <v>124</v>
      </c>
      <c r="E2375" s="61" t="s">
        <v>2635</v>
      </c>
      <c r="F2375" s="16" t="s">
        <v>1175</v>
      </c>
      <c r="G2375" s="10" t="s">
        <v>160</v>
      </c>
      <c r="H2375" s="10" t="s">
        <v>851</v>
      </c>
      <c r="I2375" s="62">
        <v>86</v>
      </c>
      <c r="J2375" s="8" t="s">
        <v>2372</v>
      </c>
      <c r="K2375" s="10" t="s">
        <v>2374</v>
      </c>
      <c r="L2375" s="10" t="s">
        <v>2229</v>
      </c>
      <c r="M2375" s="10" t="s">
        <v>2372</v>
      </c>
      <c r="N2375" s="10" t="s">
        <v>2373</v>
      </c>
      <c r="O2375" s="10"/>
    </row>
    <row r="2376" spans="1:15" ht="18" customHeight="1" x14ac:dyDescent="0.3">
      <c r="A2376" s="24">
        <v>2375</v>
      </c>
      <c r="B2376" s="10" t="s">
        <v>77</v>
      </c>
      <c r="C2376" s="10" t="s">
        <v>78</v>
      </c>
      <c r="D2376" s="62">
        <v>124</v>
      </c>
      <c r="E2376" s="61" t="s">
        <v>2635</v>
      </c>
      <c r="F2376" s="16" t="s">
        <v>1175</v>
      </c>
      <c r="G2376" s="10" t="s">
        <v>160</v>
      </c>
      <c r="H2376" s="10" t="s">
        <v>852</v>
      </c>
      <c r="I2376" s="62">
        <v>74</v>
      </c>
      <c r="J2376" s="8" t="s">
        <v>2372</v>
      </c>
      <c r="K2376" s="10" t="s">
        <v>2374</v>
      </c>
      <c r="L2376" s="10" t="s">
        <v>2229</v>
      </c>
      <c r="M2376" s="10" t="s">
        <v>2372</v>
      </c>
      <c r="N2376" s="10" t="s">
        <v>2373</v>
      </c>
      <c r="O2376" s="10"/>
    </row>
    <row r="2377" spans="1:15" ht="18" customHeight="1" x14ac:dyDescent="0.3">
      <c r="A2377" s="24">
        <v>2376</v>
      </c>
      <c r="B2377" s="10" t="s">
        <v>77</v>
      </c>
      <c r="C2377" s="10" t="s">
        <v>78</v>
      </c>
      <c r="D2377" s="62">
        <v>124</v>
      </c>
      <c r="E2377" s="61" t="s">
        <v>2916</v>
      </c>
      <c r="F2377" s="19" t="s">
        <v>682</v>
      </c>
      <c r="G2377" s="10" t="s">
        <v>150</v>
      </c>
      <c r="H2377" s="10" t="s">
        <v>2385</v>
      </c>
      <c r="I2377" s="62">
        <v>30</v>
      </c>
      <c r="J2377" s="10" t="s">
        <v>2374</v>
      </c>
      <c r="K2377" s="10" t="s">
        <v>2372</v>
      </c>
      <c r="L2377" s="10" t="s">
        <v>2373</v>
      </c>
      <c r="M2377" s="10" t="s">
        <v>2372</v>
      </c>
      <c r="N2377" s="10" t="s">
        <v>2373</v>
      </c>
      <c r="O2377" s="10"/>
    </row>
    <row r="2378" spans="1:15" ht="18" customHeight="1" x14ac:dyDescent="0.3">
      <c r="A2378" s="24">
        <v>2377</v>
      </c>
      <c r="B2378" s="10" t="s">
        <v>77</v>
      </c>
      <c r="C2378" s="10" t="s">
        <v>78</v>
      </c>
      <c r="D2378" s="62">
        <v>124</v>
      </c>
      <c r="E2378" s="61" t="s">
        <v>2916</v>
      </c>
      <c r="F2378" s="19" t="s">
        <v>682</v>
      </c>
      <c r="G2378" s="10" t="s">
        <v>150</v>
      </c>
      <c r="H2378" s="10" t="s">
        <v>848</v>
      </c>
      <c r="I2378" s="62">
        <v>92</v>
      </c>
      <c r="J2378" s="10" t="s">
        <v>2372</v>
      </c>
      <c r="K2378" s="10" t="s">
        <v>847</v>
      </c>
      <c r="L2378" s="10" t="s">
        <v>2373</v>
      </c>
      <c r="M2378" s="10" t="s">
        <v>2372</v>
      </c>
      <c r="N2378" s="10" t="s">
        <v>2373</v>
      </c>
      <c r="O2378" s="10"/>
    </row>
    <row r="2379" spans="1:15" ht="18" customHeight="1" x14ac:dyDescent="0.3">
      <c r="A2379" s="24">
        <v>2378</v>
      </c>
      <c r="B2379" s="10" t="s">
        <v>77</v>
      </c>
      <c r="C2379" s="10" t="s">
        <v>78</v>
      </c>
      <c r="D2379" s="62">
        <v>124</v>
      </c>
      <c r="E2379" s="61" t="s">
        <v>2916</v>
      </c>
      <c r="F2379" s="19" t="s">
        <v>682</v>
      </c>
      <c r="G2379" s="10" t="s">
        <v>150</v>
      </c>
      <c r="H2379" s="10" t="s">
        <v>849</v>
      </c>
      <c r="I2379" s="62">
        <v>114</v>
      </c>
      <c r="J2379" s="10" t="s">
        <v>2372</v>
      </c>
      <c r="K2379" s="10" t="s">
        <v>847</v>
      </c>
      <c r="L2379" s="10" t="s">
        <v>2373</v>
      </c>
      <c r="M2379" s="10" t="s">
        <v>2372</v>
      </c>
      <c r="N2379" s="10" t="s">
        <v>2373</v>
      </c>
      <c r="O2379" s="10"/>
    </row>
    <row r="2380" spans="1:15" ht="18" customHeight="1" x14ac:dyDescent="0.3">
      <c r="A2380" s="24">
        <v>2379</v>
      </c>
      <c r="B2380" s="10" t="s">
        <v>77</v>
      </c>
      <c r="C2380" s="10" t="s">
        <v>78</v>
      </c>
      <c r="D2380" s="62">
        <v>124</v>
      </c>
      <c r="E2380" s="61" t="s">
        <v>2916</v>
      </c>
      <c r="F2380" s="19" t="s">
        <v>682</v>
      </c>
      <c r="G2380" s="10" t="s">
        <v>150</v>
      </c>
      <c r="H2380" s="10" t="s">
        <v>850</v>
      </c>
      <c r="I2380" s="62">
        <v>93</v>
      </c>
      <c r="J2380" s="10" t="s">
        <v>2372</v>
      </c>
      <c r="K2380" s="10" t="s">
        <v>847</v>
      </c>
      <c r="L2380" s="10" t="s">
        <v>2373</v>
      </c>
      <c r="M2380" s="10" t="s">
        <v>2372</v>
      </c>
      <c r="N2380" s="10" t="s">
        <v>2373</v>
      </c>
      <c r="O2380" s="10"/>
    </row>
    <row r="2381" spans="1:15" ht="18" customHeight="1" x14ac:dyDescent="0.3">
      <c r="A2381" s="24">
        <v>2380</v>
      </c>
      <c r="B2381" s="10" t="s">
        <v>77</v>
      </c>
      <c r="C2381" s="10" t="s">
        <v>78</v>
      </c>
      <c r="D2381" s="62">
        <v>124</v>
      </c>
      <c r="E2381" s="61" t="s">
        <v>2916</v>
      </c>
      <c r="F2381" s="19" t="s">
        <v>682</v>
      </c>
      <c r="G2381" s="10" t="s">
        <v>150</v>
      </c>
      <c r="H2381" s="10" t="s">
        <v>852</v>
      </c>
      <c r="I2381" s="62">
        <v>153</v>
      </c>
      <c r="J2381" s="10" t="s">
        <v>2372</v>
      </c>
      <c r="K2381" s="10" t="s">
        <v>847</v>
      </c>
      <c r="L2381" s="10" t="s">
        <v>2373</v>
      </c>
      <c r="M2381" s="10" t="s">
        <v>2372</v>
      </c>
      <c r="N2381" s="10" t="s">
        <v>2373</v>
      </c>
      <c r="O2381" s="10"/>
    </row>
    <row r="2382" spans="1:15" ht="18" customHeight="1" x14ac:dyDescent="0.3">
      <c r="A2382" s="24">
        <v>2381</v>
      </c>
      <c r="B2382" s="10" t="s">
        <v>77</v>
      </c>
      <c r="C2382" s="10" t="s">
        <v>78</v>
      </c>
      <c r="D2382" s="62">
        <v>124</v>
      </c>
      <c r="E2382" s="61" t="s">
        <v>2916</v>
      </c>
      <c r="F2382" s="19" t="s">
        <v>682</v>
      </c>
      <c r="G2382" s="10" t="s">
        <v>150</v>
      </c>
      <c r="H2382" s="10" t="s">
        <v>853</v>
      </c>
      <c r="I2382" s="62">
        <v>153</v>
      </c>
      <c r="J2382" s="10" t="s">
        <v>2372</v>
      </c>
      <c r="K2382" s="10" t="s">
        <v>847</v>
      </c>
      <c r="L2382" s="10" t="s">
        <v>2373</v>
      </c>
      <c r="M2382" s="10" t="s">
        <v>2372</v>
      </c>
      <c r="N2382" s="10" t="s">
        <v>2373</v>
      </c>
      <c r="O2382" s="10"/>
    </row>
    <row r="2383" spans="1:15" ht="18" customHeight="1" x14ac:dyDescent="0.3">
      <c r="A2383" s="24">
        <v>2382</v>
      </c>
      <c r="B2383" s="10" t="s">
        <v>77</v>
      </c>
      <c r="C2383" s="10" t="s">
        <v>78</v>
      </c>
      <c r="D2383" s="62">
        <v>124</v>
      </c>
      <c r="E2383" s="61" t="s">
        <v>2916</v>
      </c>
      <c r="F2383" s="19" t="s">
        <v>682</v>
      </c>
      <c r="G2383" s="10" t="s">
        <v>150</v>
      </c>
      <c r="H2383" s="10" t="s">
        <v>854</v>
      </c>
      <c r="I2383" s="62">
        <v>86</v>
      </c>
      <c r="J2383" s="10" t="s">
        <v>2372</v>
      </c>
      <c r="K2383" s="10" t="s">
        <v>847</v>
      </c>
      <c r="L2383" s="10" t="s">
        <v>2373</v>
      </c>
      <c r="M2383" s="586" t="s">
        <v>2374</v>
      </c>
      <c r="N2383" s="10" t="s">
        <v>1256</v>
      </c>
      <c r="O2383" s="10"/>
    </row>
    <row r="2384" spans="1:15" ht="18" customHeight="1" x14ac:dyDescent="0.3">
      <c r="A2384" s="24">
        <v>2383</v>
      </c>
      <c r="B2384" s="10" t="s">
        <v>77</v>
      </c>
      <c r="C2384" s="10" t="s">
        <v>78</v>
      </c>
      <c r="D2384" s="62">
        <v>124</v>
      </c>
      <c r="E2384" s="61" t="s">
        <v>2916</v>
      </c>
      <c r="F2384" s="19" t="s">
        <v>682</v>
      </c>
      <c r="G2384" s="10" t="s">
        <v>150</v>
      </c>
      <c r="H2384" s="10" t="s">
        <v>869</v>
      </c>
      <c r="I2384" s="62">
        <v>183</v>
      </c>
      <c r="J2384" s="10" t="s">
        <v>2374</v>
      </c>
      <c r="K2384" s="10" t="s">
        <v>847</v>
      </c>
      <c r="L2384" s="10" t="s">
        <v>2373</v>
      </c>
      <c r="M2384" s="10" t="s">
        <v>2372</v>
      </c>
      <c r="N2384" s="10" t="s">
        <v>2373</v>
      </c>
      <c r="O2384" s="10"/>
    </row>
    <row r="2385" spans="1:15" ht="18" customHeight="1" x14ac:dyDescent="0.3">
      <c r="A2385" s="24">
        <v>2384</v>
      </c>
      <c r="B2385" s="10" t="s">
        <v>77</v>
      </c>
      <c r="C2385" s="10" t="s">
        <v>78</v>
      </c>
      <c r="D2385" s="62">
        <v>124</v>
      </c>
      <c r="E2385" s="61" t="s">
        <v>2916</v>
      </c>
      <c r="F2385" s="19" t="s">
        <v>682</v>
      </c>
      <c r="G2385" s="10" t="s">
        <v>150</v>
      </c>
      <c r="H2385" s="10" t="s">
        <v>883</v>
      </c>
      <c r="I2385" s="62">
        <v>153</v>
      </c>
      <c r="J2385" s="10" t="s">
        <v>2374</v>
      </c>
      <c r="K2385" s="10" t="s">
        <v>847</v>
      </c>
      <c r="L2385" s="10" t="s">
        <v>2373</v>
      </c>
      <c r="M2385" s="10" t="s">
        <v>2372</v>
      </c>
      <c r="N2385" s="10" t="s">
        <v>2373</v>
      </c>
      <c r="O2385" s="10"/>
    </row>
    <row r="2386" spans="1:15" ht="18" customHeight="1" x14ac:dyDescent="0.3">
      <c r="A2386" s="24">
        <v>2385</v>
      </c>
      <c r="B2386" s="10" t="s">
        <v>77</v>
      </c>
      <c r="C2386" s="10" t="s">
        <v>78</v>
      </c>
      <c r="D2386" s="62">
        <v>124</v>
      </c>
      <c r="E2386" s="61" t="s">
        <v>2916</v>
      </c>
      <c r="F2386" s="19" t="s">
        <v>682</v>
      </c>
      <c r="G2386" s="10" t="s">
        <v>150</v>
      </c>
      <c r="H2386" s="10" t="s">
        <v>922</v>
      </c>
      <c r="I2386" s="62">
        <v>152</v>
      </c>
      <c r="J2386" s="10" t="s">
        <v>2372</v>
      </c>
      <c r="K2386" s="10" t="s">
        <v>847</v>
      </c>
      <c r="L2386" s="10" t="s">
        <v>2373</v>
      </c>
      <c r="M2386" s="10" t="s">
        <v>2372</v>
      </c>
      <c r="N2386" s="10" t="s">
        <v>2373</v>
      </c>
      <c r="O2386" s="10"/>
    </row>
    <row r="2387" spans="1:15" ht="18" customHeight="1" x14ac:dyDescent="0.3">
      <c r="A2387" s="24">
        <v>2386</v>
      </c>
      <c r="B2387" s="10" t="s">
        <v>77</v>
      </c>
      <c r="C2387" s="10" t="s">
        <v>78</v>
      </c>
      <c r="D2387" s="62">
        <v>124</v>
      </c>
      <c r="E2387" s="61" t="s">
        <v>2916</v>
      </c>
      <c r="F2387" s="19" t="s">
        <v>2636</v>
      </c>
      <c r="G2387" s="10" t="s">
        <v>150</v>
      </c>
      <c r="H2387" s="10" t="s">
        <v>851</v>
      </c>
      <c r="I2387" s="62">
        <v>184</v>
      </c>
      <c r="J2387" s="10" t="s">
        <v>2374</v>
      </c>
      <c r="K2387" s="10" t="s">
        <v>847</v>
      </c>
      <c r="L2387" s="10" t="s">
        <v>2373</v>
      </c>
      <c r="M2387" s="10" t="s">
        <v>2372</v>
      </c>
      <c r="N2387" s="10" t="s">
        <v>2373</v>
      </c>
      <c r="O2387" s="10"/>
    </row>
    <row r="2388" spans="1:15" ht="18" customHeight="1" x14ac:dyDescent="0.3">
      <c r="A2388" s="24">
        <v>2387</v>
      </c>
      <c r="B2388" s="10" t="s">
        <v>77</v>
      </c>
      <c r="C2388" s="10" t="s">
        <v>78</v>
      </c>
      <c r="D2388" s="62">
        <v>124</v>
      </c>
      <c r="E2388" s="61" t="s">
        <v>2916</v>
      </c>
      <c r="F2388" s="19" t="s">
        <v>2636</v>
      </c>
      <c r="G2388" s="10" t="s">
        <v>150</v>
      </c>
      <c r="H2388" s="10" t="s">
        <v>921</v>
      </c>
      <c r="I2388" s="62">
        <v>321</v>
      </c>
      <c r="J2388" s="10" t="s">
        <v>2374</v>
      </c>
      <c r="K2388" s="10" t="s">
        <v>846</v>
      </c>
      <c r="L2388" s="10" t="s">
        <v>187</v>
      </c>
      <c r="M2388" s="10" t="s">
        <v>2372</v>
      </c>
      <c r="N2388" s="10" t="s">
        <v>2373</v>
      </c>
      <c r="O2388" s="10"/>
    </row>
    <row r="2389" spans="1:15" ht="18" customHeight="1" x14ac:dyDescent="0.3">
      <c r="A2389" s="24">
        <v>2388</v>
      </c>
      <c r="B2389" s="10" t="s">
        <v>77</v>
      </c>
      <c r="C2389" s="10" t="s">
        <v>78</v>
      </c>
      <c r="D2389" s="62">
        <v>124</v>
      </c>
      <c r="E2389" s="61" t="s">
        <v>856</v>
      </c>
      <c r="F2389" s="16" t="s">
        <v>990</v>
      </c>
      <c r="G2389" s="10" t="s">
        <v>160</v>
      </c>
      <c r="H2389" s="10" t="s">
        <v>849</v>
      </c>
      <c r="I2389" s="62">
        <v>106</v>
      </c>
      <c r="J2389" s="10" t="s">
        <v>2372</v>
      </c>
      <c r="K2389" s="10" t="s">
        <v>847</v>
      </c>
      <c r="L2389" s="10" t="s">
        <v>2373</v>
      </c>
      <c r="M2389" s="10" t="s">
        <v>2372</v>
      </c>
      <c r="N2389" s="10" t="s">
        <v>2373</v>
      </c>
      <c r="O2389" s="10"/>
    </row>
    <row r="2390" spans="1:15" ht="18" customHeight="1" x14ac:dyDescent="0.3">
      <c r="A2390" s="24">
        <v>2389</v>
      </c>
      <c r="B2390" s="10" t="s">
        <v>77</v>
      </c>
      <c r="C2390" s="10" t="s">
        <v>78</v>
      </c>
      <c r="D2390" s="62">
        <v>124</v>
      </c>
      <c r="E2390" s="61" t="s">
        <v>856</v>
      </c>
      <c r="F2390" s="16" t="s">
        <v>990</v>
      </c>
      <c r="G2390" s="10" t="s">
        <v>160</v>
      </c>
      <c r="H2390" s="10" t="s">
        <v>850</v>
      </c>
      <c r="I2390" s="62">
        <v>209</v>
      </c>
      <c r="J2390" s="10" t="s">
        <v>2372</v>
      </c>
      <c r="K2390" s="10" t="s">
        <v>847</v>
      </c>
      <c r="L2390" s="10" t="s">
        <v>2373</v>
      </c>
      <c r="M2390" s="10" t="s">
        <v>2372</v>
      </c>
      <c r="N2390" s="10" t="s">
        <v>2373</v>
      </c>
      <c r="O2390" s="10"/>
    </row>
    <row r="2391" spans="1:15" ht="18" customHeight="1" x14ac:dyDescent="0.3">
      <c r="A2391" s="24">
        <v>2390</v>
      </c>
      <c r="B2391" s="10" t="s">
        <v>77</v>
      </c>
      <c r="C2391" s="10" t="s">
        <v>78</v>
      </c>
      <c r="D2391" s="62">
        <v>124</v>
      </c>
      <c r="E2391" s="61" t="s">
        <v>856</v>
      </c>
      <c r="F2391" s="16" t="s">
        <v>990</v>
      </c>
      <c r="G2391" s="10" t="s">
        <v>160</v>
      </c>
      <c r="H2391" s="10" t="s">
        <v>851</v>
      </c>
      <c r="I2391" s="62">
        <v>209</v>
      </c>
      <c r="J2391" s="10" t="s">
        <v>2372</v>
      </c>
      <c r="K2391" s="10" t="s">
        <v>847</v>
      </c>
      <c r="L2391" s="10" t="s">
        <v>2373</v>
      </c>
      <c r="M2391" s="10" t="s">
        <v>2372</v>
      </c>
      <c r="N2391" s="10" t="s">
        <v>2373</v>
      </c>
      <c r="O2391" s="10"/>
    </row>
    <row r="2392" spans="1:15" ht="18" customHeight="1" x14ac:dyDescent="0.3">
      <c r="A2392" s="24">
        <v>2391</v>
      </c>
      <c r="B2392" s="10" t="s">
        <v>77</v>
      </c>
      <c r="C2392" s="10" t="s">
        <v>78</v>
      </c>
      <c r="D2392" s="62">
        <v>124</v>
      </c>
      <c r="E2392" s="61" t="s">
        <v>856</v>
      </c>
      <c r="F2392" s="16" t="s">
        <v>990</v>
      </c>
      <c r="G2392" s="10" t="s">
        <v>160</v>
      </c>
      <c r="H2392" s="10" t="s">
        <v>852</v>
      </c>
      <c r="I2392" s="62">
        <v>130</v>
      </c>
      <c r="J2392" s="10" t="s">
        <v>2372</v>
      </c>
      <c r="K2392" s="10" t="s">
        <v>847</v>
      </c>
      <c r="L2392" s="10" t="s">
        <v>2373</v>
      </c>
      <c r="M2392" s="10" t="s">
        <v>2372</v>
      </c>
      <c r="N2392" s="10" t="s">
        <v>2373</v>
      </c>
      <c r="O2392" s="10"/>
    </row>
    <row r="2393" spans="1:15" ht="18" customHeight="1" x14ac:dyDescent="0.3">
      <c r="A2393" s="24">
        <v>2392</v>
      </c>
      <c r="B2393" s="10" t="s">
        <v>77</v>
      </c>
      <c r="C2393" s="10" t="s">
        <v>78</v>
      </c>
      <c r="D2393" s="62">
        <v>124</v>
      </c>
      <c r="E2393" s="61" t="s">
        <v>856</v>
      </c>
      <c r="F2393" s="16" t="s">
        <v>990</v>
      </c>
      <c r="G2393" s="10" t="s">
        <v>160</v>
      </c>
      <c r="H2393" s="10" t="s">
        <v>853</v>
      </c>
      <c r="I2393" s="62">
        <v>172</v>
      </c>
      <c r="J2393" s="10" t="s">
        <v>2372</v>
      </c>
      <c r="K2393" s="10" t="s">
        <v>847</v>
      </c>
      <c r="L2393" s="10" t="s">
        <v>2373</v>
      </c>
      <c r="M2393" s="10" t="s">
        <v>2372</v>
      </c>
      <c r="N2393" s="10" t="s">
        <v>2373</v>
      </c>
      <c r="O2393" s="10"/>
    </row>
    <row r="2394" spans="1:15" ht="18" customHeight="1" x14ac:dyDescent="0.3">
      <c r="A2394" s="24">
        <v>2393</v>
      </c>
      <c r="B2394" s="10" t="s">
        <v>77</v>
      </c>
      <c r="C2394" s="10" t="s">
        <v>78</v>
      </c>
      <c r="D2394" s="62">
        <v>124</v>
      </c>
      <c r="E2394" s="61" t="s">
        <v>856</v>
      </c>
      <c r="F2394" s="16" t="s">
        <v>684</v>
      </c>
      <c r="G2394" s="10" t="s">
        <v>160</v>
      </c>
      <c r="H2394" s="10" t="s">
        <v>845</v>
      </c>
      <c r="I2394" s="62">
        <v>184</v>
      </c>
      <c r="J2394" s="10" t="s">
        <v>2372</v>
      </c>
      <c r="K2394" s="10" t="s">
        <v>847</v>
      </c>
      <c r="L2394" s="10" t="s">
        <v>2373</v>
      </c>
      <c r="M2394" s="10" t="s">
        <v>2372</v>
      </c>
      <c r="N2394" s="10" t="s">
        <v>2373</v>
      </c>
      <c r="O2394" s="10"/>
    </row>
    <row r="2395" spans="1:15" ht="18" customHeight="1" x14ac:dyDescent="0.3">
      <c r="A2395" s="24">
        <v>2394</v>
      </c>
      <c r="B2395" s="10" t="s">
        <v>77</v>
      </c>
      <c r="C2395" s="10" t="s">
        <v>78</v>
      </c>
      <c r="D2395" s="62">
        <v>124</v>
      </c>
      <c r="E2395" s="61" t="s">
        <v>856</v>
      </c>
      <c r="F2395" s="16" t="s">
        <v>684</v>
      </c>
      <c r="G2395" s="10" t="s">
        <v>160</v>
      </c>
      <c r="H2395" s="10" t="s">
        <v>848</v>
      </c>
      <c r="I2395" s="62">
        <v>124</v>
      </c>
      <c r="J2395" s="10" t="s">
        <v>2372</v>
      </c>
      <c r="K2395" s="10" t="s">
        <v>847</v>
      </c>
      <c r="L2395" s="10" t="s">
        <v>2373</v>
      </c>
      <c r="M2395" s="10" t="s">
        <v>2372</v>
      </c>
      <c r="N2395" s="10" t="s">
        <v>2373</v>
      </c>
      <c r="O2395" s="10"/>
    </row>
    <row r="2396" spans="1:15" ht="18" customHeight="1" x14ac:dyDescent="0.3">
      <c r="A2396" s="24">
        <v>2395</v>
      </c>
      <c r="B2396" s="10" t="s">
        <v>77</v>
      </c>
      <c r="C2396" s="10" t="s">
        <v>78</v>
      </c>
      <c r="D2396" s="62">
        <v>124</v>
      </c>
      <c r="E2396" s="61" t="s">
        <v>1835</v>
      </c>
      <c r="F2396" s="16" t="s">
        <v>1836</v>
      </c>
      <c r="G2396" s="10" t="s">
        <v>1264</v>
      </c>
      <c r="H2396" s="10" t="s">
        <v>2617</v>
      </c>
      <c r="I2396" s="62">
        <v>236</v>
      </c>
      <c r="J2396" s="10" t="s">
        <v>2372</v>
      </c>
      <c r="K2396" s="10" t="s">
        <v>2374</v>
      </c>
      <c r="L2396" s="10" t="s">
        <v>1422</v>
      </c>
      <c r="M2396" s="10" t="s">
        <v>2372</v>
      </c>
      <c r="N2396" s="10" t="s">
        <v>2373</v>
      </c>
      <c r="O2396" s="10"/>
    </row>
    <row r="2397" spans="1:15" ht="18" customHeight="1" x14ac:dyDescent="0.3">
      <c r="A2397" s="24">
        <v>2396</v>
      </c>
      <c r="B2397" s="10" t="s">
        <v>77</v>
      </c>
      <c r="C2397" s="10" t="s">
        <v>78</v>
      </c>
      <c r="D2397" s="62">
        <v>124</v>
      </c>
      <c r="E2397" s="61" t="s">
        <v>1835</v>
      </c>
      <c r="F2397" s="16" t="s">
        <v>1836</v>
      </c>
      <c r="G2397" s="10" t="s">
        <v>1264</v>
      </c>
      <c r="H2397" s="10" t="s">
        <v>2548</v>
      </c>
      <c r="I2397" s="62">
        <v>202</v>
      </c>
      <c r="J2397" s="10" t="s">
        <v>2372</v>
      </c>
      <c r="K2397" s="10" t="s">
        <v>2374</v>
      </c>
      <c r="L2397" s="10" t="s">
        <v>1422</v>
      </c>
      <c r="M2397" s="10" t="s">
        <v>2372</v>
      </c>
      <c r="N2397" s="10" t="s">
        <v>2373</v>
      </c>
      <c r="O2397" s="10"/>
    </row>
    <row r="2398" spans="1:15" ht="18" customHeight="1" x14ac:dyDescent="0.3">
      <c r="A2398" s="24">
        <v>2397</v>
      </c>
      <c r="B2398" s="10" t="s">
        <v>77</v>
      </c>
      <c r="C2398" s="10" t="s">
        <v>78</v>
      </c>
      <c r="D2398" s="62">
        <v>124</v>
      </c>
      <c r="E2398" s="61" t="s">
        <v>1835</v>
      </c>
      <c r="F2398" s="16" t="s">
        <v>1836</v>
      </c>
      <c r="G2398" s="10" t="s">
        <v>1264</v>
      </c>
      <c r="H2398" s="10" t="s">
        <v>2618</v>
      </c>
      <c r="I2398" s="62">
        <v>125</v>
      </c>
      <c r="J2398" s="10" t="s">
        <v>2372</v>
      </c>
      <c r="K2398" s="10" t="s">
        <v>2374</v>
      </c>
      <c r="L2398" s="10" t="s">
        <v>1422</v>
      </c>
      <c r="M2398" s="10" t="s">
        <v>2372</v>
      </c>
      <c r="N2398" s="10" t="s">
        <v>2373</v>
      </c>
      <c r="O2398" s="10"/>
    </row>
    <row r="2399" spans="1:15" ht="18" customHeight="1" x14ac:dyDescent="0.3">
      <c r="A2399" s="24">
        <v>2398</v>
      </c>
      <c r="B2399" s="10" t="s">
        <v>77</v>
      </c>
      <c r="C2399" s="10" t="s">
        <v>78</v>
      </c>
      <c r="D2399" s="62">
        <v>124</v>
      </c>
      <c r="E2399" s="61" t="s">
        <v>1835</v>
      </c>
      <c r="F2399" s="16" t="s">
        <v>1836</v>
      </c>
      <c r="G2399" s="10" t="s">
        <v>1264</v>
      </c>
      <c r="H2399" s="10" t="s">
        <v>2619</v>
      </c>
      <c r="I2399" s="62">
        <v>142</v>
      </c>
      <c r="J2399" s="10" t="s">
        <v>2372</v>
      </c>
      <c r="K2399" s="10" t="s">
        <v>2374</v>
      </c>
      <c r="L2399" s="10" t="s">
        <v>1422</v>
      </c>
      <c r="M2399" s="10" t="s">
        <v>2372</v>
      </c>
      <c r="N2399" s="10" t="s">
        <v>2373</v>
      </c>
      <c r="O2399" s="10"/>
    </row>
    <row r="2400" spans="1:15" ht="18" customHeight="1" x14ac:dyDescent="0.3">
      <c r="A2400" s="24">
        <v>2399</v>
      </c>
      <c r="B2400" s="10" t="s">
        <v>77</v>
      </c>
      <c r="C2400" s="10" t="s">
        <v>78</v>
      </c>
      <c r="D2400" s="62">
        <v>124</v>
      </c>
      <c r="E2400" s="61" t="s">
        <v>1835</v>
      </c>
      <c r="F2400" s="16" t="s">
        <v>1836</v>
      </c>
      <c r="G2400" s="10" t="s">
        <v>1264</v>
      </c>
      <c r="H2400" s="10" t="s">
        <v>2620</v>
      </c>
      <c r="I2400" s="62">
        <v>124</v>
      </c>
      <c r="J2400" s="10" t="s">
        <v>2372</v>
      </c>
      <c r="K2400" s="10" t="s">
        <v>2374</v>
      </c>
      <c r="L2400" s="10" t="s">
        <v>1422</v>
      </c>
      <c r="M2400" s="10" t="s">
        <v>2372</v>
      </c>
      <c r="N2400" s="10" t="s">
        <v>2373</v>
      </c>
      <c r="O2400" s="10"/>
    </row>
    <row r="2401" spans="1:15" ht="18" customHeight="1" x14ac:dyDescent="0.3">
      <c r="A2401" s="24">
        <v>2400</v>
      </c>
      <c r="B2401" s="10" t="s">
        <v>77</v>
      </c>
      <c r="C2401" s="10" t="s">
        <v>78</v>
      </c>
      <c r="D2401" s="62">
        <v>124</v>
      </c>
      <c r="E2401" s="61" t="s">
        <v>1835</v>
      </c>
      <c r="F2401" s="16" t="s">
        <v>1836</v>
      </c>
      <c r="G2401" s="10" t="s">
        <v>1264</v>
      </c>
      <c r="H2401" s="10" t="s">
        <v>2621</v>
      </c>
      <c r="I2401" s="62">
        <v>158</v>
      </c>
      <c r="J2401" s="10" t="s">
        <v>2372</v>
      </c>
      <c r="K2401" s="10" t="s">
        <v>2374</v>
      </c>
      <c r="L2401" s="10" t="s">
        <v>1422</v>
      </c>
      <c r="M2401" s="10" t="s">
        <v>2372</v>
      </c>
      <c r="N2401" s="10" t="s">
        <v>2373</v>
      </c>
      <c r="O2401" s="10"/>
    </row>
    <row r="2402" spans="1:15" ht="18" customHeight="1" x14ac:dyDescent="0.3">
      <c r="A2402" s="24">
        <v>2401</v>
      </c>
      <c r="B2402" s="10" t="s">
        <v>77</v>
      </c>
      <c r="C2402" s="10" t="s">
        <v>79</v>
      </c>
      <c r="D2402" s="62">
        <v>125</v>
      </c>
      <c r="E2402" s="61" t="s">
        <v>240</v>
      </c>
      <c r="F2402" s="16" t="s">
        <v>676</v>
      </c>
      <c r="G2402" s="10" t="s">
        <v>150</v>
      </c>
      <c r="H2402" s="10" t="s">
        <v>845</v>
      </c>
      <c r="I2402" s="62">
        <v>143</v>
      </c>
      <c r="J2402" s="8" t="s">
        <v>846</v>
      </c>
      <c r="K2402" s="10" t="s">
        <v>847</v>
      </c>
      <c r="L2402" s="10" t="s">
        <v>2373</v>
      </c>
      <c r="M2402" s="10" t="s">
        <v>2372</v>
      </c>
      <c r="N2402" s="10" t="s">
        <v>2373</v>
      </c>
      <c r="O2402" s="10"/>
    </row>
    <row r="2403" spans="1:15" ht="18" customHeight="1" x14ac:dyDescent="0.3">
      <c r="A2403" s="24">
        <v>2402</v>
      </c>
      <c r="B2403" s="10" t="s">
        <v>77</v>
      </c>
      <c r="C2403" s="10" t="s">
        <v>79</v>
      </c>
      <c r="D2403" s="62">
        <v>125</v>
      </c>
      <c r="E2403" s="61" t="s">
        <v>240</v>
      </c>
      <c r="F2403" s="16" t="s">
        <v>676</v>
      </c>
      <c r="G2403" s="10" t="s">
        <v>150</v>
      </c>
      <c r="H2403" s="10" t="s">
        <v>848</v>
      </c>
      <c r="I2403" s="62">
        <v>119</v>
      </c>
      <c r="J2403" s="8" t="s">
        <v>2372</v>
      </c>
      <c r="K2403" s="10" t="s">
        <v>847</v>
      </c>
      <c r="L2403" s="10" t="s">
        <v>2373</v>
      </c>
      <c r="M2403" s="10" t="s">
        <v>2372</v>
      </c>
      <c r="N2403" s="10" t="s">
        <v>2373</v>
      </c>
      <c r="O2403" s="10"/>
    </row>
    <row r="2404" spans="1:15" ht="18" customHeight="1" x14ac:dyDescent="0.3">
      <c r="A2404" s="24">
        <v>2403</v>
      </c>
      <c r="B2404" s="10" t="s">
        <v>77</v>
      </c>
      <c r="C2404" s="10" t="s">
        <v>79</v>
      </c>
      <c r="D2404" s="62">
        <v>125</v>
      </c>
      <c r="E2404" s="61" t="s">
        <v>240</v>
      </c>
      <c r="F2404" s="16" t="s">
        <v>676</v>
      </c>
      <c r="G2404" s="10" t="s">
        <v>150</v>
      </c>
      <c r="H2404" s="10" t="s">
        <v>849</v>
      </c>
      <c r="I2404" s="62">
        <v>119</v>
      </c>
      <c r="J2404" s="8" t="s">
        <v>2372</v>
      </c>
      <c r="K2404" s="10" t="s">
        <v>847</v>
      </c>
      <c r="L2404" s="10" t="s">
        <v>2373</v>
      </c>
      <c r="M2404" s="10" t="s">
        <v>2372</v>
      </c>
      <c r="N2404" s="10" t="s">
        <v>2373</v>
      </c>
      <c r="O2404" s="10"/>
    </row>
    <row r="2405" spans="1:15" ht="18" customHeight="1" x14ac:dyDescent="0.3">
      <c r="A2405" s="24">
        <v>2404</v>
      </c>
      <c r="B2405" s="10" t="s">
        <v>77</v>
      </c>
      <c r="C2405" s="10" t="s">
        <v>79</v>
      </c>
      <c r="D2405" s="62">
        <v>125</v>
      </c>
      <c r="E2405" s="61" t="s">
        <v>240</v>
      </c>
      <c r="F2405" s="16" t="s">
        <v>676</v>
      </c>
      <c r="G2405" s="10" t="s">
        <v>150</v>
      </c>
      <c r="H2405" s="10" t="s">
        <v>850</v>
      </c>
      <c r="I2405" s="62">
        <v>144</v>
      </c>
      <c r="J2405" s="8" t="s">
        <v>2372</v>
      </c>
      <c r="K2405" s="10" t="s">
        <v>847</v>
      </c>
      <c r="L2405" s="10" t="s">
        <v>2373</v>
      </c>
      <c r="M2405" s="10" t="s">
        <v>2372</v>
      </c>
      <c r="N2405" s="10" t="s">
        <v>2373</v>
      </c>
      <c r="O2405" s="10"/>
    </row>
    <row r="2406" spans="1:15" ht="18" customHeight="1" x14ac:dyDescent="0.3">
      <c r="A2406" s="24">
        <v>2405</v>
      </c>
      <c r="B2406" s="10" t="s">
        <v>77</v>
      </c>
      <c r="C2406" s="10" t="s">
        <v>79</v>
      </c>
      <c r="D2406" s="62">
        <v>125</v>
      </c>
      <c r="E2406" s="61" t="s">
        <v>240</v>
      </c>
      <c r="F2406" s="16" t="s">
        <v>676</v>
      </c>
      <c r="G2406" s="10" t="s">
        <v>150</v>
      </c>
      <c r="H2406" s="10" t="s">
        <v>851</v>
      </c>
      <c r="I2406" s="62">
        <v>119</v>
      </c>
      <c r="J2406" s="8" t="s">
        <v>2372</v>
      </c>
      <c r="K2406" s="10" t="s">
        <v>847</v>
      </c>
      <c r="L2406" s="10" t="s">
        <v>2373</v>
      </c>
      <c r="M2406" s="10" t="s">
        <v>2372</v>
      </c>
      <c r="N2406" s="10" t="s">
        <v>2373</v>
      </c>
      <c r="O2406" s="10"/>
    </row>
    <row r="2407" spans="1:15" ht="18" customHeight="1" x14ac:dyDescent="0.3">
      <c r="A2407" s="24">
        <v>2406</v>
      </c>
      <c r="B2407" s="10" t="s">
        <v>77</v>
      </c>
      <c r="C2407" s="10" t="s">
        <v>79</v>
      </c>
      <c r="D2407" s="62">
        <v>125</v>
      </c>
      <c r="E2407" s="61" t="s">
        <v>240</v>
      </c>
      <c r="F2407" s="16" t="s">
        <v>676</v>
      </c>
      <c r="G2407" s="10" t="s">
        <v>150</v>
      </c>
      <c r="H2407" s="10" t="s">
        <v>2382</v>
      </c>
      <c r="I2407" s="62">
        <v>87</v>
      </c>
      <c r="J2407" s="8" t="s">
        <v>2372</v>
      </c>
      <c r="K2407" s="10" t="s">
        <v>847</v>
      </c>
      <c r="L2407" s="10" t="s">
        <v>2373</v>
      </c>
      <c r="M2407" s="10" t="s">
        <v>2372</v>
      </c>
      <c r="N2407" s="10" t="s">
        <v>2373</v>
      </c>
      <c r="O2407" s="10"/>
    </row>
    <row r="2408" spans="1:15" ht="18" customHeight="1" x14ac:dyDescent="0.3">
      <c r="A2408" s="24">
        <v>2407</v>
      </c>
      <c r="B2408" s="10" t="s">
        <v>77</v>
      </c>
      <c r="C2408" s="10" t="s">
        <v>79</v>
      </c>
      <c r="D2408" s="62">
        <v>125</v>
      </c>
      <c r="E2408" s="61" t="s">
        <v>240</v>
      </c>
      <c r="F2408" s="16" t="s">
        <v>676</v>
      </c>
      <c r="G2408" s="10" t="s">
        <v>150</v>
      </c>
      <c r="H2408" s="10" t="s">
        <v>2431</v>
      </c>
      <c r="I2408" s="62">
        <v>40</v>
      </c>
      <c r="J2408" s="8" t="s">
        <v>2372</v>
      </c>
      <c r="K2408" s="10" t="s">
        <v>2374</v>
      </c>
      <c r="L2408" s="10" t="s">
        <v>885</v>
      </c>
      <c r="M2408" s="10" t="s">
        <v>2372</v>
      </c>
      <c r="N2408" s="10" t="s">
        <v>2373</v>
      </c>
      <c r="O2408" s="10"/>
    </row>
    <row r="2409" spans="1:15" ht="18" customHeight="1" x14ac:dyDescent="0.3">
      <c r="A2409" s="24">
        <v>2408</v>
      </c>
      <c r="B2409" s="10" t="s">
        <v>77</v>
      </c>
      <c r="C2409" s="10" t="s">
        <v>79</v>
      </c>
      <c r="D2409" s="62">
        <v>125</v>
      </c>
      <c r="E2409" s="61" t="s">
        <v>240</v>
      </c>
      <c r="F2409" s="16" t="s">
        <v>676</v>
      </c>
      <c r="G2409" s="10" t="s">
        <v>150</v>
      </c>
      <c r="H2409" s="10" t="s">
        <v>854</v>
      </c>
      <c r="I2409" s="62">
        <v>308</v>
      </c>
      <c r="J2409" s="8" t="s">
        <v>846</v>
      </c>
      <c r="K2409" s="10" t="s">
        <v>2374</v>
      </c>
      <c r="L2409" s="10" t="s">
        <v>2446</v>
      </c>
      <c r="M2409" s="10" t="s">
        <v>2372</v>
      </c>
      <c r="N2409" s="10" t="s">
        <v>2373</v>
      </c>
      <c r="O2409" s="10" t="s">
        <v>2562</v>
      </c>
    </row>
    <row r="2410" spans="1:15" ht="18" customHeight="1" x14ac:dyDescent="0.3">
      <c r="A2410" s="24">
        <v>2409</v>
      </c>
      <c r="B2410" s="10" t="s">
        <v>77</v>
      </c>
      <c r="C2410" s="10" t="s">
        <v>79</v>
      </c>
      <c r="D2410" s="62">
        <v>125</v>
      </c>
      <c r="E2410" s="61" t="s">
        <v>2917</v>
      </c>
      <c r="F2410" s="19" t="s">
        <v>680</v>
      </c>
      <c r="G2410" s="10" t="s">
        <v>150</v>
      </c>
      <c r="H2410" s="10" t="s">
        <v>845</v>
      </c>
      <c r="I2410" s="62">
        <v>131</v>
      </c>
      <c r="J2410" s="10" t="s">
        <v>2372</v>
      </c>
      <c r="K2410" s="10" t="s">
        <v>847</v>
      </c>
      <c r="L2410" s="10" t="s">
        <v>2373</v>
      </c>
      <c r="M2410" s="10" t="s">
        <v>2372</v>
      </c>
      <c r="N2410" s="10" t="s">
        <v>2373</v>
      </c>
      <c r="O2410" s="10"/>
    </row>
    <row r="2411" spans="1:15" ht="18" customHeight="1" x14ac:dyDescent="0.3">
      <c r="A2411" s="24">
        <v>2410</v>
      </c>
      <c r="B2411" s="10" t="s">
        <v>77</v>
      </c>
      <c r="C2411" s="10" t="s">
        <v>79</v>
      </c>
      <c r="D2411" s="62">
        <v>125</v>
      </c>
      <c r="E2411" s="61" t="s">
        <v>2917</v>
      </c>
      <c r="F2411" s="19" t="s">
        <v>680</v>
      </c>
      <c r="G2411" s="10" t="s">
        <v>150</v>
      </c>
      <c r="H2411" s="10" t="s">
        <v>848</v>
      </c>
      <c r="I2411" s="62">
        <v>191</v>
      </c>
      <c r="J2411" s="10" t="s">
        <v>2372</v>
      </c>
      <c r="K2411" s="10" t="s">
        <v>847</v>
      </c>
      <c r="L2411" s="10" t="s">
        <v>2373</v>
      </c>
      <c r="M2411" s="10" t="s">
        <v>2372</v>
      </c>
      <c r="N2411" s="10" t="s">
        <v>2373</v>
      </c>
      <c r="O2411" s="10"/>
    </row>
    <row r="2412" spans="1:15" ht="18" customHeight="1" x14ac:dyDescent="0.3">
      <c r="A2412" s="24">
        <v>2411</v>
      </c>
      <c r="B2412" s="10" t="s">
        <v>77</v>
      </c>
      <c r="C2412" s="10" t="s">
        <v>79</v>
      </c>
      <c r="D2412" s="62">
        <v>125</v>
      </c>
      <c r="E2412" s="61" t="s">
        <v>2917</v>
      </c>
      <c r="F2412" s="19" t="s">
        <v>680</v>
      </c>
      <c r="G2412" s="10" t="s">
        <v>150</v>
      </c>
      <c r="H2412" s="10" t="s">
        <v>849</v>
      </c>
      <c r="I2412" s="62">
        <v>380</v>
      </c>
      <c r="J2412" s="10" t="s">
        <v>2374</v>
      </c>
      <c r="K2412" s="10" t="s">
        <v>847</v>
      </c>
      <c r="L2412" s="10" t="s">
        <v>2373</v>
      </c>
      <c r="M2412" s="10" t="s">
        <v>2372</v>
      </c>
      <c r="N2412" s="10" t="s">
        <v>2373</v>
      </c>
      <c r="O2412" s="10"/>
    </row>
    <row r="2413" spans="1:15" ht="18" customHeight="1" x14ac:dyDescent="0.3">
      <c r="A2413" s="24">
        <v>2412</v>
      </c>
      <c r="B2413" s="10" t="s">
        <v>77</v>
      </c>
      <c r="C2413" s="10" t="s">
        <v>79</v>
      </c>
      <c r="D2413" s="62">
        <v>125</v>
      </c>
      <c r="E2413" s="61" t="s">
        <v>2917</v>
      </c>
      <c r="F2413" s="19" t="s">
        <v>680</v>
      </c>
      <c r="G2413" s="10" t="s">
        <v>150</v>
      </c>
      <c r="H2413" s="10" t="s">
        <v>851</v>
      </c>
      <c r="I2413" s="62">
        <v>198</v>
      </c>
      <c r="J2413" s="10" t="s">
        <v>2372</v>
      </c>
      <c r="K2413" s="10" t="s">
        <v>847</v>
      </c>
      <c r="L2413" s="10" t="s">
        <v>2373</v>
      </c>
      <c r="M2413" s="10" t="s">
        <v>2372</v>
      </c>
      <c r="N2413" s="10" t="s">
        <v>2373</v>
      </c>
      <c r="O2413" s="10"/>
    </row>
    <row r="2414" spans="1:15" ht="18" customHeight="1" x14ac:dyDescent="0.3">
      <c r="A2414" s="24">
        <v>2413</v>
      </c>
      <c r="B2414" s="10" t="s">
        <v>77</v>
      </c>
      <c r="C2414" s="10" t="s">
        <v>79</v>
      </c>
      <c r="D2414" s="62">
        <v>125</v>
      </c>
      <c r="E2414" s="61" t="s">
        <v>2917</v>
      </c>
      <c r="F2414" s="19" t="s">
        <v>680</v>
      </c>
      <c r="G2414" s="10" t="s">
        <v>150</v>
      </c>
      <c r="H2414" s="10" t="s">
        <v>852</v>
      </c>
      <c r="I2414" s="62">
        <v>192</v>
      </c>
      <c r="J2414" s="10" t="s">
        <v>2372</v>
      </c>
      <c r="K2414" s="10" t="s">
        <v>847</v>
      </c>
      <c r="L2414" s="10" t="s">
        <v>2373</v>
      </c>
      <c r="M2414" s="10" t="s">
        <v>2372</v>
      </c>
      <c r="N2414" s="10" t="s">
        <v>2373</v>
      </c>
      <c r="O2414" s="10"/>
    </row>
    <row r="2415" spans="1:15" ht="18" customHeight="1" x14ac:dyDescent="0.3">
      <c r="A2415" s="24">
        <v>2414</v>
      </c>
      <c r="B2415" s="10" t="s">
        <v>77</v>
      </c>
      <c r="C2415" s="10" t="s">
        <v>79</v>
      </c>
      <c r="D2415" s="62">
        <v>125</v>
      </c>
      <c r="E2415" s="61" t="s">
        <v>2917</v>
      </c>
      <c r="F2415" s="19" t="s">
        <v>680</v>
      </c>
      <c r="G2415" s="10" t="s">
        <v>150</v>
      </c>
      <c r="H2415" s="10" t="s">
        <v>853</v>
      </c>
      <c r="I2415" s="62">
        <v>153</v>
      </c>
      <c r="J2415" s="10" t="s">
        <v>2374</v>
      </c>
      <c r="K2415" s="10" t="s">
        <v>847</v>
      </c>
      <c r="L2415" s="10" t="s">
        <v>2373</v>
      </c>
      <c r="M2415" s="10" t="s">
        <v>2372</v>
      </c>
      <c r="N2415" s="10" t="s">
        <v>2373</v>
      </c>
      <c r="O2415" s="10"/>
    </row>
    <row r="2416" spans="1:15" ht="18" customHeight="1" x14ac:dyDescent="0.3">
      <c r="A2416" s="24">
        <v>2415</v>
      </c>
      <c r="B2416" s="10" t="s">
        <v>77</v>
      </c>
      <c r="C2416" s="10" t="s">
        <v>79</v>
      </c>
      <c r="D2416" s="62">
        <v>125</v>
      </c>
      <c r="E2416" s="61" t="s">
        <v>2917</v>
      </c>
      <c r="F2416" s="19" t="s">
        <v>680</v>
      </c>
      <c r="G2416" s="10" t="s">
        <v>150</v>
      </c>
      <c r="H2416" s="10" t="s">
        <v>854</v>
      </c>
      <c r="I2416" s="62">
        <v>239</v>
      </c>
      <c r="J2416" s="10" t="s">
        <v>2374</v>
      </c>
      <c r="K2416" s="10" t="s">
        <v>847</v>
      </c>
      <c r="L2416" s="10" t="s">
        <v>2373</v>
      </c>
      <c r="M2416" s="10" t="s">
        <v>2372</v>
      </c>
      <c r="N2416" s="10" t="s">
        <v>2373</v>
      </c>
      <c r="O2416" s="10"/>
    </row>
    <row r="2417" spans="1:15" ht="18" customHeight="1" x14ac:dyDescent="0.3">
      <c r="A2417" s="24">
        <v>2416</v>
      </c>
      <c r="B2417" s="10" t="s">
        <v>77</v>
      </c>
      <c r="C2417" s="10" t="s">
        <v>79</v>
      </c>
      <c r="D2417" s="62">
        <v>125</v>
      </c>
      <c r="E2417" s="61" t="s">
        <v>2917</v>
      </c>
      <c r="F2417" s="19" t="s">
        <v>680</v>
      </c>
      <c r="G2417" s="10" t="s">
        <v>150</v>
      </c>
      <c r="H2417" s="10" t="s">
        <v>855</v>
      </c>
      <c r="I2417" s="62">
        <v>221</v>
      </c>
      <c r="J2417" s="10" t="s">
        <v>2372</v>
      </c>
      <c r="K2417" s="10" t="s">
        <v>847</v>
      </c>
      <c r="L2417" s="10" t="s">
        <v>2373</v>
      </c>
      <c r="M2417" s="10" t="s">
        <v>2372</v>
      </c>
      <c r="N2417" s="10" t="s">
        <v>2373</v>
      </c>
      <c r="O2417" s="10"/>
    </row>
    <row r="2418" spans="1:15" ht="18" customHeight="1" x14ac:dyDescent="0.3">
      <c r="A2418" s="24">
        <v>2417</v>
      </c>
      <c r="B2418" s="10" t="s">
        <v>77</v>
      </c>
      <c r="C2418" s="10" t="s">
        <v>79</v>
      </c>
      <c r="D2418" s="62">
        <v>125</v>
      </c>
      <c r="E2418" s="61" t="s">
        <v>2917</v>
      </c>
      <c r="F2418" s="19" t="s">
        <v>680</v>
      </c>
      <c r="G2418" s="10" t="s">
        <v>150</v>
      </c>
      <c r="H2418" s="10" t="s">
        <v>2471</v>
      </c>
      <c r="I2418" s="62">
        <v>44</v>
      </c>
      <c r="J2418" s="10" t="s">
        <v>2372</v>
      </c>
      <c r="K2418" s="10" t="s">
        <v>847</v>
      </c>
      <c r="L2418" s="10" t="s">
        <v>2373</v>
      </c>
      <c r="M2418" s="10" t="s">
        <v>2372</v>
      </c>
      <c r="N2418" s="10" t="s">
        <v>2373</v>
      </c>
      <c r="O2418" s="10"/>
    </row>
    <row r="2419" spans="1:15" ht="18" customHeight="1" x14ac:dyDescent="0.3">
      <c r="A2419" s="24">
        <v>2418</v>
      </c>
      <c r="B2419" s="10" t="s">
        <v>77</v>
      </c>
      <c r="C2419" s="10" t="s">
        <v>79</v>
      </c>
      <c r="D2419" s="62">
        <v>125</v>
      </c>
      <c r="E2419" s="61" t="s">
        <v>2917</v>
      </c>
      <c r="F2419" s="19" t="s">
        <v>2637</v>
      </c>
      <c r="G2419" s="10" t="s">
        <v>150</v>
      </c>
      <c r="H2419" s="10" t="s">
        <v>850</v>
      </c>
      <c r="I2419" s="62">
        <v>198</v>
      </c>
      <c r="J2419" s="10" t="s">
        <v>2372</v>
      </c>
      <c r="K2419" s="10" t="s">
        <v>847</v>
      </c>
      <c r="L2419" s="10" t="s">
        <v>2373</v>
      </c>
      <c r="M2419" s="10" t="s">
        <v>2372</v>
      </c>
      <c r="N2419" s="10" t="s">
        <v>2373</v>
      </c>
      <c r="O2419" s="10"/>
    </row>
    <row r="2420" spans="1:15" ht="18" customHeight="1" x14ac:dyDescent="0.3">
      <c r="A2420" s="24">
        <v>2419</v>
      </c>
      <c r="B2420" s="10" t="s">
        <v>77</v>
      </c>
      <c r="C2420" s="10" t="s">
        <v>79</v>
      </c>
      <c r="D2420" s="62">
        <v>125</v>
      </c>
      <c r="E2420" s="61" t="s">
        <v>213</v>
      </c>
      <c r="F2420" s="16" t="s">
        <v>675</v>
      </c>
      <c r="G2420" s="10" t="s">
        <v>1278</v>
      </c>
      <c r="H2420" s="10" t="s">
        <v>845</v>
      </c>
      <c r="I2420" s="62">
        <v>68</v>
      </c>
      <c r="J2420" s="8" t="s">
        <v>2372</v>
      </c>
      <c r="K2420" s="10" t="s">
        <v>2374</v>
      </c>
      <c r="L2420" s="10" t="s">
        <v>2229</v>
      </c>
      <c r="M2420" s="10" t="s">
        <v>2372</v>
      </c>
      <c r="N2420" s="10" t="s">
        <v>2373</v>
      </c>
      <c r="O2420" s="10"/>
    </row>
    <row r="2421" spans="1:15" ht="18" customHeight="1" x14ac:dyDescent="0.3">
      <c r="A2421" s="24">
        <v>2420</v>
      </c>
      <c r="B2421" s="10" t="s">
        <v>77</v>
      </c>
      <c r="C2421" s="10" t="s">
        <v>79</v>
      </c>
      <c r="D2421" s="62">
        <v>125</v>
      </c>
      <c r="E2421" s="61" t="s">
        <v>213</v>
      </c>
      <c r="F2421" s="16" t="s">
        <v>675</v>
      </c>
      <c r="G2421" s="10" t="s">
        <v>1278</v>
      </c>
      <c r="H2421" s="10" t="s">
        <v>848</v>
      </c>
      <c r="I2421" s="62">
        <v>45</v>
      </c>
      <c r="J2421" s="8" t="s">
        <v>2372</v>
      </c>
      <c r="K2421" s="10" t="s">
        <v>2374</v>
      </c>
      <c r="L2421" s="10" t="s">
        <v>2229</v>
      </c>
      <c r="M2421" s="10" t="s">
        <v>2372</v>
      </c>
      <c r="N2421" s="10" t="s">
        <v>2373</v>
      </c>
      <c r="O2421" s="10"/>
    </row>
    <row r="2422" spans="1:15" ht="18" customHeight="1" x14ac:dyDescent="0.3">
      <c r="A2422" s="24">
        <v>2421</v>
      </c>
      <c r="B2422" s="10" t="s">
        <v>77</v>
      </c>
      <c r="C2422" s="10" t="s">
        <v>79</v>
      </c>
      <c r="D2422" s="62">
        <v>125</v>
      </c>
      <c r="E2422" s="61" t="s">
        <v>213</v>
      </c>
      <c r="F2422" s="16" t="s">
        <v>675</v>
      </c>
      <c r="G2422" s="10" t="s">
        <v>1278</v>
      </c>
      <c r="H2422" s="10" t="s">
        <v>849</v>
      </c>
      <c r="I2422" s="62">
        <v>79</v>
      </c>
      <c r="J2422" s="8" t="s">
        <v>2372</v>
      </c>
      <c r="K2422" s="10" t="s">
        <v>2374</v>
      </c>
      <c r="L2422" s="10" t="s">
        <v>2229</v>
      </c>
      <c r="M2422" s="10" t="s">
        <v>2372</v>
      </c>
      <c r="N2422" s="10" t="s">
        <v>2373</v>
      </c>
      <c r="O2422" s="10"/>
    </row>
    <row r="2423" spans="1:15" ht="18" customHeight="1" x14ac:dyDescent="0.3">
      <c r="A2423" s="24">
        <v>2422</v>
      </c>
      <c r="B2423" s="10" t="s">
        <v>77</v>
      </c>
      <c r="C2423" s="10" t="s">
        <v>79</v>
      </c>
      <c r="D2423" s="62">
        <v>125</v>
      </c>
      <c r="E2423" s="61" t="s">
        <v>213</v>
      </c>
      <c r="F2423" s="16" t="s">
        <v>675</v>
      </c>
      <c r="G2423" s="10" t="s">
        <v>1278</v>
      </c>
      <c r="H2423" s="10" t="s">
        <v>850</v>
      </c>
      <c r="I2423" s="62">
        <v>83</v>
      </c>
      <c r="J2423" s="8" t="s">
        <v>2372</v>
      </c>
      <c r="K2423" s="10" t="s">
        <v>2374</v>
      </c>
      <c r="L2423" s="10" t="s">
        <v>2229</v>
      </c>
      <c r="M2423" s="10" t="s">
        <v>2372</v>
      </c>
      <c r="N2423" s="10" t="s">
        <v>2373</v>
      </c>
      <c r="O2423" s="10"/>
    </row>
    <row r="2424" spans="1:15" ht="18" customHeight="1" x14ac:dyDescent="0.3">
      <c r="A2424" s="24">
        <v>2423</v>
      </c>
      <c r="B2424" s="10" t="s">
        <v>77</v>
      </c>
      <c r="C2424" s="10" t="s">
        <v>79</v>
      </c>
      <c r="D2424" s="62">
        <v>125</v>
      </c>
      <c r="E2424" s="61" t="s">
        <v>213</v>
      </c>
      <c r="F2424" s="16" t="s">
        <v>675</v>
      </c>
      <c r="G2424" s="10" t="s">
        <v>1278</v>
      </c>
      <c r="H2424" s="10" t="s">
        <v>851</v>
      </c>
      <c r="I2424" s="62">
        <v>52</v>
      </c>
      <c r="J2424" s="8" t="s">
        <v>2372</v>
      </c>
      <c r="K2424" s="10" t="s">
        <v>2374</v>
      </c>
      <c r="L2424" s="10" t="s">
        <v>2229</v>
      </c>
      <c r="M2424" s="10" t="s">
        <v>2372</v>
      </c>
      <c r="N2424" s="10" t="s">
        <v>2373</v>
      </c>
      <c r="O2424" s="10"/>
    </row>
    <row r="2425" spans="1:15" ht="18" customHeight="1" x14ac:dyDescent="0.3">
      <c r="A2425" s="24">
        <v>2424</v>
      </c>
      <c r="B2425" s="10" t="s">
        <v>77</v>
      </c>
      <c r="C2425" s="10" t="s">
        <v>79</v>
      </c>
      <c r="D2425" s="62">
        <v>125</v>
      </c>
      <c r="E2425" s="61" t="s">
        <v>213</v>
      </c>
      <c r="F2425" s="16" t="s">
        <v>675</v>
      </c>
      <c r="G2425" s="10" t="s">
        <v>1278</v>
      </c>
      <c r="H2425" s="10" t="s">
        <v>852</v>
      </c>
      <c r="I2425" s="62">
        <v>180</v>
      </c>
      <c r="J2425" s="8" t="s">
        <v>2374</v>
      </c>
      <c r="K2425" s="10" t="s">
        <v>847</v>
      </c>
      <c r="L2425" s="10" t="s">
        <v>2373</v>
      </c>
      <c r="M2425" s="10" t="s">
        <v>2372</v>
      </c>
      <c r="N2425" s="10" t="s">
        <v>2373</v>
      </c>
      <c r="O2425" s="10"/>
    </row>
    <row r="2426" spans="1:15" ht="18" customHeight="1" x14ac:dyDescent="0.3">
      <c r="A2426" s="24">
        <v>2425</v>
      </c>
      <c r="B2426" s="10" t="s">
        <v>77</v>
      </c>
      <c r="C2426" s="10" t="s">
        <v>79</v>
      </c>
      <c r="D2426" s="62">
        <v>125</v>
      </c>
      <c r="E2426" s="61" t="s">
        <v>213</v>
      </c>
      <c r="F2426" s="16" t="s">
        <v>675</v>
      </c>
      <c r="G2426" s="10" t="s">
        <v>1278</v>
      </c>
      <c r="H2426" s="10" t="s">
        <v>853</v>
      </c>
      <c r="I2426" s="62">
        <v>180</v>
      </c>
      <c r="J2426" s="8" t="s">
        <v>2372</v>
      </c>
      <c r="K2426" s="10" t="s">
        <v>847</v>
      </c>
      <c r="L2426" s="10" t="s">
        <v>2373</v>
      </c>
      <c r="M2426" s="10" t="s">
        <v>2372</v>
      </c>
      <c r="N2426" s="10" t="s">
        <v>2373</v>
      </c>
      <c r="O2426" s="10"/>
    </row>
    <row r="2427" spans="1:15" ht="18" customHeight="1" x14ac:dyDescent="0.3">
      <c r="A2427" s="24">
        <v>2426</v>
      </c>
      <c r="B2427" s="10" t="s">
        <v>77</v>
      </c>
      <c r="C2427" s="10" t="s">
        <v>79</v>
      </c>
      <c r="D2427" s="62">
        <v>125</v>
      </c>
      <c r="E2427" s="498" t="s">
        <v>3483</v>
      </c>
      <c r="F2427" s="16" t="s">
        <v>678</v>
      </c>
      <c r="G2427" s="10" t="s">
        <v>160</v>
      </c>
      <c r="H2427" s="10" t="s">
        <v>2638</v>
      </c>
      <c r="I2427" s="8">
        <v>71</v>
      </c>
      <c r="J2427" s="10" t="s">
        <v>2372</v>
      </c>
      <c r="K2427" s="10" t="s">
        <v>2374</v>
      </c>
      <c r="L2427" s="10" t="s">
        <v>1422</v>
      </c>
      <c r="M2427" s="10" t="s">
        <v>2372</v>
      </c>
      <c r="N2427" s="10" t="s">
        <v>2373</v>
      </c>
      <c r="O2427" s="10"/>
    </row>
    <row r="2428" spans="1:15" ht="18" customHeight="1" x14ac:dyDescent="0.3">
      <c r="A2428" s="24">
        <v>2427</v>
      </c>
      <c r="B2428" s="10" t="s">
        <v>77</v>
      </c>
      <c r="C2428" s="10" t="s">
        <v>79</v>
      </c>
      <c r="D2428" s="62">
        <v>125</v>
      </c>
      <c r="E2428" s="498" t="s">
        <v>3483</v>
      </c>
      <c r="F2428" s="16" t="s">
        <v>678</v>
      </c>
      <c r="G2428" s="10" t="s">
        <v>160</v>
      </c>
      <c r="H2428" s="10" t="s">
        <v>2639</v>
      </c>
      <c r="I2428" s="8">
        <v>84</v>
      </c>
      <c r="J2428" s="10" t="s">
        <v>2374</v>
      </c>
      <c r="K2428" s="10" t="s">
        <v>2374</v>
      </c>
      <c r="L2428" s="10" t="s">
        <v>1422</v>
      </c>
      <c r="M2428" s="10" t="s">
        <v>2372</v>
      </c>
      <c r="N2428" s="10" t="s">
        <v>2373</v>
      </c>
      <c r="O2428" s="10"/>
    </row>
    <row r="2429" spans="1:15" ht="18" customHeight="1" x14ac:dyDescent="0.3">
      <c r="A2429" s="24">
        <v>2428</v>
      </c>
      <c r="B2429" s="10" t="s">
        <v>77</v>
      </c>
      <c r="C2429" s="10" t="s">
        <v>79</v>
      </c>
      <c r="D2429" s="62">
        <v>125</v>
      </c>
      <c r="E2429" s="498" t="s">
        <v>3483</v>
      </c>
      <c r="F2429" s="16" t="s">
        <v>678</v>
      </c>
      <c r="G2429" s="10" t="s">
        <v>160</v>
      </c>
      <c r="H2429" s="10" t="s">
        <v>2640</v>
      </c>
      <c r="I2429" s="8">
        <v>101</v>
      </c>
      <c r="J2429" s="10" t="s">
        <v>2372</v>
      </c>
      <c r="K2429" s="10" t="s">
        <v>2374</v>
      </c>
      <c r="L2429" s="10" t="s">
        <v>1422</v>
      </c>
      <c r="M2429" s="10" t="s">
        <v>2372</v>
      </c>
      <c r="N2429" s="10" t="s">
        <v>2373</v>
      </c>
      <c r="O2429" s="10"/>
    </row>
    <row r="2430" spans="1:15" ht="18" customHeight="1" x14ac:dyDescent="0.3">
      <c r="A2430" s="24">
        <v>2429</v>
      </c>
      <c r="B2430" s="10" t="s">
        <v>77</v>
      </c>
      <c r="C2430" s="10" t="s">
        <v>79</v>
      </c>
      <c r="D2430" s="62">
        <v>125</v>
      </c>
      <c r="E2430" s="498" t="s">
        <v>3483</v>
      </c>
      <c r="F2430" s="16" t="s">
        <v>678</v>
      </c>
      <c r="G2430" s="10" t="s">
        <v>160</v>
      </c>
      <c r="H2430" s="10" t="s">
        <v>2641</v>
      </c>
      <c r="I2430" s="8">
        <v>89</v>
      </c>
      <c r="J2430" s="10" t="s">
        <v>2372</v>
      </c>
      <c r="K2430" s="10" t="s">
        <v>2374</v>
      </c>
      <c r="L2430" s="10" t="s">
        <v>1422</v>
      </c>
      <c r="M2430" s="10" t="s">
        <v>2372</v>
      </c>
      <c r="N2430" s="10" t="s">
        <v>2373</v>
      </c>
      <c r="O2430" s="10"/>
    </row>
    <row r="2431" spans="1:15" ht="18" customHeight="1" x14ac:dyDescent="0.3">
      <c r="A2431" s="24">
        <v>2430</v>
      </c>
      <c r="B2431" s="10" t="s">
        <v>77</v>
      </c>
      <c r="C2431" s="10" t="s">
        <v>79</v>
      </c>
      <c r="D2431" s="62">
        <v>125</v>
      </c>
      <c r="E2431" s="498" t="s">
        <v>3483</v>
      </c>
      <c r="F2431" s="16" t="s">
        <v>678</v>
      </c>
      <c r="G2431" s="10" t="s">
        <v>160</v>
      </c>
      <c r="H2431" s="10" t="s">
        <v>2642</v>
      </c>
      <c r="I2431" s="8">
        <v>76</v>
      </c>
      <c r="J2431" s="10" t="s">
        <v>2372</v>
      </c>
      <c r="K2431" s="10" t="s">
        <v>2374</v>
      </c>
      <c r="L2431" s="10" t="s">
        <v>1422</v>
      </c>
      <c r="M2431" s="10" t="s">
        <v>2372</v>
      </c>
      <c r="N2431" s="10" t="s">
        <v>2373</v>
      </c>
      <c r="O2431" s="10"/>
    </row>
    <row r="2432" spans="1:15" ht="18" customHeight="1" x14ac:dyDescent="0.3">
      <c r="A2432" s="24">
        <v>2431</v>
      </c>
      <c r="B2432" s="10" t="s">
        <v>77</v>
      </c>
      <c r="C2432" s="10" t="s">
        <v>79</v>
      </c>
      <c r="D2432" s="62">
        <v>125</v>
      </c>
      <c r="E2432" s="498" t="s">
        <v>3483</v>
      </c>
      <c r="F2432" s="16" t="s">
        <v>678</v>
      </c>
      <c r="G2432" s="10" t="s">
        <v>160</v>
      </c>
      <c r="H2432" s="10" t="s">
        <v>2643</v>
      </c>
      <c r="I2432" s="8">
        <v>76</v>
      </c>
      <c r="J2432" s="10" t="s">
        <v>2372</v>
      </c>
      <c r="K2432" s="10" t="s">
        <v>2374</v>
      </c>
      <c r="L2432" s="10" t="s">
        <v>1422</v>
      </c>
      <c r="M2432" s="10" t="s">
        <v>2372</v>
      </c>
      <c r="N2432" s="10" t="s">
        <v>2373</v>
      </c>
      <c r="O2432" s="10"/>
    </row>
    <row r="2433" spans="1:15" ht="18" customHeight="1" x14ac:dyDescent="0.3">
      <c r="A2433" s="24">
        <v>2432</v>
      </c>
      <c r="B2433" s="10" t="s">
        <v>77</v>
      </c>
      <c r="C2433" s="10" t="s">
        <v>79</v>
      </c>
      <c r="D2433" s="62">
        <v>125</v>
      </c>
      <c r="E2433" s="498" t="s">
        <v>3483</v>
      </c>
      <c r="F2433" s="16" t="s">
        <v>678</v>
      </c>
      <c r="G2433" s="10" t="s">
        <v>160</v>
      </c>
      <c r="H2433" s="10" t="s">
        <v>2644</v>
      </c>
      <c r="I2433" s="8">
        <v>76</v>
      </c>
      <c r="J2433" s="10" t="s">
        <v>2372</v>
      </c>
      <c r="K2433" s="10" t="s">
        <v>2374</v>
      </c>
      <c r="L2433" s="10" t="s">
        <v>1422</v>
      </c>
      <c r="M2433" s="10" t="s">
        <v>2372</v>
      </c>
      <c r="N2433" s="10" t="s">
        <v>2373</v>
      </c>
      <c r="O2433" s="10"/>
    </row>
    <row r="2434" spans="1:15" ht="18" customHeight="1" x14ac:dyDescent="0.3">
      <c r="A2434" s="24">
        <v>2433</v>
      </c>
      <c r="B2434" s="10" t="s">
        <v>77</v>
      </c>
      <c r="C2434" s="10" t="s">
        <v>79</v>
      </c>
      <c r="D2434" s="62">
        <v>125</v>
      </c>
      <c r="E2434" s="498" t="s">
        <v>3483</v>
      </c>
      <c r="F2434" s="16" t="s">
        <v>678</v>
      </c>
      <c r="G2434" s="10" t="s">
        <v>160</v>
      </c>
      <c r="H2434" s="173" t="s">
        <v>3484</v>
      </c>
      <c r="I2434" s="172">
        <v>64</v>
      </c>
      <c r="J2434" s="10" t="s">
        <v>2372</v>
      </c>
      <c r="K2434" s="173" t="s">
        <v>860</v>
      </c>
      <c r="L2434" s="173" t="s">
        <v>1422</v>
      </c>
      <c r="M2434" s="10" t="s">
        <v>2372</v>
      </c>
      <c r="N2434" s="10" t="s">
        <v>2373</v>
      </c>
      <c r="O2434" s="10"/>
    </row>
    <row r="2435" spans="1:15" ht="18" customHeight="1" x14ac:dyDescent="0.3">
      <c r="A2435" s="24">
        <v>2434</v>
      </c>
      <c r="B2435" s="10" t="s">
        <v>77</v>
      </c>
      <c r="C2435" s="10" t="s">
        <v>79</v>
      </c>
      <c r="D2435" s="62">
        <v>125</v>
      </c>
      <c r="E2435" s="498" t="s">
        <v>3483</v>
      </c>
      <c r="F2435" s="16" t="s">
        <v>678</v>
      </c>
      <c r="G2435" s="10" t="s">
        <v>160</v>
      </c>
      <c r="H2435" s="173" t="s">
        <v>3485</v>
      </c>
      <c r="I2435" s="172">
        <v>36</v>
      </c>
      <c r="J2435" s="10" t="s">
        <v>2372</v>
      </c>
      <c r="K2435" s="173" t="s">
        <v>860</v>
      </c>
      <c r="L2435" s="173" t="s">
        <v>1422</v>
      </c>
      <c r="M2435" s="10" t="s">
        <v>2372</v>
      </c>
      <c r="N2435" s="10" t="s">
        <v>2373</v>
      </c>
      <c r="O2435" s="10"/>
    </row>
    <row r="2436" spans="1:15" ht="18" customHeight="1" x14ac:dyDescent="0.3">
      <c r="A2436" s="24">
        <v>2435</v>
      </c>
      <c r="B2436" s="10" t="s">
        <v>77</v>
      </c>
      <c r="C2436" s="10" t="s">
        <v>80</v>
      </c>
      <c r="D2436" s="62">
        <v>126</v>
      </c>
      <c r="E2436" s="61" t="s">
        <v>937</v>
      </c>
      <c r="F2436" s="27" t="s">
        <v>1843</v>
      </c>
      <c r="G2436" s="10" t="s">
        <v>2373</v>
      </c>
      <c r="H2436" s="10" t="s">
        <v>845</v>
      </c>
      <c r="I2436" s="62">
        <v>111</v>
      </c>
      <c r="J2436" s="10" t="s">
        <v>2372</v>
      </c>
      <c r="K2436" s="10" t="s">
        <v>847</v>
      </c>
      <c r="L2436" s="10" t="s">
        <v>2373</v>
      </c>
      <c r="M2436" s="586" t="s">
        <v>2374</v>
      </c>
      <c r="N2436" s="586" t="s">
        <v>1234</v>
      </c>
      <c r="O2436" s="10"/>
    </row>
    <row r="2437" spans="1:15" ht="18" customHeight="1" x14ac:dyDescent="0.3">
      <c r="A2437" s="24">
        <v>2436</v>
      </c>
      <c r="B2437" s="10" t="s">
        <v>77</v>
      </c>
      <c r="C2437" s="10" t="s">
        <v>80</v>
      </c>
      <c r="D2437" s="62">
        <v>126</v>
      </c>
      <c r="E2437" s="61" t="s">
        <v>2918</v>
      </c>
      <c r="F2437" s="19" t="s">
        <v>671</v>
      </c>
      <c r="G2437" s="10" t="s">
        <v>150</v>
      </c>
      <c r="H2437" s="10" t="s">
        <v>2385</v>
      </c>
      <c r="I2437" s="62">
        <v>168</v>
      </c>
      <c r="J2437" s="10" t="s">
        <v>2372</v>
      </c>
      <c r="K2437" s="10" t="s">
        <v>847</v>
      </c>
      <c r="L2437" s="10" t="s">
        <v>2373</v>
      </c>
      <c r="M2437" s="10" t="s">
        <v>2372</v>
      </c>
      <c r="N2437" s="10" t="s">
        <v>2373</v>
      </c>
      <c r="O2437" s="10"/>
    </row>
    <row r="2438" spans="1:15" ht="18" customHeight="1" x14ac:dyDescent="0.3">
      <c r="A2438" s="24">
        <v>2437</v>
      </c>
      <c r="B2438" s="10" t="s">
        <v>77</v>
      </c>
      <c r="C2438" s="10" t="s">
        <v>80</v>
      </c>
      <c r="D2438" s="62">
        <v>126</v>
      </c>
      <c r="E2438" s="61" t="s">
        <v>2918</v>
      </c>
      <c r="F2438" s="19" t="s">
        <v>671</v>
      </c>
      <c r="G2438" s="10" t="s">
        <v>150</v>
      </c>
      <c r="H2438" s="10" t="s">
        <v>2378</v>
      </c>
      <c r="I2438" s="62">
        <v>168</v>
      </c>
      <c r="J2438" s="10" t="s">
        <v>2372</v>
      </c>
      <c r="K2438" s="10" t="s">
        <v>847</v>
      </c>
      <c r="L2438" s="10" t="s">
        <v>2373</v>
      </c>
      <c r="M2438" s="10" t="s">
        <v>2372</v>
      </c>
      <c r="N2438" s="10" t="s">
        <v>2373</v>
      </c>
      <c r="O2438" s="10"/>
    </row>
    <row r="2439" spans="1:15" ht="18" customHeight="1" x14ac:dyDescent="0.3">
      <c r="A2439" s="24">
        <v>2438</v>
      </c>
      <c r="B2439" s="10" t="s">
        <v>77</v>
      </c>
      <c r="C2439" s="10" t="s">
        <v>80</v>
      </c>
      <c r="D2439" s="62">
        <v>126</v>
      </c>
      <c r="E2439" s="61" t="s">
        <v>2918</v>
      </c>
      <c r="F2439" s="19" t="s">
        <v>671</v>
      </c>
      <c r="G2439" s="10" t="s">
        <v>150</v>
      </c>
      <c r="H2439" s="10" t="s">
        <v>2379</v>
      </c>
      <c r="I2439" s="62">
        <v>168</v>
      </c>
      <c r="J2439" s="10" t="s">
        <v>2374</v>
      </c>
      <c r="K2439" s="10" t="s">
        <v>847</v>
      </c>
      <c r="L2439" s="10" t="s">
        <v>2373</v>
      </c>
      <c r="M2439" s="10" t="s">
        <v>2372</v>
      </c>
      <c r="N2439" s="10" t="s">
        <v>2373</v>
      </c>
      <c r="O2439" s="10"/>
    </row>
    <row r="2440" spans="1:15" ht="18" customHeight="1" x14ac:dyDescent="0.3">
      <c r="A2440" s="24">
        <v>2439</v>
      </c>
      <c r="B2440" s="10" t="s">
        <v>77</v>
      </c>
      <c r="C2440" s="10" t="s">
        <v>80</v>
      </c>
      <c r="D2440" s="62">
        <v>126</v>
      </c>
      <c r="E2440" s="61" t="s">
        <v>2918</v>
      </c>
      <c r="F2440" s="19" t="s">
        <v>671</v>
      </c>
      <c r="G2440" s="10" t="s">
        <v>150</v>
      </c>
      <c r="H2440" s="10" t="s">
        <v>2380</v>
      </c>
      <c r="I2440" s="62">
        <v>188</v>
      </c>
      <c r="J2440" s="10" t="s">
        <v>2374</v>
      </c>
      <c r="K2440" s="10" t="s">
        <v>847</v>
      </c>
      <c r="L2440" s="10" t="s">
        <v>2373</v>
      </c>
      <c r="M2440" s="10" t="s">
        <v>2372</v>
      </c>
      <c r="N2440" s="10" t="s">
        <v>2373</v>
      </c>
      <c r="O2440" s="10"/>
    </row>
    <row r="2441" spans="1:15" ht="18" customHeight="1" x14ac:dyDescent="0.3">
      <c r="A2441" s="24">
        <v>2440</v>
      </c>
      <c r="B2441" s="10" t="s">
        <v>77</v>
      </c>
      <c r="C2441" s="10" t="s">
        <v>80</v>
      </c>
      <c r="D2441" s="62">
        <v>126</v>
      </c>
      <c r="E2441" s="61" t="s">
        <v>2918</v>
      </c>
      <c r="F2441" s="19" t="s">
        <v>671</v>
      </c>
      <c r="G2441" s="10" t="s">
        <v>150</v>
      </c>
      <c r="H2441" s="10" t="s">
        <v>2390</v>
      </c>
      <c r="I2441" s="62">
        <v>96</v>
      </c>
      <c r="J2441" s="10" t="s">
        <v>2372</v>
      </c>
      <c r="K2441" s="10" t="s">
        <v>847</v>
      </c>
      <c r="L2441" s="10" t="s">
        <v>2373</v>
      </c>
      <c r="M2441" s="10" t="s">
        <v>2372</v>
      </c>
      <c r="N2441" s="10" t="s">
        <v>2373</v>
      </c>
      <c r="O2441" s="10"/>
    </row>
    <row r="2442" spans="1:15" ht="18" customHeight="1" x14ac:dyDescent="0.3">
      <c r="A2442" s="24">
        <v>2441</v>
      </c>
      <c r="B2442" s="10" t="s">
        <v>77</v>
      </c>
      <c r="C2442" s="10" t="s">
        <v>80</v>
      </c>
      <c r="D2442" s="62">
        <v>126</v>
      </c>
      <c r="E2442" s="61" t="s">
        <v>2918</v>
      </c>
      <c r="F2442" s="19" t="s">
        <v>671</v>
      </c>
      <c r="G2442" s="10" t="s">
        <v>150</v>
      </c>
      <c r="H2442" s="10" t="s">
        <v>2382</v>
      </c>
      <c r="I2442" s="62">
        <v>196</v>
      </c>
      <c r="J2442" s="10" t="s">
        <v>2372</v>
      </c>
      <c r="K2442" s="10" t="s">
        <v>847</v>
      </c>
      <c r="L2442" s="10" t="s">
        <v>2373</v>
      </c>
      <c r="M2442" s="10" t="s">
        <v>2372</v>
      </c>
      <c r="N2442" s="10" t="s">
        <v>2373</v>
      </c>
      <c r="O2442" s="10"/>
    </row>
    <row r="2443" spans="1:15" ht="18" customHeight="1" x14ac:dyDescent="0.3">
      <c r="A2443" s="24">
        <v>2442</v>
      </c>
      <c r="B2443" s="10" t="s">
        <v>77</v>
      </c>
      <c r="C2443" s="10" t="s">
        <v>80</v>
      </c>
      <c r="D2443" s="62">
        <v>126</v>
      </c>
      <c r="E2443" s="61" t="s">
        <v>2918</v>
      </c>
      <c r="F2443" s="19" t="s">
        <v>671</v>
      </c>
      <c r="G2443" s="10" t="s">
        <v>150</v>
      </c>
      <c r="H2443" s="10" t="s">
        <v>2431</v>
      </c>
      <c r="I2443" s="62">
        <v>174</v>
      </c>
      <c r="J2443" s="10" t="s">
        <v>2372</v>
      </c>
      <c r="K2443" s="10" t="s">
        <v>847</v>
      </c>
      <c r="L2443" s="10" t="s">
        <v>2373</v>
      </c>
      <c r="M2443" s="10" t="s">
        <v>2372</v>
      </c>
      <c r="N2443" s="10" t="s">
        <v>2373</v>
      </c>
      <c r="O2443" s="10"/>
    </row>
    <row r="2444" spans="1:15" ht="18" customHeight="1" x14ac:dyDescent="0.3">
      <c r="A2444" s="24">
        <v>2443</v>
      </c>
      <c r="B2444" s="10" t="s">
        <v>77</v>
      </c>
      <c r="C2444" s="10" t="s">
        <v>80</v>
      </c>
      <c r="D2444" s="62">
        <v>126</v>
      </c>
      <c r="E2444" s="61" t="s">
        <v>2918</v>
      </c>
      <c r="F2444" s="19" t="s">
        <v>2646</v>
      </c>
      <c r="G2444" s="10" t="s">
        <v>150</v>
      </c>
      <c r="H2444" s="10" t="s">
        <v>2383</v>
      </c>
      <c r="I2444" s="62">
        <v>238</v>
      </c>
      <c r="J2444" s="10" t="s">
        <v>2374</v>
      </c>
      <c r="K2444" s="10" t="s">
        <v>846</v>
      </c>
      <c r="L2444" s="10" t="s">
        <v>195</v>
      </c>
      <c r="M2444" s="10" t="s">
        <v>2372</v>
      </c>
      <c r="N2444" s="10" t="s">
        <v>2373</v>
      </c>
      <c r="O2444" s="10"/>
    </row>
    <row r="2445" spans="1:15" ht="18" customHeight="1" x14ac:dyDescent="0.3">
      <c r="A2445" s="24">
        <v>2444</v>
      </c>
      <c r="B2445" s="10" t="s">
        <v>77</v>
      </c>
      <c r="C2445" s="10" t="s">
        <v>81</v>
      </c>
      <c r="D2445" s="62">
        <v>127</v>
      </c>
      <c r="E2445" s="61" t="s">
        <v>219</v>
      </c>
      <c r="F2445" s="16" t="s">
        <v>672</v>
      </c>
      <c r="G2445" s="10" t="s">
        <v>150</v>
      </c>
      <c r="H2445" s="10" t="s">
        <v>845</v>
      </c>
      <c r="I2445" s="62">
        <v>153</v>
      </c>
      <c r="J2445" s="8" t="s">
        <v>2372</v>
      </c>
      <c r="K2445" s="10" t="s">
        <v>847</v>
      </c>
      <c r="L2445" s="10" t="s">
        <v>2373</v>
      </c>
      <c r="M2445" s="10" t="s">
        <v>2372</v>
      </c>
      <c r="N2445" s="10" t="s">
        <v>2373</v>
      </c>
      <c r="O2445" s="10"/>
    </row>
    <row r="2446" spans="1:15" ht="18" customHeight="1" x14ac:dyDescent="0.3">
      <c r="A2446" s="24">
        <v>2445</v>
      </c>
      <c r="B2446" s="10" t="s">
        <v>77</v>
      </c>
      <c r="C2446" s="10" t="s">
        <v>81</v>
      </c>
      <c r="D2446" s="62">
        <v>127</v>
      </c>
      <c r="E2446" s="61" t="s">
        <v>219</v>
      </c>
      <c r="F2446" s="16" t="s">
        <v>672</v>
      </c>
      <c r="G2446" s="10" t="s">
        <v>150</v>
      </c>
      <c r="H2446" s="10" t="s">
        <v>848</v>
      </c>
      <c r="I2446" s="62">
        <v>128</v>
      </c>
      <c r="J2446" s="8" t="s">
        <v>2372</v>
      </c>
      <c r="K2446" s="10" t="s">
        <v>847</v>
      </c>
      <c r="L2446" s="10" t="s">
        <v>2373</v>
      </c>
      <c r="M2446" s="10" t="s">
        <v>2372</v>
      </c>
      <c r="N2446" s="10" t="s">
        <v>2373</v>
      </c>
      <c r="O2446" s="10"/>
    </row>
    <row r="2447" spans="1:15" ht="18" customHeight="1" x14ac:dyDescent="0.3">
      <c r="A2447" s="24">
        <v>2446</v>
      </c>
      <c r="B2447" s="10" t="s">
        <v>77</v>
      </c>
      <c r="C2447" s="10" t="s">
        <v>81</v>
      </c>
      <c r="D2447" s="62">
        <v>127</v>
      </c>
      <c r="E2447" s="61" t="s">
        <v>219</v>
      </c>
      <c r="F2447" s="16" t="s">
        <v>672</v>
      </c>
      <c r="G2447" s="10" t="s">
        <v>150</v>
      </c>
      <c r="H2447" s="10" t="s">
        <v>849</v>
      </c>
      <c r="I2447" s="62">
        <v>173</v>
      </c>
      <c r="J2447" s="8" t="s">
        <v>846</v>
      </c>
      <c r="K2447" s="10" t="s">
        <v>847</v>
      </c>
      <c r="L2447" s="10" t="s">
        <v>2373</v>
      </c>
      <c r="M2447" s="10" t="s">
        <v>2372</v>
      </c>
      <c r="N2447" s="10" t="s">
        <v>2373</v>
      </c>
      <c r="O2447" s="10"/>
    </row>
    <row r="2448" spans="1:15" ht="18" customHeight="1" x14ac:dyDescent="0.3">
      <c r="A2448" s="24">
        <v>2447</v>
      </c>
      <c r="B2448" s="10" t="s">
        <v>77</v>
      </c>
      <c r="C2448" s="10" t="s">
        <v>81</v>
      </c>
      <c r="D2448" s="62">
        <v>127</v>
      </c>
      <c r="E2448" s="61" t="s">
        <v>219</v>
      </c>
      <c r="F2448" s="16" t="s">
        <v>672</v>
      </c>
      <c r="G2448" s="10" t="s">
        <v>150</v>
      </c>
      <c r="H2448" s="10" t="s">
        <v>850</v>
      </c>
      <c r="I2448" s="62">
        <v>154</v>
      </c>
      <c r="J2448" s="8" t="s">
        <v>2372</v>
      </c>
      <c r="K2448" s="10" t="s">
        <v>847</v>
      </c>
      <c r="L2448" s="10" t="s">
        <v>2373</v>
      </c>
      <c r="M2448" s="10" t="s">
        <v>2372</v>
      </c>
      <c r="N2448" s="10" t="s">
        <v>2373</v>
      </c>
      <c r="O2448" s="10"/>
    </row>
    <row r="2449" spans="1:15" ht="18" customHeight="1" x14ac:dyDescent="0.3">
      <c r="A2449" s="24">
        <v>2448</v>
      </c>
      <c r="B2449" s="10" t="s">
        <v>77</v>
      </c>
      <c r="C2449" s="10" t="s">
        <v>81</v>
      </c>
      <c r="D2449" s="62">
        <v>127</v>
      </c>
      <c r="E2449" s="61" t="s">
        <v>219</v>
      </c>
      <c r="F2449" s="16" t="s">
        <v>672</v>
      </c>
      <c r="G2449" s="10" t="s">
        <v>150</v>
      </c>
      <c r="H2449" s="10" t="s">
        <v>851</v>
      </c>
      <c r="I2449" s="62">
        <v>111</v>
      </c>
      <c r="J2449" s="8" t="s">
        <v>2372</v>
      </c>
      <c r="K2449" s="10" t="s">
        <v>847</v>
      </c>
      <c r="L2449" s="10" t="s">
        <v>2373</v>
      </c>
      <c r="M2449" s="10" t="s">
        <v>2372</v>
      </c>
      <c r="N2449" s="10" t="s">
        <v>2373</v>
      </c>
      <c r="O2449" s="10"/>
    </row>
    <row r="2450" spans="1:15" ht="18" customHeight="1" x14ac:dyDescent="0.3">
      <c r="A2450" s="24">
        <v>2449</v>
      </c>
      <c r="B2450" s="10" t="s">
        <v>77</v>
      </c>
      <c r="C2450" s="10" t="s">
        <v>82</v>
      </c>
      <c r="D2450" s="62">
        <v>129</v>
      </c>
      <c r="E2450" s="61" t="s">
        <v>268</v>
      </c>
      <c r="F2450" s="19" t="s">
        <v>673</v>
      </c>
      <c r="G2450" s="10" t="s">
        <v>160</v>
      </c>
      <c r="H2450" s="10" t="s">
        <v>845</v>
      </c>
      <c r="I2450" s="62">
        <v>107</v>
      </c>
      <c r="J2450" s="10" t="s">
        <v>2372</v>
      </c>
      <c r="K2450" s="10" t="s">
        <v>847</v>
      </c>
      <c r="L2450" s="10" t="s">
        <v>2373</v>
      </c>
      <c r="M2450" s="10" t="s">
        <v>2372</v>
      </c>
      <c r="N2450" s="10" t="s">
        <v>2373</v>
      </c>
      <c r="O2450" s="10"/>
    </row>
    <row r="2451" spans="1:15" ht="18" customHeight="1" x14ac:dyDescent="0.3">
      <c r="A2451" s="24">
        <v>2450</v>
      </c>
      <c r="B2451" s="10" t="s">
        <v>77</v>
      </c>
      <c r="C2451" s="10" t="s">
        <v>82</v>
      </c>
      <c r="D2451" s="62">
        <v>129</v>
      </c>
      <c r="E2451" s="61" t="s">
        <v>268</v>
      </c>
      <c r="F2451" s="19" t="s">
        <v>673</v>
      </c>
      <c r="G2451" s="10" t="s">
        <v>160</v>
      </c>
      <c r="H2451" s="10" t="s">
        <v>848</v>
      </c>
      <c r="I2451" s="62">
        <v>119</v>
      </c>
      <c r="J2451" s="10" t="s">
        <v>2374</v>
      </c>
      <c r="K2451" s="10" t="s">
        <v>847</v>
      </c>
      <c r="L2451" s="10" t="s">
        <v>2373</v>
      </c>
      <c r="M2451" s="10" t="s">
        <v>2372</v>
      </c>
      <c r="N2451" s="10" t="s">
        <v>2373</v>
      </c>
      <c r="O2451" s="10"/>
    </row>
    <row r="2452" spans="1:15" ht="18" customHeight="1" x14ac:dyDescent="0.3">
      <c r="A2452" s="24">
        <v>2451</v>
      </c>
      <c r="B2452" s="10" t="s">
        <v>77</v>
      </c>
      <c r="C2452" s="10" t="s">
        <v>82</v>
      </c>
      <c r="D2452" s="62">
        <v>129</v>
      </c>
      <c r="E2452" s="61" t="s">
        <v>268</v>
      </c>
      <c r="F2452" s="19" t="s">
        <v>673</v>
      </c>
      <c r="G2452" s="10" t="s">
        <v>160</v>
      </c>
      <c r="H2452" s="10" t="s">
        <v>849</v>
      </c>
      <c r="I2452" s="62">
        <v>119</v>
      </c>
      <c r="J2452" s="10" t="s">
        <v>2374</v>
      </c>
      <c r="K2452" s="10" t="s">
        <v>847</v>
      </c>
      <c r="L2452" s="10" t="s">
        <v>2373</v>
      </c>
      <c r="M2452" s="10" t="s">
        <v>2372</v>
      </c>
      <c r="N2452" s="10" t="s">
        <v>2373</v>
      </c>
      <c r="O2452" s="10"/>
    </row>
    <row r="2453" spans="1:15" ht="18" customHeight="1" x14ac:dyDescent="0.3">
      <c r="A2453" s="24">
        <v>2452</v>
      </c>
      <c r="B2453" s="10" t="s">
        <v>77</v>
      </c>
      <c r="C2453" s="10" t="s">
        <v>82</v>
      </c>
      <c r="D2453" s="62">
        <v>129</v>
      </c>
      <c r="E2453" s="61" t="s">
        <v>268</v>
      </c>
      <c r="F2453" s="19" t="s">
        <v>673</v>
      </c>
      <c r="G2453" s="10" t="s">
        <v>160</v>
      </c>
      <c r="H2453" s="10" t="s">
        <v>850</v>
      </c>
      <c r="I2453" s="62">
        <v>107</v>
      </c>
      <c r="J2453" s="10" t="s">
        <v>2372</v>
      </c>
      <c r="K2453" s="10" t="s">
        <v>847</v>
      </c>
      <c r="L2453" s="10" t="s">
        <v>2373</v>
      </c>
      <c r="M2453" s="10" t="s">
        <v>2372</v>
      </c>
      <c r="N2453" s="10" t="s">
        <v>2373</v>
      </c>
      <c r="O2453" s="10"/>
    </row>
    <row r="2454" spans="1:15" ht="18" customHeight="1" x14ac:dyDescent="0.3">
      <c r="A2454" s="24">
        <v>2453</v>
      </c>
      <c r="B2454" s="10" t="s">
        <v>77</v>
      </c>
      <c r="C2454" s="10" t="s">
        <v>82</v>
      </c>
      <c r="D2454" s="62">
        <v>129</v>
      </c>
      <c r="E2454" s="61" t="s">
        <v>268</v>
      </c>
      <c r="F2454" s="19" t="s">
        <v>673</v>
      </c>
      <c r="G2454" s="10" t="s">
        <v>160</v>
      </c>
      <c r="H2454" s="10" t="s">
        <v>851</v>
      </c>
      <c r="I2454" s="62">
        <v>133</v>
      </c>
      <c r="J2454" s="10" t="s">
        <v>2372</v>
      </c>
      <c r="K2454" s="10" t="s">
        <v>847</v>
      </c>
      <c r="L2454" s="10" t="s">
        <v>2373</v>
      </c>
      <c r="M2454" s="10" t="s">
        <v>2372</v>
      </c>
      <c r="N2454" s="10" t="s">
        <v>2373</v>
      </c>
      <c r="O2454" s="10"/>
    </row>
    <row r="2455" spans="1:15" ht="18" customHeight="1" x14ac:dyDescent="0.3">
      <c r="A2455" s="24">
        <v>2454</v>
      </c>
      <c r="B2455" s="10" t="s">
        <v>1848</v>
      </c>
      <c r="C2455" s="10" t="s">
        <v>2647</v>
      </c>
      <c r="D2455" s="62">
        <v>130</v>
      </c>
      <c r="E2455" s="61" t="s">
        <v>2648</v>
      </c>
      <c r="F2455" s="19" t="s">
        <v>2649</v>
      </c>
      <c r="G2455" s="10" t="s">
        <v>2373</v>
      </c>
      <c r="H2455" s="10" t="s">
        <v>2650</v>
      </c>
      <c r="I2455" s="62">
        <v>84</v>
      </c>
      <c r="J2455" s="10" t="s">
        <v>2374</v>
      </c>
      <c r="K2455" s="10" t="s">
        <v>847</v>
      </c>
      <c r="L2455" s="10" t="s">
        <v>2373</v>
      </c>
      <c r="M2455" s="10" t="s">
        <v>2372</v>
      </c>
      <c r="N2455" s="10" t="s">
        <v>2373</v>
      </c>
      <c r="O2455" s="10" t="s">
        <v>2651</v>
      </c>
    </row>
    <row r="2456" spans="1:15" ht="18" customHeight="1" x14ac:dyDescent="0.3">
      <c r="A2456" s="24">
        <v>2455</v>
      </c>
      <c r="B2456" s="10" t="s">
        <v>1848</v>
      </c>
      <c r="C2456" s="10" t="s">
        <v>2647</v>
      </c>
      <c r="D2456" s="62">
        <v>130</v>
      </c>
      <c r="E2456" s="61" t="s">
        <v>2648</v>
      </c>
      <c r="F2456" s="19" t="s">
        <v>2652</v>
      </c>
      <c r="G2456" s="10" t="s">
        <v>2373</v>
      </c>
      <c r="H2456" s="10" t="s">
        <v>2653</v>
      </c>
      <c r="I2456" s="62">
        <v>92</v>
      </c>
      <c r="J2456" s="10" t="s">
        <v>2372</v>
      </c>
      <c r="K2456" s="10" t="s">
        <v>847</v>
      </c>
      <c r="L2456" s="10" t="s">
        <v>2373</v>
      </c>
      <c r="M2456" s="10" t="s">
        <v>2372</v>
      </c>
      <c r="N2456" s="10" t="s">
        <v>2373</v>
      </c>
      <c r="O2456" s="10" t="s">
        <v>2654</v>
      </c>
    </row>
    <row r="2457" spans="1:15" ht="18" customHeight="1" x14ac:dyDescent="0.3">
      <c r="A2457" s="24">
        <v>2456</v>
      </c>
      <c r="B2457" s="10" t="s">
        <v>1848</v>
      </c>
      <c r="C2457" s="10" t="s">
        <v>2647</v>
      </c>
      <c r="D2457" s="62">
        <v>130</v>
      </c>
      <c r="E2457" s="61" t="s">
        <v>2648</v>
      </c>
      <c r="F2457" s="19" t="s">
        <v>2652</v>
      </c>
      <c r="G2457" s="10" t="s">
        <v>2373</v>
      </c>
      <c r="H2457" s="10" t="s">
        <v>2655</v>
      </c>
      <c r="I2457" s="62">
        <v>92</v>
      </c>
      <c r="J2457" s="10" t="s">
        <v>2374</v>
      </c>
      <c r="K2457" s="10" t="s">
        <v>847</v>
      </c>
      <c r="L2457" s="10" t="s">
        <v>2373</v>
      </c>
      <c r="M2457" s="10" t="s">
        <v>2372</v>
      </c>
      <c r="N2457" s="10" t="s">
        <v>2373</v>
      </c>
      <c r="O2457" s="10" t="s">
        <v>2654</v>
      </c>
    </row>
    <row r="2458" spans="1:15" ht="18" customHeight="1" x14ac:dyDescent="0.3">
      <c r="A2458" s="24">
        <v>2457</v>
      </c>
      <c r="B2458" s="10" t="s">
        <v>77</v>
      </c>
      <c r="C2458" s="10" t="s">
        <v>83</v>
      </c>
      <c r="D2458" s="62">
        <v>131</v>
      </c>
      <c r="E2458" s="61" t="s">
        <v>940</v>
      </c>
      <c r="F2458" s="16" t="s">
        <v>1860</v>
      </c>
      <c r="G2458" s="10" t="s">
        <v>2373</v>
      </c>
      <c r="H2458" s="10" t="s">
        <v>845</v>
      </c>
      <c r="I2458" s="62">
        <v>57</v>
      </c>
      <c r="J2458" s="10" t="s">
        <v>2374</v>
      </c>
      <c r="K2458" s="10" t="s">
        <v>847</v>
      </c>
      <c r="L2458" s="10" t="s">
        <v>2373</v>
      </c>
      <c r="M2458" s="10" t="s">
        <v>2372</v>
      </c>
      <c r="N2458" s="10" t="s">
        <v>2373</v>
      </c>
      <c r="O2458" s="10"/>
    </row>
    <row r="2459" spans="1:15" ht="18" customHeight="1" x14ac:dyDescent="0.3">
      <c r="A2459" s="24">
        <v>2458</v>
      </c>
      <c r="B2459" s="10" t="s">
        <v>77</v>
      </c>
      <c r="C2459" s="10" t="s">
        <v>83</v>
      </c>
      <c r="D2459" s="62">
        <v>131</v>
      </c>
      <c r="E2459" s="61" t="s">
        <v>940</v>
      </c>
      <c r="F2459" s="16" t="s">
        <v>1860</v>
      </c>
      <c r="G2459" s="10" t="s">
        <v>2373</v>
      </c>
      <c r="H2459" s="10" t="s">
        <v>848</v>
      </c>
      <c r="I2459" s="62">
        <v>41</v>
      </c>
      <c r="J2459" s="10" t="s">
        <v>2372</v>
      </c>
      <c r="K2459" s="10" t="s">
        <v>847</v>
      </c>
      <c r="L2459" s="10" t="s">
        <v>2373</v>
      </c>
      <c r="M2459" s="10" t="s">
        <v>2372</v>
      </c>
      <c r="N2459" s="10" t="s">
        <v>2373</v>
      </c>
      <c r="O2459" s="10"/>
    </row>
    <row r="2460" spans="1:15" ht="18" customHeight="1" x14ac:dyDescent="0.3">
      <c r="A2460" s="24">
        <v>2459</v>
      </c>
      <c r="B2460" s="10" t="s">
        <v>77</v>
      </c>
      <c r="C2460" s="10" t="s">
        <v>84</v>
      </c>
      <c r="D2460" s="62">
        <v>132</v>
      </c>
      <c r="E2460" s="61" t="s">
        <v>941</v>
      </c>
      <c r="F2460" s="16" t="s">
        <v>1865</v>
      </c>
      <c r="G2460" s="10" t="s">
        <v>2373</v>
      </c>
      <c r="H2460" s="10" t="s">
        <v>845</v>
      </c>
      <c r="I2460" s="62">
        <v>87</v>
      </c>
      <c r="J2460" s="10" t="s">
        <v>2374</v>
      </c>
      <c r="K2460" s="10" t="s">
        <v>847</v>
      </c>
      <c r="L2460" s="10" t="s">
        <v>2373</v>
      </c>
      <c r="M2460" s="10" t="s">
        <v>2372</v>
      </c>
      <c r="N2460" s="10" t="s">
        <v>2373</v>
      </c>
      <c r="O2460" s="10"/>
    </row>
    <row r="2461" spans="1:15" ht="18" customHeight="1" x14ac:dyDescent="0.3">
      <c r="A2461" s="24">
        <v>2460</v>
      </c>
      <c r="B2461" s="10" t="s">
        <v>77</v>
      </c>
      <c r="C2461" s="10" t="s">
        <v>84</v>
      </c>
      <c r="D2461" s="62">
        <v>132</v>
      </c>
      <c r="E2461" s="61" t="s">
        <v>941</v>
      </c>
      <c r="F2461" s="16" t="s">
        <v>1865</v>
      </c>
      <c r="G2461" s="10" t="s">
        <v>2373</v>
      </c>
      <c r="H2461" s="10" t="s">
        <v>848</v>
      </c>
      <c r="I2461" s="62">
        <v>49</v>
      </c>
      <c r="J2461" s="10" t="s">
        <v>2372</v>
      </c>
      <c r="K2461" s="10" t="s">
        <v>847</v>
      </c>
      <c r="L2461" s="10" t="s">
        <v>2373</v>
      </c>
      <c r="M2461" s="10" t="s">
        <v>2372</v>
      </c>
      <c r="N2461" s="10" t="s">
        <v>2373</v>
      </c>
      <c r="O2461" s="10"/>
    </row>
    <row r="2462" spans="1:15" ht="18" customHeight="1" x14ac:dyDescent="0.3">
      <c r="A2462" s="24">
        <v>2461</v>
      </c>
      <c r="B2462" s="10" t="s">
        <v>1848</v>
      </c>
      <c r="C2462" s="10" t="s">
        <v>2656</v>
      </c>
      <c r="D2462" s="62">
        <v>133</v>
      </c>
      <c r="E2462" s="61" t="s">
        <v>2657</v>
      </c>
      <c r="F2462" s="19" t="s">
        <v>2658</v>
      </c>
      <c r="G2462" s="10" t="s">
        <v>2373</v>
      </c>
      <c r="H2462" s="10" t="s">
        <v>2385</v>
      </c>
      <c r="I2462" s="62">
        <v>48</v>
      </c>
      <c r="J2462" s="10" t="s">
        <v>2372</v>
      </c>
      <c r="K2462" s="10" t="s">
        <v>847</v>
      </c>
      <c r="L2462" s="10" t="s">
        <v>2373</v>
      </c>
      <c r="M2462" s="10" t="s">
        <v>2372</v>
      </c>
      <c r="N2462" s="10" t="s">
        <v>2373</v>
      </c>
      <c r="O2462" s="10"/>
    </row>
    <row r="2463" spans="1:15" ht="18" customHeight="1" x14ac:dyDescent="0.3">
      <c r="A2463" s="24">
        <v>2462</v>
      </c>
      <c r="B2463" s="10" t="s">
        <v>1848</v>
      </c>
      <c r="C2463" s="10" t="s">
        <v>2656</v>
      </c>
      <c r="D2463" s="62">
        <v>133</v>
      </c>
      <c r="E2463" s="61" t="s">
        <v>2657</v>
      </c>
      <c r="F2463" s="19" t="s">
        <v>2658</v>
      </c>
      <c r="G2463" s="10" t="s">
        <v>2373</v>
      </c>
      <c r="H2463" s="10" t="s">
        <v>2378</v>
      </c>
      <c r="I2463" s="62">
        <v>101</v>
      </c>
      <c r="J2463" s="10" t="s">
        <v>2374</v>
      </c>
      <c r="K2463" s="10" t="s">
        <v>847</v>
      </c>
      <c r="L2463" s="10" t="s">
        <v>2373</v>
      </c>
      <c r="M2463" s="10" t="s">
        <v>2372</v>
      </c>
      <c r="N2463" s="10" t="s">
        <v>2373</v>
      </c>
      <c r="O2463" s="10"/>
    </row>
    <row r="2464" spans="1:15" ht="18" customHeight="1" x14ac:dyDescent="0.3">
      <c r="A2464" s="24">
        <v>2463</v>
      </c>
      <c r="B2464" s="10" t="s">
        <v>77</v>
      </c>
      <c r="C2464" s="10" t="s">
        <v>85</v>
      </c>
      <c r="D2464" s="62">
        <v>134</v>
      </c>
      <c r="E2464" s="61" t="s">
        <v>939</v>
      </c>
      <c r="F2464" s="16" t="s">
        <v>1876</v>
      </c>
      <c r="G2464" s="10" t="s">
        <v>2373</v>
      </c>
      <c r="H2464" s="10" t="s">
        <v>845</v>
      </c>
      <c r="I2464" s="62">
        <v>56</v>
      </c>
      <c r="J2464" s="10" t="s">
        <v>2374</v>
      </c>
      <c r="K2464" s="10" t="s">
        <v>847</v>
      </c>
      <c r="L2464" s="10" t="s">
        <v>2373</v>
      </c>
      <c r="M2464" s="10" t="s">
        <v>2372</v>
      </c>
      <c r="N2464" s="10" t="s">
        <v>2373</v>
      </c>
      <c r="O2464" s="10"/>
    </row>
    <row r="2465" spans="1:15" ht="18" customHeight="1" x14ac:dyDescent="0.3">
      <c r="A2465" s="24">
        <v>2464</v>
      </c>
      <c r="B2465" s="10" t="s">
        <v>77</v>
      </c>
      <c r="C2465" s="10" t="s">
        <v>85</v>
      </c>
      <c r="D2465" s="62">
        <v>134</v>
      </c>
      <c r="E2465" s="61" t="s">
        <v>939</v>
      </c>
      <c r="F2465" s="16" t="s">
        <v>1876</v>
      </c>
      <c r="G2465" s="10" t="s">
        <v>2373</v>
      </c>
      <c r="H2465" s="10" t="s">
        <v>848</v>
      </c>
      <c r="I2465" s="62">
        <v>43</v>
      </c>
      <c r="J2465" s="10" t="s">
        <v>2372</v>
      </c>
      <c r="K2465" s="10" t="s">
        <v>847</v>
      </c>
      <c r="L2465" s="10" t="s">
        <v>2373</v>
      </c>
      <c r="M2465" s="10" t="s">
        <v>2372</v>
      </c>
      <c r="N2465" s="10" t="s">
        <v>2373</v>
      </c>
      <c r="O2465" s="10"/>
    </row>
    <row r="2466" spans="1:15" ht="18" customHeight="1" x14ac:dyDescent="0.3">
      <c r="A2466" s="24">
        <v>2465</v>
      </c>
      <c r="B2466" s="10" t="s">
        <v>1848</v>
      </c>
      <c r="C2466" s="10" t="s">
        <v>1879</v>
      </c>
      <c r="D2466" s="62">
        <v>135</v>
      </c>
      <c r="E2466" s="61" t="s">
        <v>1880</v>
      </c>
      <c r="F2466" s="19" t="s">
        <v>1881</v>
      </c>
      <c r="G2466" s="10" t="s">
        <v>2373</v>
      </c>
      <c r="H2466" s="10" t="s">
        <v>2385</v>
      </c>
      <c r="I2466" s="62">
        <v>61</v>
      </c>
      <c r="J2466" s="10" t="s">
        <v>2374</v>
      </c>
      <c r="K2466" s="10" t="s">
        <v>847</v>
      </c>
      <c r="L2466" s="10" t="s">
        <v>2373</v>
      </c>
      <c r="M2466" s="10" t="s">
        <v>2372</v>
      </c>
      <c r="N2466" s="10" t="s">
        <v>2373</v>
      </c>
      <c r="O2466" s="10"/>
    </row>
    <row r="2467" spans="1:15" ht="18" customHeight="1" x14ac:dyDescent="0.3">
      <c r="A2467" s="24">
        <v>2466</v>
      </c>
      <c r="B2467" s="10" t="s">
        <v>1848</v>
      </c>
      <c r="C2467" s="10" t="s">
        <v>1879</v>
      </c>
      <c r="D2467" s="62">
        <v>135</v>
      </c>
      <c r="E2467" s="61" t="s">
        <v>1880</v>
      </c>
      <c r="F2467" s="19" t="s">
        <v>1881</v>
      </c>
      <c r="G2467" s="10" t="s">
        <v>2373</v>
      </c>
      <c r="H2467" s="10" t="s">
        <v>2378</v>
      </c>
      <c r="I2467" s="62">
        <v>52</v>
      </c>
      <c r="J2467" s="10" t="s">
        <v>2372</v>
      </c>
      <c r="K2467" s="10" t="s">
        <v>847</v>
      </c>
      <c r="L2467" s="10" t="s">
        <v>2373</v>
      </c>
      <c r="M2467" s="10" t="s">
        <v>2372</v>
      </c>
      <c r="N2467" s="10" t="s">
        <v>2373</v>
      </c>
      <c r="O2467" s="10"/>
    </row>
    <row r="2468" spans="1:15" ht="18" customHeight="1" x14ac:dyDescent="0.3">
      <c r="A2468" s="24">
        <v>2467</v>
      </c>
      <c r="B2468" s="10" t="s">
        <v>1848</v>
      </c>
      <c r="C2468" s="10" t="s">
        <v>1879</v>
      </c>
      <c r="D2468" s="62">
        <v>135</v>
      </c>
      <c r="E2468" s="61" t="s">
        <v>2659</v>
      </c>
      <c r="F2468" s="19" t="s">
        <v>1886</v>
      </c>
      <c r="G2468" s="10" t="s">
        <v>2373</v>
      </c>
      <c r="H2468" s="10" t="s">
        <v>2385</v>
      </c>
      <c r="I2468" s="62">
        <v>58</v>
      </c>
      <c r="J2468" s="10" t="s">
        <v>2374</v>
      </c>
      <c r="K2468" s="10" t="s">
        <v>847</v>
      </c>
      <c r="L2468" s="10" t="s">
        <v>2373</v>
      </c>
      <c r="M2468" s="10" t="s">
        <v>2372</v>
      </c>
      <c r="N2468" s="10" t="s">
        <v>2373</v>
      </c>
      <c r="O2468" s="10"/>
    </row>
    <row r="2469" spans="1:15" ht="18" customHeight="1" x14ac:dyDescent="0.3">
      <c r="A2469" s="24">
        <v>2468</v>
      </c>
      <c r="B2469" s="10" t="s">
        <v>1848</v>
      </c>
      <c r="C2469" s="10" t="s">
        <v>1879</v>
      </c>
      <c r="D2469" s="62">
        <v>135</v>
      </c>
      <c r="E2469" s="61" t="s">
        <v>2659</v>
      </c>
      <c r="F2469" s="19" t="s">
        <v>1886</v>
      </c>
      <c r="G2469" s="10" t="s">
        <v>2373</v>
      </c>
      <c r="H2469" s="10" t="s">
        <v>2378</v>
      </c>
      <c r="I2469" s="62">
        <v>43</v>
      </c>
      <c r="J2469" s="10" t="s">
        <v>2372</v>
      </c>
      <c r="K2469" s="10" t="s">
        <v>847</v>
      </c>
      <c r="L2469" s="10" t="s">
        <v>2373</v>
      </c>
      <c r="M2469" s="10" t="s">
        <v>2372</v>
      </c>
      <c r="N2469" s="10" t="s">
        <v>2373</v>
      </c>
      <c r="O2469" s="10"/>
    </row>
    <row r="2470" spans="1:15" ht="18" customHeight="1" x14ac:dyDescent="0.3">
      <c r="A2470" s="24">
        <v>2469</v>
      </c>
      <c r="B2470" s="10" t="s">
        <v>1848</v>
      </c>
      <c r="C2470" s="10" t="s">
        <v>2660</v>
      </c>
      <c r="D2470" s="62">
        <v>136</v>
      </c>
      <c r="E2470" s="61" t="s">
        <v>2661</v>
      </c>
      <c r="F2470" s="16" t="s">
        <v>1890</v>
      </c>
      <c r="G2470" s="10" t="s">
        <v>2373</v>
      </c>
      <c r="H2470" s="10" t="s">
        <v>2385</v>
      </c>
      <c r="I2470" s="62">
        <v>59</v>
      </c>
      <c r="J2470" s="173" t="s">
        <v>3597</v>
      </c>
      <c r="K2470" s="10" t="s">
        <v>847</v>
      </c>
      <c r="L2470" s="10" t="s">
        <v>2373</v>
      </c>
      <c r="M2470" s="10" t="s">
        <v>2372</v>
      </c>
      <c r="N2470" s="10" t="s">
        <v>2373</v>
      </c>
      <c r="O2470" s="10"/>
    </row>
    <row r="2471" spans="1:15" ht="18" customHeight="1" x14ac:dyDescent="0.3">
      <c r="A2471" s="24">
        <v>2470</v>
      </c>
      <c r="B2471" s="10" t="s">
        <v>1848</v>
      </c>
      <c r="C2471" s="10" t="s">
        <v>2660</v>
      </c>
      <c r="D2471" s="62">
        <v>136</v>
      </c>
      <c r="E2471" s="61" t="s">
        <v>2661</v>
      </c>
      <c r="F2471" s="16" t="s">
        <v>1890</v>
      </c>
      <c r="G2471" s="10" t="s">
        <v>2373</v>
      </c>
      <c r="H2471" s="10" t="s">
        <v>2378</v>
      </c>
      <c r="I2471" s="62">
        <v>86</v>
      </c>
      <c r="J2471" s="10" t="s">
        <v>2374</v>
      </c>
      <c r="K2471" s="10" t="s">
        <v>847</v>
      </c>
      <c r="L2471" s="10" t="s">
        <v>2373</v>
      </c>
      <c r="M2471" s="10" t="s">
        <v>2372</v>
      </c>
      <c r="N2471" s="10" t="s">
        <v>2373</v>
      </c>
      <c r="O2471" s="10"/>
    </row>
    <row r="2472" spans="1:15" ht="18" customHeight="1" x14ac:dyDescent="0.3">
      <c r="A2472" s="24">
        <v>2471</v>
      </c>
      <c r="B2472" s="10" t="s">
        <v>1848</v>
      </c>
      <c r="C2472" s="10" t="s">
        <v>2660</v>
      </c>
      <c r="D2472" s="62">
        <v>136</v>
      </c>
      <c r="E2472" s="61" t="s">
        <v>2661</v>
      </c>
      <c r="F2472" s="16" t="s">
        <v>1890</v>
      </c>
      <c r="G2472" s="10" t="s">
        <v>2373</v>
      </c>
      <c r="H2472" s="10" t="s">
        <v>2662</v>
      </c>
      <c r="I2472" s="62">
        <v>83</v>
      </c>
      <c r="J2472" s="10" t="s">
        <v>2372</v>
      </c>
      <c r="K2472" s="10" t="s">
        <v>847</v>
      </c>
      <c r="L2472" s="10" t="s">
        <v>2373</v>
      </c>
      <c r="M2472" s="10" t="s">
        <v>2372</v>
      </c>
      <c r="N2472" s="10" t="s">
        <v>2373</v>
      </c>
      <c r="O2472" s="10"/>
    </row>
    <row r="2473" spans="1:15" ht="18" customHeight="1" x14ac:dyDescent="0.3">
      <c r="A2473" s="24">
        <v>2472</v>
      </c>
      <c r="B2473" s="10" t="s">
        <v>1848</v>
      </c>
      <c r="C2473" s="10" t="s">
        <v>2663</v>
      </c>
      <c r="D2473" s="62">
        <v>137</v>
      </c>
      <c r="E2473" s="61" t="s">
        <v>2664</v>
      </c>
      <c r="F2473" s="16" t="s">
        <v>1896</v>
      </c>
      <c r="G2473" s="10" t="s">
        <v>2373</v>
      </c>
      <c r="H2473" s="10" t="s">
        <v>2665</v>
      </c>
      <c r="I2473" s="62">
        <v>98</v>
      </c>
      <c r="J2473" s="173" t="s">
        <v>3599</v>
      </c>
      <c r="K2473" s="10" t="s">
        <v>847</v>
      </c>
      <c r="L2473" s="10" t="s">
        <v>2373</v>
      </c>
      <c r="M2473" s="10" t="s">
        <v>2372</v>
      </c>
      <c r="N2473" s="10" t="s">
        <v>2373</v>
      </c>
      <c r="O2473" s="10"/>
    </row>
    <row r="2474" spans="1:15" ht="18" customHeight="1" x14ac:dyDescent="0.3">
      <c r="A2474" s="24">
        <v>2473</v>
      </c>
      <c r="B2474" s="10" t="s">
        <v>1848</v>
      </c>
      <c r="C2474" s="10" t="s">
        <v>2663</v>
      </c>
      <c r="D2474" s="62">
        <v>137</v>
      </c>
      <c r="E2474" s="61" t="s">
        <v>2664</v>
      </c>
      <c r="F2474" s="16" t="s">
        <v>1896</v>
      </c>
      <c r="G2474" s="10" t="s">
        <v>2373</v>
      </c>
      <c r="H2474" s="10" t="s">
        <v>2666</v>
      </c>
      <c r="I2474" s="62">
        <v>125</v>
      </c>
      <c r="J2474" s="10" t="s">
        <v>2374</v>
      </c>
      <c r="K2474" s="10" t="s">
        <v>847</v>
      </c>
      <c r="L2474" s="10" t="s">
        <v>2373</v>
      </c>
      <c r="M2474" s="10" t="s">
        <v>2372</v>
      </c>
      <c r="N2474" s="10" t="s">
        <v>2373</v>
      </c>
      <c r="O2474" s="10"/>
    </row>
    <row r="2475" spans="1:15" ht="18" customHeight="1" x14ac:dyDescent="0.3">
      <c r="A2475" s="24">
        <v>2474</v>
      </c>
      <c r="B2475" s="10" t="s">
        <v>1848</v>
      </c>
      <c r="C2475" s="10" t="s">
        <v>2663</v>
      </c>
      <c r="D2475" s="62">
        <v>137</v>
      </c>
      <c r="E2475" s="61" t="s">
        <v>2664</v>
      </c>
      <c r="F2475" s="16" t="s">
        <v>1896</v>
      </c>
      <c r="G2475" s="10" t="s">
        <v>2373</v>
      </c>
      <c r="H2475" s="10" t="s">
        <v>2667</v>
      </c>
      <c r="I2475" s="62">
        <v>99</v>
      </c>
      <c r="J2475" s="173" t="s">
        <v>3599</v>
      </c>
      <c r="K2475" s="10" t="s">
        <v>847</v>
      </c>
      <c r="L2475" s="10" t="s">
        <v>2373</v>
      </c>
      <c r="M2475" s="10" t="s">
        <v>2372</v>
      </c>
      <c r="N2475" s="10" t="s">
        <v>2373</v>
      </c>
      <c r="O2475" s="10"/>
    </row>
    <row r="2476" spans="1:15" ht="18" customHeight="1" x14ac:dyDescent="0.3">
      <c r="A2476" s="24">
        <v>2475</v>
      </c>
      <c r="B2476" s="8" t="s">
        <v>1840</v>
      </c>
      <c r="C2476" s="8" t="s">
        <v>1899</v>
      </c>
      <c r="D2476" s="8">
        <v>138</v>
      </c>
      <c r="E2476" s="56" t="s">
        <v>1900</v>
      </c>
      <c r="F2476" s="19" t="s">
        <v>1901</v>
      </c>
      <c r="G2476" s="8" t="s">
        <v>2553</v>
      </c>
      <c r="H2476" s="10" t="s">
        <v>2385</v>
      </c>
      <c r="I2476" s="62">
        <v>142</v>
      </c>
      <c r="J2476" s="10" t="s">
        <v>2372</v>
      </c>
      <c r="K2476" s="10" t="s">
        <v>847</v>
      </c>
      <c r="L2476" s="10" t="s">
        <v>2373</v>
      </c>
      <c r="M2476" s="10" t="s">
        <v>2372</v>
      </c>
      <c r="N2476" s="10" t="s">
        <v>2373</v>
      </c>
      <c r="O2476" s="10"/>
    </row>
    <row r="2477" spans="1:15" ht="18" customHeight="1" x14ac:dyDescent="0.3">
      <c r="A2477" s="24">
        <v>2476</v>
      </c>
      <c r="B2477" s="8" t="s">
        <v>1840</v>
      </c>
      <c r="C2477" s="8" t="s">
        <v>1899</v>
      </c>
      <c r="D2477" s="8">
        <v>138</v>
      </c>
      <c r="E2477" s="56" t="s">
        <v>1900</v>
      </c>
      <c r="F2477" s="19" t="s">
        <v>1901</v>
      </c>
      <c r="G2477" s="8" t="s">
        <v>2553</v>
      </c>
      <c r="H2477" s="10" t="s">
        <v>2378</v>
      </c>
      <c r="I2477" s="62">
        <v>59</v>
      </c>
      <c r="J2477" s="10" t="s">
        <v>2372</v>
      </c>
      <c r="K2477" s="10" t="s">
        <v>847</v>
      </c>
      <c r="L2477" s="10" t="s">
        <v>2373</v>
      </c>
      <c r="M2477" s="10" t="s">
        <v>2372</v>
      </c>
      <c r="N2477" s="10" t="s">
        <v>2373</v>
      </c>
      <c r="O2477" s="10"/>
    </row>
    <row r="2478" spans="1:15" ht="18" customHeight="1" x14ac:dyDescent="0.3">
      <c r="A2478" s="24">
        <v>2477</v>
      </c>
      <c r="B2478" s="99" t="s">
        <v>2987</v>
      </c>
      <c r="C2478" s="99" t="s">
        <v>2988</v>
      </c>
      <c r="D2478" s="99">
        <v>139</v>
      </c>
      <c r="E2478" s="56" t="s">
        <v>2989</v>
      </c>
      <c r="F2478" s="56" t="s">
        <v>2990</v>
      </c>
      <c r="G2478" s="99" t="s">
        <v>2991</v>
      </c>
      <c r="H2478" s="10" t="s">
        <v>2995</v>
      </c>
      <c r="I2478" s="62">
        <v>45</v>
      </c>
      <c r="J2478" s="8" t="s">
        <v>2997</v>
      </c>
      <c r="K2478" s="10" t="s">
        <v>2994</v>
      </c>
      <c r="L2478" s="10" t="s">
        <v>820</v>
      </c>
      <c r="M2478" s="10" t="s">
        <v>884</v>
      </c>
      <c r="N2478" s="10" t="s">
        <v>820</v>
      </c>
      <c r="O2478" s="10"/>
    </row>
    <row r="2479" spans="1:15" ht="18" customHeight="1" x14ac:dyDescent="0.3">
      <c r="A2479" s="24">
        <v>2478</v>
      </c>
      <c r="B2479" s="99" t="s">
        <v>2987</v>
      </c>
      <c r="C2479" s="99" t="s">
        <v>2988</v>
      </c>
      <c r="D2479" s="99">
        <v>139</v>
      </c>
      <c r="E2479" s="56" t="s">
        <v>2989</v>
      </c>
      <c r="F2479" s="56" t="s">
        <v>2990</v>
      </c>
      <c r="G2479" s="99" t="s">
        <v>2991</v>
      </c>
      <c r="H2479" s="10" t="s">
        <v>2996</v>
      </c>
      <c r="I2479" s="62">
        <v>50</v>
      </c>
      <c r="J2479" s="8" t="s">
        <v>2998</v>
      </c>
      <c r="K2479" s="10" t="s">
        <v>2994</v>
      </c>
      <c r="L2479" s="10" t="s">
        <v>820</v>
      </c>
      <c r="M2479" s="10" t="s">
        <v>884</v>
      </c>
      <c r="N2479" s="10" t="s">
        <v>820</v>
      </c>
      <c r="O2479" s="10"/>
    </row>
    <row r="2480" spans="1:15" ht="18" customHeight="1" x14ac:dyDescent="0.3">
      <c r="A2480" s="24">
        <v>2479</v>
      </c>
      <c r="B2480" s="10" t="s">
        <v>1848</v>
      </c>
      <c r="C2480" s="10" t="s">
        <v>1908</v>
      </c>
      <c r="D2480" s="62">
        <v>139</v>
      </c>
      <c r="E2480" s="61" t="s">
        <v>2779</v>
      </c>
      <c r="F2480" s="44" t="s">
        <v>1910</v>
      </c>
      <c r="G2480" s="10" t="s">
        <v>1278</v>
      </c>
      <c r="H2480" s="10" t="s">
        <v>2385</v>
      </c>
      <c r="I2480" s="62">
        <v>92</v>
      </c>
      <c r="J2480" s="10" t="s">
        <v>2374</v>
      </c>
      <c r="K2480" s="10" t="s">
        <v>2372</v>
      </c>
      <c r="L2480" s="10" t="s">
        <v>2373</v>
      </c>
      <c r="M2480" s="10" t="s">
        <v>2372</v>
      </c>
      <c r="N2480" s="10" t="s">
        <v>2373</v>
      </c>
      <c r="O2480" s="10"/>
    </row>
    <row r="2481" spans="1:15" ht="18" customHeight="1" x14ac:dyDescent="0.3">
      <c r="A2481" s="24">
        <v>2480</v>
      </c>
      <c r="B2481" s="10" t="s">
        <v>1848</v>
      </c>
      <c r="C2481" s="10" t="s">
        <v>1908</v>
      </c>
      <c r="D2481" s="62">
        <v>139</v>
      </c>
      <c r="E2481" s="61" t="s">
        <v>2919</v>
      </c>
      <c r="F2481" s="128" t="s">
        <v>1912</v>
      </c>
      <c r="G2481" s="10" t="s">
        <v>1278</v>
      </c>
      <c r="H2481" s="10" t="s">
        <v>2668</v>
      </c>
      <c r="I2481" s="62">
        <v>43</v>
      </c>
      <c r="J2481" s="10" t="s">
        <v>2372</v>
      </c>
      <c r="K2481" s="10" t="s">
        <v>847</v>
      </c>
      <c r="L2481" s="10" t="s">
        <v>2373</v>
      </c>
      <c r="M2481" s="10" t="s">
        <v>2372</v>
      </c>
      <c r="N2481" s="10" t="s">
        <v>2373</v>
      </c>
      <c r="O2481" s="10"/>
    </row>
    <row r="2482" spans="1:15" ht="18" customHeight="1" x14ac:dyDescent="0.3">
      <c r="A2482" s="24">
        <v>2481</v>
      </c>
      <c r="B2482" s="10" t="s">
        <v>1848</v>
      </c>
      <c r="C2482" s="10" t="s">
        <v>1908</v>
      </c>
      <c r="D2482" s="62">
        <v>139</v>
      </c>
      <c r="E2482" s="61" t="s">
        <v>2919</v>
      </c>
      <c r="F2482" s="129" t="s">
        <v>1912</v>
      </c>
      <c r="G2482" s="10" t="s">
        <v>1278</v>
      </c>
      <c r="H2482" s="10" t="s">
        <v>2669</v>
      </c>
      <c r="I2482" s="62">
        <v>56</v>
      </c>
      <c r="J2482" s="10" t="s">
        <v>2372</v>
      </c>
      <c r="K2482" s="10" t="s">
        <v>847</v>
      </c>
      <c r="L2482" s="10" t="s">
        <v>2373</v>
      </c>
      <c r="M2482" s="10" t="s">
        <v>2372</v>
      </c>
      <c r="N2482" s="10" t="s">
        <v>2373</v>
      </c>
      <c r="O2482" s="10"/>
    </row>
    <row r="2483" spans="1:15" ht="18" customHeight="1" x14ac:dyDescent="0.3">
      <c r="A2483" s="24">
        <v>2482</v>
      </c>
      <c r="B2483" s="10" t="s">
        <v>1848</v>
      </c>
      <c r="C2483" s="10" t="s">
        <v>1914</v>
      </c>
      <c r="D2483" s="62">
        <v>140</v>
      </c>
      <c r="E2483" s="16" t="s">
        <v>1915</v>
      </c>
      <c r="F2483" s="19" t="s">
        <v>1916</v>
      </c>
      <c r="G2483" s="8" t="s">
        <v>2373</v>
      </c>
      <c r="H2483" s="10" t="s">
        <v>2385</v>
      </c>
      <c r="I2483" s="62">
        <v>51</v>
      </c>
      <c r="J2483" s="10" t="s">
        <v>2372</v>
      </c>
      <c r="K2483" s="10" t="s">
        <v>847</v>
      </c>
      <c r="L2483" s="10" t="s">
        <v>2373</v>
      </c>
      <c r="M2483" s="10" t="s">
        <v>2372</v>
      </c>
      <c r="N2483" s="10" t="s">
        <v>2373</v>
      </c>
      <c r="O2483" s="10"/>
    </row>
    <row r="2484" spans="1:15" ht="18" customHeight="1" x14ac:dyDescent="0.3">
      <c r="A2484" s="24">
        <v>2483</v>
      </c>
      <c r="B2484" s="10" t="s">
        <v>1848</v>
      </c>
      <c r="C2484" s="10" t="s">
        <v>1914</v>
      </c>
      <c r="D2484" s="62">
        <v>140</v>
      </c>
      <c r="E2484" s="16" t="s">
        <v>1915</v>
      </c>
      <c r="F2484" s="19" t="s">
        <v>1916</v>
      </c>
      <c r="G2484" s="8" t="s">
        <v>2373</v>
      </c>
      <c r="H2484" s="10" t="s">
        <v>2378</v>
      </c>
      <c r="I2484" s="62">
        <v>42</v>
      </c>
      <c r="J2484" s="10" t="s">
        <v>2372</v>
      </c>
      <c r="K2484" s="10" t="s">
        <v>847</v>
      </c>
      <c r="L2484" s="10" t="s">
        <v>2373</v>
      </c>
      <c r="M2484" s="10" t="s">
        <v>2372</v>
      </c>
      <c r="N2484" s="10" t="s">
        <v>2373</v>
      </c>
      <c r="O2484" s="10"/>
    </row>
    <row r="2485" spans="1:15" ht="18" customHeight="1" x14ac:dyDescent="0.3">
      <c r="A2485" s="24">
        <v>2484</v>
      </c>
      <c r="B2485" s="10" t="s">
        <v>77</v>
      </c>
      <c r="C2485" s="10" t="s">
        <v>86</v>
      </c>
      <c r="D2485" s="62">
        <v>141</v>
      </c>
      <c r="E2485" s="61" t="s">
        <v>938</v>
      </c>
      <c r="F2485" s="19" t="s">
        <v>1907</v>
      </c>
      <c r="G2485" s="10" t="s">
        <v>2373</v>
      </c>
      <c r="H2485" s="10" t="s">
        <v>845</v>
      </c>
      <c r="I2485" s="62">
        <v>57</v>
      </c>
      <c r="J2485" s="10" t="s">
        <v>2374</v>
      </c>
      <c r="K2485" s="10" t="s">
        <v>2372</v>
      </c>
      <c r="L2485" s="10" t="s">
        <v>2373</v>
      </c>
      <c r="M2485" s="10" t="s">
        <v>2372</v>
      </c>
      <c r="N2485" s="10" t="s">
        <v>2373</v>
      </c>
      <c r="O2485" s="10"/>
    </row>
    <row r="2486" spans="1:15" ht="18" customHeight="1" x14ac:dyDescent="0.3">
      <c r="A2486" s="24">
        <v>2485</v>
      </c>
      <c r="B2486" s="10" t="s">
        <v>77</v>
      </c>
      <c r="C2486" s="10" t="s">
        <v>86</v>
      </c>
      <c r="D2486" s="62">
        <v>141</v>
      </c>
      <c r="E2486" s="61" t="s">
        <v>938</v>
      </c>
      <c r="F2486" s="19" t="s">
        <v>1907</v>
      </c>
      <c r="G2486" s="10" t="s">
        <v>2373</v>
      </c>
      <c r="H2486" s="10" t="s">
        <v>848</v>
      </c>
      <c r="I2486" s="62">
        <v>37</v>
      </c>
      <c r="J2486" s="10" t="s">
        <v>2372</v>
      </c>
      <c r="K2486" s="10" t="s">
        <v>2372</v>
      </c>
      <c r="L2486" s="10" t="s">
        <v>2373</v>
      </c>
      <c r="M2486" s="10" t="s">
        <v>2372</v>
      </c>
      <c r="N2486" s="10" t="s">
        <v>2373</v>
      </c>
      <c r="O2486" s="10"/>
    </row>
    <row r="2487" spans="1:15" ht="18" customHeight="1" x14ac:dyDescent="0.3">
      <c r="A2487" s="24">
        <v>2486</v>
      </c>
      <c r="B2487" s="10" t="s">
        <v>87</v>
      </c>
      <c r="C2487" s="10" t="s">
        <v>88</v>
      </c>
      <c r="D2487" s="62">
        <v>142</v>
      </c>
      <c r="E2487" s="61" t="s">
        <v>248</v>
      </c>
      <c r="F2487" s="16" t="s">
        <v>699</v>
      </c>
      <c r="G2487" s="10" t="s">
        <v>150</v>
      </c>
      <c r="H2487" s="10" t="s">
        <v>845</v>
      </c>
      <c r="I2487" s="62">
        <v>87</v>
      </c>
      <c r="J2487" s="8" t="s">
        <v>2372</v>
      </c>
      <c r="K2487" s="10" t="s">
        <v>847</v>
      </c>
      <c r="L2487" s="10" t="s">
        <v>2373</v>
      </c>
      <c r="M2487" s="10" t="s">
        <v>2372</v>
      </c>
      <c r="N2487" s="10" t="s">
        <v>2373</v>
      </c>
      <c r="O2487" s="10"/>
    </row>
    <row r="2488" spans="1:15" ht="18" customHeight="1" x14ac:dyDescent="0.3">
      <c r="A2488" s="24">
        <v>2487</v>
      </c>
      <c r="B2488" s="10" t="s">
        <v>87</v>
      </c>
      <c r="C2488" s="10" t="s">
        <v>88</v>
      </c>
      <c r="D2488" s="62">
        <v>142</v>
      </c>
      <c r="E2488" s="61" t="s">
        <v>248</v>
      </c>
      <c r="F2488" s="16" t="s">
        <v>699</v>
      </c>
      <c r="G2488" s="10" t="s">
        <v>150</v>
      </c>
      <c r="H2488" s="10" t="s">
        <v>848</v>
      </c>
      <c r="I2488" s="62">
        <v>83</v>
      </c>
      <c r="J2488" s="8" t="s">
        <v>2372</v>
      </c>
      <c r="K2488" s="10" t="s">
        <v>847</v>
      </c>
      <c r="L2488" s="10" t="s">
        <v>2373</v>
      </c>
      <c r="M2488" s="10" t="s">
        <v>2372</v>
      </c>
      <c r="N2488" s="10" t="s">
        <v>2373</v>
      </c>
      <c r="O2488" s="10"/>
    </row>
    <row r="2489" spans="1:15" ht="18" customHeight="1" x14ac:dyDescent="0.3">
      <c r="A2489" s="24">
        <v>2488</v>
      </c>
      <c r="B2489" s="10" t="s">
        <v>87</v>
      </c>
      <c r="C2489" s="10" t="s">
        <v>88</v>
      </c>
      <c r="D2489" s="62">
        <v>142</v>
      </c>
      <c r="E2489" s="61" t="s">
        <v>248</v>
      </c>
      <c r="F2489" s="16" t="s">
        <v>699</v>
      </c>
      <c r="G2489" s="10" t="s">
        <v>150</v>
      </c>
      <c r="H2489" s="10" t="s">
        <v>849</v>
      </c>
      <c r="I2489" s="62">
        <v>156</v>
      </c>
      <c r="J2489" s="8" t="s">
        <v>2372</v>
      </c>
      <c r="K2489" s="10" t="s">
        <v>847</v>
      </c>
      <c r="L2489" s="10" t="s">
        <v>2373</v>
      </c>
      <c r="M2489" s="10" t="s">
        <v>2372</v>
      </c>
      <c r="N2489" s="10" t="s">
        <v>2373</v>
      </c>
      <c r="O2489" s="10"/>
    </row>
    <row r="2490" spans="1:15" ht="18" customHeight="1" x14ac:dyDescent="0.3">
      <c r="A2490" s="24">
        <v>2489</v>
      </c>
      <c r="B2490" s="10" t="s">
        <v>87</v>
      </c>
      <c r="C2490" s="10" t="s">
        <v>88</v>
      </c>
      <c r="D2490" s="62">
        <v>142</v>
      </c>
      <c r="E2490" s="61" t="s">
        <v>248</v>
      </c>
      <c r="F2490" s="16" t="s">
        <v>699</v>
      </c>
      <c r="G2490" s="10" t="s">
        <v>150</v>
      </c>
      <c r="H2490" s="10" t="s">
        <v>850</v>
      </c>
      <c r="I2490" s="62">
        <v>221</v>
      </c>
      <c r="J2490" s="8" t="s">
        <v>2372</v>
      </c>
      <c r="K2490" s="10" t="s">
        <v>847</v>
      </c>
      <c r="L2490" s="10" t="s">
        <v>2373</v>
      </c>
      <c r="M2490" s="10" t="s">
        <v>2372</v>
      </c>
      <c r="N2490" s="10" t="s">
        <v>2373</v>
      </c>
      <c r="O2490" s="10"/>
    </row>
    <row r="2491" spans="1:15" ht="18" customHeight="1" x14ac:dyDescent="0.3">
      <c r="A2491" s="24">
        <v>2490</v>
      </c>
      <c r="B2491" s="10" t="s">
        <v>87</v>
      </c>
      <c r="C2491" s="10" t="s">
        <v>88</v>
      </c>
      <c r="D2491" s="62">
        <v>142</v>
      </c>
      <c r="E2491" s="61" t="s">
        <v>248</v>
      </c>
      <c r="F2491" s="16" t="s">
        <v>699</v>
      </c>
      <c r="G2491" s="10" t="s">
        <v>150</v>
      </c>
      <c r="H2491" s="10" t="s">
        <v>851</v>
      </c>
      <c r="I2491" s="62">
        <v>99</v>
      </c>
      <c r="J2491" s="8" t="s">
        <v>2372</v>
      </c>
      <c r="K2491" s="10" t="s">
        <v>847</v>
      </c>
      <c r="L2491" s="10" t="s">
        <v>2373</v>
      </c>
      <c r="M2491" s="10" t="s">
        <v>2372</v>
      </c>
      <c r="N2491" s="10" t="s">
        <v>2373</v>
      </c>
      <c r="O2491" s="10"/>
    </row>
    <row r="2492" spans="1:15" ht="18" customHeight="1" x14ac:dyDescent="0.3">
      <c r="A2492" s="24">
        <v>2491</v>
      </c>
      <c r="B2492" s="10" t="s">
        <v>87</v>
      </c>
      <c r="C2492" s="10" t="s">
        <v>88</v>
      </c>
      <c r="D2492" s="62">
        <v>142</v>
      </c>
      <c r="E2492" s="61" t="s">
        <v>248</v>
      </c>
      <c r="F2492" s="16" t="s">
        <v>699</v>
      </c>
      <c r="G2492" s="10" t="s">
        <v>150</v>
      </c>
      <c r="H2492" s="10" t="s">
        <v>852</v>
      </c>
      <c r="I2492" s="62">
        <v>384</v>
      </c>
      <c r="J2492" s="8" t="s">
        <v>846</v>
      </c>
      <c r="K2492" s="10" t="s">
        <v>2374</v>
      </c>
      <c r="L2492" s="10" t="s">
        <v>2446</v>
      </c>
      <c r="M2492" s="10" t="s">
        <v>2372</v>
      </c>
      <c r="N2492" s="10" t="s">
        <v>2373</v>
      </c>
      <c r="O2492" s="10" t="s">
        <v>2977</v>
      </c>
    </row>
    <row r="2493" spans="1:15" ht="18" customHeight="1" x14ac:dyDescent="0.3">
      <c r="A2493" s="24">
        <v>2492</v>
      </c>
      <c r="B2493" s="10" t="s">
        <v>87</v>
      </c>
      <c r="C2493" s="10" t="s">
        <v>88</v>
      </c>
      <c r="D2493" s="62">
        <v>142</v>
      </c>
      <c r="E2493" s="61" t="s">
        <v>248</v>
      </c>
      <c r="F2493" s="16" t="s">
        <v>699</v>
      </c>
      <c r="G2493" s="10" t="s">
        <v>150</v>
      </c>
      <c r="H2493" s="10" t="s">
        <v>853</v>
      </c>
      <c r="I2493" s="62">
        <v>156</v>
      </c>
      <c r="J2493" s="8" t="s">
        <v>2372</v>
      </c>
      <c r="K2493" s="10" t="s">
        <v>847</v>
      </c>
      <c r="L2493" s="10" t="s">
        <v>2373</v>
      </c>
      <c r="M2493" s="10" t="s">
        <v>2372</v>
      </c>
      <c r="N2493" s="10" t="s">
        <v>2373</v>
      </c>
      <c r="O2493" s="10"/>
    </row>
    <row r="2494" spans="1:15" ht="18" customHeight="1" x14ac:dyDescent="0.3">
      <c r="A2494" s="24">
        <v>2493</v>
      </c>
      <c r="B2494" s="10" t="s">
        <v>87</v>
      </c>
      <c r="C2494" s="10" t="s">
        <v>88</v>
      </c>
      <c r="D2494" s="62">
        <v>142</v>
      </c>
      <c r="E2494" s="61" t="s">
        <v>248</v>
      </c>
      <c r="F2494" s="16" t="s">
        <v>699</v>
      </c>
      <c r="G2494" s="10" t="s">
        <v>150</v>
      </c>
      <c r="H2494" s="10" t="s">
        <v>854</v>
      </c>
      <c r="I2494" s="62">
        <v>96</v>
      </c>
      <c r="J2494" s="8" t="s">
        <v>846</v>
      </c>
      <c r="K2494" s="10" t="s">
        <v>847</v>
      </c>
      <c r="L2494" s="10" t="s">
        <v>2373</v>
      </c>
      <c r="M2494" s="10" t="s">
        <v>2372</v>
      </c>
      <c r="N2494" s="10" t="s">
        <v>2373</v>
      </c>
      <c r="O2494" s="10"/>
    </row>
    <row r="2495" spans="1:15" ht="18" customHeight="1" x14ac:dyDescent="0.3">
      <c r="A2495" s="24">
        <v>2494</v>
      </c>
      <c r="B2495" s="10" t="s">
        <v>87</v>
      </c>
      <c r="C2495" s="10" t="s">
        <v>88</v>
      </c>
      <c r="D2495" s="62">
        <v>142</v>
      </c>
      <c r="E2495" s="61" t="s">
        <v>2920</v>
      </c>
      <c r="F2495" s="19" t="s">
        <v>691</v>
      </c>
      <c r="G2495" s="10" t="s">
        <v>160</v>
      </c>
      <c r="H2495" s="10" t="s">
        <v>845</v>
      </c>
      <c r="I2495" s="62">
        <v>148</v>
      </c>
      <c r="J2495" s="10" t="s">
        <v>2372</v>
      </c>
      <c r="K2495" s="10" t="s">
        <v>847</v>
      </c>
      <c r="L2495" s="10" t="s">
        <v>2373</v>
      </c>
      <c r="M2495" s="10" t="s">
        <v>2372</v>
      </c>
      <c r="N2495" s="10" t="s">
        <v>2373</v>
      </c>
      <c r="O2495" s="10"/>
    </row>
    <row r="2496" spans="1:15" ht="18" customHeight="1" x14ac:dyDescent="0.3">
      <c r="A2496" s="24">
        <v>2495</v>
      </c>
      <c r="B2496" s="10" t="s">
        <v>87</v>
      </c>
      <c r="C2496" s="10" t="s">
        <v>88</v>
      </c>
      <c r="D2496" s="62">
        <v>142</v>
      </c>
      <c r="E2496" s="61" t="s">
        <v>2920</v>
      </c>
      <c r="F2496" s="19" t="s">
        <v>691</v>
      </c>
      <c r="G2496" s="10" t="s">
        <v>160</v>
      </c>
      <c r="H2496" s="10" t="s">
        <v>848</v>
      </c>
      <c r="I2496" s="62">
        <v>152</v>
      </c>
      <c r="J2496" s="10" t="s">
        <v>2372</v>
      </c>
      <c r="K2496" s="10" t="s">
        <v>847</v>
      </c>
      <c r="L2496" s="10" t="s">
        <v>2373</v>
      </c>
      <c r="M2496" s="10" t="s">
        <v>2372</v>
      </c>
      <c r="N2496" s="10" t="s">
        <v>2373</v>
      </c>
      <c r="O2496" s="10"/>
    </row>
    <row r="2497" spans="1:15" ht="18" customHeight="1" x14ac:dyDescent="0.3">
      <c r="A2497" s="24">
        <v>2496</v>
      </c>
      <c r="B2497" s="10" t="s">
        <v>87</v>
      </c>
      <c r="C2497" s="10" t="s">
        <v>88</v>
      </c>
      <c r="D2497" s="62">
        <v>142</v>
      </c>
      <c r="E2497" s="61" t="s">
        <v>2920</v>
      </c>
      <c r="F2497" s="19" t="s">
        <v>691</v>
      </c>
      <c r="G2497" s="10" t="s">
        <v>160</v>
      </c>
      <c r="H2497" s="10" t="s">
        <v>849</v>
      </c>
      <c r="I2497" s="62">
        <v>76</v>
      </c>
      <c r="J2497" s="10" t="s">
        <v>2372</v>
      </c>
      <c r="K2497" s="10" t="s">
        <v>847</v>
      </c>
      <c r="L2497" s="10" t="s">
        <v>2373</v>
      </c>
      <c r="M2497" s="10" t="s">
        <v>2372</v>
      </c>
      <c r="N2497" s="10" t="s">
        <v>2373</v>
      </c>
      <c r="O2497" s="10"/>
    </row>
    <row r="2498" spans="1:15" ht="18" customHeight="1" x14ac:dyDescent="0.3">
      <c r="A2498" s="24">
        <v>2497</v>
      </c>
      <c r="B2498" s="10" t="s">
        <v>87</v>
      </c>
      <c r="C2498" s="10" t="s">
        <v>88</v>
      </c>
      <c r="D2498" s="62">
        <v>142</v>
      </c>
      <c r="E2498" s="61" t="s">
        <v>2920</v>
      </c>
      <c r="F2498" s="19" t="s">
        <v>691</v>
      </c>
      <c r="G2498" s="10" t="s">
        <v>160</v>
      </c>
      <c r="H2498" s="10" t="s">
        <v>851</v>
      </c>
      <c r="I2498" s="62">
        <v>108</v>
      </c>
      <c r="J2498" s="10" t="s">
        <v>2372</v>
      </c>
      <c r="K2498" s="10" t="s">
        <v>847</v>
      </c>
      <c r="L2498" s="10" t="s">
        <v>2373</v>
      </c>
      <c r="M2498" s="10" t="s">
        <v>2372</v>
      </c>
      <c r="N2498" s="10" t="s">
        <v>2373</v>
      </c>
      <c r="O2498" s="10"/>
    </row>
    <row r="2499" spans="1:15" ht="18" customHeight="1" x14ac:dyDescent="0.3">
      <c r="A2499" s="24">
        <v>2498</v>
      </c>
      <c r="B2499" s="10" t="s">
        <v>87</v>
      </c>
      <c r="C2499" s="10" t="s">
        <v>88</v>
      </c>
      <c r="D2499" s="62">
        <v>142</v>
      </c>
      <c r="E2499" s="61" t="s">
        <v>2920</v>
      </c>
      <c r="F2499" s="19" t="s">
        <v>691</v>
      </c>
      <c r="G2499" s="10" t="s">
        <v>160</v>
      </c>
      <c r="H2499" s="10" t="s">
        <v>852</v>
      </c>
      <c r="I2499" s="62">
        <v>75</v>
      </c>
      <c r="J2499" s="10" t="s">
        <v>2372</v>
      </c>
      <c r="K2499" s="10" t="s">
        <v>847</v>
      </c>
      <c r="L2499" s="10" t="s">
        <v>2373</v>
      </c>
      <c r="M2499" s="10" t="s">
        <v>2372</v>
      </c>
      <c r="N2499" s="10" t="s">
        <v>2373</v>
      </c>
      <c r="O2499" s="10"/>
    </row>
    <row r="2500" spans="1:15" ht="18" customHeight="1" x14ac:dyDescent="0.3">
      <c r="A2500" s="24">
        <v>2499</v>
      </c>
      <c r="B2500" s="10" t="s">
        <v>87</v>
      </c>
      <c r="C2500" s="10" t="s">
        <v>88</v>
      </c>
      <c r="D2500" s="62">
        <v>142</v>
      </c>
      <c r="E2500" s="61" t="s">
        <v>2920</v>
      </c>
      <c r="F2500" s="19" t="s">
        <v>691</v>
      </c>
      <c r="G2500" s="10" t="s">
        <v>160</v>
      </c>
      <c r="H2500" s="10" t="s">
        <v>853</v>
      </c>
      <c r="I2500" s="62">
        <v>228</v>
      </c>
      <c r="J2500" s="10" t="s">
        <v>2372</v>
      </c>
      <c r="K2500" s="10" t="s">
        <v>847</v>
      </c>
      <c r="L2500" s="10" t="s">
        <v>2373</v>
      </c>
      <c r="M2500" s="10" t="s">
        <v>2372</v>
      </c>
      <c r="N2500" s="10" t="s">
        <v>2373</v>
      </c>
      <c r="O2500" s="10"/>
    </row>
    <row r="2501" spans="1:15" ht="18" customHeight="1" x14ac:dyDescent="0.3">
      <c r="A2501" s="24">
        <v>2500</v>
      </c>
      <c r="B2501" s="10" t="s">
        <v>87</v>
      </c>
      <c r="C2501" s="10" t="s">
        <v>88</v>
      </c>
      <c r="D2501" s="62">
        <v>142</v>
      </c>
      <c r="E2501" s="61" t="s">
        <v>2920</v>
      </c>
      <c r="F2501" s="19" t="s">
        <v>691</v>
      </c>
      <c r="G2501" s="10" t="s">
        <v>160</v>
      </c>
      <c r="H2501" s="10" t="s">
        <v>854</v>
      </c>
      <c r="I2501" s="62">
        <v>62</v>
      </c>
      <c r="J2501" s="10" t="s">
        <v>2372</v>
      </c>
      <c r="K2501" s="10" t="s">
        <v>847</v>
      </c>
      <c r="L2501" s="10" t="s">
        <v>2373</v>
      </c>
      <c r="M2501" s="10" t="s">
        <v>2372</v>
      </c>
      <c r="N2501" s="10" t="s">
        <v>2373</v>
      </c>
      <c r="O2501" s="10"/>
    </row>
    <row r="2502" spans="1:15" ht="18" customHeight="1" x14ac:dyDescent="0.3">
      <c r="A2502" s="24">
        <v>2501</v>
      </c>
      <c r="B2502" s="10" t="s">
        <v>87</v>
      </c>
      <c r="C2502" s="10" t="s">
        <v>88</v>
      </c>
      <c r="D2502" s="62">
        <v>142</v>
      </c>
      <c r="E2502" s="61" t="s">
        <v>2920</v>
      </c>
      <c r="F2502" s="19" t="s">
        <v>691</v>
      </c>
      <c r="G2502" s="10" t="s">
        <v>160</v>
      </c>
      <c r="H2502" s="10" t="s">
        <v>855</v>
      </c>
      <c r="I2502" s="62">
        <v>55</v>
      </c>
      <c r="J2502" s="10" t="s">
        <v>2372</v>
      </c>
      <c r="K2502" s="10" t="s">
        <v>847</v>
      </c>
      <c r="L2502" s="10" t="s">
        <v>2373</v>
      </c>
      <c r="M2502" s="10" t="s">
        <v>2372</v>
      </c>
      <c r="N2502" s="10" t="s">
        <v>2373</v>
      </c>
      <c r="O2502" s="10"/>
    </row>
    <row r="2503" spans="1:15" ht="18" customHeight="1" x14ac:dyDescent="0.3">
      <c r="A2503" s="24">
        <v>2502</v>
      </c>
      <c r="B2503" s="10" t="s">
        <v>87</v>
      </c>
      <c r="C2503" s="10" t="s">
        <v>88</v>
      </c>
      <c r="D2503" s="62">
        <v>142</v>
      </c>
      <c r="E2503" s="61" t="s">
        <v>2921</v>
      </c>
      <c r="F2503" s="19" t="s">
        <v>692</v>
      </c>
      <c r="G2503" s="10" t="s">
        <v>150</v>
      </c>
      <c r="H2503" s="10" t="s">
        <v>845</v>
      </c>
      <c r="I2503" s="62">
        <v>141</v>
      </c>
      <c r="J2503" s="10" t="s">
        <v>2374</v>
      </c>
      <c r="K2503" s="10" t="s">
        <v>847</v>
      </c>
      <c r="L2503" s="10" t="s">
        <v>2373</v>
      </c>
      <c r="M2503" s="10" t="s">
        <v>2372</v>
      </c>
      <c r="N2503" s="10" t="s">
        <v>2373</v>
      </c>
      <c r="O2503" s="10"/>
    </row>
    <row r="2504" spans="1:15" ht="18" customHeight="1" x14ac:dyDescent="0.3">
      <c r="A2504" s="24">
        <v>2503</v>
      </c>
      <c r="B2504" s="10" t="s">
        <v>87</v>
      </c>
      <c r="C2504" s="10" t="s">
        <v>88</v>
      </c>
      <c r="D2504" s="62">
        <v>142</v>
      </c>
      <c r="E2504" s="61" t="s">
        <v>2921</v>
      </c>
      <c r="F2504" s="19" t="s">
        <v>692</v>
      </c>
      <c r="G2504" s="10" t="s">
        <v>150</v>
      </c>
      <c r="H2504" s="10" t="s">
        <v>848</v>
      </c>
      <c r="I2504" s="62">
        <v>128</v>
      </c>
      <c r="J2504" s="10" t="s">
        <v>2372</v>
      </c>
      <c r="K2504" s="10" t="s">
        <v>847</v>
      </c>
      <c r="L2504" s="10" t="s">
        <v>2373</v>
      </c>
      <c r="M2504" s="10" t="s">
        <v>2374</v>
      </c>
      <c r="N2504" s="10" t="s">
        <v>1256</v>
      </c>
      <c r="O2504" s="10"/>
    </row>
    <row r="2505" spans="1:15" ht="18" customHeight="1" x14ac:dyDescent="0.3">
      <c r="A2505" s="24">
        <v>2504</v>
      </c>
      <c r="B2505" s="10" t="s">
        <v>87</v>
      </c>
      <c r="C2505" s="10" t="s">
        <v>88</v>
      </c>
      <c r="D2505" s="62">
        <v>142</v>
      </c>
      <c r="E2505" s="61" t="s">
        <v>2921</v>
      </c>
      <c r="F2505" s="19" t="s">
        <v>692</v>
      </c>
      <c r="G2505" s="10" t="s">
        <v>150</v>
      </c>
      <c r="H2505" s="10" t="s">
        <v>849</v>
      </c>
      <c r="I2505" s="62">
        <v>140</v>
      </c>
      <c r="J2505" s="10" t="s">
        <v>2372</v>
      </c>
      <c r="K2505" s="10" t="s">
        <v>847</v>
      </c>
      <c r="L2505" s="10" t="s">
        <v>2373</v>
      </c>
      <c r="M2505" s="10" t="s">
        <v>2372</v>
      </c>
      <c r="N2505" s="10" t="s">
        <v>2373</v>
      </c>
      <c r="O2505" s="10"/>
    </row>
    <row r="2506" spans="1:15" ht="18" customHeight="1" x14ac:dyDescent="0.3">
      <c r="A2506" s="24">
        <v>2505</v>
      </c>
      <c r="B2506" s="10" t="s">
        <v>87</v>
      </c>
      <c r="C2506" s="10" t="s">
        <v>88</v>
      </c>
      <c r="D2506" s="62">
        <v>142</v>
      </c>
      <c r="E2506" s="61" t="s">
        <v>2921</v>
      </c>
      <c r="F2506" s="19" t="s">
        <v>692</v>
      </c>
      <c r="G2506" s="10" t="s">
        <v>150</v>
      </c>
      <c r="H2506" s="10" t="s">
        <v>850</v>
      </c>
      <c r="I2506" s="62">
        <v>66</v>
      </c>
      <c r="J2506" s="10" t="s">
        <v>2372</v>
      </c>
      <c r="K2506" s="10" t="s">
        <v>847</v>
      </c>
      <c r="L2506" s="10" t="s">
        <v>2373</v>
      </c>
      <c r="M2506" s="10" t="s">
        <v>2372</v>
      </c>
      <c r="N2506" s="10" t="s">
        <v>2373</v>
      </c>
      <c r="O2506" s="10"/>
    </row>
    <row r="2507" spans="1:15" ht="18" customHeight="1" x14ac:dyDescent="0.3">
      <c r="A2507" s="24">
        <v>2506</v>
      </c>
      <c r="B2507" s="10" t="s">
        <v>87</v>
      </c>
      <c r="C2507" s="10" t="s">
        <v>88</v>
      </c>
      <c r="D2507" s="62">
        <v>142</v>
      </c>
      <c r="E2507" s="61" t="s">
        <v>2921</v>
      </c>
      <c r="F2507" s="19" t="s">
        <v>692</v>
      </c>
      <c r="G2507" s="10" t="s">
        <v>150</v>
      </c>
      <c r="H2507" s="10" t="s">
        <v>851</v>
      </c>
      <c r="I2507" s="62">
        <v>241</v>
      </c>
      <c r="J2507" s="10" t="s">
        <v>2372</v>
      </c>
      <c r="K2507" s="10" t="s">
        <v>847</v>
      </c>
      <c r="L2507" s="10" t="s">
        <v>2373</v>
      </c>
      <c r="M2507" s="10" t="s">
        <v>2372</v>
      </c>
      <c r="N2507" s="10" t="s">
        <v>2373</v>
      </c>
      <c r="O2507" s="10"/>
    </row>
    <row r="2508" spans="1:15" ht="18" customHeight="1" x14ac:dyDescent="0.3">
      <c r="A2508" s="24">
        <v>2507</v>
      </c>
      <c r="B2508" s="10" t="s">
        <v>87</v>
      </c>
      <c r="C2508" s="10" t="s">
        <v>88</v>
      </c>
      <c r="D2508" s="62">
        <v>142</v>
      </c>
      <c r="E2508" s="61" t="s">
        <v>2921</v>
      </c>
      <c r="F2508" s="19" t="s">
        <v>692</v>
      </c>
      <c r="G2508" s="10" t="s">
        <v>150</v>
      </c>
      <c r="H2508" s="10" t="s">
        <v>852</v>
      </c>
      <c r="I2508" s="62">
        <v>228</v>
      </c>
      <c r="J2508" s="10" t="s">
        <v>2372</v>
      </c>
      <c r="K2508" s="10" t="s">
        <v>847</v>
      </c>
      <c r="L2508" s="10" t="s">
        <v>2373</v>
      </c>
      <c r="M2508" s="10" t="s">
        <v>2372</v>
      </c>
      <c r="N2508" s="10" t="s">
        <v>2373</v>
      </c>
      <c r="O2508" s="10"/>
    </row>
    <row r="2509" spans="1:15" ht="18" customHeight="1" x14ac:dyDescent="0.3">
      <c r="A2509" s="24">
        <v>2508</v>
      </c>
      <c r="B2509" s="10" t="s">
        <v>87</v>
      </c>
      <c r="C2509" s="10" t="s">
        <v>88</v>
      </c>
      <c r="D2509" s="62">
        <v>142</v>
      </c>
      <c r="E2509" s="61" t="s">
        <v>2921</v>
      </c>
      <c r="F2509" s="19" t="s">
        <v>692</v>
      </c>
      <c r="G2509" s="10" t="s">
        <v>150</v>
      </c>
      <c r="H2509" s="10" t="s">
        <v>2413</v>
      </c>
      <c r="I2509" s="62">
        <v>258</v>
      </c>
      <c r="J2509" s="10" t="s">
        <v>2374</v>
      </c>
      <c r="K2509" s="10" t="s">
        <v>2374</v>
      </c>
      <c r="L2509" s="10" t="s">
        <v>2414</v>
      </c>
      <c r="M2509" s="10" t="s">
        <v>2372</v>
      </c>
      <c r="N2509" s="10" t="s">
        <v>2373</v>
      </c>
      <c r="O2509" s="10" t="s">
        <v>2670</v>
      </c>
    </row>
    <row r="2510" spans="1:15" ht="18" customHeight="1" x14ac:dyDescent="0.3">
      <c r="A2510" s="24">
        <v>2509</v>
      </c>
      <c r="B2510" s="10" t="s">
        <v>87</v>
      </c>
      <c r="C2510" s="10" t="s">
        <v>88</v>
      </c>
      <c r="D2510" s="62">
        <v>142</v>
      </c>
      <c r="E2510" s="61" t="s">
        <v>2921</v>
      </c>
      <c r="F2510" s="19" t="s">
        <v>692</v>
      </c>
      <c r="G2510" s="10" t="s">
        <v>150</v>
      </c>
      <c r="H2510" s="10" t="s">
        <v>854</v>
      </c>
      <c r="I2510" s="62">
        <v>241</v>
      </c>
      <c r="J2510" s="10" t="s">
        <v>2372</v>
      </c>
      <c r="K2510" s="10" t="s">
        <v>847</v>
      </c>
      <c r="L2510" s="10" t="s">
        <v>2373</v>
      </c>
      <c r="M2510" s="10" t="s">
        <v>2372</v>
      </c>
      <c r="N2510" s="10" t="s">
        <v>2373</v>
      </c>
      <c r="O2510" s="10"/>
    </row>
    <row r="2511" spans="1:15" ht="18" customHeight="1" x14ac:dyDescent="0.3">
      <c r="A2511" s="24">
        <v>2510</v>
      </c>
      <c r="B2511" s="10" t="s">
        <v>87</v>
      </c>
      <c r="C2511" s="10" t="s">
        <v>88</v>
      </c>
      <c r="D2511" s="62">
        <v>142</v>
      </c>
      <c r="E2511" s="61" t="s">
        <v>2921</v>
      </c>
      <c r="F2511" s="19" t="s">
        <v>692</v>
      </c>
      <c r="G2511" s="10" t="s">
        <v>150</v>
      </c>
      <c r="H2511" s="10" t="s">
        <v>855</v>
      </c>
      <c r="I2511" s="62">
        <v>228</v>
      </c>
      <c r="J2511" s="10" t="s">
        <v>2374</v>
      </c>
      <c r="K2511" s="10" t="s">
        <v>847</v>
      </c>
      <c r="L2511" s="10" t="s">
        <v>2373</v>
      </c>
      <c r="M2511" s="10" t="s">
        <v>2372</v>
      </c>
      <c r="N2511" s="10" t="s">
        <v>2373</v>
      </c>
      <c r="O2511" s="10"/>
    </row>
    <row r="2512" spans="1:15" ht="18" customHeight="1" x14ac:dyDescent="0.3">
      <c r="A2512" s="24">
        <v>2511</v>
      </c>
      <c r="B2512" s="10" t="s">
        <v>87</v>
      </c>
      <c r="C2512" s="10" t="s">
        <v>88</v>
      </c>
      <c r="D2512" s="62">
        <v>142</v>
      </c>
      <c r="E2512" s="61" t="s">
        <v>2921</v>
      </c>
      <c r="F2512" s="19" t="s">
        <v>692</v>
      </c>
      <c r="G2512" s="10" t="s">
        <v>150</v>
      </c>
      <c r="H2512" s="10" t="s">
        <v>869</v>
      </c>
      <c r="I2512" s="62">
        <v>150</v>
      </c>
      <c r="J2512" s="10" t="s">
        <v>2372</v>
      </c>
      <c r="K2512" s="10" t="s">
        <v>847</v>
      </c>
      <c r="L2512" s="10" t="s">
        <v>2373</v>
      </c>
      <c r="M2512" s="10" t="s">
        <v>2372</v>
      </c>
      <c r="N2512" s="10" t="s">
        <v>2373</v>
      </c>
      <c r="O2512" s="10"/>
    </row>
    <row r="2513" spans="1:15" ht="18" customHeight="1" x14ac:dyDescent="0.3">
      <c r="A2513" s="24">
        <v>2512</v>
      </c>
      <c r="B2513" s="10" t="s">
        <v>87</v>
      </c>
      <c r="C2513" s="10" t="s">
        <v>88</v>
      </c>
      <c r="D2513" s="62">
        <v>142</v>
      </c>
      <c r="E2513" s="61" t="s">
        <v>2922</v>
      </c>
      <c r="F2513" s="19" t="s">
        <v>693</v>
      </c>
      <c r="G2513" s="10" t="s">
        <v>150</v>
      </c>
      <c r="H2513" s="10" t="s">
        <v>845</v>
      </c>
      <c r="I2513" s="62">
        <v>115</v>
      </c>
      <c r="J2513" s="10" t="s">
        <v>2372</v>
      </c>
      <c r="K2513" s="10" t="s">
        <v>847</v>
      </c>
      <c r="L2513" s="10" t="s">
        <v>2373</v>
      </c>
      <c r="M2513" s="10" t="s">
        <v>2372</v>
      </c>
      <c r="N2513" s="10" t="s">
        <v>2373</v>
      </c>
      <c r="O2513" s="10"/>
    </row>
    <row r="2514" spans="1:15" ht="18" customHeight="1" x14ac:dyDescent="0.3">
      <c r="A2514" s="24">
        <v>2513</v>
      </c>
      <c r="B2514" s="10" t="s">
        <v>87</v>
      </c>
      <c r="C2514" s="10" t="s">
        <v>88</v>
      </c>
      <c r="D2514" s="62">
        <v>142</v>
      </c>
      <c r="E2514" s="61" t="s">
        <v>2922</v>
      </c>
      <c r="F2514" s="19" t="s">
        <v>693</v>
      </c>
      <c r="G2514" s="10" t="s">
        <v>150</v>
      </c>
      <c r="H2514" s="10" t="s">
        <v>848</v>
      </c>
      <c r="I2514" s="62">
        <v>94</v>
      </c>
      <c r="J2514" s="10" t="s">
        <v>2372</v>
      </c>
      <c r="K2514" s="10" t="s">
        <v>847</v>
      </c>
      <c r="L2514" s="10" t="s">
        <v>2373</v>
      </c>
      <c r="M2514" s="10" t="s">
        <v>2372</v>
      </c>
      <c r="N2514" s="10" t="s">
        <v>2373</v>
      </c>
      <c r="O2514" s="10"/>
    </row>
    <row r="2515" spans="1:15" ht="18" customHeight="1" x14ac:dyDescent="0.3">
      <c r="A2515" s="24">
        <v>2514</v>
      </c>
      <c r="B2515" s="10" t="s">
        <v>87</v>
      </c>
      <c r="C2515" s="10" t="s">
        <v>88</v>
      </c>
      <c r="D2515" s="62">
        <v>142</v>
      </c>
      <c r="E2515" s="61" t="s">
        <v>2922</v>
      </c>
      <c r="F2515" s="19" t="s">
        <v>693</v>
      </c>
      <c r="G2515" s="10" t="s">
        <v>150</v>
      </c>
      <c r="H2515" s="10" t="s">
        <v>849</v>
      </c>
      <c r="I2515" s="62">
        <v>241</v>
      </c>
      <c r="J2515" s="10" t="s">
        <v>2374</v>
      </c>
      <c r="K2515" s="10" t="s">
        <v>847</v>
      </c>
      <c r="L2515" s="10" t="s">
        <v>2373</v>
      </c>
      <c r="M2515" s="10" t="s">
        <v>2372</v>
      </c>
      <c r="N2515" s="10" t="s">
        <v>2373</v>
      </c>
      <c r="O2515" s="10"/>
    </row>
    <row r="2516" spans="1:15" ht="18" customHeight="1" x14ac:dyDescent="0.3">
      <c r="A2516" s="24">
        <v>2515</v>
      </c>
      <c r="B2516" s="10" t="s">
        <v>87</v>
      </c>
      <c r="C2516" s="10" t="s">
        <v>88</v>
      </c>
      <c r="D2516" s="62">
        <v>142</v>
      </c>
      <c r="E2516" s="61" t="s">
        <v>2922</v>
      </c>
      <c r="F2516" s="19" t="s">
        <v>693</v>
      </c>
      <c r="G2516" s="10" t="s">
        <v>150</v>
      </c>
      <c r="H2516" s="10" t="s">
        <v>850</v>
      </c>
      <c r="I2516" s="62">
        <v>241</v>
      </c>
      <c r="J2516" s="10" t="s">
        <v>2372</v>
      </c>
      <c r="K2516" s="10" t="s">
        <v>847</v>
      </c>
      <c r="L2516" s="10" t="s">
        <v>2373</v>
      </c>
      <c r="M2516" s="10" t="s">
        <v>2372</v>
      </c>
      <c r="N2516" s="10" t="s">
        <v>2373</v>
      </c>
      <c r="O2516" s="10"/>
    </row>
    <row r="2517" spans="1:15" ht="18" customHeight="1" x14ac:dyDescent="0.3">
      <c r="A2517" s="24">
        <v>2516</v>
      </c>
      <c r="B2517" s="10" t="s">
        <v>87</v>
      </c>
      <c r="C2517" s="10" t="s">
        <v>88</v>
      </c>
      <c r="D2517" s="62">
        <v>142</v>
      </c>
      <c r="E2517" s="61" t="s">
        <v>2922</v>
      </c>
      <c r="F2517" s="19" t="s">
        <v>693</v>
      </c>
      <c r="G2517" s="10" t="s">
        <v>150</v>
      </c>
      <c r="H2517" s="10" t="s">
        <v>851</v>
      </c>
      <c r="I2517" s="62">
        <v>116</v>
      </c>
      <c r="J2517" s="10" t="s">
        <v>2372</v>
      </c>
      <c r="K2517" s="10" t="s">
        <v>847</v>
      </c>
      <c r="L2517" s="10" t="s">
        <v>2373</v>
      </c>
      <c r="M2517" s="10" t="s">
        <v>2372</v>
      </c>
      <c r="N2517" s="10" t="s">
        <v>2373</v>
      </c>
      <c r="O2517" s="10"/>
    </row>
    <row r="2518" spans="1:15" ht="18" customHeight="1" x14ac:dyDescent="0.3">
      <c r="A2518" s="24">
        <v>2517</v>
      </c>
      <c r="B2518" s="10" t="s">
        <v>87</v>
      </c>
      <c r="C2518" s="10" t="s">
        <v>88</v>
      </c>
      <c r="D2518" s="62">
        <v>142</v>
      </c>
      <c r="E2518" s="61" t="s">
        <v>2922</v>
      </c>
      <c r="F2518" s="19" t="s">
        <v>693</v>
      </c>
      <c r="G2518" s="10" t="s">
        <v>150</v>
      </c>
      <c r="H2518" s="10" t="s">
        <v>852</v>
      </c>
      <c r="I2518" s="62">
        <v>120</v>
      </c>
      <c r="J2518" s="10" t="s">
        <v>2372</v>
      </c>
      <c r="K2518" s="10" t="s">
        <v>847</v>
      </c>
      <c r="L2518" s="10" t="s">
        <v>2373</v>
      </c>
      <c r="M2518" s="10" t="s">
        <v>2372</v>
      </c>
      <c r="N2518" s="10" t="s">
        <v>2373</v>
      </c>
      <c r="O2518" s="10"/>
    </row>
    <row r="2519" spans="1:15" ht="18" customHeight="1" x14ac:dyDescent="0.3">
      <c r="A2519" s="24">
        <v>2518</v>
      </c>
      <c r="B2519" s="10" t="s">
        <v>87</v>
      </c>
      <c r="C2519" s="10" t="s">
        <v>88</v>
      </c>
      <c r="D2519" s="62">
        <v>142</v>
      </c>
      <c r="E2519" s="61" t="s">
        <v>2922</v>
      </c>
      <c r="F2519" s="19" t="s">
        <v>693</v>
      </c>
      <c r="G2519" s="10" t="s">
        <v>150</v>
      </c>
      <c r="H2519" s="10" t="s">
        <v>853</v>
      </c>
      <c r="I2519" s="62">
        <v>120</v>
      </c>
      <c r="J2519" s="10" t="s">
        <v>2374</v>
      </c>
      <c r="K2519" s="10" t="s">
        <v>847</v>
      </c>
      <c r="L2519" s="10" t="s">
        <v>2373</v>
      </c>
      <c r="M2519" s="10" t="s">
        <v>2372</v>
      </c>
      <c r="N2519" s="10" t="s">
        <v>2373</v>
      </c>
      <c r="O2519" s="10"/>
    </row>
    <row r="2520" spans="1:15" ht="18" customHeight="1" x14ac:dyDescent="0.3">
      <c r="A2520" s="24">
        <v>2519</v>
      </c>
      <c r="B2520" s="10" t="s">
        <v>87</v>
      </c>
      <c r="C2520" s="10" t="s">
        <v>88</v>
      </c>
      <c r="D2520" s="62">
        <v>142</v>
      </c>
      <c r="E2520" s="61" t="s">
        <v>2922</v>
      </c>
      <c r="F2520" s="19" t="s">
        <v>693</v>
      </c>
      <c r="G2520" s="10" t="s">
        <v>150</v>
      </c>
      <c r="H2520" s="10" t="s">
        <v>854</v>
      </c>
      <c r="I2520" s="62">
        <v>120</v>
      </c>
      <c r="J2520" s="10" t="s">
        <v>2374</v>
      </c>
      <c r="K2520" s="10" t="s">
        <v>847</v>
      </c>
      <c r="L2520" s="10" t="s">
        <v>2373</v>
      </c>
      <c r="M2520" s="10" t="s">
        <v>2372</v>
      </c>
      <c r="N2520" s="10" t="s">
        <v>2373</v>
      </c>
      <c r="O2520" s="10"/>
    </row>
    <row r="2521" spans="1:15" ht="18" customHeight="1" x14ac:dyDescent="0.3">
      <c r="A2521" s="24">
        <v>2520</v>
      </c>
      <c r="B2521" s="10" t="s">
        <v>87</v>
      </c>
      <c r="C2521" s="10" t="s">
        <v>88</v>
      </c>
      <c r="D2521" s="62">
        <v>142</v>
      </c>
      <c r="E2521" s="61" t="s">
        <v>2922</v>
      </c>
      <c r="F2521" s="19" t="s">
        <v>693</v>
      </c>
      <c r="G2521" s="10" t="s">
        <v>150</v>
      </c>
      <c r="H2521" s="10" t="s">
        <v>855</v>
      </c>
      <c r="I2521" s="62">
        <v>124</v>
      </c>
      <c r="J2521" s="10" t="s">
        <v>2372</v>
      </c>
      <c r="K2521" s="10" t="s">
        <v>847</v>
      </c>
      <c r="L2521" s="10" t="s">
        <v>2373</v>
      </c>
      <c r="M2521" s="10" t="s">
        <v>2372</v>
      </c>
      <c r="N2521" s="10" t="s">
        <v>2373</v>
      </c>
      <c r="O2521" s="10"/>
    </row>
    <row r="2522" spans="1:15" ht="18" customHeight="1" x14ac:dyDescent="0.3">
      <c r="A2522" s="24">
        <v>2521</v>
      </c>
      <c r="B2522" s="10" t="s">
        <v>87</v>
      </c>
      <c r="C2522" s="10" t="s">
        <v>88</v>
      </c>
      <c r="D2522" s="62">
        <v>142</v>
      </c>
      <c r="E2522" s="61" t="s">
        <v>2922</v>
      </c>
      <c r="F2522" s="19" t="s">
        <v>693</v>
      </c>
      <c r="G2522" s="10" t="s">
        <v>150</v>
      </c>
      <c r="H2522" s="10" t="s">
        <v>869</v>
      </c>
      <c r="I2522" s="62">
        <v>124</v>
      </c>
      <c r="J2522" s="10" t="s">
        <v>2372</v>
      </c>
      <c r="K2522" s="10" t="s">
        <v>847</v>
      </c>
      <c r="L2522" s="10" t="s">
        <v>2373</v>
      </c>
      <c r="M2522" s="10" t="s">
        <v>2372</v>
      </c>
      <c r="N2522" s="10" t="s">
        <v>2373</v>
      </c>
      <c r="O2522" s="10"/>
    </row>
    <row r="2523" spans="1:15" ht="18" customHeight="1" x14ac:dyDescent="0.3">
      <c r="A2523" s="24">
        <v>2522</v>
      </c>
      <c r="B2523" s="10" t="s">
        <v>87</v>
      </c>
      <c r="C2523" s="10" t="s">
        <v>88</v>
      </c>
      <c r="D2523" s="62">
        <v>142</v>
      </c>
      <c r="E2523" s="61" t="s">
        <v>2922</v>
      </c>
      <c r="F2523" s="19" t="s">
        <v>693</v>
      </c>
      <c r="G2523" s="10" t="s">
        <v>150</v>
      </c>
      <c r="H2523" s="10" t="s">
        <v>883</v>
      </c>
      <c r="I2523" s="62">
        <v>120</v>
      </c>
      <c r="J2523" s="10" t="s">
        <v>2372</v>
      </c>
      <c r="K2523" s="10" t="s">
        <v>847</v>
      </c>
      <c r="L2523" s="10" t="s">
        <v>2373</v>
      </c>
      <c r="M2523" s="10" t="s">
        <v>2372</v>
      </c>
      <c r="N2523" s="10" t="s">
        <v>2373</v>
      </c>
      <c r="O2523" s="10"/>
    </row>
    <row r="2524" spans="1:15" ht="18" customHeight="1" x14ac:dyDescent="0.3">
      <c r="A2524" s="24">
        <v>2523</v>
      </c>
      <c r="B2524" s="10" t="s">
        <v>87</v>
      </c>
      <c r="C2524" s="10" t="s">
        <v>88</v>
      </c>
      <c r="D2524" s="62">
        <v>142</v>
      </c>
      <c r="E2524" s="61" t="s">
        <v>1923</v>
      </c>
      <c r="F2524" s="16" t="s">
        <v>702</v>
      </c>
      <c r="G2524" s="10" t="s">
        <v>160</v>
      </c>
      <c r="H2524" s="10" t="s">
        <v>845</v>
      </c>
      <c r="I2524" s="62">
        <v>118</v>
      </c>
      <c r="J2524" s="10" t="s">
        <v>2372</v>
      </c>
      <c r="K2524" s="173" t="s">
        <v>860</v>
      </c>
      <c r="L2524" s="173" t="s">
        <v>1422</v>
      </c>
      <c r="M2524" s="10" t="s">
        <v>2372</v>
      </c>
      <c r="N2524" s="10" t="s">
        <v>2373</v>
      </c>
      <c r="O2524" s="10"/>
    </row>
    <row r="2525" spans="1:15" ht="18" customHeight="1" x14ac:dyDescent="0.3">
      <c r="A2525" s="24">
        <v>2524</v>
      </c>
      <c r="B2525" s="10" t="s">
        <v>87</v>
      </c>
      <c r="C2525" s="10" t="s">
        <v>88</v>
      </c>
      <c r="D2525" s="62">
        <v>142</v>
      </c>
      <c r="E2525" s="61" t="s">
        <v>1923</v>
      </c>
      <c r="F2525" s="16" t="s">
        <v>702</v>
      </c>
      <c r="G2525" s="10" t="s">
        <v>160</v>
      </c>
      <c r="H2525" s="10" t="s">
        <v>848</v>
      </c>
      <c r="I2525" s="62">
        <v>76</v>
      </c>
      <c r="J2525" s="10" t="s">
        <v>2372</v>
      </c>
      <c r="K2525" s="173" t="s">
        <v>860</v>
      </c>
      <c r="L2525" s="173" t="s">
        <v>1422</v>
      </c>
      <c r="M2525" s="10" t="s">
        <v>2372</v>
      </c>
      <c r="N2525" s="10" t="s">
        <v>2373</v>
      </c>
      <c r="O2525" s="10"/>
    </row>
    <row r="2526" spans="1:15" ht="18" customHeight="1" x14ac:dyDescent="0.3">
      <c r="A2526" s="24">
        <v>2525</v>
      </c>
      <c r="B2526" s="10" t="s">
        <v>87</v>
      </c>
      <c r="C2526" s="10" t="s">
        <v>88</v>
      </c>
      <c r="D2526" s="62">
        <v>142</v>
      </c>
      <c r="E2526" s="61" t="s">
        <v>1923</v>
      </c>
      <c r="F2526" s="16" t="s">
        <v>702</v>
      </c>
      <c r="G2526" s="10" t="s">
        <v>160</v>
      </c>
      <c r="H2526" s="10" t="s">
        <v>849</v>
      </c>
      <c r="I2526" s="62">
        <v>76</v>
      </c>
      <c r="J2526" s="10" t="s">
        <v>2372</v>
      </c>
      <c r="K2526" s="173" t="s">
        <v>860</v>
      </c>
      <c r="L2526" s="173" t="s">
        <v>1422</v>
      </c>
      <c r="M2526" s="10" t="s">
        <v>2372</v>
      </c>
      <c r="N2526" s="10" t="s">
        <v>2373</v>
      </c>
      <c r="O2526" s="10"/>
    </row>
    <row r="2527" spans="1:15" ht="18" customHeight="1" x14ac:dyDescent="0.3">
      <c r="A2527" s="24">
        <v>2526</v>
      </c>
      <c r="B2527" s="10" t="s">
        <v>87</v>
      </c>
      <c r="C2527" s="10" t="s">
        <v>88</v>
      </c>
      <c r="D2527" s="62">
        <v>142</v>
      </c>
      <c r="E2527" s="61" t="s">
        <v>1923</v>
      </c>
      <c r="F2527" s="16" t="s">
        <v>702</v>
      </c>
      <c r="G2527" s="10" t="s">
        <v>160</v>
      </c>
      <c r="H2527" s="10" t="s">
        <v>850</v>
      </c>
      <c r="I2527" s="62">
        <v>110</v>
      </c>
      <c r="J2527" s="10" t="s">
        <v>2372</v>
      </c>
      <c r="K2527" s="173" t="s">
        <v>860</v>
      </c>
      <c r="L2527" s="173" t="s">
        <v>1422</v>
      </c>
      <c r="M2527" s="10" t="s">
        <v>2372</v>
      </c>
      <c r="N2527" s="10" t="s">
        <v>2373</v>
      </c>
      <c r="O2527" s="10"/>
    </row>
    <row r="2528" spans="1:15" ht="18" customHeight="1" x14ac:dyDescent="0.3">
      <c r="A2528" s="24">
        <v>2527</v>
      </c>
      <c r="B2528" s="10" t="s">
        <v>87</v>
      </c>
      <c r="C2528" s="10" t="s">
        <v>1926</v>
      </c>
      <c r="D2528" s="62">
        <v>142</v>
      </c>
      <c r="E2528" s="61" t="s">
        <v>881</v>
      </c>
      <c r="F2528" s="16" t="s">
        <v>701</v>
      </c>
      <c r="G2528" s="10" t="s">
        <v>160</v>
      </c>
      <c r="H2528" s="10" t="s">
        <v>845</v>
      </c>
      <c r="I2528" s="62">
        <v>169</v>
      </c>
      <c r="J2528" s="10" t="s">
        <v>2374</v>
      </c>
      <c r="K2528" s="10" t="s">
        <v>847</v>
      </c>
      <c r="L2528" s="10" t="s">
        <v>2373</v>
      </c>
      <c r="M2528" s="10" t="s">
        <v>2372</v>
      </c>
      <c r="N2528" s="10" t="s">
        <v>2373</v>
      </c>
      <c r="O2528" s="10"/>
    </row>
    <row r="2529" spans="1:15" ht="18" customHeight="1" x14ac:dyDescent="0.3">
      <c r="A2529" s="24">
        <v>2528</v>
      </c>
      <c r="B2529" s="10" t="s">
        <v>87</v>
      </c>
      <c r="C2529" s="10" t="s">
        <v>1926</v>
      </c>
      <c r="D2529" s="62">
        <v>142</v>
      </c>
      <c r="E2529" s="61" t="s">
        <v>881</v>
      </c>
      <c r="F2529" s="16" t="s">
        <v>701</v>
      </c>
      <c r="G2529" s="10" t="s">
        <v>160</v>
      </c>
      <c r="H2529" s="10" t="s">
        <v>848</v>
      </c>
      <c r="I2529" s="62">
        <v>126</v>
      </c>
      <c r="J2529" s="10" t="s">
        <v>2372</v>
      </c>
      <c r="K2529" s="10" t="s">
        <v>847</v>
      </c>
      <c r="L2529" s="10" t="s">
        <v>2373</v>
      </c>
      <c r="M2529" s="10" t="s">
        <v>2372</v>
      </c>
      <c r="N2529" s="10" t="s">
        <v>2373</v>
      </c>
      <c r="O2529" s="10"/>
    </row>
    <row r="2530" spans="1:15" ht="18" customHeight="1" x14ac:dyDescent="0.3">
      <c r="A2530" s="24">
        <v>2529</v>
      </c>
      <c r="B2530" s="10" t="s">
        <v>87</v>
      </c>
      <c r="C2530" s="10" t="s">
        <v>1926</v>
      </c>
      <c r="D2530" s="62">
        <v>142</v>
      </c>
      <c r="E2530" s="61" t="s">
        <v>881</v>
      </c>
      <c r="F2530" s="16" t="s">
        <v>701</v>
      </c>
      <c r="G2530" s="10" t="s">
        <v>160</v>
      </c>
      <c r="H2530" s="10" t="s">
        <v>849</v>
      </c>
      <c r="I2530" s="62">
        <v>115</v>
      </c>
      <c r="J2530" s="10" t="s">
        <v>2372</v>
      </c>
      <c r="K2530" s="10" t="s">
        <v>847</v>
      </c>
      <c r="L2530" s="10" t="s">
        <v>2373</v>
      </c>
      <c r="M2530" s="10" t="s">
        <v>2372</v>
      </c>
      <c r="N2530" s="10" t="s">
        <v>2373</v>
      </c>
      <c r="O2530" s="10"/>
    </row>
    <row r="2531" spans="1:15" ht="18" customHeight="1" x14ac:dyDescent="0.3">
      <c r="A2531" s="24">
        <v>2530</v>
      </c>
      <c r="B2531" s="10" t="s">
        <v>87</v>
      </c>
      <c r="C2531" s="10" t="s">
        <v>1926</v>
      </c>
      <c r="D2531" s="62">
        <v>142</v>
      </c>
      <c r="E2531" s="61" t="s">
        <v>881</v>
      </c>
      <c r="F2531" s="16" t="s">
        <v>701</v>
      </c>
      <c r="G2531" s="10" t="s">
        <v>160</v>
      </c>
      <c r="H2531" s="10" t="s">
        <v>850</v>
      </c>
      <c r="I2531" s="62">
        <v>115</v>
      </c>
      <c r="J2531" s="10" t="s">
        <v>2372</v>
      </c>
      <c r="K2531" s="10" t="s">
        <v>847</v>
      </c>
      <c r="L2531" s="10" t="s">
        <v>2373</v>
      </c>
      <c r="M2531" s="10" t="s">
        <v>2372</v>
      </c>
      <c r="N2531" s="10" t="s">
        <v>2373</v>
      </c>
      <c r="O2531" s="10"/>
    </row>
    <row r="2532" spans="1:15" ht="18" customHeight="1" x14ac:dyDescent="0.3">
      <c r="A2532" s="24">
        <v>2531</v>
      </c>
      <c r="B2532" s="10" t="s">
        <v>87</v>
      </c>
      <c r="C2532" s="10" t="s">
        <v>1926</v>
      </c>
      <c r="D2532" s="62">
        <v>142</v>
      </c>
      <c r="E2532" s="61" t="s">
        <v>881</v>
      </c>
      <c r="F2532" s="16" t="s">
        <v>701</v>
      </c>
      <c r="G2532" s="10" t="s">
        <v>160</v>
      </c>
      <c r="H2532" s="10" t="s">
        <v>851</v>
      </c>
      <c r="I2532" s="62">
        <v>208</v>
      </c>
      <c r="J2532" s="10" t="s">
        <v>2374</v>
      </c>
      <c r="K2532" s="10" t="s">
        <v>847</v>
      </c>
      <c r="L2532" s="10" t="s">
        <v>2373</v>
      </c>
      <c r="M2532" s="10" t="s">
        <v>2372</v>
      </c>
      <c r="N2532" s="10" t="s">
        <v>2373</v>
      </c>
      <c r="O2532" s="10"/>
    </row>
    <row r="2533" spans="1:15" ht="18" customHeight="1" x14ac:dyDescent="0.3">
      <c r="A2533" s="24">
        <v>2532</v>
      </c>
      <c r="B2533" s="10" t="s">
        <v>87</v>
      </c>
      <c r="C2533" s="10" t="s">
        <v>1926</v>
      </c>
      <c r="D2533" s="62">
        <v>142</v>
      </c>
      <c r="E2533" s="61" t="s">
        <v>881</v>
      </c>
      <c r="F2533" s="16" t="s">
        <v>701</v>
      </c>
      <c r="G2533" s="10" t="s">
        <v>160</v>
      </c>
      <c r="H2533" s="10" t="s">
        <v>852</v>
      </c>
      <c r="I2533" s="62">
        <v>174</v>
      </c>
      <c r="J2533" s="10" t="s">
        <v>2372</v>
      </c>
      <c r="K2533" s="10" t="s">
        <v>847</v>
      </c>
      <c r="L2533" s="10" t="s">
        <v>2373</v>
      </c>
      <c r="M2533" s="10" t="s">
        <v>2372</v>
      </c>
      <c r="N2533" s="10" t="s">
        <v>2373</v>
      </c>
      <c r="O2533" s="10"/>
    </row>
    <row r="2534" spans="1:15" ht="18" customHeight="1" x14ac:dyDescent="0.3">
      <c r="A2534" s="24">
        <v>2533</v>
      </c>
      <c r="B2534" s="10" t="s">
        <v>87</v>
      </c>
      <c r="C2534" s="10" t="s">
        <v>1926</v>
      </c>
      <c r="D2534" s="62">
        <v>142</v>
      </c>
      <c r="E2534" s="61" t="s">
        <v>881</v>
      </c>
      <c r="F2534" s="16" t="s">
        <v>701</v>
      </c>
      <c r="G2534" s="10" t="s">
        <v>160</v>
      </c>
      <c r="H2534" s="10" t="s">
        <v>853</v>
      </c>
      <c r="I2534" s="62">
        <v>72</v>
      </c>
      <c r="J2534" s="10" t="s">
        <v>2372</v>
      </c>
      <c r="K2534" s="10" t="s">
        <v>847</v>
      </c>
      <c r="L2534" s="10" t="s">
        <v>2373</v>
      </c>
      <c r="M2534" s="10" t="s">
        <v>2372</v>
      </c>
      <c r="N2534" s="10" t="s">
        <v>2373</v>
      </c>
      <c r="O2534" s="10"/>
    </row>
    <row r="2535" spans="1:15" ht="18" customHeight="1" x14ac:dyDescent="0.3">
      <c r="A2535" s="24">
        <v>2534</v>
      </c>
      <c r="B2535" s="10" t="s">
        <v>87</v>
      </c>
      <c r="C2535" s="10" t="s">
        <v>1926</v>
      </c>
      <c r="D2535" s="62">
        <v>142</v>
      </c>
      <c r="E2535" s="61" t="s">
        <v>881</v>
      </c>
      <c r="F2535" s="16" t="s">
        <v>701</v>
      </c>
      <c r="G2535" s="10" t="s">
        <v>160</v>
      </c>
      <c r="H2535" s="10" t="s">
        <v>854</v>
      </c>
      <c r="I2535" s="62">
        <v>34</v>
      </c>
      <c r="J2535" s="10" t="s">
        <v>2372</v>
      </c>
      <c r="K2535" s="10" t="s">
        <v>847</v>
      </c>
      <c r="L2535" s="10" t="s">
        <v>2373</v>
      </c>
      <c r="M2535" s="10" t="s">
        <v>2372</v>
      </c>
      <c r="N2535" s="10" t="s">
        <v>2373</v>
      </c>
      <c r="O2535" s="10"/>
    </row>
    <row r="2536" spans="1:15" ht="18" customHeight="1" x14ac:dyDescent="0.3">
      <c r="A2536" s="24">
        <v>2535</v>
      </c>
      <c r="B2536" s="10" t="s">
        <v>87</v>
      </c>
      <c r="C2536" s="10" t="s">
        <v>88</v>
      </c>
      <c r="D2536" s="62">
        <v>142</v>
      </c>
      <c r="E2536" s="61" t="s">
        <v>2671</v>
      </c>
      <c r="F2536" s="16" t="s">
        <v>698</v>
      </c>
      <c r="G2536" s="10" t="s">
        <v>150</v>
      </c>
      <c r="H2536" s="10" t="s">
        <v>848</v>
      </c>
      <c r="I2536" s="62">
        <v>276</v>
      </c>
      <c r="J2536" s="8" t="s">
        <v>2372</v>
      </c>
      <c r="K2536" s="10" t="s">
        <v>847</v>
      </c>
      <c r="L2536" s="10" t="s">
        <v>2373</v>
      </c>
      <c r="M2536" s="10" t="s">
        <v>2372</v>
      </c>
      <c r="N2536" s="10" t="s">
        <v>2373</v>
      </c>
      <c r="O2536" s="10"/>
    </row>
    <row r="2537" spans="1:15" ht="18" customHeight="1" x14ac:dyDescent="0.3">
      <c r="A2537" s="24">
        <v>2536</v>
      </c>
      <c r="B2537" s="10" t="s">
        <v>87</v>
      </c>
      <c r="C2537" s="10" t="s">
        <v>88</v>
      </c>
      <c r="D2537" s="62">
        <v>142</v>
      </c>
      <c r="E2537" s="61" t="s">
        <v>2671</v>
      </c>
      <c r="F2537" s="16" t="s">
        <v>698</v>
      </c>
      <c r="G2537" s="10" t="s">
        <v>150</v>
      </c>
      <c r="H2537" s="10" t="s">
        <v>849</v>
      </c>
      <c r="I2537" s="62">
        <v>166</v>
      </c>
      <c r="J2537" s="8" t="s">
        <v>2372</v>
      </c>
      <c r="K2537" s="10" t="s">
        <v>847</v>
      </c>
      <c r="L2537" s="10" t="s">
        <v>2373</v>
      </c>
      <c r="M2537" s="10" t="s">
        <v>2372</v>
      </c>
      <c r="N2537" s="10" t="s">
        <v>2373</v>
      </c>
      <c r="O2537" s="10"/>
    </row>
    <row r="2538" spans="1:15" ht="18" customHeight="1" x14ac:dyDescent="0.3">
      <c r="A2538" s="24">
        <v>2537</v>
      </c>
      <c r="B2538" s="10" t="s">
        <v>87</v>
      </c>
      <c r="C2538" s="10" t="s">
        <v>88</v>
      </c>
      <c r="D2538" s="62">
        <v>142</v>
      </c>
      <c r="E2538" s="61" t="s">
        <v>2671</v>
      </c>
      <c r="F2538" s="16" t="s">
        <v>698</v>
      </c>
      <c r="G2538" s="10" t="s">
        <v>150</v>
      </c>
      <c r="H2538" s="10" t="s">
        <v>850</v>
      </c>
      <c r="I2538" s="62">
        <v>236</v>
      </c>
      <c r="J2538" s="8" t="s">
        <v>846</v>
      </c>
      <c r="K2538" s="10" t="s">
        <v>847</v>
      </c>
      <c r="L2538" s="10" t="s">
        <v>2373</v>
      </c>
      <c r="M2538" s="10" t="s">
        <v>2372</v>
      </c>
      <c r="N2538" s="10" t="s">
        <v>2373</v>
      </c>
      <c r="O2538" s="10"/>
    </row>
    <row r="2539" spans="1:15" ht="18" customHeight="1" x14ac:dyDescent="0.3">
      <c r="A2539" s="24">
        <v>2538</v>
      </c>
      <c r="B2539" s="10" t="s">
        <v>87</v>
      </c>
      <c r="C2539" s="10" t="s">
        <v>88</v>
      </c>
      <c r="D2539" s="62">
        <v>142</v>
      </c>
      <c r="E2539" s="61" t="s">
        <v>2671</v>
      </c>
      <c r="F2539" s="16" t="s">
        <v>698</v>
      </c>
      <c r="G2539" s="10" t="s">
        <v>150</v>
      </c>
      <c r="H2539" s="10" t="s">
        <v>851</v>
      </c>
      <c r="I2539" s="62">
        <v>152</v>
      </c>
      <c r="J2539" s="8" t="s">
        <v>2372</v>
      </c>
      <c r="K2539" s="10" t="s">
        <v>847</v>
      </c>
      <c r="L2539" s="10" t="s">
        <v>2373</v>
      </c>
      <c r="M2539" s="10" t="s">
        <v>2372</v>
      </c>
      <c r="N2539" s="10" t="s">
        <v>2373</v>
      </c>
      <c r="O2539" s="10"/>
    </row>
    <row r="2540" spans="1:15" ht="18" customHeight="1" x14ac:dyDescent="0.3">
      <c r="A2540" s="24">
        <v>2539</v>
      </c>
      <c r="B2540" s="10" t="s">
        <v>87</v>
      </c>
      <c r="C2540" s="10" t="s">
        <v>88</v>
      </c>
      <c r="D2540" s="62">
        <v>142</v>
      </c>
      <c r="E2540" s="61" t="s">
        <v>2671</v>
      </c>
      <c r="F2540" s="16" t="s">
        <v>1133</v>
      </c>
      <c r="G2540" s="10" t="s">
        <v>150</v>
      </c>
      <c r="H2540" s="10" t="s">
        <v>845</v>
      </c>
      <c r="I2540" s="62">
        <v>324</v>
      </c>
      <c r="J2540" s="8" t="s">
        <v>846</v>
      </c>
      <c r="K2540" s="10" t="s">
        <v>847</v>
      </c>
      <c r="L2540" s="10" t="s">
        <v>310</v>
      </c>
      <c r="M2540" s="10" t="s">
        <v>2372</v>
      </c>
      <c r="N2540" s="10" t="s">
        <v>2373</v>
      </c>
      <c r="O2540" s="10"/>
    </row>
    <row r="2541" spans="1:15" ht="18" customHeight="1" x14ac:dyDescent="0.3">
      <c r="A2541" s="24">
        <v>2540</v>
      </c>
      <c r="B2541" s="10" t="s">
        <v>87</v>
      </c>
      <c r="C2541" s="10" t="s">
        <v>88</v>
      </c>
      <c r="D2541" s="62">
        <v>142</v>
      </c>
      <c r="E2541" s="61" t="s">
        <v>2671</v>
      </c>
      <c r="F2541" s="16" t="s">
        <v>1133</v>
      </c>
      <c r="G2541" s="10" t="s">
        <v>150</v>
      </c>
      <c r="H2541" s="10" t="s">
        <v>852</v>
      </c>
      <c r="I2541" s="62">
        <v>132</v>
      </c>
      <c r="J2541" s="8" t="s">
        <v>846</v>
      </c>
      <c r="K2541" s="10" t="s">
        <v>2374</v>
      </c>
      <c r="L2541" s="10" t="s">
        <v>1302</v>
      </c>
      <c r="M2541" s="10" t="s">
        <v>2372</v>
      </c>
      <c r="N2541" s="10" t="s">
        <v>2373</v>
      </c>
      <c r="O2541" s="10" t="s">
        <v>1077</v>
      </c>
    </row>
    <row r="2542" spans="1:15" ht="18" customHeight="1" x14ac:dyDescent="0.3">
      <c r="A2542" s="24">
        <v>2541</v>
      </c>
      <c r="B2542" s="10" t="s">
        <v>87</v>
      </c>
      <c r="C2542" s="10" t="s">
        <v>88</v>
      </c>
      <c r="D2542" s="62">
        <v>142</v>
      </c>
      <c r="E2542" s="61" t="s">
        <v>2923</v>
      </c>
      <c r="F2542" s="19" t="s">
        <v>1928</v>
      </c>
      <c r="G2542" s="10" t="s">
        <v>160</v>
      </c>
      <c r="H2542" s="10" t="s">
        <v>845</v>
      </c>
      <c r="I2542" s="62">
        <v>54</v>
      </c>
      <c r="J2542" s="10" t="s">
        <v>2372</v>
      </c>
      <c r="K2542" s="10" t="s">
        <v>847</v>
      </c>
      <c r="L2542" s="10" t="s">
        <v>2373</v>
      </c>
      <c r="M2542" s="10" t="s">
        <v>2372</v>
      </c>
      <c r="N2542" s="10" t="s">
        <v>2373</v>
      </c>
      <c r="O2542" s="10"/>
    </row>
    <row r="2543" spans="1:15" ht="18" customHeight="1" x14ac:dyDescent="0.3">
      <c r="A2543" s="24">
        <v>2542</v>
      </c>
      <c r="B2543" s="10" t="s">
        <v>87</v>
      </c>
      <c r="C2543" s="10" t="s">
        <v>88</v>
      </c>
      <c r="D2543" s="62">
        <v>142</v>
      </c>
      <c r="E2543" s="61" t="s">
        <v>2923</v>
      </c>
      <c r="F2543" s="19" t="s">
        <v>1928</v>
      </c>
      <c r="G2543" s="10" t="s">
        <v>160</v>
      </c>
      <c r="H2543" s="10" t="s">
        <v>848</v>
      </c>
      <c r="I2543" s="62">
        <v>81</v>
      </c>
      <c r="J2543" s="10" t="s">
        <v>2372</v>
      </c>
      <c r="K2543" s="10" t="s">
        <v>847</v>
      </c>
      <c r="L2543" s="10" t="s">
        <v>2373</v>
      </c>
      <c r="M2543" s="10" t="s">
        <v>2372</v>
      </c>
      <c r="N2543" s="10" t="s">
        <v>2373</v>
      </c>
      <c r="O2543" s="10"/>
    </row>
    <row r="2544" spans="1:15" ht="18" customHeight="1" x14ac:dyDescent="0.3">
      <c r="A2544" s="24">
        <v>2543</v>
      </c>
      <c r="B2544" s="10" t="s">
        <v>87</v>
      </c>
      <c r="C2544" s="10" t="s">
        <v>88</v>
      </c>
      <c r="D2544" s="62">
        <v>142</v>
      </c>
      <c r="E2544" s="61" t="s">
        <v>2923</v>
      </c>
      <c r="F2544" s="19" t="s">
        <v>1928</v>
      </c>
      <c r="G2544" s="10" t="s">
        <v>160</v>
      </c>
      <c r="H2544" s="10" t="s">
        <v>849</v>
      </c>
      <c r="I2544" s="62">
        <v>80</v>
      </c>
      <c r="J2544" s="10" t="s">
        <v>2372</v>
      </c>
      <c r="K2544" s="10" t="s">
        <v>847</v>
      </c>
      <c r="L2544" s="10" t="s">
        <v>2373</v>
      </c>
      <c r="M2544" s="10" t="s">
        <v>2372</v>
      </c>
      <c r="N2544" s="10" t="s">
        <v>2373</v>
      </c>
      <c r="O2544" s="10"/>
    </row>
    <row r="2545" spans="1:15" ht="18" customHeight="1" x14ac:dyDescent="0.3">
      <c r="A2545" s="24">
        <v>2544</v>
      </c>
      <c r="B2545" s="10" t="s">
        <v>87</v>
      </c>
      <c r="C2545" s="10" t="s">
        <v>88</v>
      </c>
      <c r="D2545" s="62">
        <v>142</v>
      </c>
      <c r="E2545" s="61" t="s">
        <v>2923</v>
      </c>
      <c r="F2545" s="19" t="s">
        <v>1928</v>
      </c>
      <c r="G2545" s="10" t="s">
        <v>160</v>
      </c>
      <c r="H2545" s="10" t="s">
        <v>2380</v>
      </c>
      <c r="I2545" s="62">
        <v>62</v>
      </c>
      <c r="J2545" s="10" t="s">
        <v>2372</v>
      </c>
      <c r="K2545" s="10" t="s">
        <v>847</v>
      </c>
      <c r="L2545" s="10" t="s">
        <v>2373</v>
      </c>
      <c r="M2545" s="10" t="s">
        <v>2372</v>
      </c>
      <c r="N2545" s="10" t="s">
        <v>2373</v>
      </c>
      <c r="O2545" s="10"/>
    </row>
    <row r="2546" spans="1:15" ht="18" customHeight="1" x14ac:dyDescent="0.3">
      <c r="A2546" s="24">
        <v>2545</v>
      </c>
      <c r="B2546" s="10" t="s">
        <v>87</v>
      </c>
      <c r="C2546" s="10" t="s">
        <v>88</v>
      </c>
      <c r="D2546" s="62">
        <v>142</v>
      </c>
      <c r="E2546" s="61" t="s">
        <v>2923</v>
      </c>
      <c r="F2546" s="19" t="s">
        <v>1928</v>
      </c>
      <c r="G2546" s="10" t="s">
        <v>160</v>
      </c>
      <c r="H2546" s="10" t="s">
        <v>2390</v>
      </c>
      <c r="I2546" s="62">
        <v>72</v>
      </c>
      <c r="J2546" s="10" t="s">
        <v>2372</v>
      </c>
      <c r="K2546" s="10" t="s">
        <v>847</v>
      </c>
      <c r="L2546" s="10" t="s">
        <v>2373</v>
      </c>
      <c r="M2546" s="10" t="s">
        <v>2372</v>
      </c>
      <c r="N2546" s="10" t="s">
        <v>2373</v>
      </c>
      <c r="O2546" s="10"/>
    </row>
    <row r="2547" spans="1:15" ht="18" customHeight="1" x14ac:dyDescent="0.3">
      <c r="A2547" s="24">
        <v>2546</v>
      </c>
      <c r="B2547" s="10" t="s">
        <v>87</v>
      </c>
      <c r="C2547" s="10" t="s">
        <v>88</v>
      </c>
      <c r="D2547" s="62">
        <v>142</v>
      </c>
      <c r="E2547" s="61" t="s">
        <v>2923</v>
      </c>
      <c r="F2547" s="19" t="s">
        <v>1928</v>
      </c>
      <c r="G2547" s="10" t="s">
        <v>160</v>
      </c>
      <c r="H2547" s="10" t="s">
        <v>2382</v>
      </c>
      <c r="I2547" s="62">
        <v>109</v>
      </c>
      <c r="J2547" s="10" t="s">
        <v>2372</v>
      </c>
      <c r="K2547" s="10" t="s">
        <v>847</v>
      </c>
      <c r="L2547" s="10" t="s">
        <v>2373</v>
      </c>
      <c r="M2547" s="10" t="s">
        <v>2372</v>
      </c>
      <c r="N2547" s="10" t="s">
        <v>2373</v>
      </c>
      <c r="O2547" s="10"/>
    </row>
    <row r="2548" spans="1:15" ht="18" customHeight="1" x14ac:dyDescent="0.3">
      <c r="A2548" s="24">
        <v>2547</v>
      </c>
      <c r="B2548" s="10" t="s">
        <v>87</v>
      </c>
      <c r="C2548" s="10" t="s">
        <v>88</v>
      </c>
      <c r="D2548" s="62">
        <v>142</v>
      </c>
      <c r="E2548" s="61" t="s">
        <v>2923</v>
      </c>
      <c r="F2548" s="19" t="s">
        <v>1928</v>
      </c>
      <c r="G2548" s="10" t="s">
        <v>160</v>
      </c>
      <c r="H2548" s="10" t="s">
        <v>2431</v>
      </c>
      <c r="I2548" s="62">
        <v>109</v>
      </c>
      <c r="J2548" s="10" t="s">
        <v>2372</v>
      </c>
      <c r="K2548" s="10" t="s">
        <v>847</v>
      </c>
      <c r="L2548" s="10" t="s">
        <v>2373</v>
      </c>
      <c r="M2548" s="10" t="s">
        <v>2372</v>
      </c>
      <c r="N2548" s="10" t="s">
        <v>2373</v>
      </c>
      <c r="O2548" s="10"/>
    </row>
    <row r="2549" spans="1:15" ht="18" customHeight="1" x14ac:dyDescent="0.3">
      <c r="A2549" s="24">
        <v>2548</v>
      </c>
      <c r="B2549" s="10" t="s">
        <v>87</v>
      </c>
      <c r="C2549" s="10" t="s">
        <v>88</v>
      </c>
      <c r="D2549" s="62">
        <v>142</v>
      </c>
      <c r="E2549" s="61" t="s">
        <v>2923</v>
      </c>
      <c r="F2549" s="19" t="s">
        <v>1928</v>
      </c>
      <c r="G2549" s="10" t="s">
        <v>160</v>
      </c>
      <c r="H2549" s="10" t="s">
        <v>2383</v>
      </c>
      <c r="I2549" s="62">
        <v>109</v>
      </c>
      <c r="J2549" s="10" t="s">
        <v>2372</v>
      </c>
      <c r="K2549" s="10" t="s">
        <v>847</v>
      </c>
      <c r="L2549" s="10" t="s">
        <v>2373</v>
      </c>
      <c r="M2549" s="10" t="s">
        <v>2372</v>
      </c>
      <c r="N2549" s="10" t="s">
        <v>2373</v>
      </c>
      <c r="O2549" s="10"/>
    </row>
    <row r="2550" spans="1:15" ht="18" customHeight="1" x14ac:dyDescent="0.3">
      <c r="A2550" s="24">
        <v>2549</v>
      </c>
      <c r="B2550" s="10" t="s">
        <v>87</v>
      </c>
      <c r="C2550" s="10" t="s">
        <v>88</v>
      </c>
      <c r="D2550" s="62">
        <v>142</v>
      </c>
      <c r="E2550" s="61" t="s">
        <v>2924</v>
      </c>
      <c r="F2550" s="19" t="s">
        <v>696</v>
      </c>
      <c r="G2550" s="10" t="s">
        <v>150</v>
      </c>
      <c r="H2550" s="10" t="s">
        <v>845</v>
      </c>
      <c r="I2550" s="62">
        <v>140</v>
      </c>
      <c r="J2550" s="10" t="s">
        <v>2374</v>
      </c>
      <c r="K2550" s="10" t="s">
        <v>846</v>
      </c>
      <c r="L2550" s="10" t="s">
        <v>188</v>
      </c>
      <c r="M2550" s="10" t="s">
        <v>2372</v>
      </c>
      <c r="N2550" s="10" t="s">
        <v>2373</v>
      </c>
      <c r="O2550" s="10"/>
    </row>
    <row r="2551" spans="1:15" ht="18" customHeight="1" x14ac:dyDescent="0.3">
      <c r="A2551" s="24">
        <v>2550</v>
      </c>
      <c r="B2551" s="10" t="s">
        <v>87</v>
      </c>
      <c r="C2551" s="10" t="s">
        <v>88</v>
      </c>
      <c r="D2551" s="62">
        <v>142</v>
      </c>
      <c r="E2551" s="61" t="s">
        <v>2924</v>
      </c>
      <c r="F2551" s="19" t="s">
        <v>696</v>
      </c>
      <c r="G2551" s="10" t="s">
        <v>150</v>
      </c>
      <c r="H2551" s="10" t="s">
        <v>848</v>
      </c>
      <c r="I2551" s="62">
        <v>228</v>
      </c>
      <c r="J2551" s="10" t="s">
        <v>2372</v>
      </c>
      <c r="K2551" s="10" t="s">
        <v>847</v>
      </c>
      <c r="L2551" s="10" t="s">
        <v>2373</v>
      </c>
      <c r="M2551" s="10" t="s">
        <v>2372</v>
      </c>
      <c r="N2551" s="10" t="s">
        <v>2373</v>
      </c>
      <c r="O2551" s="10"/>
    </row>
    <row r="2552" spans="1:15" ht="18" customHeight="1" x14ac:dyDescent="0.3">
      <c r="A2552" s="24">
        <v>2551</v>
      </c>
      <c r="B2552" s="10" t="s">
        <v>87</v>
      </c>
      <c r="C2552" s="10" t="s">
        <v>88</v>
      </c>
      <c r="D2552" s="62">
        <v>142</v>
      </c>
      <c r="E2552" s="61" t="s">
        <v>2924</v>
      </c>
      <c r="F2552" s="19" t="s">
        <v>696</v>
      </c>
      <c r="G2552" s="10" t="s">
        <v>150</v>
      </c>
      <c r="H2552" s="10" t="s">
        <v>849</v>
      </c>
      <c r="I2552" s="62">
        <v>225</v>
      </c>
      <c r="J2552" s="10" t="s">
        <v>2372</v>
      </c>
      <c r="K2552" s="10" t="s">
        <v>847</v>
      </c>
      <c r="L2552" s="10" t="s">
        <v>2373</v>
      </c>
      <c r="M2552" s="10" t="s">
        <v>2372</v>
      </c>
      <c r="N2552" s="10" t="s">
        <v>2373</v>
      </c>
      <c r="O2552" s="10"/>
    </row>
    <row r="2553" spans="1:15" ht="18" customHeight="1" x14ac:dyDescent="0.3">
      <c r="A2553" s="24">
        <v>2552</v>
      </c>
      <c r="B2553" s="10" t="s">
        <v>87</v>
      </c>
      <c r="C2553" s="10" t="s">
        <v>88</v>
      </c>
      <c r="D2553" s="62">
        <v>142</v>
      </c>
      <c r="E2553" s="61" t="s">
        <v>2924</v>
      </c>
      <c r="F2553" s="19" t="s">
        <v>696</v>
      </c>
      <c r="G2553" s="10" t="s">
        <v>150</v>
      </c>
      <c r="H2553" s="10" t="s">
        <v>850</v>
      </c>
      <c r="I2553" s="62">
        <v>193</v>
      </c>
      <c r="J2553" s="10" t="s">
        <v>2374</v>
      </c>
      <c r="K2553" s="10" t="s">
        <v>847</v>
      </c>
      <c r="L2553" s="10" t="s">
        <v>2373</v>
      </c>
      <c r="M2553" s="10" t="s">
        <v>2372</v>
      </c>
      <c r="N2553" s="10" t="s">
        <v>2373</v>
      </c>
      <c r="O2553" s="10"/>
    </row>
    <row r="2554" spans="1:15" ht="18" customHeight="1" x14ac:dyDescent="0.3">
      <c r="A2554" s="24">
        <v>2553</v>
      </c>
      <c r="B2554" s="10" t="s">
        <v>87</v>
      </c>
      <c r="C2554" s="10" t="s">
        <v>88</v>
      </c>
      <c r="D2554" s="62">
        <v>142</v>
      </c>
      <c r="E2554" s="61" t="s">
        <v>2924</v>
      </c>
      <c r="F2554" s="19" t="s">
        <v>696</v>
      </c>
      <c r="G2554" s="10" t="s">
        <v>150</v>
      </c>
      <c r="H2554" s="10" t="s">
        <v>851</v>
      </c>
      <c r="I2554" s="62">
        <v>264</v>
      </c>
      <c r="J2554" s="10" t="s">
        <v>2372</v>
      </c>
      <c r="K2554" s="10" t="s">
        <v>847</v>
      </c>
      <c r="L2554" s="10" t="s">
        <v>2373</v>
      </c>
      <c r="M2554" s="10" t="s">
        <v>2372</v>
      </c>
      <c r="N2554" s="10" t="s">
        <v>2373</v>
      </c>
      <c r="O2554" s="10"/>
    </row>
    <row r="2555" spans="1:15" ht="18" customHeight="1" x14ac:dyDescent="0.3">
      <c r="A2555" s="24">
        <v>2554</v>
      </c>
      <c r="B2555" s="10" t="s">
        <v>87</v>
      </c>
      <c r="C2555" s="10" t="s">
        <v>88</v>
      </c>
      <c r="D2555" s="62">
        <v>142</v>
      </c>
      <c r="E2555" s="61" t="s">
        <v>2924</v>
      </c>
      <c r="F2555" s="19" t="s">
        <v>696</v>
      </c>
      <c r="G2555" s="10" t="s">
        <v>150</v>
      </c>
      <c r="H2555" s="10" t="s">
        <v>852</v>
      </c>
      <c r="I2555" s="62">
        <v>221</v>
      </c>
      <c r="J2555" s="10" t="s">
        <v>2374</v>
      </c>
      <c r="K2555" s="10" t="s">
        <v>847</v>
      </c>
      <c r="L2555" s="10" t="s">
        <v>2373</v>
      </c>
      <c r="M2555" s="10" t="s">
        <v>2372</v>
      </c>
      <c r="N2555" s="10" t="s">
        <v>2373</v>
      </c>
      <c r="O2555" s="10"/>
    </row>
    <row r="2556" spans="1:15" ht="18" customHeight="1" x14ac:dyDescent="0.3">
      <c r="A2556" s="24">
        <v>2555</v>
      </c>
      <c r="B2556" s="10" t="s">
        <v>87</v>
      </c>
      <c r="C2556" s="10" t="s">
        <v>88</v>
      </c>
      <c r="D2556" s="62">
        <v>142</v>
      </c>
      <c r="E2556" s="61" t="s">
        <v>2924</v>
      </c>
      <c r="F2556" s="19" t="s">
        <v>696</v>
      </c>
      <c r="G2556" s="10" t="s">
        <v>150</v>
      </c>
      <c r="H2556" s="10" t="s">
        <v>853</v>
      </c>
      <c r="I2556" s="62">
        <v>210</v>
      </c>
      <c r="J2556" s="10" t="s">
        <v>2372</v>
      </c>
      <c r="K2556" s="10" t="s">
        <v>847</v>
      </c>
      <c r="L2556" s="10" t="s">
        <v>2373</v>
      </c>
      <c r="M2556" s="10" t="s">
        <v>2372</v>
      </c>
      <c r="N2556" s="10" t="s">
        <v>2373</v>
      </c>
      <c r="O2556" s="10"/>
    </row>
    <row r="2557" spans="1:15" ht="18" customHeight="1" x14ac:dyDescent="0.3">
      <c r="A2557" s="24">
        <v>2556</v>
      </c>
      <c r="B2557" s="10" t="s">
        <v>87</v>
      </c>
      <c r="C2557" s="10" t="s">
        <v>88</v>
      </c>
      <c r="D2557" s="62">
        <v>142</v>
      </c>
      <c r="E2557" s="61" t="s">
        <v>2924</v>
      </c>
      <c r="F2557" s="19" t="s">
        <v>696</v>
      </c>
      <c r="G2557" s="10" t="s">
        <v>150</v>
      </c>
      <c r="H2557" s="10" t="s">
        <v>854</v>
      </c>
      <c r="I2557" s="62">
        <v>194</v>
      </c>
      <c r="J2557" s="10" t="s">
        <v>2372</v>
      </c>
      <c r="K2557" s="10" t="s">
        <v>847</v>
      </c>
      <c r="L2557" s="10" t="s">
        <v>2373</v>
      </c>
      <c r="M2557" s="10" t="s">
        <v>2372</v>
      </c>
      <c r="N2557" s="10" t="s">
        <v>2373</v>
      </c>
      <c r="O2557" s="10"/>
    </row>
    <row r="2558" spans="1:15" ht="18" customHeight="1" x14ac:dyDescent="0.3">
      <c r="A2558" s="24">
        <v>2557</v>
      </c>
      <c r="B2558" s="10" t="s">
        <v>1925</v>
      </c>
      <c r="C2558" s="10" t="s">
        <v>1930</v>
      </c>
      <c r="D2558" s="62">
        <v>147</v>
      </c>
      <c r="E2558" s="61" t="s">
        <v>2925</v>
      </c>
      <c r="F2558" s="44" t="s">
        <v>1932</v>
      </c>
      <c r="G2558" s="10" t="s">
        <v>1278</v>
      </c>
      <c r="H2558" s="10" t="s">
        <v>2385</v>
      </c>
      <c r="I2558" s="62">
        <v>93</v>
      </c>
      <c r="J2558" s="10" t="s">
        <v>2372</v>
      </c>
      <c r="K2558" s="10" t="s">
        <v>2372</v>
      </c>
      <c r="L2558" s="10" t="s">
        <v>2373</v>
      </c>
      <c r="M2558" s="10" t="s">
        <v>2372</v>
      </c>
      <c r="N2558" s="10" t="s">
        <v>2373</v>
      </c>
      <c r="O2558" s="10"/>
    </row>
    <row r="2559" spans="1:15" ht="18" customHeight="1" x14ac:dyDescent="0.3">
      <c r="A2559" s="24">
        <v>2558</v>
      </c>
      <c r="B2559" s="10" t="s">
        <v>1925</v>
      </c>
      <c r="C2559" s="10" t="s">
        <v>1930</v>
      </c>
      <c r="D2559" s="62">
        <v>147</v>
      </c>
      <c r="E2559" s="61" t="s">
        <v>2925</v>
      </c>
      <c r="F2559" s="44" t="s">
        <v>1932</v>
      </c>
      <c r="G2559" s="10" t="s">
        <v>1278</v>
      </c>
      <c r="H2559" s="10" t="s">
        <v>2378</v>
      </c>
      <c r="I2559" s="62">
        <v>66</v>
      </c>
      <c r="J2559" s="10" t="s">
        <v>2374</v>
      </c>
      <c r="K2559" s="10" t="s">
        <v>2372</v>
      </c>
      <c r="L2559" s="10" t="s">
        <v>2373</v>
      </c>
      <c r="M2559" s="10" t="s">
        <v>2372</v>
      </c>
      <c r="N2559" s="10" t="s">
        <v>2373</v>
      </c>
      <c r="O2559" s="10"/>
    </row>
    <row r="2560" spans="1:15" ht="18" customHeight="1" x14ac:dyDescent="0.3">
      <c r="A2560" s="24">
        <v>2559</v>
      </c>
      <c r="B2560" s="10" t="s">
        <v>1925</v>
      </c>
      <c r="C2560" s="10" t="s">
        <v>1930</v>
      </c>
      <c r="D2560" s="62">
        <v>147</v>
      </c>
      <c r="E2560" s="61" t="s">
        <v>2925</v>
      </c>
      <c r="F2560" s="44" t="s">
        <v>1932</v>
      </c>
      <c r="G2560" s="10" t="s">
        <v>1278</v>
      </c>
      <c r="H2560" s="10" t="s">
        <v>2379</v>
      </c>
      <c r="I2560" s="62">
        <v>93</v>
      </c>
      <c r="J2560" s="10" t="s">
        <v>2372</v>
      </c>
      <c r="K2560" s="10" t="s">
        <v>2372</v>
      </c>
      <c r="L2560" s="10" t="s">
        <v>2373</v>
      </c>
      <c r="M2560" s="10" t="s">
        <v>2372</v>
      </c>
      <c r="N2560" s="10" t="s">
        <v>2373</v>
      </c>
      <c r="O2560" s="10"/>
    </row>
    <row r="2561" spans="1:15" ht="18" customHeight="1" x14ac:dyDescent="0.3">
      <c r="A2561" s="24">
        <v>2560</v>
      </c>
      <c r="B2561" s="10" t="s">
        <v>1925</v>
      </c>
      <c r="C2561" s="10" t="s">
        <v>1930</v>
      </c>
      <c r="D2561" s="62">
        <v>147</v>
      </c>
      <c r="E2561" s="61" t="s">
        <v>2925</v>
      </c>
      <c r="F2561" s="44" t="s">
        <v>1932</v>
      </c>
      <c r="G2561" s="10" t="s">
        <v>1278</v>
      </c>
      <c r="H2561" s="10" t="s">
        <v>2380</v>
      </c>
      <c r="I2561" s="62">
        <v>66</v>
      </c>
      <c r="J2561" s="10" t="s">
        <v>2372</v>
      </c>
      <c r="K2561" s="10" t="s">
        <v>2372</v>
      </c>
      <c r="L2561" s="10" t="s">
        <v>2373</v>
      </c>
      <c r="M2561" s="10" t="s">
        <v>2372</v>
      </c>
      <c r="N2561" s="10" t="s">
        <v>2373</v>
      </c>
      <c r="O2561" s="10"/>
    </row>
    <row r="2562" spans="1:15" ht="18" customHeight="1" x14ac:dyDescent="0.3">
      <c r="A2562" s="24">
        <v>2561</v>
      </c>
      <c r="B2562" s="10" t="s">
        <v>1925</v>
      </c>
      <c r="C2562" s="10" t="s">
        <v>1930</v>
      </c>
      <c r="D2562" s="62">
        <v>147</v>
      </c>
      <c r="E2562" s="61" t="s">
        <v>2925</v>
      </c>
      <c r="F2562" s="44" t="s">
        <v>1932</v>
      </c>
      <c r="G2562" s="10" t="s">
        <v>1278</v>
      </c>
      <c r="H2562" s="10" t="s">
        <v>2390</v>
      </c>
      <c r="I2562" s="62">
        <v>79</v>
      </c>
      <c r="J2562" s="10" t="s">
        <v>2372</v>
      </c>
      <c r="K2562" s="10" t="s">
        <v>2372</v>
      </c>
      <c r="L2562" s="10" t="s">
        <v>2373</v>
      </c>
      <c r="M2562" s="10" t="s">
        <v>2372</v>
      </c>
      <c r="N2562" s="10" t="s">
        <v>2373</v>
      </c>
      <c r="O2562" s="10"/>
    </row>
    <row r="2563" spans="1:15" ht="18" customHeight="1" x14ac:dyDescent="0.3">
      <c r="A2563" s="24">
        <v>2562</v>
      </c>
      <c r="B2563" s="10" t="s">
        <v>1925</v>
      </c>
      <c r="C2563" s="10" t="s">
        <v>1930</v>
      </c>
      <c r="D2563" s="62">
        <v>147</v>
      </c>
      <c r="E2563" s="61" t="s">
        <v>2925</v>
      </c>
      <c r="F2563" s="44" t="s">
        <v>1932</v>
      </c>
      <c r="G2563" s="10" t="s">
        <v>1278</v>
      </c>
      <c r="H2563" s="10" t="s">
        <v>2382</v>
      </c>
      <c r="I2563" s="62">
        <v>66</v>
      </c>
      <c r="J2563" s="10" t="s">
        <v>2372</v>
      </c>
      <c r="K2563" s="10" t="s">
        <v>2372</v>
      </c>
      <c r="L2563" s="10" t="s">
        <v>2373</v>
      </c>
      <c r="M2563" s="10" t="s">
        <v>2372</v>
      </c>
      <c r="N2563" s="10" t="s">
        <v>2373</v>
      </c>
      <c r="O2563" s="10"/>
    </row>
    <row r="2564" spans="1:15" ht="18" customHeight="1" x14ac:dyDescent="0.3">
      <c r="A2564" s="24">
        <v>2563</v>
      </c>
      <c r="B2564" s="10" t="s">
        <v>87</v>
      </c>
      <c r="C2564" s="10" t="s">
        <v>89</v>
      </c>
      <c r="D2564" s="62">
        <v>147</v>
      </c>
      <c r="E2564" s="61" t="s">
        <v>882</v>
      </c>
      <c r="F2564" s="16" t="s">
        <v>704</v>
      </c>
      <c r="G2564" s="10" t="s">
        <v>160</v>
      </c>
      <c r="H2564" s="10" t="s">
        <v>854</v>
      </c>
      <c r="I2564" s="62">
        <v>251</v>
      </c>
      <c r="J2564" s="10" t="s">
        <v>2374</v>
      </c>
      <c r="K2564" s="10" t="s">
        <v>847</v>
      </c>
      <c r="L2564" s="10" t="s">
        <v>2373</v>
      </c>
      <c r="M2564" s="10" t="s">
        <v>2372</v>
      </c>
      <c r="N2564" s="10" t="s">
        <v>2373</v>
      </c>
      <c r="O2564" s="10"/>
    </row>
    <row r="2565" spans="1:15" ht="18" customHeight="1" x14ac:dyDescent="0.3">
      <c r="A2565" s="24">
        <v>2564</v>
      </c>
      <c r="B2565" s="10" t="s">
        <v>87</v>
      </c>
      <c r="C2565" s="10" t="s">
        <v>89</v>
      </c>
      <c r="D2565" s="62">
        <v>147</v>
      </c>
      <c r="E2565" s="61" t="s">
        <v>882</v>
      </c>
      <c r="F2565" s="16" t="s">
        <v>704</v>
      </c>
      <c r="G2565" s="10" t="s">
        <v>160</v>
      </c>
      <c r="H2565" s="10" t="s">
        <v>855</v>
      </c>
      <c r="I2565" s="62">
        <v>138</v>
      </c>
      <c r="J2565" s="10" t="s">
        <v>2372</v>
      </c>
      <c r="K2565" s="10" t="s">
        <v>847</v>
      </c>
      <c r="L2565" s="10" t="s">
        <v>2373</v>
      </c>
      <c r="M2565" s="10" t="s">
        <v>2372</v>
      </c>
      <c r="N2565" s="10" t="s">
        <v>2373</v>
      </c>
      <c r="O2565" s="10"/>
    </row>
    <row r="2566" spans="1:15" ht="18" customHeight="1" x14ac:dyDescent="0.3">
      <c r="A2566" s="24">
        <v>2565</v>
      </c>
      <c r="B2566" s="10" t="s">
        <v>87</v>
      </c>
      <c r="C2566" s="10" t="s">
        <v>89</v>
      </c>
      <c r="D2566" s="62">
        <v>147</v>
      </c>
      <c r="E2566" s="61" t="s">
        <v>882</v>
      </c>
      <c r="F2566" s="16" t="s">
        <v>704</v>
      </c>
      <c r="G2566" s="10" t="s">
        <v>160</v>
      </c>
      <c r="H2566" s="10" t="s">
        <v>869</v>
      </c>
      <c r="I2566" s="62">
        <v>133</v>
      </c>
      <c r="J2566" s="10" t="s">
        <v>2372</v>
      </c>
      <c r="K2566" s="10" t="s">
        <v>847</v>
      </c>
      <c r="L2566" s="10" t="s">
        <v>2373</v>
      </c>
      <c r="M2566" s="10" t="s">
        <v>2372</v>
      </c>
      <c r="N2566" s="10" t="s">
        <v>2373</v>
      </c>
      <c r="O2566" s="10"/>
    </row>
    <row r="2567" spans="1:15" ht="18" customHeight="1" x14ac:dyDescent="0.3">
      <c r="A2567" s="24">
        <v>2566</v>
      </c>
      <c r="B2567" s="10" t="s">
        <v>87</v>
      </c>
      <c r="C2567" s="10" t="s">
        <v>89</v>
      </c>
      <c r="D2567" s="62">
        <v>147</v>
      </c>
      <c r="E2567" s="61" t="s">
        <v>882</v>
      </c>
      <c r="F2567" s="16" t="s">
        <v>704</v>
      </c>
      <c r="G2567" s="10" t="s">
        <v>160</v>
      </c>
      <c r="H2567" s="10" t="s">
        <v>883</v>
      </c>
      <c r="I2567" s="62">
        <v>56</v>
      </c>
      <c r="J2567" s="10" t="s">
        <v>2372</v>
      </c>
      <c r="K2567" s="10" t="s">
        <v>847</v>
      </c>
      <c r="L2567" s="10" t="s">
        <v>2373</v>
      </c>
      <c r="M2567" s="10" t="s">
        <v>2372</v>
      </c>
      <c r="N2567" s="10" t="s">
        <v>2373</v>
      </c>
      <c r="O2567" s="10"/>
    </row>
    <row r="2568" spans="1:15" ht="18" customHeight="1" x14ac:dyDescent="0.3">
      <c r="A2568" s="24">
        <v>2567</v>
      </c>
      <c r="B2568" s="10" t="s">
        <v>87</v>
      </c>
      <c r="C2568" s="10" t="s">
        <v>89</v>
      </c>
      <c r="D2568" s="62">
        <v>147</v>
      </c>
      <c r="E2568" s="61" t="s">
        <v>920</v>
      </c>
      <c r="F2568" s="16" t="s">
        <v>1935</v>
      </c>
      <c r="G2568" s="10" t="s">
        <v>160</v>
      </c>
      <c r="H2568" s="10" t="s">
        <v>2385</v>
      </c>
      <c r="I2568" s="62">
        <v>180</v>
      </c>
      <c r="J2568" s="8" t="s">
        <v>2372</v>
      </c>
      <c r="K2568" s="10" t="s">
        <v>847</v>
      </c>
      <c r="L2568" s="10" t="s">
        <v>2373</v>
      </c>
      <c r="M2568" s="10" t="s">
        <v>2372</v>
      </c>
      <c r="N2568" s="10" t="s">
        <v>2373</v>
      </c>
      <c r="O2568" s="10"/>
    </row>
    <row r="2569" spans="1:15" ht="18" customHeight="1" x14ac:dyDescent="0.3">
      <c r="A2569" s="24">
        <v>2568</v>
      </c>
      <c r="B2569" s="10" t="s">
        <v>87</v>
      </c>
      <c r="C2569" s="10" t="s">
        <v>89</v>
      </c>
      <c r="D2569" s="62">
        <v>147</v>
      </c>
      <c r="E2569" s="61" t="s">
        <v>920</v>
      </c>
      <c r="F2569" s="16" t="s">
        <v>1935</v>
      </c>
      <c r="G2569" s="10" t="s">
        <v>160</v>
      </c>
      <c r="H2569" s="10" t="s">
        <v>848</v>
      </c>
      <c r="I2569" s="62">
        <v>189</v>
      </c>
      <c r="J2569" s="8" t="s">
        <v>2374</v>
      </c>
      <c r="K2569" s="10" t="s">
        <v>847</v>
      </c>
      <c r="L2569" s="10" t="s">
        <v>2373</v>
      </c>
      <c r="M2569" s="10" t="s">
        <v>2372</v>
      </c>
      <c r="N2569" s="10" t="s">
        <v>2373</v>
      </c>
      <c r="O2569" s="10"/>
    </row>
    <row r="2570" spans="1:15" ht="18" customHeight="1" x14ac:dyDescent="0.3">
      <c r="A2570" s="24">
        <v>2569</v>
      </c>
      <c r="B2570" s="10" t="s">
        <v>87</v>
      </c>
      <c r="C2570" s="10" t="s">
        <v>89</v>
      </c>
      <c r="D2570" s="62">
        <v>147</v>
      </c>
      <c r="E2570" s="61" t="s">
        <v>920</v>
      </c>
      <c r="F2570" s="16" t="s">
        <v>1935</v>
      </c>
      <c r="G2570" s="10" t="s">
        <v>160</v>
      </c>
      <c r="H2570" s="10" t="s">
        <v>849</v>
      </c>
      <c r="I2570" s="62">
        <v>120</v>
      </c>
      <c r="J2570" s="8" t="s">
        <v>2372</v>
      </c>
      <c r="K2570" s="10" t="s">
        <v>847</v>
      </c>
      <c r="L2570" s="10" t="s">
        <v>2373</v>
      </c>
      <c r="M2570" s="10" t="s">
        <v>2372</v>
      </c>
      <c r="N2570" s="10" t="s">
        <v>2373</v>
      </c>
      <c r="O2570" s="10"/>
    </row>
    <row r="2571" spans="1:15" ht="18" customHeight="1" x14ac:dyDescent="0.3">
      <c r="A2571" s="24">
        <v>2570</v>
      </c>
      <c r="B2571" s="10" t="s">
        <v>87</v>
      </c>
      <c r="C2571" s="10" t="s">
        <v>89</v>
      </c>
      <c r="D2571" s="62">
        <v>147</v>
      </c>
      <c r="E2571" s="61" t="s">
        <v>920</v>
      </c>
      <c r="F2571" s="16" t="s">
        <v>1935</v>
      </c>
      <c r="G2571" s="10" t="s">
        <v>160</v>
      </c>
      <c r="H2571" s="10" t="s">
        <v>850</v>
      </c>
      <c r="I2571" s="62">
        <v>137</v>
      </c>
      <c r="J2571" s="8" t="s">
        <v>2372</v>
      </c>
      <c r="K2571" s="10" t="s">
        <v>847</v>
      </c>
      <c r="L2571" s="10" t="s">
        <v>2373</v>
      </c>
      <c r="M2571" s="10" t="s">
        <v>2372</v>
      </c>
      <c r="N2571" s="10" t="s">
        <v>2373</v>
      </c>
      <c r="O2571" s="10"/>
    </row>
    <row r="2572" spans="1:15" ht="18" customHeight="1" x14ac:dyDescent="0.3">
      <c r="A2572" s="24">
        <v>2571</v>
      </c>
      <c r="B2572" s="10" t="s">
        <v>87</v>
      </c>
      <c r="C2572" s="10" t="s">
        <v>89</v>
      </c>
      <c r="D2572" s="62">
        <v>147</v>
      </c>
      <c r="E2572" s="61" t="s">
        <v>920</v>
      </c>
      <c r="F2572" s="16" t="s">
        <v>1935</v>
      </c>
      <c r="G2572" s="10" t="s">
        <v>160</v>
      </c>
      <c r="H2572" s="10" t="s">
        <v>851</v>
      </c>
      <c r="I2572" s="62">
        <v>120</v>
      </c>
      <c r="J2572" s="8" t="s">
        <v>2372</v>
      </c>
      <c r="K2572" s="10" t="s">
        <v>847</v>
      </c>
      <c r="L2572" s="10" t="s">
        <v>2373</v>
      </c>
      <c r="M2572" s="10" t="s">
        <v>2372</v>
      </c>
      <c r="N2572" s="10" t="s">
        <v>2373</v>
      </c>
      <c r="O2572" s="10"/>
    </row>
    <row r="2573" spans="1:15" ht="18" customHeight="1" x14ac:dyDescent="0.3">
      <c r="A2573" s="24">
        <v>2572</v>
      </c>
      <c r="B2573" s="10" t="s">
        <v>1925</v>
      </c>
      <c r="C2573" s="10" t="s">
        <v>1936</v>
      </c>
      <c r="D2573" s="62">
        <v>148</v>
      </c>
      <c r="E2573" s="61" t="s">
        <v>2780</v>
      </c>
      <c r="F2573" s="44" t="s">
        <v>2672</v>
      </c>
      <c r="G2573" s="10" t="s">
        <v>1278</v>
      </c>
      <c r="H2573" s="10" t="s">
        <v>2385</v>
      </c>
      <c r="I2573" s="62">
        <v>73</v>
      </c>
      <c r="J2573" s="10" t="s">
        <v>2372</v>
      </c>
      <c r="K2573" s="10" t="s">
        <v>2372</v>
      </c>
      <c r="L2573" s="10" t="s">
        <v>2373</v>
      </c>
      <c r="M2573" s="10" t="s">
        <v>2372</v>
      </c>
      <c r="N2573" s="10" t="s">
        <v>2373</v>
      </c>
      <c r="O2573" s="10"/>
    </row>
    <row r="2574" spans="1:15" ht="18" customHeight="1" x14ac:dyDescent="0.3">
      <c r="A2574" s="24">
        <v>2573</v>
      </c>
      <c r="B2574" s="10" t="s">
        <v>1925</v>
      </c>
      <c r="C2574" s="10" t="s">
        <v>1936</v>
      </c>
      <c r="D2574" s="62">
        <v>148</v>
      </c>
      <c r="E2574" s="61" t="s">
        <v>2780</v>
      </c>
      <c r="F2574" s="44" t="s">
        <v>2672</v>
      </c>
      <c r="G2574" s="10" t="s">
        <v>1278</v>
      </c>
      <c r="H2574" s="10" t="s">
        <v>2378</v>
      </c>
      <c r="I2574" s="62">
        <v>76</v>
      </c>
      <c r="J2574" s="10" t="s">
        <v>2372</v>
      </c>
      <c r="K2574" s="10" t="s">
        <v>2372</v>
      </c>
      <c r="L2574" s="10" t="s">
        <v>2373</v>
      </c>
      <c r="M2574" s="10" t="s">
        <v>2372</v>
      </c>
      <c r="N2574" s="10" t="s">
        <v>2373</v>
      </c>
      <c r="O2574" s="10"/>
    </row>
    <row r="2575" spans="1:15" ht="18" customHeight="1" x14ac:dyDescent="0.3">
      <c r="A2575" s="24">
        <v>2574</v>
      </c>
      <c r="B2575" s="10" t="s">
        <v>1925</v>
      </c>
      <c r="C2575" s="10" t="s">
        <v>1936</v>
      </c>
      <c r="D2575" s="62">
        <v>148</v>
      </c>
      <c r="E2575" s="61" t="s">
        <v>2780</v>
      </c>
      <c r="F2575" s="44" t="s">
        <v>2672</v>
      </c>
      <c r="G2575" s="10" t="s">
        <v>1278</v>
      </c>
      <c r="H2575" s="10" t="s">
        <v>2379</v>
      </c>
      <c r="I2575" s="62">
        <v>76</v>
      </c>
      <c r="J2575" s="10" t="s">
        <v>2372</v>
      </c>
      <c r="K2575" s="10" t="s">
        <v>2372</v>
      </c>
      <c r="L2575" s="10" t="s">
        <v>2373</v>
      </c>
      <c r="M2575" s="10" t="s">
        <v>2372</v>
      </c>
      <c r="N2575" s="10" t="s">
        <v>2373</v>
      </c>
      <c r="O2575" s="10"/>
    </row>
    <row r="2576" spans="1:15" ht="18" customHeight="1" x14ac:dyDescent="0.3">
      <c r="A2576" s="24">
        <v>2575</v>
      </c>
      <c r="B2576" s="10" t="s">
        <v>1925</v>
      </c>
      <c r="C2576" s="10" t="s">
        <v>1936</v>
      </c>
      <c r="D2576" s="62">
        <v>148</v>
      </c>
      <c r="E2576" s="61" t="s">
        <v>2780</v>
      </c>
      <c r="F2576" s="44" t="s">
        <v>2672</v>
      </c>
      <c r="G2576" s="10" t="s">
        <v>1278</v>
      </c>
      <c r="H2576" s="10" t="s">
        <v>2380</v>
      </c>
      <c r="I2576" s="62">
        <v>166</v>
      </c>
      <c r="J2576" s="10" t="s">
        <v>2372</v>
      </c>
      <c r="K2576" s="10" t="s">
        <v>2372</v>
      </c>
      <c r="L2576" s="10" t="s">
        <v>2373</v>
      </c>
      <c r="M2576" s="10" t="s">
        <v>2372</v>
      </c>
      <c r="N2576" s="10" t="s">
        <v>2373</v>
      </c>
      <c r="O2576" s="10"/>
    </row>
    <row r="2577" spans="1:15" ht="18" customHeight="1" x14ac:dyDescent="0.3">
      <c r="A2577" s="24">
        <v>2576</v>
      </c>
      <c r="B2577" s="10" t="s">
        <v>1925</v>
      </c>
      <c r="C2577" s="10" t="s">
        <v>1936</v>
      </c>
      <c r="D2577" s="62">
        <v>148</v>
      </c>
      <c r="E2577" s="61" t="s">
        <v>2780</v>
      </c>
      <c r="F2577" s="44" t="s">
        <v>2672</v>
      </c>
      <c r="G2577" s="10" t="s">
        <v>1278</v>
      </c>
      <c r="H2577" s="10" t="s">
        <v>2390</v>
      </c>
      <c r="I2577" s="62">
        <v>166</v>
      </c>
      <c r="J2577" s="10" t="s">
        <v>2372</v>
      </c>
      <c r="K2577" s="10" t="s">
        <v>2372</v>
      </c>
      <c r="L2577" s="10" t="s">
        <v>2373</v>
      </c>
      <c r="M2577" s="10" t="s">
        <v>2372</v>
      </c>
      <c r="N2577" s="10" t="s">
        <v>2373</v>
      </c>
      <c r="O2577" s="10"/>
    </row>
    <row r="2578" spans="1:15" ht="18" customHeight="1" x14ac:dyDescent="0.3">
      <c r="A2578" s="24">
        <v>2577</v>
      </c>
      <c r="B2578" s="10" t="s">
        <v>1925</v>
      </c>
      <c r="C2578" s="10" t="s">
        <v>1936</v>
      </c>
      <c r="D2578" s="62">
        <v>148</v>
      </c>
      <c r="E2578" s="61" t="s">
        <v>2780</v>
      </c>
      <c r="F2578" s="44" t="s">
        <v>2672</v>
      </c>
      <c r="G2578" s="10" t="s">
        <v>1278</v>
      </c>
      <c r="H2578" s="10" t="s">
        <v>2382</v>
      </c>
      <c r="I2578" s="62">
        <v>85</v>
      </c>
      <c r="J2578" s="10" t="s">
        <v>2372</v>
      </c>
      <c r="K2578" s="10" t="s">
        <v>2372</v>
      </c>
      <c r="L2578" s="10" t="s">
        <v>2373</v>
      </c>
      <c r="M2578" s="10" t="s">
        <v>2372</v>
      </c>
      <c r="N2578" s="10" t="s">
        <v>2373</v>
      </c>
      <c r="O2578" s="10"/>
    </row>
    <row r="2579" spans="1:15" ht="18" customHeight="1" x14ac:dyDescent="0.3">
      <c r="A2579" s="24">
        <v>2578</v>
      </c>
      <c r="B2579" s="10" t="s">
        <v>1925</v>
      </c>
      <c r="C2579" s="10" t="s">
        <v>1939</v>
      </c>
      <c r="D2579" s="62">
        <v>149</v>
      </c>
      <c r="E2579" s="44" t="s">
        <v>1940</v>
      </c>
      <c r="F2579" s="44" t="s">
        <v>1941</v>
      </c>
      <c r="G2579" s="24" t="s">
        <v>1264</v>
      </c>
      <c r="H2579" s="10" t="s">
        <v>2385</v>
      </c>
      <c r="I2579" s="62">
        <v>37</v>
      </c>
      <c r="J2579" s="10" t="s">
        <v>2372</v>
      </c>
      <c r="K2579" s="10" t="s">
        <v>2372</v>
      </c>
      <c r="L2579" s="10" t="s">
        <v>2373</v>
      </c>
      <c r="M2579" s="10" t="s">
        <v>2372</v>
      </c>
      <c r="N2579" s="10" t="s">
        <v>2373</v>
      </c>
      <c r="O2579" s="10"/>
    </row>
    <row r="2580" spans="1:15" ht="18" customHeight="1" x14ac:dyDescent="0.3">
      <c r="A2580" s="24">
        <v>2579</v>
      </c>
      <c r="B2580" s="10" t="s">
        <v>1925</v>
      </c>
      <c r="C2580" s="10" t="s">
        <v>1939</v>
      </c>
      <c r="D2580" s="62">
        <v>149</v>
      </c>
      <c r="E2580" s="44" t="s">
        <v>1940</v>
      </c>
      <c r="F2580" s="44" t="s">
        <v>1941</v>
      </c>
      <c r="G2580" s="24" t="s">
        <v>1264</v>
      </c>
      <c r="H2580" s="10" t="s">
        <v>2378</v>
      </c>
      <c r="I2580" s="62">
        <v>54</v>
      </c>
      <c r="J2580" s="10" t="s">
        <v>2374</v>
      </c>
      <c r="K2580" s="10" t="s">
        <v>2372</v>
      </c>
      <c r="L2580" s="10" t="s">
        <v>2373</v>
      </c>
      <c r="M2580" s="10" t="s">
        <v>2372</v>
      </c>
      <c r="N2580" s="10" t="s">
        <v>2373</v>
      </c>
      <c r="O2580" s="10"/>
    </row>
    <row r="2581" spans="1:15" ht="18" customHeight="1" x14ac:dyDescent="0.3">
      <c r="A2581" s="24">
        <v>2580</v>
      </c>
      <c r="B2581" s="23" t="s">
        <v>1943</v>
      </c>
      <c r="C2581" s="23" t="s">
        <v>1944</v>
      </c>
      <c r="D2581" s="23">
        <v>150</v>
      </c>
      <c r="E2581" s="56" t="s">
        <v>1945</v>
      </c>
      <c r="F2581" s="27" t="s">
        <v>1946</v>
      </c>
      <c r="G2581" s="23" t="s">
        <v>2553</v>
      </c>
      <c r="H2581" s="10" t="s">
        <v>2385</v>
      </c>
      <c r="I2581" s="62">
        <v>61</v>
      </c>
      <c r="J2581" s="10" t="s">
        <v>2374</v>
      </c>
      <c r="K2581" s="10" t="s">
        <v>847</v>
      </c>
      <c r="L2581" s="10" t="s">
        <v>2373</v>
      </c>
      <c r="M2581" s="10" t="s">
        <v>2372</v>
      </c>
      <c r="N2581" s="10" t="s">
        <v>2373</v>
      </c>
      <c r="O2581" s="10"/>
    </row>
    <row r="2582" spans="1:15" ht="18" customHeight="1" x14ac:dyDescent="0.3">
      <c r="A2582" s="24">
        <v>2581</v>
      </c>
      <c r="B2582" s="23" t="s">
        <v>1943</v>
      </c>
      <c r="C2582" s="23" t="s">
        <v>1944</v>
      </c>
      <c r="D2582" s="23">
        <v>150</v>
      </c>
      <c r="E2582" s="56" t="s">
        <v>1945</v>
      </c>
      <c r="F2582" s="27" t="s">
        <v>1946</v>
      </c>
      <c r="G2582" s="23" t="s">
        <v>2553</v>
      </c>
      <c r="H2582" s="10" t="s">
        <v>2378</v>
      </c>
      <c r="I2582" s="62">
        <v>34</v>
      </c>
      <c r="J2582" s="10" t="s">
        <v>2372</v>
      </c>
      <c r="K2582" s="10" t="s">
        <v>847</v>
      </c>
      <c r="L2582" s="10" t="s">
        <v>2373</v>
      </c>
      <c r="M2582" s="10" t="s">
        <v>2372</v>
      </c>
      <c r="N2582" s="10" t="s">
        <v>2373</v>
      </c>
      <c r="O2582" s="10"/>
    </row>
    <row r="2583" spans="1:15" ht="18" customHeight="1" x14ac:dyDescent="0.3">
      <c r="A2583" s="24">
        <v>2582</v>
      </c>
      <c r="B2583" s="23" t="s">
        <v>1943</v>
      </c>
      <c r="C2583" s="23" t="s">
        <v>1950</v>
      </c>
      <c r="D2583" s="23">
        <v>151</v>
      </c>
      <c r="E2583" s="56" t="s">
        <v>1951</v>
      </c>
      <c r="F2583" s="27" t="s">
        <v>1952</v>
      </c>
      <c r="G2583" s="23" t="s">
        <v>2553</v>
      </c>
      <c r="H2583" s="10" t="s">
        <v>2385</v>
      </c>
      <c r="I2583" s="62">
        <v>62</v>
      </c>
      <c r="J2583" s="10" t="s">
        <v>2374</v>
      </c>
      <c r="K2583" s="10" t="s">
        <v>847</v>
      </c>
      <c r="L2583" s="10" t="s">
        <v>2373</v>
      </c>
      <c r="M2583" s="10" t="s">
        <v>2372</v>
      </c>
      <c r="N2583" s="10" t="s">
        <v>2373</v>
      </c>
      <c r="O2583" s="10"/>
    </row>
    <row r="2584" spans="1:15" ht="18" customHeight="1" x14ac:dyDescent="0.3">
      <c r="A2584" s="24">
        <v>2583</v>
      </c>
      <c r="B2584" s="23" t="s">
        <v>1943</v>
      </c>
      <c r="C2584" s="23" t="s">
        <v>1950</v>
      </c>
      <c r="D2584" s="23">
        <v>151</v>
      </c>
      <c r="E2584" s="56" t="s">
        <v>1951</v>
      </c>
      <c r="F2584" s="27" t="s">
        <v>1952</v>
      </c>
      <c r="G2584" s="23" t="s">
        <v>2553</v>
      </c>
      <c r="H2584" s="10" t="s">
        <v>2378</v>
      </c>
      <c r="I2584" s="62">
        <v>35</v>
      </c>
      <c r="J2584" s="10" t="s">
        <v>2372</v>
      </c>
      <c r="K2584" s="10" t="s">
        <v>847</v>
      </c>
      <c r="L2584" s="10" t="s">
        <v>2373</v>
      </c>
      <c r="M2584" s="10" t="s">
        <v>2372</v>
      </c>
      <c r="N2584" s="10" t="s">
        <v>2373</v>
      </c>
      <c r="O2584" s="10"/>
    </row>
    <row r="2585" spans="1:15" ht="18" customHeight="1" x14ac:dyDescent="0.3">
      <c r="A2585" s="24">
        <v>2584</v>
      </c>
      <c r="B2585" s="10" t="s">
        <v>87</v>
      </c>
      <c r="C2585" s="10" t="s">
        <v>91</v>
      </c>
      <c r="D2585" s="62">
        <v>153</v>
      </c>
      <c r="E2585" s="61" t="s">
        <v>2673</v>
      </c>
      <c r="F2585" s="16" t="s">
        <v>690</v>
      </c>
      <c r="G2585" s="10" t="s">
        <v>160</v>
      </c>
      <c r="H2585" s="10" t="s">
        <v>845</v>
      </c>
      <c r="I2585" s="62">
        <v>122</v>
      </c>
      <c r="J2585" s="10" t="s">
        <v>2372</v>
      </c>
      <c r="K2585" s="10" t="s">
        <v>847</v>
      </c>
      <c r="L2585" s="10" t="s">
        <v>2373</v>
      </c>
      <c r="M2585" s="10" t="s">
        <v>2372</v>
      </c>
      <c r="N2585" s="10" t="s">
        <v>2373</v>
      </c>
      <c r="O2585" s="10"/>
    </row>
    <row r="2586" spans="1:15" ht="18" customHeight="1" x14ac:dyDescent="0.3">
      <c r="A2586" s="24">
        <v>2585</v>
      </c>
      <c r="B2586" s="10" t="s">
        <v>87</v>
      </c>
      <c r="C2586" s="10" t="s">
        <v>91</v>
      </c>
      <c r="D2586" s="62">
        <v>153</v>
      </c>
      <c r="E2586" s="61" t="s">
        <v>2673</v>
      </c>
      <c r="F2586" s="16" t="s">
        <v>690</v>
      </c>
      <c r="G2586" s="10" t="s">
        <v>160</v>
      </c>
      <c r="H2586" s="10" t="s">
        <v>848</v>
      </c>
      <c r="I2586" s="62">
        <v>122</v>
      </c>
      <c r="J2586" s="10" t="s">
        <v>2372</v>
      </c>
      <c r="K2586" s="10" t="s">
        <v>847</v>
      </c>
      <c r="L2586" s="10" t="s">
        <v>2373</v>
      </c>
      <c r="M2586" s="10" t="s">
        <v>2372</v>
      </c>
      <c r="N2586" s="10" t="s">
        <v>2373</v>
      </c>
      <c r="O2586" s="10"/>
    </row>
    <row r="2587" spans="1:15" ht="18" customHeight="1" x14ac:dyDescent="0.3">
      <c r="A2587" s="24">
        <v>2586</v>
      </c>
      <c r="B2587" s="10" t="s">
        <v>87</v>
      </c>
      <c r="C2587" s="10" t="s">
        <v>91</v>
      </c>
      <c r="D2587" s="62">
        <v>153</v>
      </c>
      <c r="E2587" s="61" t="s">
        <v>2673</v>
      </c>
      <c r="F2587" s="16" t="s">
        <v>690</v>
      </c>
      <c r="G2587" s="10" t="s">
        <v>160</v>
      </c>
      <c r="H2587" s="10" t="s">
        <v>849</v>
      </c>
      <c r="I2587" s="62">
        <v>64</v>
      </c>
      <c r="J2587" s="10" t="s">
        <v>2372</v>
      </c>
      <c r="K2587" s="10" t="s">
        <v>847</v>
      </c>
      <c r="L2587" s="10" t="s">
        <v>2373</v>
      </c>
      <c r="M2587" s="10" t="s">
        <v>2372</v>
      </c>
      <c r="N2587" s="10" t="s">
        <v>2373</v>
      </c>
      <c r="O2587" s="10"/>
    </row>
    <row r="2588" spans="1:15" ht="18" customHeight="1" x14ac:dyDescent="0.3">
      <c r="A2588" s="24">
        <v>2587</v>
      </c>
      <c r="B2588" s="10" t="s">
        <v>87</v>
      </c>
      <c r="C2588" s="10" t="s">
        <v>91</v>
      </c>
      <c r="D2588" s="62">
        <v>153</v>
      </c>
      <c r="E2588" s="61" t="s">
        <v>2673</v>
      </c>
      <c r="F2588" s="16" t="s">
        <v>690</v>
      </c>
      <c r="G2588" s="10" t="s">
        <v>160</v>
      </c>
      <c r="H2588" s="10" t="s">
        <v>850</v>
      </c>
      <c r="I2588" s="62">
        <v>64</v>
      </c>
      <c r="J2588" s="10" t="s">
        <v>2372</v>
      </c>
      <c r="K2588" s="10" t="s">
        <v>847</v>
      </c>
      <c r="L2588" s="10" t="s">
        <v>2373</v>
      </c>
      <c r="M2588" s="10" t="s">
        <v>2372</v>
      </c>
      <c r="N2588" s="10" t="s">
        <v>2373</v>
      </c>
      <c r="O2588" s="10"/>
    </row>
    <row r="2589" spans="1:15" ht="18" customHeight="1" x14ac:dyDescent="0.3">
      <c r="A2589" s="24">
        <v>2588</v>
      </c>
      <c r="B2589" s="10" t="s">
        <v>87</v>
      </c>
      <c r="C2589" s="10" t="s">
        <v>92</v>
      </c>
      <c r="D2589" s="62">
        <v>154</v>
      </c>
      <c r="E2589" s="61" t="s">
        <v>978</v>
      </c>
      <c r="F2589" s="27" t="s">
        <v>1958</v>
      </c>
      <c r="G2589" s="10" t="s">
        <v>2373</v>
      </c>
      <c r="H2589" s="10" t="s">
        <v>845</v>
      </c>
      <c r="I2589" s="62">
        <v>78</v>
      </c>
      <c r="J2589" s="10" t="s">
        <v>2374</v>
      </c>
      <c r="K2589" s="10" t="s">
        <v>847</v>
      </c>
      <c r="L2589" s="10" t="s">
        <v>2373</v>
      </c>
      <c r="M2589" s="10" t="s">
        <v>2372</v>
      </c>
      <c r="N2589" s="10" t="s">
        <v>2373</v>
      </c>
      <c r="O2589" s="10"/>
    </row>
    <row r="2590" spans="1:15" ht="18" customHeight="1" x14ac:dyDescent="0.3">
      <c r="A2590" s="24">
        <v>2589</v>
      </c>
      <c r="B2590" s="10" t="s">
        <v>87</v>
      </c>
      <c r="C2590" s="10" t="s">
        <v>92</v>
      </c>
      <c r="D2590" s="62">
        <v>154</v>
      </c>
      <c r="E2590" s="61" t="s">
        <v>978</v>
      </c>
      <c r="F2590" s="27" t="s">
        <v>1958</v>
      </c>
      <c r="G2590" s="10" t="s">
        <v>2373</v>
      </c>
      <c r="H2590" s="10" t="s">
        <v>848</v>
      </c>
      <c r="I2590" s="62">
        <v>78</v>
      </c>
      <c r="J2590" s="10" t="s">
        <v>2372</v>
      </c>
      <c r="K2590" s="10" t="s">
        <v>847</v>
      </c>
      <c r="L2590" s="10" t="s">
        <v>2373</v>
      </c>
      <c r="M2590" s="10" t="s">
        <v>2372</v>
      </c>
      <c r="N2590" s="10" t="s">
        <v>2373</v>
      </c>
      <c r="O2590" s="10"/>
    </row>
    <row r="2591" spans="1:15" ht="18" customHeight="1" x14ac:dyDescent="0.3">
      <c r="A2591" s="24">
        <v>2590</v>
      </c>
      <c r="B2591" s="10" t="s">
        <v>87</v>
      </c>
      <c r="C2591" s="10" t="s">
        <v>92</v>
      </c>
      <c r="D2591" s="62">
        <v>154</v>
      </c>
      <c r="E2591" s="61" t="s">
        <v>978</v>
      </c>
      <c r="F2591" s="27" t="s">
        <v>1958</v>
      </c>
      <c r="G2591" s="10" t="s">
        <v>2373</v>
      </c>
      <c r="H2591" s="10" t="s">
        <v>849</v>
      </c>
      <c r="I2591" s="62">
        <v>78</v>
      </c>
      <c r="J2591" s="10" t="s">
        <v>2372</v>
      </c>
      <c r="K2591" s="10" t="s">
        <v>847</v>
      </c>
      <c r="L2591" s="10" t="s">
        <v>2373</v>
      </c>
      <c r="M2591" s="10" t="s">
        <v>2372</v>
      </c>
      <c r="N2591" s="10" t="s">
        <v>2373</v>
      </c>
      <c r="O2591" s="10"/>
    </row>
    <row r="2592" spans="1:15" ht="18" customHeight="1" x14ac:dyDescent="0.3">
      <c r="A2592" s="24">
        <v>2591</v>
      </c>
      <c r="B2592" s="10" t="s">
        <v>87</v>
      </c>
      <c r="C2592" s="10" t="s">
        <v>93</v>
      </c>
      <c r="D2592" s="62">
        <v>155</v>
      </c>
      <c r="E2592" s="61" t="s">
        <v>2926</v>
      </c>
      <c r="F2592" s="19" t="s">
        <v>1963</v>
      </c>
      <c r="G2592" s="10" t="s">
        <v>160</v>
      </c>
      <c r="H2592" s="10" t="s">
        <v>845</v>
      </c>
      <c r="I2592" s="62">
        <v>166</v>
      </c>
      <c r="J2592" s="10" t="s">
        <v>2372</v>
      </c>
      <c r="K2592" s="10" t="s">
        <v>847</v>
      </c>
      <c r="L2592" s="10" t="s">
        <v>2373</v>
      </c>
      <c r="M2592" s="10" t="s">
        <v>2372</v>
      </c>
      <c r="N2592" s="10" t="s">
        <v>2373</v>
      </c>
      <c r="O2592" s="10"/>
    </row>
    <row r="2593" spans="1:15" ht="18" customHeight="1" x14ac:dyDescent="0.3">
      <c r="A2593" s="24">
        <v>2592</v>
      </c>
      <c r="B2593" s="10" t="s">
        <v>87</v>
      </c>
      <c r="C2593" s="10" t="s">
        <v>93</v>
      </c>
      <c r="D2593" s="62">
        <v>155</v>
      </c>
      <c r="E2593" s="61" t="s">
        <v>2926</v>
      </c>
      <c r="F2593" s="19" t="s">
        <v>1963</v>
      </c>
      <c r="G2593" s="10" t="s">
        <v>160</v>
      </c>
      <c r="H2593" s="10" t="s">
        <v>848</v>
      </c>
      <c r="I2593" s="62">
        <v>169</v>
      </c>
      <c r="J2593" s="10" t="s">
        <v>2372</v>
      </c>
      <c r="K2593" s="10" t="s">
        <v>847</v>
      </c>
      <c r="L2593" s="10" t="s">
        <v>2373</v>
      </c>
      <c r="M2593" s="10" t="s">
        <v>2372</v>
      </c>
      <c r="N2593" s="10" t="s">
        <v>2373</v>
      </c>
      <c r="O2593" s="10"/>
    </row>
    <row r="2594" spans="1:15" ht="18" customHeight="1" x14ac:dyDescent="0.3">
      <c r="A2594" s="24">
        <v>2593</v>
      </c>
      <c r="B2594" s="10" t="s">
        <v>87</v>
      </c>
      <c r="C2594" s="10" t="s">
        <v>93</v>
      </c>
      <c r="D2594" s="62">
        <v>155</v>
      </c>
      <c r="E2594" s="61" t="s">
        <v>2926</v>
      </c>
      <c r="F2594" s="19" t="s">
        <v>1963</v>
      </c>
      <c r="G2594" s="10" t="s">
        <v>160</v>
      </c>
      <c r="H2594" s="10" t="s">
        <v>849</v>
      </c>
      <c r="I2594" s="62">
        <v>189</v>
      </c>
      <c r="J2594" s="10" t="s">
        <v>2372</v>
      </c>
      <c r="K2594" s="10" t="s">
        <v>847</v>
      </c>
      <c r="L2594" s="10" t="s">
        <v>2373</v>
      </c>
      <c r="M2594" s="10" t="s">
        <v>2372</v>
      </c>
      <c r="N2594" s="10" t="s">
        <v>2373</v>
      </c>
      <c r="O2594" s="10"/>
    </row>
    <row r="2595" spans="1:15" ht="18" customHeight="1" x14ac:dyDescent="0.3">
      <c r="A2595" s="24">
        <v>2594</v>
      </c>
      <c r="B2595" s="10" t="s">
        <v>87</v>
      </c>
      <c r="C2595" s="10" t="s">
        <v>93</v>
      </c>
      <c r="D2595" s="62">
        <v>155</v>
      </c>
      <c r="E2595" s="61" t="s">
        <v>2926</v>
      </c>
      <c r="F2595" s="19" t="s">
        <v>1963</v>
      </c>
      <c r="G2595" s="10" t="s">
        <v>160</v>
      </c>
      <c r="H2595" s="10" t="s">
        <v>850</v>
      </c>
      <c r="I2595" s="62">
        <v>153</v>
      </c>
      <c r="J2595" s="10" t="s">
        <v>2372</v>
      </c>
      <c r="K2595" s="10" t="s">
        <v>847</v>
      </c>
      <c r="L2595" s="10" t="s">
        <v>2373</v>
      </c>
      <c r="M2595" s="10" t="s">
        <v>2372</v>
      </c>
      <c r="N2595" s="10" t="s">
        <v>2373</v>
      </c>
      <c r="O2595" s="10"/>
    </row>
    <row r="2596" spans="1:15" ht="18" customHeight="1" x14ac:dyDescent="0.3">
      <c r="A2596" s="24">
        <v>2595</v>
      </c>
      <c r="B2596" s="10" t="s">
        <v>87</v>
      </c>
      <c r="C2596" s="10" t="s">
        <v>93</v>
      </c>
      <c r="D2596" s="62">
        <v>155</v>
      </c>
      <c r="E2596" s="61" t="s">
        <v>2926</v>
      </c>
      <c r="F2596" s="19" t="s">
        <v>1963</v>
      </c>
      <c r="G2596" s="10" t="s">
        <v>160</v>
      </c>
      <c r="H2596" s="10" t="s">
        <v>851</v>
      </c>
      <c r="I2596" s="62">
        <v>122</v>
      </c>
      <c r="J2596" s="10" t="s">
        <v>2374</v>
      </c>
      <c r="K2596" s="10" t="s">
        <v>847</v>
      </c>
      <c r="L2596" s="10" t="s">
        <v>2373</v>
      </c>
      <c r="M2596" s="10" t="s">
        <v>2372</v>
      </c>
      <c r="N2596" s="10" t="s">
        <v>2373</v>
      </c>
      <c r="O2596" s="10"/>
    </row>
    <row r="2597" spans="1:15" ht="18" customHeight="1" x14ac:dyDescent="0.3">
      <c r="A2597" s="24">
        <v>2596</v>
      </c>
      <c r="B2597" s="23" t="s">
        <v>1943</v>
      </c>
      <c r="C2597" s="23" t="s">
        <v>1961</v>
      </c>
      <c r="D2597" s="23">
        <v>155</v>
      </c>
      <c r="E2597" s="27" t="s">
        <v>1964</v>
      </c>
      <c r="F2597" s="27" t="s">
        <v>1965</v>
      </c>
      <c r="G2597" s="23" t="s">
        <v>2373</v>
      </c>
      <c r="H2597" s="10" t="s">
        <v>2385</v>
      </c>
      <c r="I2597" s="62">
        <v>60</v>
      </c>
      <c r="J2597" s="10" t="s">
        <v>2372</v>
      </c>
      <c r="K2597" s="10" t="s">
        <v>847</v>
      </c>
      <c r="L2597" s="10" t="s">
        <v>2373</v>
      </c>
      <c r="M2597" s="10" t="s">
        <v>2372</v>
      </c>
      <c r="N2597" s="10" t="s">
        <v>2373</v>
      </c>
      <c r="O2597" s="10"/>
    </row>
    <row r="2598" spans="1:15" ht="18" customHeight="1" x14ac:dyDescent="0.3">
      <c r="A2598" s="24">
        <v>2597</v>
      </c>
      <c r="B2598" s="23" t="s">
        <v>1943</v>
      </c>
      <c r="C2598" s="23" t="s">
        <v>1961</v>
      </c>
      <c r="D2598" s="23">
        <v>155</v>
      </c>
      <c r="E2598" s="27" t="s">
        <v>1964</v>
      </c>
      <c r="F2598" s="27" t="s">
        <v>1965</v>
      </c>
      <c r="G2598" s="23" t="s">
        <v>2373</v>
      </c>
      <c r="H2598" s="10" t="s">
        <v>2378</v>
      </c>
      <c r="I2598" s="62">
        <v>32</v>
      </c>
      <c r="J2598" s="10" t="s">
        <v>2372</v>
      </c>
      <c r="K2598" s="10" t="s">
        <v>847</v>
      </c>
      <c r="L2598" s="10" t="s">
        <v>2373</v>
      </c>
      <c r="M2598" s="10" t="s">
        <v>2372</v>
      </c>
      <c r="N2598" s="10" t="s">
        <v>2373</v>
      </c>
      <c r="O2598" s="10"/>
    </row>
    <row r="2599" spans="1:15" ht="18" customHeight="1" x14ac:dyDescent="0.3">
      <c r="A2599" s="24">
        <v>2598</v>
      </c>
      <c r="B2599" s="10" t="s">
        <v>94</v>
      </c>
      <c r="C2599" s="10" t="s">
        <v>95</v>
      </c>
      <c r="D2599" s="62">
        <v>157</v>
      </c>
      <c r="E2599" s="61" t="s">
        <v>2927</v>
      </c>
      <c r="F2599" s="19" t="s">
        <v>713</v>
      </c>
      <c r="G2599" s="10" t="s">
        <v>150</v>
      </c>
      <c r="H2599" s="10" t="s">
        <v>845</v>
      </c>
      <c r="I2599" s="62">
        <v>102</v>
      </c>
      <c r="J2599" s="10" t="s">
        <v>2372</v>
      </c>
      <c r="K2599" s="10" t="s">
        <v>847</v>
      </c>
      <c r="L2599" s="10" t="s">
        <v>2373</v>
      </c>
      <c r="M2599" s="10" t="s">
        <v>2372</v>
      </c>
      <c r="N2599" s="10" t="s">
        <v>2373</v>
      </c>
      <c r="O2599" s="10"/>
    </row>
    <row r="2600" spans="1:15" ht="18" customHeight="1" x14ac:dyDescent="0.3">
      <c r="A2600" s="24">
        <v>2599</v>
      </c>
      <c r="B2600" s="10" t="s">
        <v>94</v>
      </c>
      <c r="C2600" s="10" t="s">
        <v>95</v>
      </c>
      <c r="D2600" s="62">
        <v>157</v>
      </c>
      <c r="E2600" s="61" t="s">
        <v>2927</v>
      </c>
      <c r="F2600" s="19" t="s">
        <v>713</v>
      </c>
      <c r="G2600" s="10" t="s">
        <v>150</v>
      </c>
      <c r="H2600" s="10" t="s">
        <v>848</v>
      </c>
      <c r="I2600" s="62">
        <v>109</v>
      </c>
      <c r="J2600" s="10" t="s">
        <v>2374</v>
      </c>
      <c r="K2600" s="10" t="s">
        <v>847</v>
      </c>
      <c r="L2600" s="10" t="s">
        <v>2373</v>
      </c>
      <c r="M2600" s="10" t="s">
        <v>2372</v>
      </c>
      <c r="N2600" s="10" t="s">
        <v>2373</v>
      </c>
      <c r="O2600" s="10"/>
    </row>
    <row r="2601" spans="1:15" ht="18" customHeight="1" x14ac:dyDescent="0.3">
      <c r="A2601" s="24">
        <v>2600</v>
      </c>
      <c r="B2601" s="10" t="s">
        <v>94</v>
      </c>
      <c r="C2601" s="10" t="s">
        <v>95</v>
      </c>
      <c r="D2601" s="62">
        <v>157</v>
      </c>
      <c r="E2601" s="61" t="s">
        <v>2927</v>
      </c>
      <c r="F2601" s="19" t="s">
        <v>713</v>
      </c>
      <c r="G2601" s="10" t="s">
        <v>150</v>
      </c>
      <c r="H2601" s="10" t="s">
        <v>849</v>
      </c>
      <c r="I2601" s="62">
        <v>183</v>
      </c>
      <c r="J2601" s="10" t="s">
        <v>2374</v>
      </c>
      <c r="K2601" s="10" t="s">
        <v>847</v>
      </c>
      <c r="L2601" s="10" t="s">
        <v>2373</v>
      </c>
      <c r="M2601" s="10" t="s">
        <v>2372</v>
      </c>
      <c r="N2601" s="10" t="s">
        <v>2373</v>
      </c>
      <c r="O2601" s="10"/>
    </row>
    <row r="2602" spans="1:15" ht="18" customHeight="1" x14ac:dyDescent="0.3">
      <c r="A2602" s="24">
        <v>2601</v>
      </c>
      <c r="B2602" s="10" t="s">
        <v>94</v>
      </c>
      <c r="C2602" s="10" t="s">
        <v>95</v>
      </c>
      <c r="D2602" s="62">
        <v>157</v>
      </c>
      <c r="E2602" s="61" t="s">
        <v>2927</v>
      </c>
      <c r="F2602" s="19" t="s">
        <v>713</v>
      </c>
      <c r="G2602" s="10" t="s">
        <v>150</v>
      </c>
      <c r="H2602" s="10" t="s">
        <v>850</v>
      </c>
      <c r="I2602" s="62">
        <v>194</v>
      </c>
      <c r="J2602" s="10" t="s">
        <v>2374</v>
      </c>
      <c r="K2602" s="10" t="s">
        <v>847</v>
      </c>
      <c r="L2602" s="10" t="s">
        <v>2373</v>
      </c>
      <c r="M2602" s="10" t="s">
        <v>2372</v>
      </c>
      <c r="N2602" s="10" t="s">
        <v>2373</v>
      </c>
      <c r="O2602" s="10"/>
    </row>
    <row r="2603" spans="1:15" ht="18" customHeight="1" x14ac:dyDescent="0.3">
      <c r="A2603" s="24">
        <v>2602</v>
      </c>
      <c r="B2603" s="10" t="s">
        <v>94</v>
      </c>
      <c r="C2603" s="10" t="s">
        <v>95</v>
      </c>
      <c r="D2603" s="62">
        <v>157</v>
      </c>
      <c r="E2603" s="61" t="s">
        <v>2927</v>
      </c>
      <c r="F2603" s="19" t="s">
        <v>713</v>
      </c>
      <c r="G2603" s="10" t="s">
        <v>150</v>
      </c>
      <c r="H2603" s="10" t="s">
        <v>851</v>
      </c>
      <c r="I2603" s="62">
        <v>102</v>
      </c>
      <c r="J2603" s="10" t="s">
        <v>2372</v>
      </c>
      <c r="K2603" s="10" t="s">
        <v>847</v>
      </c>
      <c r="L2603" s="10" t="s">
        <v>2373</v>
      </c>
      <c r="M2603" s="10" t="s">
        <v>2372</v>
      </c>
      <c r="N2603" s="10" t="s">
        <v>2373</v>
      </c>
      <c r="O2603" s="10"/>
    </row>
    <row r="2604" spans="1:15" ht="18" customHeight="1" x14ac:dyDescent="0.3">
      <c r="A2604" s="24">
        <v>2603</v>
      </c>
      <c r="B2604" s="10" t="s">
        <v>94</v>
      </c>
      <c r="C2604" s="10" t="s">
        <v>95</v>
      </c>
      <c r="D2604" s="62">
        <v>157</v>
      </c>
      <c r="E2604" s="61" t="s">
        <v>2927</v>
      </c>
      <c r="F2604" s="19" t="s">
        <v>713</v>
      </c>
      <c r="G2604" s="10" t="s">
        <v>150</v>
      </c>
      <c r="H2604" s="10" t="s">
        <v>852</v>
      </c>
      <c r="I2604" s="62">
        <v>98</v>
      </c>
      <c r="J2604" s="10" t="s">
        <v>2374</v>
      </c>
      <c r="K2604" s="10" t="s">
        <v>847</v>
      </c>
      <c r="L2604" s="10" t="s">
        <v>2373</v>
      </c>
      <c r="M2604" s="10" t="s">
        <v>2372</v>
      </c>
      <c r="N2604" s="10" t="s">
        <v>2373</v>
      </c>
      <c r="O2604" s="10"/>
    </row>
    <row r="2605" spans="1:15" ht="18" customHeight="1" x14ac:dyDescent="0.3">
      <c r="A2605" s="24">
        <v>2604</v>
      </c>
      <c r="B2605" s="10" t="s">
        <v>94</v>
      </c>
      <c r="C2605" s="10" t="s">
        <v>95</v>
      </c>
      <c r="D2605" s="62">
        <v>157</v>
      </c>
      <c r="E2605" s="61" t="s">
        <v>2927</v>
      </c>
      <c r="F2605" s="19" t="s">
        <v>713</v>
      </c>
      <c r="G2605" s="10" t="s">
        <v>150</v>
      </c>
      <c r="H2605" s="10" t="s">
        <v>853</v>
      </c>
      <c r="I2605" s="62">
        <v>87</v>
      </c>
      <c r="J2605" s="10" t="s">
        <v>2372</v>
      </c>
      <c r="K2605" s="10" t="s">
        <v>847</v>
      </c>
      <c r="L2605" s="10" t="s">
        <v>2373</v>
      </c>
      <c r="M2605" s="10" t="s">
        <v>2374</v>
      </c>
      <c r="N2605" s="10" t="s">
        <v>1256</v>
      </c>
      <c r="O2605" s="10"/>
    </row>
    <row r="2606" spans="1:15" ht="18" customHeight="1" x14ac:dyDescent="0.3">
      <c r="A2606" s="24">
        <v>2605</v>
      </c>
      <c r="B2606" s="10" t="s">
        <v>94</v>
      </c>
      <c r="C2606" s="10" t="s">
        <v>95</v>
      </c>
      <c r="D2606" s="62">
        <v>157</v>
      </c>
      <c r="E2606" s="61" t="s">
        <v>2927</v>
      </c>
      <c r="F2606" s="19" t="s">
        <v>713</v>
      </c>
      <c r="G2606" s="10" t="s">
        <v>150</v>
      </c>
      <c r="H2606" s="10" t="s">
        <v>854</v>
      </c>
      <c r="I2606" s="62">
        <v>142</v>
      </c>
      <c r="J2606" s="10" t="s">
        <v>2372</v>
      </c>
      <c r="K2606" s="10" t="s">
        <v>847</v>
      </c>
      <c r="L2606" s="10" t="s">
        <v>2373</v>
      </c>
      <c r="M2606" s="10" t="s">
        <v>2372</v>
      </c>
      <c r="N2606" s="10" t="s">
        <v>2373</v>
      </c>
      <c r="O2606" s="10"/>
    </row>
    <row r="2607" spans="1:15" ht="18" customHeight="1" x14ac:dyDescent="0.3">
      <c r="A2607" s="24">
        <v>2606</v>
      </c>
      <c r="B2607" s="8" t="s">
        <v>1969</v>
      </c>
      <c r="C2607" s="8" t="s">
        <v>1970</v>
      </c>
      <c r="D2607" s="8">
        <v>157</v>
      </c>
      <c r="E2607" s="16" t="s">
        <v>1971</v>
      </c>
      <c r="F2607" s="16" t="s">
        <v>1972</v>
      </c>
      <c r="G2607" s="8" t="s">
        <v>2553</v>
      </c>
      <c r="H2607" s="62" t="s">
        <v>2385</v>
      </c>
      <c r="I2607" s="96">
        <v>50</v>
      </c>
      <c r="J2607" s="10" t="s">
        <v>2372</v>
      </c>
      <c r="K2607" s="10" t="s">
        <v>847</v>
      </c>
      <c r="L2607" s="10" t="s">
        <v>2373</v>
      </c>
      <c r="M2607" s="10" t="s">
        <v>2374</v>
      </c>
      <c r="N2607" s="10" t="s">
        <v>1234</v>
      </c>
      <c r="O2607" s="10"/>
    </row>
    <row r="2608" spans="1:15" ht="18" customHeight="1" x14ac:dyDescent="0.3">
      <c r="A2608" s="24">
        <v>2607</v>
      </c>
      <c r="B2608" s="8" t="s">
        <v>1969</v>
      </c>
      <c r="C2608" s="8" t="s">
        <v>1970</v>
      </c>
      <c r="D2608" s="8">
        <v>157</v>
      </c>
      <c r="E2608" s="56" t="s">
        <v>1976</v>
      </c>
      <c r="F2608" s="16" t="s">
        <v>1977</v>
      </c>
      <c r="G2608" s="8" t="s">
        <v>2553</v>
      </c>
      <c r="H2608" s="10" t="s">
        <v>2385</v>
      </c>
      <c r="I2608" s="62">
        <v>170</v>
      </c>
      <c r="J2608" s="10" t="s">
        <v>2372</v>
      </c>
      <c r="K2608" s="10" t="s">
        <v>847</v>
      </c>
      <c r="L2608" s="10" t="s">
        <v>2373</v>
      </c>
      <c r="M2608" s="10" t="s">
        <v>2372</v>
      </c>
      <c r="N2608" s="10" t="s">
        <v>2373</v>
      </c>
      <c r="O2608" s="10"/>
    </row>
    <row r="2609" spans="1:15" ht="18" customHeight="1" x14ac:dyDescent="0.3">
      <c r="A2609" s="24">
        <v>2608</v>
      </c>
      <c r="B2609" s="10" t="s">
        <v>94</v>
      </c>
      <c r="C2609" s="10" t="s">
        <v>95</v>
      </c>
      <c r="D2609" s="62">
        <v>157</v>
      </c>
      <c r="E2609" s="61" t="s">
        <v>2928</v>
      </c>
      <c r="F2609" s="16" t="s">
        <v>1982</v>
      </c>
      <c r="G2609" s="10" t="s">
        <v>150</v>
      </c>
      <c r="H2609" s="10" t="s">
        <v>845</v>
      </c>
      <c r="I2609" s="62">
        <v>196</v>
      </c>
      <c r="J2609" s="10" t="s">
        <v>2374</v>
      </c>
      <c r="K2609" s="10" t="s">
        <v>847</v>
      </c>
      <c r="L2609" s="10" t="s">
        <v>2373</v>
      </c>
      <c r="M2609" s="10" t="s">
        <v>2372</v>
      </c>
      <c r="N2609" s="10" t="s">
        <v>2373</v>
      </c>
      <c r="O2609" s="10"/>
    </row>
    <row r="2610" spans="1:15" ht="18" customHeight="1" x14ac:dyDescent="0.3">
      <c r="A2610" s="24">
        <v>2609</v>
      </c>
      <c r="B2610" s="10" t="s">
        <v>94</v>
      </c>
      <c r="C2610" s="10" t="s">
        <v>95</v>
      </c>
      <c r="D2610" s="62">
        <v>157</v>
      </c>
      <c r="E2610" s="61" t="s">
        <v>2928</v>
      </c>
      <c r="F2610" s="16" t="s">
        <v>1982</v>
      </c>
      <c r="G2610" s="10" t="s">
        <v>150</v>
      </c>
      <c r="H2610" s="10" t="s">
        <v>848</v>
      </c>
      <c r="I2610" s="62">
        <v>190</v>
      </c>
      <c r="J2610" s="10" t="s">
        <v>2372</v>
      </c>
      <c r="K2610" s="10" t="s">
        <v>847</v>
      </c>
      <c r="L2610" s="10" t="s">
        <v>2373</v>
      </c>
      <c r="M2610" s="10" t="s">
        <v>2372</v>
      </c>
      <c r="N2610" s="10" t="s">
        <v>2373</v>
      </c>
      <c r="O2610" s="10"/>
    </row>
    <row r="2611" spans="1:15" ht="18" customHeight="1" x14ac:dyDescent="0.3">
      <c r="A2611" s="24">
        <v>2610</v>
      </c>
      <c r="B2611" s="10" t="s">
        <v>94</v>
      </c>
      <c r="C2611" s="10" t="s">
        <v>95</v>
      </c>
      <c r="D2611" s="62">
        <v>157</v>
      </c>
      <c r="E2611" s="61" t="s">
        <v>2928</v>
      </c>
      <c r="F2611" s="16" t="s">
        <v>1982</v>
      </c>
      <c r="G2611" s="10" t="s">
        <v>150</v>
      </c>
      <c r="H2611" s="10" t="s">
        <v>849</v>
      </c>
      <c r="I2611" s="62">
        <v>64</v>
      </c>
      <c r="J2611" s="10" t="s">
        <v>2374</v>
      </c>
      <c r="K2611" s="10" t="s">
        <v>847</v>
      </c>
      <c r="L2611" s="10" t="s">
        <v>2373</v>
      </c>
      <c r="M2611" s="10" t="s">
        <v>2372</v>
      </c>
      <c r="N2611" s="10" t="s">
        <v>2373</v>
      </c>
      <c r="O2611" s="10"/>
    </row>
    <row r="2612" spans="1:15" ht="18" customHeight="1" x14ac:dyDescent="0.3">
      <c r="A2612" s="24">
        <v>2611</v>
      </c>
      <c r="B2612" s="10" t="s">
        <v>94</v>
      </c>
      <c r="C2612" s="10" t="s">
        <v>95</v>
      </c>
      <c r="D2612" s="62">
        <v>157</v>
      </c>
      <c r="E2612" s="61" t="s">
        <v>2928</v>
      </c>
      <c r="F2612" s="16" t="s">
        <v>1982</v>
      </c>
      <c r="G2612" s="10" t="s">
        <v>150</v>
      </c>
      <c r="H2612" s="10" t="s">
        <v>850</v>
      </c>
      <c r="I2612" s="62">
        <v>72</v>
      </c>
      <c r="J2612" s="10" t="s">
        <v>2374</v>
      </c>
      <c r="K2612" s="10" t="s">
        <v>2374</v>
      </c>
      <c r="L2612" s="10" t="s">
        <v>1516</v>
      </c>
      <c r="M2612" s="10" t="s">
        <v>2372</v>
      </c>
      <c r="N2612" s="10" t="s">
        <v>2373</v>
      </c>
      <c r="O2612" s="10"/>
    </row>
    <row r="2613" spans="1:15" ht="18" customHeight="1" x14ac:dyDescent="0.3">
      <c r="A2613" s="24">
        <v>2612</v>
      </c>
      <c r="B2613" s="10" t="s">
        <v>94</v>
      </c>
      <c r="C2613" s="10" t="s">
        <v>95</v>
      </c>
      <c r="D2613" s="62">
        <v>157</v>
      </c>
      <c r="E2613" s="61" t="s">
        <v>2928</v>
      </c>
      <c r="F2613" s="16" t="s">
        <v>1982</v>
      </c>
      <c r="G2613" s="10" t="s">
        <v>150</v>
      </c>
      <c r="H2613" s="10" t="s">
        <v>851</v>
      </c>
      <c r="I2613" s="62">
        <v>174</v>
      </c>
      <c r="J2613" s="10" t="s">
        <v>2372</v>
      </c>
      <c r="K2613" s="10" t="s">
        <v>847</v>
      </c>
      <c r="L2613" s="10" t="s">
        <v>2373</v>
      </c>
      <c r="M2613" s="10" t="s">
        <v>2372</v>
      </c>
      <c r="N2613" s="10" t="s">
        <v>2373</v>
      </c>
      <c r="O2613" s="10"/>
    </row>
    <row r="2614" spans="1:15" ht="18" customHeight="1" x14ac:dyDescent="0.3">
      <c r="A2614" s="24">
        <v>2613</v>
      </c>
      <c r="B2614" s="10" t="s">
        <v>94</v>
      </c>
      <c r="C2614" s="10" t="s">
        <v>95</v>
      </c>
      <c r="D2614" s="62">
        <v>157</v>
      </c>
      <c r="E2614" s="61" t="s">
        <v>2928</v>
      </c>
      <c r="F2614" s="16" t="s">
        <v>1982</v>
      </c>
      <c r="G2614" s="10" t="s">
        <v>150</v>
      </c>
      <c r="H2614" s="10" t="s">
        <v>853</v>
      </c>
      <c r="I2614" s="62">
        <v>197</v>
      </c>
      <c r="J2614" s="10" t="s">
        <v>2372</v>
      </c>
      <c r="K2614" s="10" t="s">
        <v>847</v>
      </c>
      <c r="L2614" s="10" t="s">
        <v>2373</v>
      </c>
      <c r="M2614" s="10" t="s">
        <v>2372</v>
      </c>
      <c r="N2614" s="10" t="s">
        <v>2373</v>
      </c>
      <c r="O2614" s="10"/>
    </row>
    <row r="2615" spans="1:15" ht="18" customHeight="1" x14ac:dyDescent="0.3">
      <c r="A2615" s="24">
        <v>2614</v>
      </c>
      <c r="B2615" s="10" t="s">
        <v>94</v>
      </c>
      <c r="C2615" s="10" t="s">
        <v>95</v>
      </c>
      <c r="D2615" s="62">
        <v>157</v>
      </c>
      <c r="E2615" s="61" t="s">
        <v>2928</v>
      </c>
      <c r="F2615" s="16" t="s">
        <v>1982</v>
      </c>
      <c r="G2615" s="10" t="s">
        <v>150</v>
      </c>
      <c r="H2615" s="10" t="s">
        <v>854</v>
      </c>
      <c r="I2615" s="62">
        <v>179</v>
      </c>
      <c r="J2615" s="10" t="s">
        <v>2372</v>
      </c>
      <c r="K2615" s="10" t="s">
        <v>847</v>
      </c>
      <c r="L2615" s="10" t="s">
        <v>2373</v>
      </c>
      <c r="M2615" s="10" t="s">
        <v>2372</v>
      </c>
      <c r="N2615" s="10" t="s">
        <v>2373</v>
      </c>
      <c r="O2615" s="10"/>
    </row>
    <row r="2616" spans="1:15" ht="18" customHeight="1" x14ac:dyDescent="0.3">
      <c r="A2616" s="24">
        <v>2615</v>
      </c>
      <c r="B2616" s="10" t="s">
        <v>94</v>
      </c>
      <c r="C2616" s="10" t="s">
        <v>95</v>
      </c>
      <c r="D2616" s="62">
        <v>157</v>
      </c>
      <c r="E2616" s="61" t="s">
        <v>2928</v>
      </c>
      <c r="F2616" s="16" t="s">
        <v>1982</v>
      </c>
      <c r="G2616" s="10" t="s">
        <v>150</v>
      </c>
      <c r="H2616" s="10" t="s">
        <v>855</v>
      </c>
      <c r="I2616" s="62">
        <v>223</v>
      </c>
      <c r="J2616" s="10" t="s">
        <v>2372</v>
      </c>
      <c r="K2616" s="10" t="s">
        <v>847</v>
      </c>
      <c r="L2616" s="10" t="s">
        <v>2373</v>
      </c>
      <c r="M2616" s="10" t="s">
        <v>2372</v>
      </c>
      <c r="N2616" s="10" t="s">
        <v>2373</v>
      </c>
      <c r="O2616" s="10"/>
    </row>
    <row r="2617" spans="1:15" ht="18" customHeight="1" x14ac:dyDescent="0.3">
      <c r="A2617" s="24">
        <v>2616</v>
      </c>
      <c r="B2617" s="10" t="s">
        <v>94</v>
      </c>
      <c r="C2617" s="10" t="s">
        <v>95</v>
      </c>
      <c r="D2617" s="62">
        <v>157</v>
      </c>
      <c r="E2617" s="61" t="s">
        <v>2928</v>
      </c>
      <c r="F2617" s="16" t="s">
        <v>1982</v>
      </c>
      <c r="G2617" s="10" t="s">
        <v>150</v>
      </c>
      <c r="H2617" s="10" t="s">
        <v>869</v>
      </c>
      <c r="I2617" s="171">
        <v>288</v>
      </c>
      <c r="J2617" s="10" t="s">
        <v>2374</v>
      </c>
      <c r="K2617" s="10" t="s">
        <v>847</v>
      </c>
      <c r="L2617" s="10" t="s">
        <v>2373</v>
      </c>
      <c r="M2617" s="10" t="s">
        <v>2372</v>
      </c>
      <c r="N2617" s="10" t="s">
        <v>2373</v>
      </c>
      <c r="O2617" s="10"/>
    </row>
    <row r="2618" spans="1:15" ht="18" customHeight="1" x14ac:dyDescent="0.3">
      <c r="A2618" s="24">
        <v>2617</v>
      </c>
      <c r="B2618" s="10" t="s">
        <v>94</v>
      </c>
      <c r="C2618" s="10" t="s">
        <v>95</v>
      </c>
      <c r="D2618" s="62">
        <v>157</v>
      </c>
      <c r="E2618" s="61" t="s">
        <v>2928</v>
      </c>
      <c r="F2618" s="16" t="s">
        <v>1982</v>
      </c>
      <c r="G2618" s="10" t="s">
        <v>150</v>
      </c>
      <c r="H2618" s="10" t="s">
        <v>1155</v>
      </c>
      <c r="I2618" s="62">
        <v>57</v>
      </c>
      <c r="J2618" s="10" t="s">
        <v>2372</v>
      </c>
      <c r="K2618" s="10" t="s">
        <v>2374</v>
      </c>
      <c r="L2618" s="10" t="s">
        <v>2426</v>
      </c>
      <c r="M2618" s="10" t="s">
        <v>2372</v>
      </c>
      <c r="N2618" s="10" t="s">
        <v>2373</v>
      </c>
      <c r="O2618" s="10"/>
    </row>
    <row r="2619" spans="1:15" ht="18" customHeight="1" x14ac:dyDescent="0.3">
      <c r="A2619" s="24">
        <v>2618</v>
      </c>
      <c r="B2619" s="10" t="s">
        <v>94</v>
      </c>
      <c r="C2619" s="10" t="s">
        <v>95</v>
      </c>
      <c r="D2619" s="62">
        <v>157</v>
      </c>
      <c r="E2619" s="61" t="s">
        <v>283</v>
      </c>
      <c r="F2619" s="16" t="s">
        <v>716</v>
      </c>
      <c r="G2619" s="176" t="s">
        <v>3149</v>
      </c>
      <c r="H2619" s="10" t="s">
        <v>845</v>
      </c>
      <c r="I2619" s="62">
        <v>294</v>
      </c>
      <c r="J2619" s="10" t="s">
        <v>2372</v>
      </c>
      <c r="K2619" s="10" t="s">
        <v>847</v>
      </c>
      <c r="L2619" s="10" t="s">
        <v>2373</v>
      </c>
      <c r="M2619" s="10" t="s">
        <v>2372</v>
      </c>
      <c r="N2619" s="10" t="s">
        <v>2373</v>
      </c>
      <c r="O2619" s="10"/>
    </row>
    <row r="2620" spans="1:15" ht="18" customHeight="1" x14ac:dyDescent="0.3">
      <c r="A2620" s="24">
        <v>2619</v>
      </c>
      <c r="B2620" s="10" t="s">
        <v>94</v>
      </c>
      <c r="C2620" s="10" t="s">
        <v>95</v>
      </c>
      <c r="D2620" s="62">
        <v>157</v>
      </c>
      <c r="E2620" s="61" t="s">
        <v>283</v>
      </c>
      <c r="F2620" s="16" t="s">
        <v>716</v>
      </c>
      <c r="G2620" s="176" t="s">
        <v>3149</v>
      </c>
      <c r="H2620" s="10" t="s">
        <v>848</v>
      </c>
      <c r="I2620" s="62">
        <v>104</v>
      </c>
      <c r="J2620" s="10" t="s">
        <v>2372</v>
      </c>
      <c r="K2620" s="10" t="s">
        <v>847</v>
      </c>
      <c r="L2620" s="10" t="s">
        <v>2373</v>
      </c>
      <c r="M2620" s="10" t="s">
        <v>2372</v>
      </c>
      <c r="N2620" s="10" t="s">
        <v>2373</v>
      </c>
      <c r="O2620" s="10"/>
    </row>
    <row r="2621" spans="1:15" ht="18" customHeight="1" x14ac:dyDescent="0.3">
      <c r="A2621" s="24">
        <v>2620</v>
      </c>
      <c r="B2621" s="10" t="s">
        <v>94</v>
      </c>
      <c r="C2621" s="10" t="s">
        <v>95</v>
      </c>
      <c r="D2621" s="62">
        <v>157</v>
      </c>
      <c r="E2621" s="61" t="s">
        <v>283</v>
      </c>
      <c r="F2621" s="16" t="s">
        <v>716</v>
      </c>
      <c r="G2621" s="176" t="s">
        <v>3149</v>
      </c>
      <c r="H2621" s="10" t="s">
        <v>849</v>
      </c>
      <c r="I2621" s="62">
        <v>106</v>
      </c>
      <c r="J2621" s="10" t="s">
        <v>2372</v>
      </c>
      <c r="K2621" s="10" t="s">
        <v>847</v>
      </c>
      <c r="L2621" s="10" t="s">
        <v>2373</v>
      </c>
      <c r="M2621" s="10" t="s">
        <v>2372</v>
      </c>
      <c r="N2621" s="10" t="s">
        <v>2373</v>
      </c>
      <c r="O2621" s="10"/>
    </row>
    <row r="2622" spans="1:15" ht="18" customHeight="1" x14ac:dyDescent="0.3">
      <c r="A2622" s="24">
        <v>2621</v>
      </c>
      <c r="B2622" s="10" t="s">
        <v>94</v>
      </c>
      <c r="C2622" s="10" t="s">
        <v>95</v>
      </c>
      <c r="D2622" s="62">
        <v>157</v>
      </c>
      <c r="E2622" s="61" t="s">
        <v>283</v>
      </c>
      <c r="F2622" s="16" t="s">
        <v>716</v>
      </c>
      <c r="G2622" s="176" t="s">
        <v>3149</v>
      </c>
      <c r="H2622" s="10" t="s">
        <v>852</v>
      </c>
      <c r="I2622" s="62">
        <v>151</v>
      </c>
      <c r="J2622" s="10" t="s">
        <v>2372</v>
      </c>
      <c r="K2622" s="10" t="s">
        <v>847</v>
      </c>
      <c r="L2622" s="10" t="s">
        <v>2373</v>
      </c>
      <c r="M2622" s="10" t="s">
        <v>2372</v>
      </c>
      <c r="N2622" s="10" t="s">
        <v>2373</v>
      </c>
      <c r="O2622" s="10"/>
    </row>
    <row r="2623" spans="1:15" ht="18" customHeight="1" x14ac:dyDescent="0.3">
      <c r="A2623" s="24">
        <v>2622</v>
      </c>
      <c r="B2623" s="10" t="s">
        <v>94</v>
      </c>
      <c r="C2623" s="10" t="s">
        <v>95</v>
      </c>
      <c r="D2623" s="62">
        <v>157</v>
      </c>
      <c r="E2623" s="61" t="s">
        <v>283</v>
      </c>
      <c r="F2623" s="16" t="s">
        <v>716</v>
      </c>
      <c r="G2623" s="176" t="s">
        <v>3149</v>
      </c>
      <c r="H2623" s="10" t="s">
        <v>853</v>
      </c>
      <c r="I2623" s="62">
        <v>151</v>
      </c>
      <c r="J2623" s="10" t="s">
        <v>2372</v>
      </c>
      <c r="K2623" s="10" t="s">
        <v>847</v>
      </c>
      <c r="L2623" s="10" t="s">
        <v>2373</v>
      </c>
      <c r="M2623" s="10" t="s">
        <v>2372</v>
      </c>
      <c r="N2623" s="10" t="s">
        <v>2373</v>
      </c>
      <c r="O2623" s="10"/>
    </row>
    <row r="2624" spans="1:15" ht="18" customHeight="1" x14ac:dyDescent="0.3">
      <c r="A2624" s="24">
        <v>2623</v>
      </c>
      <c r="B2624" s="10" t="s">
        <v>94</v>
      </c>
      <c r="C2624" s="10" t="s">
        <v>95</v>
      </c>
      <c r="D2624" s="62">
        <v>157</v>
      </c>
      <c r="E2624" s="61" t="s">
        <v>283</v>
      </c>
      <c r="F2624" s="16" t="s">
        <v>716</v>
      </c>
      <c r="G2624" s="176" t="s">
        <v>3149</v>
      </c>
      <c r="H2624" s="10" t="s">
        <v>854</v>
      </c>
      <c r="I2624" s="62">
        <v>104</v>
      </c>
      <c r="J2624" s="10" t="s">
        <v>2372</v>
      </c>
      <c r="K2624" s="10" t="s">
        <v>847</v>
      </c>
      <c r="L2624" s="10" t="s">
        <v>2373</v>
      </c>
      <c r="M2624" s="10" t="s">
        <v>2372</v>
      </c>
      <c r="N2624" s="10" t="s">
        <v>2373</v>
      </c>
      <c r="O2624" s="10"/>
    </row>
    <row r="2625" spans="1:15" ht="18" customHeight="1" x14ac:dyDescent="0.3">
      <c r="A2625" s="24">
        <v>2624</v>
      </c>
      <c r="B2625" s="10" t="s">
        <v>94</v>
      </c>
      <c r="C2625" s="10" t="s">
        <v>95</v>
      </c>
      <c r="D2625" s="62">
        <v>157</v>
      </c>
      <c r="E2625" s="61" t="s">
        <v>283</v>
      </c>
      <c r="F2625" s="16" t="s">
        <v>716</v>
      </c>
      <c r="G2625" s="176" t="s">
        <v>3149</v>
      </c>
      <c r="H2625" s="10" t="s">
        <v>855</v>
      </c>
      <c r="I2625" s="62">
        <v>186</v>
      </c>
      <c r="J2625" s="10" t="s">
        <v>2372</v>
      </c>
      <c r="K2625" s="10" t="s">
        <v>847</v>
      </c>
      <c r="L2625" s="10" t="s">
        <v>2373</v>
      </c>
      <c r="M2625" s="10" t="s">
        <v>2372</v>
      </c>
      <c r="N2625" s="10" t="s">
        <v>2373</v>
      </c>
      <c r="O2625" s="10"/>
    </row>
    <row r="2626" spans="1:15" ht="18" customHeight="1" x14ac:dyDescent="0.3">
      <c r="A2626" s="24">
        <v>2625</v>
      </c>
      <c r="B2626" s="10" t="s">
        <v>94</v>
      </c>
      <c r="C2626" s="10" t="s">
        <v>95</v>
      </c>
      <c r="D2626" s="62">
        <v>157</v>
      </c>
      <c r="E2626" s="61" t="s">
        <v>283</v>
      </c>
      <c r="F2626" s="16" t="s">
        <v>1134</v>
      </c>
      <c r="G2626" s="176" t="s">
        <v>3149</v>
      </c>
      <c r="H2626" s="10" t="s">
        <v>850</v>
      </c>
      <c r="I2626" s="62">
        <v>105</v>
      </c>
      <c r="J2626" s="10" t="s">
        <v>2372</v>
      </c>
      <c r="K2626" s="10" t="s">
        <v>2374</v>
      </c>
      <c r="L2626" s="10" t="s">
        <v>1422</v>
      </c>
      <c r="M2626" s="10" t="s">
        <v>2372</v>
      </c>
      <c r="N2626" s="10" t="s">
        <v>2373</v>
      </c>
      <c r="O2626" s="10"/>
    </row>
    <row r="2627" spans="1:15" ht="18" customHeight="1" x14ac:dyDescent="0.3">
      <c r="A2627" s="24">
        <v>2626</v>
      </c>
      <c r="B2627" s="10" t="s">
        <v>94</v>
      </c>
      <c r="C2627" s="10" t="s">
        <v>95</v>
      </c>
      <c r="D2627" s="62">
        <v>157</v>
      </c>
      <c r="E2627" s="61" t="s">
        <v>283</v>
      </c>
      <c r="F2627" s="16" t="s">
        <v>1134</v>
      </c>
      <c r="G2627" s="176" t="s">
        <v>3149</v>
      </c>
      <c r="H2627" s="10" t="s">
        <v>851</v>
      </c>
      <c r="I2627" s="62">
        <v>105</v>
      </c>
      <c r="J2627" s="10" t="s">
        <v>2372</v>
      </c>
      <c r="K2627" s="10" t="s">
        <v>2374</v>
      </c>
      <c r="L2627" s="10" t="s">
        <v>1422</v>
      </c>
      <c r="M2627" s="10" t="s">
        <v>2372</v>
      </c>
      <c r="N2627" s="10" t="s">
        <v>2373</v>
      </c>
      <c r="O2627" s="10"/>
    </row>
    <row r="2628" spans="1:15" ht="18" customHeight="1" x14ac:dyDescent="0.3">
      <c r="A2628" s="24">
        <v>2627</v>
      </c>
      <c r="B2628" s="10" t="s">
        <v>94</v>
      </c>
      <c r="C2628" s="10" t="s">
        <v>95</v>
      </c>
      <c r="D2628" s="62">
        <v>157</v>
      </c>
      <c r="E2628" s="61" t="s">
        <v>2929</v>
      </c>
      <c r="F2628" s="19" t="s">
        <v>715</v>
      </c>
      <c r="G2628" s="10" t="s">
        <v>150</v>
      </c>
      <c r="H2628" s="10" t="s">
        <v>845</v>
      </c>
      <c r="I2628" s="62">
        <v>91</v>
      </c>
      <c r="J2628" s="10" t="s">
        <v>2372</v>
      </c>
      <c r="K2628" s="10" t="s">
        <v>847</v>
      </c>
      <c r="L2628" s="10" t="s">
        <v>2373</v>
      </c>
      <c r="M2628" s="10" t="s">
        <v>2372</v>
      </c>
      <c r="N2628" s="10" t="s">
        <v>2373</v>
      </c>
      <c r="O2628" s="10"/>
    </row>
    <row r="2629" spans="1:15" ht="18" customHeight="1" x14ac:dyDescent="0.3">
      <c r="A2629" s="24">
        <v>2628</v>
      </c>
      <c r="B2629" s="10" t="s">
        <v>94</v>
      </c>
      <c r="C2629" s="10" t="s">
        <v>95</v>
      </c>
      <c r="D2629" s="62">
        <v>157</v>
      </c>
      <c r="E2629" s="61" t="s">
        <v>2929</v>
      </c>
      <c r="F2629" s="19" t="s">
        <v>715</v>
      </c>
      <c r="G2629" s="10" t="s">
        <v>150</v>
      </c>
      <c r="H2629" s="10" t="s">
        <v>848</v>
      </c>
      <c r="I2629" s="62">
        <v>94</v>
      </c>
      <c r="J2629" s="10" t="s">
        <v>2374</v>
      </c>
      <c r="K2629" s="10" t="s">
        <v>847</v>
      </c>
      <c r="L2629" s="10" t="s">
        <v>2373</v>
      </c>
      <c r="M2629" s="10" t="s">
        <v>2372</v>
      </c>
      <c r="N2629" s="10" t="s">
        <v>2373</v>
      </c>
      <c r="O2629" s="10"/>
    </row>
    <row r="2630" spans="1:15" ht="18" customHeight="1" x14ac:dyDescent="0.3">
      <c r="A2630" s="24">
        <v>2629</v>
      </c>
      <c r="B2630" s="10" t="s">
        <v>94</v>
      </c>
      <c r="C2630" s="10" t="s">
        <v>95</v>
      </c>
      <c r="D2630" s="62">
        <v>157</v>
      </c>
      <c r="E2630" s="61" t="s">
        <v>2929</v>
      </c>
      <c r="F2630" s="19" t="s">
        <v>715</v>
      </c>
      <c r="G2630" s="10" t="s">
        <v>150</v>
      </c>
      <c r="H2630" s="10" t="s">
        <v>849</v>
      </c>
      <c r="I2630" s="62">
        <v>93</v>
      </c>
      <c r="J2630" s="10" t="s">
        <v>2372</v>
      </c>
      <c r="K2630" s="10" t="s">
        <v>847</v>
      </c>
      <c r="L2630" s="10" t="s">
        <v>2373</v>
      </c>
      <c r="M2630" s="10" t="s">
        <v>2372</v>
      </c>
      <c r="N2630" s="10" t="s">
        <v>2373</v>
      </c>
      <c r="O2630" s="10"/>
    </row>
    <row r="2631" spans="1:15" ht="18" customHeight="1" x14ac:dyDescent="0.3">
      <c r="A2631" s="24">
        <v>2630</v>
      </c>
      <c r="B2631" s="10" t="s">
        <v>94</v>
      </c>
      <c r="C2631" s="10" t="s">
        <v>95</v>
      </c>
      <c r="D2631" s="62">
        <v>157</v>
      </c>
      <c r="E2631" s="61" t="s">
        <v>2929</v>
      </c>
      <c r="F2631" s="19" t="s">
        <v>715</v>
      </c>
      <c r="G2631" s="10" t="s">
        <v>150</v>
      </c>
      <c r="H2631" s="173" t="s">
        <v>2380</v>
      </c>
      <c r="I2631" s="177">
        <v>137</v>
      </c>
      <c r="J2631" s="10" t="s">
        <v>2374</v>
      </c>
      <c r="K2631" s="173" t="s">
        <v>3527</v>
      </c>
      <c r="L2631" s="173" t="s">
        <v>3533</v>
      </c>
      <c r="M2631" s="10" t="s">
        <v>2372</v>
      </c>
      <c r="N2631" s="10" t="s">
        <v>2373</v>
      </c>
      <c r="O2631" s="10"/>
    </row>
    <row r="2632" spans="1:15" ht="18" customHeight="1" x14ac:dyDescent="0.3">
      <c r="A2632" s="24">
        <v>2631</v>
      </c>
      <c r="B2632" s="10" t="s">
        <v>94</v>
      </c>
      <c r="C2632" s="10" t="s">
        <v>95</v>
      </c>
      <c r="D2632" s="62">
        <v>157</v>
      </c>
      <c r="E2632" s="61" t="s">
        <v>2929</v>
      </c>
      <c r="F2632" s="19" t="s">
        <v>715</v>
      </c>
      <c r="G2632" s="10" t="s">
        <v>150</v>
      </c>
      <c r="H2632" s="10" t="s">
        <v>2390</v>
      </c>
      <c r="I2632" s="62">
        <v>226</v>
      </c>
      <c r="J2632" s="10" t="s">
        <v>2374</v>
      </c>
      <c r="K2632" s="10" t="s">
        <v>2372</v>
      </c>
      <c r="L2632" s="10" t="s">
        <v>2373</v>
      </c>
      <c r="M2632" s="10" t="s">
        <v>2372</v>
      </c>
      <c r="N2632" s="10" t="s">
        <v>2373</v>
      </c>
      <c r="O2632" s="10"/>
    </row>
    <row r="2633" spans="1:15" ht="18" customHeight="1" x14ac:dyDescent="0.3">
      <c r="A2633" s="24">
        <v>2632</v>
      </c>
      <c r="B2633" s="10" t="s">
        <v>94</v>
      </c>
      <c r="C2633" s="10" t="s">
        <v>95</v>
      </c>
      <c r="D2633" s="62">
        <v>157</v>
      </c>
      <c r="E2633" s="61" t="s">
        <v>2929</v>
      </c>
      <c r="F2633" s="19" t="s">
        <v>715</v>
      </c>
      <c r="G2633" s="10" t="s">
        <v>150</v>
      </c>
      <c r="H2633" s="10" t="s">
        <v>853</v>
      </c>
      <c r="I2633" s="62">
        <v>112</v>
      </c>
      <c r="J2633" s="10" t="s">
        <v>2374</v>
      </c>
      <c r="K2633" s="10" t="s">
        <v>847</v>
      </c>
      <c r="L2633" s="10" t="s">
        <v>2373</v>
      </c>
      <c r="M2633" s="10" t="s">
        <v>2372</v>
      </c>
      <c r="N2633" s="10" t="s">
        <v>2373</v>
      </c>
      <c r="O2633" s="10"/>
    </row>
    <row r="2634" spans="1:15" ht="18" customHeight="1" x14ac:dyDescent="0.3">
      <c r="A2634" s="24">
        <v>2633</v>
      </c>
      <c r="B2634" s="10" t="s">
        <v>94</v>
      </c>
      <c r="C2634" s="10" t="s">
        <v>95</v>
      </c>
      <c r="D2634" s="62">
        <v>157</v>
      </c>
      <c r="E2634" s="61" t="s">
        <v>2929</v>
      </c>
      <c r="F2634" s="19" t="s">
        <v>715</v>
      </c>
      <c r="G2634" s="10" t="s">
        <v>150</v>
      </c>
      <c r="H2634" s="10" t="s">
        <v>855</v>
      </c>
      <c r="I2634" s="62">
        <v>125</v>
      </c>
      <c r="J2634" s="10" t="s">
        <v>2372</v>
      </c>
      <c r="K2634" s="10" t="s">
        <v>847</v>
      </c>
      <c r="L2634" s="10" t="s">
        <v>2373</v>
      </c>
      <c r="M2634" s="10" t="s">
        <v>2372</v>
      </c>
      <c r="N2634" s="10" t="s">
        <v>2373</v>
      </c>
      <c r="O2634" s="10"/>
    </row>
    <row r="2635" spans="1:15" ht="18" customHeight="1" x14ac:dyDescent="0.3">
      <c r="A2635" s="24">
        <v>2634</v>
      </c>
      <c r="B2635" s="10" t="s">
        <v>94</v>
      </c>
      <c r="C2635" s="10" t="s">
        <v>95</v>
      </c>
      <c r="D2635" s="62">
        <v>157</v>
      </c>
      <c r="E2635" s="61" t="s">
        <v>2929</v>
      </c>
      <c r="F2635" s="19" t="s">
        <v>715</v>
      </c>
      <c r="G2635" s="10" t="s">
        <v>150</v>
      </c>
      <c r="H2635" s="10" t="s">
        <v>934</v>
      </c>
      <c r="I2635" s="62">
        <v>99</v>
      </c>
      <c r="J2635" s="10" t="s">
        <v>2372</v>
      </c>
      <c r="K2635" s="10" t="s">
        <v>847</v>
      </c>
      <c r="L2635" s="10" t="s">
        <v>2373</v>
      </c>
      <c r="M2635" s="10" t="s">
        <v>2372</v>
      </c>
      <c r="N2635" s="10" t="s">
        <v>2373</v>
      </c>
      <c r="O2635" s="10"/>
    </row>
    <row r="2636" spans="1:15" ht="18" customHeight="1" x14ac:dyDescent="0.3">
      <c r="A2636" s="24">
        <v>2635</v>
      </c>
      <c r="B2636" s="10" t="s">
        <v>94</v>
      </c>
      <c r="C2636" s="10" t="s">
        <v>95</v>
      </c>
      <c r="D2636" s="62">
        <v>157</v>
      </c>
      <c r="E2636" s="61" t="s">
        <v>2929</v>
      </c>
      <c r="F2636" s="19" t="s">
        <v>715</v>
      </c>
      <c r="G2636" s="10" t="s">
        <v>150</v>
      </c>
      <c r="H2636" s="10" t="s">
        <v>2516</v>
      </c>
      <c r="I2636" s="62">
        <v>155</v>
      </c>
      <c r="J2636" s="10" t="s">
        <v>2372</v>
      </c>
      <c r="K2636" s="10" t="s">
        <v>847</v>
      </c>
      <c r="L2636" s="10" t="s">
        <v>2373</v>
      </c>
      <c r="M2636" s="10" t="s">
        <v>2372</v>
      </c>
      <c r="N2636" s="10" t="s">
        <v>2373</v>
      </c>
      <c r="O2636" s="10"/>
    </row>
    <row r="2637" spans="1:15" ht="18" customHeight="1" x14ac:dyDescent="0.3">
      <c r="A2637" s="24">
        <v>2636</v>
      </c>
      <c r="B2637" s="10" t="s">
        <v>94</v>
      </c>
      <c r="C2637" s="10" t="s">
        <v>95</v>
      </c>
      <c r="D2637" s="62">
        <v>157</v>
      </c>
      <c r="E2637" s="61" t="s">
        <v>2929</v>
      </c>
      <c r="F2637" s="19" t="s">
        <v>2674</v>
      </c>
      <c r="G2637" s="10" t="s">
        <v>150</v>
      </c>
      <c r="H2637" s="10" t="s">
        <v>854</v>
      </c>
      <c r="I2637" s="62">
        <v>125</v>
      </c>
      <c r="J2637" s="10" t="s">
        <v>2372</v>
      </c>
      <c r="K2637" s="10" t="s">
        <v>846</v>
      </c>
      <c r="L2637" s="10" t="s">
        <v>985</v>
      </c>
      <c r="M2637" s="10" t="s">
        <v>2372</v>
      </c>
      <c r="N2637" s="10" t="s">
        <v>2373</v>
      </c>
      <c r="O2637" s="10"/>
    </row>
    <row r="2638" spans="1:15" ht="18" customHeight="1" x14ac:dyDescent="0.3">
      <c r="A2638" s="24">
        <v>2637</v>
      </c>
      <c r="B2638" s="10" t="s">
        <v>94</v>
      </c>
      <c r="C2638" s="10" t="s">
        <v>95</v>
      </c>
      <c r="D2638" s="62">
        <v>157</v>
      </c>
      <c r="E2638" s="61" t="s">
        <v>2929</v>
      </c>
      <c r="F2638" s="19" t="s">
        <v>2674</v>
      </c>
      <c r="G2638" s="10" t="s">
        <v>150</v>
      </c>
      <c r="H2638" s="10" t="s">
        <v>923</v>
      </c>
      <c r="I2638" s="62">
        <v>132</v>
      </c>
      <c r="J2638" s="10" t="s">
        <v>2374</v>
      </c>
      <c r="K2638" s="10" t="s">
        <v>846</v>
      </c>
      <c r="L2638" s="10" t="s">
        <v>1516</v>
      </c>
      <c r="M2638" s="10" t="s">
        <v>2372</v>
      </c>
      <c r="N2638" s="10" t="s">
        <v>2373</v>
      </c>
      <c r="O2638" s="10"/>
    </row>
    <row r="2639" spans="1:15" ht="18" customHeight="1" x14ac:dyDescent="0.3">
      <c r="A2639" s="24">
        <v>2638</v>
      </c>
      <c r="B2639" s="10" t="s">
        <v>1985</v>
      </c>
      <c r="C2639" s="10" t="s">
        <v>1986</v>
      </c>
      <c r="D2639" s="62">
        <v>157</v>
      </c>
      <c r="E2639" s="61" t="s">
        <v>1987</v>
      </c>
      <c r="F2639" s="16" t="s">
        <v>1988</v>
      </c>
      <c r="G2639" s="10" t="s">
        <v>1278</v>
      </c>
      <c r="H2639" s="10" t="s">
        <v>2385</v>
      </c>
      <c r="I2639" s="62">
        <v>127</v>
      </c>
      <c r="J2639" s="10" t="s">
        <v>2372</v>
      </c>
      <c r="K2639" s="10" t="s">
        <v>2372</v>
      </c>
      <c r="L2639" s="10" t="s">
        <v>2373</v>
      </c>
      <c r="M2639" s="10" t="s">
        <v>2372</v>
      </c>
      <c r="N2639" s="10" t="s">
        <v>2373</v>
      </c>
      <c r="O2639" s="10"/>
    </row>
    <row r="2640" spans="1:15" ht="18" customHeight="1" x14ac:dyDescent="0.3">
      <c r="A2640" s="24">
        <v>2639</v>
      </c>
      <c r="B2640" s="10" t="s">
        <v>1985</v>
      </c>
      <c r="C2640" s="10" t="s">
        <v>1986</v>
      </c>
      <c r="D2640" s="62">
        <v>157</v>
      </c>
      <c r="E2640" s="61" t="s">
        <v>1987</v>
      </c>
      <c r="F2640" s="16" t="s">
        <v>1988</v>
      </c>
      <c r="G2640" s="10" t="s">
        <v>1278</v>
      </c>
      <c r="H2640" s="10" t="s">
        <v>2378</v>
      </c>
      <c r="I2640" s="62">
        <v>32</v>
      </c>
      <c r="J2640" s="10" t="s">
        <v>2372</v>
      </c>
      <c r="K2640" s="10" t="s">
        <v>2374</v>
      </c>
      <c r="L2640" s="10" t="s">
        <v>2675</v>
      </c>
      <c r="M2640" s="10" t="s">
        <v>2372</v>
      </c>
      <c r="N2640" s="10" t="s">
        <v>2373</v>
      </c>
      <c r="O2640" s="10"/>
    </row>
    <row r="2641" spans="1:15" ht="18" customHeight="1" x14ac:dyDescent="0.3">
      <c r="A2641" s="24">
        <v>2640</v>
      </c>
      <c r="B2641" s="10" t="s">
        <v>1985</v>
      </c>
      <c r="C2641" s="10" t="s">
        <v>1986</v>
      </c>
      <c r="D2641" s="62">
        <v>157</v>
      </c>
      <c r="E2641" s="61" t="s">
        <v>1987</v>
      </c>
      <c r="F2641" s="16" t="s">
        <v>1988</v>
      </c>
      <c r="G2641" s="10" t="s">
        <v>1278</v>
      </c>
      <c r="H2641" s="10" t="s">
        <v>2379</v>
      </c>
      <c r="I2641" s="62">
        <v>127</v>
      </c>
      <c r="J2641" s="10" t="s">
        <v>2372</v>
      </c>
      <c r="K2641" s="10" t="s">
        <v>2372</v>
      </c>
      <c r="L2641" s="10" t="s">
        <v>2373</v>
      </c>
      <c r="M2641" s="10" t="s">
        <v>2372</v>
      </c>
      <c r="N2641" s="10" t="s">
        <v>2373</v>
      </c>
      <c r="O2641" s="10"/>
    </row>
    <row r="2642" spans="1:15" ht="18" customHeight="1" x14ac:dyDescent="0.3">
      <c r="A2642" s="24">
        <v>2641</v>
      </c>
      <c r="B2642" s="10" t="s">
        <v>1985</v>
      </c>
      <c r="C2642" s="10" t="s">
        <v>1986</v>
      </c>
      <c r="D2642" s="62">
        <v>157</v>
      </c>
      <c r="E2642" s="61" t="s">
        <v>1987</v>
      </c>
      <c r="F2642" s="16" t="s">
        <v>1988</v>
      </c>
      <c r="G2642" s="10" t="s">
        <v>1278</v>
      </c>
      <c r="H2642" s="10" t="s">
        <v>2380</v>
      </c>
      <c r="I2642" s="62">
        <v>31</v>
      </c>
      <c r="J2642" s="10" t="s">
        <v>2372</v>
      </c>
      <c r="K2642" s="10" t="s">
        <v>2374</v>
      </c>
      <c r="L2642" s="10" t="s">
        <v>2538</v>
      </c>
      <c r="M2642" s="10" t="s">
        <v>2372</v>
      </c>
      <c r="N2642" s="10" t="s">
        <v>2373</v>
      </c>
      <c r="O2642" s="10"/>
    </row>
    <row r="2643" spans="1:15" ht="18" customHeight="1" x14ac:dyDescent="0.3">
      <c r="A2643" s="24">
        <v>2642</v>
      </c>
      <c r="B2643" s="8" t="s">
        <v>1985</v>
      </c>
      <c r="C2643" s="8" t="s">
        <v>1986</v>
      </c>
      <c r="D2643" s="8">
        <v>158</v>
      </c>
      <c r="E2643" s="16" t="s">
        <v>1990</v>
      </c>
      <c r="F2643" s="16" t="s">
        <v>1991</v>
      </c>
      <c r="G2643" s="8" t="s">
        <v>1278</v>
      </c>
      <c r="H2643" s="10" t="s">
        <v>2385</v>
      </c>
      <c r="I2643" s="62">
        <v>204</v>
      </c>
      <c r="J2643" s="8" t="s">
        <v>2372</v>
      </c>
      <c r="K2643" s="10" t="s">
        <v>847</v>
      </c>
      <c r="L2643" s="10" t="s">
        <v>2373</v>
      </c>
      <c r="M2643" s="10" t="s">
        <v>2372</v>
      </c>
      <c r="N2643" s="10" t="s">
        <v>2373</v>
      </c>
      <c r="O2643" s="10"/>
    </row>
    <row r="2644" spans="1:15" ht="18" customHeight="1" x14ac:dyDescent="0.3">
      <c r="A2644" s="24">
        <v>2643</v>
      </c>
      <c r="B2644" s="8" t="s">
        <v>1985</v>
      </c>
      <c r="C2644" s="8" t="s">
        <v>1986</v>
      </c>
      <c r="D2644" s="8">
        <v>158</v>
      </c>
      <c r="E2644" s="16" t="s">
        <v>1990</v>
      </c>
      <c r="F2644" s="16" t="s">
        <v>1991</v>
      </c>
      <c r="G2644" s="8" t="s">
        <v>1278</v>
      </c>
      <c r="H2644" s="10" t="s">
        <v>2378</v>
      </c>
      <c r="I2644" s="62">
        <v>53</v>
      </c>
      <c r="J2644" s="8" t="s">
        <v>2372</v>
      </c>
      <c r="K2644" s="173" t="s">
        <v>860</v>
      </c>
      <c r="L2644" s="173" t="s">
        <v>2229</v>
      </c>
      <c r="M2644" s="10" t="s">
        <v>2372</v>
      </c>
      <c r="N2644" s="10" t="s">
        <v>2373</v>
      </c>
      <c r="O2644" s="10"/>
    </row>
    <row r="2645" spans="1:15" ht="18" customHeight="1" x14ac:dyDescent="0.3">
      <c r="A2645" s="24">
        <v>2644</v>
      </c>
      <c r="B2645" s="8" t="s">
        <v>1985</v>
      </c>
      <c r="C2645" s="8" t="s">
        <v>1986</v>
      </c>
      <c r="D2645" s="8">
        <v>158</v>
      </c>
      <c r="E2645" s="16" t="s">
        <v>1990</v>
      </c>
      <c r="F2645" s="16" t="s">
        <v>1991</v>
      </c>
      <c r="G2645" s="8" t="s">
        <v>1278</v>
      </c>
      <c r="H2645" s="10" t="s">
        <v>2379</v>
      </c>
      <c r="I2645" s="62">
        <v>69</v>
      </c>
      <c r="J2645" s="8" t="s">
        <v>2372</v>
      </c>
      <c r="K2645" s="173" t="s">
        <v>860</v>
      </c>
      <c r="L2645" s="173" t="s">
        <v>2229</v>
      </c>
      <c r="M2645" s="10" t="s">
        <v>2372</v>
      </c>
      <c r="N2645" s="10" t="s">
        <v>2373</v>
      </c>
      <c r="O2645" s="10"/>
    </row>
    <row r="2646" spans="1:15" ht="18" customHeight="1" x14ac:dyDescent="0.3">
      <c r="A2646" s="24">
        <v>2645</v>
      </c>
      <c r="B2646" s="8" t="s">
        <v>1985</v>
      </c>
      <c r="C2646" s="8" t="s">
        <v>1986</v>
      </c>
      <c r="D2646" s="8">
        <v>158</v>
      </c>
      <c r="E2646" s="16" t="s">
        <v>1990</v>
      </c>
      <c r="F2646" s="16" t="s">
        <v>1991</v>
      </c>
      <c r="G2646" s="8" t="s">
        <v>1278</v>
      </c>
      <c r="H2646" s="10" t="s">
        <v>2380</v>
      </c>
      <c r="I2646" s="62">
        <v>182</v>
      </c>
      <c r="J2646" s="8" t="s">
        <v>2372</v>
      </c>
      <c r="K2646" s="10" t="s">
        <v>847</v>
      </c>
      <c r="L2646" s="10" t="s">
        <v>2373</v>
      </c>
      <c r="M2646" s="10" t="s">
        <v>2372</v>
      </c>
      <c r="N2646" s="10" t="s">
        <v>2373</v>
      </c>
      <c r="O2646" s="10"/>
    </row>
    <row r="2647" spans="1:15" ht="18" customHeight="1" x14ac:dyDescent="0.3">
      <c r="A2647" s="24">
        <v>2646</v>
      </c>
      <c r="B2647" s="8" t="s">
        <v>1985</v>
      </c>
      <c r="C2647" s="8" t="s">
        <v>1986</v>
      </c>
      <c r="D2647" s="8">
        <v>158</v>
      </c>
      <c r="E2647" s="16" t="s">
        <v>1990</v>
      </c>
      <c r="F2647" s="16" t="s">
        <v>1991</v>
      </c>
      <c r="G2647" s="8" t="s">
        <v>1278</v>
      </c>
      <c r="H2647" s="10" t="s">
        <v>2390</v>
      </c>
      <c r="I2647" s="62">
        <v>62</v>
      </c>
      <c r="J2647" s="8" t="s">
        <v>2372</v>
      </c>
      <c r="K2647" s="173" t="s">
        <v>860</v>
      </c>
      <c r="L2647" s="173" t="s">
        <v>2229</v>
      </c>
      <c r="M2647" s="10" t="s">
        <v>2372</v>
      </c>
      <c r="N2647" s="10" t="s">
        <v>2373</v>
      </c>
      <c r="O2647" s="10"/>
    </row>
    <row r="2648" spans="1:15" ht="18" customHeight="1" x14ac:dyDescent="0.3">
      <c r="A2648" s="24">
        <v>2647</v>
      </c>
      <c r="B2648" s="8" t="s">
        <v>1985</v>
      </c>
      <c r="C2648" s="8" t="s">
        <v>1986</v>
      </c>
      <c r="D2648" s="8">
        <v>158</v>
      </c>
      <c r="E2648" s="16" t="s">
        <v>1990</v>
      </c>
      <c r="F2648" s="16" t="s">
        <v>1991</v>
      </c>
      <c r="G2648" s="8" t="s">
        <v>1278</v>
      </c>
      <c r="H2648" s="10" t="s">
        <v>2382</v>
      </c>
      <c r="I2648" s="62">
        <v>69</v>
      </c>
      <c r="J2648" s="8" t="s">
        <v>2372</v>
      </c>
      <c r="K2648" s="173" t="s">
        <v>860</v>
      </c>
      <c r="L2648" s="173" t="s">
        <v>2229</v>
      </c>
      <c r="M2648" s="10" t="s">
        <v>2372</v>
      </c>
      <c r="N2648" s="10" t="s">
        <v>2373</v>
      </c>
      <c r="O2648" s="10"/>
    </row>
    <row r="2649" spans="1:15" ht="18" customHeight="1" x14ac:dyDescent="0.3">
      <c r="A2649" s="24">
        <v>2648</v>
      </c>
      <c r="B2649" s="10" t="s">
        <v>1985</v>
      </c>
      <c r="C2649" s="10" t="s">
        <v>1986</v>
      </c>
      <c r="D2649" s="62">
        <v>159</v>
      </c>
      <c r="E2649" s="61" t="s">
        <v>2930</v>
      </c>
      <c r="F2649" s="44" t="s">
        <v>1993</v>
      </c>
      <c r="G2649" s="10" t="s">
        <v>1278</v>
      </c>
      <c r="H2649" s="10" t="s">
        <v>2385</v>
      </c>
      <c r="I2649" s="62">
        <v>85</v>
      </c>
      <c r="J2649" s="10" t="s">
        <v>2372</v>
      </c>
      <c r="K2649" s="10" t="s">
        <v>2372</v>
      </c>
      <c r="L2649" s="10" t="s">
        <v>2373</v>
      </c>
      <c r="M2649" s="10" t="s">
        <v>2372</v>
      </c>
      <c r="N2649" s="10" t="s">
        <v>2373</v>
      </c>
      <c r="O2649" s="10"/>
    </row>
    <row r="2650" spans="1:15" ht="18" customHeight="1" x14ac:dyDescent="0.3">
      <c r="A2650" s="24">
        <v>2649</v>
      </c>
      <c r="B2650" s="10" t="s">
        <v>1985</v>
      </c>
      <c r="C2650" s="10" t="s">
        <v>1986</v>
      </c>
      <c r="D2650" s="62">
        <v>159</v>
      </c>
      <c r="E2650" s="61" t="s">
        <v>2930</v>
      </c>
      <c r="F2650" s="44" t="s">
        <v>1993</v>
      </c>
      <c r="G2650" s="10" t="s">
        <v>1278</v>
      </c>
      <c r="H2650" s="10" t="s">
        <v>2378</v>
      </c>
      <c r="I2650" s="62">
        <v>182</v>
      </c>
      <c r="J2650" s="10" t="s">
        <v>2374</v>
      </c>
      <c r="K2650" s="10" t="s">
        <v>2372</v>
      </c>
      <c r="L2650" s="10" t="s">
        <v>2373</v>
      </c>
      <c r="M2650" s="10" t="s">
        <v>2372</v>
      </c>
      <c r="N2650" s="10" t="s">
        <v>2373</v>
      </c>
      <c r="O2650" s="10"/>
    </row>
    <row r="2651" spans="1:15" ht="18" customHeight="1" x14ac:dyDescent="0.3">
      <c r="A2651" s="24">
        <v>2650</v>
      </c>
      <c r="B2651" s="10" t="s">
        <v>1985</v>
      </c>
      <c r="C2651" s="10" t="s">
        <v>1986</v>
      </c>
      <c r="D2651" s="62">
        <v>159</v>
      </c>
      <c r="E2651" s="61" t="s">
        <v>2930</v>
      </c>
      <c r="F2651" s="44" t="s">
        <v>1993</v>
      </c>
      <c r="G2651" s="10" t="s">
        <v>1278</v>
      </c>
      <c r="H2651" s="10" t="s">
        <v>2379</v>
      </c>
      <c r="I2651" s="62">
        <v>132</v>
      </c>
      <c r="J2651" s="10" t="s">
        <v>2372</v>
      </c>
      <c r="K2651" s="10" t="s">
        <v>2372</v>
      </c>
      <c r="L2651" s="10" t="s">
        <v>2373</v>
      </c>
      <c r="M2651" s="10" t="s">
        <v>2372</v>
      </c>
      <c r="N2651" s="10" t="s">
        <v>2373</v>
      </c>
      <c r="O2651" s="10"/>
    </row>
    <row r="2652" spans="1:15" ht="18" customHeight="1" x14ac:dyDescent="0.3">
      <c r="A2652" s="24">
        <v>2651</v>
      </c>
      <c r="B2652" s="10" t="s">
        <v>1985</v>
      </c>
      <c r="C2652" s="10" t="s">
        <v>1986</v>
      </c>
      <c r="D2652" s="62">
        <v>159</v>
      </c>
      <c r="E2652" s="61" t="s">
        <v>2930</v>
      </c>
      <c r="F2652" s="44" t="s">
        <v>1993</v>
      </c>
      <c r="G2652" s="10" t="s">
        <v>1278</v>
      </c>
      <c r="H2652" s="10" t="s">
        <v>2380</v>
      </c>
      <c r="I2652" s="62">
        <v>117</v>
      </c>
      <c r="J2652" s="10" t="s">
        <v>2372</v>
      </c>
      <c r="K2652" s="10" t="s">
        <v>2372</v>
      </c>
      <c r="L2652" s="10" t="s">
        <v>2373</v>
      </c>
      <c r="M2652" s="10" t="s">
        <v>2372</v>
      </c>
      <c r="N2652" s="10" t="s">
        <v>2373</v>
      </c>
      <c r="O2652" s="10"/>
    </row>
    <row r="2653" spans="1:15" ht="18" customHeight="1" x14ac:dyDescent="0.3">
      <c r="A2653" s="24">
        <v>2652</v>
      </c>
      <c r="B2653" s="10" t="s">
        <v>1985</v>
      </c>
      <c r="C2653" s="10" t="s">
        <v>1986</v>
      </c>
      <c r="D2653" s="62">
        <v>159</v>
      </c>
      <c r="E2653" s="61" t="s">
        <v>2930</v>
      </c>
      <c r="F2653" s="44" t="s">
        <v>1993</v>
      </c>
      <c r="G2653" s="10" t="s">
        <v>1278</v>
      </c>
      <c r="H2653" s="10" t="s">
        <v>2390</v>
      </c>
      <c r="I2653" s="62">
        <v>116</v>
      </c>
      <c r="J2653" s="10" t="s">
        <v>2372</v>
      </c>
      <c r="K2653" s="10" t="s">
        <v>2372</v>
      </c>
      <c r="L2653" s="10" t="s">
        <v>2373</v>
      </c>
      <c r="M2653" s="10" t="s">
        <v>2372</v>
      </c>
      <c r="N2653" s="10" t="s">
        <v>2373</v>
      </c>
      <c r="O2653" s="10"/>
    </row>
    <row r="2654" spans="1:15" ht="18" customHeight="1" x14ac:dyDescent="0.3">
      <c r="A2654" s="24">
        <v>2653</v>
      </c>
      <c r="B2654" s="10" t="s">
        <v>1985</v>
      </c>
      <c r="C2654" s="10" t="s">
        <v>1986</v>
      </c>
      <c r="D2654" s="62">
        <v>159</v>
      </c>
      <c r="E2654" s="61" t="s">
        <v>2930</v>
      </c>
      <c r="F2654" s="44" t="s">
        <v>1993</v>
      </c>
      <c r="G2654" s="10" t="s">
        <v>1278</v>
      </c>
      <c r="H2654" s="10" t="s">
        <v>2382</v>
      </c>
      <c r="I2654" s="62">
        <v>121</v>
      </c>
      <c r="J2654" s="10" t="s">
        <v>2372</v>
      </c>
      <c r="K2654" s="10" t="s">
        <v>2372</v>
      </c>
      <c r="L2654" s="10" t="s">
        <v>2373</v>
      </c>
      <c r="M2654" s="10" t="s">
        <v>2372</v>
      </c>
      <c r="N2654" s="10" t="s">
        <v>2373</v>
      </c>
      <c r="O2654" s="10"/>
    </row>
    <row r="2655" spans="1:15" ht="18" customHeight="1" x14ac:dyDescent="0.3">
      <c r="A2655" s="24">
        <v>2654</v>
      </c>
      <c r="B2655" s="10" t="s">
        <v>1985</v>
      </c>
      <c r="C2655" s="10" t="s">
        <v>1986</v>
      </c>
      <c r="D2655" s="62">
        <v>159</v>
      </c>
      <c r="E2655" s="61" t="s">
        <v>2930</v>
      </c>
      <c r="F2655" s="44" t="s">
        <v>1993</v>
      </c>
      <c r="G2655" s="10" t="s">
        <v>1278</v>
      </c>
      <c r="H2655" s="10" t="s">
        <v>2431</v>
      </c>
      <c r="I2655" s="62">
        <v>165</v>
      </c>
      <c r="J2655" s="10" t="s">
        <v>2372</v>
      </c>
      <c r="K2655" s="10" t="s">
        <v>2372</v>
      </c>
      <c r="L2655" s="10" t="s">
        <v>2373</v>
      </c>
      <c r="M2655" s="10" t="s">
        <v>2372</v>
      </c>
      <c r="N2655" s="10" t="s">
        <v>2373</v>
      </c>
      <c r="O2655" s="10"/>
    </row>
    <row r="2656" spans="1:15" ht="18" customHeight="1" x14ac:dyDescent="0.3">
      <c r="A2656" s="24">
        <v>2655</v>
      </c>
      <c r="B2656" s="10" t="s">
        <v>1985</v>
      </c>
      <c r="C2656" s="10" t="s">
        <v>1986</v>
      </c>
      <c r="D2656" s="62">
        <v>159</v>
      </c>
      <c r="E2656" s="61" t="s">
        <v>2930</v>
      </c>
      <c r="F2656" s="44" t="s">
        <v>1993</v>
      </c>
      <c r="G2656" s="10" t="s">
        <v>1278</v>
      </c>
      <c r="H2656" s="10" t="s">
        <v>2383</v>
      </c>
      <c r="I2656" s="62">
        <v>46</v>
      </c>
      <c r="J2656" s="10" t="s">
        <v>2372</v>
      </c>
      <c r="K2656" s="10" t="s">
        <v>2372</v>
      </c>
      <c r="L2656" s="10" t="s">
        <v>2373</v>
      </c>
      <c r="M2656" s="10" t="s">
        <v>2372</v>
      </c>
      <c r="N2656" s="10" t="s">
        <v>2373</v>
      </c>
      <c r="O2656" s="10"/>
    </row>
    <row r="2657" spans="1:15" ht="18" customHeight="1" x14ac:dyDescent="0.3">
      <c r="A2657" s="24">
        <v>2656</v>
      </c>
      <c r="B2657" s="10" t="s">
        <v>1985</v>
      </c>
      <c r="C2657" s="10" t="s">
        <v>1986</v>
      </c>
      <c r="D2657" s="62">
        <v>159</v>
      </c>
      <c r="E2657" s="61" t="s">
        <v>1994</v>
      </c>
      <c r="F2657" s="44" t="s">
        <v>1995</v>
      </c>
      <c r="G2657" s="24" t="s">
        <v>1278</v>
      </c>
      <c r="H2657" s="10" t="s">
        <v>2378</v>
      </c>
      <c r="I2657" s="62">
        <v>47</v>
      </c>
      <c r="J2657" s="8" t="s">
        <v>2372</v>
      </c>
      <c r="K2657" s="10" t="s">
        <v>2374</v>
      </c>
      <c r="L2657" s="10" t="s">
        <v>2229</v>
      </c>
      <c r="M2657" s="10" t="s">
        <v>2372</v>
      </c>
      <c r="N2657" s="10" t="s">
        <v>2373</v>
      </c>
      <c r="O2657" s="10"/>
    </row>
    <row r="2658" spans="1:15" ht="18" customHeight="1" x14ac:dyDescent="0.3">
      <c r="A2658" s="24">
        <v>2657</v>
      </c>
      <c r="B2658" s="10" t="s">
        <v>1985</v>
      </c>
      <c r="C2658" s="10" t="s">
        <v>1986</v>
      </c>
      <c r="D2658" s="62">
        <v>159</v>
      </c>
      <c r="E2658" s="61" t="s">
        <v>1994</v>
      </c>
      <c r="F2658" s="44" t="s">
        <v>1995</v>
      </c>
      <c r="G2658" s="24" t="s">
        <v>1278</v>
      </c>
      <c r="H2658" s="10" t="s">
        <v>2379</v>
      </c>
      <c r="I2658" s="62">
        <v>71</v>
      </c>
      <c r="J2658" s="8" t="s">
        <v>2372</v>
      </c>
      <c r="K2658" s="10" t="s">
        <v>2374</v>
      </c>
      <c r="L2658" s="10" t="s">
        <v>2229</v>
      </c>
      <c r="M2658" s="10" t="s">
        <v>2372</v>
      </c>
      <c r="N2658" s="10" t="s">
        <v>2373</v>
      </c>
      <c r="O2658" s="10"/>
    </row>
    <row r="2659" spans="1:15" ht="18" customHeight="1" x14ac:dyDescent="0.3">
      <c r="A2659" s="24">
        <v>2658</v>
      </c>
      <c r="B2659" s="10" t="s">
        <v>1985</v>
      </c>
      <c r="C2659" s="10" t="s">
        <v>1986</v>
      </c>
      <c r="D2659" s="62">
        <v>159</v>
      </c>
      <c r="E2659" s="61" t="s">
        <v>1994</v>
      </c>
      <c r="F2659" s="44" t="s">
        <v>1995</v>
      </c>
      <c r="G2659" s="24" t="s">
        <v>1278</v>
      </c>
      <c r="H2659" s="10" t="s">
        <v>2380</v>
      </c>
      <c r="I2659" s="62">
        <v>133</v>
      </c>
      <c r="J2659" s="8" t="s">
        <v>2372</v>
      </c>
      <c r="K2659" s="10" t="s">
        <v>2372</v>
      </c>
      <c r="L2659" s="10" t="s">
        <v>2373</v>
      </c>
      <c r="M2659" s="10" t="s">
        <v>2372</v>
      </c>
      <c r="N2659" s="10" t="s">
        <v>2373</v>
      </c>
      <c r="O2659" s="10"/>
    </row>
    <row r="2660" spans="1:15" ht="18" customHeight="1" x14ac:dyDescent="0.3">
      <c r="A2660" s="24">
        <v>2659</v>
      </c>
      <c r="B2660" s="10" t="s">
        <v>1985</v>
      </c>
      <c r="C2660" s="10" t="s">
        <v>1986</v>
      </c>
      <c r="D2660" s="62">
        <v>159</v>
      </c>
      <c r="E2660" s="61" t="s">
        <v>1994</v>
      </c>
      <c r="F2660" s="44" t="s">
        <v>1995</v>
      </c>
      <c r="G2660" s="24" t="s">
        <v>1278</v>
      </c>
      <c r="H2660" s="10" t="s">
        <v>2390</v>
      </c>
      <c r="I2660" s="62">
        <v>185</v>
      </c>
      <c r="J2660" s="8" t="s">
        <v>2374</v>
      </c>
      <c r="K2660" s="10" t="s">
        <v>2372</v>
      </c>
      <c r="L2660" s="10" t="s">
        <v>2373</v>
      </c>
      <c r="M2660" s="10" t="s">
        <v>2372</v>
      </c>
      <c r="N2660" s="10" t="s">
        <v>2373</v>
      </c>
      <c r="O2660" s="10"/>
    </row>
    <row r="2661" spans="1:15" ht="18" customHeight="1" x14ac:dyDescent="0.3">
      <c r="A2661" s="24">
        <v>2660</v>
      </c>
      <c r="B2661" s="10" t="s">
        <v>1985</v>
      </c>
      <c r="C2661" s="10" t="s">
        <v>1986</v>
      </c>
      <c r="D2661" s="62">
        <v>159</v>
      </c>
      <c r="E2661" s="61" t="s">
        <v>1994</v>
      </c>
      <c r="F2661" s="44" t="s">
        <v>1995</v>
      </c>
      <c r="G2661" s="24" t="s">
        <v>1278</v>
      </c>
      <c r="H2661" s="10" t="s">
        <v>2382</v>
      </c>
      <c r="I2661" s="62">
        <v>118</v>
      </c>
      <c r="J2661" s="8" t="s">
        <v>2372</v>
      </c>
      <c r="K2661" s="10" t="s">
        <v>2372</v>
      </c>
      <c r="L2661" s="10" t="s">
        <v>2373</v>
      </c>
      <c r="M2661" s="10" t="s">
        <v>2372</v>
      </c>
      <c r="N2661" s="10" t="s">
        <v>2373</v>
      </c>
      <c r="O2661" s="10"/>
    </row>
    <row r="2662" spans="1:15" ht="18" customHeight="1" x14ac:dyDescent="0.3">
      <c r="A2662" s="24">
        <v>2661</v>
      </c>
      <c r="B2662" s="10" t="s">
        <v>1985</v>
      </c>
      <c r="C2662" s="10" t="s">
        <v>1986</v>
      </c>
      <c r="D2662" s="62">
        <v>159</v>
      </c>
      <c r="E2662" s="61" t="s">
        <v>1994</v>
      </c>
      <c r="F2662" s="44" t="s">
        <v>1995</v>
      </c>
      <c r="G2662" s="24" t="s">
        <v>1278</v>
      </c>
      <c r="H2662" s="10" t="s">
        <v>2385</v>
      </c>
      <c r="I2662" s="62">
        <v>104</v>
      </c>
      <c r="J2662" s="8" t="s">
        <v>2374</v>
      </c>
      <c r="K2662" s="10" t="s">
        <v>2374</v>
      </c>
      <c r="L2662" s="10" t="s">
        <v>2428</v>
      </c>
      <c r="M2662" s="10" t="s">
        <v>2372</v>
      </c>
      <c r="N2662" s="10" t="s">
        <v>2373</v>
      </c>
      <c r="O2662" s="10"/>
    </row>
    <row r="2663" spans="1:15" ht="18" customHeight="1" x14ac:dyDescent="0.3">
      <c r="A2663" s="24">
        <v>2662</v>
      </c>
      <c r="B2663" s="10" t="s">
        <v>94</v>
      </c>
      <c r="C2663" s="10" t="s">
        <v>96</v>
      </c>
      <c r="D2663" s="62">
        <v>160</v>
      </c>
      <c r="E2663" s="61" t="s">
        <v>253</v>
      </c>
      <c r="F2663" s="16" t="s">
        <v>705</v>
      </c>
      <c r="G2663" s="10" t="s">
        <v>160</v>
      </c>
      <c r="H2663" s="10" t="s">
        <v>845</v>
      </c>
      <c r="I2663" s="62">
        <v>158</v>
      </c>
      <c r="J2663" s="10" t="s">
        <v>2372</v>
      </c>
      <c r="K2663" s="10" t="s">
        <v>847</v>
      </c>
      <c r="L2663" s="10" t="s">
        <v>2373</v>
      </c>
      <c r="M2663" s="10" t="s">
        <v>2372</v>
      </c>
      <c r="N2663" s="10" t="s">
        <v>2373</v>
      </c>
      <c r="O2663" s="10"/>
    </row>
    <row r="2664" spans="1:15" ht="18" customHeight="1" x14ac:dyDescent="0.3">
      <c r="A2664" s="24">
        <v>2663</v>
      </c>
      <c r="B2664" s="10" t="s">
        <v>94</v>
      </c>
      <c r="C2664" s="10" t="s">
        <v>96</v>
      </c>
      <c r="D2664" s="62">
        <v>160</v>
      </c>
      <c r="E2664" s="61" t="s">
        <v>253</v>
      </c>
      <c r="F2664" s="16" t="s">
        <v>705</v>
      </c>
      <c r="G2664" s="10" t="s">
        <v>160</v>
      </c>
      <c r="H2664" s="10" t="s">
        <v>848</v>
      </c>
      <c r="I2664" s="62">
        <v>158</v>
      </c>
      <c r="J2664" s="10" t="s">
        <v>2374</v>
      </c>
      <c r="K2664" s="10" t="s">
        <v>847</v>
      </c>
      <c r="L2664" s="10" t="s">
        <v>2373</v>
      </c>
      <c r="M2664" s="10" t="s">
        <v>2372</v>
      </c>
      <c r="N2664" s="10" t="s">
        <v>2373</v>
      </c>
      <c r="O2664" s="10"/>
    </row>
    <row r="2665" spans="1:15" ht="18" customHeight="1" x14ac:dyDescent="0.3">
      <c r="A2665" s="24">
        <v>2664</v>
      </c>
      <c r="B2665" s="10" t="s">
        <v>94</v>
      </c>
      <c r="C2665" s="10" t="s">
        <v>96</v>
      </c>
      <c r="D2665" s="62">
        <v>160</v>
      </c>
      <c r="E2665" s="61" t="s">
        <v>253</v>
      </c>
      <c r="F2665" s="16" t="s">
        <v>705</v>
      </c>
      <c r="G2665" s="10" t="s">
        <v>160</v>
      </c>
      <c r="H2665" s="10" t="s">
        <v>849</v>
      </c>
      <c r="I2665" s="62">
        <v>112</v>
      </c>
      <c r="J2665" s="10" t="s">
        <v>2374</v>
      </c>
      <c r="K2665" s="10" t="s">
        <v>847</v>
      </c>
      <c r="L2665" s="10" t="s">
        <v>2373</v>
      </c>
      <c r="M2665" s="10" t="s">
        <v>2372</v>
      </c>
      <c r="N2665" s="10" t="s">
        <v>2373</v>
      </c>
      <c r="O2665" s="10"/>
    </row>
    <row r="2666" spans="1:15" ht="18" customHeight="1" x14ac:dyDescent="0.3">
      <c r="A2666" s="24">
        <v>2665</v>
      </c>
      <c r="B2666" s="10" t="s">
        <v>94</v>
      </c>
      <c r="C2666" s="10" t="s">
        <v>96</v>
      </c>
      <c r="D2666" s="62">
        <v>160</v>
      </c>
      <c r="E2666" s="61" t="s">
        <v>253</v>
      </c>
      <c r="F2666" s="16" t="s">
        <v>705</v>
      </c>
      <c r="G2666" s="10" t="s">
        <v>160</v>
      </c>
      <c r="H2666" s="10" t="s">
        <v>850</v>
      </c>
      <c r="I2666" s="62">
        <v>52</v>
      </c>
      <c r="J2666" s="10" t="s">
        <v>2374</v>
      </c>
      <c r="K2666" s="10" t="s">
        <v>847</v>
      </c>
      <c r="L2666" s="10" t="s">
        <v>2373</v>
      </c>
      <c r="M2666" s="10" t="s">
        <v>2372</v>
      </c>
      <c r="N2666" s="10" t="s">
        <v>2373</v>
      </c>
      <c r="O2666" s="10"/>
    </row>
    <row r="2667" spans="1:15" ht="18" customHeight="1" x14ac:dyDescent="0.3">
      <c r="A2667" s="24">
        <v>2666</v>
      </c>
      <c r="B2667" s="10" t="s">
        <v>94</v>
      </c>
      <c r="C2667" s="10" t="s">
        <v>96</v>
      </c>
      <c r="D2667" s="62">
        <v>160</v>
      </c>
      <c r="E2667" s="61" t="s">
        <v>253</v>
      </c>
      <c r="F2667" s="16" t="s">
        <v>705</v>
      </c>
      <c r="G2667" s="10" t="s">
        <v>160</v>
      </c>
      <c r="H2667" s="10" t="s">
        <v>851</v>
      </c>
      <c r="I2667" s="62">
        <v>158</v>
      </c>
      <c r="J2667" s="10" t="s">
        <v>2372</v>
      </c>
      <c r="K2667" s="10" t="s">
        <v>847</v>
      </c>
      <c r="L2667" s="10" t="s">
        <v>2373</v>
      </c>
      <c r="M2667" s="10" t="s">
        <v>2372</v>
      </c>
      <c r="N2667" s="10" t="s">
        <v>2373</v>
      </c>
      <c r="O2667" s="10"/>
    </row>
    <row r="2668" spans="1:15" ht="18" customHeight="1" x14ac:dyDescent="0.3">
      <c r="A2668" s="24">
        <v>2667</v>
      </c>
      <c r="B2668" s="10" t="s">
        <v>94</v>
      </c>
      <c r="C2668" s="10" t="s">
        <v>96</v>
      </c>
      <c r="D2668" s="62">
        <v>160</v>
      </c>
      <c r="E2668" s="61" t="s">
        <v>253</v>
      </c>
      <c r="F2668" s="16" t="s">
        <v>705</v>
      </c>
      <c r="G2668" s="10" t="s">
        <v>160</v>
      </c>
      <c r="H2668" s="10" t="s">
        <v>852</v>
      </c>
      <c r="I2668" s="62">
        <v>112</v>
      </c>
      <c r="J2668" s="10" t="s">
        <v>2372</v>
      </c>
      <c r="K2668" s="10" t="s">
        <v>847</v>
      </c>
      <c r="L2668" s="10" t="s">
        <v>2373</v>
      </c>
      <c r="M2668" s="10" t="s">
        <v>2372</v>
      </c>
      <c r="N2668" s="10" t="s">
        <v>2373</v>
      </c>
      <c r="O2668" s="10"/>
    </row>
    <row r="2669" spans="1:15" ht="18" customHeight="1" x14ac:dyDescent="0.3">
      <c r="A2669" s="24">
        <v>2668</v>
      </c>
      <c r="B2669" s="10" t="s">
        <v>94</v>
      </c>
      <c r="C2669" s="10" t="s">
        <v>96</v>
      </c>
      <c r="D2669" s="62">
        <v>160</v>
      </c>
      <c r="E2669" s="61" t="s">
        <v>253</v>
      </c>
      <c r="F2669" s="16" t="s">
        <v>705</v>
      </c>
      <c r="G2669" s="10" t="s">
        <v>160</v>
      </c>
      <c r="H2669" s="10" t="s">
        <v>853</v>
      </c>
      <c r="I2669" s="62">
        <v>52</v>
      </c>
      <c r="J2669" s="10" t="s">
        <v>2372</v>
      </c>
      <c r="K2669" s="10" t="s">
        <v>847</v>
      </c>
      <c r="L2669" s="10" t="s">
        <v>2373</v>
      </c>
      <c r="M2669" s="10" t="s">
        <v>2372</v>
      </c>
      <c r="N2669" s="10" t="s">
        <v>2373</v>
      </c>
      <c r="O2669" s="10"/>
    </row>
    <row r="2670" spans="1:15" ht="18" customHeight="1" x14ac:dyDescent="0.3">
      <c r="A2670" s="24">
        <v>2669</v>
      </c>
      <c r="B2670" s="8" t="s">
        <v>1969</v>
      </c>
      <c r="C2670" s="8" t="s">
        <v>1997</v>
      </c>
      <c r="D2670" s="8">
        <v>160</v>
      </c>
      <c r="E2670" s="56" t="s">
        <v>1998</v>
      </c>
      <c r="F2670" s="16" t="s">
        <v>1999</v>
      </c>
      <c r="G2670" s="8" t="s">
        <v>2553</v>
      </c>
      <c r="H2670" s="10" t="s">
        <v>2385</v>
      </c>
      <c r="I2670" s="62">
        <v>100</v>
      </c>
      <c r="J2670" s="10" t="s">
        <v>2374</v>
      </c>
      <c r="K2670" s="10" t="s">
        <v>847</v>
      </c>
      <c r="L2670" s="10" t="s">
        <v>2373</v>
      </c>
      <c r="M2670" s="10" t="s">
        <v>2372</v>
      </c>
      <c r="N2670" s="10" t="s">
        <v>2373</v>
      </c>
      <c r="O2670" s="10"/>
    </row>
    <row r="2671" spans="1:15" ht="18" customHeight="1" x14ac:dyDescent="0.3">
      <c r="A2671" s="24">
        <v>2670</v>
      </c>
      <c r="B2671" s="8" t="s">
        <v>1969</v>
      </c>
      <c r="C2671" s="8" t="s">
        <v>1997</v>
      </c>
      <c r="D2671" s="8">
        <v>160</v>
      </c>
      <c r="E2671" s="56" t="s">
        <v>1998</v>
      </c>
      <c r="F2671" s="16" t="s">
        <v>1999</v>
      </c>
      <c r="G2671" s="8" t="s">
        <v>2553</v>
      </c>
      <c r="H2671" s="10" t="s">
        <v>2378</v>
      </c>
      <c r="I2671" s="62">
        <v>50</v>
      </c>
      <c r="J2671" s="10" t="s">
        <v>2372</v>
      </c>
      <c r="K2671" s="10" t="s">
        <v>847</v>
      </c>
      <c r="L2671" s="10" t="s">
        <v>2373</v>
      </c>
      <c r="M2671" s="10" t="s">
        <v>2372</v>
      </c>
      <c r="N2671" s="10" t="s">
        <v>2373</v>
      </c>
      <c r="O2671" s="10"/>
    </row>
    <row r="2672" spans="1:15" ht="18" customHeight="1" x14ac:dyDescent="0.3">
      <c r="A2672" s="24">
        <v>2671</v>
      </c>
      <c r="B2672" s="10" t="s">
        <v>94</v>
      </c>
      <c r="C2672" s="10" t="s">
        <v>97</v>
      </c>
      <c r="D2672" s="62">
        <v>161</v>
      </c>
      <c r="E2672" s="61" t="s">
        <v>974</v>
      </c>
      <c r="F2672" s="16" t="s">
        <v>2006</v>
      </c>
      <c r="G2672" s="10" t="s">
        <v>2373</v>
      </c>
      <c r="H2672" s="10" t="s">
        <v>845</v>
      </c>
      <c r="I2672" s="62">
        <v>59</v>
      </c>
      <c r="J2672" s="10" t="s">
        <v>2372</v>
      </c>
      <c r="K2672" s="10" t="s">
        <v>847</v>
      </c>
      <c r="L2672" s="10" t="s">
        <v>2373</v>
      </c>
      <c r="M2672" s="10" t="s">
        <v>2372</v>
      </c>
      <c r="N2672" s="10" t="s">
        <v>2373</v>
      </c>
      <c r="O2672" s="10"/>
    </row>
    <row r="2673" spans="1:15" ht="18" customHeight="1" x14ac:dyDescent="0.3">
      <c r="A2673" s="24">
        <v>2672</v>
      </c>
      <c r="B2673" s="10" t="s">
        <v>94</v>
      </c>
      <c r="C2673" s="10" t="s">
        <v>97</v>
      </c>
      <c r="D2673" s="62">
        <v>161</v>
      </c>
      <c r="E2673" s="61" t="s">
        <v>974</v>
      </c>
      <c r="F2673" s="16" t="s">
        <v>2006</v>
      </c>
      <c r="G2673" s="10" t="s">
        <v>2373</v>
      </c>
      <c r="H2673" s="10" t="s">
        <v>848</v>
      </c>
      <c r="I2673" s="62">
        <v>59</v>
      </c>
      <c r="J2673" s="10" t="s">
        <v>2372</v>
      </c>
      <c r="K2673" s="10" t="s">
        <v>847</v>
      </c>
      <c r="L2673" s="10" t="s">
        <v>2373</v>
      </c>
      <c r="M2673" s="10" t="s">
        <v>2372</v>
      </c>
      <c r="N2673" s="10" t="s">
        <v>2373</v>
      </c>
      <c r="O2673" s="10"/>
    </row>
    <row r="2674" spans="1:15" ht="18" customHeight="1" x14ac:dyDescent="0.3">
      <c r="A2674" s="24">
        <v>2673</v>
      </c>
      <c r="B2674" s="10" t="s">
        <v>94</v>
      </c>
      <c r="C2674" s="10" t="s">
        <v>97</v>
      </c>
      <c r="D2674" s="62">
        <v>161</v>
      </c>
      <c r="E2674" s="61" t="s">
        <v>974</v>
      </c>
      <c r="F2674" s="16" t="s">
        <v>2006</v>
      </c>
      <c r="G2674" s="10" t="s">
        <v>2373</v>
      </c>
      <c r="H2674" s="10" t="s">
        <v>849</v>
      </c>
      <c r="I2674" s="62">
        <v>118</v>
      </c>
      <c r="J2674" s="10" t="s">
        <v>2372</v>
      </c>
      <c r="K2674" s="10" t="s">
        <v>847</v>
      </c>
      <c r="L2674" s="10" t="s">
        <v>2373</v>
      </c>
      <c r="M2674" s="10" t="s">
        <v>2372</v>
      </c>
      <c r="N2674" s="10" t="s">
        <v>2373</v>
      </c>
      <c r="O2674" s="10"/>
    </row>
    <row r="2675" spans="1:15" ht="18" customHeight="1" x14ac:dyDescent="0.3">
      <c r="A2675" s="24">
        <v>2674</v>
      </c>
      <c r="B2675" s="10" t="s">
        <v>94</v>
      </c>
      <c r="C2675" s="10" t="s">
        <v>98</v>
      </c>
      <c r="D2675" s="62">
        <v>162</v>
      </c>
      <c r="E2675" s="61" t="s">
        <v>919</v>
      </c>
      <c r="F2675" s="16" t="s">
        <v>712</v>
      </c>
      <c r="G2675" s="10" t="s">
        <v>150</v>
      </c>
      <c r="H2675" s="10" t="s">
        <v>845</v>
      </c>
      <c r="I2675" s="62">
        <v>254</v>
      </c>
      <c r="J2675" s="8" t="s">
        <v>846</v>
      </c>
      <c r="K2675" s="10" t="s">
        <v>847</v>
      </c>
      <c r="L2675" s="10" t="s">
        <v>2373</v>
      </c>
      <c r="M2675" s="10" t="s">
        <v>2372</v>
      </c>
      <c r="N2675" s="10" t="s">
        <v>2373</v>
      </c>
      <c r="O2675" s="10"/>
    </row>
    <row r="2676" spans="1:15" ht="18" customHeight="1" x14ac:dyDescent="0.3">
      <c r="A2676" s="24">
        <v>2675</v>
      </c>
      <c r="B2676" s="10" t="s">
        <v>94</v>
      </c>
      <c r="C2676" s="10" t="s">
        <v>98</v>
      </c>
      <c r="D2676" s="62">
        <v>162</v>
      </c>
      <c r="E2676" s="61" t="s">
        <v>919</v>
      </c>
      <c r="F2676" s="16" t="s">
        <v>712</v>
      </c>
      <c r="G2676" s="10" t="s">
        <v>150</v>
      </c>
      <c r="H2676" s="10" t="s">
        <v>848</v>
      </c>
      <c r="I2676" s="62">
        <v>183</v>
      </c>
      <c r="J2676" s="8" t="s">
        <v>846</v>
      </c>
      <c r="K2676" s="10" t="s">
        <v>847</v>
      </c>
      <c r="L2676" s="10" t="s">
        <v>2373</v>
      </c>
      <c r="M2676" s="10" t="s">
        <v>2372</v>
      </c>
      <c r="N2676" s="10" t="s">
        <v>2373</v>
      </c>
      <c r="O2676" s="10"/>
    </row>
    <row r="2677" spans="1:15" ht="18" customHeight="1" x14ac:dyDescent="0.3">
      <c r="A2677" s="24">
        <v>2676</v>
      </c>
      <c r="B2677" s="10" t="s">
        <v>94</v>
      </c>
      <c r="C2677" s="10" t="s">
        <v>98</v>
      </c>
      <c r="D2677" s="62">
        <v>162</v>
      </c>
      <c r="E2677" s="61" t="s">
        <v>919</v>
      </c>
      <c r="F2677" s="16" t="s">
        <v>712</v>
      </c>
      <c r="G2677" s="10" t="s">
        <v>150</v>
      </c>
      <c r="H2677" s="10" t="s">
        <v>849</v>
      </c>
      <c r="I2677" s="62">
        <v>189</v>
      </c>
      <c r="J2677" s="8" t="s">
        <v>2372</v>
      </c>
      <c r="K2677" s="10" t="s">
        <v>847</v>
      </c>
      <c r="L2677" s="10" t="s">
        <v>2373</v>
      </c>
      <c r="M2677" s="10" t="s">
        <v>2372</v>
      </c>
      <c r="N2677" s="10" t="s">
        <v>2373</v>
      </c>
      <c r="O2677" s="10"/>
    </row>
    <row r="2678" spans="1:15" ht="18" customHeight="1" x14ac:dyDescent="0.3">
      <c r="A2678" s="24">
        <v>2677</v>
      </c>
      <c r="B2678" s="10" t="s">
        <v>94</v>
      </c>
      <c r="C2678" s="10" t="s">
        <v>98</v>
      </c>
      <c r="D2678" s="62">
        <v>162</v>
      </c>
      <c r="E2678" s="61" t="s">
        <v>919</v>
      </c>
      <c r="F2678" s="16" t="s">
        <v>712</v>
      </c>
      <c r="G2678" s="10" t="s">
        <v>150</v>
      </c>
      <c r="H2678" s="10" t="s">
        <v>850</v>
      </c>
      <c r="I2678" s="62">
        <v>114</v>
      </c>
      <c r="J2678" s="8" t="s">
        <v>2372</v>
      </c>
      <c r="K2678" s="10" t="s">
        <v>847</v>
      </c>
      <c r="L2678" s="10" t="s">
        <v>2373</v>
      </c>
      <c r="M2678" s="10" t="s">
        <v>2372</v>
      </c>
      <c r="N2678" s="10" t="s">
        <v>2373</v>
      </c>
      <c r="O2678" s="10"/>
    </row>
    <row r="2679" spans="1:15" ht="18" customHeight="1" x14ac:dyDescent="0.3">
      <c r="A2679" s="24">
        <v>2678</v>
      </c>
      <c r="B2679" s="10" t="s">
        <v>94</v>
      </c>
      <c r="C2679" s="10" t="s">
        <v>98</v>
      </c>
      <c r="D2679" s="62">
        <v>162</v>
      </c>
      <c r="E2679" s="61" t="s">
        <v>919</v>
      </c>
      <c r="F2679" s="16" t="s">
        <v>712</v>
      </c>
      <c r="G2679" s="10" t="s">
        <v>150</v>
      </c>
      <c r="H2679" s="10" t="s">
        <v>851</v>
      </c>
      <c r="I2679" s="62">
        <v>148</v>
      </c>
      <c r="J2679" s="8" t="s">
        <v>2372</v>
      </c>
      <c r="K2679" s="10" t="s">
        <v>847</v>
      </c>
      <c r="L2679" s="10" t="s">
        <v>2373</v>
      </c>
      <c r="M2679" s="10" t="s">
        <v>2372</v>
      </c>
      <c r="N2679" s="10" t="s">
        <v>2373</v>
      </c>
      <c r="O2679" s="10"/>
    </row>
    <row r="2680" spans="1:15" ht="18" customHeight="1" x14ac:dyDescent="0.3">
      <c r="A2680" s="24">
        <v>2679</v>
      </c>
      <c r="B2680" s="10" t="s">
        <v>94</v>
      </c>
      <c r="C2680" s="10" t="s">
        <v>98</v>
      </c>
      <c r="D2680" s="62">
        <v>162</v>
      </c>
      <c r="E2680" s="61" t="s">
        <v>919</v>
      </c>
      <c r="F2680" s="16" t="s">
        <v>712</v>
      </c>
      <c r="G2680" s="10" t="s">
        <v>150</v>
      </c>
      <c r="H2680" s="10" t="s">
        <v>852</v>
      </c>
      <c r="I2680" s="62">
        <v>132</v>
      </c>
      <c r="J2680" s="8" t="s">
        <v>2372</v>
      </c>
      <c r="K2680" s="10" t="s">
        <v>847</v>
      </c>
      <c r="L2680" s="10" t="s">
        <v>2373</v>
      </c>
      <c r="M2680" s="10" t="s">
        <v>2372</v>
      </c>
      <c r="N2680" s="10" t="s">
        <v>2373</v>
      </c>
      <c r="O2680" s="10"/>
    </row>
    <row r="2681" spans="1:15" ht="18" customHeight="1" x14ac:dyDescent="0.3">
      <c r="A2681" s="24">
        <v>2680</v>
      </c>
      <c r="B2681" s="99" t="s">
        <v>3100</v>
      </c>
      <c r="C2681" s="99" t="s">
        <v>3101</v>
      </c>
      <c r="D2681" s="99">
        <v>162</v>
      </c>
      <c r="E2681" s="30" t="s">
        <v>3099</v>
      </c>
      <c r="F2681" s="30" t="s">
        <v>3102</v>
      </c>
      <c r="G2681" s="99" t="s">
        <v>3085</v>
      </c>
      <c r="H2681" s="10" t="s">
        <v>3103</v>
      </c>
      <c r="I2681" s="62">
        <v>180</v>
      </c>
      <c r="J2681" s="173" t="s">
        <v>3092</v>
      </c>
      <c r="K2681" s="10" t="s">
        <v>884</v>
      </c>
      <c r="L2681" s="10" t="s">
        <v>820</v>
      </c>
      <c r="M2681" s="10" t="s">
        <v>884</v>
      </c>
      <c r="N2681" s="10" t="s">
        <v>820</v>
      </c>
      <c r="O2681" s="10"/>
    </row>
    <row r="2682" spans="1:15" ht="18" customHeight="1" x14ac:dyDescent="0.3">
      <c r="A2682" s="24">
        <v>2681</v>
      </c>
      <c r="B2682" s="99" t="s">
        <v>3100</v>
      </c>
      <c r="C2682" s="99" t="s">
        <v>3101</v>
      </c>
      <c r="D2682" s="99">
        <v>162</v>
      </c>
      <c r="E2682" s="30" t="s">
        <v>3099</v>
      </c>
      <c r="F2682" s="30" t="s">
        <v>3102</v>
      </c>
      <c r="G2682" s="99" t="s">
        <v>3085</v>
      </c>
      <c r="H2682" s="10" t="s">
        <v>3104</v>
      </c>
      <c r="I2682" s="62">
        <v>69</v>
      </c>
      <c r="J2682" s="10" t="s">
        <v>884</v>
      </c>
      <c r="K2682" s="10" t="s">
        <v>884</v>
      </c>
      <c r="L2682" s="10" t="s">
        <v>820</v>
      </c>
      <c r="M2682" s="10" t="s">
        <v>884</v>
      </c>
      <c r="N2682" s="10" t="s">
        <v>820</v>
      </c>
      <c r="O2682" s="10"/>
    </row>
    <row r="2683" spans="1:15" ht="18" customHeight="1" x14ac:dyDescent="0.3">
      <c r="A2683" s="24">
        <v>2682</v>
      </c>
      <c r="B2683" s="99" t="s">
        <v>3100</v>
      </c>
      <c r="C2683" s="99" t="s">
        <v>3101</v>
      </c>
      <c r="D2683" s="99">
        <v>162</v>
      </c>
      <c r="E2683" s="30" t="s">
        <v>3099</v>
      </c>
      <c r="F2683" s="30" t="s">
        <v>3102</v>
      </c>
      <c r="G2683" s="99" t="s">
        <v>3085</v>
      </c>
      <c r="H2683" s="10" t="s">
        <v>3089</v>
      </c>
      <c r="I2683" s="62">
        <v>67</v>
      </c>
      <c r="J2683" s="10" t="s">
        <v>884</v>
      </c>
      <c r="K2683" s="10" t="s">
        <v>884</v>
      </c>
      <c r="L2683" s="10" t="s">
        <v>820</v>
      </c>
      <c r="M2683" s="10" t="s">
        <v>884</v>
      </c>
      <c r="N2683" s="10" t="s">
        <v>820</v>
      </c>
      <c r="O2683" s="10"/>
    </row>
    <row r="2684" spans="1:15" ht="18" customHeight="1" x14ac:dyDescent="0.3">
      <c r="A2684" s="24">
        <v>2683</v>
      </c>
      <c r="B2684" s="99" t="s">
        <v>3100</v>
      </c>
      <c r="C2684" s="99" t="s">
        <v>3101</v>
      </c>
      <c r="D2684" s="99">
        <v>162</v>
      </c>
      <c r="E2684" s="30" t="s">
        <v>3099</v>
      </c>
      <c r="F2684" s="30" t="s">
        <v>3102</v>
      </c>
      <c r="G2684" s="99" t="s">
        <v>3085</v>
      </c>
      <c r="H2684" s="10" t="s">
        <v>3105</v>
      </c>
      <c r="I2684" s="62">
        <v>77</v>
      </c>
      <c r="J2684" s="10" t="s">
        <v>884</v>
      </c>
      <c r="K2684" s="10" t="s">
        <v>884</v>
      </c>
      <c r="L2684" s="10" t="s">
        <v>820</v>
      </c>
      <c r="M2684" s="10" t="s">
        <v>884</v>
      </c>
      <c r="N2684" s="10" t="s">
        <v>820</v>
      </c>
      <c r="O2684" s="10"/>
    </row>
    <row r="2685" spans="1:15" ht="18" customHeight="1" x14ac:dyDescent="0.3">
      <c r="A2685" s="24">
        <v>2684</v>
      </c>
      <c r="B2685" s="99" t="s">
        <v>3100</v>
      </c>
      <c r="C2685" s="99" t="s">
        <v>3101</v>
      </c>
      <c r="D2685" s="99">
        <v>162</v>
      </c>
      <c r="E2685" s="30" t="s">
        <v>3099</v>
      </c>
      <c r="F2685" s="30" t="s">
        <v>3102</v>
      </c>
      <c r="G2685" s="99" t="s">
        <v>3085</v>
      </c>
      <c r="H2685" s="10" t="s">
        <v>3106</v>
      </c>
      <c r="I2685" s="62">
        <v>75</v>
      </c>
      <c r="J2685" s="10" t="s">
        <v>884</v>
      </c>
      <c r="K2685" s="10" t="s">
        <v>884</v>
      </c>
      <c r="L2685" s="10" t="s">
        <v>820</v>
      </c>
      <c r="M2685" s="10" t="s">
        <v>884</v>
      </c>
      <c r="N2685" s="10" t="s">
        <v>820</v>
      </c>
      <c r="O2685" s="10"/>
    </row>
    <row r="2686" spans="1:15" ht="18" customHeight="1" x14ac:dyDescent="0.3">
      <c r="A2686" s="24">
        <v>2685</v>
      </c>
      <c r="B2686" s="99" t="s">
        <v>3100</v>
      </c>
      <c r="C2686" s="99" t="s">
        <v>3101</v>
      </c>
      <c r="D2686" s="99">
        <v>162</v>
      </c>
      <c r="E2686" s="30" t="s">
        <v>3099</v>
      </c>
      <c r="F2686" s="30" t="s">
        <v>3102</v>
      </c>
      <c r="G2686" s="99" t="s">
        <v>3085</v>
      </c>
      <c r="H2686" s="173" t="s">
        <v>3107</v>
      </c>
      <c r="I2686" s="177">
        <v>166</v>
      </c>
      <c r="J2686" s="10" t="s">
        <v>884</v>
      </c>
      <c r="K2686" s="10" t="s">
        <v>884</v>
      </c>
      <c r="L2686" s="10" t="s">
        <v>820</v>
      </c>
      <c r="M2686" s="10" t="s">
        <v>884</v>
      </c>
      <c r="N2686" s="10" t="s">
        <v>820</v>
      </c>
      <c r="O2686" s="10"/>
    </row>
    <row r="2687" spans="1:15" ht="18" customHeight="1" x14ac:dyDescent="0.3">
      <c r="A2687" s="24">
        <v>2686</v>
      </c>
      <c r="B2687" s="10" t="s">
        <v>94</v>
      </c>
      <c r="C2687" s="10" t="s">
        <v>99</v>
      </c>
      <c r="D2687" s="62">
        <v>163</v>
      </c>
      <c r="E2687" s="61" t="s">
        <v>2931</v>
      </c>
      <c r="F2687" s="19" t="s">
        <v>709</v>
      </c>
      <c r="G2687" s="10" t="s">
        <v>160</v>
      </c>
      <c r="H2687" s="10" t="s">
        <v>845</v>
      </c>
      <c r="I2687" s="62">
        <v>181</v>
      </c>
      <c r="J2687" s="10" t="s">
        <v>2372</v>
      </c>
      <c r="K2687" s="10" t="s">
        <v>847</v>
      </c>
      <c r="L2687" s="10" t="s">
        <v>2373</v>
      </c>
      <c r="M2687" s="10" t="s">
        <v>2372</v>
      </c>
      <c r="N2687" s="10" t="s">
        <v>2373</v>
      </c>
      <c r="O2687" s="10"/>
    </row>
    <row r="2688" spans="1:15" ht="18" customHeight="1" x14ac:dyDescent="0.3">
      <c r="A2688" s="24">
        <v>2687</v>
      </c>
      <c r="B2688" s="10" t="s">
        <v>94</v>
      </c>
      <c r="C2688" s="10" t="s">
        <v>99</v>
      </c>
      <c r="D2688" s="62">
        <v>163</v>
      </c>
      <c r="E2688" s="61" t="s">
        <v>2931</v>
      </c>
      <c r="F2688" s="19" t="s">
        <v>709</v>
      </c>
      <c r="G2688" s="10" t="s">
        <v>160</v>
      </c>
      <c r="H2688" s="10" t="s">
        <v>848</v>
      </c>
      <c r="I2688" s="62">
        <v>54</v>
      </c>
      <c r="J2688" s="10" t="s">
        <v>2372</v>
      </c>
      <c r="K2688" s="10" t="s">
        <v>847</v>
      </c>
      <c r="L2688" s="10" t="s">
        <v>2373</v>
      </c>
      <c r="M2688" s="10" t="s">
        <v>2372</v>
      </c>
      <c r="N2688" s="10" t="s">
        <v>2373</v>
      </c>
      <c r="O2688" s="10"/>
    </row>
    <row r="2689" spans="1:15" ht="18" customHeight="1" x14ac:dyDescent="0.3">
      <c r="A2689" s="24">
        <v>2688</v>
      </c>
      <c r="B2689" s="10" t="s">
        <v>94</v>
      </c>
      <c r="C2689" s="10" t="s">
        <v>99</v>
      </c>
      <c r="D2689" s="62">
        <v>163</v>
      </c>
      <c r="E2689" s="61" t="s">
        <v>2931</v>
      </c>
      <c r="F2689" s="19" t="s">
        <v>709</v>
      </c>
      <c r="G2689" s="10" t="s">
        <v>160</v>
      </c>
      <c r="H2689" s="10" t="s">
        <v>849</v>
      </c>
      <c r="I2689" s="62">
        <v>85</v>
      </c>
      <c r="J2689" s="10" t="s">
        <v>2372</v>
      </c>
      <c r="K2689" s="10" t="s">
        <v>847</v>
      </c>
      <c r="L2689" s="10" t="s">
        <v>2373</v>
      </c>
      <c r="M2689" s="10" t="s">
        <v>2372</v>
      </c>
      <c r="N2689" s="10" t="s">
        <v>2373</v>
      </c>
      <c r="O2689" s="10"/>
    </row>
    <row r="2690" spans="1:15" ht="18" customHeight="1" x14ac:dyDescent="0.3">
      <c r="A2690" s="24">
        <v>2689</v>
      </c>
      <c r="B2690" s="10" t="s">
        <v>94</v>
      </c>
      <c r="C2690" s="10" t="s">
        <v>99</v>
      </c>
      <c r="D2690" s="62">
        <v>163</v>
      </c>
      <c r="E2690" s="61" t="s">
        <v>2931</v>
      </c>
      <c r="F2690" s="19" t="s">
        <v>709</v>
      </c>
      <c r="G2690" s="10" t="s">
        <v>160</v>
      </c>
      <c r="H2690" s="10" t="s">
        <v>850</v>
      </c>
      <c r="I2690" s="62">
        <v>93</v>
      </c>
      <c r="J2690" s="10" t="s">
        <v>2372</v>
      </c>
      <c r="K2690" s="10" t="s">
        <v>847</v>
      </c>
      <c r="L2690" s="10" t="s">
        <v>2373</v>
      </c>
      <c r="M2690" s="10" t="s">
        <v>2372</v>
      </c>
      <c r="N2690" s="10" t="s">
        <v>2373</v>
      </c>
      <c r="O2690" s="10"/>
    </row>
    <row r="2691" spans="1:15" ht="18" customHeight="1" x14ac:dyDescent="0.3">
      <c r="A2691" s="24">
        <v>2690</v>
      </c>
      <c r="B2691" s="10" t="s">
        <v>94</v>
      </c>
      <c r="C2691" s="10" t="s">
        <v>99</v>
      </c>
      <c r="D2691" s="62">
        <v>163</v>
      </c>
      <c r="E2691" s="61" t="s">
        <v>2931</v>
      </c>
      <c r="F2691" s="19" t="s">
        <v>709</v>
      </c>
      <c r="G2691" s="10" t="s">
        <v>160</v>
      </c>
      <c r="H2691" s="10" t="s">
        <v>851</v>
      </c>
      <c r="I2691" s="62">
        <v>146</v>
      </c>
      <c r="J2691" s="10" t="s">
        <v>2372</v>
      </c>
      <c r="K2691" s="10" t="s">
        <v>847</v>
      </c>
      <c r="L2691" s="10" t="s">
        <v>2373</v>
      </c>
      <c r="M2691" s="10" t="s">
        <v>2372</v>
      </c>
      <c r="N2691" s="10" t="s">
        <v>2373</v>
      </c>
      <c r="O2691" s="10"/>
    </row>
    <row r="2692" spans="1:15" ht="18" customHeight="1" x14ac:dyDescent="0.3">
      <c r="A2692" s="24">
        <v>2691</v>
      </c>
      <c r="B2692" s="10" t="s">
        <v>94</v>
      </c>
      <c r="C2692" s="10" t="s">
        <v>99</v>
      </c>
      <c r="D2692" s="62">
        <v>163</v>
      </c>
      <c r="E2692" s="61" t="s">
        <v>2931</v>
      </c>
      <c r="F2692" s="19" t="s">
        <v>709</v>
      </c>
      <c r="G2692" s="10" t="s">
        <v>160</v>
      </c>
      <c r="H2692" s="10" t="s">
        <v>852</v>
      </c>
      <c r="I2692" s="62">
        <v>78</v>
      </c>
      <c r="J2692" s="10" t="s">
        <v>2372</v>
      </c>
      <c r="K2692" s="10" t="s">
        <v>847</v>
      </c>
      <c r="L2692" s="10" t="s">
        <v>2373</v>
      </c>
      <c r="M2692" s="10" t="s">
        <v>2372</v>
      </c>
      <c r="N2692" s="10" t="s">
        <v>2373</v>
      </c>
      <c r="O2692" s="10"/>
    </row>
    <row r="2693" spans="1:15" ht="18" customHeight="1" x14ac:dyDescent="0.3">
      <c r="A2693" s="24">
        <v>2692</v>
      </c>
      <c r="B2693" s="10" t="s">
        <v>94</v>
      </c>
      <c r="C2693" s="10" t="s">
        <v>99</v>
      </c>
      <c r="D2693" s="62">
        <v>163</v>
      </c>
      <c r="E2693" s="61" t="s">
        <v>2931</v>
      </c>
      <c r="F2693" s="19" t="s">
        <v>709</v>
      </c>
      <c r="G2693" s="10" t="s">
        <v>160</v>
      </c>
      <c r="H2693" s="10" t="s">
        <v>853</v>
      </c>
      <c r="I2693" s="62">
        <v>86</v>
      </c>
      <c r="J2693" s="10" t="s">
        <v>2374</v>
      </c>
      <c r="K2693" s="10" t="s">
        <v>847</v>
      </c>
      <c r="L2693" s="10" t="s">
        <v>2373</v>
      </c>
      <c r="M2693" s="10" t="s">
        <v>2372</v>
      </c>
      <c r="N2693" s="10" t="s">
        <v>2373</v>
      </c>
      <c r="O2693" s="10"/>
    </row>
    <row r="2694" spans="1:15" ht="18" customHeight="1" x14ac:dyDescent="0.3">
      <c r="A2694" s="24">
        <v>2693</v>
      </c>
      <c r="B2694" s="10" t="s">
        <v>94</v>
      </c>
      <c r="C2694" s="10" t="s">
        <v>99</v>
      </c>
      <c r="D2694" s="62">
        <v>163</v>
      </c>
      <c r="E2694" s="61" t="s">
        <v>2931</v>
      </c>
      <c r="F2694" s="19" t="s">
        <v>709</v>
      </c>
      <c r="G2694" s="10" t="s">
        <v>160</v>
      </c>
      <c r="H2694" s="10" t="s">
        <v>854</v>
      </c>
      <c r="I2694" s="62">
        <v>97</v>
      </c>
      <c r="J2694" s="10" t="s">
        <v>2374</v>
      </c>
      <c r="K2694" s="10" t="s">
        <v>847</v>
      </c>
      <c r="L2694" s="10" t="s">
        <v>2373</v>
      </c>
      <c r="M2694" s="10" t="s">
        <v>2372</v>
      </c>
      <c r="N2694" s="10" t="s">
        <v>2373</v>
      </c>
      <c r="O2694" s="10"/>
    </row>
    <row r="2695" spans="1:15" ht="18" customHeight="1" x14ac:dyDescent="0.3">
      <c r="A2695" s="24">
        <v>2694</v>
      </c>
      <c r="B2695" s="10" t="s">
        <v>94</v>
      </c>
      <c r="C2695" s="10" t="s">
        <v>99</v>
      </c>
      <c r="D2695" s="62">
        <v>163</v>
      </c>
      <c r="E2695" s="61" t="s">
        <v>227</v>
      </c>
      <c r="F2695" s="16" t="s">
        <v>710</v>
      </c>
      <c r="G2695" s="10" t="s">
        <v>160</v>
      </c>
      <c r="H2695" s="10" t="s">
        <v>845</v>
      </c>
      <c r="I2695" s="62">
        <v>223</v>
      </c>
      <c r="J2695" s="8" t="s">
        <v>2372</v>
      </c>
      <c r="K2695" s="10" t="s">
        <v>847</v>
      </c>
      <c r="L2695" s="10" t="s">
        <v>2373</v>
      </c>
      <c r="M2695" s="10" t="s">
        <v>2372</v>
      </c>
      <c r="N2695" s="10" t="s">
        <v>2373</v>
      </c>
      <c r="O2695" s="10"/>
    </row>
    <row r="2696" spans="1:15" ht="18" customHeight="1" x14ac:dyDescent="0.3">
      <c r="A2696" s="24">
        <v>2695</v>
      </c>
      <c r="B2696" s="10" t="s">
        <v>94</v>
      </c>
      <c r="C2696" s="10" t="s">
        <v>99</v>
      </c>
      <c r="D2696" s="62">
        <v>163</v>
      </c>
      <c r="E2696" s="61" t="s">
        <v>227</v>
      </c>
      <c r="F2696" s="16" t="s">
        <v>710</v>
      </c>
      <c r="G2696" s="10" t="s">
        <v>160</v>
      </c>
      <c r="H2696" s="10" t="s">
        <v>848</v>
      </c>
      <c r="I2696" s="62">
        <v>120</v>
      </c>
      <c r="J2696" s="8" t="s">
        <v>2372</v>
      </c>
      <c r="K2696" s="10" t="s">
        <v>847</v>
      </c>
      <c r="L2696" s="10" t="s">
        <v>2373</v>
      </c>
      <c r="M2696" s="10" t="s">
        <v>2372</v>
      </c>
      <c r="N2696" s="10" t="s">
        <v>2373</v>
      </c>
      <c r="O2696" s="10"/>
    </row>
    <row r="2697" spans="1:15" ht="18" customHeight="1" x14ac:dyDescent="0.3">
      <c r="A2697" s="24">
        <v>2696</v>
      </c>
      <c r="B2697" s="10" t="s">
        <v>94</v>
      </c>
      <c r="C2697" s="10" t="s">
        <v>99</v>
      </c>
      <c r="D2697" s="62">
        <v>163</v>
      </c>
      <c r="E2697" s="61" t="s">
        <v>227</v>
      </c>
      <c r="F2697" s="16" t="s">
        <v>710</v>
      </c>
      <c r="G2697" s="10" t="s">
        <v>160</v>
      </c>
      <c r="H2697" s="10" t="s">
        <v>849</v>
      </c>
      <c r="I2697" s="62">
        <v>100</v>
      </c>
      <c r="J2697" s="8" t="s">
        <v>2372</v>
      </c>
      <c r="K2697" s="10" t="s">
        <v>847</v>
      </c>
      <c r="L2697" s="10" t="s">
        <v>2373</v>
      </c>
      <c r="M2697" s="10" t="s">
        <v>2372</v>
      </c>
      <c r="N2697" s="10" t="s">
        <v>2373</v>
      </c>
      <c r="O2697" s="10"/>
    </row>
    <row r="2698" spans="1:15" ht="18" customHeight="1" x14ac:dyDescent="0.3">
      <c r="A2698" s="24">
        <v>2697</v>
      </c>
      <c r="B2698" s="10" t="s">
        <v>94</v>
      </c>
      <c r="C2698" s="10" t="s">
        <v>99</v>
      </c>
      <c r="D2698" s="62">
        <v>163</v>
      </c>
      <c r="E2698" s="61" t="s">
        <v>227</v>
      </c>
      <c r="F2698" s="16" t="s">
        <v>710</v>
      </c>
      <c r="G2698" s="10" t="s">
        <v>160</v>
      </c>
      <c r="H2698" s="10" t="s">
        <v>850</v>
      </c>
      <c r="I2698" s="62">
        <v>223</v>
      </c>
      <c r="J2698" s="8" t="s">
        <v>2374</v>
      </c>
      <c r="K2698" s="10" t="s">
        <v>847</v>
      </c>
      <c r="L2698" s="10" t="s">
        <v>2373</v>
      </c>
      <c r="M2698" s="10" t="s">
        <v>2372</v>
      </c>
      <c r="N2698" s="10" t="s">
        <v>2373</v>
      </c>
      <c r="O2698" s="10"/>
    </row>
    <row r="2699" spans="1:15" ht="18" customHeight="1" x14ac:dyDescent="0.3">
      <c r="A2699" s="24">
        <v>2698</v>
      </c>
      <c r="B2699" s="10" t="s">
        <v>94</v>
      </c>
      <c r="C2699" s="10" t="s">
        <v>99</v>
      </c>
      <c r="D2699" s="62">
        <v>163</v>
      </c>
      <c r="E2699" s="61" t="s">
        <v>227</v>
      </c>
      <c r="F2699" s="16" t="s">
        <v>710</v>
      </c>
      <c r="G2699" s="10" t="s">
        <v>160</v>
      </c>
      <c r="H2699" s="10" t="s">
        <v>851</v>
      </c>
      <c r="I2699" s="62">
        <v>120</v>
      </c>
      <c r="J2699" s="8" t="s">
        <v>2374</v>
      </c>
      <c r="K2699" s="10" t="s">
        <v>847</v>
      </c>
      <c r="L2699" s="10" t="s">
        <v>2373</v>
      </c>
      <c r="M2699" s="10" t="s">
        <v>2372</v>
      </c>
      <c r="N2699" s="10" t="s">
        <v>2373</v>
      </c>
      <c r="O2699" s="10"/>
    </row>
    <row r="2700" spans="1:15" ht="18" customHeight="1" x14ac:dyDescent="0.3">
      <c r="A2700" s="24">
        <v>2699</v>
      </c>
      <c r="B2700" s="10" t="s">
        <v>94</v>
      </c>
      <c r="C2700" s="10" t="s">
        <v>99</v>
      </c>
      <c r="D2700" s="62">
        <v>163</v>
      </c>
      <c r="E2700" s="61" t="s">
        <v>227</v>
      </c>
      <c r="F2700" s="16" t="s">
        <v>710</v>
      </c>
      <c r="G2700" s="10" t="s">
        <v>160</v>
      </c>
      <c r="H2700" s="10" t="s">
        <v>852</v>
      </c>
      <c r="I2700" s="62">
        <v>100</v>
      </c>
      <c r="J2700" s="8" t="s">
        <v>2374</v>
      </c>
      <c r="K2700" s="10" t="s">
        <v>847</v>
      </c>
      <c r="L2700" s="10" t="s">
        <v>2373</v>
      </c>
      <c r="M2700" s="10" t="s">
        <v>2372</v>
      </c>
      <c r="N2700" s="10" t="s">
        <v>2373</v>
      </c>
      <c r="O2700" s="10"/>
    </row>
    <row r="2701" spans="1:15" ht="18" customHeight="1" x14ac:dyDescent="0.3">
      <c r="A2701" s="24">
        <v>2700</v>
      </c>
      <c r="B2701" s="10" t="s">
        <v>94</v>
      </c>
      <c r="C2701" s="10" t="s">
        <v>99</v>
      </c>
      <c r="D2701" s="62">
        <v>163</v>
      </c>
      <c r="E2701" s="61" t="s">
        <v>227</v>
      </c>
      <c r="F2701" s="16" t="s">
        <v>710</v>
      </c>
      <c r="G2701" s="10" t="s">
        <v>160</v>
      </c>
      <c r="H2701" s="10" t="s">
        <v>853</v>
      </c>
      <c r="I2701" s="62">
        <v>59</v>
      </c>
      <c r="J2701" s="8" t="s">
        <v>2372</v>
      </c>
      <c r="K2701" s="10" t="s">
        <v>847</v>
      </c>
      <c r="L2701" s="10" t="s">
        <v>2373</v>
      </c>
      <c r="M2701" s="10" t="s">
        <v>2372</v>
      </c>
      <c r="N2701" s="10" t="s">
        <v>2373</v>
      </c>
      <c r="O2701" s="10"/>
    </row>
    <row r="2702" spans="1:15" ht="18" customHeight="1" x14ac:dyDescent="0.3">
      <c r="A2702" s="24">
        <v>2701</v>
      </c>
      <c r="B2702" s="10" t="s">
        <v>1985</v>
      </c>
      <c r="C2702" s="10" t="s">
        <v>2010</v>
      </c>
      <c r="D2702" s="62">
        <v>164</v>
      </c>
      <c r="E2702" s="61" t="s">
        <v>2932</v>
      </c>
      <c r="F2702" s="32" t="s">
        <v>2676</v>
      </c>
      <c r="G2702" s="10" t="s">
        <v>1264</v>
      </c>
      <c r="H2702" s="10" t="s">
        <v>2385</v>
      </c>
      <c r="I2702" s="62">
        <v>138</v>
      </c>
      <c r="J2702" s="10" t="s">
        <v>2372</v>
      </c>
      <c r="K2702" s="10" t="s">
        <v>847</v>
      </c>
      <c r="L2702" s="10" t="s">
        <v>2373</v>
      </c>
      <c r="M2702" s="10" t="s">
        <v>2372</v>
      </c>
      <c r="N2702" s="10" t="s">
        <v>2373</v>
      </c>
      <c r="O2702" s="10"/>
    </row>
    <row r="2703" spans="1:15" ht="18" customHeight="1" x14ac:dyDescent="0.3">
      <c r="A2703" s="24">
        <v>2702</v>
      </c>
      <c r="B2703" s="10" t="s">
        <v>1985</v>
      </c>
      <c r="C2703" s="10" t="s">
        <v>2010</v>
      </c>
      <c r="D2703" s="62">
        <v>164</v>
      </c>
      <c r="E2703" s="61" t="s">
        <v>2932</v>
      </c>
      <c r="F2703" s="32" t="s">
        <v>2676</v>
      </c>
      <c r="G2703" s="10" t="s">
        <v>1264</v>
      </c>
      <c r="H2703" s="10" t="s">
        <v>2378</v>
      </c>
      <c r="I2703" s="62">
        <v>128</v>
      </c>
      <c r="J2703" s="10" t="s">
        <v>2374</v>
      </c>
      <c r="K2703" s="10" t="s">
        <v>847</v>
      </c>
      <c r="L2703" s="10" t="s">
        <v>2373</v>
      </c>
      <c r="M2703" s="10" t="s">
        <v>2372</v>
      </c>
      <c r="N2703" s="10" t="s">
        <v>2373</v>
      </c>
      <c r="O2703" s="10"/>
    </row>
    <row r="2704" spans="1:15" ht="18" customHeight="1" x14ac:dyDescent="0.3">
      <c r="A2704" s="24">
        <v>2703</v>
      </c>
      <c r="B2704" s="10" t="s">
        <v>1985</v>
      </c>
      <c r="C2704" s="10" t="s">
        <v>2010</v>
      </c>
      <c r="D2704" s="62">
        <v>164</v>
      </c>
      <c r="E2704" s="61" t="s">
        <v>2932</v>
      </c>
      <c r="F2704" s="32" t="s">
        <v>2676</v>
      </c>
      <c r="G2704" s="10" t="s">
        <v>1264</v>
      </c>
      <c r="H2704" s="10" t="s">
        <v>2379</v>
      </c>
      <c r="I2704" s="62">
        <v>148</v>
      </c>
      <c r="J2704" s="10" t="s">
        <v>2372</v>
      </c>
      <c r="K2704" s="10" t="s">
        <v>847</v>
      </c>
      <c r="L2704" s="10" t="s">
        <v>2373</v>
      </c>
      <c r="M2704" s="10" t="s">
        <v>2372</v>
      </c>
      <c r="N2704" s="10" t="s">
        <v>2373</v>
      </c>
      <c r="O2704" s="10"/>
    </row>
    <row r="2705" spans="1:15" ht="18" customHeight="1" x14ac:dyDescent="0.3">
      <c r="A2705" s="24">
        <v>2704</v>
      </c>
      <c r="B2705" s="10" t="s">
        <v>1985</v>
      </c>
      <c r="C2705" s="10" t="s">
        <v>2010</v>
      </c>
      <c r="D2705" s="62">
        <v>164</v>
      </c>
      <c r="E2705" s="61" t="s">
        <v>2932</v>
      </c>
      <c r="F2705" s="32" t="s">
        <v>2676</v>
      </c>
      <c r="G2705" s="10" t="s">
        <v>1264</v>
      </c>
      <c r="H2705" s="10" t="s">
        <v>2380</v>
      </c>
      <c r="I2705" s="62">
        <v>118</v>
      </c>
      <c r="J2705" s="10" t="s">
        <v>2372</v>
      </c>
      <c r="K2705" s="10" t="s">
        <v>847</v>
      </c>
      <c r="L2705" s="10" t="s">
        <v>2373</v>
      </c>
      <c r="M2705" s="10" t="s">
        <v>2372</v>
      </c>
      <c r="N2705" s="10" t="s">
        <v>2373</v>
      </c>
      <c r="O2705" s="10"/>
    </row>
    <row r="2706" spans="1:15" ht="18" customHeight="1" x14ac:dyDescent="0.3">
      <c r="A2706" s="24">
        <v>2705</v>
      </c>
      <c r="B2706" s="10" t="s">
        <v>1985</v>
      </c>
      <c r="C2706" s="10" t="s">
        <v>2010</v>
      </c>
      <c r="D2706" s="62">
        <v>164</v>
      </c>
      <c r="E2706" s="61" t="s">
        <v>2932</v>
      </c>
      <c r="F2706" s="32" t="s">
        <v>2676</v>
      </c>
      <c r="G2706" s="10" t="s">
        <v>1264</v>
      </c>
      <c r="H2706" s="10" t="s">
        <v>2390</v>
      </c>
      <c r="I2706" s="62">
        <v>128</v>
      </c>
      <c r="J2706" s="10" t="s">
        <v>2372</v>
      </c>
      <c r="K2706" s="10" t="s">
        <v>847</v>
      </c>
      <c r="L2706" s="10" t="s">
        <v>2373</v>
      </c>
      <c r="M2706" s="10" t="s">
        <v>2372</v>
      </c>
      <c r="N2706" s="10" t="s">
        <v>2373</v>
      </c>
      <c r="O2706" s="10"/>
    </row>
    <row r="2707" spans="1:15" ht="18" customHeight="1" x14ac:dyDescent="0.3">
      <c r="A2707" s="24">
        <v>2706</v>
      </c>
      <c r="B2707" s="10" t="s">
        <v>1985</v>
      </c>
      <c r="C2707" s="10" t="s">
        <v>2010</v>
      </c>
      <c r="D2707" s="62">
        <v>164</v>
      </c>
      <c r="E2707" s="61" t="s">
        <v>2013</v>
      </c>
      <c r="F2707" s="16" t="s">
        <v>2014</v>
      </c>
      <c r="G2707" s="10" t="s">
        <v>1278</v>
      </c>
      <c r="H2707" s="10" t="s">
        <v>2385</v>
      </c>
      <c r="I2707" s="62">
        <v>111</v>
      </c>
      <c r="J2707" s="10" t="s">
        <v>2374</v>
      </c>
      <c r="K2707" s="10" t="s">
        <v>847</v>
      </c>
      <c r="L2707" s="10" t="s">
        <v>2373</v>
      </c>
      <c r="M2707" s="10" t="s">
        <v>2372</v>
      </c>
      <c r="N2707" s="10" t="s">
        <v>2373</v>
      </c>
      <c r="O2707" s="10"/>
    </row>
    <row r="2708" spans="1:15" ht="18" customHeight="1" x14ac:dyDescent="0.3">
      <c r="A2708" s="24">
        <v>2707</v>
      </c>
      <c r="B2708" s="10" t="s">
        <v>1985</v>
      </c>
      <c r="C2708" s="10" t="s">
        <v>2010</v>
      </c>
      <c r="D2708" s="62">
        <v>164</v>
      </c>
      <c r="E2708" s="61" t="s">
        <v>2013</v>
      </c>
      <c r="F2708" s="16" t="s">
        <v>2014</v>
      </c>
      <c r="G2708" s="10" t="s">
        <v>1278</v>
      </c>
      <c r="H2708" s="10" t="s">
        <v>2378</v>
      </c>
      <c r="I2708" s="62">
        <v>101</v>
      </c>
      <c r="J2708" s="10" t="s">
        <v>2372</v>
      </c>
      <c r="K2708" s="10" t="s">
        <v>847</v>
      </c>
      <c r="L2708" s="10" t="s">
        <v>2373</v>
      </c>
      <c r="M2708" s="10" t="s">
        <v>2372</v>
      </c>
      <c r="N2708" s="10" t="s">
        <v>2373</v>
      </c>
      <c r="O2708" s="10"/>
    </row>
    <row r="2709" spans="1:15" ht="18" customHeight="1" x14ac:dyDescent="0.3">
      <c r="A2709" s="24">
        <v>2708</v>
      </c>
      <c r="B2709" s="10" t="s">
        <v>1985</v>
      </c>
      <c r="C2709" s="10" t="s">
        <v>2010</v>
      </c>
      <c r="D2709" s="62">
        <v>164</v>
      </c>
      <c r="E2709" s="61" t="s">
        <v>2013</v>
      </c>
      <c r="F2709" s="16" t="s">
        <v>2014</v>
      </c>
      <c r="G2709" s="10" t="s">
        <v>1278</v>
      </c>
      <c r="H2709" s="10" t="s">
        <v>2379</v>
      </c>
      <c r="I2709" s="62">
        <v>75</v>
      </c>
      <c r="J2709" s="10" t="s">
        <v>2372</v>
      </c>
      <c r="K2709" s="10" t="s">
        <v>847</v>
      </c>
      <c r="L2709" s="10" t="s">
        <v>2373</v>
      </c>
      <c r="M2709" s="10" t="s">
        <v>2372</v>
      </c>
      <c r="N2709" s="10" t="s">
        <v>2373</v>
      </c>
      <c r="O2709" s="10"/>
    </row>
    <row r="2710" spans="1:15" ht="18" customHeight="1" x14ac:dyDescent="0.3">
      <c r="A2710" s="24">
        <v>2709</v>
      </c>
      <c r="B2710" s="10" t="s">
        <v>1985</v>
      </c>
      <c r="C2710" s="10" t="s">
        <v>2010</v>
      </c>
      <c r="D2710" s="62">
        <v>164</v>
      </c>
      <c r="E2710" s="61" t="s">
        <v>2013</v>
      </c>
      <c r="F2710" s="16" t="s">
        <v>2014</v>
      </c>
      <c r="G2710" s="10" t="s">
        <v>1278</v>
      </c>
      <c r="H2710" s="10" t="s">
        <v>2380</v>
      </c>
      <c r="I2710" s="62">
        <v>75</v>
      </c>
      <c r="J2710" s="10" t="s">
        <v>2372</v>
      </c>
      <c r="K2710" s="10" t="s">
        <v>847</v>
      </c>
      <c r="L2710" s="10" t="s">
        <v>2373</v>
      </c>
      <c r="M2710" s="10" t="s">
        <v>2372</v>
      </c>
      <c r="N2710" s="10" t="s">
        <v>2373</v>
      </c>
      <c r="O2710" s="10"/>
    </row>
    <row r="2711" spans="1:15" ht="18" customHeight="1" x14ac:dyDescent="0.3">
      <c r="A2711" s="24">
        <v>2710</v>
      </c>
      <c r="B2711" s="10" t="s">
        <v>1985</v>
      </c>
      <c r="C2711" s="10" t="s">
        <v>2010</v>
      </c>
      <c r="D2711" s="62">
        <v>164</v>
      </c>
      <c r="E2711" s="61" t="s">
        <v>2013</v>
      </c>
      <c r="F2711" s="16" t="s">
        <v>2014</v>
      </c>
      <c r="G2711" s="10" t="s">
        <v>1278</v>
      </c>
      <c r="H2711" s="10" t="s">
        <v>2390</v>
      </c>
      <c r="I2711" s="62">
        <v>90</v>
      </c>
      <c r="J2711" s="10" t="s">
        <v>2372</v>
      </c>
      <c r="K2711" s="10" t="s">
        <v>847</v>
      </c>
      <c r="L2711" s="10" t="s">
        <v>2373</v>
      </c>
      <c r="M2711" s="10" t="s">
        <v>2372</v>
      </c>
      <c r="N2711" s="10" t="s">
        <v>2373</v>
      </c>
      <c r="O2711" s="10"/>
    </row>
    <row r="2712" spans="1:15" ht="18" customHeight="1" x14ac:dyDescent="0.3">
      <c r="A2712" s="24">
        <v>2711</v>
      </c>
      <c r="B2712" s="10" t="s">
        <v>1985</v>
      </c>
      <c r="C2712" s="10" t="s">
        <v>2016</v>
      </c>
      <c r="D2712" s="62">
        <v>166</v>
      </c>
      <c r="E2712" s="61" t="s">
        <v>2017</v>
      </c>
      <c r="F2712" s="19" t="s">
        <v>2018</v>
      </c>
      <c r="G2712" s="10" t="s">
        <v>1278</v>
      </c>
      <c r="H2712" s="10" t="s">
        <v>2385</v>
      </c>
      <c r="I2712" s="62">
        <v>182</v>
      </c>
      <c r="J2712" s="8" t="s">
        <v>2374</v>
      </c>
      <c r="K2712" s="10" t="s">
        <v>2372</v>
      </c>
      <c r="L2712" s="10" t="s">
        <v>2373</v>
      </c>
      <c r="M2712" s="10" t="s">
        <v>2372</v>
      </c>
      <c r="N2712" s="10" t="s">
        <v>2373</v>
      </c>
      <c r="O2712" s="10"/>
    </row>
    <row r="2713" spans="1:15" ht="18" customHeight="1" x14ac:dyDescent="0.3">
      <c r="A2713" s="24">
        <v>2712</v>
      </c>
      <c r="B2713" s="10" t="s">
        <v>1985</v>
      </c>
      <c r="C2713" s="10" t="s">
        <v>2016</v>
      </c>
      <c r="D2713" s="62">
        <v>166</v>
      </c>
      <c r="E2713" s="61" t="s">
        <v>2017</v>
      </c>
      <c r="F2713" s="19" t="s">
        <v>2018</v>
      </c>
      <c r="G2713" s="10" t="s">
        <v>1278</v>
      </c>
      <c r="H2713" s="10" t="s">
        <v>2378</v>
      </c>
      <c r="I2713" s="62">
        <v>48</v>
      </c>
      <c r="J2713" s="8" t="s">
        <v>2372</v>
      </c>
      <c r="K2713" s="10" t="s">
        <v>2374</v>
      </c>
      <c r="L2713" s="10" t="s">
        <v>2229</v>
      </c>
      <c r="M2713" s="10" t="s">
        <v>2372</v>
      </c>
      <c r="N2713" s="10" t="s">
        <v>2373</v>
      </c>
      <c r="O2713" s="10"/>
    </row>
    <row r="2714" spans="1:15" ht="18" customHeight="1" x14ac:dyDescent="0.3">
      <c r="A2714" s="24">
        <v>2713</v>
      </c>
      <c r="B2714" s="10" t="s">
        <v>1985</v>
      </c>
      <c r="C2714" s="10" t="s">
        <v>2016</v>
      </c>
      <c r="D2714" s="62">
        <v>166</v>
      </c>
      <c r="E2714" s="61" t="s">
        <v>2017</v>
      </c>
      <c r="F2714" s="19" t="s">
        <v>2018</v>
      </c>
      <c r="G2714" s="10" t="s">
        <v>1278</v>
      </c>
      <c r="H2714" s="10" t="s">
        <v>2379</v>
      </c>
      <c r="I2714" s="62">
        <v>99</v>
      </c>
      <c r="J2714" s="8" t="s">
        <v>2374</v>
      </c>
      <c r="K2714" s="10" t="s">
        <v>2374</v>
      </c>
      <c r="L2714" s="10" t="s">
        <v>2229</v>
      </c>
      <c r="M2714" s="10" t="s">
        <v>2372</v>
      </c>
      <c r="N2714" s="10" t="s">
        <v>2373</v>
      </c>
      <c r="O2714" s="10"/>
    </row>
    <row r="2715" spans="1:15" ht="18" customHeight="1" x14ac:dyDescent="0.3">
      <c r="A2715" s="24">
        <v>2714</v>
      </c>
      <c r="B2715" s="10" t="s">
        <v>1985</v>
      </c>
      <c r="C2715" s="10" t="s">
        <v>2016</v>
      </c>
      <c r="D2715" s="62">
        <v>166</v>
      </c>
      <c r="E2715" s="61" t="s">
        <v>2017</v>
      </c>
      <c r="F2715" s="19" t="s">
        <v>2018</v>
      </c>
      <c r="G2715" s="10" t="s">
        <v>1278</v>
      </c>
      <c r="H2715" s="10" t="s">
        <v>2380</v>
      </c>
      <c r="I2715" s="62">
        <v>50</v>
      </c>
      <c r="J2715" s="8" t="s">
        <v>2372</v>
      </c>
      <c r="K2715" s="10" t="s">
        <v>2374</v>
      </c>
      <c r="L2715" s="10" t="s">
        <v>2229</v>
      </c>
      <c r="M2715" s="10" t="s">
        <v>2372</v>
      </c>
      <c r="N2715" s="10" t="s">
        <v>2373</v>
      </c>
      <c r="O2715" s="10"/>
    </row>
    <row r="2716" spans="1:15" ht="18" customHeight="1" x14ac:dyDescent="0.3">
      <c r="A2716" s="24">
        <v>2715</v>
      </c>
      <c r="B2716" s="10" t="s">
        <v>1985</v>
      </c>
      <c r="C2716" s="10" t="s">
        <v>2016</v>
      </c>
      <c r="D2716" s="62">
        <v>166</v>
      </c>
      <c r="E2716" s="61" t="s">
        <v>2017</v>
      </c>
      <c r="F2716" s="19" t="s">
        <v>2018</v>
      </c>
      <c r="G2716" s="10" t="s">
        <v>1278</v>
      </c>
      <c r="H2716" s="10" t="s">
        <v>2677</v>
      </c>
      <c r="I2716" s="62">
        <v>93</v>
      </c>
      <c r="J2716" s="8" t="s">
        <v>2372</v>
      </c>
      <c r="K2716" s="10" t="s">
        <v>2372</v>
      </c>
      <c r="L2716" s="10" t="s">
        <v>2373</v>
      </c>
      <c r="M2716" s="10" t="s">
        <v>2372</v>
      </c>
      <c r="N2716" s="10" t="s">
        <v>2373</v>
      </c>
      <c r="O2716" s="10"/>
    </row>
    <row r="2717" spans="1:15" ht="18" customHeight="1" x14ac:dyDescent="0.3">
      <c r="A2717" s="24">
        <v>2716</v>
      </c>
      <c r="B2717" s="10" t="s">
        <v>1985</v>
      </c>
      <c r="C2717" s="10" t="s">
        <v>2016</v>
      </c>
      <c r="D2717" s="62">
        <v>166</v>
      </c>
      <c r="E2717" s="61" t="s">
        <v>2017</v>
      </c>
      <c r="F2717" s="19" t="s">
        <v>2018</v>
      </c>
      <c r="G2717" s="10" t="s">
        <v>1278</v>
      </c>
      <c r="H2717" s="10" t="s">
        <v>2382</v>
      </c>
      <c r="I2717" s="62">
        <v>182</v>
      </c>
      <c r="J2717" s="8" t="s">
        <v>2372</v>
      </c>
      <c r="K2717" s="10" t="s">
        <v>2372</v>
      </c>
      <c r="L2717" s="10" t="s">
        <v>2373</v>
      </c>
      <c r="M2717" s="10" t="s">
        <v>2372</v>
      </c>
      <c r="N2717" s="10" t="s">
        <v>2373</v>
      </c>
      <c r="O2717" s="10"/>
    </row>
    <row r="2718" spans="1:15" ht="18" customHeight="1" x14ac:dyDescent="0.3">
      <c r="A2718" s="24">
        <v>2717</v>
      </c>
      <c r="B2718" s="10" t="s">
        <v>1985</v>
      </c>
      <c r="C2718" s="10" t="s">
        <v>2016</v>
      </c>
      <c r="D2718" s="62">
        <v>166</v>
      </c>
      <c r="E2718" s="61" t="s">
        <v>2017</v>
      </c>
      <c r="F2718" s="19" t="s">
        <v>2018</v>
      </c>
      <c r="G2718" s="10" t="s">
        <v>1278</v>
      </c>
      <c r="H2718" s="10" t="s">
        <v>2488</v>
      </c>
      <c r="I2718" s="62">
        <v>50</v>
      </c>
      <c r="J2718" s="8" t="s">
        <v>2372</v>
      </c>
      <c r="K2718" s="10" t="s">
        <v>2374</v>
      </c>
      <c r="L2718" s="10" t="s">
        <v>2229</v>
      </c>
      <c r="M2718" s="10" t="s">
        <v>2372</v>
      </c>
      <c r="N2718" s="10" t="s">
        <v>2373</v>
      </c>
      <c r="O2718" s="10"/>
    </row>
    <row r="2719" spans="1:15" ht="18" customHeight="1" x14ac:dyDescent="0.3">
      <c r="A2719" s="24">
        <v>2718</v>
      </c>
      <c r="B2719" s="10" t="s">
        <v>94</v>
      </c>
      <c r="C2719" s="10" t="s">
        <v>2016</v>
      </c>
      <c r="D2719" s="62">
        <v>166</v>
      </c>
      <c r="E2719" s="61" t="s">
        <v>2933</v>
      </c>
      <c r="F2719" s="19" t="s">
        <v>706</v>
      </c>
      <c r="G2719" s="10" t="s">
        <v>160</v>
      </c>
      <c r="H2719" s="10" t="s">
        <v>845</v>
      </c>
      <c r="I2719" s="62">
        <v>215</v>
      </c>
      <c r="J2719" s="10" t="s">
        <v>2374</v>
      </c>
      <c r="K2719" s="10" t="s">
        <v>847</v>
      </c>
      <c r="L2719" s="10" t="s">
        <v>2373</v>
      </c>
      <c r="M2719" s="10" t="s">
        <v>2372</v>
      </c>
      <c r="N2719" s="10" t="s">
        <v>2373</v>
      </c>
      <c r="O2719" s="10"/>
    </row>
    <row r="2720" spans="1:15" ht="18" customHeight="1" x14ac:dyDescent="0.3">
      <c r="A2720" s="24">
        <v>2719</v>
      </c>
      <c r="B2720" s="10" t="s">
        <v>94</v>
      </c>
      <c r="C2720" s="10" t="s">
        <v>2016</v>
      </c>
      <c r="D2720" s="62">
        <v>166</v>
      </c>
      <c r="E2720" s="61" t="s">
        <v>2933</v>
      </c>
      <c r="F2720" s="19" t="s">
        <v>706</v>
      </c>
      <c r="G2720" s="10" t="s">
        <v>160</v>
      </c>
      <c r="H2720" s="10" t="s">
        <v>848</v>
      </c>
      <c r="I2720" s="62">
        <v>159</v>
      </c>
      <c r="J2720" s="10" t="s">
        <v>2374</v>
      </c>
      <c r="K2720" s="10" t="s">
        <v>847</v>
      </c>
      <c r="L2720" s="10" t="s">
        <v>2373</v>
      </c>
      <c r="M2720" s="10" t="s">
        <v>2372</v>
      </c>
      <c r="N2720" s="10" t="s">
        <v>2373</v>
      </c>
      <c r="O2720" s="10"/>
    </row>
    <row r="2721" spans="1:15" ht="18" customHeight="1" x14ac:dyDescent="0.3">
      <c r="A2721" s="24">
        <v>2720</v>
      </c>
      <c r="B2721" s="10" t="s">
        <v>94</v>
      </c>
      <c r="C2721" s="10" t="s">
        <v>2016</v>
      </c>
      <c r="D2721" s="62">
        <v>166</v>
      </c>
      <c r="E2721" s="61" t="s">
        <v>2933</v>
      </c>
      <c r="F2721" s="19" t="s">
        <v>706</v>
      </c>
      <c r="G2721" s="10" t="s">
        <v>160</v>
      </c>
      <c r="H2721" s="10" t="s">
        <v>849</v>
      </c>
      <c r="I2721" s="62">
        <v>116</v>
      </c>
      <c r="J2721" s="10" t="s">
        <v>2372</v>
      </c>
      <c r="K2721" s="10" t="s">
        <v>847</v>
      </c>
      <c r="L2721" s="10" t="s">
        <v>2373</v>
      </c>
      <c r="M2721" s="10" t="s">
        <v>2372</v>
      </c>
      <c r="N2721" s="10" t="s">
        <v>2373</v>
      </c>
      <c r="O2721" s="10"/>
    </row>
    <row r="2722" spans="1:15" ht="18" customHeight="1" x14ac:dyDescent="0.3">
      <c r="A2722" s="24">
        <v>2721</v>
      </c>
      <c r="B2722" s="10" t="s">
        <v>94</v>
      </c>
      <c r="C2722" s="10" t="s">
        <v>2016</v>
      </c>
      <c r="D2722" s="62">
        <v>166</v>
      </c>
      <c r="E2722" s="61" t="s">
        <v>2933</v>
      </c>
      <c r="F2722" s="19" t="s">
        <v>706</v>
      </c>
      <c r="G2722" s="10" t="s">
        <v>160</v>
      </c>
      <c r="H2722" s="10" t="s">
        <v>850</v>
      </c>
      <c r="I2722" s="62">
        <v>215</v>
      </c>
      <c r="J2722" s="10" t="s">
        <v>2372</v>
      </c>
      <c r="K2722" s="10" t="s">
        <v>847</v>
      </c>
      <c r="L2722" s="10" t="s">
        <v>2373</v>
      </c>
      <c r="M2722" s="10" t="s">
        <v>2372</v>
      </c>
      <c r="N2722" s="10" t="s">
        <v>2373</v>
      </c>
      <c r="O2722" s="10"/>
    </row>
    <row r="2723" spans="1:15" ht="18" customHeight="1" x14ac:dyDescent="0.3">
      <c r="A2723" s="24">
        <v>2722</v>
      </c>
      <c r="B2723" s="10" t="s">
        <v>94</v>
      </c>
      <c r="C2723" s="10" t="s">
        <v>2016</v>
      </c>
      <c r="D2723" s="62">
        <v>166</v>
      </c>
      <c r="E2723" s="61" t="s">
        <v>2933</v>
      </c>
      <c r="F2723" s="19" t="s">
        <v>706</v>
      </c>
      <c r="G2723" s="10" t="s">
        <v>160</v>
      </c>
      <c r="H2723" s="10" t="s">
        <v>851</v>
      </c>
      <c r="I2723" s="62">
        <v>159</v>
      </c>
      <c r="J2723" s="10" t="s">
        <v>2372</v>
      </c>
      <c r="K2723" s="10" t="s">
        <v>847</v>
      </c>
      <c r="L2723" s="10" t="s">
        <v>2373</v>
      </c>
      <c r="M2723" s="10" t="s">
        <v>2372</v>
      </c>
      <c r="N2723" s="10" t="s">
        <v>2373</v>
      </c>
      <c r="O2723" s="10"/>
    </row>
    <row r="2724" spans="1:15" ht="18" customHeight="1" x14ac:dyDescent="0.3">
      <c r="A2724" s="24">
        <v>2723</v>
      </c>
      <c r="B2724" s="10" t="s">
        <v>94</v>
      </c>
      <c r="C2724" s="10" t="s">
        <v>2016</v>
      </c>
      <c r="D2724" s="62">
        <v>166</v>
      </c>
      <c r="E2724" s="61" t="s">
        <v>2933</v>
      </c>
      <c r="F2724" s="19" t="s">
        <v>706</v>
      </c>
      <c r="G2724" s="10" t="s">
        <v>160</v>
      </c>
      <c r="H2724" s="10" t="s">
        <v>852</v>
      </c>
      <c r="I2724" s="62">
        <v>116</v>
      </c>
      <c r="J2724" s="10" t="s">
        <v>2372</v>
      </c>
      <c r="K2724" s="10" t="s">
        <v>847</v>
      </c>
      <c r="L2724" s="10" t="s">
        <v>2373</v>
      </c>
      <c r="M2724" s="10" t="s">
        <v>2372</v>
      </c>
      <c r="N2724" s="10" t="s">
        <v>2373</v>
      </c>
      <c r="O2724" s="10"/>
    </row>
    <row r="2725" spans="1:15" ht="18" customHeight="1" x14ac:dyDescent="0.3">
      <c r="A2725" s="24">
        <v>2724</v>
      </c>
      <c r="B2725" s="10" t="s">
        <v>94</v>
      </c>
      <c r="C2725" s="10" t="s">
        <v>2016</v>
      </c>
      <c r="D2725" s="62">
        <v>166</v>
      </c>
      <c r="E2725" s="61" t="s">
        <v>2933</v>
      </c>
      <c r="F2725" s="19" t="s">
        <v>706</v>
      </c>
      <c r="G2725" s="10" t="s">
        <v>160</v>
      </c>
      <c r="H2725" s="10" t="s">
        <v>853</v>
      </c>
      <c r="I2725" s="62">
        <v>95</v>
      </c>
      <c r="J2725" s="10" t="s">
        <v>2372</v>
      </c>
      <c r="K2725" s="10" t="s">
        <v>847</v>
      </c>
      <c r="L2725" s="10" t="s">
        <v>2373</v>
      </c>
      <c r="M2725" s="10" t="s">
        <v>2372</v>
      </c>
      <c r="N2725" s="10" t="s">
        <v>2373</v>
      </c>
      <c r="O2725" s="10"/>
    </row>
    <row r="2726" spans="1:15" ht="18" customHeight="1" x14ac:dyDescent="0.3">
      <c r="A2726" s="24">
        <v>2725</v>
      </c>
      <c r="B2726" s="10" t="s">
        <v>94</v>
      </c>
      <c r="C2726" s="10" t="s">
        <v>101</v>
      </c>
      <c r="D2726" s="62">
        <v>168</v>
      </c>
      <c r="E2726" s="61" t="s">
        <v>975</v>
      </c>
      <c r="F2726" s="16" t="s">
        <v>2023</v>
      </c>
      <c r="G2726" s="10" t="s">
        <v>2373</v>
      </c>
      <c r="H2726" s="10" t="s">
        <v>845</v>
      </c>
      <c r="I2726" s="62">
        <v>83</v>
      </c>
      <c r="J2726" s="10" t="s">
        <v>2374</v>
      </c>
      <c r="K2726" s="10" t="s">
        <v>847</v>
      </c>
      <c r="L2726" s="10" t="s">
        <v>2373</v>
      </c>
      <c r="M2726" s="10" t="s">
        <v>2372</v>
      </c>
      <c r="N2726" s="10" t="s">
        <v>2373</v>
      </c>
      <c r="O2726" s="10"/>
    </row>
    <row r="2727" spans="1:15" ht="18" customHeight="1" x14ac:dyDescent="0.3">
      <c r="A2727" s="24">
        <v>2726</v>
      </c>
      <c r="B2727" s="10" t="s">
        <v>94</v>
      </c>
      <c r="C2727" s="10" t="s">
        <v>101</v>
      </c>
      <c r="D2727" s="62">
        <v>168</v>
      </c>
      <c r="E2727" s="61" t="s">
        <v>975</v>
      </c>
      <c r="F2727" s="16" t="s">
        <v>2023</v>
      </c>
      <c r="G2727" s="10" t="s">
        <v>2373</v>
      </c>
      <c r="H2727" s="10" t="s">
        <v>848</v>
      </c>
      <c r="I2727" s="62">
        <v>83</v>
      </c>
      <c r="J2727" s="10" t="s">
        <v>2372</v>
      </c>
      <c r="K2727" s="10" t="s">
        <v>847</v>
      </c>
      <c r="L2727" s="10" t="s">
        <v>2373</v>
      </c>
      <c r="M2727" s="10" t="s">
        <v>2372</v>
      </c>
      <c r="N2727" s="10" t="s">
        <v>2373</v>
      </c>
      <c r="O2727" s="10"/>
    </row>
    <row r="2728" spans="1:15" ht="18" customHeight="1" x14ac:dyDescent="0.3">
      <c r="A2728" s="24">
        <v>2727</v>
      </c>
      <c r="B2728" s="10" t="s">
        <v>94</v>
      </c>
      <c r="C2728" s="10" t="s">
        <v>101</v>
      </c>
      <c r="D2728" s="62">
        <v>168</v>
      </c>
      <c r="E2728" s="61" t="s">
        <v>202</v>
      </c>
      <c r="F2728" s="16" t="s">
        <v>2025</v>
      </c>
      <c r="G2728" s="10" t="s">
        <v>2373</v>
      </c>
      <c r="H2728" s="10" t="s">
        <v>845</v>
      </c>
      <c r="I2728" s="62">
        <v>77</v>
      </c>
      <c r="J2728" s="173" t="s">
        <v>3597</v>
      </c>
      <c r="K2728" s="10" t="s">
        <v>847</v>
      </c>
      <c r="L2728" s="10" t="s">
        <v>2373</v>
      </c>
      <c r="M2728" s="10" t="s">
        <v>2372</v>
      </c>
      <c r="N2728" s="10" t="s">
        <v>2373</v>
      </c>
      <c r="O2728" s="10"/>
    </row>
    <row r="2729" spans="1:15" ht="18" customHeight="1" x14ac:dyDescent="0.3">
      <c r="A2729" s="24">
        <v>2728</v>
      </c>
      <c r="B2729" s="10" t="s">
        <v>94</v>
      </c>
      <c r="C2729" s="10" t="s">
        <v>101</v>
      </c>
      <c r="D2729" s="62">
        <v>168</v>
      </c>
      <c r="E2729" s="61" t="s">
        <v>202</v>
      </c>
      <c r="F2729" s="16" t="s">
        <v>2025</v>
      </c>
      <c r="G2729" s="10" t="s">
        <v>2373</v>
      </c>
      <c r="H2729" s="10" t="s">
        <v>848</v>
      </c>
      <c r="I2729" s="62">
        <v>31</v>
      </c>
      <c r="J2729" s="10" t="s">
        <v>2372</v>
      </c>
      <c r="K2729" s="10" t="s">
        <v>847</v>
      </c>
      <c r="L2729" s="10" t="s">
        <v>2373</v>
      </c>
      <c r="M2729" s="10" t="s">
        <v>2372</v>
      </c>
      <c r="N2729" s="10" t="s">
        <v>2373</v>
      </c>
      <c r="O2729" s="10"/>
    </row>
    <row r="2730" spans="1:15" ht="18" customHeight="1" x14ac:dyDescent="0.3">
      <c r="A2730" s="24">
        <v>2729</v>
      </c>
      <c r="B2730" s="8" t="s">
        <v>1969</v>
      </c>
      <c r="C2730" s="8" t="s">
        <v>2027</v>
      </c>
      <c r="D2730" s="8">
        <v>169</v>
      </c>
      <c r="E2730" s="56" t="s">
        <v>2028</v>
      </c>
      <c r="F2730" s="16" t="s">
        <v>2029</v>
      </c>
      <c r="G2730" s="8" t="s">
        <v>2553</v>
      </c>
      <c r="H2730" s="10" t="s">
        <v>2385</v>
      </c>
      <c r="I2730" s="62">
        <v>59</v>
      </c>
      <c r="J2730" s="10" t="s">
        <v>2372</v>
      </c>
      <c r="K2730" s="10" t="s">
        <v>847</v>
      </c>
      <c r="L2730" s="10" t="s">
        <v>2373</v>
      </c>
      <c r="M2730" s="10" t="s">
        <v>2372</v>
      </c>
      <c r="N2730" s="10" t="s">
        <v>2373</v>
      </c>
      <c r="O2730" s="10"/>
    </row>
    <row r="2731" spans="1:15" ht="18" customHeight="1" x14ac:dyDescent="0.3">
      <c r="A2731" s="24">
        <v>2730</v>
      </c>
      <c r="B2731" s="8" t="s">
        <v>1969</v>
      </c>
      <c r="C2731" s="8" t="s">
        <v>2027</v>
      </c>
      <c r="D2731" s="8">
        <v>169</v>
      </c>
      <c r="E2731" s="56" t="s">
        <v>2028</v>
      </c>
      <c r="F2731" s="16" t="s">
        <v>2029</v>
      </c>
      <c r="G2731" s="8" t="s">
        <v>2553</v>
      </c>
      <c r="H2731" s="10" t="s">
        <v>2378</v>
      </c>
      <c r="I2731" s="62">
        <v>95</v>
      </c>
      <c r="J2731" s="10" t="s">
        <v>2374</v>
      </c>
      <c r="K2731" s="10" t="s">
        <v>847</v>
      </c>
      <c r="L2731" s="10" t="s">
        <v>2373</v>
      </c>
      <c r="M2731" s="10" t="s">
        <v>2372</v>
      </c>
      <c r="N2731" s="10" t="s">
        <v>2373</v>
      </c>
      <c r="O2731" s="10"/>
    </row>
    <row r="2732" spans="1:15" ht="18" customHeight="1" x14ac:dyDescent="0.3">
      <c r="A2732" s="24">
        <v>2731</v>
      </c>
      <c r="B2732" s="8" t="s">
        <v>1969</v>
      </c>
      <c r="C2732" s="8" t="s">
        <v>2033</v>
      </c>
      <c r="D2732" s="8">
        <v>170</v>
      </c>
      <c r="E2732" s="30" t="s">
        <v>2034</v>
      </c>
      <c r="F2732" s="19" t="s">
        <v>2035</v>
      </c>
      <c r="G2732" s="8" t="s">
        <v>2553</v>
      </c>
      <c r="H2732" s="10" t="s">
        <v>2385</v>
      </c>
      <c r="I2732" s="62">
        <v>54</v>
      </c>
      <c r="J2732" s="10" t="s">
        <v>2374</v>
      </c>
      <c r="K2732" s="10" t="s">
        <v>847</v>
      </c>
      <c r="L2732" s="10" t="s">
        <v>2373</v>
      </c>
      <c r="M2732" s="10" t="s">
        <v>2372</v>
      </c>
      <c r="N2732" s="10" t="s">
        <v>2373</v>
      </c>
      <c r="O2732" s="10"/>
    </row>
    <row r="2733" spans="1:15" ht="18" customHeight="1" x14ac:dyDescent="0.3">
      <c r="A2733" s="24">
        <v>2732</v>
      </c>
      <c r="B2733" s="8" t="s">
        <v>1969</v>
      </c>
      <c r="C2733" s="8" t="s">
        <v>2033</v>
      </c>
      <c r="D2733" s="8">
        <v>170</v>
      </c>
      <c r="E2733" s="30" t="s">
        <v>2034</v>
      </c>
      <c r="F2733" s="19" t="s">
        <v>2035</v>
      </c>
      <c r="G2733" s="8" t="s">
        <v>2553</v>
      </c>
      <c r="H2733" s="10" t="s">
        <v>2378</v>
      </c>
      <c r="I2733" s="62">
        <v>44</v>
      </c>
      <c r="J2733" s="10" t="s">
        <v>2372</v>
      </c>
      <c r="K2733" s="10" t="s">
        <v>847</v>
      </c>
      <c r="L2733" s="10" t="s">
        <v>2373</v>
      </c>
      <c r="M2733" s="10" t="s">
        <v>2372</v>
      </c>
      <c r="N2733" s="10" t="s">
        <v>2373</v>
      </c>
      <c r="O2733" s="10"/>
    </row>
    <row r="2734" spans="1:15" ht="18" customHeight="1" x14ac:dyDescent="0.3">
      <c r="A2734" s="24">
        <v>2733</v>
      </c>
      <c r="B2734" s="10" t="s">
        <v>94</v>
      </c>
      <c r="C2734" s="10" t="s">
        <v>102</v>
      </c>
      <c r="D2734" s="62">
        <v>171</v>
      </c>
      <c r="E2734" s="61" t="s">
        <v>880</v>
      </c>
      <c r="F2734" s="16" t="s">
        <v>719</v>
      </c>
      <c r="G2734" s="10" t="s">
        <v>160</v>
      </c>
      <c r="H2734" s="10" t="s">
        <v>845</v>
      </c>
      <c r="I2734" s="62">
        <v>99</v>
      </c>
      <c r="J2734" s="10" t="s">
        <v>2372</v>
      </c>
      <c r="K2734" s="10" t="s">
        <v>847</v>
      </c>
      <c r="L2734" s="10" t="s">
        <v>2373</v>
      </c>
      <c r="M2734" s="10" t="s">
        <v>2372</v>
      </c>
      <c r="N2734" s="10" t="s">
        <v>2373</v>
      </c>
      <c r="O2734" s="10"/>
    </row>
    <row r="2735" spans="1:15" ht="18" customHeight="1" x14ac:dyDescent="0.3">
      <c r="A2735" s="24">
        <v>2734</v>
      </c>
      <c r="B2735" s="10" t="s">
        <v>94</v>
      </c>
      <c r="C2735" s="10" t="s">
        <v>102</v>
      </c>
      <c r="D2735" s="62">
        <v>171</v>
      </c>
      <c r="E2735" s="61" t="s">
        <v>880</v>
      </c>
      <c r="F2735" s="16" t="s">
        <v>719</v>
      </c>
      <c r="G2735" s="10" t="s">
        <v>160</v>
      </c>
      <c r="H2735" s="10" t="s">
        <v>848</v>
      </c>
      <c r="I2735" s="62">
        <v>150</v>
      </c>
      <c r="J2735" s="10" t="s">
        <v>2372</v>
      </c>
      <c r="K2735" s="10" t="s">
        <v>847</v>
      </c>
      <c r="L2735" s="10" t="s">
        <v>2373</v>
      </c>
      <c r="M2735" s="10" t="s">
        <v>2372</v>
      </c>
      <c r="N2735" s="10" t="s">
        <v>2373</v>
      </c>
      <c r="O2735" s="10"/>
    </row>
    <row r="2736" spans="1:15" ht="18" customHeight="1" x14ac:dyDescent="0.3">
      <c r="A2736" s="24">
        <v>2735</v>
      </c>
      <c r="B2736" s="10" t="s">
        <v>94</v>
      </c>
      <c r="C2736" s="10" t="s">
        <v>102</v>
      </c>
      <c r="D2736" s="62">
        <v>171</v>
      </c>
      <c r="E2736" s="61" t="s">
        <v>880</v>
      </c>
      <c r="F2736" s="16" t="s">
        <v>719</v>
      </c>
      <c r="G2736" s="10" t="s">
        <v>160</v>
      </c>
      <c r="H2736" s="10" t="s">
        <v>849</v>
      </c>
      <c r="I2736" s="62">
        <v>92</v>
      </c>
      <c r="J2736" s="10" t="s">
        <v>2374</v>
      </c>
      <c r="K2736" s="10" t="s">
        <v>847</v>
      </c>
      <c r="L2736" s="10" t="s">
        <v>2373</v>
      </c>
      <c r="M2736" s="10" t="s">
        <v>2372</v>
      </c>
      <c r="N2736" s="10" t="s">
        <v>2373</v>
      </c>
      <c r="O2736" s="10"/>
    </row>
    <row r="2737" spans="1:15" ht="18" customHeight="1" x14ac:dyDescent="0.3">
      <c r="A2737" s="24">
        <v>2736</v>
      </c>
      <c r="B2737" s="10" t="s">
        <v>94</v>
      </c>
      <c r="C2737" s="10" t="s">
        <v>102</v>
      </c>
      <c r="D2737" s="62">
        <v>171</v>
      </c>
      <c r="E2737" s="61" t="s">
        <v>880</v>
      </c>
      <c r="F2737" s="16" t="s">
        <v>719</v>
      </c>
      <c r="G2737" s="10" t="s">
        <v>160</v>
      </c>
      <c r="H2737" s="10" t="s">
        <v>850</v>
      </c>
      <c r="I2737" s="62">
        <v>183</v>
      </c>
      <c r="J2737" s="10" t="s">
        <v>2372</v>
      </c>
      <c r="K2737" s="10" t="s">
        <v>847</v>
      </c>
      <c r="L2737" s="10" t="s">
        <v>2373</v>
      </c>
      <c r="M2737" s="10" t="s">
        <v>2372</v>
      </c>
      <c r="N2737" s="10" t="s">
        <v>2373</v>
      </c>
      <c r="O2737" s="10"/>
    </row>
    <row r="2738" spans="1:15" ht="18" customHeight="1" x14ac:dyDescent="0.3">
      <c r="A2738" s="24">
        <v>2737</v>
      </c>
      <c r="B2738" s="10" t="s">
        <v>94</v>
      </c>
      <c r="C2738" s="10" t="s">
        <v>102</v>
      </c>
      <c r="D2738" s="62">
        <v>171</v>
      </c>
      <c r="E2738" s="61" t="s">
        <v>880</v>
      </c>
      <c r="F2738" s="16" t="s">
        <v>719</v>
      </c>
      <c r="G2738" s="10" t="s">
        <v>160</v>
      </c>
      <c r="H2738" s="10" t="s">
        <v>851</v>
      </c>
      <c r="I2738" s="62">
        <v>133</v>
      </c>
      <c r="J2738" s="10" t="s">
        <v>2372</v>
      </c>
      <c r="K2738" s="10" t="s">
        <v>847</v>
      </c>
      <c r="L2738" s="10" t="s">
        <v>2373</v>
      </c>
      <c r="M2738" s="10" t="s">
        <v>2372</v>
      </c>
      <c r="N2738" s="10" t="s">
        <v>2373</v>
      </c>
      <c r="O2738" s="10"/>
    </row>
    <row r="2739" spans="1:15" ht="18" customHeight="1" x14ac:dyDescent="0.3">
      <c r="A2739" s="24">
        <v>2738</v>
      </c>
      <c r="B2739" s="10" t="s">
        <v>1985</v>
      </c>
      <c r="C2739" s="10" t="s">
        <v>2678</v>
      </c>
      <c r="D2739" s="62">
        <v>171</v>
      </c>
      <c r="E2739" s="61" t="s">
        <v>2934</v>
      </c>
      <c r="F2739" s="19" t="s">
        <v>717</v>
      </c>
      <c r="G2739" s="10" t="s">
        <v>1264</v>
      </c>
      <c r="H2739" s="10" t="s">
        <v>2385</v>
      </c>
      <c r="I2739" s="62">
        <v>135</v>
      </c>
      <c r="J2739" s="10" t="s">
        <v>2374</v>
      </c>
      <c r="K2739" s="10" t="s">
        <v>2372</v>
      </c>
      <c r="L2739" s="10" t="s">
        <v>2373</v>
      </c>
      <c r="M2739" s="10" t="s">
        <v>2372</v>
      </c>
      <c r="N2739" s="10" t="s">
        <v>2373</v>
      </c>
      <c r="O2739" s="10"/>
    </row>
    <row r="2740" spans="1:15" ht="18" customHeight="1" x14ac:dyDescent="0.3">
      <c r="A2740" s="24">
        <v>2739</v>
      </c>
      <c r="B2740" s="10" t="s">
        <v>1985</v>
      </c>
      <c r="C2740" s="10" t="s">
        <v>2678</v>
      </c>
      <c r="D2740" s="62">
        <v>171</v>
      </c>
      <c r="E2740" s="61" t="s">
        <v>2934</v>
      </c>
      <c r="F2740" s="19" t="s">
        <v>717</v>
      </c>
      <c r="G2740" s="10" t="s">
        <v>1264</v>
      </c>
      <c r="H2740" s="10" t="s">
        <v>2378</v>
      </c>
      <c r="I2740" s="62">
        <v>137</v>
      </c>
      <c r="J2740" s="10" t="s">
        <v>2374</v>
      </c>
      <c r="K2740" s="10" t="s">
        <v>2372</v>
      </c>
      <c r="L2740" s="10" t="s">
        <v>2373</v>
      </c>
      <c r="M2740" s="10" t="s">
        <v>2372</v>
      </c>
      <c r="N2740" s="10" t="s">
        <v>2373</v>
      </c>
      <c r="O2740" s="10"/>
    </row>
    <row r="2741" spans="1:15" ht="18" customHeight="1" x14ac:dyDescent="0.3">
      <c r="A2741" s="24">
        <v>2740</v>
      </c>
      <c r="B2741" s="10" t="s">
        <v>1985</v>
      </c>
      <c r="C2741" s="10" t="s">
        <v>2678</v>
      </c>
      <c r="D2741" s="62">
        <v>171</v>
      </c>
      <c r="E2741" s="61" t="s">
        <v>2934</v>
      </c>
      <c r="F2741" s="19" t="s">
        <v>717</v>
      </c>
      <c r="G2741" s="10" t="s">
        <v>1264</v>
      </c>
      <c r="H2741" s="10" t="s">
        <v>2379</v>
      </c>
      <c r="I2741" s="62">
        <v>146</v>
      </c>
      <c r="J2741" s="10" t="s">
        <v>2372</v>
      </c>
      <c r="K2741" s="10" t="s">
        <v>2372</v>
      </c>
      <c r="L2741" s="10" t="s">
        <v>2373</v>
      </c>
      <c r="M2741" s="10" t="s">
        <v>2372</v>
      </c>
      <c r="N2741" s="10" t="s">
        <v>2373</v>
      </c>
      <c r="O2741" s="10"/>
    </row>
    <row r="2742" spans="1:15" ht="18" customHeight="1" x14ac:dyDescent="0.3">
      <c r="A2742" s="24">
        <v>2741</v>
      </c>
      <c r="B2742" s="10" t="s">
        <v>1985</v>
      </c>
      <c r="C2742" s="10" t="s">
        <v>2678</v>
      </c>
      <c r="D2742" s="62">
        <v>171</v>
      </c>
      <c r="E2742" s="61" t="s">
        <v>2934</v>
      </c>
      <c r="F2742" s="19" t="s">
        <v>717</v>
      </c>
      <c r="G2742" s="10" t="s">
        <v>1264</v>
      </c>
      <c r="H2742" s="10" t="s">
        <v>2380</v>
      </c>
      <c r="I2742" s="62">
        <v>136</v>
      </c>
      <c r="J2742" s="10" t="s">
        <v>2372</v>
      </c>
      <c r="K2742" s="10" t="s">
        <v>2372</v>
      </c>
      <c r="L2742" s="10" t="s">
        <v>2373</v>
      </c>
      <c r="M2742" s="10" t="s">
        <v>2372</v>
      </c>
      <c r="N2742" s="10" t="s">
        <v>2373</v>
      </c>
      <c r="O2742" s="10"/>
    </row>
    <row r="2743" spans="1:15" ht="18" customHeight="1" x14ac:dyDescent="0.3">
      <c r="A2743" s="24">
        <v>2742</v>
      </c>
      <c r="B2743" s="10" t="s">
        <v>1985</v>
      </c>
      <c r="C2743" s="10" t="s">
        <v>2678</v>
      </c>
      <c r="D2743" s="62">
        <v>171</v>
      </c>
      <c r="E2743" s="61" t="s">
        <v>2934</v>
      </c>
      <c r="F2743" s="19" t="s">
        <v>717</v>
      </c>
      <c r="G2743" s="10" t="s">
        <v>1264</v>
      </c>
      <c r="H2743" s="10" t="s">
        <v>2390</v>
      </c>
      <c r="I2743" s="62">
        <v>131</v>
      </c>
      <c r="J2743" s="10" t="s">
        <v>2372</v>
      </c>
      <c r="K2743" s="10" t="s">
        <v>2372</v>
      </c>
      <c r="L2743" s="10" t="s">
        <v>2373</v>
      </c>
      <c r="M2743" s="10" t="s">
        <v>2372</v>
      </c>
      <c r="N2743" s="10" t="s">
        <v>2373</v>
      </c>
      <c r="O2743" s="10"/>
    </row>
    <row r="2744" spans="1:15" ht="18" customHeight="1" x14ac:dyDescent="0.3">
      <c r="A2744" s="24">
        <v>2743</v>
      </c>
      <c r="B2744" s="10" t="s">
        <v>1985</v>
      </c>
      <c r="C2744" s="10" t="s">
        <v>2678</v>
      </c>
      <c r="D2744" s="62">
        <v>171</v>
      </c>
      <c r="E2744" s="61" t="s">
        <v>2934</v>
      </c>
      <c r="F2744" s="19" t="s">
        <v>717</v>
      </c>
      <c r="G2744" s="10" t="s">
        <v>1264</v>
      </c>
      <c r="H2744" s="10" t="s">
        <v>2382</v>
      </c>
      <c r="I2744" s="62">
        <v>184</v>
      </c>
      <c r="J2744" s="10" t="s">
        <v>2372</v>
      </c>
      <c r="K2744" s="10" t="s">
        <v>2372</v>
      </c>
      <c r="L2744" s="10" t="s">
        <v>2373</v>
      </c>
      <c r="M2744" s="10" t="s">
        <v>2372</v>
      </c>
      <c r="N2744" s="10" t="s">
        <v>2373</v>
      </c>
      <c r="O2744" s="10"/>
    </row>
    <row r="2745" spans="1:15" ht="18" customHeight="1" x14ac:dyDescent="0.3">
      <c r="A2745" s="24">
        <v>2744</v>
      </c>
      <c r="B2745" s="10" t="s">
        <v>94</v>
      </c>
      <c r="C2745" s="10" t="s">
        <v>103</v>
      </c>
      <c r="D2745" s="62">
        <v>172</v>
      </c>
      <c r="E2745" s="61" t="s">
        <v>976</v>
      </c>
      <c r="F2745" s="16" t="s">
        <v>2043</v>
      </c>
      <c r="G2745" s="10" t="s">
        <v>2373</v>
      </c>
      <c r="H2745" s="10" t="s">
        <v>845</v>
      </c>
      <c r="I2745" s="62">
        <v>52</v>
      </c>
      <c r="J2745" s="10" t="s">
        <v>2374</v>
      </c>
      <c r="K2745" s="10" t="s">
        <v>847</v>
      </c>
      <c r="L2745" s="10" t="s">
        <v>2373</v>
      </c>
      <c r="M2745" s="10" t="s">
        <v>2372</v>
      </c>
      <c r="N2745" s="10" t="s">
        <v>2373</v>
      </c>
      <c r="O2745" s="10"/>
    </row>
    <row r="2746" spans="1:15" ht="18" customHeight="1" x14ac:dyDescent="0.3">
      <c r="A2746" s="24">
        <v>2745</v>
      </c>
      <c r="B2746" s="10" t="s">
        <v>94</v>
      </c>
      <c r="C2746" s="10" t="s">
        <v>103</v>
      </c>
      <c r="D2746" s="62">
        <v>172</v>
      </c>
      <c r="E2746" s="61" t="s">
        <v>976</v>
      </c>
      <c r="F2746" s="16" t="s">
        <v>2043</v>
      </c>
      <c r="G2746" s="10" t="s">
        <v>2373</v>
      </c>
      <c r="H2746" s="10" t="s">
        <v>848</v>
      </c>
      <c r="I2746" s="62">
        <v>47</v>
      </c>
      <c r="J2746" s="10" t="s">
        <v>2372</v>
      </c>
      <c r="K2746" s="10" t="s">
        <v>847</v>
      </c>
      <c r="L2746" s="10" t="s">
        <v>2373</v>
      </c>
      <c r="M2746" s="10" t="s">
        <v>2372</v>
      </c>
      <c r="N2746" s="10" t="s">
        <v>2373</v>
      </c>
      <c r="O2746" s="10"/>
    </row>
    <row r="2747" spans="1:15" ht="18" customHeight="1" x14ac:dyDescent="0.3">
      <c r="A2747" s="24">
        <v>2746</v>
      </c>
      <c r="B2747" s="10" t="s">
        <v>94</v>
      </c>
      <c r="C2747" s="10" t="s">
        <v>104</v>
      </c>
      <c r="D2747" s="62">
        <v>173</v>
      </c>
      <c r="E2747" s="61" t="s">
        <v>977</v>
      </c>
      <c r="F2747" s="16" t="s">
        <v>2048</v>
      </c>
      <c r="G2747" s="10" t="s">
        <v>2373</v>
      </c>
      <c r="H2747" s="10" t="s">
        <v>845</v>
      </c>
      <c r="I2747" s="62">
        <v>64</v>
      </c>
      <c r="J2747" s="10" t="s">
        <v>2374</v>
      </c>
      <c r="K2747" s="10" t="s">
        <v>847</v>
      </c>
      <c r="L2747" s="10" t="s">
        <v>2373</v>
      </c>
      <c r="M2747" s="10" t="s">
        <v>2372</v>
      </c>
      <c r="N2747" s="10" t="s">
        <v>2373</v>
      </c>
      <c r="O2747" s="10"/>
    </row>
    <row r="2748" spans="1:15" ht="18" customHeight="1" x14ac:dyDescent="0.3">
      <c r="A2748" s="24">
        <v>2747</v>
      </c>
      <c r="B2748" s="10" t="s">
        <v>94</v>
      </c>
      <c r="C2748" s="10" t="s">
        <v>104</v>
      </c>
      <c r="D2748" s="62">
        <v>173</v>
      </c>
      <c r="E2748" s="61" t="s">
        <v>977</v>
      </c>
      <c r="F2748" s="16" t="s">
        <v>2048</v>
      </c>
      <c r="G2748" s="10" t="s">
        <v>2373</v>
      </c>
      <c r="H2748" s="10" t="s">
        <v>848</v>
      </c>
      <c r="I2748" s="62">
        <v>35</v>
      </c>
      <c r="J2748" s="10" t="s">
        <v>2372</v>
      </c>
      <c r="K2748" s="10" t="s">
        <v>847</v>
      </c>
      <c r="L2748" s="10" t="s">
        <v>2373</v>
      </c>
      <c r="M2748" s="10" t="s">
        <v>2372</v>
      </c>
      <c r="N2748" s="10" t="s">
        <v>2373</v>
      </c>
      <c r="O2748" s="10"/>
    </row>
    <row r="2749" spans="1:15" ht="18" customHeight="1" x14ac:dyDescent="0.3">
      <c r="A2749" s="24">
        <v>2748</v>
      </c>
      <c r="B2749" s="10" t="s">
        <v>2052</v>
      </c>
      <c r="C2749" s="10" t="s">
        <v>2679</v>
      </c>
      <c r="D2749" s="62">
        <v>174</v>
      </c>
      <c r="E2749" s="61" t="s">
        <v>2054</v>
      </c>
      <c r="F2749" s="19" t="s">
        <v>2055</v>
      </c>
      <c r="G2749" s="10" t="s">
        <v>1278</v>
      </c>
      <c r="H2749" s="173" t="s">
        <v>2617</v>
      </c>
      <c r="I2749" s="62">
        <v>54</v>
      </c>
      <c r="J2749" s="10" t="s">
        <v>2372</v>
      </c>
      <c r="K2749" s="173" t="s">
        <v>3487</v>
      </c>
      <c r="L2749" s="173" t="s">
        <v>3195</v>
      </c>
      <c r="M2749" s="10" t="s">
        <v>2372</v>
      </c>
      <c r="N2749" s="10" t="s">
        <v>2373</v>
      </c>
      <c r="O2749" s="10"/>
    </row>
    <row r="2750" spans="1:15" ht="18" customHeight="1" x14ac:dyDescent="0.3">
      <c r="A2750" s="24">
        <v>2749</v>
      </c>
      <c r="B2750" s="10" t="s">
        <v>2052</v>
      </c>
      <c r="C2750" s="10" t="s">
        <v>2679</v>
      </c>
      <c r="D2750" s="62">
        <v>174</v>
      </c>
      <c r="E2750" s="61" t="s">
        <v>2054</v>
      </c>
      <c r="F2750" s="19" t="s">
        <v>2055</v>
      </c>
      <c r="G2750" s="10" t="s">
        <v>1278</v>
      </c>
      <c r="H2750" s="10" t="s">
        <v>2378</v>
      </c>
      <c r="I2750" s="62">
        <v>108</v>
      </c>
      <c r="J2750" s="10" t="s">
        <v>2372</v>
      </c>
      <c r="K2750" s="10" t="s">
        <v>847</v>
      </c>
      <c r="L2750" s="10" t="s">
        <v>2373</v>
      </c>
      <c r="M2750" s="10" t="s">
        <v>2372</v>
      </c>
      <c r="N2750" s="10" t="s">
        <v>2373</v>
      </c>
      <c r="O2750" s="10"/>
    </row>
    <row r="2751" spans="1:15" ht="18" customHeight="1" x14ac:dyDescent="0.3">
      <c r="A2751" s="24">
        <v>2750</v>
      </c>
      <c r="B2751" s="10" t="s">
        <v>2052</v>
      </c>
      <c r="C2751" s="10" t="s">
        <v>2679</v>
      </c>
      <c r="D2751" s="62">
        <v>174</v>
      </c>
      <c r="E2751" s="61" t="s">
        <v>2054</v>
      </c>
      <c r="F2751" s="19" t="s">
        <v>2055</v>
      </c>
      <c r="G2751" s="10" t="s">
        <v>1278</v>
      </c>
      <c r="H2751" s="173" t="s">
        <v>2758</v>
      </c>
      <c r="I2751" s="62">
        <v>54</v>
      </c>
      <c r="J2751" s="10" t="s">
        <v>2372</v>
      </c>
      <c r="K2751" s="173" t="s">
        <v>3487</v>
      </c>
      <c r="L2751" s="173" t="s">
        <v>3195</v>
      </c>
      <c r="M2751" s="10" t="s">
        <v>2372</v>
      </c>
      <c r="N2751" s="10" t="s">
        <v>2373</v>
      </c>
      <c r="O2751" s="10"/>
    </row>
    <row r="2752" spans="1:15" ht="18" customHeight="1" x14ac:dyDescent="0.3">
      <c r="A2752" s="24">
        <v>2751</v>
      </c>
      <c r="B2752" s="10" t="s">
        <v>2052</v>
      </c>
      <c r="C2752" s="10" t="s">
        <v>2679</v>
      </c>
      <c r="D2752" s="62">
        <v>174</v>
      </c>
      <c r="E2752" s="61" t="s">
        <v>2054</v>
      </c>
      <c r="F2752" s="19" t="s">
        <v>2055</v>
      </c>
      <c r="G2752" s="10" t="s">
        <v>1278</v>
      </c>
      <c r="H2752" s="10" t="s">
        <v>2380</v>
      </c>
      <c r="I2752" s="62">
        <v>108</v>
      </c>
      <c r="J2752" s="10" t="s">
        <v>2372</v>
      </c>
      <c r="K2752" s="10" t="s">
        <v>847</v>
      </c>
      <c r="L2752" s="10" t="s">
        <v>2373</v>
      </c>
      <c r="M2752" s="10" t="s">
        <v>2372</v>
      </c>
      <c r="N2752" s="10" t="s">
        <v>2373</v>
      </c>
      <c r="O2752" s="10"/>
    </row>
    <row r="2753" spans="1:15" ht="18" customHeight="1" x14ac:dyDescent="0.3">
      <c r="A2753" s="24">
        <v>2752</v>
      </c>
      <c r="B2753" s="10" t="s">
        <v>2052</v>
      </c>
      <c r="C2753" s="10" t="s">
        <v>2679</v>
      </c>
      <c r="D2753" s="62">
        <v>174</v>
      </c>
      <c r="E2753" s="61" t="s">
        <v>2054</v>
      </c>
      <c r="F2753" s="19" t="s">
        <v>2055</v>
      </c>
      <c r="G2753" s="10" t="s">
        <v>1278</v>
      </c>
      <c r="H2753" s="10" t="s">
        <v>2390</v>
      </c>
      <c r="I2753" s="62">
        <v>108</v>
      </c>
      <c r="J2753" s="10" t="s">
        <v>2372</v>
      </c>
      <c r="K2753" s="10" t="s">
        <v>847</v>
      </c>
      <c r="L2753" s="10" t="s">
        <v>2373</v>
      </c>
      <c r="M2753" s="10" t="s">
        <v>2372</v>
      </c>
      <c r="N2753" s="10" t="s">
        <v>2373</v>
      </c>
      <c r="O2753" s="10"/>
    </row>
    <row r="2754" spans="1:15" ht="18" customHeight="1" x14ac:dyDescent="0.3">
      <c r="A2754" s="24">
        <v>2753</v>
      </c>
      <c r="B2754" s="10" t="s">
        <v>2052</v>
      </c>
      <c r="C2754" s="10" t="s">
        <v>2679</v>
      </c>
      <c r="D2754" s="62">
        <v>174</v>
      </c>
      <c r="E2754" s="61" t="s">
        <v>2054</v>
      </c>
      <c r="F2754" s="19" t="s">
        <v>2055</v>
      </c>
      <c r="G2754" s="10" t="s">
        <v>1278</v>
      </c>
      <c r="H2754" s="10" t="s">
        <v>2382</v>
      </c>
      <c r="I2754" s="62">
        <v>174</v>
      </c>
      <c r="J2754" s="10" t="s">
        <v>2372</v>
      </c>
      <c r="K2754" s="10" t="s">
        <v>847</v>
      </c>
      <c r="L2754" s="10" t="s">
        <v>2373</v>
      </c>
      <c r="M2754" s="10" t="s">
        <v>2372</v>
      </c>
      <c r="N2754" s="10" t="s">
        <v>2373</v>
      </c>
      <c r="O2754" s="10"/>
    </row>
    <row r="2755" spans="1:15" ht="18" customHeight="1" x14ac:dyDescent="0.3">
      <c r="A2755" s="24">
        <v>2754</v>
      </c>
      <c r="B2755" s="10" t="s">
        <v>2052</v>
      </c>
      <c r="C2755" s="10" t="s">
        <v>2679</v>
      </c>
      <c r="D2755" s="62">
        <v>174</v>
      </c>
      <c r="E2755" s="61" t="s">
        <v>2054</v>
      </c>
      <c r="F2755" s="19" t="s">
        <v>2055</v>
      </c>
      <c r="G2755" s="10" t="s">
        <v>1278</v>
      </c>
      <c r="H2755" s="10" t="s">
        <v>2431</v>
      </c>
      <c r="I2755" s="62">
        <v>126</v>
      </c>
      <c r="J2755" s="10" t="s">
        <v>2374</v>
      </c>
      <c r="K2755" s="10" t="s">
        <v>847</v>
      </c>
      <c r="L2755" s="10" t="s">
        <v>2373</v>
      </c>
      <c r="M2755" s="10" t="s">
        <v>2372</v>
      </c>
      <c r="N2755" s="10" t="s">
        <v>2373</v>
      </c>
      <c r="O2755" s="10"/>
    </row>
    <row r="2756" spans="1:15" ht="18" customHeight="1" x14ac:dyDescent="0.3">
      <c r="A2756" s="24">
        <v>2755</v>
      </c>
      <c r="B2756" s="10" t="s">
        <v>105</v>
      </c>
      <c r="C2756" s="10" t="s">
        <v>106</v>
      </c>
      <c r="D2756" s="62">
        <v>174</v>
      </c>
      <c r="E2756" s="61" t="s">
        <v>2056</v>
      </c>
      <c r="F2756" s="56" t="s">
        <v>838</v>
      </c>
      <c r="G2756" s="10" t="s">
        <v>160</v>
      </c>
      <c r="H2756" s="10" t="s">
        <v>872</v>
      </c>
      <c r="I2756" s="8">
        <v>76</v>
      </c>
      <c r="J2756" s="10" t="s">
        <v>2374</v>
      </c>
      <c r="K2756" s="10" t="s">
        <v>847</v>
      </c>
      <c r="L2756" s="10" t="s">
        <v>2373</v>
      </c>
      <c r="M2756" s="10" t="s">
        <v>2372</v>
      </c>
      <c r="N2756" s="10" t="s">
        <v>2373</v>
      </c>
      <c r="O2756" s="10"/>
    </row>
    <row r="2757" spans="1:15" ht="18" customHeight="1" x14ac:dyDescent="0.3">
      <c r="A2757" s="24">
        <v>2756</v>
      </c>
      <c r="B2757" s="10" t="s">
        <v>105</v>
      </c>
      <c r="C2757" s="10" t="s">
        <v>106</v>
      </c>
      <c r="D2757" s="62">
        <v>174</v>
      </c>
      <c r="E2757" s="61" t="s">
        <v>2056</v>
      </c>
      <c r="F2757" s="56" t="s">
        <v>838</v>
      </c>
      <c r="G2757" s="10" t="s">
        <v>160</v>
      </c>
      <c r="H2757" s="10" t="s">
        <v>2680</v>
      </c>
      <c r="I2757" s="8">
        <v>228</v>
      </c>
      <c r="J2757" s="10" t="s">
        <v>2374</v>
      </c>
      <c r="K2757" s="10" t="s">
        <v>847</v>
      </c>
      <c r="L2757" s="10" t="s">
        <v>2373</v>
      </c>
      <c r="M2757" s="10" t="s">
        <v>2372</v>
      </c>
      <c r="N2757" s="10" t="s">
        <v>2373</v>
      </c>
      <c r="O2757" s="10"/>
    </row>
    <row r="2758" spans="1:15" ht="18" customHeight="1" x14ac:dyDescent="0.3">
      <c r="A2758" s="24">
        <v>2757</v>
      </c>
      <c r="B2758" s="10" t="s">
        <v>105</v>
      </c>
      <c r="C2758" s="10" t="s">
        <v>106</v>
      </c>
      <c r="D2758" s="62">
        <v>174</v>
      </c>
      <c r="E2758" s="61" t="s">
        <v>2056</v>
      </c>
      <c r="F2758" s="56" t="s">
        <v>838</v>
      </c>
      <c r="G2758" s="10" t="s">
        <v>160</v>
      </c>
      <c r="H2758" s="10" t="s">
        <v>2681</v>
      </c>
      <c r="I2758" s="8">
        <v>184</v>
      </c>
      <c r="J2758" s="10" t="s">
        <v>2374</v>
      </c>
      <c r="K2758" s="10" t="s">
        <v>847</v>
      </c>
      <c r="L2758" s="10" t="s">
        <v>2373</v>
      </c>
      <c r="M2758" s="10" t="s">
        <v>2372</v>
      </c>
      <c r="N2758" s="10" t="s">
        <v>2373</v>
      </c>
      <c r="O2758" s="10"/>
    </row>
    <row r="2759" spans="1:15" ht="18" customHeight="1" x14ac:dyDescent="0.3">
      <c r="A2759" s="24">
        <v>2758</v>
      </c>
      <c r="B2759" s="10" t="s">
        <v>105</v>
      </c>
      <c r="C2759" s="10" t="s">
        <v>106</v>
      </c>
      <c r="D2759" s="62">
        <v>174</v>
      </c>
      <c r="E2759" s="61" t="s">
        <v>2056</v>
      </c>
      <c r="F2759" s="56" t="s">
        <v>838</v>
      </c>
      <c r="G2759" s="10" t="s">
        <v>160</v>
      </c>
      <c r="H2759" s="10" t="s">
        <v>2682</v>
      </c>
      <c r="I2759" s="8">
        <v>108</v>
      </c>
      <c r="J2759" s="10" t="s">
        <v>2374</v>
      </c>
      <c r="K2759" s="10" t="s">
        <v>847</v>
      </c>
      <c r="L2759" s="10" t="s">
        <v>2373</v>
      </c>
      <c r="M2759" s="10" t="s">
        <v>2372</v>
      </c>
      <c r="N2759" s="10" t="s">
        <v>2373</v>
      </c>
      <c r="O2759" s="10"/>
    </row>
    <row r="2760" spans="1:15" ht="18" customHeight="1" x14ac:dyDescent="0.3">
      <c r="A2760" s="24">
        <v>2759</v>
      </c>
      <c r="B2760" s="10" t="s">
        <v>105</v>
      </c>
      <c r="C2760" s="10" t="s">
        <v>106</v>
      </c>
      <c r="D2760" s="62">
        <v>174</v>
      </c>
      <c r="E2760" s="61" t="s">
        <v>2056</v>
      </c>
      <c r="F2760" s="56" t="s">
        <v>838</v>
      </c>
      <c r="G2760" s="10" t="s">
        <v>160</v>
      </c>
      <c r="H2760" s="10" t="s">
        <v>2683</v>
      </c>
      <c r="I2760" s="8">
        <v>90</v>
      </c>
      <c r="J2760" s="10" t="s">
        <v>2372</v>
      </c>
      <c r="K2760" s="10" t="s">
        <v>847</v>
      </c>
      <c r="L2760" s="10" t="s">
        <v>2373</v>
      </c>
      <c r="M2760" s="10" t="s">
        <v>2372</v>
      </c>
      <c r="N2760" s="10" t="s">
        <v>2373</v>
      </c>
      <c r="O2760" s="10"/>
    </row>
    <row r="2761" spans="1:15" ht="18" customHeight="1" x14ac:dyDescent="0.3">
      <c r="A2761" s="24">
        <v>2760</v>
      </c>
      <c r="B2761" s="10" t="s">
        <v>105</v>
      </c>
      <c r="C2761" s="10" t="s">
        <v>106</v>
      </c>
      <c r="D2761" s="62">
        <v>174</v>
      </c>
      <c r="E2761" s="61" t="s">
        <v>2056</v>
      </c>
      <c r="F2761" s="56" t="s">
        <v>838</v>
      </c>
      <c r="G2761" s="10" t="s">
        <v>160</v>
      </c>
      <c r="H2761" s="10" t="s">
        <v>2684</v>
      </c>
      <c r="I2761" s="8">
        <v>120</v>
      </c>
      <c r="J2761" s="10" t="s">
        <v>2372</v>
      </c>
      <c r="K2761" s="10" t="s">
        <v>847</v>
      </c>
      <c r="L2761" s="10" t="s">
        <v>2373</v>
      </c>
      <c r="M2761" s="10" t="s">
        <v>2372</v>
      </c>
      <c r="N2761" s="10" t="s">
        <v>2373</v>
      </c>
      <c r="O2761" s="10"/>
    </row>
    <row r="2762" spans="1:15" ht="18" customHeight="1" x14ac:dyDescent="0.3">
      <c r="A2762" s="24">
        <v>2761</v>
      </c>
      <c r="B2762" s="10" t="s">
        <v>105</v>
      </c>
      <c r="C2762" s="10" t="s">
        <v>106</v>
      </c>
      <c r="D2762" s="62">
        <v>174</v>
      </c>
      <c r="E2762" s="61" t="s">
        <v>2056</v>
      </c>
      <c r="F2762" s="56" t="s">
        <v>838</v>
      </c>
      <c r="G2762" s="10" t="s">
        <v>160</v>
      </c>
      <c r="H2762" s="10" t="s">
        <v>2685</v>
      </c>
      <c r="I2762" s="8">
        <v>120</v>
      </c>
      <c r="J2762" s="10" t="s">
        <v>2374</v>
      </c>
      <c r="K2762" s="10" t="s">
        <v>847</v>
      </c>
      <c r="L2762" s="10" t="s">
        <v>2373</v>
      </c>
      <c r="M2762" s="10" t="s">
        <v>2372</v>
      </c>
      <c r="N2762" s="10" t="s">
        <v>2373</v>
      </c>
      <c r="O2762" s="10"/>
    </row>
    <row r="2763" spans="1:15" ht="18" customHeight="1" x14ac:dyDescent="0.3">
      <c r="A2763" s="24">
        <v>2762</v>
      </c>
      <c r="B2763" s="10" t="s">
        <v>105</v>
      </c>
      <c r="C2763" s="10" t="s">
        <v>106</v>
      </c>
      <c r="D2763" s="62">
        <v>174</v>
      </c>
      <c r="E2763" s="61" t="s">
        <v>2056</v>
      </c>
      <c r="F2763" s="56" t="s">
        <v>838</v>
      </c>
      <c r="G2763" s="10" t="s">
        <v>160</v>
      </c>
      <c r="H2763" s="10" t="s">
        <v>2645</v>
      </c>
      <c r="I2763" s="8">
        <v>132</v>
      </c>
      <c r="J2763" s="10" t="s">
        <v>2374</v>
      </c>
      <c r="K2763" s="10" t="s">
        <v>847</v>
      </c>
      <c r="L2763" s="10" t="s">
        <v>2373</v>
      </c>
      <c r="M2763" s="10" t="s">
        <v>2372</v>
      </c>
      <c r="N2763" s="10" t="s">
        <v>2373</v>
      </c>
      <c r="O2763" s="10"/>
    </row>
    <row r="2764" spans="1:15" ht="18" customHeight="1" x14ac:dyDescent="0.3">
      <c r="A2764" s="24">
        <v>2763</v>
      </c>
      <c r="B2764" s="10" t="s">
        <v>2052</v>
      </c>
      <c r="C2764" s="10" t="s">
        <v>2053</v>
      </c>
      <c r="D2764" s="62">
        <v>174</v>
      </c>
      <c r="E2764" s="61" t="s">
        <v>2057</v>
      </c>
      <c r="F2764" s="44" t="s">
        <v>2058</v>
      </c>
      <c r="G2764" s="24" t="s">
        <v>1278</v>
      </c>
      <c r="H2764" s="10" t="s">
        <v>2385</v>
      </c>
      <c r="I2764" s="62">
        <v>93</v>
      </c>
      <c r="J2764" s="8" t="s">
        <v>2372</v>
      </c>
      <c r="K2764" s="10" t="s">
        <v>2374</v>
      </c>
      <c r="L2764" s="10" t="s">
        <v>2229</v>
      </c>
      <c r="M2764" s="10" t="s">
        <v>2372</v>
      </c>
      <c r="N2764" s="10" t="s">
        <v>2373</v>
      </c>
      <c r="O2764" s="10"/>
    </row>
    <row r="2765" spans="1:15" ht="18" customHeight="1" x14ac:dyDescent="0.3">
      <c r="A2765" s="24">
        <v>2764</v>
      </c>
      <c r="B2765" s="10" t="s">
        <v>2052</v>
      </c>
      <c r="C2765" s="10" t="s">
        <v>2053</v>
      </c>
      <c r="D2765" s="62">
        <v>174</v>
      </c>
      <c r="E2765" s="61" t="s">
        <v>2057</v>
      </c>
      <c r="F2765" s="44" t="s">
        <v>2058</v>
      </c>
      <c r="G2765" s="24" t="s">
        <v>1278</v>
      </c>
      <c r="H2765" s="10" t="s">
        <v>2378</v>
      </c>
      <c r="I2765" s="62">
        <v>100</v>
      </c>
      <c r="J2765" s="8" t="s">
        <v>2372</v>
      </c>
      <c r="K2765" s="10" t="s">
        <v>2374</v>
      </c>
      <c r="L2765" s="10" t="s">
        <v>2229</v>
      </c>
      <c r="M2765" s="10" t="s">
        <v>2372</v>
      </c>
      <c r="N2765" s="10" t="s">
        <v>2373</v>
      </c>
      <c r="O2765" s="10"/>
    </row>
    <row r="2766" spans="1:15" ht="18" customHeight="1" x14ac:dyDescent="0.3">
      <c r="A2766" s="24">
        <v>2765</v>
      </c>
      <c r="B2766" s="10" t="s">
        <v>2052</v>
      </c>
      <c r="C2766" s="10" t="s">
        <v>2053</v>
      </c>
      <c r="D2766" s="62">
        <v>174</v>
      </c>
      <c r="E2766" s="61" t="s">
        <v>2057</v>
      </c>
      <c r="F2766" s="44" t="s">
        <v>2058</v>
      </c>
      <c r="G2766" s="24" t="s">
        <v>1278</v>
      </c>
      <c r="H2766" s="10" t="s">
        <v>2379</v>
      </c>
      <c r="I2766" s="62">
        <v>149</v>
      </c>
      <c r="J2766" s="8" t="s">
        <v>2372</v>
      </c>
      <c r="K2766" s="10" t="s">
        <v>2374</v>
      </c>
      <c r="L2766" s="10" t="s">
        <v>2229</v>
      </c>
      <c r="M2766" s="10" t="s">
        <v>2372</v>
      </c>
      <c r="N2766" s="10" t="s">
        <v>2373</v>
      </c>
      <c r="O2766" s="10"/>
    </row>
    <row r="2767" spans="1:15" ht="18" customHeight="1" x14ac:dyDescent="0.3">
      <c r="A2767" s="24">
        <v>2766</v>
      </c>
      <c r="B2767" s="10" t="s">
        <v>2052</v>
      </c>
      <c r="C2767" s="10" t="s">
        <v>2053</v>
      </c>
      <c r="D2767" s="62">
        <v>174</v>
      </c>
      <c r="E2767" s="61" t="s">
        <v>2057</v>
      </c>
      <c r="F2767" s="44" t="s">
        <v>2058</v>
      </c>
      <c r="G2767" s="24" t="s">
        <v>1278</v>
      </c>
      <c r="H2767" s="10" t="s">
        <v>2380</v>
      </c>
      <c r="I2767" s="62">
        <v>93</v>
      </c>
      <c r="J2767" s="8" t="s">
        <v>2372</v>
      </c>
      <c r="K2767" s="10" t="s">
        <v>2374</v>
      </c>
      <c r="L2767" s="10" t="s">
        <v>2229</v>
      </c>
      <c r="M2767" s="10" t="s">
        <v>2372</v>
      </c>
      <c r="N2767" s="10" t="s">
        <v>2373</v>
      </c>
      <c r="O2767" s="10"/>
    </row>
    <row r="2768" spans="1:15" ht="18" customHeight="1" x14ac:dyDescent="0.3">
      <c r="A2768" s="24">
        <v>2767</v>
      </c>
      <c r="B2768" s="10" t="s">
        <v>2052</v>
      </c>
      <c r="C2768" s="10" t="s">
        <v>2053</v>
      </c>
      <c r="D2768" s="62">
        <v>174</v>
      </c>
      <c r="E2768" s="61" t="s">
        <v>2057</v>
      </c>
      <c r="F2768" s="44" t="s">
        <v>2058</v>
      </c>
      <c r="G2768" s="24" t="s">
        <v>1278</v>
      </c>
      <c r="H2768" s="10" t="s">
        <v>2390</v>
      </c>
      <c r="I2768" s="62">
        <v>93</v>
      </c>
      <c r="J2768" s="8" t="s">
        <v>2372</v>
      </c>
      <c r="K2768" s="10" t="s">
        <v>2374</v>
      </c>
      <c r="L2768" s="10" t="s">
        <v>2229</v>
      </c>
      <c r="M2768" s="10" t="s">
        <v>2372</v>
      </c>
      <c r="N2768" s="10" t="s">
        <v>2373</v>
      </c>
      <c r="O2768" s="10"/>
    </row>
    <row r="2769" spans="1:15" ht="18" customHeight="1" x14ac:dyDescent="0.3">
      <c r="A2769" s="24">
        <v>2768</v>
      </c>
      <c r="B2769" s="10" t="s">
        <v>2052</v>
      </c>
      <c r="C2769" s="10" t="s">
        <v>2053</v>
      </c>
      <c r="D2769" s="62">
        <v>174</v>
      </c>
      <c r="E2769" s="61" t="s">
        <v>2057</v>
      </c>
      <c r="F2769" s="44" t="s">
        <v>2058</v>
      </c>
      <c r="G2769" s="24" t="s">
        <v>1278</v>
      </c>
      <c r="H2769" s="10" t="s">
        <v>2382</v>
      </c>
      <c r="I2769" s="62">
        <v>74</v>
      </c>
      <c r="J2769" s="8" t="s">
        <v>2372</v>
      </c>
      <c r="K2769" s="10" t="s">
        <v>2374</v>
      </c>
      <c r="L2769" s="10" t="s">
        <v>2229</v>
      </c>
      <c r="M2769" s="10" t="s">
        <v>2372</v>
      </c>
      <c r="N2769" s="10" t="s">
        <v>2373</v>
      </c>
      <c r="O2769" s="10"/>
    </row>
    <row r="2770" spans="1:15" ht="18" customHeight="1" x14ac:dyDescent="0.3">
      <c r="A2770" s="24">
        <v>2769</v>
      </c>
      <c r="B2770" s="10" t="s">
        <v>2052</v>
      </c>
      <c r="C2770" s="10" t="s">
        <v>2053</v>
      </c>
      <c r="D2770" s="62">
        <v>174</v>
      </c>
      <c r="E2770" s="61" t="s">
        <v>2057</v>
      </c>
      <c r="F2770" s="44" t="s">
        <v>2058</v>
      </c>
      <c r="G2770" s="24" t="s">
        <v>1278</v>
      </c>
      <c r="H2770" s="10" t="s">
        <v>2431</v>
      </c>
      <c r="I2770" s="62">
        <v>84</v>
      </c>
      <c r="J2770" s="8" t="s">
        <v>2374</v>
      </c>
      <c r="K2770" s="10" t="s">
        <v>2374</v>
      </c>
      <c r="L2770" s="10" t="s">
        <v>2229</v>
      </c>
      <c r="M2770" s="10" t="s">
        <v>2372</v>
      </c>
      <c r="N2770" s="10" t="s">
        <v>2373</v>
      </c>
      <c r="O2770" s="10"/>
    </row>
    <row r="2771" spans="1:15" ht="18" customHeight="1" x14ac:dyDescent="0.3">
      <c r="A2771" s="24">
        <v>2770</v>
      </c>
      <c r="B2771" s="8" t="s">
        <v>105</v>
      </c>
      <c r="C2771" s="8" t="s">
        <v>2059</v>
      </c>
      <c r="D2771" s="8">
        <v>174</v>
      </c>
      <c r="E2771" s="30" t="s">
        <v>2060</v>
      </c>
      <c r="F2771" s="19" t="s">
        <v>2061</v>
      </c>
      <c r="G2771" s="8" t="s">
        <v>2553</v>
      </c>
      <c r="H2771" s="73" t="s">
        <v>2385</v>
      </c>
      <c r="I2771" s="108">
        <v>98</v>
      </c>
      <c r="J2771" s="10" t="s">
        <v>2372</v>
      </c>
      <c r="K2771" s="10" t="s">
        <v>847</v>
      </c>
      <c r="L2771" s="10" t="s">
        <v>2373</v>
      </c>
      <c r="M2771" s="10" t="s">
        <v>2374</v>
      </c>
      <c r="N2771" s="10" t="s">
        <v>1234</v>
      </c>
      <c r="O2771" s="10"/>
    </row>
    <row r="2772" spans="1:15" ht="18" customHeight="1" x14ac:dyDescent="0.3">
      <c r="A2772" s="24">
        <v>2771</v>
      </c>
      <c r="B2772" s="10" t="s">
        <v>105</v>
      </c>
      <c r="C2772" s="10" t="s">
        <v>106</v>
      </c>
      <c r="D2772" s="62">
        <v>174</v>
      </c>
      <c r="E2772" s="61" t="s">
        <v>245</v>
      </c>
      <c r="F2772" s="16" t="s">
        <v>731</v>
      </c>
      <c r="G2772" s="10" t="s">
        <v>150</v>
      </c>
      <c r="H2772" s="10" t="s">
        <v>845</v>
      </c>
      <c r="I2772" s="62">
        <v>197</v>
      </c>
      <c r="J2772" s="8" t="s">
        <v>846</v>
      </c>
      <c r="K2772" s="10" t="s">
        <v>847</v>
      </c>
      <c r="L2772" s="10" t="s">
        <v>2373</v>
      </c>
      <c r="M2772" s="10" t="s">
        <v>2372</v>
      </c>
      <c r="N2772" s="10" t="s">
        <v>2373</v>
      </c>
      <c r="O2772" s="10"/>
    </row>
    <row r="2773" spans="1:15" ht="18" customHeight="1" x14ac:dyDescent="0.3">
      <c r="A2773" s="24">
        <v>2772</v>
      </c>
      <c r="B2773" s="10" t="s">
        <v>105</v>
      </c>
      <c r="C2773" s="10" t="s">
        <v>106</v>
      </c>
      <c r="D2773" s="62">
        <v>174</v>
      </c>
      <c r="E2773" s="61" t="s">
        <v>245</v>
      </c>
      <c r="F2773" s="16" t="s">
        <v>731</v>
      </c>
      <c r="G2773" s="10" t="s">
        <v>150</v>
      </c>
      <c r="H2773" s="10" t="s">
        <v>848</v>
      </c>
      <c r="I2773" s="62">
        <v>213</v>
      </c>
      <c r="J2773" s="8" t="s">
        <v>2372</v>
      </c>
      <c r="K2773" s="10" t="s">
        <v>847</v>
      </c>
      <c r="L2773" s="10" t="s">
        <v>2373</v>
      </c>
      <c r="M2773" s="10" t="s">
        <v>2372</v>
      </c>
      <c r="N2773" s="10" t="s">
        <v>2373</v>
      </c>
      <c r="O2773" s="10"/>
    </row>
    <row r="2774" spans="1:15" ht="18" customHeight="1" x14ac:dyDescent="0.3">
      <c r="A2774" s="24">
        <v>2773</v>
      </c>
      <c r="B2774" s="10" t="s">
        <v>105</v>
      </c>
      <c r="C2774" s="10" t="s">
        <v>106</v>
      </c>
      <c r="D2774" s="62">
        <v>174</v>
      </c>
      <c r="E2774" s="61" t="s">
        <v>245</v>
      </c>
      <c r="F2774" s="16" t="s">
        <v>731</v>
      </c>
      <c r="G2774" s="10" t="s">
        <v>150</v>
      </c>
      <c r="H2774" s="10" t="s">
        <v>2379</v>
      </c>
      <c r="I2774" s="62">
        <v>180</v>
      </c>
      <c r="J2774" s="8" t="s">
        <v>846</v>
      </c>
      <c r="K2774" s="10" t="s">
        <v>847</v>
      </c>
      <c r="L2774" s="10" t="s">
        <v>2373</v>
      </c>
      <c r="M2774" s="10" t="s">
        <v>2372</v>
      </c>
      <c r="N2774" s="10" t="s">
        <v>2373</v>
      </c>
      <c r="O2774" s="10"/>
    </row>
    <row r="2775" spans="1:15" ht="18" customHeight="1" x14ac:dyDescent="0.3">
      <c r="A2775" s="24">
        <v>2774</v>
      </c>
      <c r="B2775" s="10" t="s">
        <v>105</v>
      </c>
      <c r="C2775" s="10" t="s">
        <v>106</v>
      </c>
      <c r="D2775" s="62">
        <v>174</v>
      </c>
      <c r="E2775" s="61" t="s">
        <v>245</v>
      </c>
      <c r="F2775" s="16" t="s">
        <v>731</v>
      </c>
      <c r="G2775" s="10" t="s">
        <v>150</v>
      </c>
      <c r="H2775" s="10" t="s">
        <v>850</v>
      </c>
      <c r="I2775" s="62">
        <v>147</v>
      </c>
      <c r="J2775" s="8" t="s">
        <v>846</v>
      </c>
      <c r="K2775" s="10" t="s">
        <v>847</v>
      </c>
      <c r="L2775" s="10" t="s">
        <v>2373</v>
      </c>
      <c r="M2775" s="10" t="s">
        <v>2372</v>
      </c>
      <c r="N2775" s="10" t="s">
        <v>2373</v>
      </c>
      <c r="O2775" s="10"/>
    </row>
    <row r="2776" spans="1:15" ht="18" customHeight="1" x14ac:dyDescent="0.3">
      <c r="A2776" s="24">
        <v>2775</v>
      </c>
      <c r="B2776" s="10" t="s">
        <v>105</v>
      </c>
      <c r="C2776" s="10" t="s">
        <v>106</v>
      </c>
      <c r="D2776" s="62">
        <v>174</v>
      </c>
      <c r="E2776" s="61" t="s">
        <v>245</v>
      </c>
      <c r="F2776" s="16" t="s">
        <v>731</v>
      </c>
      <c r="G2776" s="10" t="s">
        <v>150</v>
      </c>
      <c r="H2776" s="10" t="s">
        <v>851</v>
      </c>
      <c r="I2776" s="62">
        <v>156</v>
      </c>
      <c r="J2776" s="8" t="s">
        <v>2372</v>
      </c>
      <c r="K2776" s="10" t="s">
        <v>847</v>
      </c>
      <c r="L2776" s="10" t="s">
        <v>2373</v>
      </c>
      <c r="M2776" s="10" t="s">
        <v>2372</v>
      </c>
      <c r="N2776" s="10" t="s">
        <v>2373</v>
      </c>
      <c r="O2776" s="10"/>
    </row>
    <row r="2777" spans="1:15" ht="18" customHeight="1" x14ac:dyDescent="0.3">
      <c r="A2777" s="24">
        <v>2776</v>
      </c>
      <c r="B2777" s="10" t="s">
        <v>105</v>
      </c>
      <c r="C2777" s="10" t="s">
        <v>106</v>
      </c>
      <c r="D2777" s="62">
        <v>174</v>
      </c>
      <c r="E2777" s="61" t="s">
        <v>245</v>
      </c>
      <c r="F2777" s="16" t="s">
        <v>731</v>
      </c>
      <c r="G2777" s="10" t="s">
        <v>150</v>
      </c>
      <c r="H2777" s="10" t="s">
        <v>852</v>
      </c>
      <c r="I2777" s="62">
        <v>147</v>
      </c>
      <c r="J2777" s="8" t="s">
        <v>2372</v>
      </c>
      <c r="K2777" s="10" t="s">
        <v>847</v>
      </c>
      <c r="L2777" s="10" t="s">
        <v>2373</v>
      </c>
      <c r="M2777" s="10" t="s">
        <v>2372</v>
      </c>
      <c r="N2777" s="10" t="s">
        <v>2373</v>
      </c>
      <c r="O2777" s="10"/>
    </row>
    <row r="2778" spans="1:15" ht="18" customHeight="1" x14ac:dyDescent="0.3">
      <c r="A2778" s="24">
        <v>2777</v>
      </c>
      <c r="B2778" s="10" t="s">
        <v>105</v>
      </c>
      <c r="C2778" s="10" t="s">
        <v>106</v>
      </c>
      <c r="D2778" s="62">
        <v>174</v>
      </c>
      <c r="E2778" s="61" t="s">
        <v>2686</v>
      </c>
      <c r="F2778" s="16" t="s">
        <v>730</v>
      </c>
      <c r="G2778" s="10" t="s">
        <v>150</v>
      </c>
      <c r="H2778" s="10" t="s">
        <v>845</v>
      </c>
      <c r="I2778" s="62">
        <v>212</v>
      </c>
      <c r="J2778" s="8" t="s">
        <v>2372</v>
      </c>
      <c r="K2778" s="10" t="s">
        <v>847</v>
      </c>
      <c r="L2778" s="10" t="s">
        <v>2373</v>
      </c>
      <c r="M2778" s="10" t="s">
        <v>2372</v>
      </c>
      <c r="N2778" s="10" t="s">
        <v>2373</v>
      </c>
      <c r="O2778" s="10"/>
    </row>
    <row r="2779" spans="1:15" ht="18" customHeight="1" x14ac:dyDescent="0.3">
      <c r="A2779" s="24">
        <v>2778</v>
      </c>
      <c r="B2779" s="10" t="s">
        <v>105</v>
      </c>
      <c r="C2779" s="10" t="s">
        <v>106</v>
      </c>
      <c r="D2779" s="62">
        <v>174</v>
      </c>
      <c r="E2779" s="61" t="s">
        <v>2686</v>
      </c>
      <c r="F2779" s="16" t="s">
        <v>730</v>
      </c>
      <c r="G2779" s="10" t="s">
        <v>150</v>
      </c>
      <c r="H2779" s="10" t="s">
        <v>848</v>
      </c>
      <c r="I2779" s="62">
        <v>174</v>
      </c>
      <c r="J2779" s="8" t="s">
        <v>846</v>
      </c>
      <c r="K2779" s="10" t="s">
        <v>847</v>
      </c>
      <c r="L2779" s="10" t="s">
        <v>2373</v>
      </c>
      <c r="M2779" s="10" t="s">
        <v>2372</v>
      </c>
      <c r="N2779" s="10" t="s">
        <v>2373</v>
      </c>
      <c r="O2779" s="10"/>
    </row>
    <row r="2780" spans="1:15" ht="18" customHeight="1" x14ac:dyDescent="0.3">
      <c r="A2780" s="24">
        <v>2779</v>
      </c>
      <c r="B2780" s="10" t="s">
        <v>105</v>
      </c>
      <c r="C2780" s="10" t="s">
        <v>106</v>
      </c>
      <c r="D2780" s="62">
        <v>174</v>
      </c>
      <c r="E2780" s="61" t="s">
        <v>2686</v>
      </c>
      <c r="F2780" s="16" t="s">
        <v>730</v>
      </c>
      <c r="G2780" s="10" t="s">
        <v>150</v>
      </c>
      <c r="H2780" s="10" t="s">
        <v>849</v>
      </c>
      <c r="I2780" s="62">
        <v>105</v>
      </c>
      <c r="J2780" s="8" t="s">
        <v>846</v>
      </c>
      <c r="K2780" s="10" t="s">
        <v>847</v>
      </c>
      <c r="L2780" s="10" t="s">
        <v>2373</v>
      </c>
      <c r="M2780" s="10" t="s">
        <v>2372</v>
      </c>
      <c r="N2780" s="10" t="s">
        <v>2373</v>
      </c>
      <c r="O2780" s="10"/>
    </row>
    <row r="2781" spans="1:15" ht="18" customHeight="1" x14ac:dyDescent="0.3">
      <c r="A2781" s="24">
        <v>2780</v>
      </c>
      <c r="B2781" s="10" t="s">
        <v>105</v>
      </c>
      <c r="C2781" s="10" t="s">
        <v>106</v>
      </c>
      <c r="D2781" s="62">
        <v>174</v>
      </c>
      <c r="E2781" s="61" t="s">
        <v>2686</v>
      </c>
      <c r="F2781" s="16" t="s">
        <v>730</v>
      </c>
      <c r="G2781" s="10" t="s">
        <v>150</v>
      </c>
      <c r="H2781" s="10" t="s">
        <v>850</v>
      </c>
      <c r="I2781" s="62">
        <v>174</v>
      </c>
      <c r="J2781" s="8" t="s">
        <v>2372</v>
      </c>
      <c r="K2781" s="10" t="s">
        <v>847</v>
      </c>
      <c r="L2781" s="10" t="s">
        <v>2373</v>
      </c>
      <c r="M2781" s="10" t="s">
        <v>2372</v>
      </c>
      <c r="N2781" s="10" t="s">
        <v>2373</v>
      </c>
      <c r="O2781" s="10"/>
    </row>
    <row r="2782" spans="1:15" ht="18" customHeight="1" x14ac:dyDescent="0.3">
      <c r="A2782" s="24">
        <v>2781</v>
      </c>
      <c r="B2782" s="10" t="s">
        <v>105</v>
      </c>
      <c r="C2782" s="10" t="s">
        <v>106</v>
      </c>
      <c r="D2782" s="62">
        <v>174</v>
      </c>
      <c r="E2782" s="61" t="s">
        <v>2686</v>
      </c>
      <c r="F2782" s="16" t="s">
        <v>730</v>
      </c>
      <c r="G2782" s="10" t="s">
        <v>150</v>
      </c>
      <c r="H2782" s="10" t="s">
        <v>851</v>
      </c>
      <c r="I2782" s="62">
        <v>212</v>
      </c>
      <c r="J2782" s="8" t="s">
        <v>846</v>
      </c>
      <c r="K2782" s="10" t="s">
        <v>847</v>
      </c>
      <c r="L2782" s="10" t="s">
        <v>2373</v>
      </c>
      <c r="M2782" s="10" t="s">
        <v>2372</v>
      </c>
      <c r="N2782" s="10" t="s">
        <v>2373</v>
      </c>
      <c r="O2782" s="10"/>
    </row>
    <row r="2783" spans="1:15" ht="18" customHeight="1" x14ac:dyDescent="0.3">
      <c r="A2783" s="24">
        <v>2782</v>
      </c>
      <c r="B2783" s="10" t="s">
        <v>105</v>
      </c>
      <c r="C2783" s="10" t="s">
        <v>106</v>
      </c>
      <c r="D2783" s="62">
        <v>174</v>
      </c>
      <c r="E2783" s="61" t="s">
        <v>2686</v>
      </c>
      <c r="F2783" s="16" t="s">
        <v>730</v>
      </c>
      <c r="G2783" s="10" t="s">
        <v>150</v>
      </c>
      <c r="H2783" s="10" t="s">
        <v>852</v>
      </c>
      <c r="I2783" s="62">
        <v>335</v>
      </c>
      <c r="J2783" s="8" t="s">
        <v>846</v>
      </c>
      <c r="K2783" s="10" t="s">
        <v>847</v>
      </c>
      <c r="L2783" s="10" t="s">
        <v>2373</v>
      </c>
      <c r="M2783" s="10" t="s">
        <v>2372</v>
      </c>
      <c r="N2783" s="10" t="s">
        <v>2373</v>
      </c>
      <c r="O2783" s="10"/>
    </row>
    <row r="2784" spans="1:15" ht="18" customHeight="1" x14ac:dyDescent="0.3">
      <c r="A2784" s="24">
        <v>2783</v>
      </c>
      <c r="B2784" s="10" t="s">
        <v>105</v>
      </c>
      <c r="C2784" s="10" t="s">
        <v>106</v>
      </c>
      <c r="D2784" s="62">
        <v>174</v>
      </c>
      <c r="E2784" s="61" t="s">
        <v>2686</v>
      </c>
      <c r="F2784" s="16" t="s">
        <v>730</v>
      </c>
      <c r="G2784" s="10" t="s">
        <v>150</v>
      </c>
      <c r="H2784" s="10" t="s">
        <v>853</v>
      </c>
      <c r="I2784" s="62">
        <v>105</v>
      </c>
      <c r="J2784" s="8" t="s">
        <v>2372</v>
      </c>
      <c r="K2784" s="10" t="s">
        <v>847</v>
      </c>
      <c r="L2784" s="10" t="s">
        <v>2373</v>
      </c>
      <c r="M2784" s="10" t="s">
        <v>2372</v>
      </c>
      <c r="N2784" s="10" t="s">
        <v>2373</v>
      </c>
      <c r="O2784" s="10"/>
    </row>
    <row r="2785" spans="1:15" ht="18" customHeight="1" x14ac:dyDescent="0.3">
      <c r="A2785" s="24">
        <v>2784</v>
      </c>
      <c r="B2785" s="10" t="s">
        <v>105</v>
      </c>
      <c r="C2785" s="10" t="s">
        <v>106</v>
      </c>
      <c r="D2785" s="62">
        <v>174</v>
      </c>
      <c r="E2785" s="61" t="s">
        <v>2686</v>
      </c>
      <c r="F2785" s="16" t="s">
        <v>730</v>
      </c>
      <c r="G2785" s="10" t="s">
        <v>150</v>
      </c>
      <c r="H2785" s="10" t="s">
        <v>854</v>
      </c>
      <c r="I2785" s="62">
        <v>315</v>
      </c>
      <c r="J2785" s="8" t="s">
        <v>2372</v>
      </c>
      <c r="K2785" s="10" t="s">
        <v>847</v>
      </c>
      <c r="L2785" s="10" t="s">
        <v>2373</v>
      </c>
      <c r="M2785" s="10" t="s">
        <v>2372</v>
      </c>
      <c r="N2785" s="10" t="s">
        <v>2373</v>
      </c>
      <c r="O2785" s="10"/>
    </row>
    <row r="2786" spans="1:15" ht="18" customHeight="1" x14ac:dyDescent="0.3">
      <c r="A2786" s="24">
        <v>2785</v>
      </c>
      <c r="B2786" s="10" t="s">
        <v>105</v>
      </c>
      <c r="C2786" s="10" t="s">
        <v>106</v>
      </c>
      <c r="D2786" s="62">
        <v>174</v>
      </c>
      <c r="E2786" s="61" t="s">
        <v>2935</v>
      </c>
      <c r="F2786" s="19" t="s">
        <v>727</v>
      </c>
      <c r="G2786" s="10" t="s">
        <v>150</v>
      </c>
      <c r="H2786" s="10" t="s">
        <v>845</v>
      </c>
      <c r="I2786" s="62">
        <v>232</v>
      </c>
      <c r="J2786" s="10" t="s">
        <v>2374</v>
      </c>
      <c r="K2786" s="10" t="s">
        <v>847</v>
      </c>
      <c r="L2786" s="10" t="s">
        <v>2373</v>
      </c>
      <c r="M2786" s="10" t="s">
        <v>2372</v>
      </c>
      <c r="N2786" s="10" t="s">
        <v>2373</v>
      </c>
      <c r="O2786" s="10"/>
    </row>
    <row r="2787" spans="1:15" ht="18" customHeight="1" x14ac:dyDescent="0.3">
      <c r="A2787" s="24">
        <v>2786</v>
      </c>
      <c r="B2787" s="10" t="s">
        <v>105</v>
      </c>
      <c r="C2787" s="10" t="s">
        <v>106</v>
      </c>
      <c r="D2787" s="62">
        <v>174</v>
      </c>
      <c r="E2787" s="61" t="s">
        <v>2935</v>
      </c>
      <c r="F2787" s="19" t="s">
        <v>727</v>
      </c>
      <c r="G2787" s="10" t="s">
        <v>150</v>
      </c>
      <c r="H2787" s="10" t="s">
        <v>848</v>
      </c>
      <c r="I2787" s="62">
        <v>301</v>
      </c>
      <c r="J2787" s="10" t="s">
        <v>2374</v>
      </c>
      <c r="K2787" s="10" t="s">
        <v>847</v>
      </c>
      <c r="L2787" s="10" t="s">
        <v>2373</v>
      </c>
      <c r="M2787" s="10" t="s">
        <v>2372</v>
      </c>
      <c r="N2787" s="10" t="s">
        <v>2373</v>
      </c>
      <c r="O2787" s="10"/>
    </row>
    <row r="2788" spans="1:15" ht="18" customHeight="1" x14ac:dyDescent="0.3">
      <c r="A2788" s="24">
        <v>2787</v>
      </c>
      <c r="B2788" s="10" t="s">
        <v>105</v>
      </c>
      <c r="C2788" s="10" t="s">
        <v>106</v>
      </c>
      <c r="D2788" s="62">
        <v>174</v>
      </c>
      <c r="E2788" s="61" t="s">
        <v>2935</v>
      </c>
      <c r="F2788" s="19" t="s">
        <v>727</v>
      </c>
      <c r="G2788" s="10" t="s">
        <v>150</v>
      </c>
      <c r="H2788" s="10" t="s">
        <v>849</v>
      </c>
      <c r="I2788" s="62">
        <v>218</v>
      </c>
      <c r="J2788" s="10" t="s">
        <v>2372</v>
      </c>
      <c r="K2788" s="10" t="s">
        <v>847</v>
      </c>
      <c r="L2788" s="10" t="s">
        <v>2373</v>
      </c>
      <c r="M2788" s="10" t="s">
        <v>2372</v>
      </c>
      <c r="N2788" s="10" t="s">
        <v>2373</v>
      </c>
      <c r="O2788" s="10"/>
    </row>
    <row r="2789" spans="1:15" ht="18" customHeight="1" x14ac:dyDescent="0.3">
      <c r="A2789" s="24">
        <v>2788</v>
      </c>
      <c r="B2789" s="10" t="s">
        <v>105</v>
      </c>
      <c r="C2789" s="10" t="s">
        <v>106</v>
      </c>
      <c r="D2789" s="62">
        <v>174</v>
      </c>
      <c r="E2789" s="61" t="s">
        <v>2935</v>
      </c>
      <c r="F2789" s="19" t="s">
        <v>727</v>
      </c>
      <c r="G2789" s="10" t="s">
        <v>150</v>
      </c>
      <c r="H2789" s="10" t="s">
        <v>851</v>
      </c>
      <c r="I2789" s="62">
        <v>232</v>
      </c>
      <c r="J2789" s="10" t="s">
        <v>2372</v>
      </c>
      <c r="K2789" s="10" t="s">
        <v>847</v>
      </c>
      <c r="L2789" s="10" t="s">
        <v>2373</v>
      </c>
      <c r="M2789" s="10" t="s">
        <v>2372</v>
      </c>
      <c r="N2789" s="10" t="s">
        <v>2373</v>
      </c>
      <c r="O2789" s="10"/>
    </row>
    <row r="2790" spans="1:15" ht="18" customHeight="1" x14ac:dyDescent="0.3">
      <c r="A2790" s="24">
        <v>2789</v>
      </c>
      <c r="B2790" s="10" t="s">
        <v>105</v>
      </c>
      <c r="C2790" s="10" t="s">
        <v>106</v>
      </c>
      <c r="D2790" s="62">
        <v>174</v>
      </c>
      <c r="E2790" s="61" t="s">
        <v>2935</v>
      </c>
      <c r="F2790" s="19" t="s">
        <v>727</v>
      </c>
      <c r="G2790" s="10" t="s">
        <v>150</v>
      </c>
      <c r="H2790" s="10" t="s">
        <v>852</v>
      </c>
      <c r="I2790" s="62">
        <v>207</v>
      </c>
      <c r="J2790" s="10" t="s">
        <v>2374</v>
      </c>
      <c r="K2790" s="10" t="s">
        <v>847</v>
      </c>
      <c r="L2790" s="10" t="s">
        <v>2373</v>
      </c>
      <c r="M2790" s="10" t="s">
        <v>2372</v>
      </c>
      <c r="N2790" s="10" t="s">
        <v>2373</v>
      </c>
      <c r="O2790" s="10"/>
    </row>
    <row r="2791" spans="1:15" ht="18" customHeight="1" x14ac:dyDescent="0.3">
      <c r="A2791" s="24">
        <v>2790</v>
      </c>
      <c r="B2791" s="10" t="s">
        <v>105</v>
      </c>
      <c r="C2791" s="10" t="s">
        <v>106</v>
      </c>
      <c r="D2791" s="62">
        <v>174</v>
      </c>
      <c r="E2791" s="61" t="s">
        <v>2935</v>
      </c>
      <c r="F2791" s="19" t="s">
        <v>2687</v>
      </c>
      <c r="G2791" s="10" t="s">
        <v>150</v>
      </c>
      <c r="H2791" s="10" t="s">
        <v>850</v>
      </c>
      <c r="I2791" s="62">
        <v>232</v>
      </c>
      <c r="J2791" s="10" t="s">
        <v>2372</v>
      </c>
      <c r="K2791" s="10" t="s">
        <v>846</v>
      </c>
      <c r="L2791" s="10" t="s">
        <v>985</v>
      </c>
      <c r="M2791" s="10" t="s">
        <v>2372</v>
      </c>
      <c r="N2791" s="10" t="s">
        <v>2373</v>
      </c>
      <c r="O2791" s="10"/>
    </row>
    <row r="2792" spans="1:15" ht="18" customHeight="1" x14ac:dyDescent="0.3">
      <c r="A2792" s="24">
        <v>2791</v>
      </c>
      <c r="B2792" s="10" t="s">
        <v>105</v>
      </c>
      <c r="C2792" s="10" t="s">
        <v>106</v>
      </c>
      <c r="D2792" s="62">
        <v>174</v>
      </c>
      <c r="E2792" s="61" t="s">
        <v>2935</v>
      </c>
      <c r="F2792" s="19" t="s">
        <v>2687</v>
      </c>
      <c r="G2792" s="10" t="s">
        <v>150</v>
      </c>
      <c r="H2792" s="10" t="s">
        <v>921</v>
      </c>
      <c r="I2792" s="62">
        <v>373</v>
      </c>
      <c r="J2792" s="10" t="s">
        <v>2374</v>
      </c>
      <c r="K2792" s="10" t="s">
        <v>846</v>
      </c>
      <c r="L2792" s="10" t="s">
        <v>2414</v>
      </c>
      <c r="M2792" s="10" t="s">
        <v>2372</v>
      </c>
      <c r="N2792" s="10" t="s">
        <v>2373</v>
      </c>
      <c r="O2792" s="10"/>
    </row>
    <row r="2793" spans="1:15" ht="18" customHeight="1" x14ac:dyDescent="0.3">
      <c r="A2793" s="24">
        <v>2792</v>
      </c>
      <c r="B2793" s="10" t="s">
        <v>105</v>
      </c>
      <c r="C2793" s="10" t="s">
        <v>106</v>
      </c>
      <c r="D2793" s="62">
        <v>174</v>
      </c>
      <c r="E2793" s="61" t="s">
        <v>2936</v>
      </c>
      <c r="F2793" s="19" t="s">
        <v>726</v>
      </c>
      <c r="G2793" s="10" t="s">
        <v>150</v>
      </c>
      <c r="H2793" s="10" t="s">
        <v>845</v>
      </c>
      <c r="I2793" s="62">
        <v>231</v>
      </c>
      <c r="J2793" s="10" t="s">
        <v>2374</v>
      </c>
      <c r="K2793" s="10" t="s">
        <v>847</v>
      </c>
      <c r="L2793" s="10" t="s">
        <v>2373</v>
      </c>
      <c r="M2793" s="10" t="s">
        <v>2372</v>
      </c>
      <c r="N2793" s="10" t="s">
        <v>2373</v>
      </c>
      <c r="O2793" s="10"/>
    </row>
    <row r="2794" spans="1:15" ht="18" customHeight="1" x14ac:dyDescent="0.3">
      <c r="A2794" s="24">
        <v>2793</v>
      </c>
      <c r="B2794" s="10" t="s">
        <v>105</v>
      </c>
      <c r="C2794" s="10" t="s">
        <v>106</v>
      </c>
      <c r="D2794" s="62">
        <v>174</v>
      </c>
      <c r="E2794" s="61" t="s">
        <v>2936</v>
      </c>
      <c r="F2794" s="19" t="s">
        <v>726</v>
      </c>
      <c r="G2794" s="10" t="s">
        <v>150</v>
      </c>
      <c r="H2794" s="10" t="s">
        <v>848</v>
      </c>
      <c r="I2794" s="62">
        <v>164</v>
      </c>
      <c r="J2794" s="10" t="s">
        <v>2372</v>
      </c>
      <c r="K2794" s="10" t="s">
        <v>847</v>
      </c>
      <c r="L2794" s="10" t="s">
        <v>2373</v>
      </c>
      <c r="M2794" s="10" t="s">
        <v>2372</v>
      </c>
      <c r="N2794" s="10" t="s">
        <v>2373</v>
      </c>
      <c r="O2794" s="10"/>
    </row>
    <row r="2795" spans="1:15" ht="18" customHeight="1" x14ac:dyDescent="0.3">
      <c r="A2795" s="24">
        <v>2794</v>
      </c>
      <c r="B2795" s="10" t="s">
        <v>105</v>
      </c>
      <c r="C2795" s="10" t="s">
        <v>106</v>
      </c>
      <c r="D2795" s="62">
        <v>174</v>
      </c>
      <c r="E2795" s="61" t="s">
        <v>2936</v>
      </c>
      <c r="F2795" s="19" t="s">
        <v>726</v>
      </c>
      <c r="G2795" s="10" t="s">
        <v>150</v>
      </c>
      <c r="H2795" s="10" t="s">
        <v>849</v>
      </c>
      <c r="I2795" s="62">
        <v>152</v>
      </c>
      <c r="J2795" s="10" t="s">
        <v>2372</v>
      </c>
      <c r="K2795" s="10" t="s">
        <v>847</v>
      </c>
      <c r="L2795" s="10" t="s">
        <v>2373</v>
      </c>
      <c r="M2795" s="10" t="s">
        <v>2372</v>
      </c>
      <c r="N2795" s="10" t="s">
        <v>2373</v>
      </c>
      <c r="O2795" s="10"/>
    </row>
    <row r="2796" spans="1:15" ht="18" customHeight="1" x14ac:dyDescent="0.3">
      <c r="A2796" s="24">
        <v>2795</v>
      </c>
      <c r="B2796" s="10" t="s">
        <v>105</v>
      </c>
      <c r="C2796" s="10" t="s">
        <v>106</v>
      </c>
      <c r="D2796" s="62">
        <v>174</v>
      </c>
      <c r="E2796" s="61" t="s">
        <v>2936</v>
      </c>
      <c r="F2796" s="19" t="s">
        <v>726</v>
      </c>
      <c r="G2796" s="10" t="s">
        <v>150</v>
      </c>
      <c r="H2796" s="10" t="s">
        <v>850</v>
      </c>
      <c r="I2796" s="62">
        <v>166</v>
      </c>
      <c r="J2796" s="10" t="s">
        <v>2372</v>
      </c>
      <c r="K2796" s="10" t="s">
        <v>847</v>
      </c>
      <c r="L2796" s="10" t="s">
        <v>2373</v>
      </c>
      <c r="M2796" s="10" t="s">
        <v>2372</v>
      </c>
      <c r="N2796" s="10" t="s">
        <v>2373</v>
      </c>
      <c r="O2796" s="10"/>
    </row>
    <row r="2797" spans="1:15" ht="18" customHeight="1" x14ac:dyDescent="0.3">
      <c r="A2797" s="24">
        <v>2796</v>
      </c>
      <c r="B2797" s="10" t="s">
        <v>105</v>
      </c>
      <c r="C2797" s="10" t="s">
        <v>106</v>
      </c>
      <c r="D2797" s="62">
        <v>174</v>
      </c>
      <c r="E2797" s="61" t="s">
        <v>2936</v>
      </c>
      <c r="F2797" s="19" t="s">
        <v>726</v>
      </c>
      <c r="G2797" s="10" t="s">
        <v>150</v>
      </c>
      <c r="H2797" s="10" t="s">
        <v>851</v>
      </c>
      <c r="I2797" s="62">
        <v>136</v>
      </c>
      <c r="J2797" s="10" t="s">
        <v>2372</v>
      </c>
      <c r="K2797" s="10" t="s">
        <v>847</v>
      </c>
      <c r="L2797" s="10" t="s">
        <v>2373</v>
      </c>
      <c r="M2797" s="10" t="s">
        <v>2372</v>
      </c>
      <c r="N2797" s="10" t="s">
        <v>2373</v>
      </c>
      <c r="O2797" s="10"/>
    </row>
    <row r="2798" spans="1:15" ht="18" customHeight="1" x14ac:dyDescent="0.3">
      <c r="A2798" s="24">
        <v>2797</v>
      </c>
      <c r="B2798" s="10" t="s">
        <v>105</v>
      </c>
      <c r="C2798" s="10" t="s">
        <v>106</v>
      </c>
      <c r="D2798" s="62">
        <v>174</v>
      </c>
      <c r="E2798" s="61" t="s">
        <v>2936</v>
      </c>
      <c r="F2798" s="19" t="s">
        <v>726</v>
      </c>
      <c r="G2798" s="10" t="s">
        <v>150</v>
      </c>
      <c r="H2798" s="10" t="s">
        <v>852</v>
      </c>
      <c r="I2798" s="62">
        <v>172</v>
      </c>
      <c r="J2798" s="10" t="s">
        <v>2374</v>
      </c>
      <c r="K2798" s="10" t="s">
        <v>847</v>
      </c>
      <c r="L2798" s="10" t="s">
        <v>2373</v>
      </c>
      <c r="M2798" s="10" t="s">
        <v>2372</v>
      </c>
      <c r="N2798" s="10" t="s">
        <v>2373</v>
      </c>
      <c r="O2798" s="10"/>
    </row>
    <row r="2799" spans="1:15" ht="18" customHeight="1" x14ac:dyDescent="0.3">
      <c r="A2799" s="24">
        <v>2798</v>
      </c>
      <c r="B2799" s="10" t="s">
        <v>105</v>
      </c>
      <c r="C2799" s="10" t="s">
        <v>106</v>
      </c>
      <c r="D2799" s="62">
        <v>174</v>
      </c>
      <c r="E2799" s="61" t="s">
        <v>2936</v>
      </c>
      <c r="F2799" s="19" t="s">
        <v>726</v>
      </c>
      <c r="G2799" s="10" t="s">
        <v>150</v>
      </c>
      <c r="H2799" s="10" t="s">
        <v>853</v>
      </c>
      <c r="I2799" s="62">
        <v>170</v>
      </c>
      <c r="J2799" s="10" t="s">
        <v>2374</v>
      </c>
      <c r="K2799" s="10" t="s">
        <v>847</v>
      </c>
      <c r="L2799" s="10" t="s">
        <v>2373</v>
      </c>
      <c r="M2799" s="10" t="s">
        <v>2372</v>
      </c>
      <c r="N2799" s="10" t="s">
        <v>2373</v>
      </c>
      <c r="O2799" s="10"/>
    </row>
    <row r="2800" spans="1:15" ht="18" customHeight="1" x14ac:dyDescent="0.3">
      <c r="A2800" s="24">
        <v>2799</v>
      </c>
      <c r="B2800" s="10" t="s">
        <v>105</v>
      </c>
      <c r="C2800" s="10" t="s">
        <v>106</v>
      </c>
      <c r="D2800" s="62">
        <v>174</v>
      </c>
      <c r="E2800" s="61" t="s">
        <v>2936</v>
      </c>
      <c r="F2800" s="19" t="s">
        <v>726</v>
      </c>
      <c r="G2800" s="10" t="s">
        <v>150</v>
      </c>
      <c r="H2800" s="10" t="s">
        <v>854</v>
      </c>
      <c r="I2800" s="62">
        <v>84</v>
      </c>
      <c r="J2800" s="10" t="s">
        <v>2374</v>
      </c>
      <c r="K2800" s="10" t="s">
        <v>846</v>
      </c>
      <c r="L2800" s="10" t="s">
        <v>188</v>
      </c>
      <c r="M2800" s="10" t="s">
        <v>2372</v>
      </c>
      <c r="N2800" s="10" t="s">
        <v>2373</v>
      </c>
      <c r="O2800" s="10"/>
    </row>
    <row r="2801" spans="1:15" ht="18" customHeight="1" x14ac:dyDescent="0.3">
      <c r="A2801" s="24">
        <v>2800</v>
      </c>
      <c r="B2801" s="10" t="s">
        <v>105</v>
      </c>
      <c r="C2801" s="10" t="s">
        <v>106</v>
      </c>
      <c r="D2801" s="62">
        <v>174</v>
      </c>
      <c r="E2801" s="61" t="s">
        <v>298</v>
      </c>
      <c r="F2801" s="11" t="s">
        <v>2065</v>
      </c>
      <c r="G2801" s="10" t="s">
        <v>2373</v>
      </c>
      <c r="H2801" s="10" t="s">
        <v>851</v>
      </c>
      <c r="I2801" s="62">
        <v>224</v>
      </c>
      <c r="J2801" s="10" t="s">
        <v>2372</v>
      </c>
      <c r="K2801" s="10" t="s">
        <v>847</v>
      </c>
      <c r="L2801" s="10" t="s">
        <v>2373</v>
      </c>
      <c r="M2801" s="10" t="s">
        <v>2372</v>
      </c>
      <c r="N2801" s="10" t="s">
        <v>2373</v>
      </c>
      <c r="O2801" s="10"/>
    </row>
    <row r="2802" spans="1:15" ht="18" customHeight="1" x14ac:dyDescent="0.3">
      <c r="A2802" s="24">
        <v>2801</v>
      </c>
      <c r="B2802" s="10" t="s">
        <v>105</v>
      </c>
      <c r="C2802" s="10" t="s">
        <v>106</v>
      </c>
      <c r="D2802" s="62">
        <v>174</v>
      </c>
      <c r="E2802" s="61" t="s">
        <v>298</v>
      </c>
      <c r="F2802" s="11" t="s">
        <v>2065</v>
      </c>
      <c r="G2802" s="10" t="s">
        <v>2373</v>
      </c>
      <c r="H2802" s="10" t="s">
        <v>852</v>
      </c>
      <c r="I2802" s="62">
        <v>85</v>
      </c>
      <c r="J2802" s="10" t="s">
        <v>2372</v>
      </c>
      <c r="K2802" s="10" t="s">
        <v>847</v>
      </c>
      <c r="L2802" s="10" t="s">
        <v>2373</v>
      </c>
      <c r="M2802" s="10" t="s">
        <v>2372</v>
      </c>
      <c r="N2802" s="10" t="s">
        <v>2373</v>
      </c>
      <c r="O2802" s="10"/>
    </row>
    <row r="2803" spans="1:15" ht="18" customHeight="1" x14ac:dyDescent="0.3">
      <c r="A2803" s="24">
        <v>2802</v>
      </c>
      <c r="B2803" s="10" t="s">
        <v>105</v>
      </c>
      <c r="C2803" s="10" t="s">
        <v>106</v>
      </c>
      <c r="D2803" s="62">
        <v>174</v>
      </c>
      <c r="E2803" s="61" t="s">
        <v>298</v>
      </c>
      <c r="F2803" s="11" t="s">
        <v>2065</v>
      </c>
      <c r="G2803" s="10" t="s">
        <v>2373</v>
      </c>
      <c r="H2803" s="10" t="s">
        <v>853</v>
      </c>
      <c r="I2803" s="62">
        <v>108</v>
      </c>
      <c r="J2803" s="10" t="s">
        <v>2372</v>
      </c>
      <c r="K2803" s="10" t="s">
        <v>847</v>
      </c>
      <c r="L2803" s="10" t="s">
        <v>2373</v>
      </c>
      <c r="M2803" s="10" t="s">
        <v>2372</v>
      </c>
      <c r="N2803" s="10" t="s">
        <v>2373</v>
      </c>
      <c r="O2803" s="10"/>
    </row>
    <row r="2804" spans="1:15" ht="18" customHeight="1" x14ac:dyDescent="0.3">
      <c r="A2804" s="24">
        <v>2803</v>
      </c>
      <c r="B2804" s="10" t="s">
        <v>105</v>
      </c>
      <c r="C2804" s="10" t="s">
        <v>106</v>
      </c>
      <c r="D2804" s="62">
        <v>174</v>
      </c>
      <c r="E2804" s="61" t="s">
        <v>298</v>
      </c>
      <c r="F2804" s="11" t="s">
        <v>2065</v>
      </c>
      <c r="G2804" s="10" t="s">
        <v>2373</v>
      </c>
      <c r="H2804" s="10" t="s">
        <v>854</v>
      </c>
      <c r="I2804" s="62">
        <v>245</v>
      </c>
      <c r="J2804" s="10" t="s">
        <v>2372</v>
      </c>
      <c r="K2804" s="10" t="s">
        <v>847</v>
      </c>
      <c r="L2804" s="10" t="s">
        <v>2373</v>
      </c>
      <c r="M2804" s="10" t="s">
        <v>2372</v>
      </c>
      <c r="N2804" s="10" t="s">
        <v>2373</v>
      </c>
      <c r="O2804" s="10"/>
    </row>
    <row r="2805" spans="1:15" ht="18" customHeight="1" x14ac:dyDescent="0.3">
      <c r="A2805" s="24">
        <v>2804</v>
      </c>
      <c r="B2805" s="10" t="s">
        <v>105</v>
      </c>
      <c r="C2805" s="10" t="s">
        <v>106</v>
      </c>
      <c r="D2805" s="62">
        <v>174</v>
      </c>
      <c r="E2805" s="61" t="s">
        <v>971</v>
      </c>
      <c r="F2805" s="11" t="s">
        <v>2070</v>
      </c>
      <c r="G2805" s="10" t="s">
        <v>2373</v>
      </c>
      <c r="H2805" s="10" t="s">
        <v>845</v>
      </c>
      <c r="I2805" s="62">
        <v>94</v>
      </c>
      <c r="J2805" s="10" t="s">
        <v>2372</v>
      </c>
      <c r="K2805" s="10" t="s">
        <v>847</v>
      </c>
      <c r="L2805" s="10" t="s">
        <v>2373</v>
      </c>
      <c r="M2805" s="10" t="s">
        <v>2372</v>
      </c>
      <c r="N2805" s="10" t="s">
        <v>2373</v>
      </c>
      <c r="O2805" s="10"/>
    </row>
    <row r="2806" spans="1:15" ht="18" customHeight="1" x14ac:dyDescent="0.3">
      <c r="A2806" s="24">
        <v>2805</v>
      </c>
      <c r="B2806" s="10" t="s">
        <v>105</v>
      </c>
      <c r="C2806" s="10" t="s">
        <v>106</v>
      </c>
      <c r="D2806" s="62">
        <v>174</v>
      </c>
      <c r="E2806" s="61" t="s">
        <v>972</v>
      </c>
      <c r="F2806" s="11" t="s">
        <v>2070</v>
      </c>
      <c r="G2806" s="10" t="s">
        <v>2373</v>
      </c>
      <c r="H2806" s="10" t="s">
        <v>845</v>
      </c>
      <c r="I2806" s="62">
        <v>91</v>
      </c>
      <c r="J2806" s="10" t="s">
        <v>2372</v>
      </c>
      <c r="K2806" s="10" t="s">
        <v>847</v>
      </c>
      <c r="L2806" s="10" t="s">
        <v>2373</v>
      </c>
      <c r="M2806" s="10" t="s">
        <v>2372</v>
      </c>
      <c r="N2806" s="10" t="s">
        <v>2373</v>
      </c>
      <c r="O2806" s="10"/>
    </row>
    <row r="2807" spans="1:15" ht="18" customHeight="1" x14ac:dyDescent="0.3">
      <c r="A2807" s="24">
        <v>2806</v>
      </c>
      <c r="B2807" s="10" t="s">
        <v>105</v>
      </c>
      <c r="C2807" s="10" t="s">
        <v>106</v>
      </c>
      <c r="D2807" s="62">
        <v>174</v>
      </c>
      <c r="E2807" s="61" t="s">
        <v>972</v>
      </c>
      <c r="F2807" s="11" t="s">
        <v>2070</v>
      </c>
      <c r="G2807" s="10" t="s">
        <v>2373</v>
      </c>
      <c r="H2807" s="10" t="s">
        <v>848</v>
      </c>
      <c r="I2807" s="62">
        <v>194</v>
      </c>
      <c r="J2807" s="10" t="s">
        <v>2374</v>
      </c>
      <c r="K2807" s="10" t="s">
        <v>847</v>
      </c>
      <c r="L2807" s="10" t="s">
        <v>2373</v>
      </c>
      <c r="M2807" s="10" t="s">
        <v>2372</v>
      </c>
      <c r="N2807" s="10" t="s">
        <v>2373</v>
      </c>
      <c r="O2807" s="10"/>
    </row>
    <row r="2808" spans="1:15" ht="18" customHeight="1" x14ac:dyDescent="0.3">
      <c r="A2808" s="24">
        <v>2807</v>
      </c>
      <c r="B2808" s="10" t="s">
        <v>105</v>
      </c>
      <c r="C2808" s="10" t="s">
        <v>106</v>
      </c>
      <c r="D2808" s="62">
        <v>174</v>
      </c>
      <c r="E2808" s="61" t="s">
        <v>972</v>
      </c>
      <c r="F2808" s="11" t="s">
        <v>2070</v>
      </c>
      <c r="G2808" s="10" t="s">
        <v>2373</v>
      </c>
      <c r="H2808" s="10" t="s">
        <v>849</v>
      </c>
      <c r="I2808" s="62">
        <v>140</v>
      </c>
      <c r="J2808" s="10" t="s">
        <v>2372</v>
      </c>
      <c r="K2808" s="10" t="s">
        <v>847</v>
      </c>
      <c r="L2808" s="10" t="s">
        <v>2373</v>
      </c>
      <c r="M2808" s="10" t="s">
        <v>2372</v>
      </c>
      <c r="N2808" s="10" t="s">
        <v>2373</v>
      </c>
      <c r="O2808" s="10"/>
    </row>
    <row r="2809" spans="1:15" ht="18" customHeight="1" x14ac:dyDescent="0.3">
      <c r="A2809" s="24">
        <v>2808</v>
      </c>
      <c r="B2809" s="10" t="s">
        <v>105</v>
      </c>
      <c r="C2809" s="10" t="s">
        <v>106</v>
      </c>
      <c r="D2809" s="62">
        <v>174</v>
      </c>
      <c r="E2809" s="61" t="s">
        <v>972</v>
      </c>
      <c r="F2809" s="11" t="s">
        <v>2070</v>
      </c>
      <c r="G2809" s="10" t="s">
        <v>2373</v>
      </c>
      <c r="H2809" s="10" t="s">
        <v>850</v>
      </c>
      <c r="I2809" s="62">
        <v>195</v>
      </c>
      <c r="J2809" s="10" t="s">
        <v>2372</v>
      </c>
      <c r="K2809" s="10" t="s">
        <v>847</v>
      </c>
      <c r="L2809" s="10" t="s">
        <v>2373</v>
      </c>
      <c r="M2809" s="10" t="s">
        <v>2372</v>
      </c>
      <c r="N2809" s="10" t="s">
        <v>2373</v>
      </c>
      <c r="O2809" s="10"/>
    </row>
    <row r="2810" spans="1:15" ht="18" customHeight="1" x14ac:dyDescent="0.3">
      <c r="A2810" s="24">
        <v>2809</v>
      </c>
      <c r="B2810" s="10" t="s">
        <v>105</v>
      </c>
      <c r="C2810" s="10" t="s">
        <v>106</v>
      </c>
      <c r="D2810" s="62">
        <v>174</v>
      </c>
      <c r="E2810" s="61" t="s">
        <v>972</v>
      </c>
      <c r="F2810" s="11" t="s">
        <v>2070</v>
      </c>
      <c r="G2810" s="10" t="s">
        <v>2373</v>
      </c>
      <c r="H2810" s="10" t="s">
        <v>851</v>
      </c>
      <c r="I2810" s="62">
        <v>140</v>
      </c>
      <c r="J2810" s="10" t="s">
        <v>2372</v>
      </c>
      <c r="K2810" s="10" t="s">
        <v>847</v>
      </c>
      <c r="L2810" s="10" t="s">
        <v>2373</v>
      </c>
      <c r="M2810" s="10" t="s">
        <v>2372</v>
      </c>
      <c r="N2810" s="10" t="s">
        <v>2373</v>
      </c>
      <c r="O2810" s="10"/>
    </row>
    <row r="2811" spans="1:15" ht="18" customHeight="1" x14ac:dyDescent="0.3">
      <c r="A2811" s="24">
        <v>2810</v>
      </c>
      <c r="B2811" s="10" t="s">
        <v>105</v>
      </c>
      <c r="C2811" s="10" t="s">
        <v>106</v>
      </c>
      <c r="D2811" s="62">
        <v>174</v>
      </c>
      <c r="E2811" s="61" t="s">
        <v>2937</v>
      </c>
      <c r="F2811" s="19" t="s">
        <v>725</v>
      </c>
      <c r="G2811" s="10" t="s">
        <v>150</v>
      </c>
      <c r="H2811" s="10" t="s">
        <v>845</v>
      </c>
      <c r="I2811" s="62">
        <v>132</v>
      </c>
      <c r="J2811" s="10" t="s">
        <v>2372</v>
      </c>
      <c r="K2811" s="10" t="s">
        <v>847</v>
      </c>
      <c r="L2811" s="10" t="s">
        <v>2373</v>
      </c>
      <c r="M2811" s="10" t="s">
        <v>2372</v>
      </c>
      <c r="N2811" s="10" t="s">
        <v>2373</v>
      </c>
      <c r="O2811" s="10"/>
    </row>
    <row r="2812" spans="1:15" ht="18" customHeight="1" x14ac:dyDescent="0.3">
      <c r="A2812" s="24">
        <v>2811</v>
      </c>
      <c r="B2812" s="10" t="s">
        <v>105</v>
      </c>
      <c r="C2812" s="10" t="s">
        <v>106</v>
      </c>
      <c r="D2812" s="62">
        <v>174</v>
      </c>
      <c r="E2812" s="61" t="s">
        <v>2937</v>
      </c>
      <c r="F2812" s="19" t="s">
        <v>725</v>
      </c>
      <c r="G2812" s="10" t="s">
        <v>150</v>
      </c>
      <c r="H2812" s="10" t="s">
        <v>848</v>
      </c>
      <c r="I2812" s="62">
        <v>164</v>
      </c>
      <c r="J2812" s="10" t="s">
        <v>2372</v>
      </c>
      <c r="K2812" s="10" t="s">
        <v>847</v>
      </c>
      <c r="L2812" s="10" t="s">
        <v>2373</v>
      </c>
      <c r="M2812" s="10" t="s">
        <v>2372</v>
      </c>
      <c r="N2812" s="10" t="s">
        <v>2373</v>
      </c>
      <c r="O2812" s="10"/>
    </row>
    <row r="2813" spans="1:15" ht="18" customHeight="1" x14ac:dyDescent="0.3">
      <c r="A2813" s="24">
        <v>2812</v>
      </c>
      <c r="B2813" s="10" t="s">
        <v>105</v>
      </c>
      <c r="C2813" s="10" t="s">
        <v>106</v>
      </c>
      <c r="D2813" s="62">
        <v>174</v>
      </c>
      <c r="E2813" s="61" t="s">
        <v>2937</v>
      </c>
      <c r="F2813" s="19" t="s">
        <v>725</v>
      </c>
      <c r="G2813" s="10" t="s">
        <v>150</v>
      </c>
      <c r="H2813" s="10" t="s">
        <v>849</v>
      </c>
      <c r="I2813" s="62">
        <v>96</v>
      </c>
      <c r="J2813" s="10" t="s">
        <v>2372</v>
      </c>
      <c r="K2813" s="10" t="s">
        <v>847</v>
      </c>
      <c r="L2813" s="10" t="s">
        <v>2373</v>
      </c>
      <c r="M2813" s="10" t="s">
        <v>2372</v>
      </c>
      <c r="N2813" s="10" t="s">
        <v>2373</v>
      </c>
      <c r="O2813" s="10"/>
    </row>
    <row r="2814" spans="1:15" ht="18" customHeight="1" x14ac:dyDescent="0.3">
      <c r="A2814" s="24">
        <v>2813</v>
      </c>
      <c r="B2814" s="10" t="s">
        <v>105</v>
      </c>
      <c r="C2814" s="10" t="s">
        <v>106</v>
      </c>
      <c r="D2814" s="62">
        <v>174</v>
      </c>
      <c r="E2814" s="61" t="s">
        <v>2937</v>
      </c>
      <c r="F2814" s="19" t="s">
        <v>725</v>
      </c>
      <c r="G2814" s="10" t="s">
        <v>150</v>
      </c>
      <c r="H2814" s="10" t="s">
        <v>850</v>
      </c>
      <c r="I2814" s="62">
        <v>172</v>
      </c>
      <c r="J2814" s="10" t="s">
        <v>2374</v>
      </c>
      <c r="K2814" s="10" t="s">
        <v>847</v>
      </c>
      <c r="L2814" s="10" t="s">
        <v>2373</v>
      </c>
      <c r="M2814" s="10" t="s">
        <v>2372</v>
      </c>
      <c r="N2814" s="10" t="s">
        <v>2373</v>
      </c>
      <c r="O2814" s="10"/>
    </row>
    <row r="2815" spans="1:15" ht="18" customHeight="1" x14ac:dyDescent="0.3">
      <c r="A2815" s="24">
        <v>2814</v>
      </c>
      <c r="B2815" s="10" t="s">
        <v>105</v>
      </c>
      <c r="C2815" s="10" t="s">
        <v>106</v>
      </c>
      <c r="D2815" s="62">
        <v>174</v>
      </c>
      <c r="E2815" s="61" t="s">
        <v>2937</v>
      </c>
      <c r="F2815" s="19" t="s">
        <v>725</v>
      </c>
      <c r="G2815" s="10" t="s">
        <v>150</v>
      </c>
      <c r="H2815" s="10" t="s">
        <v>851</v>
      </c>
      <c r="I2815" s="62">
        <v>156</v>
      </c>
      <c r="J2815" s="10" t="s">
        <v>2374</v>
      </c>
      <c r="K2815" s="10" t="s">
        <v>847</v>
      </c>
      <c r="L2815" s="10" t="s">
        <v>2373</v>
      </c>
      <c r="M2815" s="10" t="s">
        <v>2372</v>
      </c>
      <c r="N2815" s="10" t="s">
        <v>2373</v>
      </c>
      <c r="O2815" s="10"/>
    </row>
    <row r="2816" spans="1:15" ht="18" customHeight="1" x14ac:dyDescent="0.3">
      <c r="A2816" s="24">
        <v>2815</v>
      </c>
      <c r="B2816" s="10" t="s">
        <v>105</v>
      </c>
      <c r="C2816" s="10" t="s">
        <v>106</v>
      </c>
      <c r="D2816" s="62">
        <v>174</v>
      </c>
      <c r="E2816" s="61" t="s">
        <v>3138</v>
      </c>
      <c r="F2816" s="16" t="s">
        <v>732</v>
      </c>
      <c r="G2816" s="10" t="s">
        <v>2441</v>
      </c>
      <c r="H2816" s="10" t="s">
        <v>845</v>
      </c>
      <c r="I2816" s="62">
        <v>159</v>
      </c>
      <c r="J2816" s="10" t="s">
        <v>2372</v>
      </c>
      <c r="K2816" s="10" t="s">
        <v>847</v>
      </c>
      <c r="L2816" s="10" t="s">
        <v>2373</v>
      </c>
      <c r="M2816" s="10" t="s">
        <v>2372</v>
      </c>
      <c r="N2816" s="10" t="s">
        <v>2373</v>
      </c>
      <c r="O2816" s="10"/>
    </row>
    <row r="2817" spans="1:15" ht="18" customHeight="1" x14ac:dyDescent="0.3">
      <c r="A2817" s="24">
        <v>2816</v>
      </c>
      <c r="B2817" s="10" t="s">
        <v>105</v>
      </c>
      <c r="C2817" s="10" t="s">
        <v>106</v>
      </c>
      <c r="D2817" s="62">
        <v>174</v>
      </c>
      <c r="E2817" s="61" t="s">
        <v>3138</v>
      </c>
      <c r="F2817" s="16" t="s">
        <v>732</v>
      </c>
      <c r="G2817" s="10" t="s">
        <v>2441</v>
      </c>
      <c r="H2817" s="10" t="s">
        <v>848</v>
      </c>
      <c r="I2817" s="62">
        <v>125</v>
      </c>
      <c r="J2817" s="10" t="s">
        <v>2372</v>
      </c>
      <c r="K2817" s="10" t="s">
        <v>847</v>
      </c>
      <c r="L2817" s="10" t="s">
        <v>2373</v>
      </c>
      <c r="M2817" s="10" t="s">
        <v>2372</v>
      </c>
      <c r="N2817" s="10" t="s">
        <v>2373</v>
      </c>
      <c r="O2817" s="10"/>
    </row>
    <row r="2818" spans="1:15" ht="18" customHeight="1" x14ac:dyDescent="0.3">
      <c r="A2818" s="24">
        <v>2817</v>
      </c>
      <c r="B2818" s="10" t="s">
        <v>105</v>
      </c>
      <c r="C2818" s="10" t="s">
        <v>106</v>
      </c>
      <c r="D2818" s="62">
        <v>174</v>
      </c>
      <c r="E2818" s="61" t="s">
        <v>3138</v>
      </c>
      <c r="F2818" s="16" t="s">
        <v>732</v>
      </c>
      <c r="G2818" s="10" t="s">
        <v>2441</v>
      </c>
      <c r="H2818" s="10" t="s">
        <v>849</v>
      </c>
      <c r="I2818" s="62">
        <v>154</v>
      </c>
      <c r="J2818" s="10" t="s">
        <v>2372</v>
      </c>
      <c r="K2818" s="10" t="s">
        <v>847</v>
      </c>
      <c r="L2818" s="10" t="s">
        <v>2373</v>
      </c>
      <c r="M2818" s="10" t="s">
        <v>2372</v>
      </c>
      <c r="N2818" s="10" t="s">
        <v>2373</v>
      </c>
      <c r="O2818" s="10"/>
    </row>
    <row r="2819" spans="1:15" ht="18" customHeight="1" x14ac:dyDescent="0.3">
      <c r="A2819" s="24">
        <v>2818</v>
      </c>
      <c r="B2819" s="10" t="s">
        <v>105</v>
      </c>
      <c r="C2819" s="10" t="s">
        <v>106</v>
      </c>
      <c r="D2819" s="62">
        <v>174</v>
      </c>
      <c r="E2819" s="61" t="s">
        <v>3138</v>
      </c>
      <c r="F2819" s="16" t="s">
        <v>732</v>
      </c>
      <c r="G2819" s="10" t="s">
        <v>2441</v>
      </c>
      <c r="H2819" s="176" t="s">
        <v>3139</v>
      </c>
      <c r="I2819" s="62">
        <v>76</v>
      </c>
      <c r="J2819" s="10" t="s">
        <v>2372</v>
      </c>
      <c r="K2819" s="10" t="s">
        <v>2374</v>
      </c>
      <c r="L2819" s="176" t="s">
        <v>3113</v>
      </c>
      <c r="M2819" s="10" t="s">
        <v>2372</v>
      </c>
      <c r="N2819" s="10" t="s">
        <v>2373</v>
      </c>
      <c r="O2819" s="10"/>
    </row>
    <row r="2820" spans="1:15" ht="18" customHeight="1" x14ac:dyDescent="0.3">
      <c r="A2820" s="24">
        <v>2819</v>
      </c>
      <c r="B2820" s="10" t="s">
        <v>105</v>
      </c>
      <c r="C2820" s="10" t="s">
        <v>106</v>
      </c>
      <c r="D2820" s="62">
        <v>174</v>
      </c>
      <c r="E2820" s="61" t="s">
        <v>3138</v>
      </c>
      <c r="F2820" s="16" t="s">
        <v>732</v>
      </c>
      <c r="G2820" s="10" t="s">
        <v>2441</v>
      </c>
      <c r="H2820" s="176" t="s">
        <v>2620</v>
      </c>
      <c r="I2820" s="62">
        <v>60</v>
      </c>
      <c r="J2820" s="10" t="s">
        <v>2372</v>
      </c>
      <c r="K2820" s="10" t="s">
        <v>2374</v>
      </c>
      <c r="L2820" s="176" t="s">
        <v>3113</v>
      </c>
      <c r="M2820" s="10" t="s">
        <v>2372</v>
      </c>
      <c r="N2820" s="10" t="s">
        <v>2373</v>
      </c>
      <c r="O2820" s="10"/>
    </row>
    <row r="2821" spans="1:15" ht="18" customHeight="1" x14ac:dyDescent="0.3">
      <c r="A2821" s="24">
        <v>2820</v>
      </c>
      <c r="B2821" s="10" t="s">
        <v>105</v>
      </c>
      <c r="C2821" s="10" t="s">
        <v>106</v>
      </c>
      <c r="D2821" s="62">
        <v>174</v>
      </c>
      <c r="E2821" s="61" t="s">
        <v>3138</v>
      </c>
      <c r="F2821" s="16" t="s">
        <v>732</v>
      </c>
      <c r="G2821" s="10" t="s">
        <v>2441</v>
      </c>
      <c r="H2821" s="176" t="s">
        <v>2621</v>
      </c>
      <c r="I2821" s="62">
        <v>81</v>
      </c>
      <c r="J2821" s="10" t="s">
        <v>2372</v>
      </c>
      <c r="K2821" s="10" t="s">
        <v>2374</v>
      </c>
      <c r="L2821" s="176" t="s">
        <v>3113</v>
      </c>
      <c r="M2821" s="10" t="s">
        <v>2372</v>
      </c>
      <c r="N2821" s="10" t="s">
        <v>2373</v>
      </c>
      <c r="O2821" s="10"/>
    </row>
    <row r="2822" spans="1:15" ht="18" customHeight="1" x14ac:dyDescent="0.3">
      <c r="A2822" s="24">
        <v>2821</v>
      </c>
      <c r="B2822" s="10" t="s">
        <v>105</v>
      </c>
      <c r="C2822" s="10" t="s">
        <v>106</v>
      </c>
      <c r="D2822" s="62">
        <v>174</v>
      </c>
      <c r="E2822" s="61" t="s">
        <v>3138</v>
      </c>
      <c r="F2822" s="16" t="s">
        <v>732</v>
      </c>
      <c r="G2822" s="10" t="s">
        <v>2441</v>
      </c>
      <c r="H2822" s="176" t="s">
        <v>2622</v>
      </c>
      <c r="I2822" s="62">
        <v>32</v>
      </c>
      <c r="J2822" s="10" t="s">
        <v>2372</v>
      </c>
      <c r="K2822" s="10" t="s">
        <v>2374</v>
      </c>
      <c r="L2822" s="176" t="s">
        <v>3113</v>
      </c>
      <c r="M2822" s="10" t="s">
        <v>2372</v>
      </c>
      <c r="N2822" s="10" t="s">
        <v>2373</v>
      </c>
      <c r="O2822" s="10"/>
    </row>
    <row r="2823" spans="1:15" ht="18" customHeight="1" x14ac:dyDescent="0.3">
      <c r="A2823" s="24">
        <v>2822</v>
      </c>
      <c r="B2823" s="10" t="s">
        <v>105</v>
      </c>
      <c r="C2823" s="10" t="s">
        <v>106</v>
      </c>
      <c r="D2823" s="62">
        <v>174</v>
      </c>
      <c r="E2823" s="61" t="s">
        <v>3138</v>
      </c>
      <c r="F2823" s="16" t="s">
        <v>732</v>
      </c>
      <c r="G2823" s="10" t="s">
        <v>2441</v>
      </c>
      <c r="H2823" s="176" t="s">
        <v>2756</v>
      </c>
      <c r="I2823" s="62">
        <v>37</v>
      </c>
      <c r="J2823" s="10" t="s">
        <v>2372</v>
      </c>
      <c r="K2823" s="10" t="s">
        <v>2374</v>
      </c>
      <c r="L2823" s="176" t="s">
        <v>3113</v>
      </c>
      <c r="M2823" s="10" t="s">
        <v>2372</v>
      </c>
      <c r="N2823" s="10" t="s">
        <v>2373</v>
      </c>
      <c r="O2823" s="10"/>
    </row>
    <row r="2824" spans="1:15" ht="18" customHeight="1" x14ac:dyDescent="0.3">
      <c r="A2824" s="24">
        <v>2823</v>
      </c>
      <c r="B2824" s="10" t="s">
        <v>105</v>
      </c>
      <c r="C2824" s="10" t="s">
        <v>106</v>
      </c>
      <c r="D2824" s="62">
        <v>174</v>
      </c>
      <c r="E2824" s="61" t="s">
        <v>3138</v>
      </c>
      <c r="F2824" s="16" t="s">
        <v>732</v>
      </c>
      <c r="G2824" s="10" t="s">
        <v>2441</v>
      </c>
      <c r="H2824" s="176" t="s">
        <v>2757</v>
      </c>
      <c r="I2824" s="62">
        <v>47</v>
      </c>
      <c r="J2824" s="10" t="s">
        <v>2372</v>
      </c>
      <c r="K2824" s="10" t="s">
        <v>2374</v>
      </c>
      <c r="L2824" s="176" t="s">
        <v>3113</v>
      </c>
      <c r="M2824" s="10" t="s">
        <v>2372</v>
      </c>
      <c r="N2824" s="10" t="s">
        <v>2373</v>
      </c>
      <c r="O2824" s="10"/>
    </row>
    <row r="2825" spans="1:15" ht="18" customHeight="1" x14ac:dyDescent="0.3">
      <c r="A2825" s="24">
        <v>2824</v>
      </c>
      <c r="B2825" s="10" t="s">
        <v>105</v>
      </c>
      <c r="C2825" s="10" t="s">
        <v>106</v>
      </c>
      <c r="D2825" s="62">
        <v>174</v>
      </c>
      <c r="E2825" s="61" t="s">
        <v>3138</v>
      </c>
      <c r="F2825" s="16" t="s">
        <v>1137</v>
      </c>
      <c r="G2825" s="10" t="s">
        <v>2441</v>
      </c>
      <c r="H2825" s="176" t="s">
        <v>1193</v>
      </c>
      <c r="I2825" s="62">
        <v>79</v>
      </c>
      <c r="J2825" s="10" t="s">
        <v>2372</v>
      </c>
      <c r="K2825" s="10" t="s">
        <v>2374</v>
      </c>
      <c r="L2825" s="176" t="s">
        <v>3113</v>
      </c>
      <c r="M2825" s="10" t="s">
        <v>2372</v>
      </c>
      <c r="N2825" s="10" t="s">
        <v>2373</v>
      </c>
      <c r="O2825" s="10"/>
    </row>
    <row r="2826" spans="1:15" ht="18" customHeight="1" x14ac:dyDescent="0.3">
      <c r="A2826" s="24">
        <v>2825</v>
      </c>
      <c r="B2826" s="10" t="s">
        <v>2052</v>
      </c>
      <c r="C2826" s="10" t="s">
        <v>2053</v>
      </c>
      <c r="D2826" s="62">
        <v>176</v>
      </c>
      <c r="E2826" s="61" t="s">
        <v>2938</v>
      </c>
      <c r="F2826" s="44" t="s">
        <v>2077</v>
      </c>
      <c r="G2826" s="10" t="s">
        <v>1278</v>
      </c>
      <c r="H2826" s="10" t="s">
        <v>2385</v>
      </c>
      <c r="I2826" s="62">
        <v>146</v>
      </c>
      <c r="J2826" s="10" t="s">
        <v>2372</v>
      </c>
      <c r="K2826" s="10" t="s">
        <v>2372</v>
      </c>
      <c r="L2826" s="10" t="s">
        <v>2373</v>
      </c>
      <c r="M2826" s="10" t="s">
        <v>2372</v>
      </c>
      <c r="N2826" s="10" t="s">
        <v>2373</v>
      </c>
      <c r="O2826" s="10"/>
    </row>
    <row r="2827" spans="1:15" ht="18" customHeight="1" x14ac:dyDescent="0.3">
      <c r="A2827" s="24">
        <v>2826</v>
      </c>
      <c r="B2827" s="10" t="s">
        <v>2052</v>
      </c>
      <c r="C2827" s="10" t="s">
        <v>2053</v>
      </c>
      <c r="D2827" s="62">
        <v>176</v>
      </c>
      <c r="E2827" s="61" t="s">
        <v>2938</v>
      </c>
      <c r="F2827" s="44" t="s">
        <v>2077</v>
      </c>
      <c r="G2827" s="10" t="s">
        <v>1278</v>
      </c>
      <c r="H2827" s="10" t="s">
        <v>2378</v>
      </c>
      <c r="I2827" s="62">
        <v>114</v>
      </c>
      <c r="J2827" s="10" t="s">
        <v>2372</v>
      </c>
      <c r="K2827" s="10" t="s">
        <v>2372</v>
      </c>
      <c r="L2827" s="10" t="s">
        <v>2373</v>
      </c>
      <c r="M2827" s="10" t="s">
        <v>2372</v>
      </c>
      <c r="N2827" s="10" t="s">
        <v>2373</v>
      </c>
      <c r="O2827" s="10"/>
    </row>
    <row r="2828" spans="1:15" ht="18" customHeight="1" x14ac:dyDescent="0.3">
      <c r="A2828" s="24">
        <v>2827</v>
      </c>
      <c r="B2828" s="10" t="s">
        <v>2052</v>
      </c>
      <c r="C2828" s="10" t="s">
        <v>2053</v>
      </c>
      <c r="D2828" s="62">
        <v>176</v>
      </c>
      <c r="E2828" s="61" t="s">
        <v>2938</v>
      </c>
      <c r="F2828" s="44" t="s">
        <v>2077</v>
      </c>
      <c r="G2828" s="10" t="s">
        <v>1278</v>
      </c>
      <c r="H2828" s="10" t="s">
        <v>2379</v>
      </c>
      <c r="I2828" s="62">
        <v>170</v>
      </c>
      <c r="J2828" s="10" t="s">
        <v>2372</v>
      </c>
      <c r="K2828" s="10" t="s">
        <v>2372</v>
      </c>
      <c r="L2828" s="10" t="s">
        <v>2373</v>
      </c>
      <c r="M2828" s="10" t="s">
        <v>2372</v>
      </c>
      <c r="N2828" s="10" t="s">
        <v>2373</v>
      </c>
      <c r="O2828" s="10"/>
    </row>
    <row r="2829" spans="1:15" ht="18" customHeight="1" x14ac:dyDescent="0.3">
      <c r="A2829" s="24">
        <v>2828</v>
      </c>
      <c r="B2829" s="10" t="s">
        <v>2052</v>
      </c>
      <c r="C2829" s="10" t="s">
        <v>2053</v>
      </c>
      <c r="D2829" s="62">
        <v>176</v>
      </c>
      <c r="E2829" s="61" t="s">
        <v>2938</v>
      </c>
      <c r="F2829" s="44" t="s">
        <v>2077</v>
      </c>
      <c r="G2829" s="10" t="s">
        <v>1278</v>
      </c>
      <c r="H2829" s="10" t="s">
        <v>2380</v>
      </c>
      <c r="I2829" s="62">
        <v>92</v>
      </c>
      <c r="J2829" s="10" t="s">
        <v>2372</v>
      </c>
      <c r="K2829" s="10" t="s">
        <v>2372</v>
      </c>
      <c r="L2829" s="10" t="s">
        <v>2373</v>
      </c>
      <c r="M2829" s="10" t="s">
        <v>2372</v>
      </c>
      <c r="N2829" s="10" t="s">
        <v>2373</v>
      </c>
      <c r="O2829" s="10"/>
    </row>
    <row r="2830" spans="1:15" ht="18" customHeight="1" x14ac:dyDescent="0.3">
      <c r="A2830" s="24">
        <v>2829</v>
      </c>
      <c r="B2830" s="10" t="s">
        <v>2052</v>
      </c>
      <c r="C2830" s="10" t="s">
        <v>2053</v>
      </c>
      <c r="D2830" s="62">
        <v>176</v>
      </c>
      <c r="E2830" s="61" t="s">
        <v>2938</v>
      </c>
      <c r="F2830" s="44" t="s">
        <v>2077</v>
      </c>
      <c r="G2830" s="10" t="s">
        <v>1278</v>
      </c>
      <c r="H2830" s="10" t="s">
        <v>2390</v>
      </c>
      <c r="I2830" s="62">
        <v>114</v>
      </c>
      <c r="J2830" s="10" t="s">
        <v>2372</v>
      </c>
      <c r="K2830" s="10" t="s">
        <v>2372</v>
      </c>
      <c r="L2830" s="10" t="s">
        <v>2373</v>
      </c>
      <c r="M2830" s="10" t="s">
        <v>2372</v>
      </c>
      <c r="N2830" s="10" t="s">
        <v>2373</v>
      </c>
      <c r="O2830" s="10"/>
    </row>
    <row r="2831" spans="1:15" ht="18" customHeight="1" x14ac:dyDescent="0.3">
      <c r="A2831" s="24">
        <v>2830</v>
      </c>
      <c r="B2831" s="10" t="s">
        <v>2052</v>
      </c>
      <c r="C2831" s="10" t="s">
        <v>2053</v>
      </c>
      <c r="D2831" s="62">
        <v>176</v>
      </c>
      <c r="E2831" s="61" t="s">
        <v>2938</v>
      </c>
      <c r="F2831" s="44" t="s">
        <v>2077</v>
      </c>
      <c r="G2831" s="10" t="s">
        <v>1278</v>
      </c>
      <c r="H2831" s="10" t="s">
        <v>2382</v>
      </c>
      <c r="I2831" s="62">
        <v>170</v>
      </c>
      <c r="J2831" s="10" t="s">
        <v>2372</v>
      </c>
      <c r="K2831" s="10" t="s">
        <v>2372</v>
      </c>
      <c r="L2831" s="10" t="s">
        <v>2373</v>
      </c>
      <c r="M2831" s="10" t="s">
        <v>2372</v>
      </c>
      <c r="N2831" s="10" t="s">
        <v>2373</v>
      </c>
      <c r="O2831" s="10"/>
    </row>
    <row r="2832" spans="1:15" ht="18" customHeight="1" x14ac:dyDescent="0.3">
      <c r="A2832" s="24">
        <v>2831</v>
      </c>
      <c r="B2832" s="10" t="s">
        <v>105</v>
      </c>
      <c r="C2832" s="10" t="s">
        <v>107</v>
      </c>
      <c r="D2832" s="62">
        <v>177</v>
      </c>
      <c r="E2832" s="61" t="s">
        <v>210</v>
      </c>
      <c r="F2832" s="11" t="s">
        <v>721</v>
      </c>
      <c r="G2832" s="10" t="s">
        <v>150</v>
      </c>
      <c r="H2832" s="10" t="s">
        <v>845</v>
      </c>
      <c r="I2832" s="62">
        <v>135</v>
      </c>
      <c r="J2832" s="8" t="s">
        <v>846</v>
      </c>
      <c r="K2832" s="10" t="s">
        <v>847</v>
      </c>
      <c r="L2832" s="10" t="s">
        <v>2373</v>
      </c>
      <c r="M2832" s="10" t="s">
        <v>2372</v>
      </c>
      <c r="N2832" s="10" t="s">
        <v>2373</v>
      </c>
      <c r="O2832" s="10"/>
    </row>
    <row r="2833" spans="1:15" ht="18" customHeight="1" x14ac:dyDescent="0.3">
      <c r="A2833" s="24">
        <v>2832</v>
      </c>
      <c r="B2833" s="10" t="s">
        <v>105</v>
      </c>
      <c r="C2833" s="10" t="s">
        <v>107</v>
      </c>
      <c r="D2833" s="62">
        <v>177</v>
      </c>
      <c r="E2833" s="61" t="s">
        <v>210</v>
      </c>
      <c r="F2833" s="11" t="s">
        <v>721</v>
      </c>
      <c r="G2833" s="10" t="s">
        <v>150</v>
      </c>
      <c r="H2833" s="10" t="s">
        <v>848</v>
      </c>
      <c r="I2833" s="62">
        <v>303</v>
      </c>
      <c r="J2833" s="8" t="s">
        <v>846</v>
      </c>
      <c r="K2833" s="10" t="s">
        <v>847</v>
      </c>
      <c r="L2833" s="10" t="s">
        <v>2373</v>
      </c>
      <c r="M2833" s="10" t="s">
        <v>2372</v>
      </c>
      <c r="N2833" s="10" t="s">
        <v>2373</v>
      </c>
      <c r="O2833" s="10"/>
    </row>
    <row r="2834" spans="1:15" ht="18" customHeight="1" x14ac:dyDescent="0.3">
      <c r="A2834" s="24">
        <v>2833</v>
      </c>
      <c r="B2834" s="10" t="s">
        <v>105</v>
      </c>
      <c r="C2834" s="10" t="s">
        <v>107</v>
      </c>
      <c r="D2834" s="62">
        <v>177</v>
      </c>
      <c r="E2834" s="61" t="s">
        <v>210</v>
      </c>
      <c r="F2834" s="11" t="s">
        <v>721</v>
      </c>
      <c r="G2834" s="10" t="s">
        <v>150</v>
      </c>
      <c r="H2834" s="10" t="s">
        <v>849</v>
      </c>
      <c r="I2834" s="62">
        <v>154</v>
      </c>
      <c r="J2834" s="8" t="s">
        <v>2372</v>
      </c>
      <c r="K2834" s="10" t="s">
        <v>847</v>
      </c>
      <c r="L2834" s="10" t="s">
        <v>2373</v>
      </c>
      <c r="M2834" s="10" t="s">
        <v>2372</v>
      </c>
      <c r="N2834" s="10" t="s">
        <v>2373</v>
      </c>
      <c r="O2834" s="10"/>
    </row>
    <row r="2835" spans="1:15" ht="18" customHeight="1" x14ac:dyDescent="0.3">
      <c r="A2835" s="24">
        <v>2834</v>
      </c>
      <c r="B2835" s="10" t="s">
        <v>105</v>
      </c>
      <c r="C2835" s="10" t="s">
        <v>107</v>
      </c>
      <c r="D2835" s="62">
        <v>177</v>
      </c>
      <c r="E2835" s="61" t="s">
        <v>210</v>
      </c>
      <c r="F2835" s="11" t="s">
        <v>721</v>
      </c>
      <c r="G2835" s="10" t="s">
        <v>150</v>
      </c>
      <c r="H2835" s="10" t="s">
        <v>850</v>
      </c>
      <c r="I2835" s="62">
        <v>155</v>
      </c>
      <c r="J2835" s="8" t="s">
        <v>2372</v>
      </c>
      <c r="K2835" s="10" t="s">
        <v>847</v>
      </c>
      <c r="L2835" s="10" t="s">
        <v>2373</v>
      </c>
      <c r="M2835" s="10" t="s">
        <v>2372</v>
      </c>
      <c r="N2835" s="10" t="s">
        <v>2373</v>
      </c>
      <c r="O2835" s="10"/>
    </row>
    <row r="2836" spans="1:15" ht="18" customHeight="1" x14ac:dyDescent="0.3">
      <c r="A2836" s="24">
        <v>2835</v>
      </c>
      <c r="B2836" s="10" t="s">
        <v>105</v>
      </c>
      <c r="C2836" s="10" t="s">
        <v>107</v>
      </c>
      <c r="D2836" s="62">
        <v>177</v>
      </c>
      <c r="E2836" s="61" t="s">
        <v>210</v>
      </c>
      <c r="F2836" s="11" t="s">
        <v>721</v>
      </c>
      <c r="G2836" s="10" t="s">
        <v>150</v>
      </c>
      <c r="H2836" s="10" t="s">
        <v>851</v>
      </c>
      <c r="I2836" s="62">
        <v>152</v>
      </c>
      <c r="J2836" s="8" t="s">
        <v>2372</v>
      </c>
      <c r="K2836" s="10" t="s">
        <v>847</v>
      </c>
      <c r="L2836" s="10" t="s">
        <v>2373</v>
      </c>
      <c r="M2836" s="10" t="s">
        <v>2372</v>
      </c>
      <c r="N2836" s="10" t="s">
        <v>2373</v>
      </c>
      <c r="O2836" s="10"/>
    </row>
    <row r="2837" spans="1:15" ht="18" customHeight="1" x14ac:dyDescent="0.3">
      <c r="A2837" s="24">
        <v>2836</v>
      </c>
      <c r="B2837" s="10" t="s">
        <v>105</v>
      </c>
      <c r="C2837" s="10" t="s">
        <v>107</v>
      </c>
      <c r="D2837" s="62">
        <v>177</v>
      </c>
      <c r="E2837" s="61" t="s">
        <v>210</v>
      </c>
      <c r="F2837" s="11" t="s">
        <v>721</v>
      </c>
      <c r="G2837" s="10" t="s">
        <v>150</v>
      </c>
      <c r="H2837" s="10" t="s">
        <v>852</v>
      </c>
      <c r="I2837" s="62">
        <v>93</v>
      </c>
      <c r="J2837" s="8" t="s">
        <v>2372</v>
      </c>
      <c r="K2837" s="10" t="s">
        <v>847</v>
      </c>
      <c r="L2837" s="10" t="s">
        <v>2373</v>
      </c>
      <c r="M2837" s="10" t="s">
        <v>2372</v>
      </c>
      <c r="N2837" s="10" t="s">
        <v>2373</v>
      </c>
      <c r="O2837" s="10"/>
    </row>
    <row r="2838" spans="1:15" ht="18" customHeight="1" x14ac:dyDescent="0.3">
      <c r="A2838" s="24">
        <v>2837</v>
      </c>
      <c r="B2838" s="10" t="s">
        <v>105</v>
      </c>
      <c r="C2838" s="10" t="s">
        <v>107</v>
      </c>
      <c r="D2838" s="62">
        <v>177</v>
      </c>
      <c r="E2838" s="61" t="s">
        <v>210</v>
      </c>
      <c r="F2838" s="11" t="s">
        <v>721</v>
      </c>
      <c r="G2838" s="10" t="s">
        <v>150</v>
      </c>
      <c r="H2838" s="10" t="s">
        <v>853</v>
      </c>
      <c r="I2838" s="62">
        <v>93</v>
      </c>
      <c r="J2838" s="8" t="s">
        <v>2372</v>
      </c>
      <c r="K2838" s="10" t="s">
        <v>847</v>
      </c>
      <c r="L2838" s="10" t="s">
        <v>2373</v>
      </c>
      <c r="M2838" s="10" t="s">
        <v>2372</v>
      </c>
      <c r="N2838" s="10" t="s">
        <v>2373</v>
      </c>
      <c r="O2838" s="10"/>
    </row>
    <row r="2839" spans="1:15" ht="18" customHeight="1" x14ac:dyDescent="0.3">
      <c r="A2839" s="24">
        <v>2838</v>
      </c>
      <c r="B2839" s="10" t="s">
        <v>105</v>
      </c>
      <c r="C2839" s="10" t="s">
        <v>107</v>
      </c>
      <c r="D2839" s="62">
        <v>177</v>
      </c>
      <c r="E2839" s="61" t="s">
        <v>211</v>
      </c>
      <c r="F2839" s="44" t="s">
        <v>819</v>
      </c>
      <c r="G2839" s="10" t="s">
        <v>150</v>
      </c>
      <c r="H2839" s="10" t="s">
        <v>845</v>
      </c>
      <c r="I2839" s="62">
        <v>132</v>
      </c>
      <c r="J2839" s="8" t="s">
        <v>846</v>
      </c>
      <c r="K2839" s="10" t="s">
        <v>847</v>
      </c>
      <c r="L2839" s="10" t="s">
        <v>2373</v>
      </c>
      <c r="M2839" s="10" t="s">
        <v>2372</v>
      </c>
      <c r="N2839" s="10" t="s">
        <v>2373</v>
      </c>
      <c r="O2839" s="10"/>
    </row>
    <row r="2840" spans="1:15" ht="18" customHeight="1" x14ac:dyDescent="0.3">
      <c r="A2840" s="24">
        <v>2839</v>
      </c>
      <c r="B2840" s="10" t="s">
        <v>105</v>
      </c>
      <c r="C2840" s="10" t="s">
        <v>107</v>
      </c>
      <c r="D2840" s="62">
        <v>177</v>
      </c>
      <c r="E2840" s="61" t="s">
        <v>211</v>
      </c>
      <c r="F2840" s="44" t="s">
        <v>819</v>
      </c>
      <c r="G2840" s="10" t="s">
        <v>150</v>
      </c>
      <c r="H2840" s="10" t="s">
        <v>848</v>
      </c>
      <c r="I2840" s="62">
        <v>132</v>
      </c>
      <c r="J2840" s="8" t="s">
        <v>846</v>
      </c>
      <c r="K2840" s="10" t="s">
        <v>847</v>
      </c>
      <c r="L2840" s="10" t="s">
        <v>2373</v>
      </c>
      <c r="M2840" s="10" t="s">
        <v>2372</v>
      </c>
      <c r="N2840" s="10" t="s">
        <v>2373</v>
      </c>
      <c r="O2840" s="10"/>
    </row>
    <row r="2841" spans="1:15" ht="18" customHeight="1" x14ac:dyDescent="0.3">
      <c r="A2841" s="24">
        <v>2840</v>
      </c>
      <c r="B2841" s="10" t="s">
        <v>105</v>
      </c>
      <c r="C2841" s="10" t="s">
        <v>107</v>
      </c>
      <c r="D2841" s="62">
        <v>177</v>
      </c>
      <c r="E2841" s="61" t="s">
        <v>211</v>
      </c>
      <c r="F2841" s="44" t="s">
        <v>819</v>
      </c>
      <c r="G2841" s="10" t="s">
        <v>150</v>
      </c>
      <c r="H2841" s="10" t="s">
        <v>849</v>
      </c>
      <c r="I2841" s="62">
        <v>282</v>
      </c>
      <c r="J2841" s="8" t="s">
        <v>2372</v>
      </c>
      <c r="K2841" s="10" t="s">
        <v>847</v>
      </c>
      <c r="L2841" s="10" t="s">
        <v>2373</v>
      </c>
      <c r="M2841" s="10" t="s">
        <v>2372</v>
      </c>
      <c r="N2841" s="10" t="s">
        <v>2373</v>
      </c>
      <c r="O2841" s="10"/>
    </row>
    <row r="2842" spans="1:15" ht="18" customHeight="1" x14ac:dyDescent="0.3">
      <c r="A2842" s="24">
        <v>2841</v>
      </c>
      <c r="B2842" s="10" t="s">
        <v>105</v>
      </c>
      <c r="C2842" s="10" t="s">
        <v>107</v>
      </c>
      <c r="D2842" s="62">
        <v>177</v>
      </c>
      <c r="E2842" s="61" t="s">
        <v>211</v>
      </c>
      <c r="F2842" s="44" t="s">
        <v>819</v>
      </c>
      <c r="G2842" s="10" t="s">
        <v>150</v>
      </c>
      <c r="H2842" s="10" t="s">
        <v>850</v>
      </c>
      <c r="I2842" s="62">
        <v>132</v>
      </c>
      <c r="J2842" s="8" t="s">
        <v>2372</v>
      </c>
      <c r="K2842" s="10" t="s">
        <v>847</v>
      </c>
      <c r="L2842" s="10" t="s">
        <v>2373</v>
      </c>
      <c r="M2842" s="10" t="s">
        <v>2372</v>
      </c>
      <c r="N2842" s="10" t="s">
        <v>2373</v>
      </c>
      <c r="O2842" s="10"/>
    </row>
    <row r="2843" spans="1:15" ht="18" customHeight="1" x14ac:dyDescent="0.3">
      <c r="A2843" s="24">
        <v>2842</v>
      </c>
      <c r="B2843" s="10" t="s">
        <v>105</v>
      </c>
      <c r="C2843" s="10" t="s">
        <v>107</v>
      </c>
      <c r="D2843" s="62">
        <v>177</v>
      </c>
      <c r="E2843" s="61" t="s">
        <v>211</v>
      </c>
      <c r="F2843" s="44" t="s">
        <v>819</v>
      </c>
      <c r="G2843" s="10" t="s">
        <v>150</v>
      </c>
      <c r="H2843" s="10" t="s">
        <v>851</v>
      </c>
      <c r="I2843" s="62">
        <v>132</v>
      </c>
      <c r="J2843" s="8" t="s">
        <v>2372</v>
      </c>
      <c r="K2843" s="10" t="s">
        <v>847</v>
      </c>
      <c r="L2843" s="10" t="s">
        <v>2373</v>
      </c>
      <c r="M2843" s="10" t="s">
        <v>2372</v>
      </c>
      <c r="N2843" s="10" t="s">
        <v>2373</v>
      </c>
      <c r="O2843" s="10"/>
    </row>
    <row r="2844" spans="1:15" ht="18" customHeight="1" x14ac:dyDescent="0.3">
      <c r="A2844" s="24">
        <v>2843</v>
      </c>
      <c r="B2844" s="10" t="s">
        <v>105</v>
      </c>
      <c r="C2844" s="10" t="s">
        <v>107</v>
      </c>
      <c r="D2844" s="62">
        <v>177</v>
      </c>
      <c r="E2844" s="61" t="s">
        <v>211</v>
      </c>
      <c r="F2844" s="44" t="s">
        <v>819</v>
      </c>
      <c r="G2844" s="10" t="s">
        <v>150</v>
      </c>
      <c r="H2844" s="10" t="s">
        <v>852</v>
      </c>
      <c r="I2844" s="62">
        <v>100</v>
      </c>
      <c r="J2844" s="8" t="s">
        <v>2372</v>
      </c>
      <c r="K2844" s="10" t="s">
        <v>847</v>
      </c>
      <c r="L2844" s="10" t="s">
        <v>2373</v>
      </c>
      <c r="M2844" s="10" t="s">
        <v>2372</v>
      </c>
      <c r="N2844" s="10" t="s">
        <v>2373</v>
      </c>
      <c r="O2844" s="10"/>
    </row>
    <row r="2845" spans="1:15" ht="18" customHeight="1" x14ac:dyDescent="0.3">
      <c r="A2845" s="24">
        <v>2844</v>
      </c>
      <c r="B2845" s="10" t="s">
        <v>105</v>
      </c>
      <c r="C2845" s="10" t="s">
        <v>107</v>
      </c>
      <c r="D2845" s="62">
        <v>177</v>
      </c>
      <c r="E2845" s="61" t="s">
        <v>211</v>
      </c>
      <c r="F2845" s="44" t="s">
        <v>819</v>
      </c>
      <c r="G2845" s="10" t="s">
        <v>150</v>
      </c>
      <c r="H2845" s="10" t="s">
        <v>853</v>
      </c>
      <c r="I2845" s="62">
        <v>104</v>
      </c>
      <c r="J2845" s="8" t="s">
        <v>2372</v>
      </c>
      <c r="K2845" s="10" t="s">
        <v>847</v>
      </c>
      <c r="L2845" s="10" t="s">
        <v>2373</v>
      </c>
      <c r="M2845" s="10" t="s">
        <v>2372</v>
      </c>
      <c r="N2845" s="10" t="s">
        <v>2373</v>
      </c>
      <c r="O2845" s="10"/>
    </row>
    <row r="2846" spans="1:15" ht="18" customHeight="1" x14ac:dyDescent="0.3">
      <c r="A2846" s="24">
        <v>2845</v>
      </c>
      <c r="B2846" s="10" t="s">
        <v>105</v>
      </c>
      <c r="C2846" s="10" t="s">
        <v>108</v>
      </c>
      <c r="D2846" s="62">
        <v>178</v>
      </c>
      <c r="E2846" s="61" t="s">
        <v>2939</v>
      </c>
      <c r="F2846" s="19" t="s">
        <v>724</v>
      </c>
      <c r="G2846" s="10" t="s">
        <v>160</v>
      </c>
      <c r="H2846" s="10" t="s">
        <v>845</v>
      </c>
      <c r="I2846" s="62">
        <v>130</v>
      </c>
      <c r="J2846" s="10" t="s">
        <v>2374</v>
      </c>
      <c r="K2846" s="10" t="s">
        <v>847</v>
      </c>
      <c r="L2846" s="10" t="s">
        <v>2373</v>
      </c>
      <c r="M2846" s="10" t="s">
        <v>2372</v>
      </c>
      <c r="N2846" s="10" t="s">
        <v>2373</v>
      </c>
      <c r="O2846" s="10"/>
    </row>
    <row r="2847" spans="1:15" ht="18" customHeight="1" x14ac:dyDescent="0.3">
      <c r="A2847" s="24">
        <v>2846</v>
      </c>
      <c r="B2847" s="10" t="s">
        <v>105</v>
      </c>
      <c r="C2847" s="10" t="s">
        <v>108</v>
      </c>
      <c r="D2847" s="62">
        <v>178</v>
      </c>
      <c r="E2847" s="61" t="s">
        <v>2939</v>
      </c>
      <c r="F2847" s="19" t="s">
        <v>724</v>
      </c>
      <c r="G2847" s="10" t="s">
        <v>160</v>
      </c>
      <c r="H2847" s="10" t="s">
        <v>848</v>
      </c>
      <c r="I2847" s="62">
        <v>207</v>
      </c>
      <c r="J2847" s="10" t="s">
        <v>2374</v>
      </c>
      <c r="K2847" s="10" t="s">
        <v>847</v>
      </c>
      <c r="L2847" s="10" t="s">
        <v>2373</v>
      </c>
      <c r="M2847" s="10" t="s">
        <v>2372</v>
      </c>
      <c r="N2847" s="10" t="s">
        <v>2373</v>
      </c>
      <c r="O2847" s="10"/>
    </row>
    <row r="2848" spans="1:15" ht="18" customHeight="1" x14ac:dyDescent="0.3">
      <c r="A2848" s="24">
        <v>2847</v>
      </c>
      <c r="B2848" s="10" t="s">
        <v>105</v>
      </c>
      <c r="C2848" s="10" t="s">
        <v>108</v>
      </c>
      <c r="D2848" s="62">
        <v>178</v>
      </c>
      <c r="E2848" s="61" t="s">
        <v>2939</v>
      </c>
      <c r="F2848" s="19" t="s">
        <v>724</v>
      </c>
      <c r="G2848" s="10" t="s">
        <v>160</v>
      </c>
      <c r="H2848" s="10" t="s">
        <v>849</v>
      </c>
      <c r="I2848" s="62">
        <v>193</v>
      </c>
      <c r="J2848" s="10" t="s">
        <v>2374</v>
      </c>
      <c r="K2848" s="10" t="s">
        <v>847</v>
      </c>
      <c r="L2848" s="10" t="s">
        <v>2373</v>
      </c>
      <c r="M2848" s="10" t="s">
        <v>2372</v>
      </c>
      <c r="N2848" s="10" t="s">
        <v>2373</v>
      </c>
      <c r="O2848" s="10"/>
    </row>
    <row r="2849" spans="1:15" ht="18" customHeight="1" x14ac:dyDescent="0.3">
      <c r="A2849" s="24">
        <v>2848</v>
      </c>
      <c r="B2849" s="10" t="s">
        <v>105</v>
      </c>
      <c r="C2849" s="10" t="s">
        <v>108</v>
      </c>
      <c r="D2849" s="62">
        <v>178</v>
      </c>
      <c r="E2849" s="61" t="s">
        <v>2939</v>
      </c>
      <c r="F2849" s="19" t="s">
        <v>724</v>
      </c>
      <c r="G2849" s="10" t="s">
        <v>160</v>
      </c>
      <c r="H2849" s="10" t="s">
        <v>850</v>
      </c>
      <c r="I2849" s="62">
        <v>177</v>
      </c>
      <c r="J2849" s="10" t="s">
        <v>2374</v>
      </c>
      <c r="K2849" s="10" t="s">
        <v>847</v>
      </c>
      <c r="L2849" s="10" t="s">
        <v>2373</v>
      </c>
      <c r="M2849" s="10" t="s">
        <v>2372</v>
      </c>
      <c r="N2849" s="10" t="s">
        <v>2373</v>
      </c>
      <c r="O2849" s="10"/>
    </row>
    <row r="2850" spans="1:15" ht="18" customHeight="1" x14ac:dyDescent="0.3">
      <c r="A2850" s="24">
        <v>2849</v>
      </c>
      <c r="B2850" s="10" t="s">
        <v>105</v>
      </c>
      <c r="C2850" s="10" t="s">
        <v>108</v>
      </c>
      <c r="D2850" s="62">
        <v>178</v>
      </c>
      <c r="E2850" s="61" t="s">
        <v>2939</v>
      </c>
      <c r="F2850" s="19" t="s">
        <v>724</v>
      </c>
      <c r="G2850" s="10" t="s">
        <v>160</v>
      </c>
      <c r="H2850" s="10" t="s">
        <v>851</v>
      </c>
      <c r="I2850" s="62">
        <v>130</v>
      </c>
      <c r="J2850" s="10" t="s">
        <v>2372</v>
      </c>
      <c r="K2850" s="10" t="s">
        <v>847</v>
      </c>
      <c r="L2850" s="10" t="s">
        <v>2373</v>
      </c>
      <c r="M2850" s="10" t="s">
        <v>2372</v>
      </c>
      <c r="N2850" s="10" t="s">
        <v>2373</v>
      </c>
      <c r="O2850" s="10"/>
    </row>
    <row r="2851" spans="1:15" ht="18" customHeight="1" x14ac:dyDescent="0.3">
      <c r="A2851" s="24">
        <v>2850</v>
      </c>
      <c r="B2851" s="10" t="s">
        <v>105</v>
      </c>
      <c r="C2851" s="10" t="s">
        <v>108</v>
      </c>
      <c r="D2851" s="62">
        <v>178</v>
      </c>
      <c r="E2851" s="61" t="s">
        <v>2939</v>
      </c>
      <c r="F2851" s="19" t="s">
        <v>724</v>
      </c>
      <c r="G2851" s="10" t="s">
        <v>160</v>
      </c>
      <c r="H2851" s="10" t="s">
        <v>852</v>
      </c>
      <c r="I2851" s="62">
        <v>113</v>
      </c>
      <c r="J2851" s="10" t="s">
        <v>2372</v>
      </c>
      <c r="K2851" s="10" t="s">
        <v>847</v>
      </c>
      <c r="L2851" s="10" t="s">
        <v>2373</v>
      </c>
      <c r="M2851" s="10" t="s">
        <v>2372</v>
      </c>
      <c r="N2851" s="10" t="s">
        <v>2373</v>
      </c>
      <c r="O2851" s="10"/>
    </row>
    <row r="2852" spans="1:15" ht="18" customHeight="1" x14ac:dyDescent="0.3">
      <c r="A2852" s="24">
        <v>2851</v>
      </c>
      <c r="B2852" s="10" t="s">
        <v>105</v>
      </c>
      <c r="C2852" s="10" t="s">
        <v>108</v>
      </c>
      <c r="D2852" s="62">
        <v>178</v>
      </c>
      <c r="E2852" s="61" t="s">
        <v>2939</v>
      </c>
      <c r="F2852" s="19" t="s">
        <v>724</v>
      </c>
      <c r="G2852" s="10" t="s">
        <v>160</v>
      </c>
      <c r="H2852" s="10" t="s">
        <v>853</v>
      </c>
      <c r="I2852" s="62">
        <v>173</v>
      </c>
      <c r="J2852" s="10" t="s">
        <v>2372</v>
      </c>
      <c r="K2852" s="10" t="s">
        <v>847</v>
      </c>
      <c r="L2852" s="10" t="s">
        <v>2373</v>
      </c>
      <c r="M2852" s="10" t="s">
        <v>2372</v>
      </c>
      <c r="N2852" s="10" t="s">
        <v>2373</v>
      </c>
      <c r="O2852" s="10"/>
    </row>
    <row r="2853" spans="1:15" ht="18" customHeight="1" x14ac:dyDescent="0.3">
      <c r="A2853" s="24">
        <v>2852</v>
      </c>
      <c r="B2853" s="10" t="s">
        <v>105</v>
      </c>
      <c r="C2853" s="10" t="s">
        <v>108</v>
      </c>
      <c r="D2853" s="62">
        <v>178</v>
      </c>
      <c r="E2853" s="61" t="s">
        <v>917</v>
      </c>
      <c r="F2853" s="19" t="s">
        <v>2083</v>
      </c>
      <c r="G2853" s="10" t="s">
        <v>160</v>
      </c>
      <c r="H2853" s="10" t="s">
        <v>845</v>
      </c>
      <c r="I2853" s="62">
        <v>168</v>
      </c>
      <c r="J2853" s="8" t="s">
        <v>2372</v>
      </c>
      <c r="K2853" s="10" t="s">
        <v>847</v>
      </c>
      <c r="L2853" s="10" t="s">
        <v>2373</v>
      </c>
      <c r="M2853" s="10" t="s">
        <v>2372</v>
      </c>
      <c r="N2853" s="10" t="s">
        <v>2373</v>
      </c>
      <c r="O2853" s="10"/>
    </row>
    <row r="2854" spans="1:15" ht="18" customHeight="1" x14ac:dyDescent="0.3">
      <c r="A2854" s="24">
        <v>2853</v>
      </c>
      <c r="B2854" s="10" t="s">
        <v>105</v>
      </c>
      <c r="C2854" s="10" t="s">
        <v>108</v>
      </c>
      <c r="D2854" s="62">
        <v>178</v>
      </c>
      <c r="E2854" s="61" t="s">
        <v>917</v>
      </c>
      <c r="F2854" s="19" t="s">
        <v>2083</v>
      </c>
      <c r="G2854" s="10" t="s">
        <v>160</v>
      </c>
      <c r="H2854" s="10" t="s">
        <v>848</v>
      </c>
      <c r="I2854" s="62">
        <v>132</v>
      </c>
      <c r="J2854" s="8" t="s">
        <v>2372</v>
      </c>
      <c r="K2854" s="10" t="s">
        <v>847</v>
      </c>
      <c r="L2854" s="10" t="s">
        <v>2373</v>
      </c>
      <c r="M2854" s="10" t="s">
        <v>2372</v>
      </c>
      <c r="N2854" s="10" t="s">
        <v>2373</v>
      </c>
      <c r="O2854" s="10"/>
    </row>
    <row r="2855" spans="1:15" ht="18" customHeight="1" x14ac:dyDescent="0.3">
      <c r="A2855" s="24">
        <v>2854</v>
      </c>
      <c r="B2855" s="10" t="s">
        <v>105</v>
      </c>
      <c r="C2855" s="10" t="s">
        <v>108</v>
      </c>
      <c r="D2855" s="62">
        <v>178</v>
      </c>
      <c r="E2855" s="61" t="s">
        <v>917</v>
      </c>
      <c r="F2855" s="19" t="s">
        <v>2083</v>
      </c>
      <c r="G2855" s="10" t="s">
        <v>160</v>
      </c>
      <c r="H2855" s="10" t="s">
        <v>849</v>
      </c>
      <c r="I2855" s="62">
        <v>134</v>
      </c>
      <c r="J2855" s="8" t="s">
        <v>2372</v>
      </c>
      <c r="K2855" s="10" t="s">
        <v>847</v>
      </c>
      <c r="L2855" s="10" t="s">
        <v>2373</v>
      </c>
      <c r="M2855" s="10" t="s">
        <v>2372</v>
      </c>
      <c r="N2855" s="10" t="s">
        <v>2373</v>
      </c>
      <c r="O2855" s="10"/>
    </row>
    <row r="2856" spans="1:15" ht="18" customHeight="1" x14ac:dyDescent="0.3">
      <c r="A2856" s="24">
        <v>2855</v>
      </c>
      <c r="B2856" s="10" t="s">
        <v>105</v>
      </c>
      <c r="C2856" s="10" t="s">
        <v>108</v>
      </c>
      <c r="D2856" s="62">
        <v>178</v>
      </c>
      <c r="E2856" s="61" t="s">
        <v>917</v>
      </c>
      <c r="F2856" s="19" t="s">
        <v>2083</v>
      </c>
      <c r="G2856" s="10" t="s">
        <v>160</v>
      </c>
      <c r="H2856" s="10" t="s">
        <v>850</v>
      </c>
      <c r="I2856" s="62">
        <v>336</v>
      </c>
      <c r="J2856" s="8" t="s">
        <v>2372</v>
      </c>
      <c r="K2856" s="10" t="s">
        <v>847</v>
      </c>
      <c r="L2856" s="10" t="s">
        <v>2373</v>
      </c>
      <c r="M2856" s="10" t="s">
        <v>2372</v>
      </c>
      <c r="N2856" s="10" t="s">
        <v>2373</v>
      </c>
      <c r="O2856" s="10"/>
    </row>
    <row r="2857" spans="1:15" ht="18" customHeight="1" x14ac:dyDescent="0.3">
      <c r="A2857" s="24">
        <v>2856</v>
      </c>
      <c r="B2857" s="10" t="s">
        <v>105</v>
      </c>
      <c r="C2857" s="10" t="s">
        <v>108</v>
      </c>
      <c r="D2857" s="62">
        <v>178</v>
      </c>
      <c r="E2857" s="61" t="s">
        <v>917</v>
      </c>
      <c r="F2857" s="19" t="s">
        <v>2083</v>
      </c>
      <c r="G2857" s="10" t="s">
        <v>160</v>
      </c>
      <c r="H2857" s="10" t="s">
        <v>851</v>
      </c>
      <c r="I2857" s="62">
        <v>54</v>
      </c>
      <c r="J2857" s="8" t="s">
        <v>2372</v>
      </c>
      <c r="K2857" s="173" t="s">
        <v>846</v>
      </c>
      <c r="L2857" s="173" t="s">
        <v>885</v>
      </c>
      <c r="M2857" s="10" t="s">
        <v>2372</v>
      </c>
      <c r="N2857" s="10" t="s">
        <v>2373</v>
      </c>
      <c r="O2857" s="10"/>
    </row>
    <row r="2858" spans="1:15" ht="18" customHeight="1" x14ac:dyDescent="0.3">
      <c r="A2858" s="24">
        <v>2857</v>
      </c>
      <c r="B2858" s="10" t="s">
        <v>105</v>
      </c>
      <c r="C2858" s="10" t="s">
        <v>108</v>
      </c>
      <c r="D2858" s="62">
        <v>178</v>
      </c>
      <c r="E2858" s="61" t="s">
        <v>917</v>
      </c>
      <c r="F2858" s="19" t="s">
        <v>2083</v>
      </c>
      <c r="G2858" s="10" t="s">
        <v>160</v>
      </c>
      <c r="H2858" s="10" t="s">
        <v>852</v>
      </c>
      <c r="I2858" s="62">
        <v>135</v>
      </c>
      <c r="J2858" s="8" t="s">
        <v>2374</v>
      </c>
      <c r="K2858" s="10" t="s">
        <v>847</v>
      </c>
      <c r="L2858" s="10" t="s">
        <v>2373</v>
      </c>
      <c r="M2858" s="10" t="s">
        <v>2372</v>
      </c>
      <c r="N2858" s="10" t="s">
        <v>2373</v>
      </c>
      <c r="O2858" s="10"/>
    </row>
    <row r="2859" spans="1:15" ht="18" customHeight="1" x14ac:dyDescent="0.3">
      <c r="A2859" s="24">
        <v>2858</v>
      </c>
      <c r="B2859" s="10" t="s">
        <v>105</v>
      </c>
      <c r="C2859" s="10" t="s">
        <v>108</v>
      </c>
      <c r="D2859" s="62">
        <v>178</v>
      </c>
      <c r="E2859" s="61" t="s">
        <v>917</v>
      </c>
      <c r="F2859" s="19" t="s">
        <v>2083</v>
      </c>
      <c r="G2859" s="10" t="s">
        <v>160</v>
      </c>
      <c r="H2859" s="10" t="s">
        <v>853</v>
      </c>
      <c r="I2859" s="62">
        <v>284</v>
      </c>
      <c r="J2859" s="8" t="s">
        <v>2372</v>
      </c>
      <c r="K2859" s="10" t="s">
        <v>847</v>
      </c>
      <c r="L2859" s="10" t="s">
        <v>2373</v>
      </c>
      <c r="M2859" s="10" t="s">
        <v>2372</v>
      </c>
      <c r="N2859" s="10" t="s">
        <v>2373</v>
      </c>
      <c r="O2859" s="10"/>
    </row>
    <row r="2860" spans="1:15" ht="18" customHeight="1" x14ac:dyDescent="0.3">
      <c r="A2860" s="24">
        <v>2859</v>
      </c>
      <c r="B2860" s="10" t="s">
        <v>105</v>
      </c>
      <c r="C2860" s="10" t="s">
        <v>109</v>
      </c>
      <c r="D2860" s="62">
        <v>179</v>
      </c>
      <c r="E2860" s="61" t="s">
        <v>2940</v>
      </c>
      <c r="F2860" s="19" t="s">
        <v>736</v>
      </c>
      <c r="G2860" s="10" t="s">
        <v>160</v>
      </c>
      <c r="H2860" s="10" t="s">
        <v>845</v>
      </c>
      <c r="I2860" s="62">
        <v>170</v>
      </c>
      <c r="J2860" s="10" t="s">
        <v>2374</v>
      </c>
      <c r="K2860" s="10" t="s">
        <v>847</v>
      </c>
      <c r="L2860" s="10" t="s">
        <v>2373</v>
      </c>
      <c r="M2860" s="10" t="s">
        <v>2372</v>
      </c>
      <c r="N2860" s="10" t="s">
        <v>2373</v>
      </c>
      <c r="O2860" s="10"/>
    </row>
    <row r="2861" spans="1:15" ht="18" customHeight="1" x14ac:dyDescent="0.3">
      <c r="A2861" s="24">
        <v>2860</v>
      </c>
      <c r="B2861" s="10" t="s">
        <v>105</v>
      </c>
      <c r="C2861" s="10" t="s">
        <v>109</v>
      </c>
      <c r="D2861" s="62">
        <v>179</v>
      </c>
      <c r="E2861" s="61" t="s">
        <v>2940</v>
      </c>
      <c r="F2861" s="19" t="s">
        <v>736</v>
      </c>
      <c r="G2861" s="10" t="s">
        <v>160</v>
      </c>
      <c r="H2861" s="10" t="s">
        <v>848</v>
      </c>
      <c r="I2861" s="62">
        <v>131</v>
      </c>
      <c r="J2861" s="10" t="s">
        <v>2372</v>
      </c>
      <c r="K2861" s="10" t="s">
        <v>847</v>
      </c>
      <c r="L2861" s="10" t="s">
        <v>2373</v>
      </c>
      <c r="M2861" s="10" t="s">
        <v>2372</v>
      </c>
      <c r="N2861" s="10" t="s">
        <v>2373</v>
      </c>
      <c r="O2861" s="10"/>
    </row>
    <row r="2862" spans="1:15" ht="18" customHeight="1" x14ac:dyDescent="0.3">
      <c r="A2862" s="24">
        <v>2861</v>
      </c>
      <c r="B2862" s="10" t="s">
        <v>105</v>
      </c>
      <c r="C2862" s="10" t="s">
        <v>109</v>
      </c>
      <c r="D2862" s="62">
        <v>179</v>
      </c>
      <c r="E2862" s="61" t="s">
        <v>2940</v>
      </c>
      <c r="F2862" s="19" t="s">
        <v>736</v>
      </c>
      <c r="G2862" s="10" t="s">
        <v>160</v>
      </c>
      <c r="H2862" s="10" t="s">
        <v>849</v>
      </c>
      <c r="I2862" s="62">
        <v>103</v>
      </c>
      <c r="J2862" s="10" t="s">
        <v>2372</v>
      </c>
      <c r="K2862" s="10" t="s">
        <v>847</v>
      </c>
      <c r="L2862" s="10" t="s">
        <v>2373</v>
      </c>
      <c r="M2862" s="10" t="s">
        <v>2372</v>
      </c>
      <c r="N2862" s="10" t="s">
        <v>2373</v>
      </c>
      <c r="O2862" s="10"/>
    </row>
    <row r="2863" spans="1:15" ht="18" customHeight="1" x14ac:dyDescent="0.3">
      <c r="A2863" s="24">
        <v>2862</v>
      </c>
      <c r="B2863" s="10" t="s">
        <v>105</v>
      </c>
      <c r="C2863" s="10" t="s">
        <v>109</v>
      </c>
      <c r="D2863" s="62">
        <v>179</v>
      </c>
      <c r="E2863" s="61" t="s">
        <v>2940</v>
      </c>
      <c r="F2863" s="19" t="s">
        <v>736</v>
      </c>
      <c r="G2863" s="10" t="s">
        <v>160</v>
      </c>
      <c r="H2863" s="10" t="s">
        <v>850</v>
      </c>
      <c r="I2863" s="62">
        <v>149</v>
      </c>
      <c r="J2863" s="10" t="s">
        <v>2372</v>
      </c>
      <c r="K2863" s="10" t="s">
        <v>847</v>
      </c>
      <c r="L2863" s="10" t="s">
        <v>2373</v>
      </c>
      <c r="M2863" s="10" t="s">
        <v>2372</v>
      </c>
      <c r="N2863" s="10" t="s">
        <v>2373</v>
      </c>
      <c r="O2863" s="10"/>
    </row>
    <row r="2864" spans="1:15" ht="18" customHeight="1" x14ac:dyDescent="0.3">
      <c r="A2864" s="24">
        <v>2863</v>
      </c>
      <c r="B2864" s="8" t="s">
        <v>2052</v>
      </c>
      <c r="C2864" s="8" t="s">
        <v>2085</v>
      </c>
      <c r="D2864" s="8">
        <v>180</v>
      </c>
      <c r="E2864" s="30" t="s">
        <v>2086</v>
      </c>
      <c r="F2864" s="19" t="s">
        <v>2087</v>
      </c>
      <c r="G2864" s="8" t="s">
        <v>2373</v>
      </c>
      <c r="H2864" s="10" t="s">
        <v>2385</v>
      </c>
      <c r="I2864" s="24">
        <v>129</v>
      </c>
      <c r="J2864" s="10" t="s">
        <v>2374</v>
      </c>
      <c r="K2864" s="10" t="s">
        <v>847</v>
      </c>
      <c r="L2864" s="10" t="s">
        <v>2373</v>
      </c>
      <c r="M2864" s="10" t="s">
        <v>2372</v>
      </c>
      <c r="N2864" s="10" t="s">
        <v>2373</v>
      </c>
      <c r="O2864" s="10"/>
    </row>
    <row r="2865" spans="1:15" ht="18" customHeight="1" x14ac:dyDescent="0.3">
      <c r="A2865" s="24">
        <v>2864</v>
      </c>
      <c r="B2865" s="8" t="s">
        <v>2052</v>
      </c>
      <c r="C2865" s="8" t="s">
        <v>2085</v>
      </c>
      <c r="D2865" s="8">
        <v>180</v>
      </c>
      <c r="E2865" s="30" t="s">
        <v>2086</v>
      </c>
      <c r="F2865" s="19" t="s">
        <v>2087</v>
      </c>
      <c r="G2865" s="8" t="s">
        <v>2373</v>
      </c>
      <c r="H2865" s="10" t="s">
        <v>2378</v>
      </c>
      <c r="I2865" s="24">
        <v>86</v>
      </c>
      <c r="J2865" s="10" t="s">
        <v>2372</v>
      </c>
      <c r="K2865" s="10" t="s">
        <v>847</v>
      </c>
      <c r="L2865" s="10" t="s">
        <v>2373</v>
      </c>
      <c r="M2865" s="10" t="s">
        <v>2372</v>
      </c>
      <c r="N2865" s="10" t="s">
        <v>2373</v>
      </c>
      <c r="O2865" s="10"/>
    </row>
    <row r="2866" spans="1:15" ht="18" customHeight="1" x14ac:dyDescent="0.3">
      <c r="A2866" s="24">
        <v>2865</v>
      </c>
      <c r="B2866" s="8" t="s">
        <v>2052</v>
      </c>
      <c r="C2866" s="8" t="s">
        <v>2085</v>
      </c>
      <c r="D2866" s="8">
        <v>180</v>
      </c>
      <c r="E2866" s="30" t="s">
        <v>2086</v>
      </c>
      <c r="F2866" s="19" t="s">
        <v>2087</v>
      </c>
      <c r="G2866" s="8" t="s">
        <v>2373</v>
      </c>
      <c r="H2866" s="10" t="s">
        <v>2379</v>
      </c>
      <c r="I2866" s="24">
        <v>42</v>
      </c>
      <c r="J2866" s="10" t="s">
        <v>2372</v>
      </c>
      <c r="K2866" s="10" t="s">
        <v>847</v>
      </c>
      <c r="L2866" s="10" t="s">
        <v>2373</v>
      </c>
      <c r="M2866" s="10" t="s">
        <v>2372</v>
      </c>
      <c r="N2866" s="10" t="s">
        <v>2373</v>
      </c>
      <c r="O2866" s="10"/>
    </row>
    <row r="2867" spans="1:15" ht="18" customHeight="1" x14ac:dyDescent="0.3">
      <c r="A2867" s="24">
        <v>2866</v>
      </c>
      <c r="B2867" s="10" t="s">
        <v>2068</v>
      </c>
      <c r="C2867" s="10" t="s">
        <v>2091</v>
      </c>
      <c r="D2867" s="8">
        <v>181</v>
      </c>
      <c r="E2867" s="3" t="s">
        <v>2092</v>
      </c>
      <c r="F2867" s="11" t="s">
        <v>2093</v>
      </c>
      <c r="G2867" s="10" t="s">
        <v>2553</v>
      </c>
      <c r="H2867" s="10" t="s">
        <v>2385</v>
      </c>
      <c r="I2867" s="62">
        <v>65</v>
      </c>
      <c r="J2867" s="173" t="s">
        <v>3597</v>
      </c>
      <c r="K2867" s="10" t="s">
        <v>847</v>
      </c>
      <c r="L2867" s="10" t="s">
        <v>2373</v>
      </c>
      <c r="M2867" s="10" t="s">
        <v>2372</v>
      </c>
      <c r="N2867" s="10" t="s">
        <v>2373</v>
      </c>
      <c r="O2867" s="10"/>
    </row>
    <row r="2868" spans="1:15" ht="18" customHeight="1" x14ac:dyDescent="0.3">
      <c r="A2868" s="24">
        <v>2867</v>
      </c>
      <c r="B2868" s="10" t="s">
        <v>2068</v>
      </c>
      <c r="C2868" s="10" t="s">
        <v>2091</v>
      </c>
      <c r="D2868" s="8">
        <v>181</v>
      </c>
      <c r="E2868" s="3" t="s">
        <v>2092</v>
      </c>
      <c r="F2868" s="11" t="s">
        <v>2093</v>
      </c>
      <c r="G2868" s="10" t="s">
        <v>2553</v>
      </c>
      <c r="H2868" s="10" t="s">
        <v>2378</v>
      </c>
      <c r="I2868" s="62">
        <v>34</v>
      </c>
      <c r="J2868" s="10" t="s">
        <v>2372</v>
      </c>
      <c r="K2868" s="10" t="s">
        <v>847</v>
      </c>
      <c r="L2868" s="10" t="s">
        <v>2373</v>
      </c>
      <c r="M2868" s="10" t="s">
        <v>2372</v>
      </c>
      <c r="N2868" s="10" t="s">
        <v>2373</v>
      </c>
      <c r="O2868" s="10"/>
    </row>
    <row r="2869" spans="1:15" ht="18" customHeight="1" x14ac:dyDescent="0.3">
      <c r="A2869" s="24">
        <v>2868</v>
      </c>
      <c r="B2869" s="10" t="s">
        <v>105</v>
      </c>
      <c r="C2869" s="10" t="s">
        <v>110</v>
      </c>
      <c r="D2869" s="62">
        <v>183</v>
      </c>
      <c r="E2869" s="61" t="s">
        <v>973</v>
      </c>
      <c r="F2869" s="19" t="s">
        <v>2102</v>
      </c>
      <c r="G2869" s="10" t="s">
        <v>2373</v>
      </c>
      <c r="H2869" s="10" t="s">
        <v>845</v>
      </c>
      <c r="I2869" s="62">
        <v>55</v>
      </c>
      <c r="J2869" s="10" t="s">
        <v>2374</v>
      </c>
      <c r="K2869" s="10" t="s">
        <v>847</v>
      </c>
      <c r="L2869" s="10" t="s">
        <v>2373</v>
      </c>
      <c r="M2869" s="10" t="s">
        <v>2372</v>
      </c>
      <c r="N2869" s="10" t="s">
        <v>2373</v>
      </c>
      <c r="O2869" s="10"/>
    </row>
    <row r="2870" spans="1:15" ht="18" customHeight="1" x14ac:dyDescent="0.3">
      <c r="A2870" s="24">
        <v>2869</v>
      </c>
      <c r="B2870" s="10" t="s">
        <v>105</v>
      </c>
      <c r="C2870" s="10" t="s">
        <v>110</v>
      </c>
      <c r="D2870" s="62">
        <v>183</v>
      </c>
      <c r="E2870" s="61" t="s">
        <v>973</v>
      </c>
      <c r="F2870" s="19" t="s">
        <v>2102</v>
      </c>
      <c r="G2870" s="10" t="s">
        <v>2373</v>
      </c>
      <c r="H2870" s="10" t="s">
        <v>848</v>
      </c>
      <c r="I2870" s="62">
        <v>43</v>
      </c>
      <c r="J2870" s="10" t="s">
        <v>2372</v>
      </c>
      <c r="K2870" s="10" t="s">
        <v>847</v>
      </c>
      <c r="L2870" s="10" t="s">
        <v>2373</v>
      </c>
      <c r="M2870" s="10" t="s">
        <v>2372</v>
      </c>
      <c r="N2870" s="10" t="s">
        <v>2373</v>
      </c>
      <c r="O2870" s="10"/>
    </row>
    <row r="2871" spans="1:15" ht="18" customHeight="1" x14ac:dyDescent="0.3">
      <c r="A2871" s="24">
        <v>2870</v>
      </c>
      <c r="B2871" s="10" t="s">
        <v>105</v>
      </c>
      <c r="C2871" s="10" t="s">
        <v>111</v>
      </c>
      <c r="D2871" s="62">
        <v>184</v>
      </c>
      <c r="E2871" s="61" t="s">
        <v>2688</v>
      </c>
      <c r="F2871" s="19" t="s">
        <v>2107</v>
      </c>
      <c r="G2871" s="10" t="s">
        <v>2373</v>
      </c>
      <c r="H2871" s="10" t="s">
        <v>845</v>
      </c>
      <c r="I2871" s="62">
        <v>57</v>
      </c>
      <c r="J2871" s="10" t="s">
        <v>2374</v>
      </c>
      <c r="K2871" s="10" t="s">
        <v>2372</v>
      </c>
      <c r="L2871" s="10" t="s">
        <v>2373</v>
      </c>
      <c r="M2871" s="10" t="s">
        <v>2372</v>
      </c>
      <c r="N2871" s="10" t="s">
        <v>2373</v>
      </c>
      <c r="O2871" s="10"/>
    </row>
    <row r="2872" spans="1:15" ht="18" customHeight="1" x14ac:dyDescent="0.3">
      <c r="A2872" s="24">
        <v>2871</v>
      </c>
      <c r="B2872" s="10" t="s">
        <v>105</v>
      </c>
      <c r="C2872" s="10" t="s">
        <v>111</v>
      </c>
      <c r="D2872" s="62">
        <v>184</v>
      </c>
      <c r="E2872" s="61" t="s">
        <v>2688</v>
      </c>
      <c r="F2872" s="19" t="s">
        <v>2107</v>
      </c>
      <c r="G2872" s="10" t="s">
        <v>2373</v>
      </c>
      <c r="H2872" s="10" t="s">
        <v>848</v>
      </c>
      <c r="I2872" s="62">
        <v>41</v>
      </c>
      <c r="J2872" s="10" t="s">
        <v>2372</v>
      </c>
      <c r="K2872" s="10" t="s">
        <v>2372</v>
      </c>
      <c r="L2872" s="10" t="s">
        <v>2373</v>
      </c>
      <c r="M2872" s="10" t="s">
        <v>2372</v>
      </c>
      <c r="N2872" s="10" t="s">
        <v>2373</v>
      </c>
      <c r="O2872" s="10"/>
    </row>
    <row r="2873" spans="1:15" ht="18" customHeight="1" x14ac:dyDescent="0.3">
      <c r="A2873" s="24">
        <v>2872</v>
      </c>
      <c r="B2873" s="99" t="s">
        <v>105</v>
      </c>
      <c r="C2873" s="99" t="s">
        <v>112</v>
      </c>
      <c r="D2873" s="99">
        <v>185</v>
      </c>
      <c r="E2873" s="56" t="s">
        <v>3609</v>
      </c>
      <c r="F2873" s="56" t="s">
        <v>3627</v>
      </c>
      <c r="G2873" s="99" t="s">
        <v>310</v>
      </c>
      <c r="H2873" s="10" t="s">
        <v>3598</v>
      </c>
      <c r="I2873" s="62">
        <v>36</v>
      </c>
      <c r="J2873" s="10" t="s">
        <v>3599</v>
      </c>
      <c r="K2873" s="10" t="s">
        <v>847</v>
      </c>
      <c r="L2873" s="10" t="s">
        <v>3603</v>
      </c>
      <c r="M2873" s="10" t="s">
        <v>3586</v>
      </c>
      <c r="N2873" s="10" t="s">
        <v>3603</v>
      </c>
      <c r="O2873" s="10"/>
    </row>
    <row r="2874" spans="1:15" ht="18" customHeight="1" x14ac:dyDescent="0.3">
      <c r="A2874" s="24">
        <v>2873</v>
      </c>
      <c r="B2874" s="99" t="s">
        <v>105</v>
      </c>
      <c r="C2874" s="99" t="s">
        <v>112</v>
      </c>
      <c r="D2874" s="99">
        <v>185</v>
      </c>
      <c r="E2874" s="56" t="s">
        <v>3609</v>
      </c>
      <c r="F2874" s="56" t="s">
        <v>3628</v>
      </c>
      <c r="G2874" s="99" t="s">
        <v>310</v>
      </c>
      <c r="H2874" s="10" t="s">
        <v>3607</v>
      </c>
      <c r="I2874" s="62">
        <v>54</v>
      </c>
      <c r="J2874" s="10" t="s">
        <v>3572</v>
      </c>
      <c r="K2874" s="10" t="s">
        <v>847</v>
      </c>
      <c r="L2874" s="10" t="s">
        <v>3603</v>
      </c>
      <c r="M2874" s="10" t="s">
        <v>3597</v>
      </c>
      <c r="N2874" s="10" t="s">
        <v>3603</v>
      </c>
      <c r="O2874" s="10"/>
    </row>
    <row r="2875" spans="1:15" ht="18" customHeight="1" x14ac:dyDescent="0.3">
      <c r="A2875" s="24">
        <v>2874</v>
      </c>
      <c r="B2875" s="8" t="s">
        <v>2052</v>
      </c>
      <c r="C2875" s="8" t="s">
        <v>2109</v>
      </c>
      <c r="D2875" s="8">
        <v>186</v>
      </c>
      <c r="E2875" s="56" t="s">
        <v>2110</v>
      </c>
      <c r="F2875" s="16" t="s">
        <v>2111</v>
      </c>
      <c r="G2875" s="8" t="s">
        <v>2373</v>
      </c>
      <c r="H2875" s="10" t="s">
        <v>2385</v>
      </c>
      <c r="I2875" s="62">
        <v>39</v>
      </c>
      <c r="J2875" s="10" t="s">
        <v>2372</v>
      </c>
      <c r="K2875" s="10" t="s">
        <v>847</v>
      </c>
      <c r="L2875" s="10" t="s">
        <v>2373</v>
      </c>
      <c r="M2875" s="10" t="s">
        <v>2372</v>
      </c>
      <c r="N2875" s="10" t="s">
        <v>2373</v>
      </c>
      <c r="O2875" s="10"/>
    </row>
    <row r="2876" spans="1:15" ht="18" customHeight="1" x14ac:dyDescent="0.3">
      <c r="A2876" s="24">
        <v>2875</v>
      </c>
      <c r="B2876" s="8" t="s">
        <v>2052</v>
      </c>
      <c r="C2876" s="8" t="s">
        <v>2109</v>
      </c>
      <c r="D2876" s="8">
        <v>186</v>
      </c>
      <c r="E2876" s="56" t="s">
        <v>2110</v>
      </c>
      <c r="F2876" s="16" t="s">
        <v>2111</v>
      </c>
      <c r="G2876" s="8" t="s">
        <v>2373</v>
      </c>
      <c r="H2876" s="10" t="s">
        <v>2378</v>
      </c>
      <c r="I2876" s="62">
        <v>55</v>
      </c>
      <c r="J2876" s="10" t="s">
        <v>2374</v>
      </c>
      <c r="K2876" s="10" t="s">
        <v>847</v>
      </c>
      <c r="L2876" s="10" t="s">
        <v>2373</v>
      </c>
      <c r="M2876" s="10" t="s">
        <v>2372</v>
      </c>
      <c r="N2876" s="10" t="s">
        <v>2373</v>
      </c>
      <c r="O2876" s="10"/>
    </row>
    <row r="2877" spans="1:15" ht="18" customHeight="1" x14ac:dyDescent="0.3">
      <c r="A2877" s="24">
        <v>2876</v>
      </c>
      <c r="B2877" s="10" t="s">
        <v>105</v>
      </c>
      <c r="C2877" s="10" t="s">
        <v>113</v>
      </c>
      <c r="D2877" s="62">
        <v>187</v>
      </c>
      <c r="E2877" s="61" t="s">
        <v>970</v>
      </c>
      <c r="F2877" s="19" t="s">
        <v>2117</v>
      </c>
      <c r="G2877" s="10" t="s">
        <v>2373</v>
      </c>
      <c r="H2877" s="10" t="s">
        <v>845</v>
      </c>
      <c r="I2877" s="62">
        <v>101</v>
      </c>
      <c r="J2877" s="173" t="s">
        <v>2372</v>
      </c>
      <c r="K2877" s="10" t="s">
        <v>847</v>
      </c>
      <c r="L2877" s="10" t="s">
        <v>2373</v>
      </c>
      <c r="M2877" s="10" t="s">
        <v>2372</v>
      </c>
      <c r="N2877" s="10" t="s">
        <v>2373</v>
      </c>
      <c r="O2877" s="10"/>
    </row>
    <row r="2878" spans="1:15" ht="18" customHeight="1" x14ac:dyDescent="0.3">
      <c r="A2878" s="24">
        <v>2877</v>
      </c>
      <c r="B2878" s="10" t="s">
        <v>105</v>
      </c>
      <c r="C2878" s="10" t="s">
        <v>113</v>
      </c>
      <c r="D2878" s="62">
        <v>187</v>
      </c>
      <c r="E2878" s="61" t="s">
        <v>970</v>
      </c>
      <c r="F2878" s="19" t="s">
        <v>2117</v>
      </c>
      <c r="G2878" s="10" t="s">
        <v>2373</v>
      </c>
      <c r="H2878" s="10" t="s">
        <v>848</v>
      </c>
      <c r="I2878" s="62">
        <v>48</v>
      </c>
      <c r="J2878" s="10" t="s">
        <v>2372</v>
      </c>
      <c r="K2878" s="10" t="s">
        <v>847</v>
      </c>
      <c r="L2878" s="10" t="s">
        <v>2373</v>
      </c>
      <c r="M2878" s="10" t="s">
        <v>2372</v>
      </c>
      <c r="N2878" s="10" t="s">
        <v>2373</v>
      </c>
      <c r="O2878" s="10"/>
    </row>
    <row r="2879" spans="1:15" ht="18" customHeight="1" x14ac:dyDescent="0.3">
      <c r="A2879" s="24">
        <v>2878</v>
      </c>
      <c r="B2879" s="10" t="s">
        <v>105</v>
      </c>
      <c r="C2879" s="10" t="s">
        <v>114</v>
      </c>
      <c r="D2879" s="62">
        <v>188</v>
      </c>
      <c r="E2879" s="61" t="s">
        <v>969</v>
      </c>
      <c r="F2879" s="11" t="s">
        <v>2122</v>
      </c>
      <c r="G2879" s="10" t="s">
        <v>2373</v>
      </c>
      <c r="H2879" s="10" t="s">
        <v>845</v>
      </c>
      <c r="I2879" s="177">
        <v>58</v>
      </c>
      <c r="J2879" s="10" t="s">
        <v>2374</v>
      </c>
      <c r="K2879" s="10" t="s">
        <v>847</v>
      </c>
      <c r="L2879" s="10" t="s">
        <v>2373</v>
      </c>
      <c r="M2879" s="10" t="s">
        <v>2372</v>
      </c>
      <c r="N2879" s="10" t="s">
        <v>2373</v>
      </c>
      <c r="O2879" s="10"/>
    </row>
    <row r="2880" spans="1:15" ht="18" customHeight="1" x14ac:dyDescent="0.3">
      <c r="A2880" s="24">
        <v>2879</v>
      </c>
      <c r="B2880" s="10" t="s">
        <v>105</v>
      </c>
      <c r="C2880" s="10" t="s">
        <v>114</v>
      </c>
      <c r="D2880" s="62">
        <v>188</v>
      </c>
      <c r="E2880" s="61" t="s">
        <v>969</v>
      </c>
      <c r="F2880" s="11" t="s">
        <v>2122</v>
      </c>
      <c r="G2880" s="10" t="s">
        <v>2373</v>
      </c>
      <c r="H2880" s="10" t="s">
        <v>848</v>
      </c>
      <c r="I2880" s="62">
        <v>31</v>
      </c>
      <c r="J2880" s="10" t="s">
        <v>2372</v>
      </c>
      <c r="K2880" s="10" t="s">
        <v>847</v>
      </c>
      <c r="L2880" s="10" t="s">
        <v>2373</v>
      </c>
      <c r="M2880" s="10" t="s">
        <v>2372</v>
      </c>
      <c r="N2880" s="10" t="s">
        <v>2373</v>
      </c>
      <c r="O2880" s="10"/>
    </row>
    <row r="2881" spans="1:15" ht="18" customHeight="1" x14ac:dyDescent="0.3">
      <c r="A2881" s="24">
        <v>2880</v>
      </c>
      <c r="B2881" s="99" t="s">
        <v>2068</v>
      </c>
      <c r="C2881" s="99" t="s">
        <v>2126</v>
      </c>
      <c r="D2881" s="99">
        <v>189</v>
      </c>
      <c r="E2881" s="56" t="s">
        <v>2127</v>
      </c>
      <c r="F2881" s="30" t="s">
        <v>2128</v>
      </c>
      <c r="G2881" s="99" t="s">
        <v>2553</v>
      </c>
      <c r="H2881" s="10" t="s">
        <v>2385</v>
      </c>
      <c r="I2881" s="62">
        <v>54</v>
      </c>
      <c r="J2881" s="10" t="s">
        <v>2372</v>
      </c>
      <c r="K2881" s="10" t="s">
        <v>847</v>
      </c>
      <c r="L2881" s="10" t="s">
        <v>2373</v>
      </c>
      <c r="M2881" s="10" t="s">
        <v>2372</v>
      </c>
      <c r="N2881" s="10" t="s">
        <v>2373</v>
      </c>
      <c r="O2881" s="10"/>
    </row>
    <row r="2882" spans="1:15" ht="18" customHeight="1" x14ac:dyDescent="0.3">
      <c r="A2882" s="24">
        <v>2881</v>
      </c>
      <c r="B2882" s="99" t="s">
        <v>2068</v>
      </c>
      <c r="C2882" s="99" t="s">
        <v>2126</v>
      </c>
      <c r="D2882" s="99">
        <v>189</v>
      </c>
      <c r="E2882" s="56" t="s">
        <v>2127</v>
      </c>
      <c r="F2882" s="30" t="s">
        <v>2128</v>
      </c>
      <c r="G2882" s="99" t="s">
        <v>2553</v>
      </c>
      <c r="H2882" s="10" t="s">
        <v>2378</v>
      </c>
      <c r="I2882" s="62">
        <v>44</v>
      </c>
      <c r="J2882" s="10" t="s">
        <v>2372</v>
      </c>
      <c r="K2882" s="10" t="s">
        <v>847</v>
      </c>
      <c r="L2882" s="10" t="s">
        <v>2373</v>
      </c>
      <c r="M2882" s="10" t="s">
        <v>2372</v>
      </c>
      <c r="N2882" s="10" t="s">
        <v>2373</v>
      </c>
      <c r="O2882" s="10"/>
    </row>
    <row r="2883" spans="1:15" ht="18" customHeight="1" x14ac:dyDescent="0.3">
      <c r="A2883" s="24">
        <v>2882</v>
      </c>
      <c r="B2883" s="10" t="s">
        <v>115</v>
      </c>
      <c r="C2883" s="10" t="s">
        <v>116</v>
      </c>
      <c r="D2883" s="62">
        <v>190</v>
      </c>
      <c r="E2883" s="61" t="s">
        <v>2941</v>
      </c>
      <c r="F2883" s="19" t="s">
        <v>741</v>
      </c>
      <c r="G2883" s="10" t="s">
        <v>150</v>
      </c>
      <c r="H2883" s="10" t="s">
        <v>845</v>
      </c>
      <c r="I2883" s="62">
        <v>110</v>
      </c>
      <c r="J2883" s="10" t="s">
        <v>2374</v>
      </c>
      <c r="K2883" s="10" t="s">
        <v>847</v>
      </c>
      <c r="L2883" s="10" t="s">
        <v>2373</v>
      </c>
      <c r="M2883" s="10" t="s">
        <v>2372</v>
      </c>
      <c r="N2883" s="10" t="s">
        <v>2373</v>
      </c>
      <c r="O2883" s="10"/>
    </row>
    <row r="2884" spans="1:15" ht="18" customHeight="1" x14ac:dyDescent="0.3">
      <c r="A2884" s="24">
        <v>2883</v>
      </c>
      <c r="B2884" s="10" t="s">
        <v>115</v>
      </c>
      <c r="C2884" s="10" t="s">
        <v>116</v>
      </c>
      <c r="D2884" s="62">
        <v>190</v>
      </c>
      <c r="E2884" s="61" t="s">
        <v>2941</v>
      </c>
      <c r="F2884" s="19" t="s">
        <v>741</v>
      </c>
      <c r="G2884" s="10" t="s">
        <v>150</v>
      </c>
      <c r="H2884" s="10" t="s">
        <v>848</v>
      </c>
      <c r="I2884" s="62">
        <v>216</v>
      </c>
      <c r="J2884" s="10" t="s">
        <v>2372</v>
      </c>
      <c r="K2884" s="10" t="s">
        <v>847</v>
      </c>
      <c r="L2884" s="10" t="s">
        <v>2373</v>
      </c>
      <c r="M2884" s="10" t="s">
        <v>2372</v>
      </c>
      <c r="N2884" s="10" t="s">
        <v>2373</v>
      </c>
      <c r="O2884" s="10"/>
    </row>
    <row r="2885" spans="1:15" ht="18" customHeight="1" x14ac:dyDescent="0.3">
      <c r="A2885" s="24">
        <v>2884</v>
      </c>
      <c r="B2885" s="10" t="s">
        <v>115</v>
      </c>
      <c r="C2885" s="10" t="s">
        <v>116</v>
      </c>
      <c r="D2885" s="62">
        <v>190</v>
      </c>
      <c r="E2885" s="61" t="s">
        <v>2941</v>
      </c>
      <c r="F2885" s="19" t="s">
        <v>741</v>
      </c>
      <c r="G2885" s="10" t="s">
        <v>150</v>
      </c>
      <c r="H2885" s="10" t="s">
        <v>849</v>
      </c>
      <c r="I2885" s="62">
        <v>216</v>
      </c>
      <c r="J2885" s="10" t="s">
        <v>2372</v>
      </c>
      <c r="K2885" s="10" t="s">
        <v>847</v>
      </c>
      <c r="L2885" s="10" t="s">
        <v>2373</v>
      </c>
      <c r="M2885" s="10" t="s">
        <v>2372</v>
      </c>
      <c r="N2885" s="10" t="s">
        <v>2373</v>
      </c>
      <c r="O2885" s="10"/>
    </row>
    <row r="2886" spans="1:15" ht="18" customHeight="1" x14ac:dyDescent="0.3">
      <c r="A2886" s="24">
        <v>2885</v>
      </c>
      <c r="B2886" s="10" t="s">
        <v>115</v>
      </c>
      <c r="C2886" s="10" t="s">
        <v>116</v>
      </c>
      <c r="D2886" s="62">
        <v>190</v>
      </c>
      <c r="E2886" s="61" t="s">
        <v>2941</v>
      </c>
      <c r="F2886" s="19" t="s">
        <v>741</v>
      </c>
      <c r="G2886" s="10" t="s">
        <v>150</v>
      </c>
      <c r="H2886" s="10" t="s">
        <v>850</v>
      </c>
      <c r="I2886" s="62">
        <v>220</v>
      </c>
      <c r="J2886" s="10" t="s">
        <v>2372</v>
      </c>
      <c r="K2886" s="10" t="s">
        <v>847</v>
      </c>
      <c r="L2886" s="10" t="s">
        <v>2373</v>
      </c>
      <c r="M2886" s="10" t="s">
        <v>2372</v>
      </c>
      <c r="N2886" s="10" t="s">
        <v>2373</v>
      </c>
      <c r="O2886" s="10"/>
    </row>
    <row r="2887" spans="1:15" ht="18" customHeight="1" x14ac:dyDescent="0.3">
      <c r="A2887" s="24">
        <v>2886</v>
      </c>
      <c r="B2887" s="10" t="s">
        <v>115</v>
      </c>
      <c r="C2887" s="10" t="s">
        <v>116</v>
      </c>
      <c r="D2887" s="62">
        <v>190</v>
      </c>
      <c r="E2887" s="61" t="s">
        <v>2941</v>
      </c>
      <c r="F2887" s="19" t="s">
        <v>741</v>
      </c>
      <c r="G2887" s="10" t="s">
        <v>150</v>
      </c>
      <c r="H2887" s="10" t="s">
        <v>851</v>
      </c>
      <c r="I2887" s="62">
        <v>216</v>
      </c>
      <c r="J2887" s="10" t="s">
        <v>2372</v>
      </c>
      <c r="K2887" s="10" t="s">
        <v>847</v>
      </c>
      <c r="L2887" s="10" t="s">
        <v>2373</v>
      </c>
      <c r="M2887" s="10" t="s">
        <v>2372</v>
      </c>
      <c r="N2887" s="10" t="s">
        <v>2373</v>
      </c>
      <c r="O2887" s="10"/>
    </row>
    <row r="2888" spans="1:15" ht="18" customHeight="1" x14ac:dyDescent="0.3">
      <c r="A2888" s="24">
        <v>2887</v>
      </c>
      <c r="B2888" s="10" t="s">
        <v>115</v>
      </c>
      <c r="C2888" s="10" t="s">
        <v>116</v>
      </c>
      <c r="D2888" s="62">
        <v>190</v>
      </c>
      <c r="E2888" s="61" t="s">
        <v>261</v>
      </c>
      <c r="F2888" s="11" t="s">
        <v>743</v>
      </c>
      <c r="G2888" s="10" t="s">
        <v>160</v>
      </c>
      <c r="H2888" s="10" t="s">
        <v>845</v>
      </c>
      <c r="I2888" s="62">
        <v>211</v>
      </c>
      <c r="J2888" s="10" t="s">
        <v>2374</v>
      </c>
      <c r="K2888" s="173" t="s">
        <v>860</v>
      </c>
      <c r="L2888" s="173" t="s">
        <v>1422</v>
      </c>
      <c r="M2888" s="10" t="s">
        <v>2372</v>
      </c>
      <c r="N2888" s="10" t="s">
        <v>2373</v>
      </c>
      <c r="O2888" s="10"/>
    </row>
    <row r="2889" spans="1:15" ht="18" customHeight="1" x14ac:dyDescent="0.3">
      <c r="A2889" s="24">
        <v>2888</v>
      </c>
      <c r="B2889" s="10" t="s">
        <v>115</v>
      </c>
      <c r="C2889" s="10" t="s">
        <v>116</v>
      </c>
      <c r="D2889" s="62">
        <v>190</v>
      </c>
      <c r="E2889" s="61" t="s">
        <v>261</v>
      </c>
      <c r="F2889" s="11" t="s">
        <v>743</v>
      </c>
      <c r="G2889" s="10" t="s">
        <v>160</v>
      </c>
      <c r="H2889" s="10" t="s">
        <v>848</v>
      </c>
      <c r="I2889" s="62">
        <v>138</v>
      </c>
      <c r="J2889" s="10" t="s">
        <v>2372</v>
      </c>
      <c r="K2889" s="173" t="s">
        <v>860</v>
      </c>
      <c r="L2889" s="173" t="s">
        <v>1422</v>
      </c>
      <c r="M2889" s="10" t="s">
        <v>2372</v>
      </c>
      <c r="N2889" s="10" t="s">
        <v>2373</v>
      </c>
      <c r="O2889" s="10"/>
    </row>
    <row r="2890" spans="1:15" ht="18" customHeight="1" x14ac:dyDescent="0.3">
      <c r="A2890" s="24">
        <v>2889</v>
      </c>
      <c r="B2890" s="10" t="s">
        <v>115</v>
      </c>
      <c r="C2890" s="10" t="s">
        <v>116</v>
      </c>
      <c r="D2890" s="62">
        <v>190</v>
      </c>
      <c r="E2890" s="61" t="s">
        <v>261</v>
      </c>
      <c r="F2890" s="11" t="s">
        <v>743</v>
      </c>
      <c r="G2890" s="10" t="s">
        <v>160</v>
      </c>
      <c r="H2890" s="10" t="s">
        <v>849</v>
      </c>
      <c r="I2890" s="62">
        <v>175</v>
      </c>
      <c r="J2890" s="10" t="s">
        <v>2372</v>
      </c>
      <c r="K2890" s="173" t="s">
        <v>860</v>
      </c>
      <c r="L2890" s="173" t="s">
        <v>1422</v>
      </c>
      <c r="M2890" s="10" t="s">
        <v>2372</v>
      </c>
      <c r="N2890" s="10" t="s">
        <v>2373</v>
      </c>
      <c r="O2890" s="10"/>
    </row>
    <row r="2891" spans="1:15" ht="18" customHeight="1" x14ac:dyDescent="0.3">
      <c r="A2891" s="24">
        <v>2890</v>
      </c>
      <c r="B2891" s="10" t="s">
        <v>115</v>
      </c>
      <c r="C2891" s="10" t="s">
        <v>116</v>
      </c>
      <c r="D2891" s="62">
        <v>190</v>
      </c>
      <c r="E2891" s="61" t="s">
        <v>261</v>
      </c>
      <c r="F2891" s="11" t="s">
        <v>743</v>
      </c>
      <c r="G2891" s="10" t="s">
        <v>160</v>
      </c>
      <c r="H2891" s="10" t="s">
        <v>850</v>
      </c>
      <c r="I2891" s="62">
        <v>162</v>
      </c>
      <c r="J2891" s="10" t="s">
        <v>2372</v>
      </c>
      <c r="K2891" s="173" t="s">
        <v>860</v>
      </c>
      <c r="L2891" s="173" t="s">
        <v>1422</v>
      </c>
      <c r="M2891" s="10" t="s">
        <v>2372</v>
      </c>
      <c r="N2891" s="10" t="s">
        <v>2373</v>
      </c>
      <c r="O2891" s="10"/>
    </row>
    <row r="2892" spans="1:15" ht="18" customHeight="1" x14ac:dyDescent="0.3">
      <c r="A2892" s="24">
        <v>2891</v>
      </c>
      <c r="B2892" s="10" t="s">
        <v>115</v>
      </c>
      <c r="C2892" s="10" t="s">
        <v>116</v>
      </c>
      <c r="D2892" s="62">
        <v>190</v>
      </c>
      <c r="E2892" s="61" t="s">
        <v>261</v>
      </c>
      <c r="F2892" s="11" t="s">
        <v>743</v>
      </c>
      <c r="G2892" s="10" t="s">
        <v>160</v>
      </c>
      <c r="H2892" s="10" t="s">
        <v>851</v>
      </c>
      <c r="I2892" s="62">
        <v>151</v>
      </c>
      <c r="J2892" s="10" t="s">
        <v>2372</v>
      </c>
      <c r="K2892" s="173" t="s">
        <v>860</v>
      </c>
      <c r="L2892" s="173" t="s">
        <v>1422</v>
      </c>
      <c r="M2892" s="10" t="s">
        <v>2372</v>
      </c>
      <c r="N2892" s="10" t="s">
        <v>2373</v>
      </c>
      <c r="O2892" s="10"/>
    </row>
    <row r="2893" spans="1:15" ht="18" customHeight="1" x14ac:dyDescent="0.3">
      <c r="A2893" s="24">
        <v>2892</v>
      </c>
      <c r="B2893" s="10" t="s">
        <v>115</v>
      </c>
      <c r="C2893" s="10" t="s">
        <v>116</v>
      </c>
      <c r="D2893" s="62">
        <v>190</v>
      </c>
      <c r="E2893" s="61" t="s">
        <v>261</v>
      </c>
      <c r="F2893" s="11" t="s">
        <v>743</v>
      </c>
      <c r="G2893" s="10" t="s">
        <v>160</v>
      </c>
      <c r="H2893" s="10" t="s">
        <v>852</v>
      </c>
      <c r="I2893" s="177">
        <v>96</v>
      </c>
      <c r="J2893" s="10" t="s">
        <v>2372</v>
      </c>
      <c r="K2893" s="173" t="s">
        <v>860</v>
      </c>
      <c r="L2893" s="173" t="s">
        <v>1422</v>
      </c>
      <c r="M2893" s="10" t="s">
        <v>2372</v>
      </c>
      <c r="N2893" s="10" t="s">
        <v>2373</v>
      </c>
      <c r="O2893" s="10"/>
    </row>
    <row r="2894" spans="1:15" ht="18" customHeight="1" x14ac:dyDescent="0.3">
      <c r="A2894" s="24">
        <v>2893</v>
      </c>
      <c r="B2894" s="10" t="s">
        <v>115</v>
      </c>
      <c r="C2894" s="10" t="s">
        <v>116</v>
      </c>
      <c r="D2894" s="62">
        <v>190</v>
      </c>
      <c r="E2894" s="61" t="s">
        <v>261</v>
      </c>
      <c r="F2894" s="11" t="s">
        <v>743</v>
      </c>
      <c r="G2894" s="10" t="s">
        <v>160</v>
      </c>
      <c r="H2894" s="10" t="s">
        <v>853</v>
      </c>
      <c r="I2894" s="62">
        <v>65</v>
      </c>
      <c r="J2894" s="10" t="s">
        <v>2372</v>
      </c>
      <c r="K2894" s="173" t="s">
        <v>860</v>
      </c>
      <c r="L2894" s="173" t="s">
        <v>1422</v>
      </c>
      <c r="M2894" s="10" t="s">
        <v>2372</v>
      </c>
      <c r="N2894" s="10" t="s">
        <v>2373</v>
      </c>
      <c r="O2894" s="10"/>
    </row>
    <row r="2895" spans="1:15" ht="18" customHeight="1" x14ac:dyDescent="0.3">
      <c r="A2895" s="24">
        <v>2894</v>
      </c>
      <c r="B2895" s="10" t="s">
        <v>115</v>
      </c>
      <c r="C2895" s="10" t="s">
        <v>116</v>
      </c>
      <c r="D2895" s="62">
        <v>190</v>
      </c>
      <c r="E2895" s="61" t="s">
        <v>2942</v>
      </c>
      <c r="F2895" s="19" t="s">
        <v>742</v>
      </c>
      <c r="G2895" s="10" t="s">
        <v>150</v>
      </c>
      <c r="H2895" s="10" t="s">
        <v>845</v>
      </c>
      <c r="I2895" s="62">
        <v>206</v>
      </c>
      <c r="J2895" s="10" t="s">
        <v>2374</v>
      </c>
      <c r="K2895" s="10" t="s">
        <v>847</v>
      </c>
      <c r="L2895" s="10" t="s">
        <v>2373</v>
      </c>
      <c r="M2895" s="10" t="s">
        <v>2372</v>
      </c>
      <c r="N2895" s="10" t="s">
        <v>2373</v>
      </c>
      <c r="O2895" s="10"/>
    </row>
    <row r="2896" spans="1:15" ht="18" customHeight="1" x14ac:dyDescent="0.3">
      <c r="A2896" s="24">
        <v>2895</v>
      </c>
      <c r="B2896" s="10" t="s">
        <v>115</v>
      </c>
      <c r="C2896" s="10" t="s">
        <v>116</v>
      </c>
      <c r="D2896" s="62">
        <v>190</v>
      </c>
      <c r="E2896" s="61" t="s">
        <v>2942</v>
      </c>
      <c r="F2896" s="19" t="s">
        <v>742</v>
      </c>
      <c r="G2896" s="10" t="s">
        <v>150</v>
      </c>
      <c r="H2896" s="10" t="s">
        <v>848</v>
      </c>
      <c r="I2896" s="62">
        <v>246</v>
      </c>
      <c r="J2896" s="10" t="s">
        <v>2372</v>
      </c>
      <c r="K2896" s="10" t="s">
        <v>847</v>
      </c>
      <c r="L2896" s="10" t="s">
        <v>2373</v>
      </c>
      <c r="M2896" s="10" t="s">
        <v>2372</v>
      </c>
      <c r="N2896" s="10" t="s">
        <v>2373</v>
      </c>
      <c r="O2896" s="10"/>
    </row>
    <row r="2897" spans="1:15" ht="18" customHeight="1" x14ac:dyDescent="0.3">
      <c r="A2897" s="24">
        <v>2896</v>
      </c>
      <c r="B2897" s="10" t="s">
        <v>115</v>
      </c>
      <c r="C2897" s="10" t="s">
        <v>116</v>
      </c>
      <c r="D2897" s="62">
        <v>190</v>
      </c>
      <c r="E2897" s="61" t="s">
        <v>2942</v>
      </c>
      <c r="F2897" s="19" t="s">
        <v>742</v>
      </c>
      <c r="G2897" s="10" t="s">
        <v>150</v>
      </c>
      <c r="H2897" s="10" t="s">
        <v>849</v>
      </c>
      <c r="I2897" s="62">
        <v>251</v>
      </c>
      <c r="J2897" s="10" t="s">
        <v>2372</v>
      </c>
      <c r="K2897" s="10" t="s">
        <v>847</v>
      </c>
      <c r="L2897" s="10" t="s">
        <v>2373</v>
      </c>
      <c r="M2897" s="10" t="s">
        <v>2372</v>
      </c>
      <c r="N2897" s="10" t="s">
        <v>2373</v>
      </c>
      <c r="O2897" s="10"/>
    </row>
    <row r="2898" spans="1:15" ht="18" customHeight="1" x14ac:dyDescent="0.3">
      <c r="A2898" s="24">
        <v>2897</v>
      </c>
      <c r="B2898" s="10" t="s">
        <v>115</v>
      </c>
      <c r="C2898" s="10" t="s">
        <v>116</v>
      </c>
      <c r="D2898" s="62">
        <v>190</v>
      </c>
      <c r="E2898" s="61" t="s">
        <v>2942</v>
      </c>
      <c r="F2898" s="19" t="s">
        <v>742</v>
      </c>
      <c r="G2898" s="10" t="s">
        <v>150</v>
      </c>
      <c r="H2898" s="10" t="s">
        <v>850</v>
      </c>
      <c r="I2898" s="62">
        <v>125</v>
      </c>
      <c r="J2898" s="10" t="s">
        <v>2372</v>
      </c>
      <c r="K2898" s="10" t="s">
        <v>847</v>
      </c>
      <c r="L2898" s="10" t="s">
        <v>2373</v>
      </c>
      <c r="M2898" s="10" t="s">
        <v>2372</v>
      </c>
      <c r="N2898" s="10" t="s">
        <v>2373</v>
      </c>
      <c r="O2898" s="10"/>
    </row>
    <row r="2899" spans="1:15" ht="18" customHeight="1" x14ac:dyDescent="0.3">
      <c r="A2899" s="24">
        <v>2898</v>
      </c>
      <c r="B2899" s="10" t="s">
        <v>115</v>
      </c>
      <c r="C2899" s="10" t="s">
        <v>116</v>
      </c>
      <c r="D2899" s="62">
        <v>190</v>
      </c>
      <c r="E2899" s="61" t="s">
        <v>2942</v>
      </c>
      <c r="F2899" s="19" t="s">
        <v>742</v>
      </c>
      <c r="G2899" s="10" t="s">
        <v>150</v>
      </c>
      <c r="H2899" s="10" t="s">
        <v>851</v>
      </c>
      <c r="I2899" s="62">
        <v>134</v>
      </c>
      <c r="J2899" s="10" t="s">
        <v>2372</v>
      </c>
      <c r="K2899" s="10" t="s">
        <v>847</v>
      </c>
      <c r="L2899" s="10" t="s">
        <v>2373</v>
      </c>
      <c r="M2899" s="10" t="s">
        <v>2372</v>
      </c>
      <c r="N2899" s="10" t="s">
        <v>2373</v>
      </c>
      <c r="O2899" s="10"/>
    </row>
    <row r="2900" spans="1:15" ht="18" customHeight="1" x14ac:dyDescent="0.3">
      <c r="A2900" s="24">
        <v>2899</v>
      </c>
      <c r="B2900" s="10" t="s">
        <v>115</v>
      </c>
      <c r="C2900" s="10" t="s">
        <v>116</v>
      </c>
      <c r="D2900" s="62">
        <v>190</v>
      </c>
      <c r="E2900" s="61" t="s">
        <v>2942</v>
      </c>
      <c r="F2900" s="19" t="s">
        <v>742</v>
      </c>
      <c r="G2900" s="10" t="s">
        <v>150</v>
      </c>
      <c r="H2900" s="10" t="s">
        <v>852</v>
      </c>
      <c r="I2900" s="62">
        <v>164</v>
      </c>
      <c r="J2900" s="10" t="s">
        <v>2374</v>
      </c>
      <c r="K2900" s="10" t="s">
        <v>847</v>
      </c>
      <c r="L2900" s="10" t="s">
        <v>2373</v>
      </c>
      <c r="M2900" s="10" t="s">
        <v>2372</v>
      </c>
      <c r="N2900" s="10" t="s">
        <v>2373</v>
      </c>
      <c r="O2900" s="10"/>
    </row>
    <row r="2901" spans="1:15" ht="18" customHeight="1" x14ac:dyDescent="0.3">
      <c r="A2901" s="24">
        <v>2900</v>
      </c>
      <c r="B2901" s="10" t="s">
        <v>115</v>
      </c>
      <c r="C2901" s="10" t="s">
        <v>116</v>
      </c>
      <c r="D2901" s="62">
        <v>190</v>
      </c>
      <c r="E2901" s="61" t="s">
        <v>2942</v>
      </c>
      <c r="F2901" s="19" t="s">
        <v>742</v>
      </c>
      <c r="G2901" s="10" t="s">
        <v>150</v>
      </c>
      <c r="H2901" s="10" t="s">
        <v>853</v>
      </c>
      <c r="I2901" s="62">
        <v>89</v>
      </c>
      <c r="J2901" s="10" t="s">
        <v>2372</v>
      </c>
      <c r="K2901" s="10" t="s">
        <v>847</v>
      </c>
      <c r="L2901" s="10" t="s">
        <v>2373</v>
      </c>
      <c r="M2901" s="10" t="s">
        <v>2372</v>
      </c>
      <c r="N2901" s="10" t="s">
        <v>2373</v>
      </c>
      <c r="O2901" s="10"/>
    </row>
    <row r="2902" spans="1:15" ht="18" customHeight="1" x14ac:dyDescent="0.3">
      <c r="A2902" s="24">
        <v>2901</v>
      </c>
      <c r="B2902" s="10" t="s">
        <v>115</v>
      </c>
      <c r="C2902" s="10" t="s">
        <v>116</v>
      </c>
      <c r="D2902" s="62">
        <v>190</v>
      </c>
      <c r="E2902" s="61" t="s">
        <v>2942</v>
      </c>
      <c r="F2902" s="19" t="s">
        <v>742</v>
      </c>
      <c r="G2902" s="10" t="s">
        <v>150</v>
      </c>
      <c r="H2902" s="10" t="s">
        <v>854</v>
      </c>
      <c r="I2902" s="62">
        <v>85</v>
      </c>
      <c r="J2902" s="10" t="s">
        <v>2372</v>
      </c>
      <c r="K2902" s="10" t="s">
        <v>847</v>
      </c>
      <c r="L2902" s="10" t="s">
        <v>2373</v>
      </c>
      <c r="M2902" s="10" t="s">
        <v>2372</v>
      </c>
      <c r="N2902" s="10" t="s">
        <v>2373</v>
      </c>
      <c r="O2902" s="10"/>
    </row>
    <row r="2903" spans="1:15" ht="18" customHeight="1" x14ac:dyDescent="0.3">
      <c r="A2903" s="24">
        <v>2902</v>
      </c>
      <c r="B2903" s="10" t="s">
        <v>115</v>
      </c>
      <c r="C2903" s="10" t="s">
        <v>117</v>
      </c>
      <c r="D2903" s="62">
        <v>191</v>
      </c>
      <c r="E2903" s="61" t="s">
        <v>273</v>
      </c>
      <c r="F2903" s="19" t="s">
        <v>751</v>
      </c>
      <c r="G2903" s="10" t="s">
        <v>160</v>
      </c>
      <c r="H2903" s="10" t="s">
        <v>845</v>
      </c>
      <c r="I2903" s="62">
        <v>132</v>
      </c>
      <c r="J2903" s="10" t="s">
        <v>2372</v>
      </c>
      <c r="K2903" s="10" t="s">
        <v>847</v>
      </c>
      <c r="L2903" s="10" t="s">
        <v>2373</v>
      </c>
      <c r="M2903" s="10" t="s">
        <v>2372</v>
      </c>
      <c r="N2903" s="10" t="s">
        <v>2373</v>
      </c>
      <c r="O2903" s="10"/>
    </row>
    <row r="2904" spans="1:15" ht="18" customHeight="1" x14ac:dyDescent="0.3">
      <c r="A2904" s="24">
        <v>2903</v>
      </c>
      <c r="B2904" s="10" t="s">
        <v>115</v>
      </c>
      <c r="C2904" s="10" t="s">
        <v>117</v>
      </c>
      <c r="D2904" s="62">
        <v>191</v>
      </c>
      <c r="E2904" s="61" t="s">
        <v>273</v>
      </c>
      <c r="F2904" s="19" t="s">
        <v>751</v>
      </c>
      <c r="G2904" s="10" t="s">
        <v>160</v>
      </c>
      <c r="H2904" s="10" t="s">
        <v>848</v>
      </c>
      <c r="I2904" s="62">
        <v>122</v>
      </c>
      <c r="J2904" s="10" t="s">
        <v>2374</v>
      </c>
      <c r="K2904" s="10" t="s">
        <v>847</v>
      </c>
      <c r="L2904" s="10" t="s">
        <v>2373</v>
      </c>
      <c r="M2904" s="10" t="s">
        <v>2372</v>
      </c>
      <c r="N2904" s="10" t="s">
        <v>2373</v>
      </c>
      <c r="O2904" s="10"/>
    </row>
    <row r="2905" spans="1:15" ht="18" customHeight="1" x14ac:dyDescent="0.3">
      <c r="A2905" s="24">
        <v>2904</v>
      </c>
      <c r="B2905" s="10" t="s">
        <v>115</v>
      </c>
      <c r="C2905" s="10" t="s">
        <v>117</v>
      </c>
      <c r="D2905" s="62">
        <v>191</v>
      </c>
      <c r="E2905" s="61" t="s">
        <v>273</v>
      </c>
      <c r="F2905" s="19" t="s">
        <v>751</v>
      </c>
      <c r="G2905" s="10" t="s">
        <v>160</v>
      </c>
      <c r="H2905" s="10" t="s">
        <v>849</v>
      </c>
      <c r="I2905" s="62">
        <v>85</v>
      </c>
      <c r="J2905" s="10" t="s">
        <v>2372</v>
      </c>
      <c r="K2905" s="10" t="s">
        <v>847</v>
      </c>
      <c r="L2905" s="10" t="s">
        <v>2373</v>
      </c>
      <c r="M2905" s="10" t="s">
        <v>2372</v>
      </c>
      <c r="N2905" s="10" t="s">
        <v>2373</v>
      </c>
      <c r="O2905" s="10"/>
    </row>
    <row r="2906" spans="1:15" ht="18" customHeight="1" x14ac:dyDescent="0.3">
      <c r="A2906" s="24">
        <v>2905</v>
      </c>
      <c r="B2906" s="10" t="s">
        <v>115</v>
      </c>
      <c r="C2906" s="10" t="s">
        <v>117</v>
      </c>
      <c r="D2906" s="62">
        <v>191</v>
      </c>
      <c r="E2906" s="61" t="s">
        <v>273</v>
      </c>
      <c r="F2906" s="19" t="s">
        <v>751</v>
      </c>
      <c r="G2906" s="10" t="s">
        <v>160</v>
      </c>
      <c r="H2906" s="10" t="s">
        <v>850</v>
      </c>
      <c r="I2906" s="62">
        <v>122</v>
      </c>
      <c r="J2906" s="10" t="s">
        <v>2372</v>
      </c>
      <c r="K2906" s="10" t="s">
        <v>847</v>
      </c>
      <c r="L2906" s="10" t="s">
        <v>2373</v>
      </c>
      <c r="M2906" s="10" t="s">
        <v>2372</v>
      </c>
      <c r="N2906" s="10" t="s">
        <v>2373</v>
      </c>
      <c r="O2906" s="10"/>
    </row>
    <row r="2907" spans="1:15" ht="18" customHeight="1" x14ac:dyDescent="0.3">
      <c r="A2907" s="24">
        <v>2906</v>
      </c>
      <c r="B2907" s="10" t="s">
        <v>115</v>
      </c>
      <c r="C2907" s="10" t="s">
        <v>117</v>
      </c>
      <c r="D2907" s="62">
        <v>191</v>
      </c>
      <c r="E2907" s="61" t="s">
        <v>273</v>
      </c>
      <c r="F2907" s="19" t="s">
        <v>751</v>
      </c>
      <c r="G2907" s="10" t="s">
        <v>160</v>
      </c>
      <c r="H2907" s="10" t="s">
        <v>851</v>
      </c>
      <c r="I2907" s="62">
        <v>133</v>
      </c>
      <c r="J2907" s="10" t="s">
        <v>2372</v>
      </c>
      <c r="K2907" s="10" t="s">
        <v>847</v>
      </c>
      <c r="L2907" s="10" t="s">
        <v>2373</v>
      </c>
      <c r="M2907" s="10" t="s">
        <v>2372</v>
      </c>
      <c r="N2907" s="10" t="s">
        <v>2373</v>
      </c>
      <c r="O2907" s="10"/>
    </row>
    <row r="2908" spans="1:15" ht="18" customHeight="1" x14ac:dyDescent="0.3">
      <c r="A2908" s="24">
        <v>2907</v>
      </c>
      <c r="B2908" s="10" t="s">
        <v>115</v>
      </c>
      <c r="C2908" s="10" t="s">
        <v>117</v>
      </c>
      <c r="D2908" s="62">
        <v>191</v>
      </c>
      <c r="E2908" s="61" t="s">
        <v>273</v>
      </c>
      <c r="F2908" s="19" t="s">
        <v>751</v>
      </c>
      <c r="G2908" s="10" t="s">
        <v>160</v>
      </c>
      <c r="H2908" s="10" t="s">
        <v>852</v>
      </c>
      <c r="I2908" s="62">
        <v>216</v>
      </c>
      <c r="J2908" s="10" t="s">
        <v>2372</v>
      </c>
      <c r="K2908" s="10" t="s">
        <v>847</v>
      </c>
      <c r="L2908" s="10" t="s">
        <v>2373</v>
      </c>
      <c r="M2908" s="10" t="s">
        <v>2372</v>
      </c>
      <c r="N2908" s="10" t="s">
        <v>2373</v>
      </c>
      <c r="O2908" s="10"/>
    </row>
    <row r="2909" spans="1:15" ht="18" customHeight="1" x14ac:dyDescent="0.3">
      <c r="A2909" s="24">
        <v>2908</v>
      </c>
      <c r="B2909" s="10" t="s">
        <v>115</v>
      </c>
      <c r="C2909" s="10" t="s">
        <v>117</v>
      </c>
      <c r="D2909" s="62">
        <v>191</v>
      </c>
      <c r="E2909" s="61" t="s">
        <v>273</v>
      </c>
      <c r="F2909" s="19" t="s">
        <v>751</v>
      </c>
      <c r="G2909" s="10" t="s">
        <v>160</v>
      </c>
      <c r="H2909" s="10" t="s">
        <v>853</v>
      </c>
      <c r="I2909" s="62">
        <v>112</v>
      </c>
      <c r="J2909" s="10" t="s">
        <v>2372</v>
      </c>
      <c r="K2909" s="10" t="s">
        <v>847</v>
      </c>
      <c r="L2909" s="10" t="s">
        <v>2373</v>
      </c>
      <c r="M2909" s="10" t="s">
        <v>2372</v>
      </c>
      <c r="N2909" s="10" t="s">
        <v>2373</v>
      </c>
      <c r="O2909" s="10"/>
    </row>
    <row r="2910" spans="1:15" ht="18" customHeight="1" x14ac:dyDescent="0.3">
      <c r="A2910" s="24">
        <v>2909</v>
      </c>
      <c r="B2910" s="10" t="s">
        <v>115</v>
      </c>
      <c r="C2910" s="10" t="s">
        <v>117</v>
      </c>
      <c r="D2910" s="62">
        <v>191</v>
      </c>
      <c r="E2910" s="61" t="s">
        <v>273</v>
      </c>
      <c r="F2910" s="19" t="s">
        <v>751</v>
      </c>
      <c r="G2910" s="10" t="s">
        <v>160</v>
      </c>
      <c r="H2910" s="10" t="s">
        <v>854</v>
      </c>
      <c r="I2910" s="62">
        <v>216</v>
      </c>
      <c r="J2910" s="10" t="s">
        <v>2372</v>
      </c>
      <c r="K2910" s="10" t="s">
        <v>847</v>
      </c>
      <c r="L2910" s="10" t="s">
        <v>2373</v>
      </c>
      <c r="M2910" s="10" t="s">
        <v>2372</v>
      </c>
      <c r="N2910" s="10" t="s">
        <v>2373</v>
      </c>
      <c r="O2910" s="10"/>
    </row>
    <row r="2911" spans="1:15" ht="18" customHeight="1" x14ac:dyDescent="0.3">
      <c r="A2911" s="24">
        <v>2910</v>
      </c>
      <c r="B2911" s="10" t="s">
        <v>115</v>
      </c>
      <c r="C2911" s="10" t="s">
        <v>117</v>
      </c>
      <c r="D2911" s="62">
        <v>191</v>
      </c>
      <c r="E2911" s="61" t="s">
        <v>2943</v>
      </c>
      <c r="F2911" s="19" t="s">
        <v>750</v>
      </c>
      <c r="G2911" s="10" t="s">
        <v>1264</v>
      </c>
      <c r="H2911" s="10" t="s">
        <v>845</v>
      </c>
      <c r="I2911" s="62">
        <v>267</v>
      </c>
      <c r="J2911" s="10" t="s">
        <v>2372</v>
      </c>
      <c r="K2911" s="10" t="s">
        <v>847</v>
      </c>
      <c r="L2911" s="10" t="s">
        <v>2373</v>
      </c>
      <c r="M2911" s="10" t="s">
        <v>2372</v>
      </c>
      <c r="N2911" s="10" t="s">
        <v>2373</v>
      </c>
      <c r="O2911" s="10"/>
    </row>
    <row r="2912" spans="1:15" ht="18" customHeight="1" x14ac:dyDescent="0.3">
      <c r="A2912" s="24">
        <v>2911</v>
      </c>
      <c r="B2912" s="10" t="s">
        <v>115</v>
      </c>
      <c r="C2912" s="10" t="s">
        <v>117</v>
      </c>
      <c r="D2912" s="62">
        <v>191</v>
      </c>
      <c r="E2912" s="61" t="s">
        <v>2943</v>
      </c>
      <c r="F2912" s="19" t="s">
        <v>750</v>
      </c>
      <c r="G2912" s="10" t="s">
        <v>150</v>
      </c>
      <c r="H2912" s="10" t="s">
        <v>848</v>
      </c>
      <c r="I2912" s="62">
        <v>138</v>
      </c>
      <c r="J2912" s="10" t="s">
        <v>2372</v>
      </c>
      <c r="K2912" s="10" t="s">
        <v>847</v>
      </c>
      <c r="L2912" s="10" t="s">
        <v>2373</v>
      </c>
      <c r="M2912" s="10" t="s">
        <v>2372</v>
      </c>
      <c r="N2912" s="10" t="s">
        <v>2373</v>
      </c>
      <c r="O2912" s="10"/>
    </row>
    <row r="2913" spans="1:15" ht="18" customHeight="1" x14ac:dyDescent="0.3">
      <c r="A2913" s="24">
        <v>2912</v>
      </c>
      <c r="B2913" s="10" t="s">
        <v>115</v>
      </c>
      <c r="C2913" s="10" t="s">
        <v>117</v>
      </c>
      <c r="D2913" s="62">
        <v>191</v>
      </c>
      <c r="E2913" s="61" t="s">
        <v>2943</v>
      </c>
      <c r="F2913" s="19" t="s">
        <v>750</v>
      </c>
      <c r="G2913" s="10" t="s">
        <v>150</v>
      </c>
      <c r="H2913" s="10" t="s">
        <v>849</v>
      </c>
      <c r="I2913" s="62">
        <v>59</v>
      </c>
      <c r="J2913" s="10" t="s">
        <v>2372</v>
      </c>
      <c r="K2913" s="10" t="s">
        <v>847</v>
      </c>
      <c r="L2913" s="10" t="s">
        <v>2373</v>
      </c>
      <c r="M2913" s="10" t="s">
        <v>2372</v>
      </c>
      <c r="N2913" s="10" t="s">
        <v>2373</v>
      </c>
      <c r="O2913" s="10"/>
    </row>
    <row r="2914" spans="1:15" ht="18" customHeight="1" x14ac:dyDescent="0.3">
      <c r="A2914" s="24">
        <v>2913</v>
      </c>
      <c r="B2914" s="10" t="s">
        <v>115</v>
      </c>
      <c r="C2914" s="10" t="s">
        <v>117</v>
      </c>
      <c r="D2914" s="62">
        <v>191</v>
      </c>
      <c r="E2914" s="61" t="s">
        <v>2943</v>
      </c>
      <c r="F2914" s="19" t="s">
        <v>750</v>
      </c>
      <c r="G2914" s="10" t="s">
        <v>150</v>
      </c>
      <c r="H2914" s="10" t="s">
        <v>850</v>
      </c>
      <c r="I2914" s="62">
        <v>59</v>
      </c>
      <c r="J2914" s="10" t="s">
        <v>2372</v>
      </c>
      <c r="K2914" s="10" t="s">
        <v>847</v>
      </c>
      <c r="L2914" s="10" t="s">
        <v>2373</v>
      </c>
      <c r="M2914" s="10" t="s">
        <v>2372</v>
      </c>
      <c r="N2914" s="10" t="s">
        <v>2373</v>
      </c>
      <c r="O2914" s="10"/>
    </row>
    <row r="2915" spans="1:15" ht="18" customHeight="1" x14ac:dyDescent="0.3">
      <c r="A2915" s="24">
        <v>2914</v>
      </c>
      <c r="B2915" s="10" t="s">
        <v>115</v>
      </c>
      <c r="C2915" s="10" t="s">
        <v>117</v>
      </c>
      <c r="D2915" s="62">
        <v>191</v>
      </c>
      <c r="E2915" s="61" t="s">
        <v>2943</v>
      </c>
      <c r="F2915" s="19" t="s">
        <v>750</v>
      </c>
      <c r="G2915" s="10" t="s">
        <v>150</v>
      </c>
      <c r="H2915" s="10" t="s">
        <v>851</v>
      </c>
      <c r="I2915" s="62">
        <v>71</v>
      </c>
      <c r="J2915" s="10" t="s">
        <v>2374</v>
      </c>
      <c r="K2915" s="10" t="s">
        <v>847</v>
      </c>
      <c r="L2915" s="10" t="s">
        <v>2373</v>
      </c>
      <c r="M2915" s="10" t="s">
        <v>2372</v>
      </c>
      <c r="N2915" s="10" t="s">
        <v>2373</v>
      </c>
      <c r="O2915" s="10"/>
    </row>
    <row r="2916" spans="1:15" ht="18" customHeight="1" x14ac:dyDescent="0.3">
      <c r="A2916" s="24">
        <v>2915</v>
      </c>
      <c r="B2916" s="10" t="s">
        <v>115</v>
      </c>
      <c r="C2916" s="10" t="s">
        <v>117</v>
      </c>
      <c r="D2916" s="62">
        <v>191</v>
      </c>
      <c r="E2916" s="61" t="s">
        <v>2943</v>
      </c>
      <c r="F2916" s="19" t="s">
        <v>750</v>
      </c>
      <c r="G2916" s="10" t="s">
        <v>150</v>
      </c>
      <c r="H2916" s="10" t="s">
        <v>852</v>
      </c>
      <c r="I2916" s="62">
        <v>133</v>
      </c>
      <c r="J2916" s="10" t="s">
        <v>2372</v>
      </c>
      <c r="K2916" s="10" t="s">
        <v>847</v>
      </c>
      <c r="L2916" s="10" t="s">
        <v>2373</v>
      </c>
      <c r="M2916" s="10" t="s">
        <v>2372</v>
      </c>
      <c r="N2916" s="10" t="s">
        <v>2373</v>
      </c>
      <c r="O2916" s="10"/>
    </row>
    <row r="2917" spans="1:15" ht="18" customHeight="1" x14ac:dyDescent="0.3">
      <c r="A2917" s="24">
        <v>2916</v>
      </c>
      <c r="B2917" s="10" t="s">
        <v>115</v>
      </c>
      <c r="C2917" s="10" t="s">
        <v>117</v>
      </c>
      <c r="D2917" s="62">
        <v>191</v>
      </c>
      <c r="E2917" s="61" t="s">
        <v>2943</v>
      </c>
      <c r="F2917" s="19" t="s">
        <v>750</v>
      </c>
      <c r="G2917" s="10" t="s">
        <v>150</v>
      </c>
      <c r="H2917" s="10" t="s">
        <v>853</v>
      </c>
      <c r="I2917" s="62">
        <v>106</v>
      </c>
      <c r="J2917" s="10" t="s">
        <v>2374</v>
      </c>
      <c r="K2917" s="10" t="s">
        <v>847</v>
      </c>
      <c r="L2917" s="10" t="s">
        <v>2373</v>
      </c>
      <c r="M2917" s="10" t="s">
        <v>2372</v>
      </c>
      <c r="N2917" s="10" t="s">
        <v>2373</v>
      </c>
      <c r="O2917" s="10"/>
    </row>
    <row r="2918" spans="1:15" ht="18" customHeight="1" x14ac:dyDescent="0.3">
      <c r="A2918" s="24">
        <v>2917</v>
      </c>
      <c r="B2918" s="10" t="s">
        <v>115</v>
      </c>
      <c r="C2918" s="10" t="s">
        <v>117</v>
      </c>
      <c r="D2918" s="62">
        <v>191</v>
      </c>
      <c r="E2918" s="61" t="s">
        <v>2943</v>
      </c>
      <c r="F2918" s="19" t="s">
        <v>750</v>
      </c>
      <c r="G2918" s="10" t="s">
        <v>150</v>
      </c>
      <c r="H2918" s="10" t="s">
        <v>854</v>
      </c>
      <c r="I2918" s="62">
        <v>39</v>
      </c>
      <c r="J2918" s="10" t="s">
        <v>2372</v>
      </c>
      <c r="K2918" s="10" t="s">
        <v>847</v>
      </c>
      <c r="L2918" s="10" t="s">
        <v>2373</v>
      </c>
      <c r="M2918" s="10" t="s">
        <v>2372</v>
      </c>
      <c r="N2918" s="10" t="s">
        <v>2373</v>
      </c>
      <c r="O2918" s="10"/>
    </row>
    <row r="2919" spans="1:15" ht="18" customHeight="1" x14ac:dyDescent="0.3">
      <c r="A2919" s="24">
        <v>2918</v>
      </c>
      <c r="B2919" s="10" t="s">
        <v>115</v>
      </c>
      <c r="C2919" s="10" t="s">
        <v>118</v>
      </c>
      <c r="D2919" s="62">
        <v>192</v>
      </c>
      <c r="E2919" s="61" t="s">
        <v>2944</v>
      </c>
      <c r="F2919" s="19" t="s">
        <v>745</v>
      </c>
      <c r="G2919" s="10" t="s">
        <v>150</v>
      </c>
      <c r="H2919" s="10" t="s">
        <v>845</v>
      </c>
      <c r="I2919" s="62">
        <v>222</v>
      </c>
      <c r="J2919" s="10" t="s">
        <v>2374</v>
      </c>
      <c r="K2919" s="10" t="s">
        <v>847</v>
      </c>
      <c r="L2919" s="10" t="s">
        <v>2373</v>
      </c>
      <c r="M2919" s="10" t="s">
        <v>2372</v>
      </c>
      <c r="N2919" s="10" t="s">
        <v>2373</v>
      </c>
      <c r="O2919" s="10"/>
    </row>
    <row r="2920" spans="1:15" ht="18" customHeight="1" x14ac:dyDescent="0.3">
      <c r="A2920" s="24">
        <v>2919</v>
      </c>
      <c r="B2920" s="10" t="s">
        <v>115</v>
      </c>
      <c r="C2920" s="10" t="s">
        <v>118</v>
      </c>
      <c r="D2920" s="62">
        <v>192</v>
      </c>
      <c r="E2920" s="61" t="s">
        <v>2944</v>
      </c>
      <c r="F2920" s="19" t="s">
        <v>745</v>
      </c>
      <c r="G2920" s="10" t="s">
        <v>150</v>
      </c>
      <c r="H2920" s="10" t="s">
        <v>848</v>
      </c>
      <c r="I2920" s="62">
        <v>192</v>
      </c>
      <c r="J2920" s="10" t="s">
        <v>2374</v>
      </c>
      <c r="K2920" s="10" t="s">
        <v>847</v>
      </c>
      <c r="L2920" s="10" t="s">
        <v>2373</v>
      </c>
      <c r="M2920" s="10" t="s">
        <v>2372</v>
      </c>
      <c r="N2920" s="10" t="s">
        <v>2373</v>
      </c>
      <c r="O2920" s="10"/>
    </row>
    <row r="2921" spans="1:15" ht="18" customHeight="1" x14ac:dyDescent="0.3">
      <c r="A2921" s="24">
        <v>2920</v>
      </c>
      <c r="B2921" s="10" t="s">
        <v>115</v>
      </c>
      <c r="C2921" s="10" t="s">
        <v>118</v>
      </c>
      <c r="D2921" s="62">
        <v>192</v>
      </c>
      <c r="E2921" s="61" t="s">
        <v>2944</v>
      </c>
      <c r="F2921" s="19" t="s">
        <v>745</v>
      </c>
      <c r="G2921" s="10" t="s">
        <v>150</v>
      </c>
      <c r="H2921" s="10" t="s">
        <v>849</v>
      </c>
      <c r="I2921" s="62">
        <v>176</v>
      </c>
      <c r="J2921" s="10" t="s">
        <v>2372</v>
      </c>
      <c r="K2921" s="10" t="s">
        <v>847</v>
      </c>
      <c r="L2921" s="10" t="s">
        <v>2373</v>
      </c>
      <c r="M2921" s="10" t="s">
        <v>2372</v>
      </c>
      <c r="N2921" s="10" t="s">
        <v>2373</v>
      </c>
      <c r="O2921" s="10"/>
    </row>
    <row r="2922" spans="1:15" ht="18" customHeight="1" x14ac:dyDescent="0.3">
      <c r="A2922" s="24">
        <v>2921</v>
      </c>
      <c r="B2922" s="10" t="s">
        <v>115</v>
      </c>
      <c r="C2922" s="10" t="s">
        <v>118</v>
      </c>
      <c r="D2922" s="62">
        <v>192</v>
      </c>
      <c r="E2922" s="61" t="s">
        <v>2944</v>
      </c>
      <c r="F2922" s="19" t="s">
        <v>745</v>
      </c>
      <c r="G2922" s="10" t="s">
        <v>150</v>
      </c>
      <c r="H2922" s="10" t="s">
        <v>850</v>
      </c>
      <c r="I2922" s="62">
        <v>121</v>
      </c>
      <c r="J2922" s="10" t="s">
        <v>2374</v>
      </c>
      <c r="K2922" s="10" t="s">
        <v>847</v>
      </c>
      <c r="L2922" s="10" t="s">
        <v>2373</v>
      </c>
      <c r="M2922" s="10" t="s">
        <v>2372</v>
      </c>
      <c r="N2922" s="10" t="s">
        <v>2373</v>
      </c>
      <c r="O2922" s="10"/>
    </row>
    <row r="2923" spans="1:15" ht="18" customHeight="1" x14ac:dyDescent="0.3">
      <c r="A2923" s="24">
        <v>2922</v>
      </c>
      <c r="B2923" s="10" t="s">
        <v>115</v>
      </c>
      <c r="C2923" s="10" t="s">
        <v>118</v>
      </c>
      <c r="D2923" s="62">
        <v>192</v>
      </c>
      <c r="E2923" s="61" t="s">
        <v>2944</v>
      </c>
      <c r="F2923" s="19" t="s">
        <v>745</v>
      </c>
      <c r="G2923" s="10" t="s">
        <v>150</v>
      </c>
      <c r="H2923" s="10" t="s">
        <v>851</v>
      </c>
      <c r="I2923" s="62">
        <v>90</v>
      </c>
      <c r="J2923" s="10" t="s">
        <v>2374</v>
      </c>
      <c r="K2923" s="10" t="s">
        <v>847</v>
      </c>
      <c r="L2923" s="10" t="s">
        <v>2373</v>
      </c>
      <c r="M2923" s="10" t="s">
        <v>2372</v>
      </c>
      <c r="N2923" s="10" t="s">
        <v>2373</v>
      </c>
      <c r="O2923" s="10"/>
    </row>
    <row r="2924" spans="1:15" ht="18" customHeight="1" x14ac:dyDescent="0.3">
      <c r="A2924" s="24">
        <v>2923</v>
      </c>
      <c r="B2924" s="10" t="s">
        <v>115</v>
      </c>
      <c r="C2924" s="10" t="s">
        <v>118</v>
      </c>
      <c r="D2924" s="62">
        <v>192</v>
      </c>
      <c r="E2924" s="61" t="s">
        <v>2944</v>
      </c>
      <c r="F2924" s="19" t="s">
        <v>745</v>
      </c>
      <c r="G2924" s="10" t="s">
        <v>150</v>
      </c>
      <c r="H2924" s="10" t="s">
        <v>852</v>
      </c>
      <c r="I2924" s="62">
        <v>176</v>
      </c>
      <c r="J2924" s="10" t="s">
        <v>2372</v>
      </c>
      <c r="K2924" s="10" t="s">
        <v>847</v>
      </c>
      <c r="L2924" s="10" t="s">
        <v>2373</v>
      </c>
      <c r="M2924" s="10" t="s">
        <v>2372</v>
      </c>
      <c r="N2924" s="10" t="s">
        <v>2373</v>
      </c>
      <c r="O2924" s="10"/>
    </row>
    <row r="2925" spans="1:15" ht="18" customHeight="1" x14ac:dyDescent="0.3">
      <c r="A2925" s="24">
        <v>2924</v>
      </c>
      <c r="B2925" s="10" t="s">
        <v>115</v>
      </c>
      <c r="C2925" s="10" t="s">
        <v>118</v>
      </c>
      <c r="D2925" s="62">
        <v>192</v>
      </c>
      <c r="E2925" s="61" t="s">
        <v>2944</v>
      </c>
      <c r="F2925" s="19" t="s">
        <v>745</v>
      </c>
      <c r="G2925" s="10" t="s">
        <v>150</v>
      </c>
      <c r="H2925" s="10" t="s">
        <v>853</v>
      </c>
      <c r="I2925" s="62">
        <v>121</v>
      </c>
      <c r="J2925" s="10" t="s">
        <v>2372</v>
      </c>
      <c r="K2925" s="10" t="s">
        <v>847</v>
      </c>
      <c r="L2925" s="10" t="s">
        <v>2373</v>
      </c>
      <c r="M2925" s="10" t="s">
        <v>2372</v>
      </c>
      <c r="N2925" s="10" t="s">
        <v>2373</v>
      </c>
      <c r="O2925" s="10"/>
    </row>
    <row r="2926" spans="1:15" ht="18" customHeight="1" x14ac:dyDescent="0.3">
      <c r="A2926" s="24">
        <v>2925</v>
      </c>
      <c r="B2926" s="10" t="s">
        <v>115</v>
      </c>
      <c r="C2926" s="10" t="s">
        <v>118</v>
      </c>
      <c r="D2926" s="62">
        <v>192</v>
      </c>
      <c r="E2926" s="61" t="s">
        <v>2944</v>
      </c>
      <c r="F2926" s="19" t="s">
        <v>745</v>
      </c>
      <c r="G2926" s="10" t="s">
        <v>150</v>
      </c>
      <c r="H2926" s="10" t="s">
        <v>854</v>
      </c>
      <c r="I2926" s="62">
        <v>90</v>
      </c>
      <c r="J2926" s="10" t="s">
        <v>2372</v>
      </c>
      <c r="K2926" s="10" t="s">
        <v>847</v>
      </c>
      <c r="L2926" s="10" t="s">
        <v>2373</v>
      </c>
      <c r="M2926" s="10" t="s">
        <v>2372</v>
      </c>
      <c r="N2926" s="10" t="s">
        <v>2373</v>
      </c>
      <c r="O2926" s="10"/>
    </row>
    <row r="2927" spans="1:15" ht="18" customHeight="1" x14ac:dyDescent="0.3">
      <c r="A2927" s="24">
        <v>2926</v>
      </c>
      <c r="B2927" s="10" t="s">
        <v>115</v>
      </c>
      <c r="C2927" s="10" t="s">
        <v>118</v>
      </c>
      <c r="D2927" s="62">
        <v>192</v>
      </c>
      <c r="E2927" s="61" t="s">
        <v>270</v>
      </c>
      <c r="F2927" s="19" t="s">
        <v>748</v>
      </c>
      <c r="G2927" s="10" t="s">
        <v>160</v>
      </c>
      <c r="H2927" s="10" t="s">
        <v>845</v>
      </c>
      <c r="I2927" s="62">
        <v>183</v>
      </c>
      <c r="J2927" s="10" t="s">
        <v>2374</v>
      </c>
      <c r="K2927" s="10" t="s">
        <v>847</v>
      </c>
      <c r="L2927" s="10" t="s">
        <v>2373</v>
      </c>
      <c r="M2927" s="10" t="s">
        <v>2372</v>
      </c>
      <c r="N2927" s="10" t="s">
        <v>2373</v>
      </c>
      <c r="O2927" s="10"/>
    </row>
    <row r="2928" spans="1:15" ht="18" customHeight="1" x14ac:dyDescent="0.3">
      <c r="A2928" s="24">
        <v>2927</v>
      </c>
      <c r="B2928" s="10" t="s">
        <v>115</v>
      </c>
      <c r="C2928" s="10" t="s">
        <v>118</v>
      </c>
      <c r="D2928" s="62">
        <v>192</v>
      </c>
      <c r="E2928" s="61" t="s">
        <v>270</v>
      </c>
      <c r="F2928" s="19" t="s">
        <v>748</v>
      </c>
      <c r="G2928" s="10" t="s">
        <v>160</v>
      </c>
      <c r="H2928" s="10" t="s">
        <v>848</v>
      </c>
      <c r="I2928" s="62">
        <v>118</v>
      </c>
      <c r="J2928" s="10" t="s">
        <v>2374</v>
      </c>
      <c r="K2928" s="10" t="s">
        <v>847</v>
      </c>
      <c r="L2928" s="10" t="s">
        <v>2373</v>
      </c>
      <c r="M2928" s="10" t="s">
        <v>2372</v>
      </c>
      <c r="N2928" s="10" t="s">
        <v>2373</v>
      </c>
      <c r="O2928" s="10"/>
    </row>
    <row r="2929" spans="1:15" ht="18" customHeight="1" x14ac:dyDescent="0.3">
      <c r="A2929" s="24">
        <v>2928</v>
      </c>
      <c r="B2929" s="10" t="s">
        <v>115</v>
      </c>
      <c r="C2929" s="10" t="s">
        <v>118</v>
      </c>
      <c r="D2929" s="62">
        <v>192</v>
      </c>
      <c r="E2929" s="61" t="s">
        <v>270</v>
      </c>
      <c r="F2929" s="19" t="s">
        <v>748</v>
      </c>
      <c r="G2929" s="10" t="s">
        <v>160</v>
      </c>
      <c r="H2929" s="10" t="s">
        <v>849</v>
      </c>
      <c r="I2929" s="62">
        <v>132</v>
      </c>
      <c r="J2929" s="10" t="s">
        <v>2374</v>
      </c>
      <c r="K2929" s="10" t="s">
        <v>847</v>
      </c>
      <c r="L2929" s="10" t="s">
        <v>2373</v>
      </c>
      <c r="M2929" s="10" t="s">
        <v>2372</v>
      </c>
      <c r="N2929" s="10" t="s">
        <v>2373</v>
      </c>
      <c r="O2929" s="10"/>
    </row>
    <row r="2930" spans="1:15" ht="18" customHeight="1" x14ac:dyDescent="0.3">
      <c r="A2930" s="24">
        <v>2929</v>
      </c>
      <c r="B2930" s="10" t="s">
        <v>115</v>
      </c>
      <c r="C2930" s="10" t="s">
        <v>118</v>
      </c>
      <c r="D2930" s="62">
        <v>192</v>
      </c>
      <c r="E2930" s="61" t="s">
        <v>270</v>
      </c>
      <c r="F2930" s="19" t="s">
        <v>748</v>
      </c>
      <c r="G2930" s="10" t="s">
        <v>160</v>
      </c>
      <c r="H2930" s="10" t="s">
        <v>850</v>
      </c>
      <c r="I2930" s="62">
        <v>149</v>
      </c>
      <c r="J2930" s="10" t="s">
        <v>2374</v>
      </c>
      <c r="K2930" s="10" t="s">
        <v>847</v>
      </c>
      <c r="L2930" s="10" t="s">
        <v>2373</v>
      </c>
      <c r="M2930" s="10" t="s">
        <v>2372</v>
      </c>
      <c r="N2930" s="10" t="s">
        <v>2373</v>
      </c>
      <c r="O2930" s="10"/>
    </row>
    <row r="2931" spans="1:15" ht="18" customHeight="1" x14ac:dyDescent="0.3">
      <c r="A2931" s="24">
        <v>2930</v>
      </c>
      <c r="B2931" s="10" t="s">
        <v>115</v>
      </c>
      <c r="C2931" s="10" t="s">
        <v>118</v>
      </c>
      <c r="D2931" s="62">
        <v>192</v>
      </c>
      <c r="E2931" s="61" t="s">
        <v>270</v>
      </c>
      <c r="F2931" s="19" t="s">
        <v>748</v>
      </c>
      <c r="G2931" s="10" t="s">
        <v>160</v>
      </c>
      <c r="H2931" s="10" t="s">
        <v>851</v>
      </c>
      <c r="I2931" s="62">
        <v>102</v>
      </c>
      <c r="J2931" s="10" t="s">
        <v>2374</v>
      </c>
      <c r="K2931" s="10" t="s">
        <v>847</v>
      </c>
      <c r="L2931" s="10" t="s">
        <v>2373</v>
      </c>
      <c r="M2931" s="10" t="s">
        <v>2372</v>
      </c>
      <c r="N2931" s="10" t="s">
        <v>2373</v>
      </c>
      <c r="O2931" s="10"/>
    </row>
    <row r="2932" spans="1:15" ht="18" customHeight="1" x14ac:dyDescent="0.3">
      <c r="A2932" s="24">
        <v>2931</v>
      </c>
      <c r="B2932" s="10" t="s">
        <v>115</v>
      </c>
      <c r="C2932" s="10" t="s">
        <v>118</v>
      </c>
      <c r="D2932" s="62">
        <v>192</v>
      </c>
      <c r="E2932" s="61" t="s">
        <v>270</v>
      </c>
      <c r="F2932" s="19" t="s">
        <v>748</v>
      </c>
      <c r="G2932" s="10" t="s">
        <v>160</v>
      </c>
      <c r="H2932" s="10" t="s">
        <v>852</v>
      </c>
      <c r="I2932" s="62">
        <v>102</v>
      </c>
      <c r="J2932" s="10" t="s">
        <v>2374</v>
      </c>
      <c r="K2932" s="10" t="s">
        <v>847</v>
      </c>
      <c r="L2932" s="10" t="s">
        <v>2373</v>
      </c>
      <c r="M2932" s="10" t="s">
        <v>2372</v>
      </c>
      <c r="N2932" s="10" t="s">
        <v>2373</v>
      </c>
      <c r="O2932" s="10"/>
    </row>
    <row r="2933" spans="1:15" ht="18" customHeight="1" x14ac:dyDescent="0.3">
      <c r="A2933" s="24">
        <v>2932</v>
      </c>
      <c r="B2933" s="10" t="s">
        <v>115</v>
      </c>
      <c r="C2933" s="10" t="s">
        <v>118</v>
      </c>
      <c r="D2933" s="62">
        <v>192</v>
      </c>
      <c r="E2933" s="61" t="s">
        <v>270</v>
      </c>
      <c r="F2933" s="19" t="s">
        <v>748</v>
      </c>
      <c r="G2933" s="10" t="s">
        <v>160</v>
      </c>
      <c r="H2933" s="10" t="s">
        <v>853</v>
      </c>
      <c r="I2933" s="62">
        <v>134</v>
      </c>
      <c r="J2933" s="10" t="s">
        <v>2374</v>
      </c>
      <c r="K2933" s="10" t="s">
        <v>847</v>
      </c>
      <c r="L2933" s="10" t="s">
        <v>2373</v>
      </c>
      <c r="M2933" s="10" t="s">
        <v>2372</v>
      </c>
      <c r="N2933" s="10" t="s">
        <v>2373</v>
      </c>
      <c r="O2933" s="10"/>
    </row>
    <row r="2934" spans="1:15" ht="18" customHeight="1" x14ac:dyDescent="0.3">
      <c r="A2934" s="24">
        <v>2933</v>
      </c>
      <c r="B2934" s="10" t="s">
        <v>115</v>
      </c>
      <c r="C2934" s="10" t="s">
        <v>118</v>
      </c>
      <c r="D2934" s="62">
        <v>192</v>
      </c>
      <c r="E2934" s="61" t="s">
        <v>2945</v>
      </c>
      <c r="F2934" s="19" t="s">
        <v>746</v>
      </c>
      <c r="G2934" s="10" t="s">
        <v>150</v>
      </c>
      <c r="H2934" s="10" t="s">
        <v>845</v>
      </c>
      <c r="I2934" s="62">
        <v>153</v>
      </c>
      <c r="J2934" s="10" t="s">
        <v>2372</v>
      </c>
      <c r="K2934" s="10" t="s">
        <v>847</v>
      </c>
      <c r="L2934" s="10" t="s">
        <v>2373</v>
      </c>
      <c r="M2934" s="10" t="s">
        <v>2372</v>
      </c>
      <c r="N2934" s="10" t="s">
        <v>2373</v>
      </c>
      <c r="O2934" s="10"/>
    </row>
    <row r="2935" spans="1:15" ht="18" customHeight="1" x14ac:dyDescent="0.3">
      <c r="A2935" s="24">
        <v>2934</v>
      </c>
      <c r="B2935" s="10" t="s">
        <v>115</v>
      </c>
      <c r="C2935" s="10" t="s">
        <v>118</v>
      </c>
      <c r="D2935" s="62">
        <v>192</v>
      </c>
      <c r="E2935" s="61" t="s">
        <v>2945</v>
      </c>
      <c r="F2935" s="19" t="s">
        <v>746</v>
      </c>
      <c r="G2935" s="10" t="s">
        <v>150</v>
      </c>
      <c r="H2935" s="10" t="s">
        <v>848</v>
      </c>
      <c r="I2935" s="62">
        <v>153</v>
      </c>
      <c r="J2935" s="10" t="s">
        <v>2372</v>
      </c>
      <c r="K2935" s="10" t="s">
        <v>847</v>
      </c>
      <c r="L2935" s="10" t="s">
        <v>2373</v>
      </c>
      <c r="M2935" s="10" t="s">
        <v>2372</v>
      </c>
      <c r="N2935" s="10" t="s">
        <v>2373</v>
      </c>
      <c r="O2935" s="10"/>
    </row>
    <row r="2936" spans="1:15" ht="18" customHeight="1" x14ac:dyDescent="0.3">
      <c r="A2936" s="24">
        <v>2935</v>
      </c>
      <c r="B2936" s="10" t="s">
        <v>115</v>
      </c>
      <c r="C2936" s="10" t="s">
        <v>118</v>
      </c>
      <c r="D2936" s="62">
        <v>192</v>
      </c>
      <c r="E2936" s="61" t="s">
        <v>2945</v>
      </c>
      <c r="F2936" s="19" t="s">
        <v>746</v>
      </c>
      <c r="G2936" s="10" t="s">
        <v>150</v>
      </c>
      <c r="H2936" s="10" t="s">
        <v>849</v>
      </c>
      <c r="I2936" s="62">
        <v>153</v>
      </c>
      <c r="J2936" s="10" t="s">
        <v>2372</v>
      </c>
      <c r="K2936" s="10" t="s">
        <v>847</v>
      </c>
      <c r="L2936" s="10" t="s">
        <v>2373</v>
      </c>
      <c r="M2936" s="10" t="s">
        <v>2372</v>
      </c>
      <c r="N2936" s="10" t="s">
        <v>2373</v>
      </c>
      <c r="O2936" s="10"/>
    </row>
    <row r="2937" spans="1:15" ht="18" customHeight="1" x14ac:dyDescent="0.3">
      <c r="A2937" s="24">
        <v>2936</v>
      </c>
      <c r="B2937" s="10" t="s">
        <v>115</v>
      </c>
      <c r="C2937" s="10" t="s">
        <v>118</v>
      </c>
      <c r="D2937" s="62">
        <v>192</v>
      </c>
      <c r="E2937" s="61" t="s">
        <v>2945</v>
      </c>
      <c r="F2937" s="19" t="s">
        <v>746</v>
      </c>
      <c r="G2937" s="10" t="s">
        <v>150</v>
      </c>
      <c r="H2937" s="10" t="s">
        <v>850</v>
      </c>
      <c r="I2937" s="62">
        <v>153</v>
      </c>
      <c r="J2937" s="10" t="s">
        <v>2372</v>
      </c>
      <c r="K2937" s="10" t="s">
        <v>847</v>
      </c>
      <c r="L2937" s="10" t="s">
        <v>2373</v>
      </c>
      <c r="M2937" s="10" t="s">
        <v>2372</v>
      </c>
      <c r="N2937" s="10" t="s">
        <v>2373</v>
      </c>
      <c r="O2937" s="10"/>
    </row>
    <row r="2938" spans="1:15" ht="18" customHeight="1" x14ac:dyDescent="0.3">
      <c r="A2938" s="24">
        <v>2937</v>
      </c>
      <c r="B2938" s="10" t="s">
        <v>115</v>
      </c>
      <c r="C2938" s="10" t="s">
        <v>118</v>
      </c>
      <c r="D2938" s="62">
        <v>192</v>
      </c>
      <c r="E2938" s="61" t="s">
        <v>2945</v>
      </c>
      <c r="F2938" s="19" t="s">
        <v>746</v>
      </c>
      <c r="G2938" s="10" t="s">
        <v>150</v>
      </c>
      <c r="H2938" s="10" t="s">
        <v>851</v>
      </c>
      <c r="I2938" s="62">
        <v>135</v>
      </c>
      <c r="J2938" s="10" t="s">
        <v>2372</v>
      </c>
      <c r="K2938" s="10" t="s">
        <v>847</v>
      </c>
      <c r="L2938" s="10" t="s">
        <v>2373</v>
      </c>
      <c r="M2938" s="10" t="s">
        <v>2372</v>
      </c>
      <c r="N2938" s="10" t="s">
        <v>2373</v>
      </c>
      <c r="O2938" s="10"/>
    </row>
    <row r="2939" spans="1:15" ht="18" customHeight="1" x14ac:dyDescent="0.3">
      <c r="A2939" s="24">
        <v>2938</v>
      </c>
      <c r="B2939" s="10" t="s">
        <v>115</v>
      </c>
      <c r="C2939" s="10" t="s">
        <v>118</v>
      </c>
      <c r="D2939" s="62">
        <v>192</v>
      </c>
      <c r="E2939" s="61" t="s">
        <v>2945</v>
      </c>
      <c r="F2939" s="19" t="s">
        <v>746</v>
      </c>
      <c r="G2939" s="10" t="s">
        <v>150</v>
      </c>
      <c r="H2939" s="10" t="s">
        <v>852</v>
      </c>
      <c r="I2939" s="62">
        <v>135</v>
      </c>
      <c r="J2939" s="10" t="s">
        <v>2372</v>
      </c>
      <c r="K2939" s="10" t="s">
        <v>847</v>
      </c>
      <c r="L2939" s="10" t="s">
        <v>2373</v>
      </c>
      <c r="M2939" s="10" t="s">
        <v>2372</v>
      </c>
      <c r="N2939" s="10" t="s">
        <v>2373</v>
      </c>
      <c r="O2939" s="10"/>
    </row>
    <row r="2940" spans="1:15" ht="18" customHeight="1" x14ac:dyDescent="0.3">
      <c r="A2940" s="24">
        <v>2939</v>
      </c>
      <c r="B2940" s="10" t="s">
        <v>115</v>
      </c>
      <c r="C2940" s="10" t="s">
        <v>118</v>
      </c>
      <c r="D2940" s="62">
        <v>192</v>
      </c>
      <c r="E2940" s="61" t="s">
        <v>2945</v>
      </c>
      <c r="F2940" s="19" t="s">
        <v>746</v>
      </c>
      <c r="G2940" s="10" t="s">
        <v>150</v>
      </c>
      <c r="H2940" s="10" t="s">
        <v>853</v>
      </c>
      <c r="I2940" s="62">
        <v>135</v>
      </c>
      <c r="J2940" s="10" t="s">
        <v>2374</v>
      </c>
      <c r="K2940" s="10" t="s">
        <v>847</v>
      </c>
      <c r="L2940" s="10" t="s">
        <v>2373</v>
      </c>
      <c r="M2940" s="10" t="s">
        <v>2372</v>
      </c>
      <c r="N2940" s="10" t="s">
        <v>2373</v>
      </c>
      <c r="O2940" s="10"/>
    </row>
    <row r="2941" spans="1:15" ht="18" customHeight="1" x14ac:dyDescent="0.3">
      <c r="A2941" s="24">
        <v>2940</v>
      </c>
      <c r="B2941" s="10" t="s">
        <v>115</v>
      </c>
      <c r="C2941" s="10" t="s">
        <v>118</v>
      </c>
      <c r="D2941" s="62">
        <v>192</v>
      </c>
      <c r="E2941" s="61" t="s">
        <v>2945</v>
      </c>
      <c r="F2941" s="19" t="s">
        <v>746</v>
      </c>
      <c r="G2941" s="10" t="s">
        <v>150</v>
      </c>
      <c r="H2941" s="10" t="s">
        <v>854</v>
      </c>
      <c r="I2941" s="62">
        <v>216</v>
      </c>
      <c r="J2941" s="10" t="s">
        <v>2372</v>
      </c>
      <c r="K2941" s="10" t="s">
        <v>847</v>
      </c>
      <c r="L2941" s="10" t="s">
        <v>2373</v>
      </c>
      <c r="M2941" s="10" t="s">
        <v>2372</v>
      </c>
      <c r="N2941" s="10" t="s">
        <v>2373</v>
      </c>
      <c r="O2941" s="10"/>
    </row>
    <row r="2942" spans="1:15" ht="18" customHeight="1" x14ac:dyDescent="0.3">
      <c r="A2942" s="24">
        <v>2941</v>
      </c>
      <c r="B2942" s="10" t="s">
        <v>115</v>
      </c>
      <c r="C2942" s="10" t="s">
        <v>118</v>
      </c>
      <c r="D2942" s="62">
        <v>192</v>
      </c>
      <c r="E2942" s="61" t="s">
        <v>2945</v>
      </c>
      <c r="F2942" s="19" t="s">
        <v>746</v>
      </c>
      <c r="G2942" s="10" t="s">
        <v>150</v>
      </c>
      <c r="H2942" s="10" t="s">
        <v>855</v>
      </c>
      <c r="I2942" s="62">
        <v>216</v>
      </c>
      <c r="J2942" s="10" t="s">
        <v>2372</v>
      </c>
      <c r="K2942" s="10" t="s">
        <v>847</v>
      </c>
      <c r="L2942" s="10" t="s">
        <v>2373</v>
      </c>
      <c r="M2942" s="10" t="s">
        <v>2372</v>
      </c>
      <c r="N2942" s="10" t="s">
        <v>2373</v>
      </c>
      <c r="O2942" s="10"/>
    </row>
    <row r="2943" spans="1:15" ht="18" customHeight="1" x14ac:dyDescent="0.3">
      <c r="A2943" s="24">
        <v>2942</v>
      </c>
      <c r="B2943" s="10" t="s">
        <v>115</v>
      </c>
      <c r="C2943" s="10" t="s">
        <v>119</v>
      </c>
      <c r="D2943" s="62">
        <v>193</v>
      </c>
      <c r="E2943" s="61" t="s">
        <v>2946</v>
      </c>
      <c r="F2943" s="19" t="s">
        <v>740</v>
      </c>
      <c r="G2943" s="10" t="s">
        <v>160</v>
      </c>
      <c r="H2943" s="10" t="s">
        <v>845</v>
      </c>
      <c r="I2943" s="62">
        <v>89</v>
      </c>
      <c r="J2943" s="10" t="s">
        <v>2372</v>
      </c>
      <c r="K2943" s="10" t="s">
        <v>847</v>
      </c>
      <c r="L2943" s="10" t="s">
        <v>2373</v>
      </c>
      <c r="M2943" s="10" t="s">
        <v>2372</v>
      </c>
      <c r="N2943" s="10" t="s">
        <v>2373</v>
      </c>
      <c r="O2943" s="10"/>
    </row>
    <row r="2944" spans="1:15" ht="18" customHeight="1" x14ac:dyDescent="0.3">
      <c r="A2944" s="24">
        <v>2943</v>
      </c>
      <c r="B2944" s="10" t="s">
        <v>115</v>
      </c>
      <c r="C2944" s="10" t="s">
        <v>119</v>
      </c>
      <c r="D2944" s="62">
        <v>193</v>
      </c>
      <c r="E2944" s="61" t="s">
        <v>2946</v>
      </c>
      <c r="F2944" s="19" t="s">
        <v>740</v>
      </c>
      <c r="G2944" s="10" t="s">
        <v>160</v>
      </c>
      <c r="H2944" s="10" t="s">
        <v>848</v>
      </c>
      <c r="I2944" s="62">
        <v>133</v>
      </c>
      <c r="J2944" s="10" t="s">
        <v>2372</v>
      </c>
      <c r="K2944" s="10" t="s">
        <v>847</v>
      </c>
      <c r="L2944" s="10" t="s">
        <v>2373</v>
      </c>
      <c r="M2944" s="10" t="s">
        <v>2372</v>
      </c>
      <c r="N2944" s="10" t="s">
        <v>2373</v>
      </c>
      <c r="O2944" s="10"/>
    </row>
    <row r="2945" spans="1:15" ht="18" customHeight="1" x14ac:dyDescent="0.3">
      <c r="A2945" s="24">
        <v>2944</v>
      </c>
      <c r="B2945" s="10" t="s">
        <v>115</v>
      </c>
      <c r="C2945" s="10" t="s">
        <v>119</v>
      </c>
      <c r="D2945" s="62">
        <v>193</v>
      </c>
      <c r="E2945" s="61" t="s">
        <v>2946</v>
      </c>
      <c r="F2945" s="19" t="s">
        <v>740</v>
      </c>
      <c r="G2945" s="10" t="s">
        <v>160</v>
      </c>
      <c r="H2945" s="10" t="s">
        <v>849</v>
      </c>
      <c r="I2945" s="62">
        <v>116</v>
      </c>
      <c r="J2945" s="10" t="s">
        <v>2372</v>
      </c>
      <c r="K2945" s="10" t="s">
        <v>847</v>
      </c>
      <c r="L2945" s="10" t="s">
        <v>2373</v>
      </c>
      <c r="M2945" s="10" t="s">
        <v>2372</v>
      </c>
      <c r="N2945" s="10" t="s">
        <v>2373</v>
      </c>
      <c r="O2945" s="10"/>
    </row>
    <row r="2946" spans="1:15" ht="18" customHeight="1" x14ac:dyDescent="0.3">
      <c r="A2946" s="24">
        <v>2945</v>
      </c>
      <c r="B2946" s="10" t="s">
        <v>115</v>
      </c>
      <c r="C2946" s="10" t="s">
        <v>119</v>
      </c>
      <c r="D2946" s="62">
        <v>193</v>
      </c>
      <c r="E2946" s="61" t="s">
        <v>2946</v>
      </c>
      <c r="F2946" s="19" t="s">
        <v>740</v>
      </c>
      <c r="G2946" s="10" t="s">
        <v>160</v>
      </c>
      <c r="H2946" s="10" t="s">
        <v>850</v>
      </c>
      <c r="I2946" s="62">
        <v>116</v>
      </c>
      <c r="J2946" s="10" t="s">
        <v>2372</v>
      </c>
      <c r="K2946" s="10" t="s">
        <v>847</v>
      </c>
      <c r="L2946" s="10" t="s">
        <v>2373</v>
      </c>
      <c r="M2946" s="10" t="s">
        <v>2372</v>
      </c>
      <c r="N2946" s="10" t="s">
        <v>2373</v>
      </c>
      <c r="O2946" s="10"/>
    </row>
    <row r="2947" spans="1:15" ht="18" customHeight="1" x14ac:dyDescent="0.3">
      <c r="A2947" s="24">
        <v>2946</v>
      </c>
      <c r="B2947" s="10" t="s">
        <v>115</v>
      </c>
      <c r="C2947" s="10" t="s">
        <v>119</v>
      </c>
      <c r="D2947" s="62">
        <v>193</v>
      </c>
      <c r="E2947" s="61" t="s">
        <v>2946</v>
      </c>
      <c r="F2947" s="19" t="s">
        <v>740</v>
      </c>
      <c r="G2947" s="10" t="s">
        <v>160</v>
      </c>
      <c r="H2947" s="173" t="s">
        <v>851</v>
      </c>
      <c r="I2947" s="177">
        <v>167</v>
      </c>
      <c r="J2947" s="10" t="s">
        <v>2372</v>
      </c>
      <c r="K2947" s="10" t="s">
        <v>847</v>
      </c>
      <c r="L2947" s="10" t="s">
        <v>2373</v>
      </c>
      <c r="M2947" s="10" t="s">
        <v>2372</v>
      </c>
      <c r="N2947" s="10" t="s">
        <v>2373</v>
      </c>
      <c r="O2947" s="10"/>
    </row>
    <row r="2948" spans="1:15" ht="18" customHeight="1" x14ac:dyDescent="0.3">
      <c r="A2948" s="24">
        <v>2947</v>
      </c>
      <c r="B2948" s="10" t="s">
        <v>115</v>
      </c>
      <c r="C2948" s="10" t="s">
        <v>119</v>
      </c>
      <c r="D2948" s="62">
        <v>193</v>
      </c>
      <c r="E2948" s="61" t="s">
        <v>2946</v>
      </c>
      <c r="F2948" s="19" t="s">
        <v>740</v>
      </c>
      <c r="G2948" s="10" t="s">
        <v>160</v>
      </c>
      <c r="H2948" s="173" t="s">
        <v>852</v>
      </c>
      <c r="I2948" s="177">
        <v>38</v>
      </c>
      <c r="J2948" s="10" t="s">
        <v>2372</v>
      </c>
      <c r="K2948" s="10" t="s">
        <v>2372</v>
      </c>
      <c r="L2948" s="10" t="s">
        <v>2373</v>
      </c>
      <c r="M2948" s="10" t="s">
        <v>2372</v>
      </c>
      <c r="N2948" s="10" t="s">
        <v>2373</v>
      </c>
      <c r="O2948" s="10"/>
    </row>
    <row r="2949" spans="1:15" ht="18" customHeight="1" x14ac:dyDescent="0.3">
      <c r="A2949" s="24">
        <v>2948</v>
      </c>
      <c r="B2949" s="10" t="s">
        <v>115</v>
      </c>
      <c r="C2949" s="10" t="s">
        <v>120</v>
      </c>
      <c r="D2949" s="62">
        <v>194</v>
      </c>
      <c r="E2949" s="61" t="s">
        <v>2947</v>
      </c>
      <c r="F2949" s="19" t="s">
        <v>739</v>
      </c>
      <c r="G2949" s="10" t="s">
        <v>160</v>
      </c>
      <c r="H2949" s="10" t="s">
        <v>845</v>
      </c>
      <c r="I2949" s="62">
        <v>167</v>
      </c>
      <c r="J2949" s="10" t="s">
        <v>2374</v>
      </c>
      <c r="K2949" s="10" t="s">
        <v>847</v>
      </c>
      <c r="L2949" s="10" t="s">
        <v>2373</v>
      </c>
      <c r="M2949" s="10" t="s">
        <v>2372</v>
      </c>
      <c r="N2949" s="10" t="s">
        <v>2373</v>
      </c>
      <c r="O2949" s="10"/>
    </row>
    <row r="2950" spans="1:15" ht="18" customHeight="1" x14ac:dyDescent="0.3">
      <c r="A2950" s="24">
        <v>2949</v>
      </c>
      <c r="B2950" s="10" t="s">
        <v>115</v>
      </c>
      <c r="C2950" s="10" t="s">
        <v>120</v>
      </c>
      <c r="D2950" s="62">
        <v>194</v>
      </c>
      <c r="E2950" s="61" t="s">
        <v>2947</v>
      </c>
      <c r="F2950" s="19" t="s">
        <v>739</v>
      </c>
      <c r="G2950" s="10" t="s">
        <v>160</v>
      </c>
      <c r="H2950" s="10" t="s">
        <v>848</v>
      </c>
      <c r="I2950" s="62">
        <v>261</v>
      </c>
      <c r="J2950" s="10" t="s">
        <v>2374</v>
      </c>
      <c r="K2950" s="10" t="s">
        <v>847</v>
      </c>
      <c r="L2950" s="10" t="s">
        <v>2373</v>
      </c>
      <c r="M2950" s="10" t="s">
        <v>2372</v>
      </c>
      <c r="N2950" s="10" t="s">
        <v>2373</v>
      </c>
      <c r="O2950" s="10"/>
    </row>
    <row r="2951" spans="1:15" ht="18" customHeight="1" x14ac:dyDescent="0.3">
      <c r="A2951" s="24">
        <v>2950</v>
      </c>
      <c r="B2951" s="10" t="s">
        <v>115</v>
      </c>
      <c r="C2951" s="10" t="s">
        <v>120</v>
      </c>
      <c r="D2951" s="62">
        <v>194</v>
      </c>
      <c r="E2951" s="61" t="s">
        <v>2947</v>
      </c>
      <c r="F2951" s="19" t="s">
        <v>739</v>
      </c>
      <c r="G2951" s="10" t="s">
        <v>160</v>
      </c>
      <c r="H2951" s="10" t="s">
        <v>849</v>
      </c>
      <c r="I2951" s="62">
        <v>168</v>
      </c>
      <c r="J2951" s="10" t="s">
        <v>2372</v>
      </c>
      <c r="K2951" s="10" t="s">
        <v>847</v>
      </c>
      <c r="L2951" s="10" t="s">
        <v>2373</v>
      </c>
      <c r="M2951" s="10" t="s">
        <v>2372</v>
      </c>
      <c r="N2951" s="10" t="s">
        <v>2373</v>
      </c>
      <c r="O2951" s="10"/>
    </row>
    <row r="2952" spans="1:15" ht="18" customHeight="1" x14ac:dyDescent="0.3">
      <c r="A2952" s="24">
        <v>2951</v>
      </c>
      <c r="B2952" s="10" t="s">
        <v>115</v>
      </c>
      <c r="C2952" s="10" t="s">
        <v>120</v>
      </c>
      <c r="D2952" s="62">
        <v>194</v>
      </c>
      <c r="E2952" s="61" t="s">
        <v>2947</v>
      </c>
      <c r="F2952" s="19" t="s">
        <v>739</v>
      </c>
      <c r="G2952" s="10" t="s">
        <v>160</v>
      </c>
      <c r="H2952" s="10" t="s">
        <v>850</v>
      </c>
      <c r="I2952" s="62">
        <v>158</v>
      </c>
      <c r="J2952" s="10" t="s">
        <v>2372</v>
      </c>
      <c r="K2952" s="10" t="s">
        <v>847</v>
      </c>
      <c r="L2952" s="10" t="s">
        <v>2373</v>
      </c>
      <c r="M2952" s="10" t="s">
        <v>2372</v>
      </c>
      <c r="N2952" s="10" t="s">
        <v>2373</v>
      </c>
      <c r="O2952" s="10"/>
    </row>
    <row r="2953" spans="1:15" ht="18" customHeight="1" x14ac:dyDescent="0.3">
      <c r="A2953" s="24">
        <v>2952</v>
      </c>
      <c r="B2953" s="10" t="s">
        <v>115</v>
      </c>
      <c r="C2953" s="10" t="s">
        <v>120</v>
      </c>
      <c r="D2953" s="62">
        <v>194</v>
      </c>
      <c r="E2953" s="61" t="s">
        <v>2947</v>
      </c>
      <c r="F2953" s="19" t="s">
        <v>739</v>
      </c>
      <c r="G2953" s="10" t="s">
        <v>160</v>
      </c>
      <c r="H2953" s="10" t="s">
        <v>851</v>
      </c>
      <c r="I2953" s="62">
        <v>146</v>
      </c>
      <c r="J2953" s="10" t="s">
        <v>2372</v>
      </c>
      <c r="K2953" s="10" t="s">
        <v>847</v>
      </c>
      <c r="L2953" s="10" t="s">
        <v>2373</v>
      </c>
      <c r="M2953" s="10" t="s">
        <v>2372</v>
      </c>
      <c r="N2953" s="10" t="s">
        <v>2373</v>
      </c>
      <c r="O2953" s="10"/>
    </row>
    <row r="2954" spans="1:15" ht="18" customHeight="1" x14ac:dyDescent="0.3">
      <c r="A2954" s="24">
        <v>2953</v>
      </c>
      <c r="B2954" s="10" t="s">
        <v>115</v>
      </c>
      <c r="C2954" s="10" t="s">
        <v>120</v>
      </c>
      <c r="D2954" s="62">
        <v>194</v>
      </c>
      <c r="E2954" s="61" t="s">
        <v>2947</v>
      </c>
      <c r="F2954" s="19" t="s">
        <v>739</v>
      </c>
      <c r="G2954" s="10" t="s">
        <v>160</v>
      </c>
      <c r="H2954" s="10" t="s">
        <v>852</v>
      </c>
      <c r="I2954" s="62">
        <v>146</v>
      </c>
      <c r="J2954" s="10" t="s">
        <v>2372</v>
      </c>
      <c r="K2954" s="10" t="s">
        <v>847</v>
      </c>
      <c r="L2954" s="10" t="s">
        <v>2373</v>
      </c>
      <c r="M2954" s="10" t="s">
        <v>2372</v>
      </c>
      <c r="N2954" s="10" t="s">
        <v>2373</v>
      </c>
      <c r="O2954" s="10"/>
    </row>
    <row r="2955" spans="1:15" ht="18" customHeight="1" x14ac:dyDescent="0.3">
      <c r="A2955" s="24">
        <v>2954</v>
      </c>
      <c r="B2955" s="10" t="s">
        <v>115</v>
      </c>
      <c r="C2955" s="10" t="s">
        <v>120</v>
      </c>
      <c r="D2955" s="62">
        <v>194</v>
      </c>
      <c r="E2955" s="61" t="s">
        <v>2947</v>
      </c>
      <c r="F2955" s="19" t="s">
        <v>739</v>
      </c>
      <c r="G2955" s="10" t="s">
        <v>160</v>
      </c>
      <c r="H2955" s="10" t="s">
        <v>853</v>
      </c>
      <c r="I2955" s="62">
        <v>158</v>
      </c>
      <c r="J2955" s="10" t="s">
        <v>2372</v>
      </c>
      <c r="K2955" s="10" t="s">
        <v>847</v>
      </c>
      <c r="L2955" s="10" t="s">
        <v>2373</v>
      </c>
      <c r="M2955" s="10" t="s">
        <v>2372</v>
      </c>
      <c r="N2955" s="10" t="s">
        <v>2373</v>
      </c>
      <c r="O2955" s="10"/>
    </row>
    <row r="2956" spans="1:15" ht="18" customHeight="1" x14ac:dyDescent="0.3">
      <c r="A2956" s="24">
        <v>2955</v>
      </c>
      <c r="B2956" s="10" t="s">
        <v>115</v>
      </c>
      <c r="C2956" s="10" t="s">
        <v>120</v>
      </c>
      <c r="D2956" s="62">
        <v>194</v>
      </c>
      <c r="E2956" s="61" t="s">
        <v>2948</v>
      </c>
      <c r="F2956" s="19" t="s">
        <v>738</v>
      </c>
      <c r="G2956" s="10" t="s">
        <v>150</v>
      </c>
      <c r="H2956" s="10" t="s">
        <v>845</v>
      </c>
      <c r="I2956" s="62">
        <v>169</v>
      </c>
      <c r="J2956" s="10" t="s">
        <v>2372</v>
      </c>
      <c r="K2956" s="10" t="s">
        <v>847</v>
      </c>
      <c r="L2956" s="10" t="s">
        <v>2373</v>
      </c>
      <c r="M2956" s="10" t="s">
        <v>2372</v>
      </c>
      <c r="N2956" s="10" t="s">
        <v>2373</v>
      </c>
      <c r="O2956" s="10"/>
    </row>
    <row r="2957" spans="1:15" ht="18" customHeight="1" x14ac:dyDescent="0.3">
      <c r="A2957" s="24">
        <v>2956</v>
      </c>
      <c r="B2957" s="10" t="s">
        <v>115</v>
      </c>
      <c r="C2957" s="10" t="s">
        <v>120</v>
      </c>
      <c r="D2957" s="62">
        <v>194</v>
      </c>
      <c r="E2957" s="61" t="s">
        <v>2948</v>
      </c>
      <c r="F2957" s="19" t="s">
        <v>738</v>
      </c>
      <c r="G2957" s="10" t="s">
        <v>150</v>
      </c>
      <c r="H2957" s="10" t="s">
        <v>848</v>
      </c>
      <c r="I2957" s="62">
        <v>205</v>
      </c>
      <c r="J2957" s="10" t="s">
        <v>2374</v>
      </c>
      <c r="K2957" s="10" t="s">
        <v>847</v>
      </c>
      <c r="L2957" s="10" t="s">
        <v>2373</v>
      </c>
      <c r="M2957" s="10" t="s">
        <v>2372</v>
      </c>
      <c r="N2957" s="10" t="s">
        <v>2373</v>
      </c>
      <c r="O2957" s="10"/>
    </row>
    <row r="2958" spans="1:15" ht="18" customHeight="1" x14ac:dyDescent="0.3">
      <c r="A2958" s="24">
        <v>2957</v>
      </c>
      <c r="B2958" s="10" t="s">
        <v>115</v>
      </c>
      <c r="C2958" s="10" t="s">
        <v>120</v>
      </c>
      <c r="D2958" s="62">
        <v>194</v>
      </c>
      <c r="E2958" s="61" t="s">
        <v>2948</v>
      </c>
      <c r="F2958" s="19" t="s">
        <v>738</v>
      </c>
      <c r="G2958" s="10" t="s">
        <v>150</v>
      </c>
      <c r="H2958" s="10" t="s">
        <v>849</v>
      </c>
      <c r="I2958" s="62">
        <v>148</v>
      </c>
      <c r="J2958" s="10" t="s">
        <v>2374</v>
      </c>
      <c r="K2958" s="10" t="s">
        <v>847</v>
      </c>
      <c r="L2958" s="10" t="s">
        <v>2373</v>
      </c>
      <c r="M2958" s="10" t="s">
        <v>2372</v>
      </c>
      <c r="N2958" s="10" t="s">
        <v>2373</v>
      </c>
      <c r="O2958" s="10"/>
    </row>
    <row r="2959" spans="1:15" ht="18" customHeight="1" x14ac:dyDescent="0.3">
      <c r="A2959" s="24">
        <v>2958</v>
      </c>
      <c r="B2959" s="10" t="s">
        <v>115</v>
      </c>
      <c r="C2959" s="10" t="s">
        <v>120</v>
      </c>
      <c r="D2959" s="62">
        <v>194</v>
      </c>
      <c r="E2959" s="61" t="s">
        <v>2948</v>
      </c>
      <c r="F2959" s="19" t="s">
        <v>738</v>
      </c>
      <c r="G2959" s="10" t="s">
        <v>150</v>
      </c>
      <c r="H2959" s="10" t="s">
        <v>850</v>
      </c>
      <c r="I2959" s="62">
        <v>148</v>
      </c>
      <c r="J2959" s="10" t="s">
        <v>2372</v>
      </c>
      <c r="K2959" s="10" t="s">
        <v>847</v>
      </c>
      <c r="L2959" s="10" t="s">
        <v>2373</v>
      </c>
      <c r="M2959" s="10" t="s">
        <v>2372</v>
      </c>
      <c r="N2959" s="10" t="s">
        <v>2373</v>
      </c>
      <c r="O2959" s="10"/>
    </row>
    <row r="2960" spans="1:15" ht="18" customHeight="1" x14ac:dyDescent="0.3">
      <c r="A2960" s="24">
        <v>2959</v>
      </c>
      <c r="B2960" s="99" t="s">
        <v>2140</v>
      </c>
      <c r="C2960" s="99" t="s">
        <v>2141</v>
      </c>
      <c r="D2960" s="99">
        <v>195</v>
      </c>
      <c r="E2960" s="56" t="s">
        <v>2142</v>
      </c>
      <c r="F2960" s="56" t="s">
        <v>2143</v>
      </c>
      <c r="G2960" s="10" t="s">
        <v>2373</v>
      </c>
      <c r="H2960" s="10" t="s">
        <v>2385</v>
      </c>
      <c r="I2960" s="62">
        <v>60</v>
      </c>
      <c r="J2960" s="10" t="s">
        <v>2372</v>
      </c>
      <c r="K2960" s="10" t="s">
        <v>847</v>
      </c>
      <c r="L2960" s="10" t="s">
        <v>2373</v>
      </c>
      <c r="M2960" s="10" t="s">
        <v>2372</v>
      </c>
      <c r="N2960" s="10" t="s">
        <v>2373</v>
      </c>
      <c r="O2960" s="10"/>
    </row>
    <row r="2961" spans="1:15" ht="18" customHeight="1" x14ac:dyDescent="0.3">
      <c r="A2961" s="24">
        <v>2960</v>
      </c>
      <c r="B2961" s="99" t="s">
        <v>2140</v>
      </c>
      <c r="C2961" s="99" t="s">
        <v>2141</v>
      </c>
      <c r="D2961" s="99">
        <v>195</v>
      </c>
      <c r="E2961" s="56" t="s">
        <v>2142</v>
      </c>
      <c r="F2961" s="56" t="s">
        <v>2143</v>
      </c>
      <c r="G2961" s="10" t="s">
        <v>2373</v>
      </c>
      <c r="H2961" s="10" t="s">
        <v>2378</v>
      </c>
      <c r="I2961" s="62">
        <v>39</v>
      </c>
      <c r="J2961" s="10" t="s">
        <v>2372</v>
      </c>
      <c r="K2961" s="10" t="s">
        <v>847</v>
      </c>
      <c r="L2961" s="10" t="s">
        <v>2373</v>
      </c>
      <c r="M2961" s="10" t="s">
        <v>2372</v>
      </c>
      <c r="N2961" s="10" t="s">
        <v>2373</v>
      </c>
      <c r="O2961" s="10"/>
    </row>
    <row r="2962" spans="1:15" ht="18" customHeight="1" x14ac:dyDescent="0.3">
      <c r="A2962" s="24">
        <v>2961</v>
      </c>
      <c r="B2962" s="99" t="s">
        <v>2145</v>
      </c>
      <c r="C2962" s="99" t="s">
        <v>2146</v>
      </c>
      <c r="D2962" s="99">
        <v>196</v>
      </c>
      <c r="E2962" s="56" t="s">
        <v>2147</v>
      </c>
      <c r="F2962" s="56" t="s">
        <v>2148</v>
      </c>
      <c r="G2962" s="10" t="s">
        <v>2373</v>
      </c>
      <c r="H2962" s="10" t="s">
        <v>2385</v>
      </c>
      <c r="I2962" s="62">
        <v>62</v>
      </c>
      <c r="J2962" s="10" t="s">
        <v>2374</v>
      </c>
      <c r="K2962" s="10" t="s">
        <v>847</v>
      </c>
      <c r="L2962" s="10" t="s">
        <v>2373</v>
      </c>
      <c r="M2962" s="10" t="s">
        <v>2372</v>
      </c>
      <c r="N2962" s="10" t="s">
        <v>2373</v>
      </c>
      <c r="O2962" s="10"/>
    </row>
    <row r="2963" spans="1:15" ht="18" customHeight="1" x14ac:dyDescent="0.3">
      <c r="A2963" s="24">
        <v>2962</v>
      </c>
      <c r="B2963" s="99" t="s">
        <v>2145</v>
      </c>
      <c r="C2963" s="99" t="s">
        <v>2146</v>
      </c>
      <c r="D2963" s="99">
        <v>196</v>
      </c>
      <c r="E2963" s="56" t="s">
        <v>2147</v>
      </c>
      <c r="F2963" s="56" t="s">
        <v>2148</v>
      </c>
      <c r="G2963" s="10" t="s">
        <v>2373</v>
      </c>
      <c r="H2963" s="10" t="s">
        <v>2378</v>
      </c>
      <c r="I2963" s="62">
        <v>33</v>
      </c>
      <c r="J2963" s="10" t="s">
        <v>2372</v>
      </c>
      <c r="K2963" s="10" t="s">
        <v>847</v>
      </c>
      <c r="L2963" s="10" t="s">
        <v>2373</v>
      </c>
      <c r="M2963" s="10" t="s">
        <v>2372</v>
      </c>
      <c r="N2963" s="10" t="s">
        <v>2373</v>
      </c>
      <c r="O2963" s="10"/>
    </row>
    <row r="2964" spans="1:15" ht="18" customHeight="1" x14ac:dyDescent="0.3">
      <c r="A2964" s="24">
        <v>2963</v>
      </c>
      <c r="B2964" s="10" t="s">
        <v>115</v>
      </c>
      <c r="C2964" s="10" t="s">
        <v>121</v>
      </c>
      <c r="D2964" s="62">
        <v>197</v>
      </c>
      <c r="E2964" s="61" t="s">
        <v>967</v>
      </c>
      <c r="F2964" s="11" t="s">
        <v>2153</v>
      </c>
      <c r="G2964" s="10" t="s">
        <v>2373</v>
      </c>
      <c r="H2964" s="10" t="s">
        <v>845</v>
      </c>
      <c r="I2964" s="62">
        <v>70</v>
      </c>
      <c r="J2964" s="10" t="s">
        <v>2374</v>
      </c>
      <c r="K2964" s="10" t="s">
        <v>847</v>
      </c>
      <c r="L2964" s="10" t="s">
        <v>2373</v>
      </c>
      <c r="M2964" s="10" t="s">
        <v>2372</v>
      </c>
      <c r="N2964" s="10" t="s">
        <v>2373</v>
      </c>
      <c r="O2964" s="10"/>
    </row>
    <row r="2965" spans="1:15" ht="18" customHeight="1" x14ac:dyDescent="0.3">
      <c r="A2965" s="24">
        <v>2964</v>
      </c>
      <c r="B2965" s="10" t="s">
        <v>115</v>
      </c>
      <c r="C2965" s="10" t="s">
        <v>121</v>
      </c>
      <c r="D2965" s="62">
        <v>197</v>
      </c>
      <c r="E2965" s="61" t="s">
        <v>967</v>
      </c>
      <c r="F2965" s="11" t="s">
        <v>2153</v>
      </c>
      <c r="G2965" s="10" t="s">
        <v>2373</v>
      </c>
      <c r="H2965" s="10" t="s">
        <v>848</v>
      </c>
      <c r="I2965" s="62">
        <v>70</v>
      </c>
      <c r="J2965" s="10" t="s">
        <v>2374</v>
      </c>
      <c r="K2965" s="10" t="s">
        <v>847</v>
      </c>
      <c r="L2965" s="10" t="s">
        <v>2373</v>
      </c>
      <c r="M2965" s="10" t="s">
        <v>2372</v>
      </c>
      <c r="N2965" s="10" t="s">
        <v>2373</v>
      </c>
      <c r="O2965" s="10"/>
    </row>
    <row r="2966" spans="1:15" ht="18" customHeight="1" x14ac:dyDescent="0.3">
      <c r="A2966" s="24">
        <v>2965</v>
      </c>
      <c r="B2966" s="23" t="s">
        <v>2145</v>
      </c>
      <c r="C2966" s="23" t="s">
        <v>2155</v>
      </c>
      <c r="D2966" s="23">
        <v>198</v>
      </c>
      <c r="E2966" s="56" t="s">
        <v>2156</v>
      </c>
      <c r="F2966" s="27" t="s">
        <v>2157</v>
      </c>
      <c r="G2966" s="10" t="s">
        <v>2373</v>
      </c>
      <c r="H2966" s="10" t="s">
        <v>2385</v>
      </c>
      <c r="I2966" s="62">
        <v>88</v>
      </c>
      <c r="J2966" s="10" t="s">
        <v>2372</v>
      </c>
      <c r="K2966" s="10" t="s">
        <v>847</v>
      </c>
      <c r="L2966" s="10" t="s">
        <v>2373</v>
      </c>
      <c r="M2966" s="10" t="s">
        <v>2372</v>
      </c>
      <c r="N2966" s="10" t="s">
        <v>2373</v>
      </c>
      <c r="O2966" s="10"/>
    </row>
    <row r="2967" spans="1:15" ht="18" customHeight="1" x14ac:dyDescent="0.3">
      <c r="A2967" s="24">
        <v>2966</v>
      </c>
      <c r="B2967" s="23" t="s">
        <v>2145</v>
      </c>
      <c r="C2967" s="23" t="s">
        <v>2155</v>
      </c>
      <c r="D2967" s="23">
        <v>198</v>
      </c>
      <c r="E2967" s="56" t="s">
        <v>2156</v>
      </c>
      <c r="F2967" s="27" t="s">
        <v>2157</v>
      </c>
      <c r="G2967" s="10" t="s">
        <v>2373</v>
      </c>
      <c r="H2967" s="10" t="s">
        <v>2378</v>
      </c>
      <c r="I2967" s="62">
        <v>53</v>
      </c>
      <c r="J2967" s="10" t="s">
        <v>2372</v>
      </c>
      <c r="K2967" s="10" t="s">
        <v>847</v>
      </c>
      <c r="L2967" s="10" t="s">
        <v>2373</v>
      </c>
      <c r="M2967" s="10" t="s">
        <v>2372</v>
      </c>
      <c r="N2967" s="10" t="s">
        <v>2373</v>
      </c>
      <c r="O2967" s="10"/>
    </row>
    <row r="2968" spans="1:15" ht="18" customHeight="1" x14ac:dyDescent="0.3">
      <c r="A2968" s="24">
        <v>2967</v>
      </c>
      <c r="B2968" s="8" t="s">
        <v>2140</v>
      </c>
      <c r="C2968" s="8" t="s">
        <v>2161</v>
      </c>
      <c r="D2968" s="8">
        <v>199</v>
      </c>
      <c r="E2968" s="56" t="s">
        <v>2162</v>
      </c>
      <c r="F2968" s="16" t="s">
        <v>2163</v>
      </c>
      <c r="G2968" s="8" t="s">
        <v>2373</v>
      </c>
      <c r="H2968" s="10" t="s">
        <v>2385</v>
      </c>
      <c r="I2968" s="62">
        <v>56</v>
      </c>
      <c r="J2968" s="10" t="s">
        <v>2374</v>
      </c>
      <c r="K2968" s="10" t="s">
        <v>847</v>
      </c>
      <c r="L2968" s="10" t="s">
        <v>2373</v>
      </c>
      <c r="M2968" s="10" t="s">
        <v>2372</v>
      </c>
      <c r="N2968" s="10" t="s">
        <v>2373</v>
      </c>
      <c r="O2968" s="10"/>
    </row>
    <row r="2969" spans="1:15" ht="18" customHeight="1" x14ac:dyDescent="0.3">
      <c r="A2969" s="24">
        <v>2968</v>
      </c>
      <c r="B2969" s="8" t="s">
        <v>2140</v>
      </c>
      <c r="C2969" s="8" t="s">
        <v>2161</v>
      </c>
      <c r="D2969" s="8">
        <v>199</v>
      </c>
      <c r="E2969" s="56" t="s">
        <v>2162</v>
      </c>
      <c r="F2969" s="16" t="s">
        <v>2163</v>
      </c>
      <c r="G2969" s="8" t="s">
        <v>2373</v>
      </c>
      <c r="H2969" s="10" t="s">
        <v>2378</v>
      </c>
      <c r="I2969" s="62">
        <v>36</v>
      </c>
      <c r="J2969" s="10" t="s">
        <v>2374</v>
      </c>
      <c r="K2969" s="10" t="s">
        <v>847</v>
      </c>
      <c r="L2969" s="10" t="s">
        <v>2373</v>
      </c>
      <c r="M2969" s="10" t="s">
        <v>2372</v>
      </c>
      <c r="N2969" s="10" t="s">
        <v>2373</v>
      </c>
      <c r="O2969" s="10"/>
    </row>
    <row r="2970" spans="1:15" ht="18" customHeight="1" x14ac:dyDescent="0.3">
      <c r="A2970" s="24">
        <v>2969</v>
      </c>
      <c r="B2970" s="8" t="s">
        <v>2145</v>
      </c>
      <c r="C2970" s="8" t="s">
        <v>2165</v>
      </c>
      <c r="D2970" s="8">
        <v>200</v>
      </c>
      <c r="E2970" s="30" t="s">
        <v>2166</v>
      </c>
      <c r="F2970" s="19" t="s">
        <v>2167</v>
      </c>
      <c r="G2970" s="8" t="s">
        <v>2553</v>
      </c>
      <c r="H2970" s="10" t="s">
        <v>2385</v>
      </c>
      <c r="I2970" s="62">
        <v>77</v>
      </c>
      <c r="J2970" s="10" t="s">
        <v>2374</v>
      </c>
      <c r="K2970" s="10" t="s">
        <v>847</v>
      </c>
      <c r="L2970" s="10" t="s">
        <v>2373</v>
      </c>
      <c r="M2970" s="10" t="s">
        <v>2372</v>
      </c>
      <c r="N2970" s="10" t="s">
        <v>2373</v>
      </c>
      <c r="O2970" s="10"/>
    </row>
    <row r="2971" spans="1:15" ht="18" customHeight="1" x14ac:dyDescent="0.3">
      <c r="A2971" s="24">
        <v>2970</v>
      </c>
      <c r="B2971" s="8" t="s">
        <v>2145</v>
      </c>
      <c r="C2971" s="8" t="s">
        <v>2165</v>
      </c>
      <c r="D2971" s="8">
        <v>200</v>
      </c>
      <c r="E2971" s="30" t="s">
        <v>2166</v>
      </c>
      <c r="F2971" s="19" t="s">
        <v>2167</v>
      </c>
      <c r="G2971" s="8" t="s">
        <v>2553</v>
      </c>
      <c r="H2971" s="10" t="s">
        <v>2378</v>
      </c>
      <c r="I2971" s="62">
        <v>47</v>
      </c>
      <c r="J2971" s="10" t="s">
        <v>2372</v>
      </c>
      <c r="K2971" s="10" t="s">
        <v>847</v>
      </c>
      <c r="L2971" s="10" t="s">
        <v>2373</v>
      </c>
      <c r="M2971" s="10" t="s">
        <v>2372</v>
      </c>
      <c r="N2971" s="10" t="s">
        <v>2373</v>
      </c>
      <c r="O2971" s="10"/>
    </row>
    <row r="2972" spans="1:15" ht="18" customHeight="1" x14ac:dyDescent="0.3">
      <c r="A2972" s="24">
        <v>2971</v>
      </c>
      <c r="B2972" s="10" t="s">
        <v>2145</v>
      </c>
      <c r="C2972" s="10" t="s">
        <v>2170</v>
      </c>
      <c r="D2972" s="8">
        <v>201</v>
      </c>
      <c r="E2972" s="3" t="s">
        <v>2171</v>
      </c>
      <c r="F2972" s="9" t="s">
        <v>2172</v>
      </c>
      <c r="G2972" s="10" t="s">
        <v>2553</v>
      </c>
      <c r="H2972" s="10" t="s">
        <v>2385</v>
      </c>
      <c r="I2972" s="62">
        <v>60</v>
      </c>
      <c r="J2972" s="10" t="s">
        <v>2374</v>
      </c>
      <c r="K2972" s="10" t="s">
        <v>847</v>
      </c>
      <c r="L2972" s="10" t="s">
        <v>2373</v>
      </c>
      <c r="M2972" s="10" t="s">
        <v>2372</v>
      </c>
      <c r="N2972" s="10" t="s">
        <v>2373</v>
      </c>
      <c r="O2972" s="10"/>
    </row>
    <row r="2973" spans="1:15" ht="18" customHeight="1" x14ac:dyDescent="0.3">
      <c r="A2973" s="24">
        <v>2972</v>
      </c>
      <c r="B2973" s="10" t="s">
        <v>2145</v>
      </c>
      <c r="C2973" s="10" t="s">
        <v>2170</v>
      </c>
      <c r="D2973" s="8">
        <v>201</v>
      </c>
      <c r="E2973" s="3" t="s">
        <v>2171</v>
      </c>
      <c r="F2973" s="9" t="s">
        <v>2172</v>
      </c>
      <c r="G2973" s="10" t="s">
        <v>2553</v>
      </c>
      <c r="H2973" s="10" t="s">
        <v>2378</v>
      </c>
      <c r="I2973" s="62">
        <v>39</v>
      </c>
      <c r="J2973" s="10" t="s">
        <v>2372</v>
      </c>
      <c r="K2973" s="10" t="s">
        <v>847</v>
      </c>
      <c r="L2973" s="10" t="s">
        <v>2373</v>
      </c>
      <c r="M2973" s="10" t="s">
        <v>2372</v>
      </c>
      <c r="N2973" s="10" t="s">
        <v>2373</v>
      </c>
      <c r="O2973" s="10"/>
    </row>
    <row r="2974" spans="1:15" ht="18" customHeight="1" x14ac:dyDescent="0.3">
      <c r="A2974" s="24">
        <v>2973</v>
      </c>
      <c r="B2974" s="8" t="s">
        <v>2140</v>
      </c>
      <c r="C2974" s="8" t="s">
        <v>2175</v>
      </c>
      <c r="D2974" s="8">
        <v>203</v>
      </c>
      <c r="E2974" s="30" t="s">
        <v>2176</v>
      </c>
      <c r="F2974" s="19" t="s">
        <v>2177</v>
      </c>
      <c r="G2974" s="8" t="s">
        <v>2373</v>
      </c>
      <c r="H2974" s="10" t="s">
        <v>2385</v>
      </c>
      <c r="I2974" s="62">
        <v>91</v>
      </c>
      <c r="J2974" s="10" t="s">
        <v>2374</v>
      </c>
      <c r="K2974" s="10" t="s">
        <v>847</v>
      </c>
      <c r="L2974" s="10" t="s">
        <v>2373</v>
      </c>
      <c r="M2974" s="10" t="s">
        <v>2372</v>
      </c>
      <c r="N2974" s="10" t="s">
        <v>2373</v>
      </c>
      <c r="O2974" s="10"/>
    </row>
    <row r="2975" spans="1:15" ht="18" customHeight="1" x14ac:dyDescent="0.3">
      <c r="A2975" s="24">
        <v>2974</v>
      </c>
      <c r="B2975" s="8" t="s">
        <v>2140</v>
      </c>
      <c r="C2975" s="8" t="s">
        <v>2175</v>
      </c>
      <c r="D2975" s="8">
        <v>203</v>
      </c>
      <c r="E2975" s="30" t="s">
        <v>2176</v>
      </c>
      <c r="F2975" s="19" t="s">
        <v>2177</v>
      </c>
      <c r="G2975" s="8" t="s">
        <v>2373</v>
      </c>
      <c r="H2975" s="10" t="s">
        <v>2378</v>
      </c>
      <c r="I2975" s="62">
        <v>45</v>
      </c>
      <c r="J2975" s="10" t="s">
        <v>2372</v>
      </c>
      <c r="K2975" s="10" t="s">
        <v>847</v>
      </c>
      <c r="L2975" s="10" t="s">
        <v>2373</v>
      </c>
      <c r="M2975" s="10" t="s">
        <v>2372</v>
      </c>
      <c r="N2975" s="10" t="s">
        <v>2373</v>
      </c>
      <c r="O2975" s="10"/>
    </row>
    <row r="2976" spans="1:15" ht="18" customHeight="1" x14ac:dyDescent="0.3">
      <c r="A2976" s="24">
        <v>2975</v>
      </c>
      <c r="B2976" s="8" t="s">
        <v>2140</v>
      </c>
      <c r="C2976" s="8" t="s">
        <v>2180</v>
      </c>
      <c r="D2976" s="8">
        <v>204</v>
      </c>
      <c r="E2976" s="30" t="s">
        <v>2181</v>
      </c>
      <c r="F2976" s="19" t="s">
        <v>2182</v>
      </c>
      <c r="G2976" s="8" t="s">
        <v>2373</v>
      </c>
      <c r="H2976" s="10" t="s">
        <v>2385</v>
      </c>
      <c r="I2976" s="62">
        <v>58</v>
      </c>
      <c r="J2976" s="10" t="s">
        <v>2374</v>
      </c>
      <c r="K2976" s="10" t="s">
        <v>847</v>
      </c>
      <c r="L2976" s="10" t="s">
        <v>2373</v>
      </c>
      <c r="M2976" s="10" t="s">
        <v>2372</v>
      </c>
      <c r="N2976" s="10" t="s">
        <v>2373</v>
      </c>
      <c r="O2976" s="10"/>
    </row>
    <row r="2977" spans="1:15" ht="18" customHeight="1" x14ac:dyDescent="0.3">
      <c r="A2977" s="24">
        <v>2976</v>
      </c>
      <c r="B2977" s="8" t="s">
        <v>2140</v>
      </c>
      <c r="C2977" s="8" t="s">
        <v>2180</v>
      </c>
      <c r="D2977" s="8">
        <v>204</v>
      </c>
      <c r="E2977" s="30" t="s">
        <v>2181</v>
      </c>
      <c r="F2977" s="19" t="s">
        <v>2182</v>
      </c>
      <c r="G2977" s="8" t="s">
        <v>2373</v>
      </c>
      <c r="H2977" s="10" t="s">
        <v>2378</v>
      </c>
      <c r="I2977" s="62">
        <v>35</v>
      </c>
      <c r="J2977" s="10" t="s">
        <v>2372</v>
      </c>
      <c r="K2977" s="10" t="s">
        <v>847</v>
      </c>
      <c r="L2977" s="10" t="s">
        <v>2373</v>
      </c>
      <c r="M2977" s="10" t="s">
        <v>2372</v>
      </c>
      <c r="N2977" s="10" t="s">
        <v>2373</v>
      </c>
      <c r="O2977" s="10"/>
    </row>
    <row r="2978" spans="1:15" ht="18" customHeight="1" x14ac:dyDescent="0.3">
      <c r="A2978" s="24">
        <v>2977</v>
      </c>
      <c r="B2978" s="8" t="s">
        <v>2140</v>
      </c>
      <c r="C2978" s="8" t="s">
        <v>2185</v>
      </c>
      <c r="D2978" s="8">
        <v>207</v>
      </c>
      <c r="E2978" s="56" t="s">
        <v>2186</v>
      </c>
      <c r="F2978" s="16" t="s">
        <v>2187</v>
      </c>
      <c r="G2978" s="8" t="s">
        <v>2373</v>
      </c>
      <c r="H2978" s="10" t="s">
        <v>2385</v>
      </c>
      <c r="I2978" s="62">
        <v>49</v>
      </c>
      <c r="J2978" s="10" t="s">
        <v>2372</v>
      </c>
      <c r="K2978" s="10" t="s">
        <v>847</v>
      </c>
      <c r="L2978" s="10" t="s">
        <v>2373</v>
      </c>
      <c r="M2978" s="10" t="s">
        <v>2372</v>
      </c>
      <c r="N2978" s="10" t="s">
        <v>2373</v>
      </c>
      <c r="O2978" s="10"/>
    </row>
    <row r="2979" spans="1:15" ht="18" customHeight="1" x14ac:dyDescent="0.3">
      <c r="A2979" s="24">
        <v>2978</v>
      </c>
      <c r="B2979" s="8" t="s">
        <v>2140</v>
      </c>
      <c r="C2979" s="8" t="s">
        <v>2185</v>
      </c>
      <c r="D2979" s="8">
        <v>207</v>
      </c>
      <c r="E2979" s="56" t="s">
        <v>2186</v>
      </c>
      <c r="F2979" s="16" t="s">
        <v>2187</v>
      </c>
      <c r="G2979" s="8" t="s">
        <v>2373</v>
      </c>
      <c r="H2979" s="10" t="s">
        <v>2378</v>
      </c>
      <c r="I2979" s="62">
        <v>60</v>
      </c>
      <c r="J2979" s="10" t="s">
        <v>2374</v>
      </c>
      <c r="K2979" s="10" t="s">
        <v>847</v>
      </c>
      <c r="L2979" s="10" t="s">
        <v>2373</v>
      </c>
      <c r="M2979" s="10" t="s">
        <v>2372</v>
      </c>
      <c r="N2979" s="10" t="s">
        <v>2373</v>
      </c>
      <c r="O2979" s="10"/>
    </row>
    <row r="2980" spans="1:15" ht="18" customHeight="1" x14ac:dyDescent="0.3">
      <c r="A2980" s="24">
        <v>2979</v>
      </c>
      <c r="B2980" s="8" t="s">
        <v>2145</v>
      </c>
      <c r="C2980" s="8" t="s">
        <v>2190</v>
      </c>
      <c r="D2980" s="8">
        <v>209</v>
      </c>
      <c r="E2980" s="30" t="s">
        <v>2191</v>
      </c>
      <c r="F2980" s="19" t="s">
        <v>2192</v>
      </c>
      <c r="G2980" s="8" t="s">
        <v>2553</v>
      </c>
      <c r="H2980" s="10" t="s">
        <v>2385</v>
      </c>
      <c r="I2980" s="62">
        <v>49</v>
      </c>
      <c r="J2980" s="10" t="s">
        <v>2374</v>
      </c>
      <c r="K2980" s="10" t="s">
        <v>847</v>
      </c>
      <c r="L2980" s="10" t="s">
        <v>2373</v>
      </c>
      <c r="M2980" s="10" t="s">
        <v>2372</v>
      </c>
      <c r="N2980" s="10" t="s">
        <v>2373</v>
      </c>
      <c r="O2980" s="10"/>
    </row>
    <row r="2981" spans="1:15" ht="18" customHeight="1" x14ac:dyDescent="0.3">
      <c r="A2981" s="24">
        <v>2980</v>
      </c>
      <c r="B2981" s="8" t="s">
        <v>2145</v>
      </c>
      <c r="C2981" s="8" t="s">
        <v>2190</v>
      </c>
      <c r="D2981" s="8">
        <v>209</v>
      </c>
      <c r="E2981" s="30" t="s">
        <v>2191</v>
      </c>
      <c r="F2981" s="19" t="s">
        <v>2192</v>
      </c>
      <c r="G2981" s="8" t="s">
        <v>2553</v>
      </c>
      <c r="H2981" s="10" t="s">
        <v>2378</v>
      </c>
      <c r="I2981" s="62">
        <v>49</v>
      </c>
      <c r="J2981" s="10" t="s">
        <v>2372</v>
      </c>
      <c r="K2981" s="10" t="s">
        <v>847</v>
      </c>
      <c r="L2981" s="10" t="s">
        <v>2373</v>
      </c>
      <c r="M2981" s="10" t="s">
        <v>2372</v>
      </c>
      <c r="N2981" s="10" t="s">
        <v>2373</v>
      </c>
      <c r="O2981" s="10"/>
    </row>
    <row r="2982" spans="1:15" ht="18" customHeight="1" x14ac:dyDescent="0.3">
      <c r="A2982" s="24">
        <v>2981</v>
      </c>
      <c r="B2982" s="10" t="s">
        <v>115</v>
      </c>
      <c r="C2982" s="10" t="s">
        <v>122</v>
      </c>
      <c r="D2982" s="62">
        <v>210</v>
      </c>
      <c r="E2982" s="61" t="s">
        <v>968</v>
      </c>
      <c r="F2982" s="9" t="s">
        <v>2198</v>
      </c>
      <c r="G2982" s="10" t="s">
        <v>2373</v>
      </c>
      <c r="H2982" s="10" t="s">
        <v>845</v>
      </c>
      <c r="I2982" s="62">
        <v>59</v>
      </c>
      <c r="J2982" s="10" t="s">
        <v>2374</v>
      </c>
      <c r="K2982" s="10" t="s">
        <v>847</v>
      </c>
      <c r="L2982" s="10" t="s">
        <v>2373</v>
      </c>
      <c r="M2982" s="10" t="s">
        <v>2372</v>
      </c>
      <c r="N2982" s="10" t="s">
        <v>2373</v>
      </c>
      <c r="O2982" s="10"/>
    </row>
    <row r="2983" spans="1:15" ht="18" customHeight="1" x14ac:dyDescent="0.3">
      <c r="A2983" s="24">
        <v>2982</v>
      </c>
      <c r="B2983" s="10" t="s">
        <v>115</v>
      </c>
      <c r="C2983" s="10" t="s">
        <v>122</v>
      </c>
      <c r="D2983" s="62">
        <v>210</v>
      </c>
      <c r="E2983" s="61" t="s">
        <v>968</v>
      </c>
      <c r="F2983" s="9" t="s">
        <v>2198</v>
      </c>
      <c r="G2983" s="10" t="s">
        <v>2373</v>
      </c>
      <c r="H2983" s="10" t="s">
        <v>848</v>
      </c>
      <c r="I2983" s="62">
        <v>39</v>
      </c>
      <c r="J2983" s="10" t="s">
        <v>2372</v>
      </c>
      <c r="K2983" s="10" t="s">
        <v>847</v>
      </c>
      <c r="L2983" s="10" t="s">
        <v>2373</v>
      </c>
      <c r="M2983" s="10" t="s">
        <v>2372</v>
      </c>
      <c r="N2983" s="10" t="s">
        <v>2373</v>
      </c>
      <c r="O2983" s="10"/>
    </row>
    <row r="2984" spans="1:15" ht="18" customHeight="1" x14ac:dyDescent="0.3">
      <c r="A2984" s="24">
        <v>2983</v>
      </c>
      <c r="B2984" s="10" t="s">
        <v>123</v>
      </c>
      <c r="C2984" s="10" t="s">
        <v>124</v>
      </c>
      <c r="D2984" s="62">
        <v>212</v>
      </c>
      <c r="E2984" s="61" t="s">
        <v>257</v>
      </c>
      <c r="F2984" s="11" t="s">
        <v>779</v>
      </c>
      <c r="G2984" s="10" t="s">
        <v>150</v>
      </c>
      <c r="H2984" s="10" t="s">
        <v>845</v>
      </c>
      <c r="I2984" s="62">
        <v>130</v>
      </c>
      <c r="J2984" s="10" t="s">
        <v>2374</v>
      </c>
      <c r="K2984" s="10" t="s">
        <v>847</v>
      </c>
      <c r="L2984" s="10" t="s">
        <v>2373</v>
      </c>
      <c r="M2984" s="10" t="s">
        <v>2372</v>
      </c>
      <c r="N2984" s="10" t="s">
        <v>2373</v>
      </c>
      <c r="O2984" s="10"/>
    </row>
    <row r="2985" spans="1:15" ht="18" customHeight="1" x14ac:dyDescent="0.3">
      <c r="A2985" s="24">
        <v>2984</v>
      </c>
      <c r="B2985" s="10" t="s">
        <v>123</v>
      </c>
      <c r="C2985" s="10" t="s">
        <v>124</v>
      </c>
      <c r="D2985" s="62">
        <v>212</v>
      </c>
      <c r="E2985" s="61" t="s">
        <v>257</v>
      </c>
      <c r="F2985" s="11" t="s">
        <v>779</v>
      </c>
      <c r="G2985" s="10" t="s">
        <v>150</v>
      </c>
      <c r="H2985" s="10" t="s">
        <v>848</v>
      </c>
      <c r="I2985" s="62">
        <v>95</v>
      </c>
      <c r="J2985" s="10" t="s">
        <v>2372</v>
      </c>
      <c r="K2985" s="10" t="s">
        <v>847</v>
      </c>
      <c r="L2985" s="10" t="s">
        <v>2373</v>
      </c>
      <c r="M2985" s="10" t="s">
        <v>2372</v>
      </c>
      <c r="N2985" s="10" t="s">
        <v>2373</v>
      </c>
      <c r="O2985" s="10"/>
    </row>
    <row r="2986" spans="1:15" ht="18" customHeight="1" x14ac:dyDescent="0.3">
      <c r="A2986" s="24">
        <v>2985</v>
      </c>
      <c r="B2986" s="10" t="s">
        <v>123</v>
      </c>
      <c r="C2986" s="10" t="s">
        <v>124</v>
      </c>
      <c r="D2986" s="62">
        <v>212</v>
      </c>
      <c r="E2986" s="61" t="s">
        <v>257</v>
      </c>
      <c r="F2986" s="11" t="s">
        <v>779</v>
      </c>
      <c r="G2986" s="10" t="s">
        <v>150</v>
      </c>
      <c r="H2986" s="10" t="s">
        <v>849</v>
      </c>
      <c r="I2986" s="62">
        <v>95</v>
      </c>
      <c r="J2986" s="10" t="s">
        <v>2372</v>
      </c>
      <c r="K2986" s="10" t="s">
        <v>847</v>
      </c>
      <c r="L2986" s="10" t="s">
        <v>2373</v>
      </c>
      <c r="M2986" s="10" t="s">
        <v>2372</v>
      </c>
      <c r="N2986" s="10" t="s">
        <v>2373</v>
      </c>
      <c r="O2986" s="10"/>
    </row>
    <row r="2987" spans="1:15" ht="18" customHeight="1" x14ac:dyDescent="0.3">
      <c r="A2987" s="24">
        <v>2986</v>
      </c>
      <c r="B2987" s="10" t="s">
        <v>123</v>
      </c>
      <c r="C2987" s="10" t="s">
        <v>124</v>
      </c>
      <c r="D2987" s="62">
        <v>212</v>
      </c>
      <c r="E2987" s="61" t="s">
        <v>257</v>
      </c>
      <c r="F2987" s="11" t="s">
        <v>779</v>
      </c>
      <c r="G2987" s="10" t="s">
        <v>150</v>
      </c>
      <c r="H2987" s="10" t="s">
        <v>850</v>
      </c>
      <c r="I2987" s="62">
        <v>130</v>
      </c>
      <c r="J2987" s="10" t="s">
        <v>2372</v>
      </c>
      <c r="K2987" s="10" t="s">
        <v>847</v>
      </c>
      <c r="L2987" s="10" t="s">
        <v>2373</v>
      </c>
      <c r="M2987" s="10" t="s">
        <v>2372</v>
      </c>
      <c r="N2987" s="10" t="s">
        <v>2373</v>
      </c>
      <c r="O2987" s="10"/>
    </row>
    <row r="2988" spans="1:15" ht="18" customHeight="1" x14ac:dyDescent="0.3">
      <c r="A2988" s="24">
        <v>2987</v>
      </c>
      <c r="B2988" s="10" t="s">
        <v>123</v>
      </c>
      <c r="C2988" s="10" t="s">
        <v>124</v>
      </c>
      <c r="D2988" s="62">
        <v>212</v>
      </c>
      <c r="E2988" s="61" t="s">
        <v>257</v>
      </c>
      <c r="F2988" s="11" t="s">
        <v>779</v>
      </c>
      <c r="G2988" s="10" t="s">
        <v>150</v>
      </c>
      <c r="H2988" s="10" t="s">
        <v>851</v>
      </c>
      <c r="I2988" s="62">
        <v>130</v>
      </c>
      <c r="J2988" s="10" t="s">
        <v>2372</v>
      </c>
      <c r="K2988" s="10" t="s">
        <v>847</v>
      </c>
      <c r="L2988" s="10" t="s">
        <v>2373</v>
      </c>
      <c r="M2988" s="10" t="s">
        <v>2372</v>
      </c>
      <c r="N2988" s="10" t="s">
        <v>2373</v>
      </c>
      <c r="O2988" s="10"/>
    </row>
    <row r="2989" spans="1:15" ht="18" customHeight="1" x14ac:dyDescent="0.3">
      <c r="A2989" s="24">
        <v>2988</v>
      </c>
      <c r="B2989" s="10" t="s">
        <v>123</v>
      </c>
      <c r="C2989" s="10" t="s">
        <v>124</v>
      </c>
      <c r="D2989" s="62">
        <v>212</v>
      </c>
      <c r="E2989" s="61" t="s">
        <v>257</v>
      </c>
      <c r="F2989" s="11" t="s">
        <v>779</v>
      </c>
      <c r="G2989" s="10" t="s">
        <v>150</v>
      </c>
      <c r="H2989" s="10" t="s">
        <v>852</v>
      </c>
      <c r="I2989" s="62">
        <v>83</v>
      </c>
      <c r="J2989" s="10" t="s">
        <v>2372</v>
      </c>
      <c r="K2989" s="10" t="s">
        <v>847</v>
      </c>
      <c r="L2989" s="10" t="s">
        <v>2373</v>
      </c>
      <c r="M2989" s="10" t="s">
        <v>2372</v>
      </c>
      <c r="N2989" s="10" t="s">
        <v>2373</v>
      </c>
      <c r="O2989" s="10"/>
    </row>
    <row r="2990" spans="1:15" ht="18" customHeight="1" x14ac:dyDescent="0.3">
      <c r="A2990" s="24">
        <v>2989</v>
      </c>
      <c r="B2990" s="10" t="s">
        <v>123</v>
      </c>
      <c r="C2990" s="10" t="s">
        <v>124</v>
      </c>
      <c r="D2990" s="62">
        <v>212</v>
      </c>
      <c r="E2990" s="61" t="s">
        <v>2202</v>
      </c>
      <c r="F2990" s="11" t="s">
        <v>2203</v>
      </c>
      <c r="G2990" s="10" t="s">
        <v>1264</v>
      </c>
      <c r="H2990" s="10" t="s">
        <v>2617</v>
      </c>
      <c r="I2990" s="62">
        <v>125</v>
      </c>
      <c r="J2990" s="10" t="s">
        <v>2372</v>
      </c>
      <c r="K2990" s="10" t="s">
        <v>2374</v>
      </c>
      <c r="L2990" s="10" t="s">
        <v>1422</v>
      </c>
      <c r="M2990" s="10" t="s">
        <v>2372</v>
      </c>
      <c r="N2990" s="10" t="s">
        <v>2373</v>
      </c>
      <c r="O2990" s="10"/>
    </row>
    <row r="2991" spans="1:15" ht="18" customHeight="1" x14ac:dyDescent="0.3">
      <c r="A2991" s="24">
        <v>2990</v>
      </c>
      <c r="B2991" s="10" t="s">
        <v>123</v>
      </c>
      <c r="C2991" s="10" t="s">
        <v>124</v>
      </c>
      <c r="D2991" s="62">
        <v>212</v>
      </c>
      <c r="E2991" s="61" t="s">
        <v>2202</v>
      </c>
      <c r="F2991" s="11" t="s">
        <v>2203</v>
      </c>
      <c r="G2991" s="10" t="s">
        <v>1264</v>
      </c>
      <c r="H2991" s="10" t="s">
        <v>2548</v>
      </c>
      <c r="I2991" s="62">
        <v>203</v>
      </c>
      <c r="J2991" s="10" t="s">
        <v>2372</v>
      </c>
      <c r="K2991" s="10" t="s">
        <v>2374</v>
      </c>
      <c r="L2991" s="10" t="s">
        <v>1422</v>
      </c>
      <c r="M2991" s="10" t="s">
        <v>2372</v>
      </c>
      <c r="N2991" s="10" t="s">
        <v>2373</v>
      </c>
      <c r="O2991" s="10"/>
    </row>
    <row r="2992" spans="1:15" ht="18" customHeight="1" x14ac:dyDescent="0.3">
      <c r="A2992" s="24">
        <v>2991</v>
      </c>
      <c r="B2992" s="10" t="s">
        <v>123</v>
      </c>
      <c r="C2992" s="10" t="s">
        <v>124</v>
      </c>
      <c r="D2992" s="62">
        <v>212</v>
      </c>
      <c r="E2992" s="61" t="s">
        <v>2202</v>
      </c>
      <c r="F2992" s="11" t="s">
        <v>2203</v>
      </c>
      <c r="G2992" s="10" t="s">
        <v>1264</v>
      </c>
      <c r="H2992" s="173" t="s">
        <v>3474</v>
      </c>
      <c r="I2992" s="62">
        <v>210</v>
      </c>
      <c r="J2992" s="10" t="s">
        <v>2372</v>
      </c>
      <c r="K2992" s="10" t="s">
        <v>2374</v>
      </c>
      <c r="L2992" s="173" t="s">
        <v>3196</v>
      </c>
      <c r="M2992" s="10" t="s">
        <v>2372</v>
      </c>
      <c r="N2992" s="10" t="s">
        <v>2373</v>
      </c>
      <c r="O2992" s="10"/>
    </row>
    <row r="2993" spans="1:15" ht="18" customHeight="1" x14ac:dyDescent="0.3">
      <c r="A2993" s="24">
        <v>2992</v>
      </c>
      <c r="B2993" s="10" t="s">
        <v>123</v>
      </c>
      <c r="C2993" s="10" t="s">
        <v>124</v>
      </c>
      <c r="D2993" s="62">
        <v>212</v>
      </c>
      <c r="E2993" s="61" t="s">
        <v>2202</v>
      </c>
      <c r="F2993" s="11" t="s">
        <v>2203</v>
      </c>
      <c r="G2993" s="10" t="s">
        <v>1264</v>
      </c>
      <c r="H2993" s="10" t="s">
        <v>2689</v>
      </c>
      <c r="I2993" s="62">
        <v>84</v>
      </c>
      <c r="J2993" s="10" t="s">
        <v>2372</v>
      </c>
      <c r="K2993" s="10" t="s">
        <v>2374</v>
      </c>
      <c r="L2993" s="10" t="s">
        <v>1422</v>
      </c>
      <c r="M2993" s="10" t="s">
        <v>2372</v>
      </c>
      <c r="N2993" s="10" t="s">
        <v>2373</v>
      </c>
      <c r="O2993" s="10"/>
    </row>
    <row r="2994" spans="1:15" ht="18" customHeight="1" x14ac:dyDescent="0.3">
      <c r="A2994" s="24">
        <v>2993</v>
      </c>
      <c r="B2994" s="10" t="s">
        <v>123</v>
      </c>
      <c r="C2994" s="10" t="s">
        <v>124</v>
      </c>
      <c r="D2994" s="62">
        <v>212</v>
      </c>
      <c r="E2994" s="61" t="s">
        <v>2202</v>
      </c>
      <c r="F2994" s="11" t="s">
        <v>2203</v>
      </c>
      <c r="G2994" s="10" t="s">
        <v>1264</v>
      </c>
      <c r="H2994" s="10" t="s">
        <v>2620</v>
      </c>
      <c r="I2994" s="62">
        <v>82</v>
      </c>
      <c r="J2994" s="10" t="s">
        <v>2372</v>
      </c>
      <c r="K2994" s="10" t="s">
        <v>2374</v>
      </c>
      <c r="L2994" s="10" t="s">
        <v>1422</v>
      </c>
      <c r="M2994" s="10" t="s">
        <v>2372</v>
      </c>
      <c r="N2994" s="10" t="s">
        <v>2373</v>
      </c>
      <c r="O2994" s="10"/>
    </row>
    <row r="2995" spans="1:15" ht="18" customHeight="1" x14ac:dyDescent="0.3">
      <c r="A2995" s="24">
        <v>2994</v>
      </c>
      <c r="B2995" s="10" t="s">
        <v>123</v>
      </c>
      <c r="C2995" s="10" t="s">
        <v>124</v>
      </c>
      <c r="D2995" s="62">
        <v>212</v>
      </c>
      <c r="E2995" s="61" t="s">
        <v>2202</v>
      </c>
      <c r="F2995" s="11" t="s">
        <v>2203</v>
      </c>
      <c r="G2995" s="10" t="s">
        <v>1264</v>
      </c>
      <c r="H2995" s="10" t="s">
        <v>2621</v>
      </c>
      <c r="I2995" s="62">
        <v>82</v>
      </c>
      <c r="J2995" s="10" t="s">
        <v>2372</v>
      </c>
      <c r="K2995" s="10" t="s">
        <v>2374</v>
      </c>
      <c r="L2995" s="10" t="s">
        <v>1422</v>
      </c>
      <c r="M2995" s="10" t="s">
        <v>2372</v>
      </c>
      <c r="N2995" s="10" t="s">
        <v>2373</v>
      </c>
      <c r="O2995" s="10"/>
    </row>
    <row r="2996" spans="1:15" ht="18" customHeight="1" x14ac:dyDescent="0.3">
      <c r="A2996" s="24">
        <v>2995</v>
      </c>
      <c r="B2996" s="10" t="s">
        <v>123</v>
      </c>
      <c r="C2996" s="10" t="s">
        <v>124</v>
      </c>
      <c r="D2996" s="62">
        <v>212</v>
      </c>
      <c r="E2996" s="61" t="s">
        <v>2202</v>
      </c>
      <c r="F2996" s="11" t="s">
        <v>2203</v>
      </c>
      <c r="G2996" s="10" t="s">
        <v>1264</v>
      </c>
      <c r="H2996" s="10" t="s">
        <v>2622</v>
      </c>
      <c r="I2996" s="62">
        <v>82</v>
      </c>
      <c r="J2996" s="10" t="s">
        <v>2372</v>
      </c>
      <c r="K2996" s="10" t="s">
        <v>2374</v>
      </c>
      <c r="L2996" s="10" t="s">
        <v>1422</v>
      </c>
      <c r="M2996" s="10" t="s">
        <v>2372</v>
      </c>
      <c r="N2996" s="10" t="s">
        <v>2373</v>
      </c>
      <c r="O2996" s="10"/>
    </row>
    <row r="2997" spans="1:15" ht="18" customHeight="1" x14ac:dyDescent="0.3">
      <c r="A2997" s="24">
        <v>2996</v>
      </c>
      <c r="B2997" s="10" t="s">
        <v>123</v>
      </c>
      <c r="C2997" s="10" t="s">
        <v>124</v>
      </c>
      <c r="D2997" s="62">
        <v>212</v>
      </c>
      <c r="E2997" s="56" t="s">
        <v>2690</v>
      </c>
      <c r="F2997" s="11" t="s">
        <v>2207</v>
      </c>
      <c r="G2997" s="10" t="s">
        <v>2373</v>
      </c>
      <c r="H2997" s="10" t="s">
        <v>2385</v>
      </c>
      <c r="I2997" s="62">
        <v>262</v>
      </c>
      <c r="J2997" s="10" t="s">
        <v>2372</v>
      </c>
      <c r="K2997" s="10" t="s">
        <v>847</v>
      </c>
      <c r="L2997" s="10" t="s">
        <v>2373</v>
      </c>
      <c r="M2997" s="10" t="s">
        <v>2374</v>
      </c>
      <c r="N2997" s="10" t="s">
        <v>1234</v>
      </c>
      <c r="O2997" s="10"/>
    </row>
    <row r="2998" spans="1:15" ht="18" customHeight="1" x14ac:dyDescent="0.3">
      <c r="A2998" s="24">
        <v>2997</v>
      </c>
      <c r="B2998" s="10" t="s">
        <v>123</v>
      </c>
      <c r="C2998" s="10" t="s">
        <v>124</v>
      </c>
      <c r="D2998" s="62">
        <v>212</v>
      </c>
      <c r="E2998" s="61" t="s">
        <v>2949</v>
      </c>
      <c r="F2998" s="19" t="s">
        <v>777</v>
      </c>
      <c r="G2998" s="10" t="s">
        <v>160</v>
      </c>
      <c r="H2998" s="10" t="s">
        <v>845</v>
      </c>
      <c r="I2998" s="62">
        <v>123</v>
      </c>
      <c r="J2998" s="10" t="s">
        <v>2374</v>
      </c>
      <c r="K2998" s="10" t="s">
        <v>847</v>
      </c>
      <c r="L2998" s="10" t="s">
        <v>2373</v>
      </c>
      <c r="M2998" s="10" t="s">
        <v>2372</v>
      </c>
      <c r="N2998" s="10" t="s">
        <v>2373</v>
      </c>
      <c r="O2998" s="10"/>
    </row>
    <row r="2999" spans="1:15" ht="18" customHeight="1" x14ac:dyDescent="0.3">
      <c r="A2999" s="24">
        <v>2998</v>
      </c>
      <c r="B2999" s="10" t="s">
        <v>123</v>
      </c>
      <c r="C2999" s="10" t="s">
        <v>124</v>
      </c>
      <c r="D2999" s="62">
        <v>212</v>
      </c>
      <c r="E2999" s="61" t="s">
        <v>2949</v>
      </c>
      <c r="F2999" s="19" t="s">
        <v>777</v>
      </c>
      <c r="G2999" s="10" t="s">
        <v>160</v>
      </c>
      <c r="H2999" s="10" t="s">
        <v>848</v>
      </c>
      <c r="I2999" s="62">
        <v>70</v>
      </c>
      <c r="J2999" s="10" t="s">
        <v>2374</v>
      </c>
      <c r="K2999" s="10" t="s">
        <v>847</v>
      </c>
      <c r="L2999" s="10" t="s">
        <v>2373</v>
      </c>
      <c r="M2999" s="10" t="s">
        <v>2372</v>
      </c>
      <c r="N2999" s="10" t="s">
        <v>2373</v>
      </c>
      <c r="O2999" s="10"/>
    </row>
    <row r="3000" spans="1:15" ht="18" customHeight="1" x14ac:dyDescent="0.3">
      <c r="A3000" s="24">
        <v>2999</v>
      </c>
      <c r="B3000" s="10" t="s">
        <v>123</v>
      </c>
      <c r="C3000" s="10" t="s">
        <v>124</v>
      </c>
      <c r="D3000" s="62">
        <v>212</v>
      </c>
      <c r="E3000" s="61" t="s">
        <v>2949</v>
      </c>
      <c r="F3000" s="19" t="s">
        <v>777</v>
      </c>
      <c r="G3000" s="10" t="s">
        <v>160</v>
      </c>
      <c r="H3000" s="10" t="s">
        <v>849</v>
      </c>
      <c r="I3000" s="62">
        <v>100</v>
      </c>
      <c r="J3000" s="10" t="s">
        <v>2372</v>
      </c>
      <c r="K3000" s="10" t="s">
        <v>847</v>
      </c>
      <c r="L3000" s="10" t="s">
        <v>2373</v>
      </c>
      <c r="M3000" s="10" t="s">
        <v>2372</v>
      </c>
      <c r="N3000" s="10" t="s">
        <v>2373</v>
      </c>
      <c r="O3000" s="10"/>
    </row>
    <row r="3001" spans="1:15" ht="18" customHeight="1" x14ac:dyDescent="0.3">
      <c r="A3001" s="24">
        <v>3000</v>
      </c>
      <c r="B3001" s="10" t="s">
        <v>123</v>
      </c>
      <c r="C3001" s="10" t="s">
        <v>124</v>
      </c>
      <c r="D3001" s="62">
        <v>212</v>
      </c>
      <c r="E3001" s="61" t="s">
        <v>2949</v>
      </c>
      <c r="F3001" s="19" t="s">
        <v>777</v>
      </c>
      <c r="G3001" s="10" t="s">
        <v>160</v>
      </c>
      <c r="H3001" s="10" t="s">
        <v>851</v>
      </c>
      <c r="I3001" s="171">
        <v>122</v>
      </c>
      <c r="J3001" s="10" t="s">
        <v>2372</v>
      </c>
      <c r="K3001" s="10" t="s">
        <v>847</v>
      </c>
      <c r="L3001" s="10" t="s">
        <v>2373</v>
      </c>
      <c r="M3001" s="10" t="s">
        <v>2372</v>
      </c>
      <c r="N3001" s="10" t="s">
        <v>2373</v>
      </c>
      <c r="O3001" s="10"/>
    </row>
    <row r="3002" spans="1:15" ht="18" customHeight="1" x14ac:dyDescent="0.3">
      <c r="A3002" s="24">
        <v>3001</v>
      </c>
      <c r="B3002" s="10" t="s">
        <v>123</v>
      </c>
      <c r="C3002" s="10" t="s">
        <v>124</v>
      </c>
      <c r="D3002" s="62">
        <v>212</v>
      </c>
      <c r="E3002" s="61" t="s">
        <v>2949</v>
      </c>
      <c r="F3002" s="19" t="s">
        <v>777</v>
      </c>
      <c r="G3002" s="10" t="s">
        <v>160</v>
      </c>
      <c r="H3002" s="10" t="s">
        <v>852</v>
      </c>
      <c r="I3002" s="62">
        <v>138</v>
      </c>
      <c r="J3002" s="10" t="s">
        <v>2372</v>
      </c>
      <c r="K3002" s="10" t="s">
        <v>847</v>
      </c>
      <c r="L3002" s="10" t="s">
        <v>2373</v>
      </c>
      <c r="M3002" s="10" t="s">
        <v>2372</v>
      </c>
      <c r="N3002" s="10" t="s">
        <v>2373</v>
      </c>
      <c r="O3002" s="10"/>
    </row>
    <row r="3003" spans="1:15" ht="18" customHeight="1" x14ac:dyDescent="0.3">
      <c r="A3003" s="24">
        <v>3002</v>
      </c>
      <c r="B3003" s="10" t="s">
        <v>123</v>
      </c>
      <c r="C3003" s="10" t="s">
        <v>124</v>
      </c>
      <c r="D3003" s="62">
        <v>212</v>
      </c>
      <c r="E3003" s="61" t="s">
        <v>2949</v>
      </c>
      <c r="F3003" s="19" t="s">
        <v>777</v>
      </c>
      <c r="G3003" s="10" t="s">
        <v>160</v>
      </c>
      <c r="H3003" s="10" t="s">
        <v>853</v>
      </c>
      <c r="I3003" s="171">
        <v>99</v>
      </c>
      <c r="J3003" s="10" t="s">
        <v>2372</v>
      </c>
      <c r="K3003" s="10" t="s">
        <v>847</v>
      </c>
      <c r="L3003" s="10" t="s">
        <v>2373</v>
      </c>
      <c r="M3003" s="10" t="s">
        <v>2372</v>
      </c>
      <c r="N3003" s="10" t="s">
        <v>2373</v>
      </c>
      <c r="O3003" s="10"/>
    </row>
    <row r="3004" spans="1:15" ht="18" customHeight="1" x14ac:dyDescent="0.3">
      <c r="A3004" s="24">
        <v>3003</v>
      </c>
      <c r="B3004" s="10" t="s">
        <v>123</v>
      </c>
      <c r="C3004" s="10" t="s">
        <v>124</v>
      </c>
      <c r="D3004" s="62">
        <v>212</v>
      </c>
      <c r="E3004" s="61" t="s">
        <v>2949</v>
      </c>
      <c r="F3004" s="19" t="s">
        <v>777</v>
      </c>
      <c r="G3004" s="10" t="s">
        <v>160</v>
      </c>
      <c r="H3004" s="10" t="s">
        <v>854</v>
      </c>
      <c r="I3004" s="62">
        <v>70</v>
      </c>
      <c r="J3004" s="10" t="s">
        <v>2372</v>
      </c>
      <c r="K3004" s="10" t="s">
        <v>847</v>
      </c>
      <c r="L3004" s="10" t="s">
        <v>2373</v>
      </c>
      <c r="M3004" s="10" t="s">
        <v>2372</v>
      </c>
      <c r="N3004" s="10" t="s">
        <v>2373</v>
      </c>
      <c r="O3004" s="10"/>
    </row>
    <row r="3005" spans="1:15" ht="18" customHeight="1" x14ac:dyDescent="0.3">
      <c r="A3005" s="24">
        <v>3004</v>
      </c>
      <c r="B3005" s="10" t="s">
        <v>123</v>
      </c>
      <c r="C3005" s="10" t="s">
        <v>124</v>
      </c>
      <c r="D3005" s="62">
        <v>212</v>
      </c>
      <c r="E3005" s="61" t="s">
        <v>2949</v>
      </c>
      <c r="F3005" s="19" t="s">
        <v>777</v>
      </c>
      <c r="G3005" s="10" t="s">
        <v>160</v>
      </c>
      <c r="H3005" s="10" t="s">
        <v>855</v>
      </c>
      <c r="I3005" s="62">
        <v>100</v>
      </c>
      <c r="J3005" s="10" t="s">
        <v>2372</v>
      </c>
      <c r="K3005" s="10" t="s">
        <v>847</v>
      </c>
      <c r="L3005" s="10" t="s">
        <v>2373</v>
      </c>
      <c r="M3005" s="10" t="s">
        <v>2372</v>
      </c>
      <c r="N3005" s="10" t="s">
        <v>2373</v>
      </c>
      <c r="O3005" s="10"/>
    </row>
    <row r="3006" spans="1:15" ht="18" customHeight="1" x14ac:dyDescent="0.3">
      <c r="A3006" s="24">
        <v>3005</v>
      </c>
      <c r="B3006" s="10" t="s">
        <v>123</v>
      </c>
      <c r="C3006" s="10" t="s">
        <v>124</v>
      </c>
      <c r="D3006" s="62">
        <v>212</v>
      </c>
      <c r="E3006" s="61" t="s">
        <v>250</v>
      </c>
      <c r="F3006" s="16" t="s">
        <v>778</v>
      </c>
      <c r="G3006" s="10" t="s">
        <v>160</v>
      </c>
      <c r="H3006" s="10" t="s">
        <v>845</v>
      </c>
      <c r="I3006" s="62">
        <v>91</v>
      </c>
      <c r="J3006" s="8" t="s">
        <v>2372</v>
      </c>
      <c r="K3006" s="10" t="s">
        <v>846</v>
      </c>
      <c r="L3006" s="10" t="s">
        <v>885</v>
      </c>
      <c r="M3006" s="10" t="s">
        <v>2372</v>
      </c>
      <c r="N3006" s="10" t="s">
        <v>2373</v>
      </c>
      <c r="O3006" s="10"/>
    </row>
    <row r="3007" spans="1:15" ht="18" customHeight="1" x14ac:dyDescent="0.3">
      <c r="A3007" s="24">
        <v>3006</v>
      </c>
      <c r="B3007" s="10" t="s">
        <v>123</v>
      </c>
      <c r="C3007" s="10" t="s">
        <v>124</v>
      </c>
      <c r="D3007" s="62">
        <v>212</v>
      </c>
      <c r="E3007" s="61" t="s">
        <v>250</v>
      </c>
      <c r="F3007" s="16" t="s">
        <v>778</v>
      </c>
      <c r="G3007" s="10" t="s">
        <v>160</v>
      </c>
      <c r="H3007" s="10" t="s">
        <v>848</v>
      </c>
      <c r="I3007" s="62">
        <v>72</v>
      </c>
      <c r="J3007" s="8" t="s">
        <v>2372</v>
      </c>
      <c r="K3007" s="10" t="s">
        <v>846</v>
      </c>
      <c r="L3007" s="10" t="s">
        <v>885</v>
      </c>
      <c r="M3007" s="10" t="s">
        <v>2372</v>
      </c>
      <c r="N3007" s="10" t="s">
        <v>2373</v>
      </c>
      <c r="O3007" s="10"/>
    </row>
    <row r="3008" spans="1:15" ht="18" customHeight="1" x14ac:dyDescent="0.3">
      <c r="A3008" s="24">
        <v>3007</v>
      </c>
      <c r="B3008" s="10" t="s">
        <v>123</v>
      </c>
      <c r="C3008" s="10" t="s">
        <v>124</v>
      </c>
      <c r="D3008" s="62">
        <v>212</v>
      </c>
      <c r="E3008" s="61" t="s">
        <v>250</v>
      </c>
      <c r="F3008" s="16" t="s">
        <v>778</v>
      </c>
      <c r="G3008" s="10" t="s">
        <v>160</v>
      </c>
      <c r="H3008" s="10" t="s">
        <v>849</v>
      </c>
      <c r="I3008" s="62">
        <v>82</v>
      </c>
      <c r="J3008" s="8" t="s">
        <v>2372</v>
      </c>
      <c r="K3008" s="10" t="s">
        <v>846</v>
      </c>
      <c r="L3008" s="10" t="s">
        <v>885</v>
      </c>
      <c r="M3008" s="10" t="s">
        <v>2372</v>
      </c>
      <c r="N3008" s="10" t="s">
        <v>2373</v>
      </c>
      <c r="O3008" s="10"/>
    </row>
    <row r="3009" spans="1:15" ht="18" customHeight="1" x14ac:dyDescent="0.3">
      <c r="A3009" s="24">
        <v>3008</v>
      </c>
      <c r="B3009" s="10" t="s">
        <v>123</v>
      </c>
      <c r="C3009" s="10" t="s">
        <v>124</v>
      </c>
      <c r="D3009" s="62">
        <v>212</v>
      </c>
      <c r="E3009" s="61" t="s">
        <v>250</v>
      </c>
      <c r="F3009" s="16" t="s">
        <v>778</v>
      </c>
      <c r="G3009" s="10" t="s">
        <v>160</v>
      </c>
      <c r="H3009" s="10" t="s">
        <v>850</v>
      </c>
      <c r="I3009" s="62">
        <v>89</v>
      </c>
      <c r="J3009" s="8" t="s">
        <v>2372</v>
      </c>
      <c r="K3009" s="10" t="s">
        <v>846</v>
      </c>
      <c r="L3009" s="10" t="s">
        <v>885</v>
      </c>
      <c r="M3009" s="10" t="s">
        <v>2372</v>
      </c>
      <c r="N3009" s="10" t="s">
        <v>2373</v>
      </c>
      <c r="O3009" s="10"/>
    </row>
    <row r="3010" spans="1:15" ht="18" customHeight="1" x14ac:dyDescent="0.3">
      <c r="A3010" s="24">
        <v>3009</v>
      </c>
      <c r="B3010" s="10" t="s">
        <v>123</v>
      </c>
      <c r="C3010" s="10" t="s">
        <v>124</v>
      </c>
      <c r="D3010" s="62">
        <v>212</v>
      </c>
      <c r="E3010" s="61" t="s">
        <v>250</v>
      </c>
      <c r="F3010" s="16" t="s">
        <v>778</v>
      </c>
      <c r="G3010" s="10" t="s">
        <v>160</v>
      </c>
      <c r="H3010" s="10" t="s">
        <v>851</v>
      </c>
      <c r="I3010" s="62">
        <v>71</v>
      </c>
      <c r="J3010" s="8" t="s">
        <v>2372</v>
      </c>
      <c r="K3010" s="10" t="s">
        <v>846</v>
      </c>
      <c r="L3010" s="10" t="s">
        <v>885</v>
      </c>
      <c r="M3010" s="10" t="s">
        <v>2372</v>
      </c>
      <c r="N3010" s="10" t="s">
        <v>2373</v>
      </c>
      <c r="O3010" s="10"/>
    </row>
    <row r="3011" spans="1:15" ht="18" customHeight="1" x14ac:dyDescent="0.3">
      <c r="A3011" s="24">
        <v>3010</v>
      </c>
      <c r="B3011" s="10" t="s">
        <v>123</v>
      </c>
      <c r="C3011" s="10" t="s">
        <v>124</v>
      </c>
      <c r="D3011" s="62">
        <v>212</v>
      </c>
      <c r="E3011" s="61" t="s">
        <v>250</v>
      </c>
      <c r="F3011" s="16" t="s">
        <v>778</v>
      </c>
      <c r="G3011" s="10" t="s">
        <v>160</v>
      </c>
      <c r="H3011" s="10" t="s">
        <v>852</v>
      </c>
      <c r="I3011" s="62">
        <v>98</v>
      </c>
      <c r="J3011" s="8" t="s">
        <v>2372</v>
      </c>
      <c r="K3011" s="10" t="s">
        <v>846</v>
      </c>
      <c r="L3011" s="10" t="s">
        <v>885</v>
      </c>
      <c r="M3011" s="10" t="s">
        <v>2372</v>
      </c>
      <c r="N3011" s="10" t="s">
        <v>2373</v>
      </c>
      <c r="O3011" s="10"/>
    </row>
    <row r="3012" spans="1:15" ht="18" customHeight="1" x14ac:dyDescent="0.3">
      <c r="A3012" s="24">
        <v>3011</v>
      </c>
      <c r="B3012" s="10" t="s">
        <v>123</v>
      </c>
      <c r="C3012" s="10" t="s">
        <v>124</v>
      </c>
      <c r="D3012" s="62">
        <v>212</v>
      </c>
      <c r="E3012" s="61" t="s">
        <v>250</v>
      </c>
      <c r="F3012" s="16" t="s">
        <v>778</v>
      </c>
      <c r="G3012" s="10" t="s">
        <v>160</v>
      </c>
      <c r="H3012" s="10" t="s">
        <v>853</v>
      </c>
      <c r="I3012" s="62">
        <v>93</v>
      </c>
      <c r="J3012" s="8" t="s">
        <v>2372</v>
      </c>
      <c r="K3012" s="10" t="s">
        <v>846</v>
      </c>
      <c r="L3012" s="10" t="s">
        <v>885</v>
      </c>
      <c r="M3012" s="10" t="s">
        <v>2372</v>
      </c>
      <c r="N3012" s="10" t="s">
        <v>2373</v>
      </c>
      <c r="O3012" s="10"/>
    </row>
    <row r="3013" spans="1:15" ht="18" customHeight="1" x14ac:dyDescent="0.3">
      <c r="A3013" s="24">
        <v>3012</v>
      </c>
      <c r="B3013" s="10" t="s">
        <v>123</v>
      </c>
      <c r="C3013" s="10" t="s">
        <v>124</v>
      </c>
      <c r="D3013" s="62">
        <v>212</v>
      </c>
      <c r="E3013" s="61" t="s">
        <v>250</v>
      </c>
      <c r="F3013" s="16" t="s">
        <v>778</v>
      </c>
      <c r="G3013" s="10" t="s">
        <v>160</v>
      </c>
      <c r="H3013" s="10" t="s">
        <v>854</v>
      </c>
      <c r="I3013" s="62">
        <v>116</v>
      </c>
      <c r="J3013" s="8" t="s">
        <v>2372</v>
      </c>
      <c r="K3013" s="10" t="s">
        <v>846</v>
      </c>
      <c r="L3013" s="10" t="s">
        <v>885</v>
      </c>
      <c r="M3013" s="10" t="s">
        <v>2372</v>
      </c>
      <c r="N3013" s="10" t="s">
        <v>2373</v>
      </c>
      <c r="O3013" s="10"/>
    </row>
    <row r="3014" spans="1:15" ht="18" customHeight="1" x14ac:dyDescent="0.3">
      <c r="A3014" s="24">
        <v>3013</v>
      </c>
      <c r="B3014" s="10" t="s">
        <v>123</v>
      </c>
      <c r="C3014" s="10" t="s">
        <v>125</v>
      </c>
      <c r="D3014" s="62">
        <v>215</v>
      </c>
      <c r="E3014" s="61" t="s">
        <v>205</v>
      </c>
      <c r="F3014" s="9" t="s">
        <v>755</v>
      </c>
      <c r="G3014" s="10" t="s">
        <v>160</v>
      </c>
      <c r="H3014" s="10" t="s">
        <v>845</v>
      </c>
      <c r="I3014" s="62">
        <v>136</v>
      </c>
      <c r="J3014" s="8" t="s">
        <v>2372</v>
      </c>
      <c r="K3014" s="10" t="s">
        <v>847</v>
      </c>
      <c r="L3014" s="10" t="s">
        <v>2373</v>
      </c>
      <c r="M3014" s="10" t="s">
        <v>2372</v>
      </c>
      <c r="N3014" s="10" t="s">
        <v>2373</v>
      </c>
      <c r="O3014" s="10"/>
    </row>
    <row r="3015" spans="1:15" ht="18" customHeight="1" x14ac:dyDescent="0.3">
      <c r="A3015" s="24">
        <v>3014</v>
      </c>
      <c r="B3015" s="10" t="s">
        <v>123</v>
      </c>
      <c r="C3015" s="10" t="s">
        <v>125</v>
      </c>
      <c r="D3015" s="62">
        <v>215</v>
      </c>
      <c r="E3015" s="61" t="s">
        <v>205</v>
      </c>
      <c r="F3015" s="9" t="s">
        <v>755</v>
      </c>
      <c r="G3015" s="10" t="s">
        <v>160</v>
      </c>
      <c r="H3015" s="10" t="s">
        <v>848</v>
      </c>
      <c r="I3015" s="62">
        <v>143</v>
      </c>
      <c r="J3015" s="8" t="s">
        <v>2374</v>
      </c>
      <c r="K3015" s="10" t="s">
        <v>847</v>
      </c>
      <c r="L3015" s="10" t="s">
        <v>2373</v>
      </c>
      <c r="M3015" s="10" t="s">
        <v>2372</v>
      </c>
      <c r="N3015" s="10" t="s">
        <v>2373</v>
      </c>
      <c r="O3015" s="10"/>
    </row>
    <row r="3016" spans="1:15" ht="18" customHeight="1" x14ac:dyDescent="0.3">
      <c r="A3016" s="24">
        <v>3015</v>
      </c>
      <c r="B3016" s="10" t="s">
        <v>123</v>
      </c>
      <c r="C3016" s="10" t="s">
        <v>125</v>
      </c>
      <c r="D3016" s="62">
        <v>215</v>
      </c>
      <c r="E3016" s="61" t="s">
        <v>2691</v>
      </c>
      <c r="F3016" s="16" t="s">
        <v>757</v>
      </c>
      <c r="G3016" s="10" t="s">
        <v>150</v>
      </c>
      <c r="H3016" s="10" t="s">
        <v>845</v>
      </c>
      <c r="I3016" s="62">
        <v>201</v>
      </c>
      <c r="J3016" s="10" t="s">
        <v>2374</v>
      </c>
      <c r="K3016" s="10" t="s">
        <v>847</v>
      </c>
      <c r="L3016" s="10" t="s">
        <v>2373</v>
      </c>
      <c r="M3016" s="10" t="s">
        <v>2372</v>
      </c>
      <c r="N3016" s="10" t="s">
        <v>2373</v>
      </c>
      <c r="O3016" s="10"/>
    </row>
    <row r="3017" spans="1:15" ht="18" customHeight="1" x14ac:dyDescent="0.3">
      <c r="A3017" s="24">
        <v>3016</v>
      </c>
      <c r="B3017" s="10" t="s">
        <v>123</v>
      </c>
      <c r="C3017" s="10" t="s">
        <v>125</v>
      </c>
      <c r="D3017" s="62">
        <v>215</v>
      </c>
      <c r="E3017" s="61" t="s">
        <v>2691</v>
      </c>
      <c r="F3017" s="16" t="s">
        <v>757</v>
      </c>
      <c r="G3017" s="10" t="s">
        <v>150</v>
      </c>
      <c r="H3017" s="173" t="s">
        <v>848</v>
      </c>
      <c r="I3017" s="177">
        <v>70</v>
      </c>
      <c r="J3017" s="10" t="s">
        <v>2372</v>
      </c>
      <c r="K3017" s="173" t="s">
        <v>3550</v>
      </c>
      <c r="L3017" s="173" t="s">
        <v>2475</v>
      </c>
      <c r="M3017" s="10" t="s">
        <v>2372</v>
      </c>
      <c r="N3017" s="10" t="s">
        <v>2373</v>
      </c>
      <c r="O3017" s="10"/>
    </row>
    <row r="3018" spans="1:15" ht="18" customHeight="1" x14ac:dyDescent="0.3">
      <c r="A3018" s="24">
        <v>3017</v>
      </c>
      <c r="B3018" s="10" t="s">
        <v>123</v>
      </c>
      <c r="C3018" s="10" t="s">
        <v>125</v>
      </c>
      <c r="D3018" s="62">
        <v>215</v>
      </c>
      <c r="E3018" s="61" t="s">
        <v>2691</v>
      </c>
      <c r="F3018" s="16" t="s">
        <v>757</v>
      </c>
      <c r="G3018" s="10" t="s">
        <v>150</v>
      </c>
      <c r="H3018" s="173" t="s">
        <v>849</v>
      </c>
      <c r="I3018" s="177">
        <v>68</v>
      </c>
      <c r="J3018" s="10" t="s">
        <v>2372</v>
      </c>
      <c r="K3018" s="173" t="s">
        <v>3551</v>
      </c>
      <c r="L3018" s="173" t="s">
        <v>3552</v>
      </c>
      <c r="M3018" s="10" t="s">
        <v>2372</v>
      </c>
      <c r="N3018" s="10" t="s">
        <v>2373</v>
      </c>
      <c r="O3018" s="10"/>
    </row>
    <row r="3019" spans="1:15" ht="18" customHeight="1" x14ac:dyDescent="0.3">
      <c r="A3019" s="24">
        <v>3018</v>
      </c>
      <c r="B3019" s="10" t="s">
        <v>123</v>
      </c>
      <c r="C3019" s="10" t="s">
        <v>125</v>
      </c>
      <c r="D3019" s="62">
        <v>215</v>
      </c>
      <c r="E3019" s="61" t="s">
        <v>2691</v>
      </c>
      <c r="F3019" s="16" t="s">
        <v>757</v>
      </c>
      <c r="G3019" s="10" t="s">
        <v>150</v>
      </c>
      <c r="H3019" s="10" t="s">
        <v>850</v>
      </c>
      <c r="I3019" s="62">
        <v>95</v>
      </c>
      <c r="J3019" s="10" t="s">
        <v>2372</v>
      </c>
      <c r="K3019" s="10" t="s">
        <v>847</v>
      </c>
      <c r="L3019" s="10" t="s">
        <v>2373</v>
      </c>
      <c r="M3019" s="10" t="s">
        <v>2372</v>
      </c>
      <c r="N3019" s="10" t="s">
        <v>2373</v>
      </c>
      <c r="O3019" s="10"/>
    </row>
    <row r="3020" spans="1:15" ht="18" customHeight="1" x14ac:dyDescent="0.3">
      <c r="A3020" s="24">
        <v>3019</v>
      </c>
      <c r="B3020" s="10" t="s">
        <v>123</v>
      </c>
      <c r="C3020" s="10" t="s">
        <v>125</v>
      </c>
      <c r="D3020" s="62">
        <v>215</v>
      </c>
      <c r="E3020" s="61" t="s">
        <v>2691</v>
      </c>
      <c r="F3020" s="16" t="s">
        <v>757</v>
      </c>
      <c r="G3020" s="10" t="s">
        <v>150</v>
      </c>
      <c r="H3020" s="10" t="s">
        <v>851</v>
      </c>
      <c r="I3020" s="62">
        <v>98</v>
      </c>
      <c r="J3020" s="10" t="s">
        <v>2372</v>
      </c>
      <c r="K3020" s="10" t="s">
        <v>847</v>
      </c>
      <c r="L3020" s="10" t="s">
        <v>2373</v>
      </c>
      <c r="M3020" s="10" t="s">
        <v>2372</v>
      </c>
      <c r="N3020" s="10" t="s">
        <v>2373</v>
      </c>
      <c r="O3020" s="10"/>
    </row>
    <row r="3021" spans="1:15" ht="18" customHeight="1" x14ac:dyDescent="0.3">
      <c r="A3021" s="24">
        <v>3020</v>
      </c>
      <c r="B3021" s="10" t="s">
        <v>123</v>
      </c>
      <c r="C3021" s="10" t="s">
        <v>125</v>
      </c>
      <c r="D3021" s="62">
        <v>215</v>
      </c>
      <c r="E3021" s="61" t="s">
        <v>2691</v>
      </c>
      <c r="F3021" s="16" t="s">
        <v>757</v>
      </c>
      <c r="G3021" s="10" t="s">
        <v>150</v>
      </c>
      <c r="H3021" s="10" t="s">
        <v>852</v>
      </c>
      <c r="I3021" s="62">
        <v>98</v>
      </c>
      <c r="J3021" s="10" t="s">
        <v>2374</v>
      </c>
      <c r="K3021" s="10" t="s">
        <v>847</v>
      </c>
      <c r="L3021" s="10" t="s">
        <v>2373</v>
      </c>
      <c r="M3021" s="10" t="s">
        <v>2372</v>
      </c>
      <c r="N3021" s="10" t="s">
        <v>2373</v>
      </c>
      <c r="O3021" s="10"/>
    </row>
    <row r="3022" spans="1:15" ht="18" customHeight="1" x14ac:dyDescent="0.3">
      <c r="A3022" s="24">
        <v>3021</v>
      </c>
      <c r="B3022" s="10" t="s">
        <v>2212</v>
      </c>
      <c r="C3022" s="8" t="s">
        <v>2213</v>
      </c>
      <c r="D3022" s="8">
        <v>215</v>
      </c>
      <c r="E3022" s="16" t="s">
        <v>2214</v>
      </c>
      <c r="F3022" s="16" t="s">
        <v>2215</v>
      </c>
      <c r="G3022" s="10" t="s">
        <v>160</v>
      </c>
      <c r="H3022" s="10" t="s">
        <v>872</v>
      </c>
      <c r="I3022" s="62">
        <v>183</v>
      </c>
      <c r="J3022" s="10" t="s">
        <v>2372</v>
      </c>
      <c r="K3022" s="10" t="s">
        <v>847</v>
      </c>
      <c r="L3022" s="10" t="s">
        <v>2373</v>
      </c>
      <c r="M3022" s="10" t="s">
        <v>2372</v>
      </c>
      <c r="N3022" s="10"/>
      <c r="O3022" s="10"/>
    </row>
    <row r="3023" spans="1:15" ht="18" customHeight="1" x14ac:dyDescent="0.3">
      <c r="A3023" s="24">
        <v>3022</v>
      </c>
      <c r="B3023" s="10" t="s">
        <v>2212</v>
      </c>
      <c r="C3023" s="8" t="s">
        <v>2213</v>
      </c>
      <c r="D3023" s="8">
        <v>215</v>
      </c>
      <c r="E3023" s="16" t="s">
        <v>2214</v>
      </c>
      <c r="F3023" s="16" t="s">
        <v>2215</v>
      </c>
      <c r="G3023" s="10" t="s">
        <v>160</v>
      </c>
      <c r="H3023" s="10" t="s">
        <v>2548</v>
      </c>
      <c r="I3023" s="62">
        <v>50</v>
      </c>
      <c r="J3023" s="10" t="s">
        <v>2372</v>
      </c>
      <c r="K3023" s="10" t="s">
        <v>2374</v>
      </c>
      <c r="L3023" s="10" t="s">
        <v>1422</v>
      </c>
      <c r="M3023" s="10" t="s">
        <v>2372</v>
      </c>
      <c r="N3023" s="10"/>
      <c r="O3023" s="10"/>
    </row>
    <row r="3024" spans="1:15" ht="18" customHeight="1" x14ac:dyDescent="0.3">
      <c r="A3024" s="24">
        <v>3023</v>
      </c>
      <c r="B3024" s="10" t="s">
        <v>2212</v>
      </c>
      <c r="C3024" s="8" t="s">
        <v>2213</v>
      </c>
      <c r="D3024" s="8">
        <v>215</v>
      </c>
      <c r="E3024" s="16" t="s">
        <v>2214</v>
      </c>
      <c r="F3024" s="16" t="s">
        <v>2215</v>
      </c>
      <c r="G3024" s="10" t="s">
        <v>160</v>
      </c>
      <c r="H3024" s="10" t="s">
        <v>2681</v>
      </c>
      <c r="I3024" s="62">
        <v>126</v>
      </c>
      <c r="J3024" s="10" t="s">
        <v>2372</v>
      </c>
      <c r="K3024" s="10" t="s">
        <v>847</v>
      </c>
      <c r="L3024" s="10" t="s">
        <v>2373</v>
      </c>
      <c r="M3024" s="10" t="s">
        <v>2372</v>
      </c>
      <c r="N3024" s="10"/>
      <c r="O3024" s="10"/>
    </row>
    <row r="3025" spans="1:15" ht="18" customHeight="1" x14ac:dyDescent="0.3">
      <c r="A3025" s="24">
        <v>3024</v>
      </c>
      <c r="B3025" s="10" t="s">
        <v>123</v>
      </c>
      <c r="C3025" s="10" t="s">
        <v>125</v>
      </c>
      <c r="D3025" s="62">
        <v>215</v>
      </c>
      <c r="E3025" s="61" t="s">
        <v>2218</v>
      </c>
      <c r="F3025" s="44" t="s">
        <v>2219</v>
      </c>
      <c r="G3025" s="24" t="s">
        <v>1278</v>
      </c>
      <c r="H3025" s="10" t="s">
        <v>2385</v>
      </c>
      <c r="I3025" s="62">
        <v>218</v>
      </c>
      <c r="J3025" s="8" t="s">
        <v>2374</v>
      </c>
      <c r="K3025" s="10" t="s">
        <v>847</v>
      </c>
      <c r="L3025" s="10" t="s">
        <v>2373</v>
      </c>
      <c r="M3025" s="10" t="s">
        <v>2372</v>
      </c>
      <c r="N3025" s="10" t="s">
        <v>2373</v>
      </c>
      <c r="O3025" s="10"/>
    </row>
    <row r="3026" spans="1:15" ht="18" customHeight="1" x14ac:dyDescent="0.3">
      <c r="A3026" s="24">
        <v>3025</v>
      </c>
      <c r="B3026" s="10" t="s">
        <v>123</v>
      </c>
      <c r="C3026" s="10" t="s">
        <v>125</v>
      </c>
      <c r="D3026" s="62">
        <v>215</v>
      </c>
      <c r="E3026" s="61" t="s">
        <v>2218</v>
      </c>
      <c r="F3026" s="44" t="s">
        <v>2219</v>
      </c>
      <c r="G3026" s="24" t="s">
        <v>1278</v>
      </c>
      <c r="H3026" s="10" t="s">
        <v>2378</v>
      </c>
      <c r="I3026" s="62">
        <v>103</v>
      </c>
      <c r="J3026" s="8" t="s">
        <v>2372</v>
      </c>
      <c r="K3026" s="10" t="s">
        <v>2374</v>
      </c>
      <c r="L3026" s="10" t="s">
        <v>2229</v>
      </c>
      <c r="M3026" s="10" t="s">
        <v>2372</v>
      </c>
      <c r="N3026" s="10" t="s">
        <v>2373</v>
      </c>
      <c r="O3026" s="10"/>
    </row>
    <row r="3027" spans="1:15" ht="18" customHeight="1" x14ac:dyDescent="0.3">
      <c r="A3027" s="24">
        <v>3026</v>
      </c>
      <c r="B3027" s="10" t="s">
        <v>123</v>
      </c>
      <c r="C3027" s="10" t="s">
        <v>125</v>
      </c>
      <c r="D3027" s="62">
        <v>215</v>
      </c>
      <c r="E3027" s="61" t="s">
        <v>2218</v>
      </c>
      <c r="F3027" s="44" t="s">
        <v>2219</v>
      </c>
      <c r="G3027" s="24" t="s">
        <v>1278</v>
      </c>
      <c r="H3027" s="10" t="s">
        <v>2379</v>
      </c>
      <c r="I3027" s="62">
        <v>103</v>
      </c>
      <c r="J3027" s="8" t="s">
        <v>2372</v>
      </c>
      <c r="K3027" s="10" t="s">
        <v>2374</v>
      </c>
      <c r="L3027" s="10" t="s">
        <v>2229</v>
      </c>
      <c r="M3027" s="10" t="s">
        <v>2372</v>
      </c>
      <c r="N3027" s="10" t="s">
        <v>2373</v>
      </c>
      <c r="O3027" s="10"/>
    </row>
    <row r="3028" spans="1:15" ht="18" customHeight="1" x14ac:dyDescent="0.3">
      <c r="A3028" s="24">
        <v>3027</v>
      </c>
      <c r="B3028" s="10" t="s">
        <v>123</v>
      </c>
      <c r="C3028" s="10" t="s">
        <v>125</v>
      </c>
      <c r="D3028" s="62">
        <v>215</v>
      </c>
      <c r="E3028" s="61" t="s">
        <v>2218</v>
      </c>
      <c r="F3028" s="44" t="s">
        <v>2219</v>
      </c>
      <c r="G3028" s="24" t="s">
        <v>1278</v>
      </c>
      <c r="H3028" s="10" t="s">
        <v>2380</v>
      </c>
      <c r="I3028" s="62">
        <v>218</v>
      </c>
      <c r="J3028" s="8" t="s">
        <v>2372</v>
      </c>
      <c r="K3028" s="10" t="s">
        <v>847</v>
      </c>
      <c r="L3028" s="10" t="s">
        <v>2373</v>
      </c>
      <c r="M3028" s="10" t="s">
        <v>2372</v>
      </c>
      <c r="N3028" s="10" t="s">
        <v>2373</v>
      </c>
      <c r="O3028" s="10"/>
    </row>
    <row r="3029" spans="1:15" ht="18" customHeight="1" x14ac:dyDescent="0.3">
      <c r="A3029" s="24">
        <v>3028</v>
      </c>
      <c r="B3029" s="10" t="s">
        <v>123</v>
      </c>
      <c r="C3029" s="10" t="s">
        <v>125</v>
      </c>
      <c r="D3029" s="62">
        <v>215</v>
      </c>
      <c r="E3029" s="61" t="s">
        <v>2218</v>
      </c>
      <c r="F3029" s="44" t="s">
        <v>2219</v>
      </c>
      <c r="G3029" s="24" t="s">
        <v>1278</v>
      </c>
      <c r="H3029" s="10" t="s">
        <v>2390</v>
      </c>
      <c r="I3029" s="62">
        <v>103</v>
      </c>
      <c r="J3029" s="8" t="s">
        <v>2372</v>
      </c>
      <c r="K3029" s="10" t="s">
        <v>2374</v>
      </c>
      <c r="L3029" s="10" t="s">
        <v>2229</v>
      </c>
      <c r="M3029" s="10" t="s">
        <v>2372</v>
      </c>
      <c r="N3029" s="10" t="s">
        <v>2373</v>
      </c>
      <c r="O3029" s="10"/>
    </row>
    <row r="3030" spans="1:15" ht="18" customHeight="1" x14ac:dyDescent="0.3">
      <c r="A3030" s="24">
        <v>3029</v>
      </c>
      <c r="B3030" s="10" t="s">
        <v>123</v>
      </c>
      <c r="C3030" s="10" t="s">
        <v>125</v>
      </c>
      <c r="D3030" s="62">
        <v>215</v>
      </c>
      <c r="E3030" s="61" t="s">
        <v>2218</v>
      </c>
      <c r="F3030" s="44" t="s">
        <v>2219</v>
      </c>
      <c r="G3030" s="24" t="s">
        <v>1278</v>
      </c>
      <c r="H3030" s="10" t="s">
        <v>2382</v>
      </c>
      <c r="I3030" s="62">
        <v>103</v>
      </c>
      <c r="J3030" s="8" t="s">
        <v>2372</v>
      </c>
      <c r="K3030" s="10" t="s">
        <v>2374</v>
      </c>
      <c r="L3030" s="10" t="s">
        <v>2229</v>
      </c>
      <c r="M3030" s="10" t="s">
        <v>2372</v>
      </c>
      <c r="N3030" s="10" t="s">
        <v>2373</v>
      </c>
      <c r="O3030" s="10"/>
    </row>
    <row r="3031" spans="1:15" ht="18" customHeight="1" x14ac:dyDescent="0.3">
      <c r="A3031" s="24">
        <v>3030</v>
      </c>
      <c r="B3031" s="10" t="s">
        <v>123</v>
      </c>
      <c r="C3031" s="10" t="s">
        <v>126</v>
      </c>
      <c r="D3031" s="62">
        <v>216</v>
      </c>
      <c r="E3031" s="61" t="s">
        <v>866</v>
      </c>
      <c r="F3031" s="16" t="s">
        <v>768</v>
      </c>
      <c r="G3031" s="10" t="s">
        <v>160</v>
      </c>
      <c r="H3031" s="10" t="s">
        <v>845</v>
      </c>
      <c r="I3031" s="62">
        <v>196</v>
      </c>
      <c r="J3031" s="10" t="s">
        <v>2374</v>
      </c>
      <c r="K3031" s="10" t="s">
        <v>847</v>
      </c>
      <c r="L3031" s="10" t="s">
        <v>2373</v>
      </c>
      <c r="M3031" s="10" t="s">
        <v>2372</v>
      </c>
      <c r="N3031" s="10" t="s">
        <v>2373</v>
      </c>
      <c r="O3031" s="10"/>
    </row>
    <row r="3032" spans="1:15" ht="18" customHeight="1" x14ac:dyDescent="0.3">
      <c r="A3032" s="24">
        <v>3031</v>
      </c>
      <c r="B3032" s="10" t="s">
        <v>123</v>
      </c>
      <c r="C3032" s="10" t="s">
        <v>126</v>
      </c>
      <c r="D3032" s="62">
        <v>216</v>
      </c>
      <c r="E3032" s="61" t="s">
        <v>866</v>
      </c>
      <c r="F3032" s="16" t="s">
        <v>768</v>
      </c>
      <c r="G3032" s="10" t="s">
        <v>160</v>
      </c>
      <c r="H3032" s="10" t="s">
        <v>848</v>
      </c>
      <c r="I3032" s="62">
        <v>112</v>
      </c>
      <c r="J3032" s="10" t="s">
        <v>2374</v>
      </c>
      <c r="K3032" s="10" t="s">
        <v>847</v>
      </c>
      <c r="L3032" s="10" t="s">
        <v>2373</v>
      </c>
      <c r="M3032" s="10" t="s">
        <v>2372</v>
      </c>
      <c r="N3032" s="10" t="s">
        <v>2373</v>
      </c>
      <c r="O3032" s="10"/>
    </row>
    <row r="3033" spans="1:15" ht="18" customHeight="1" x14ac:dyDescent="0.3">
      <c r="A3033" s="24">
        <v>3032</v>
      </c>
      <c r="B3033" s="10" t="s">
        <v>123</v>
      </c>
      <c r="C3033" s="10" t="s">
        <v>126</v>
      </c>
      <c r="D3033" s="62">
        <v>216</v>
      </c>
      <c r="E3033" s="61" t="s">
        <v>866</v>
      </c>
      <c r="F3033" s="16" t="s">
        <v>768</v>
      </c>
      <c r="G3033" s="10" t="s">
        <v>160</v>
      </c>
      <c r="H3033" s="10" t="s">
        <v>849</v>
      </c>
      <c r="I3033" s="62">
        <v>196</v>
      </c>
      <c r="J3033" s="10" t="s">
        <v>2374</v>
      </c>
      <c r="K3033" s="10" t="s">
        <v>847</v>
      </c>
      <c r="L3033" s="10" t="s">
        <v>2373</v>
      </c>
      <c r="M3033" s="10" t="s">
        <v>2372</v>
      </c>
      <c r="N3033" s="10" t="s">
        <v>2373</v>
      </c>
      <c r="O3033" s="10"/>
    </row>
    <row r="3034" spans="1:15" ht="18" customHeight="1" x14ac:dyDescent="0.3">
      <c r="A3034" s="24">
        <v>3033</v>
      </c>
      <c r="B3034" s="10" t="s">
        <v>123</v>
      </c>
      <c r="C3034" s="10" t="s">
        <v>126</v>
      </c>
      <c r="D3034" s="62">
        <v>216</v>
      </c>
      <c r="E3034" s="61" t="s">
        <v>866</v>
      </c>
      <c r="F3034" s="16" t="s">
        <v>768</v>
      </c>
      <c r="G3034" s="10" t="s">
        <v>160</v>
      </c>
      <c r="H3034" s="10" t="s">
        <v>850</v>
      </c>
      <c r="I3034" s="62">
        <v>138</v>
      </c>
      <c r="J3034" s="10" t="s">
        <v>2372</v>
      </c>
      <c r="K3034" s="10" t="s">
        <v>847</v>
      </c>
      <c r="L3034" s="10" t="s">
        <v>2373</v>
      </c>
      <c r="M3034" s="10" t="s">
        <v>2372</v>
      </c>
      <c r="N3034" s="10" t="s">
        <v>2373</v>
      </c>
      <c r="O3034" s="10"/>
    </row>
    <row r="3035" spans="1:15" ht="18" customHeight="1" x14ac:dyDescent="0.3">
      <c r="A3035" s="24">
        <v>3034</v>
      </c>
      <c r="B3035" s="10" t="s">
        <v>123</v>
      </c>
      <c r="C3035" s="10" t="s">
        <v>126</v>
      </c>
      <c r="D3035" s="62">
        <v>216</v>
      </c>
      <c r="E3035" s="61" t="s">
        <v>2950</v>
      </c>
      <c r="F3035" s="11" t="s">
        <v>766</v>
      </c>
      <c r="G3035" s="10" t="s">
        <v>160</v>
      </c>
      <c r="H3035" s="10" t="s">
        <v>845</v>
      </c>
      <c r="I3035" s="62">
        <v>186</v>
      </c>
      <c r="J3035" s="10" t="s">
        <v>2374</v>
      </c>
      <c r="K3035" s="10" t="s">
        <v>847</v>
      </c>
      <c r="L3035" s="10" t="s">
        <v>2373</v>
      </c>
      <c r="M3035" s="10" t="s">
        <v>2372</v>
      </c>
      <c r="N3035" s="10" t="s">
        <v>2373</v>
      </c>
      <c r="O3035" s="10"/>
    </row>
    <row r="3036" spans="1:15" ht="18" customHeight="1" x14ac:dyDescent="0.3">
      <c r="A3036" s="24">
        <v>3035</v>
      </c>
      <c r="B3036" s="10" t="s">
        <v>123</v>
      </c>
      <c r="C3036" s="10" t="s">
        <v>126</v>
      </c>
      <c r="D3036" s="62">
        <v>216</v>
      </c>
      <c r="E3036" s="61" t="s">
        <v>2950</v>
      </c>
      <c r="F3036" s="11" t="s">
        <v>766</v>
      </c>
      <c r="G3036" s="10" t="s">
        <v>160</v>
      </c>
      <c r="H3036" s="10" t="s">
        <v>848</v>
      </c>
      <c r="I3036" s="62">
        <v>218</v>
      </c>
      <c r="J3036" s="10" t="s">
        <v>2372</v>
      </c>
      <c r="K3036" s="10" t="s">
        <v>847</v>
      </c>
      <c r="L3036" s="10" t="s">
        <v>2373</v>
      </c>
      <c r="M3036" s="10" t="s">
        <v>2372</v>
      </c>
      <c r="N3036" s="10" t="s">
        <v>2373</v>
      </c>
      <c r="O3036" s="10"/>
    </row>
    <row r="3037" spans="1:15" ht="18" customHeight="1" x14ac:dyDescent="0.3">
      <c r="A3037" s="24">
        <v>3036</v>
      </c>
      <c r="B3037" s="10" t="s">
        <v>123</v>
      </c>
      <c r="C3037" s="10" t="s">
        <v>126</v>
      </c>
      <c r="D3037" s="62">
        <v>216</v>
      </c>
      <c r="E3037" s="61" t="s">
        <v>2950</v>
      </c>
      <c r="F3037" s="11" t="s">
        <v>766</v>
      </c>
      <c r="G3037" s="10" t="s">
        <v>160</v>
      </c>
      <c r="H3037" s="10" t="s">
        <v>849</v>
      </c>
      <c r="I3037" s="62">
        <v>169</v>
      </c>
      <c r="J3037" s="10" t="s">
        <v>2372</v>
      </c>
      <c r="K3037" s="10" t="s">
        <v>847</v>
      </c>
      <c r="L3037" s="10" t="s">
        <v>2373</v>
      </c>
      <c r="M3037" s="10" t="s">
        <v>2372</v>
      </c>
      <c r="N3037" s="10" t="s">
        <v>2373</v>
      </c>
      <c r="O3037" s="10"/>
    </row>
    <row r="3038" spans="1:15" ht="18" customHeight="1" x14ac:dyDescent="0.3">
      <c r="A3038" s="24">
        <v>3037</v>
      </c>
      <c r="B3038" s="10" t="s">
        <v>123</v>
      </c>
      <c r="C3038" s="10" t="s">
        <v>126</v>
      </c>
      <c r="D3038" s="62">
        <v>216</v>
      </c>
      <c r="E3038" s="61" t="s">
        <v>2950</v>
      </c>
      <c r="F3038" s="11" t="s">
        <v>766</v>
      </c>
      <c r="G3038" s="10" t="s">
        <v>160</v>
      </c>
      <c r="H3038" s="10" t="s">
        <v>850</v>
      </c>
      <c r="I3038" s="62">
        <v>156</v>
      </c>
      <c r="J3038" s="10" t="s">
        <v>2372</v>
      </c>
      <c r="K3038" s="10" t="s">
        <v>847</v>
      </c>
      <c r="L3038" s="10" t="s">
        <v>2373</v>
      </c>
      <c r="M3038" s="10" t="s">
        <v>2372</v>
      </c>
      <c r="N3038" s="10" t="s">
        <v>2373</v>
      </c>
      <c r="O3038" s="10"/>
    </row>
    <row r="3039" spans="1:15" ht="18" customHeight="1" x14ac:dyDescent="0.3">
      <c r="A3039" s="24">
        <v>3038</v>
      </c>
      <c r="B3039" s="10" t="s">
        <v>123</v>
      </c>
      <c r="C3039" s="10" t="s">
        <v>126</v>
      </c>
      <c r="D3039" s="62">
        <v>216</v>
      </c>
      <c r="E3039" s="61" t="s">
        <v>2950</v>
      </c>
      <c r="F3039" s="11" t="s">
        <v>766</v>
      </c>
      <c r="G3039" s="10" t="s">
        <v>160</v>
      </c>
      <c r="H3039" s="10" t="s">
        <v>851</v>
      </c>
      <c r="I3039" s="62">
        <v>87</v>
      </c>
      <c r="J3039" s="10" t="s">
        <v>2372</v>
      </c>
      <c r="K3039" s="10" t="s">
        <v>847</v>
      </c>
      <c r="L3039" s="10" t="s">
        <v>2373</v>
      </c>
      <c r="M3039" s="10" t="s">
        <v>2372</v>
      </c>
      <c r="N3039" s="10" t="s">
        <v>2373</v>
      </c>
      <c r="O3039" s="10"/>
    </row>
    <row r="3040" spans="1:15" ht="18" customHeight="1" x14ac:dyDescent="0.3">
      <c r="A3040" s="24">
        <v>3039</v>
      </c>
      <c r="B3040" s="10" t="s">
        <v>123</v>
      </c>
      <c r="C3040" s="10" t="s">
        <v>127</v>
      </c>
      <c r="D3040" s="62">
        <v>217</v>
      </c>
      <c r="E3040" s="61" t="s">
        <v>2951</v>
      </c>
      <c r="F3040" s="16" t="s">
        <v>1024</v>
      </c>
      <c r="G3040" s="10" t="s">
        <v>160</v>
      </c>
      <c r="H3040" s="10" t="s">
        <v>849</v>
      </c>
      <c r="I3040" s="62">
        <v>66</v>
      </c>
      <c r="J3040" s="10" t="s">
        <v>2374</v>
      </c>
      <c r="K3040" s="10" t="s">
        <v>847</v>
      </c>
      <c r="L3040" s="10" t="s">
        <v>2373</v>
      </c>
      <c r="M3040" s="10" t="s">
        <v>2372</v>
      </c>
      <c r="N3040" s="10" t="s">
        <v>2373</v>
      </c>
      <c r="O3040" s="10"/>
    </row>
    <row r="3041" spans="1:15" ht="18" customHeight="1" x14ac:dyDescent="0.3">
      <c r="A3041" s="24">
        <v>3040</v>
      </c>
      <c r="B3041" s="10" t="s">
        <v>123</v>
      </c>
      <c r="C3041" s="10" t="s">
        <v>127</v>
      </c>
      <c r="D3041" s="62">
        <v>217</v>
      </c>
      <c r="E3041" s="61" t="s">
        <v>2951</v>
      </c>
      <c r="F3041" s="16" t="s">
        <v>1024</v>
      </c>
      <c r="G3041" s="10" t="s">
        <v>160</v>
      </c>
      <c r="H3041" s="10" t="s">
        <v>850</v>
      </c>
      <c r="I3041" s="62">
        <v>66</v>
      </c>
      <c r="J3041" s="10" t="s">
        <v>2372</v>
      </c>
      <c r="K3041" s="10" t="s">
        <v>847</v>
      </c>
      <c r="L3041" s="10" t="s">
        <v>2373</v>
      </c>
      <c r="M3041" s="10" t="s">
        <v>2372</v>
      </c>
      <c r="N3041" s="10" t="s">
        <v>2373</v>
      </c>
      <c r="O3041" s="10"/>
    </row>
    <row r="3042" spans="1:15" ht="18" customHeight="1" x14ac:dyDescent="0.3">
      <c r="A3042" s="24">
        <v>3041</v>
      </c>
      <c r="B3042" s="10" t="s">
        <v>123</v>
      </c>
      <c r="C3042" s="10" t="s">
        <v>127</v>
      </c>
      <c r="D3042" s="62">
        <v>217</v>
      </c>
      <c r="E3042" s="61" t="s">
        <v>2951</v>
      </c>
      <c r="F3042" s="16" t="s">
        <v>1024</v>
      </c>
      <c r="G3042" s="10" t="s">
        <v>160</v>
      </c>
      <c r="H3042" s="10" t="s">
        <v>851</v>
      </c>
      <c r="I3042" s="62">
        <v>210</v>
      </c>
      <c r="J3042" s="10" t="s">
        <v>2374</v>
      </c>
      <c r="K3042" s="10" t="s">
        <v>847</v>
      </c>
      <c r="L3042" s="10" t="s">
        <v>2373</v>
      </c>
      <c r="M3042" s="10" t="s">
        <v>2372</v>
      </c>
      <c r="N3042" s="10" t="s">
        <v>2373</v>
      </c>
      <c r="O3042" s="10"/>
    </row>
    <row r="3043" spans="1:15" ht="18" customHeight="1" x14ac:dyDescent="0.3">
      <c r="A3043" s="24">
        <v>3042</v>
      </c>
      <c r="B3043" s="10" t="s">
        <v>123</v>
      </c>
      <c r="C3043" s="10" t="s">
        <v>127</v>
      </c>
      <c r="D3043" s="62">
        <v>217</v>
      </c>
      <c r="E3043" s="61" t="s">
        <v>2951</v>
      </c>
      <c r="F3043" s="16" t="s">
        <v>1024</v>
      </c>
      <c r="G3043" s="10" t="s">
        <v>160</v>
      </c>
      <c r="H3043" s="10" t="s">
        <v>852</v>
      </c>
      <c r="I3043" s="62">
        <v>200</v>
      </c>
      <c r="J3043" s="10" t="s">
        <v>2372</v>
      </c>
      <c r="K3043" s="10" t="s">
        <v>847</v>
      </c>
      <c r="L3043" s="10" t="s">
        <v>2373</v>
      </c>
      <c r="M3043" s="10" t="s">
        <v>2372</v>
      </c>
      <c r="N3043" s="10" t="s">
        <v>2373</v>
      </c>
      <c r="O3043" s="10"/>
    </row>
    <row r="3044" spans="1:15" ht="18" customHeight="1" x14ac:dyDescent="0.3">
      <c r="A3044" s="24">
        <v>3043</v>
      </c>
      <c r="B3044" s="10" t="s">
        <v>123</v>
      </c>
      <c r="C3044" s="10" t="s">
        <v>127</v>
      </c>
      <c r="D3044" s="62">
        <v>217</v>
      </c>
      <c r="E3044" s="61" t="s">
        <v>2951</v>
      </c>
      <c r="F3044" s="16" t="s">
        <v>774</v>
      </c>
      <c r="G3044" s="10" t="s">
        <v>160</v>
      </c>
      <c r="H3044" s="10" t="s">
        <v>845</v>
      </c>
      <c r="I3044" s="62">
        <v>66</v>
      </c>
      <c r="J3044" s="10" t="s">
        <v>2372</v>
      </c>
      <c r="K3044" s="10" t="s">
        <v>847</v>
      </c>
      <c r="L3044" s="10" t="s">
        <v>2373</v>
      </c>
      <c r="M3044" s="10" t="s">
        <v>2372</v>
      </c>
      <c r="N3044" s="10" t="s">
        <v>2373</v>
      </c>
      <c r="O3044" s="10"/>
    </row>
    <row r="3045" spans="1:15" ht="18" customHeight="1" x14ac:dyDescent="0.3">
      <c r="A3045" s="24">
        <v>3044</v>
      </c>
      <c r="B3045" s="10" t="s">
        <v>123</v>
      </c>
      <c r="C3045" s="10" t="s">
        <v>127</v>
      </c>
      <c r="D3045" s="62">
        <v>217</v>
      </c>
      <c r="E3045" s="61" t="s">
        <v>2951</v>
      </c>
      <c r="F3045" s="16" t="s">
        <v>774</v>
      </c>
      <c r="G3045" s="10" t="s">
        <v>160</v>
      </c>
      <c r="H3045" s="10" t="s">
        <v>848</v>
      </c>
      <c r="I3045" s="62">
        <v>66</v>
      </c>
      <c r="J3045" s="10" t="s">
        <v>2372</v>
      </c>
      <c r="K3045" s="10" t="s">
        <v>847</v>
      </c>
      <c r="L3045" s="10" t="s">
        <v>2373</v>
      </c>
      <c r="M3045" s="10" t="s">
        <v>2372</v>
      </c>
      <c r="N3045" s="10" t="s">
        <v>2373</v>
      </c>
      <c r="O3045" s="10"/>
    </row>
    <row r="3046" spans="1:15" ht="18" customHeight="1" x14ac:dyDescent="0.3">
      <c r="A3046" s="24">
        <v>3045</v>
      </c>
      <c r="B3046" s="10" t="s">
        <v>123</v>
      </c>
      <c r="C3046" s="10" t="s">
        <v>127</v>
      </c>
      <c r="D3046" s="62">
        <v>217</v>
      </c>
      <c r="E3046" s="61" t="s">
        <v>2692</v>
      </c>
      <c r="F3046" s="11" t="s">
        <v>2223</v>
      </c>
      <c r="G3046" s="10" t="s">
        <v>160</v>
      </c>
      <c r="H3046" s="10" t="s">
        <v>845</v>
      </c>
      <c r="I3046" s="62">
        <v>113</v>
      </c>
      <c r="J3046" s="8" t="s">
        <v>2374</v>
      </c>
      <c r="K3046" s="173" t="s">
        <v>860</v>
      </c>
      <c r="L3046" s="173" t="s">
        <v>2229</v>
      </c>
      <c r="M3046" s="10" t="s">
        <v>2372</v>
      </c>
      <c r="N3046" s="10" t="s">
        <v>2373</v>
      </c>
      <c r="O3046" s="10"/>
    </row>
    <row r="3047" spans="1:15" ht="18" customHeight="1" x14ac:dyDescent="0.3">
      <c r="A3047" s="24">
        <v>3046</v>
      </c>
      <c r="B3047" s="10" t="s">
        <v>123</v>
      </c>
      <c r="C3047" s="10" t="s">
        <v>127</v>
      </c>
      <c r="D3047" s="62">
        <v>217</v>
      </c>
      <c r="E3047" s="61" t="s">
        <v>2692</v>
      </c>
      <c r="F3047" s="11" t="s">
        <v>2223</v>
      </c>
      <c r="G3047" s="10" t="s">
        <v>160</v>
      </c>
      <c r="H3047" s="10" t="s">
        <v>848</v>
      </c>
      <c r="I3047" s="62">
        <v>70</v>
      </c>
      <c r="J3047" s="8" t="s">
        <v>2372</v>
      </c>
      <c r="K3047" s="173" t="s">
        <v>860</v>
      </c>
      <c r="L3047" s="173" t="s">
        <v>2229</v>
      </c>
      <c r="M3047" s="10" t="s">
        <v>2372</v>
      </c>
      <c r="N3047" s="10" t="s">
        <v>2373</v>
      </c>
      <c r="O3047" s="10"/>
    </row>
    <row r="3048" spans="1:15" ht="18" customHeight="1" x14ac:dyDescent="0.3">
      <c r="A3048" s="24">
        <v>3047</v>
      </c>
      <c r="B3048" s="10" t="s">
        <v>123</v>
      </c>
      <c r="C3048" s="10" t="s">
        <v>127</v>
      </c>
      <c r="D3048" s="62">
        <v>217</v>
      </c>
      <c r="E3048" s="61" t="s">
        <v>2692</v>
      </c>
      <c r="F3048" s="11" t="s">
        <v>1025</v>
      </c>
      <c r="G3048" s="10" t="s">
        <v>160</v>
      </c>
      <c r="H3048" s="10" t="s">
        <v>849</v>
      </c>
      <c r="I3048" s="62">
        <v>56</v>
      </c>
      <c r="J3048" s="8" t="s">
        <v>2372</v>
      </c>
      <c r="K3048" s="173" t="s">
        <v>860</v>
      </c>
      <c r="L3048" s="173" t="s">
        <v>2229</v>
      </c>
      <c r="M3048" s="10" t="s">
        <v>2372</v>
      </c>
      <c r="N3048" s="10" t="s">
        <v>2373</v>
      </c>
      <c r="O3048" s="10"/>
    </row>
    <row r="3049" spans="1:15" ht="18" customHeight="1" x14ac:dyDescent="0.3">
      <c r="A3049" s="24">
        <v>3048</v>
      </c>
      <c r="B3049" s="10" t="s">
        <v>123</v>
      </c>
      <c r="C3049" s="10" t="s">
        <v>127</v>
      </c>
      <c r="D3049" s="62">
        <v>217</v>
      </c>
      <c r="E3049" s="61" t="s">
        <v>2692</v>
      </c>
      <c r="F3049" s="11" t="s">
        <v>1025</v>
      </c>
      <c r="G3049" s="10" t="s">
        <v>160</v>
      </c>
      <c r="H3049" s="10" t="s">
        <v>850</v>
      </c>
      <c r="I3049" s="62">
        <v>52</v>
      </c>
      <c r="J3049" s="8" t="s">
        <v>2372</v>
      </c>
      <c r="K3049" s="173" t="s">
        <v>860</v>
      </c>
      <c r="L3049" s="173" t="s">
        <v>2229</v>
      </c>
      <c r="M3049" s="10" t="s">
        <v>2372</v>
      </c>
      <c r="N3049" s="10" t="s">
        <v>2373</v>
      </c>
      <c r="O3049" s="10"/>
    </row>
    <row r="3050" spans="1:15" ht="18" customHeight="1" x14ac:dyDescent="0.3">
      <c r="A3050" s="24">
        <v>3049</v>
      </c>
      <c r="B3050" s="10" t="s">
        <v>123</v>
      </c>
      <c r="C3050" s="10" t="s">
        <v>127</v>
      </c>
      <c r="D3050" s="62">
        <v>217</v>
      </c>
      <c r="E3050" s="61" t="s">
        <v>2692</v>
      </c>
      <c r="F3050" s="11" t="s">
        <v>1025</v>
      </c>
      <c r="G3050" s="10" t="s">
        <v>160</v>
      </c>
      <c r="H3050" s="10" t="s">
        <v>851</v>
      </c>
      <c r="I3050" s="62">
        <v>52</v>
      </c>
      <c r="J3050" s="8" t="s">
        <v>2372</v>
      </c>
      <c r="K3050" s="173" t="s">
        <v>860</v>
      </c>
      <c r="L3050" s="173" t="s">
        <v>2229</v>
      </c>
      <c r="M3050" s="10" t="s">
        <v>2372</v>
      </c>
      <c r="N3050" s="10" t="s">
        <v>2373</v>
      </c>
      <c r="O3050" s="10"/>
    </row>
    <row r="3051" spans="1:15" ht="18" customHeight="1" x14ac:dyDescent="0.3">
      <c r="A3051" s="24">
        <v>3050</v>
      </c>
      <c r="B3051" s="10" t="s">
        <v>123</v>
      </c>
      <c r="C3051" s="10" t="s">
        <v>127</v>
      </c>
      <c r="D3051" s="62">
        <v>217</v>
      </c>
      <c r="E3051" s="61" t="s">
        <v>2693</v>
      </c>
      <c r="F3051" s="16" t="s">
        <v>2225</v>
      </c>
      <c r="G3051" s="10" t="s">
        <v>2373</v>
      </c>
      <c r="H3051" s="10" t="s">
        <v>845</v>
      </c>
      <c r="I3051" s="62">
        <v>144</v>
      </c>
      <c r="J3051" s="10" t="s">
        <v>2372</v>
      </c>
      <c r="K3051" s="10" t="s">
        <v>847</v>
      </c>
      <c r="L3051" s="10" t="s">
        <v>2373</v>
      </c>
      <c r="M3051" s="10" t="s">
        <v>2374</v>
      </c>
      <c r="N3051" s="10" t="s">
        <v>1234</v>
      </c>
      <c r="O3051" s="10"/>
    </row>
    <row r="3052" spans="1:15" ht="18" customHeight="1" x14ac:dyDescent="0.3">
      <c r="A3052" s="24">
        <v>3051</v>
      </c>
      <c r="B3052" s="10" t="s">
        <v>123</v>
      </c>
      <c r="C3052" s="10" t="s">
        <v>128</v>
      </c>
      <c r="D3052" s="62">
        <v>218</v>
      </c>
      <c r="E3052" s="61" t="s">
        <v>2694</v>
      </c>
      <c r="F3052" s="19" t="s">
        <v>761</v>
      </c>
      <c r="G3052" s="10" t="s">
        <v>160</v>
      </c>
      <c r="H3052" s="10" t="s">
        <v>845</v>
      </c>
      <c r="I3052" s="62">
        <v>103</v>
      </c>
      <c r="J3052" s="8" t="s">
        <v>2372</v>
      </c>
      <c r="K3052" s="173" t="s">
        <v>860</v>
      </c>
      <c r="L3052" s="173" t="s">
        <v>2229</v>
      </c>
      <c r="M3052" s="10" t="s">
        <v>2372</v>
      </c>
      <c r="N3052" s="10" t="s">
        <v>2373</v>
      </c>
      <c r="O3052" s="10"/>
    </row>
    <row r="3053" spans="1:15" ht="18" customHeight="1" x14ac:dyDescent="0.3">
      <c r="A3053" s="24">
        <v>3052</v>
      </c>
      <c r="B3053" s="10" t="s">
        <v>123</v>
      </c>
      <c r="C3053" s="10" t="s">
        <v>128</v>
      </c>
      <c r="D3053" s="62">
        <v>218</v>
      </c>
      <c r="E3053" s="61" t="s">
        <v>2694</v>
      </c>
      <c r="F3053" s="19" t="s">
        <v>761</v>
      </c>
      <c r="G3053" s="10" t="s">
        <v>160</v>
      </c>
      <c r="H3053" s="10" t="s">
        <v>848</v>
      </c>
      <c r="I3053" s="62">
        <v>89</v>
      </c>
      <c r="J3053" s="8" t="s">
        <v>2372</v>
      </c>
      <c r="K3053" s="173" t="s">
        <v>860</v>
      </c>
      <c r="L3053" s="173" t="s">
        <v>2229</v>
      </c>
      <c r="M3053" s="10" t="s">
        <v>2372</v>
      </c>
      <c r="N3053" s="10" t="s">
        <v>2373</v>
      </c>
      <c r="O3053" s="10"/>
    </row>
    <row r="3054" spans="1:15" ht="18" customHeight="1" x14ac:dyDescent="0.3">
      <c r="A3054" s="24">
        <v>3053</v>
      </c>
      <c r="B3054" s="10" t="s">
        <v>123</v>
      </c>
      <c r="C3054" s="10" t="s">
        <v>128</v>
      </c>
      <c r="D3054" s="62">
        <v>218</v>
      </c>
      <c r="E3054" s="61" t="s">
        <v>2694</v>
      </c>
      <c r="F3054" s="19" t="s">
        <v>761</v>
      </c>
      <c r="G3054" s="10" t="s">
        <v>160</v>
      </c>
      <c r="H3054" s="10" t="s">
        <v>849</v>
      </c>
      <c r="I3054" s="62">
        <v>90</v>
      </c>
      <c r="J3054" s="8" t="s">
        <v>2372</v>
      </c>
      <c r="K3054" s="173" t="s">
        <v>860</v>
      </c>
      <c r="L3054" s="173" t="s">
        <v>2229</v>
      </c>
      <c r="M3054" s="10" t="s">
        <v>2372</v>
      </c>
      <c r="N3054" s="10" t="s">
        <v>2373</v>
      </c>
      <c r="O3054" s="10"/>
    </row>
    <row r="3055" spans="1:15" ht="18" customHeight="1" x14ac:dyDescent="0.3">
      <c r="A3055" s="24">
        <v>3054</v>
      </c>
      <c r="B3055" s="10" t="s">
        <v>123</v>
      </c>
      <c r="C3055" s="10" t="s">
        <v>128</v>
      </c>
      <c r="D3055" s="62">
        <v>218</v>
      </c>
      <c r="E3055" s="61" t="s">
        <v>2694</v>
      </c>
      <c r="F3055" s="19" t="s">
        <v>761</v>
      </c>
      <c r="G3055" s="10" t="s">
        <v>160</v>
      </c>
      <c r="H3055" s="10" t="s">
        <v>850</v>
      </c>
      <c r="I3055" s="62">
        <v>76</v>
      </c>
      <c r="J3055" s="8" t="s">
        <v>2372</v>
      </c>
      <c r="K3055" s="173" t="s">
        <v>860</v>
      </c>
      <c r="L3055" s="173" t="s">
        <v>2229</v>
      </c>
      <c r="M3055" s="10" t="s">
        <v>2372</v>
      </c>
      <c r="N3055" s="10" t="s">
        <v>2373</v>
      </c>
      <c r="O3055" s="10"/>
    </row>
    <row r="3056" spans="1:15" ht="18" customHeight="1" x14ac:dyDescent="0.3">
      <c r="A3056" s="24">
        <v>3055</v>
      </c>
      <c r="B3056" s="10" t="s">
        <v>123</v>
      </c>
      <c r="C3056" s="10" t="s">
        <v>128</v>
      </c>
      <c r="D3056" s="62">
        <v>218</v>
      </c>
      <c r="E3056" s="61" t="s">
        <v>2694</v>
      </c>
      <c r="F3056" s="19" t="s">
        <v>761</v>
      </c>
      <c r="G3056" s="10" t="s">
        <v>160</v>
      </c>
      <c r="H3056" s="10" t="s">
        <v>851</v>
      </c>
      <c r="I3056" s="62">
        <v>43</v>
      </c>
      <c r="J3056" s="8" t="s">
        <v>2372</v>
      </c>
      <c r="K3056" s="173" t="s">
        <v>860</v>
      </c>
      <c r="L3056" s="173" t="s">
        <v>2229</v>
      </c>
      <c r="M3056" s="10" t="s">
        <v>2372</v>
      </c>
      <c r="N3056" s="10" t="s">
        <v>2373</v>
      </c>
      <c r="O3056" s="10"/>
    </row>
    <row r="3057" spans="1:15" ht="18" customHeight="1" x14ac:dyDescent="0.3">
      <c r="A3057" s="24">
        <v>3056</v>
      </c>
      <c r="B3057" s="10" t="s">
        <v>123</v>
      </c>
      <c r="C3057" s="10" t="s">
        <v>128</v>
      </c>
      <c r="D3057" s="62">
        <v>218</v>
      </c>
      <c r="E3057" s="61" t="s">
        <v>2694</v>
      </c>
      <c r="F3057" s="19" t="s">
        <v>761</v>
      </c>
      <c r="G3057" s="10" t="s">
        <v>160</v>
      </c>
      <c r="H3057" s="10" t="s">
        <v>852</v>
      </c>
      <c r="I3057" s="62">
        <v>38</v>
      </c>
      <c r="J3057" s="8" t="s">
        <v>2372</v>
      </c>
      <c r="K3057" s="173" t="s">
        <v>860</v>
      </c>
      <c r="L3057" s="173" t="s">
        <v>2229</v>
      </c>
      <c r="M3057" s="10" t="s">
        <v>2372</v>
      </c>
      <c r="N3057" s="10" t="s">
        <v>2373</v>
      </c>
      <c r="O3057" s="10"/>
    </row>
    <row r="3058" spans="1:15" ht="18" customHeight="1" x14ac:dyDescent="0.3">
      <c r="A3058" s="24">
        <v>3057</v>
      </c>
      <c r="B3058" s="10" t="s">
        <v>123</v>
      </c>
      <c r="C3058" s="10" t="s">
        <v>128</v>
      </c>
      <c r="D3058" s="62">
        <v>218</v>
      </c>
      <c r="E3058" s="61" t="s">
        <v>2694</v>
      </c>
      <c r="F3058" s="19" t="s">
        <v>761</v>
      </c>
      <c r="G3058" s="10" t="s">
        <v>160</v>
      </c>
      <c r="H3058" s="10" t="s">
        <v>853</v>
      </c>
      <c r="I3058" s="62">
        <v>74</v>
      </c>
      <c r="J3058" s="8" t="s">
        <v>2372</v>
      </c>
      <c r="K3058" s="173" t="s">
        <v>860</v>
      </c>
      <c r="L3058" s="173" t="s">
        <v>2229</v>
      </c>
      <c r="M3058" s="10" t="s">
        <v>2372</v>
      </c>
      <c r="N3058" s="10" t="s">
        <v>2373</v>
      </c>
      <c r="O3058" s="10"/>
    </row>
    <row r="3059" spans="1:15" ht="18" customHeight="1" x14ac:dyDescent="0.3">
      <c r="A3059" s="24">
        <v>3058</v>
      </c>
      <c r="B3059" s="10" t="s">
        <v>123</v>
      </c>
      <c r="C3059" s="10" t="s">
        <v>128</v>
      </c>
      <c r="D3059" s="62">
        <v>218</v>
      </c>
      <c r="E3059" s="61" t="s">
        <v>2952</v>
      </c>
      <c r="F3059" s="11" t="s">
        <v>759</v>
      </c>
      <c r="G3059" s="10" t="s">
        <v>160</v>
      </c>
      <c r="H3059" s="10" t="s">
        <v>845</v>
      </c>
      <c r="I3059" s="62">
        <v>184</v>
      </c>
      <c r="J3059" s="10" t="s">
        <v>2372</v>
      </c>
      <c r="K3059" s="10" t="s">
        <v>847</v>
      </c>
      <c r="L3059" s="10" t="s">
        <v>2373</v>
      </c>
      <c r="M3059" s="10" t="s">
        <v>2372</v>
      </c>
      <c r="N3059" s="10" t="s">
        <v>2373</v>
      </c>
      <c r="O3059" s="10"/>
    </row>
    <row r="3060" spans="1:15" ht="18" customHeight="1" x14ac:dyDescent="0.3">
      <c r="A3060" s="24">
        <v>3059</v>
      </c>
      <c r="B3060" s="10" t="s">
        <v>123</v>
      </c>
      <c r="C3060" s="10" t="s">
        <v>128</v>
      </c>
      <c r="D3060" s="62">
        <v>218</v>
      </c>
      <c r="E3060" s="61" t="s">
        <v>2952</v>
      </c>
      <c r="F3060" s="11" t="s">
        <v>759</v>
      </c>
      <c r="G3060" s="10" t="s">
        <v>160</v>
      </c>
      <c r="H3060" s="10" t="s">
        <v>848</v>
      </c>
      <c r="I3060" s="62">
        <v>184</v>
      </c>
      <c r="J3060" s="10" t="s">
        <v>2372</v>
      </c>
      <c r="K3060" s="10" t="s">
        <v>847</v>
      </c>
      <c r="L3060" s="10" t="s">
        <v>2373</v>
      </c>
      <c r="M3060" s="10" t="s">
        <v>2372</v>
      </c>
      <c r="N3060" s="10" t="s">
        <v>2373</v>
      </c>
      <c r="O3060" s="10"/>
    </row>
    <row r="3061" spans="1:15" ht="18" customHeight="1" x14ac:dyDescent="0.3">
      <c r="A3061" s="24">
        <v>3060</v>
      </c>
      <c r="B3061" s="10" t="s">
        <v>123</v>
      </c>
      <c r="C3061" s="10" t="s">
        <v>128</v>
      </c>
      <c r="D3061" s="62">
        <v>218</v>
      </c>
      <c r="E3061" s="61" t="s">
        <v>2952</v>
      </c>
      <c r="F3061" s="11" t="s">
        <v>759</v>
      </c>
      <c r="G3061" s="10" t="s">
        <v>160</v>
      </c>
      <c r="H3061" s="10" t="s">
        <v>849</v>
      </c>
      <c r="I3061" s="62">
        <v>131</v>
      </c>
      <c r="J3061" s="10" t="s">
        <v>2372</v>
      </c>
      <c r="K3061" s="10" t="s">
        <v>847</v>
      </c>
      <c r="L3061" s="10" t="s">
        <v>2373</v>
      </c>
      <c r="M3061" s="10" t="s">
        <v>2372</v>
      </c>
      <c r="N3061" s="10" t="s">
        <v>2373</v>
      </c>
      <c r="O3061" s="10"/>
    </row>
    <row r="3062" spans="1:15" ht="18" customHeight="1" x14ac:dyDescent="0.3">
      <c r="A3062" s="24">
        <v>3061</v>
      </c>
      <c r="B3062" s="10" t="s">
        <v>123</v>
      </c>
      <c r="C3062" s="10" t="s">
        <v>128</v>
      </c>
      <c r="D3062" s="62">
        <v>218</v>
      </c>
      <c r="E3062" s="61" t="s">
        <v>2952</v>
      </c>
      <c r="F3062" s="11" t="s">
        <v>759</v>
      </c>
      <c r="G3062" s="10" t="s">
        <v>160</v>
      </c>
      <c r="H3062" s="10" t="s">
        <v>850</v>
      </c>
      <c r="I3062" s="62">
        <v>134</v>
      </c>
      <c r="J3062" s="10" t="s">
        <v>2374</v>
      </c>
      <c r="K3062" s="10" t="s">
        <v>847</v>
      </c>
      <c r="L3062" s="10" t="s">
        <v>2373</v>
      </c>
      <c r="M3062" s="10" t="s">
        <v>2372</v>
      </c>
      <c r="N3062" s="10" t="s">
        <v>2373</v>
      </c>
      <c r="O3062" s="10"/>
    </row>
    <row r="3063" spans="1:15" ht="18" customHeight="1" x14ac:dyDescent="0.3">
      <c r="A3063" s="24">
        <v>3062</v>
      </c>
      <c r="B3063" s="10" t="s">
        <v>123</v>
      </c>
      <c r="C3063" s="10" t="s">
        <v>128</v>
      </c>
      <c r="D3063" s="62">
        <v>218</v>
      </c>
      <c r="E3063" s="61" t="s">
        <v>2952</v>
      </c>
      <c r="F3063" s="11" t="s">
        <v>759</v>
      </c>
      <c r="G3063" s="10" t="s">
        <v>160</v>
      </c>
      <c r="H3063" s="10" t="s">
        <v>851</v>
      </c>
      <c r="I3063" s="62">
        <v>184</v>
      </c>
      <c r="J3063" s="10" t="s">
        <v>2374</v>
      </c>
      <c r="K3063" s="10" t="s">
        <v>847</v>
      </c>
      <c r="L3063" s="10" t="s">
        <v>2373</v>
      </c>
      <c r="M3063" s="10" t="s">
        <v>2372</v>
      </c>
      <c r="N3063" s="10" t="s">
        <v>2373</v>
      </c>
      <c r="O3063" s="10"/>
    </row>
    <row r="3064" spans="1:15" ht="18" customHeight="1" x14ac:dyDescent="0.3">
      <c r="A3064" s="24">
        <v>3063</v>
      </c>
      <c r="B3064" s="10" t="s">
        <v>123</v>
      </c>
      <c r="C3064" s="10" t="s">
        <v>128</v>
      </c>
      <c r="D3064" s="62">
        <v>218</v>
      </c>
      <c r="E3064" s="61" t="s">
        <v>2952</v>
      </c>
      <c r="F3064" s="11" t="s">
        <v>759</v>
      </c>
      <c r="G3064" s="10" t="s">
        <v>160</v>
      </c>
      <c r="H3064" s="10" t="s">
        <v>852</v>
      </c>
      <c r="I3064" s="62">
        <v>184</v>
      </c>
      <c r="J3064" s="10" t="s">
        <v>2374</v>
      </c>
      <c r="K3064" s="10" t="s">
        <v>847</v>
      </c>
      <c r="L3064" s="10" t="s">
        <v>2373</v>
      </c>
      <c r="M3064" s="10" t="s">
        <v>2372</v>
      </c>
      <c r="N3064" s="10" t="s">
        <v>2373</v>
      </c>
      <c r="O3064" s="10"/>
    </row>
    <row r="3065" spans="1:15" ht="18" customHeight="1" x14ac:dyDescent="0.3">
      <c r="A3065" s="24">
        <v>3064</v>
      </c>
      <c r="B3065" s="10" t="s">
        <v>123</v>
      </c>
      <c r="C3065" s="10" t="s">
        <v>128</v>
      </c>
      <c r="D3065" s="62">
        <v>218</v>
      </c>
      <c r="E3065" s="61" t="s">
        <v>2952</v>
      </c>
      <c r="F3065" s="11" t="s">
        <v>759</v>
      </c>
      <c r="G3065" s="10" t="s">
        <v>160</v>
      </c>
      <c r="H3065" s="10" t="s">
        <v>853</v>
      </c>
      <c r="I3065" s="62">
        <v>86</v>
      </c>
      <c r="J3065" s="10" t="s">
        <v>2372</v>
      </c>
      <c r="K3065" s="10" t="s">
        <v>847</v>
      </c>
      <c r="L3065" s="10" t="s">
        <v>2373</v>
      </c>
      <c r="M3065" s="10" t="s">
        <v>2372</v>
      </c>
      <c r="N3065" s="10" t="s">
        <v>2373</v>
      </c>
      <c r="O3065" s="10"/>
    </row>
    <row r="3066" spans="1:15" ht="18" customHeight="1" x14ac:dyDescent="0.3">
      <c r="A3066" s="24">
        <v>3065</v>
      </c>
      <c r="B3066" s="10" t="s">
        <v>123</v>
      </c>
      <c r="C3066" s="10" t="s">
        <v>128</v>
      </c>
      <c r="D3066" s="62">
        <v>218</v>
      </c>
      <c r="E3066" s="61" t="s">
        <v>2952</v>
      </c>
      <c r="F3066" s="11" t="s">
        <v>759</v>
      </c>
      <c r="G3066" s="10" t="s">
        <v>160</v>
      </c>
      <c r="H3066" s="10" t="s">
        <v>854</v>
      </c>
      <c r="I3066" s="62">
        <v>64</v>
      </c>
      <c r="J3066" s="10" t="s">
        <v>2372</v>
      </c>
      <c r="K3066" s="10" t="s">
        <v>847</v>
      </c>
      <c r="L3066" s="10" t="s">
        <v>2373</v>
      </c>
      <c r="M3066" s="10" t="s">
        <v>2372</v>
      </c>
      <c r="N3066" s="10" t="s">
        <v>2373</v>
      </c>
      <c r="O3066" s="10"/>
    </row>
    <row r="3067" spans="1:15" ht="18" customHeight="1" x14ac:dyDescent="0.3">
      <c r="A3067" s="24">
        <v>3066</v>
      </c>
      <c r="B3067" s="10" t="s">
        <v>123</v>
      </c>
      <c r="C3067" s="10" t="s">
        <v>128</v>
      </c>
      <c r="D3067" s="62">
        <v>218</v>
      </c>
      <c r="E3067" s="61" t="s">
        <v>2952</v>
      </c>
      <c r="F3067" s="11" t="s">
        <v>759</v>
      </c>
      <c r="G3067" s="10" t="s">
        <v>160</v>
      </c>
      <c r="H3067" s="10" t="s">
        <v>855</v>
      </c>
      <c r="I3067" s="62">
        <v>81</v>
      </c>
      <c r="J3067" s="10" t="s">
        <v>2374</v>
      </c>
      <c r="K3067" s="10" t="s">
        <v>847</v>
      </c>
      <c r="L3067" s="10" t="s">
        <v>2373</v>
      </c>
      <c r="M3067" s="10" t="s">
        <v>2372</v>
      </c>
      <c r="N3067" s="10" t="s">
        <v>2373</v>
      </c>
      <c r="O3067" s="10"/>
    </row>
    <row r="3068" spans="1:15" ht="18" customHeight="1" x14ac:dyDescent="0.3">
      <c r="A3068" s="24">
        <v>3067</v>
      </c>
      <c r="B3068" s="10" t="s">
        <v>123</v>
      </c>
      <c r="C3068" s="10" t="s">
        <v>128</v>
      </c>
      <c r="D3068" s="62">
        <v>218</v>
      </c>
      <c r="E3068" s="61" t="s">
        <v>2952</v>
      </c>
      <c r="F3068" s="11" t="s">
        <v>759</v>
      </c>
      <c r="G3068" s="10" t="s">
        <v>160</v>
      </c>
      <c r="H3068" s="10" t="s">
        <v>869</v>
      </c>
      <c r="I3068" s="62">
        <v>114</v>
      </c>
      <c r="J3068" s="10" t="s">
        <v>2372</v>
      </c>
      <c r="K3068" s="10" t="s">
        <v>847</v>
      </c>
      <c r="L3068" s="10" t="s">
        <v>2373</v>
      </c>
      <c r="M3068" s="10" t="s">
        <v>2372</v>
      </c>
      <c r="N3068" s="10" t="s">
        <v>2373</v>
      </c>
      <c r="O3068" s="10"/>
    </row>
    <row r="3069" spans="1:15" ht="18" customHeight="1" x14ac:dyDescent="0.3">
      <c r="A3069" s="24">
        <v>3068</v>
      </c>
      <c r="B3069" s="10" t="s">
        <v>123</v>
      </c>
      <c r="C3069" s="10" t="s">
        <v>128</v>
      </c>
      <c r="D3069" s="62">
        <v>218</v>
      </c>
      <c r="E3069" s="61" t="s">
        <v>209</v>
      </c>
      <c r="F3069" s="9" t="s">
        <v>760</v>
      </c>
      <c r="G3069" s="10" t="s">
        <v>150</v>
      </c>
      <c r="H3069" s="10" t="s">
        <v>845</v>
      </c>
      <c r="I3069" s="62">
        <v>194</v>
      </c>
      <c r="J3069" s="8" t="s">
        <v>2372</v>
      </c>
      <c r="K3069" s="10" t="s">
        <v>847</v>
      </c>
      <c r="L3069" s="10" t="s">
        <v>2373</v>
      </c>
      <c r="M3069" s="10" t="s">
        <v>2372</v>
      </c>
      <c r="N3069" s="10" t="s">
        <v>2373</v>
      </c>
      <c r="O3069" s="10"/>
    </row>
    <row r="3070" spans="1:15" ht="18" customHeight="1" x14ac:dyDescent="0.3">
      <c r="A3070" s="24">
        <v>3069</v>
      </c>
      <c r="B3070" s="10" t="s">
        <v>123</v>
      </c>
      <c r="C3070" s="10" t="s">
        <v>128</v>
      </c>
      <c r="D3070" s="62">
        <v>218</v>
      </c>
      <c r="E3070" s="61" t="s">
        <v>209</v>
      </c>
      <c r="F3070" s="9" t="s">
        <v>760</v>
      </c>
      <c r="G3070" s="10" t="s">
        <v>150</v>
      </c>
      <c r="H3070" s="10" t="s">
        <v>848</v>
      </c>
      <c r="I3070" s="62">
        <v>135</v>
      </c>
      <c r="J3070" s="8" t="s">
        <v>846</v>
      </c>
      <c r="K3070" s="10" t="s">
        <v>847</v>
      </c>
      <c r="L3070" s="10" t="s">
        <v>2373</v>
      </c>
      <c r="M3070" s="10" t="s">
        <v>2372</v>
      </c>
      <c r="N3070" s="10" t="s">
        <v>2373</v>
      </c>
      <c r="O3070" s="10"/>
    </row>
    <row r="3071" spans="1:15" ht="18" customHeight="1" x14ac:dyDescent="0.3">
      <c r="A3071" s="24">
        <v>3070</v>
      </c>
      <c r="B3071" s="10" t="s">
        <v>123</v>
      </c>
      <c r="C3071" s="10" t="s">
        <v>128</v>
      </c>
      <c r="D3071" s="62">
        <v>218</v>
      </c>
      <c r="E3071" s="61" t="s">
        <v>209</v>
      </c>
      <c r="F3071" s="9" t="s">
        <v>760</v>
      </c>
      <c r="G3071" s="10" t="s">
        <v>150</v>
      </c>
      <c r="H3071" s="10" t="s">
        <v>849</v>
      </c>
      <c r="I3071" s="62">
        <v>209</v>
      </c>
      <c r="J3071" s="8" t="s">
        <v>846</v>
      </c>
      <c r="K3071" s="10" t="s">
        <v>847</v>
      </c>
      <c r="L3071" s="10" t="s">
        <v>2373</v>
      </c>
      <c r="M3071" s="10" t="s">
        <v>2372</v>
      </c>
      <c r="N3071" s="10" t="s">
        <v>2373</v>
      </c>
      <c r="O3071" s="10"/>
    </row>
    <row r="3072" spans="1:15" ht="18" customHeight="1" x14ac:dyDescent="0.3">
      <c r="A3072" s="24">
        <v>3071</v>
      </c>
      <c r="B3072" s="10" t="s">
        <v>123</v>
      </c>
      <c r="C3072" s="10" t="s">
        <v>128</v>
      </c>
      <c r="D3072" s="62">
        <v>218</v>
      </c>
      <c r="E3072" s="61" t="s">
        <v>209</v>
      </c>
      <c r="F3072" s="9" t="s">
        <v>760</v>
      </c>
      <c r="G3072" s="10" t="s">
        <v>150</v>
      </c>
      <c r="H3072" s="10" t="s">
        <v>850</v>
      </c>
      <c r="I3072" s="62">
        <v>114</v>
      </c>
      <c r="J3072" s="8" t="s">
        <v>2372</v>
      </c>
      <c r="K3072" s="10" t="s">
        <v>847</v>
      </c>
      <c r="L3072" s="10" t="s">
        <v>2373</v>
      </c>
      <c r="M3072" s="10" t="s">
        <v>2372</v>
      </c>
      <c r="N3072" s="10" t="s">
        <v>2373</v>
      </c>
      <c r="O3072" s="10"/>
    </row>
    <row r="3073" spans="1:15" ht="18" customHeight="1" x14ac:dyDescent="0.3">
      <c r="A3073" s="24">
        <v>3072</v>
      </c>
      <c r="B3073" s="10" t="s">
        <v>123</v>
      </c>
      <c r="C3073" s="10" t="s">
        <v>128</v>
      </c>
      <c r="D3073" s="62">
        <v>218</v>
      </c>
      <c r="E3073" s="61" t="s">
        <v>209</v>
      </c>
      <c r="F3073" s="9" t="s">
        <v>760</v>
      </c>
      <c r="G3073" s="10" t="s">
        <v>150</v>
      </c>
      <c r="H3073" s="10" t="s">
        <v>851</v>
      </c>
      <c r="I3073" s="62">
        <v>161</v>
      </c>
      <c r="J3073" s="8" t="s">
        <v>2372</v>
      </c>
      <c r="K3073" s="10" t="s">
        <v>847</v>
      </c>
      <c r="L3073" s="10" t="s">
        <v>2373</v>
      </c>
      <c r="M3073" s="10" t="s">
        <v>2372</v>
      </c>
      <c r="N3073" s="10" t="s">
        <v>2373</v>
      </c>
      <c r="O3073" s="10"/>
    </row>
    <row r="3074" spans="1:15" ht="18" customHeight="1" x14ac:dyDescent="0.3">
      <c r="A3074" s="24">
        <v>3073</v>
      </c>
      <c r="B3074" s="10" t="s">
        <v>123</v>
      </c>
      <c r="C3074" s="10" t="s">
        <v>128</v>
      </c>
      <c r="D3074" s="62">
        <v>218</v>
      </c>
      <c r="E3074" s="61" t="s">
        <v>209</v>
      </c>
      <c r="F3074" s="9" t="s">
        <v>760</v>
      </c>
      <c r="G3074" s="10" t="s">
        <v>150</v>
      </c>
      <c r="H3074" s="10" t="s">
        <v>852</v>
      </c>
      <c r="I3074" s="62">
        <v>119</v>
      </c>
      <c r="J3074" s="8" t="s">
        <v>2372</v>
      </c>
      <c r="K3074" s="10" t="s">
        <v>847</v>
      </c>
      <c r="L3074" s="10" t="s">
        <v>2373</v>
      </c>
      <c r="M3074" s="10" t="s">
        <v>2372</v>
      </c>
      <c r="N3074" s="10" t="s">
        <v>2373</v>
      </c>
      <c r="O3074" s="10"/>
    </row>
    <row r="3075" spans="1:15" ht="18" customHeight="1" x14ac:dyDescent="0.3">
      <c r="A3075" s="24">
        <v>3074</v>
      </c>
      <c r="B3075" s="10" t="s">
        <v>123</v>
      </c>
      <c r="C3075" s="10" t="s">
        <v>128</v>
      </c>
      <c r="D3075" s="62">
        <v>218</v>
      </c>
      <c r="E3075" s="61" t="s">
        <v>209</v>
      </c>
      <c r="F3075" s="9" t="s">
        <v>760</v>
      </c>
      <c r="G3075" s="10" t="s">
        <v>150</v>
      </c>
      <c r="H3075" s="10" t="s">
        <v>853</v>
      </c>
      <c r="I3075" s="62">
        <v>174</v>
      </c>
      <c r="J3075" s="8" t="s">
        <v>2372</v>
      </c>
      <c r="K3075" s="10" t="s">
        <v>847</v>
      </c>
      <c r="L3075" s="10" t="s">
        <v>2373</v>
      </c>
      <c r="M3075" s="10" t="s">
        <v>2372</v>
      </c>
      <c r="N3075" s="10" t="s">
        <v>2373</v>
      </c>
      <c r="O3075" s="10"/>
    </row>
    <row r="3076" spans="1:15" ht="18" customHeight="1" x14ac:dyDescent="0.3">
      <c r="A3076" s="24">
        <v>3075</v>
      </c>
      <c r="B3076" s="10" t="s">
        <v>123</v>
      </c>
      <c r="C3076" s="10" t="s">
        <v>128</v>
      </c>
      <c r="D3076" s="62">
        <v>218</v>
      </c>
      <c r="E3076" s="61" t="s">
        <v>209</v>
      </c>
      <c r="F3076" s="9" t="s">
        <v>760</v>
      </c>
      <c r="G3076" s="10" t="s">
        <v>150</v>
      </c>
      <c r="H3076" s="10" t="s">
        <v>854</v>
      </c>
      <c r="I3076" s="62">
        <v>98</v>
      </c>
      <c r="J3076" s="8" t="s">
        <v>2372</v>
      </c>
      <c r="K3076" s="10" t="s">
        <v>847</v>
      </c>
      <c r="L3076" s="10" t="s">
        <v>2373</v>
      </c>
      <c r="M3076" s="10" t="s">
        <v>2372</v>
      </c>
      <c r="N3076" s="10" t="s">
        <v>2373</v>
      </c>
      <c r="O3076" s="10"/>
    </row>
    <row r="3077" spans="1:15" ht="18" customHeight="1" x14ac:dyDescent="0.3">
      <c r="A3077" s="24">
        <v>3076</v>
      </c>
      <c r="B3077" s="10" t="s">
        <v>123</v>
      </c>
      <c r="C3077" s="10" t="s">
        <v>128</v>
      </c>
      <c r="D3077" s="62">
        <v>218</v>
      </c>
      <c r="E3077" s="61" t="s">
        <v>2695</v>
      </c>
      <c r="F3077" s="16" t="s">
        <v>765</v>
      </c>
      <c r="G3077" s="10" t="s">
        <v>150</v>
      </c>
      <c r="H3077" s="10" t="s">
        <v>845</v>
      </c>
      <c r="I3077" s="62">
        <v>149</v>
      </c>
      <c r="J3077" s="10" t="s">
        <v>2374</v>
      </c>
      <c r="K3077" s="10" t="s">
        <v>847</v>
      </c>
      <c r="L3077" s="10" t="s">
        <v>2373</v>
      </c>
      <c r="M3077" s="10" t="s">
        <v>2372</v>
      </c>
      <c r="N3077" s="10" t="s">
        <v>2373</v>
      </c>
      <c r="O3077" s="10"/>
    </row>
    <row r="3078" spans="1:15" ht="18" customHeight="1" x14ac:dyDescent="0.3">
      <c r="A3078" s="24">
        <v>3077</v>
      </c>
      <c r="B3078" s="10" t="s">
        <v>123</v>
      </c>
      <c r="C3078" s="10" t="s">
        <v>128</v>
      </c>
      <c r="D3078" s="62">
        <v>218</v>
      </c>
      <c r="E3078" s="61" t="s">
        <v>2695</v>
      </c>
      <c r="F3078" s="16" t="s">
        <v>765</v>
      </c>
      <c r="G3078" s="10" t="s">
        <v>150</v>
      </c>
      <c r="H3078" s="10" t="s">
        <v>848</v>
      </c>
      <c r="I3078" s="62">
        <v>91</v>
      </c>
      <c r="J3078" s="10" t="s">
        <v>2372</v>
      </c>
      <c r="K3078" s="10" t="s">
        <v>847</v>
      </c>
      <c r="L3078" s="10" t="s">
        <v>2373</v>
      </c>
      <c r="M3078" s="10" t="s">
        <v>2372</v>
      </c>
      <c r="N3078" s="10" t="s">
        <v>2373</v>
      </c>
      <c r="O3078" s="10"/>
    </row>
    <row r="3079" spans="1:15" ht="18" customHeight="1" x14ac:dyDescent="0.3">
      <c r="A3079" s="24">
        <v>3078</v>
      </c>
      <c r="B3079" s="10" t="s">
        <v>123</v>
      </c>
      <c r="C3079" s="10" t="s">
        <v>128</v>
      </c>
      <c r="D3079" s="62">
        <v>218</v>
      </c>
      <c r="E3079" s="61" t="s">
        <v>2695</v>
      </c>
      <c r="F3079" s="16" t="s">
        <v>765</v>
      </c>
      <c r="G3079" s="10" t="s">
        <v>150</v>
      </c>
      <c r="H3079" s="10" t="s">
        <v>849</v>
      </c>
      <c r="I3079" s="62">
        <v>83</v>
      </c>
      <c r="J3079" s="10" t="s">
        <v>2372</v>
      </c>
      <c r="K3079" s="10" t="s">
        <v>847</v>
      </c>
      <c r="L3079" s="10" t="s">
        <v>2373</v>
      </c>
      <c r="M3079" s="10" t="s">
        <v>2372</v>
      </c>
      <c r="N3079" s="10" t="s">
        <v>2373</v>
      </c>
      <c r="O3079" s="10"/>
    </row>
    <row r="3080" spans="1:15" ht="18" customHeight="1" x14ac:dyDescent="0.3">
      <c r="A3080" s="24">
        <v>3079</v>
      </c>
      <c r="B3080" s="10" t="s">
        <v>123</v>
      </c>
      <c r="C3080" s="10" t="s">
        <v>128</v>
      </c>
      <c r="D3080" s="62">
        <v>218</v>
      </c>
      <c r="E3080" s="61" t="s">
        <v>2695</v>
      </c>
      <c r="F3080" s="16" t="s">
        <v>765</v>
      </c>
      <c r="G3080" s="10" t="s">
        <v>150</v>
      </c>
      <c r="H3080" s="10" t="s">
        <v>850</v>
      </c>
      <c r="I3080" s="62">
        <v>73</v>
      </c>
      <c r="J3080" s="10" t="s">
        <v>2372</v>
      </c>
      <c r="K3080" s="10" t="s">
        <v>847</v>
      </c>
      <c r="L3080" s="10" t="s">
        <v>2373</v>
      </c>
      <c r="M3080" s="10" t="s">
        <v>2372</v>
      </c>
      <c r="N3080" s="10" t="s">
        <v>2373</v>
      </c>
      <c r="O3080" s="10"/>
    </row>
    <row r="3081" spans="1:15" ht="18" customHeight="1" x14ac:dyDescent="0.3">
      <c r="A3081" s="24">
        <v>3080</v>
      </c>
      <c r="B3081" s="10" t="s">
        <v>123</v>
      </c>
      <c r="C3081" s="10" t="s">
        <v>128</v>
      </c>
      <c r="D3081" s="62">
        <v>218</v>
      </c>
      <c r="E3081" s="61" t="s">
        <v>2695</v>
      </c>
      <c r="F3081" s="16" t="s">
        <v>765</v>
      </c>
      <c r="G3081" s="10" t="s">
        <v>150</v>
      </c>
      <c r="H3081" s="10" t="s">
        <v>851</v>
      </c>
      <c r="I3081" s="62">
        <v>106</v>
      </c>
      <c r="J3081" s="10" t="s">
        <v>2372</v>
      </c>
      <c r="K3081" s="10" t="s">
        <v>847</v>
      </c>
      <c r="L3081" s="10" t="s">
        <v>2373</v>
      </c>
      <c r="M3081" s="10" t="s">
        <v>2372</v>
      </c>
      <c r="N3081" s="10" t="s">
        <v>2373</v>
      </c>
      <c r="O3081" s="10"/>
    </row>
    <row r="3082" spans="1:15" ht="18" customHeight="1" x14ac:dyDescent="0.3">
      <c r="A3082" s="24">
        <v>3081</v>
      </c>
      <c r="B3082" s="10" t="s">
        <v>123</v>
      </c>
      <c r="C3082" s="10" t="s">
        <v>128</v>
      </c>
      <c r="D3082" s="62">
        <v>218</v>
      </c>
      <c r="E3082" s="61" t="s">
        <v>254</v>
      </c>
      <c r="F3082" s="19" t="s">
        <v>763</v>
      </c>
      <c r="G3082" s="10" t="s">
        <v>150</v>
      </c>
      <c r="H3082" s="10" t="s">
        <v>845</v>
      </c>
      <c r="I3082" s="62">
        <v>166</v>
      </c>
      <c r="J3082" s="10" t="s">
        <v>2372</v>
      </c>
      <c r="K3082" s="10" t="s">
        <v>847</v>
      </c>
      <c r="L3082" s="10" t="s">
        <v>2373</v>
      </c>
      <c r="M3082" s="10" t="s">
        <v>2372</v>
      </c>
      <c r="N3082" s="10" t="s">
        <v>2373</v>
      </c>
      <c r="O3082" s="10"/>
    </row>
    <row r="3083" spans="1:15" ht="18" customHeight="1" x14ac:dyDescent="0.3">
      <c r="A3083" s="24">
        <v>3082</v>
      </c>
      <c r="B3083" s="10" t="s">
        <v>123</v>
      </c>
      <c r="C3083" s="10" t="s">
        <v>128</v>
      </c>
      <c r="D3083" s="62">
        <v>218</v>
      </c>
      <c r="E3083" s="61" t="s">
        <v>254</v>
      </c>
      <c r="F3083" s="19" t="s">
        <v>763</v>
      </c>
      <c r="G3083" s="10" t="s">
        <v>150</v>
      </c>
      <c r="H3083" s="10" t="s">
        <v>848</v>
      </c>
      <c r="I3083" s="62">
        <v>119</v>
      </c>
      <c r="J3083" s="10" t="s">
        <v>2372</v>
      </c>
      <c r="K3083" s="10" t="s">
        <v>847</v>
      </c>
      <c r="L3083" s="10" t="s">
        <v>2373</v>
      </c>
      <c r="M3083" s="10" t="s">
        <v>2372</v>
      </c>
      <c r="N3083" s="10" t="s">
        <v>2373</v>
      </c>
      <c r="O3083" s="10"/>
    </row>
    <row r="3084" spans="1:15" ht="18" customHeight="1" x14ac:dyDescent="0.3">
      <c r="A3084" s="24">
        <v>3083</v>
      </c>
      <c r="B3084" s="10" t="s">
        <v>123</v>
      </c>
      <c r="C3084" s="10" t="s">
        <v>128</v>
      </c>
      <c r="D3084" s="62">
        <v>218</v>
      </c>
      <c r="E3084" s="61" t="s">
        <v>254</v>
      </c>
      <c r="F3084" s="19" t="s">
        <v>763</v>
      </c>
      <c r="G3084" s="10" t="s">
        <v>150</v>
      </c>
      <c r="H3084" s="10" t="s">
        <v>849</v>
      </c>
      <c r="I3084" s="62">
        <v>168</v>
      </c>
      <c r="J3084" s="10" t="s">
        <v>2374</v>
      </c>
      <c r="K3084" s="10" t="s">
        <v>847</v>
      </c>
      <c r="L3084" s="10" t="s">
        <v>2373</v>
      </c>
      <c r="M3084" s="10" t="s">
        <v>2372</v>
      </c>
      <c r="N3084" s="10" t="s">
        <v>2373</v>
      </c>
      <c r="O3084" s="10"/>
    </row>
    <row r="3085" spans="1:15" ht="18" customHeight="1" x14ac:dyDescent="0.3">
      <c r="A3085" s="24">
        <v>3084</v>
      </c>
      <c r="B3085" s="10" t="s">
        <v>123</v>
      </c>
      <c r="C3085" s="10" t="s">
        <v>128</v>
      </c>
      <c r="D3085" s="62">
        <v>218</v>
      </c>
      <c r="E3085" s="61" t="s">
        <v>254</v>
      </c>
      <c r="F3085" s="19" t="s">
        <v>763</v>
      </c>
      <c r="G3085" s="10" t="s">
        <v>150</v>
      </c>
      <c r="H3085" s="10" t="s">
        <v>850</v>
      </c>
      <c r="I3085" s="62">
        <v>168</v>
      </c>
      <c r="J3085" s="10" t="s">
        <v>2372</v>
      </c>
      <c r="K3085" s="10" t="s">
        <v>847</v>
      </c>
      <c r="L3085" s="10" t="s">
        <v>2373</v>
      </c>
      <c r="M3085" s="10" t="s">
        <v>2372</v>
      </c>
      <c r="N3085" s="10" t="s">
        <v>2373</v>
      </c>
      <c r="O3085" s="10"/>
    </row>
    <row r="3086" spans="1:15" ht="18" customHeight="1" x14ac:dyDescent="0.3">
      <c r="A3086" s="24">
        <v>3085</v>
      </c>
      <c r="B3086" s="10" t="s">
        <v>123</v>
      </c>
      <c r="C3086" s="10" t="s">
        <v>128</v>
      </c>
      <c r="D3086" s="62">
        <v>218</v>
      </c>
      <c r="E3086" s="61" t="s">
        <v>254</v>
      </c>
      <c r="F3086" s="19" t="s">
        <v>763</v>
      </c>
      <c r="G3086" s="10" t="s">
        <v>150</v>
      </c>
      <c r="H3086" s="10" t="s">
        <v>851</v>
      </c>
      <c r="I3086" s="62">
        <v>153</v>
      </c>
      <c r="J3086" s="10" t="s">
        <v>2372</v>
      </c>
      <c r="K3086" s="10" t="s">
        <v>847</v>
      </c>
      <c r="L3086" s="10" t="s">
        <v>2373</v>
      </c>
      <c r="M3086" s="10" t="s">
        <v>2372</v>
      </c>
      <c r="N3086" s="10" t="s">
        <v>2373</v>
      </c>
      <c r="O3086" s="10"/>
    </row>
    <row r="3087" spans="1:15" ht="18" customHeight="1" x14ac:dyDescent="0.3">
      <c r="A3087" s="24">
        <v>3086</v>
      </c>
      <c r="B3087" s="10" t="s">
        <v>123</v>
      </c>
      <c r="C3087" s="10" t="s">
        <v>128</v>
      </c>
      <c r="D3087" s="62">
        <v>218</v>
      </c>
      <c r="E3087" s="61" t="s">
        <v>254</v>
      </c>
      <c r="F3087" s="19" t="s">
        <v>763</v>
      </c>
      <c r="G3087" s="10" t="s">
        <v>150</v>
      </c>
      <c r="H3087" s="10" t="s">
        <v>852</v>
      </c>
      <c r="I3087" s="62">
        <v>202</v>
      </c>
      <c r="J3087" s="10" t="s">
        <v>2374</v>
      </c>
      <c r="K3087" s="10" t="s">
        <v>847</v>
      </c>
      <c r="L3087" s="10" t="s">
        <v>2373</v>
      </c>
      <c r="M3087" s="10" t="s">
        <v>2372</v>
      </c>
      <c r="N3087" s="10" t="s">
        <v>2373</v>
      </c>
      <c r="O3087" s="10"/>
    </row>
    <row r="3088" spans="1:15" ht="18" customHeight="1" x14ac:dyDescent="0.3">
      <c r="A3088" s="24">
        <v>3087</v>
      </c>
      <c r="B3088" s="10" t="s">
        <v>123</v>
      </c>
      <c r="C3088" s="10" t="s">
        <v>129</v>
      </c>
      <c r="D3088" s="62">
        <v>219</v>
      </c>
      <c r="E3088" s="61" t="s">
        <v>238</v>
      </c>
      <c r="F3088" s="19" t="s">
        <v>776</v>
      </c>
      <c r="G3088" s="10" t="s">
        <v>160</v>
      </c>
      <c r="H3088" s="10" t="s">
        <v>845</v>
      </c>
      <c r="I3088" s="62">
        <v>191</v>
      </c>
      <c r="J3088" s="8" t="s">
        <v>2374</v>
      </c>
      <c r="K3088" s="10" t="s">
        <v>847</v>
      </c>
      <c r="L3088" s="10" t="s">
        <v>2373</v>
      </c>
      <c r="M3088" s="10" t="s">
        <v>2372</v>
      </c>
      <c r="N3088" s="10" t="s">
        <v>2373</v>
      </c>
      <c r="O3088" s="10"/>
    </row>
    <row r="3089" spans="1:15" ht="18" customHeight="1" x14ac:dyDescent="0.3">
      <c r="A3089" s="24">
        <v>3088</v>
      </c>
      <c r="B3089" s="10" t="s">
        <v>123</v>
      </c>
      <c r="C3089" s="10" t="s">
        <v>129</v>
      </c>
      <c r="D3089" s="62">
        <v>219</v>
      </c>
      <c r="E3089" s="61" t="s">
        <v>238</v>
      </c>
      <c r="F3089" s="19" t="s">
        <v>776</v>
      </c>
      <c r="G3089" s="10" t="s">
        <v>160</v>
      </c>
      <c r="H3089" s="10" t="s">
        <v>848</v>
      </c>
      <c r="I3089" s="62">
        <v>152</v>
      </c>
      <c r="J3089" s="8" t="s">
        <v>2374</v>
      </c>
      <c r="K3089" s="10" t="s">
        <v>847</v>
      </c>
      <c r="L3089" s="10" t="s">
        <v>2373</v>
      </c>
      <c r="M3089" s="10" t="s">
        <v>2372</v>
      </c>
      <c r="N3089" s="10" t="s">
        <v>2373</v>
      </c>
      <c r="O3089" s="10"/>
    </row>
    <row r="3090" spans="1:15" ht="18" customHeight="1" x14ac:dyDescent="0.3">
      <c r="A3090" s="24">
        <v>3089</v>
      </c>
      <c r="B3090" s="10" t="s">
        <v>123</v>
      </c>
      <c r="C3090" s="10" t="s">
        <v>129</v>
      </c>
      <c r="D3090" s="62">
        <v>219</v>
      </c>
      <c r="E3090" s="61" t="s">
        <v>238</v>
      </c>
      <c r="F3090" s="19" t="s">
        <v>776</v>
      </c>
      <c r="G3090" s="10" t="s">
        <v>160</v>
      </c>
      <c r="H3090" s="10" t="s">
        <v>849</v>
      </c>
      <c r="I3090" s="62">
        <v>60</v>
      </c>
      <c r="J3090" s="8" t="s">
        <v>2372</v>
      </c>
      <c r="K3090" s="10" t="s">
        <v>2374</v>
      </c>
      <c r="L3090" s="10" t="s">
        <v>2229</v>
      </c>
      <c r="M3090" s="10" t="s">
        <v>2372</v>
      </c>
      <c r="N3090" s="10" t="s">
        <v>2373</v>
      </c>
      <c r="O3090" s="10"/>
    </row>
    <row r="3091" spans="1:15" ht="18" customHeight="1" x14ac:dyDescent="0.3">
      <c r="A3091" s="24">
        <v>3090</v>
      </c>
      <c r="B3091" s="10" t="s">
        <v>123</v>
      </c>
      <c r="C3091" s="10" t="s">
        <v>129</v>
      </c>
      <c r="D3091" s="62">
        <v>219</v>
      </c>
      <c r="E3091" s="61" t="s">
        <v>238</v>
      </c>
      <c r="F3091" s="19" t="s">
        <v>776</v>
      </c>
      <c r="G3091" s="10" t="s">
        <v>160</v>
      </c>
      <c r="H3091" s="10" t="s">
        <v>850</v>
      </c>
      <c r="I3091" s="62">
        <v>152</v>
      </c>
      <c r="J3091" s="8" t="s">
        <v>2372</v>
      </c>
      <c r="K3091" s="10" t="s">
        <v>847</v>
      </c>
      <c r="L3091" s="10" t="s">
        <v>2373</v>
      </c>
      <c r="M3091" s="10" t="s">
        <v>2372</v>
      </c>
      <c r="N3091" s="10" t="s">
        <v>2373</v>
      </c>
      <c r="O3091" s="10"/>
    </row>
    <row r="3092" spans="1:15" ht="18" customHeight="1" x14ac:dyDescent="0.3">
      <c r="A3092" s="24">
        <v>3091</v>
      </c>
      <c r="B3092" s="10" t="s">
        <v>123</v>
      </c>
      <c r="C3092" s="10" t="s">
        <v>129</v>
      </c>
      <c r="D3092" s="62">
        <v>219</v>
      </c>
      <c r="E3092" s="61" t="s">
        <v>238</v>
      </c>
      <c r="F3092" s="19" t="s">
        <v>776</v>
      </c>
      <c r="G3092" s="10" t="s">
        <v>160</v>
      </c>
      <c r="H3092" s="10" t="s">
        <v>851</v>
      </c>
      <c r="I3092" s="62">
        <v>152</v>
      </c>
      <c r="J3092" s="8" t="s">
        <v>2372</v>
      </c>
      <c r="K3092" s="10" t="s">
        <v>847</v>
      </c>
      <c r="L3092" s="10" t="s">
        <v>2373</v>
      </c>
      <c r="M3092" s="10" t="s">
        <v>2372</v>
      </c>
      <c r="N3092" s="10" t="s">
        <v>2373</v>
      </c>
      <c r="O3092" s="10"/>
    </row>
    <row r="3093" spans="1:15" ht="18" customHeight="1" x14ac:dyDescent="0.3">
      <c r="A3093" s="24">
        <v>3092</v>
      </c>
      <c r="B3093" s="10" t="s">
        <v>123</v>
      </c>
      <c r="C3093" s="10" t="s">
        <v>129</v>
      </c>
      <c r="D3093" s="62">
        <v>219</v>
      </c>
      <c r="E3093" s="61" t="s">
        <v>238</v>
      </c>
      <c r="F3093" s="19" t="s">
        <v>776</v>
      </c>
      <c r="G3093" s="10" t="s">
        <v>160</v>
      </c>
      <c r="H3093" s="10" t="s">
        <v>852</v>
      </c>
      <c r="I3093" s="62">
        <v>202</v>
      </c>
      <c r="J3093" s="8" t="s">
        <v>2372</v>
      </c>
      <c r="K3093" s="10" t="s">
        <v>847</v>
      </c>
      <c r="L3093" s="10" t="s">
        <v>2373</v>
      </c>
      <c r="M3093" s="10" t="s">
        <v>2372</v>
      </c>
      <c r="N3093" s="10" t="s">
        <v>2373</v>
      </c>
      <c r="O3093" s="10"/>
    </row>
    <row r="3094" spans="1:15" ht="18" customHeight="1" x14ac:dyDescent="0.3">
      <c r="A3094" s="24">
        <v>3093</v>
      </c>
      <c r="B3094" s="10" t="s">
        <v>2212</v>
      </c>
      <c r="C3094" s="10" t="s">
        <v>2234</v>
      </c>
      <c r="D3094" s="62">
        <v>220</v>
      </c>
      <c r="E3094" s="61" t="s">
        <v>2235</v>
      </c>
      <c r="F3094" s="44" t="s">
        <v>2236</v>
      </c>
      <c r="G3094" s="24" t="s">
        <v>1278</v>
      </c>
      <c r="H3094" s="10" t="s">
        <v>2385</v>
      </c>
      <c r="I3094" s="62">
        <v>102</v>
      </c>
      <c r="J3094" s="8" t="s">
        <v>2372</v>
      </c>
      <c r="K3094" s="10" t="s">
        <v>2374</v>
      </c>
      <c r="L3094" s="10" t="s">
        <v>2229</v>
      </c>
      <c r="M3094" s="10" t="s">
        <v>2372</v>
      </c>
      <c r="N3094" s="10" t="s">
        <v>2373</v>
      </c>
      <c r="O3094" s="10"/>
    </row>
    <row r="3095" spans="1:15" ht="18" customHeight="1" x14ac:dyDescent="0.3">
      <c r="A3095" s="24">
        <v>3094</v>
      </c>
      <c r="B3095" s="10" t="s">
        <v>2212</v>
      </c>
      <c r="C3095" s="10" t="s">
        <v>2234</v>
      </c>
      <c r="D3095" s="62">
        <v>220</v>
      </c>
      <c r="E3095" s="61" t="s">
        <v>2235</v>
      </c>
      <c r="F3095" s="44" t="s">
        <v>2236</v>
      </c>
      <c r="G3095" s="24" t="s">
        <v>1278</v>
      </c>
      <c r="H3095" s="10" t="s">
        <v>2378</v>
      </c>
      <c r="I3095" s="62">
        <v>102</v>
      </c>
      <c r="J3095" s="8" t="s">
        <v>2372</v>
      </c>
      <c r="K3095" s="10" t="s">
        <v>2374</v>
      </c>
      <c r="L3095" s="10" t="s">
        <v>2229</v>
      </c>
      <c r="M3095" s="10" t="s">
        <v>2372</v>
      </c>
      <c r="N3095" s="10" t="s">
        <v>2373</v>
      </c>
      <c r="O3095" s="10"/>
    </row>
    <row r="3096" spans="1:15" ht="18" customHeight="1" x14ac:dyDescent="0.3">
      <c r="A3096" s="24">
        <v>3095</v>
      </c>
      <c r="B3096" s="10" t="s">
        <v>2212</v>
      </c>
      <c r="C3096" s="10" t="s">
        <v>2234</v>
      </c>
      <c r="D3096" s="62">
        <v>220</v>
      </c>
      <c r="E3096" s="61" t="s">
        <v>2235</v>
      </c>
      <c r="F3096" s="44" t="s">
        <v>2236</v>
      </c>
      <c r="G3096" s="24" t="s">
        <v>1278</v>
      </c>
      <c r="H3096" s="10" t="s">
        <v>2379</v>
      </c>
      <c r="I3096" s="62">
        <v>102</v>
      </c>
      <c r="J3096" s="8" t="s">
        <v>2372</v>
      </c>
      <c r="K3096" s="10" t="s">
        <v>2374</v>
      </c>
      <c r="L3096" s="10" t="s">
        <v>2229</v>
      </c>
      <c r="M3096" s="10" t="s">
        <v>2372</v>
      </c>
      <c r="N3096" s="10" t="s">
        <v>2373</v>
      </c>
      <c r="O3096" s="10"/>
    </row>
    <row r="3097" spans="1:15" ht="18" customHeight="1" x14ac:dyDescent="0.3">
      <c r="A3097" s="24">
        <v>3096</v>
      </c>
      <c r="B3097" s="10" t="s">
        <v>2212</v>
      </c>
      <c r="C3097" s="10" t="s">
        <v>2234</v>
      </c>
      <c r="D3097" s="62">
        <v>220</v>
      </c>
      <c r="E3097" s="61" t="s">
        <v>2235</v>
      </c>
      <c r="F3097" s="44" t="s">
        <v>2236</v>
      </c>
      <c r="G3097" s="24" t="s">
        <v>1278</v>
      </c>
      <c r="H3097" s="10" t="s">
        <v>2380</v>
      </c>
      <c r="I3097" s="62">
        <v>102</v>
      </c>
      <c r="J3097" s="8" t="s">
        <v>2372</v>
      </c>
      <c r="K3097" s="10" t="s">
        <v>2374</v>
      </c>
      <c r="L3097" s="10" t="s">
        <v>2229</v>
      </c>
      <c r="M3097" s="10" t="s">
        <v>2372</v>
      </c>
      <c r="N3097" s="10" t="s">
        <v>2373</v>
      </c>
      <c r="O3097" s="10"/>
    </row>
    <row r="3098" spans="1:15" ht="18" customHeight="1" x14ac:dyDescent="0.3">
      <c r="A3098" s="24">
        <v>3097</v>
      </c>
      <c r="B3098" s="10" t="s">
        <v>2212</v>
      </c>
      <c r="C3098" s="10" t="s">
        <v>2234</v>
      </c>
      <c r="D3098" s="62">
        <v>220</v>
      </c>
      <c r="E3098" s="61" t="s">
        <v>2235</v>
      </c>
      <c r="F3098" s="44" t="s">
        <v>2236</v>
      </c>
      <c r="G3098" s="24" t="s">
        <v>1278</v>
      </c>
      <c r="H3098" s="10" t="s">
        <v>2390</v>
      </c>
      <c r="I3098" s="62">
        <v>102</v>
      </c>
      <c r="J3098" s="8" t="s">
        <v>2374</v>
      </c>
      <c r="K3098" s="10" t="s">
        <v>2374</v>
      </c>
      <c r="L3098" s="10" t="s">
        <v>2229</v>
      </c>
      <c r="M3098" s="10" t="s">
        <v>2372</v>
      </c>
      <c r="N3098" s="10" t="s">
        <v>2373</v>
      </c>
      <c r="O3098" s="10"/>
    </row>
    <row r="3099" spans="1:15" ht="18" customHeight="1" x14ac:dyDescent="0.3">
      <c r="A3099" s="24">
        <v>3098</v>
      </c>
      <c r="B3099" s="10" t="s">
        <v>2212</v>
      </c>
      <c r="C3099" s="10" t="s">
        <v>2234</v>
      </c>
      <c r="D3099" s="62">
        <v>220</v>
      </c>
      <c r="E3099" s="61" t="s">
        <v>2235</v>
      </c>
      <c r="F3099" s="44" t="s">
        <v>2236</v>
      </c>
      <c r="G3099" s="24" t="s">
        <v>1278</v>
      </c>
      <c r="H3099" s="10" t="s">
        <v>2382</v>
      </c>
      <c r="I3099" s="62">
        <v>102</v>
      </c>
      <c r="J3099" s="8" t="s">
        <v>2374</v>
      </c>
      <c r="K3099" s="10" t="s">
        <v>2374</v>
      </c>
      <c r="L3099" s="10" t="s">
        <v>2229</v>
      </c>
      <c r="M3099" s="10" t="s">
        <v>2372</v>
      </c>
      <c r="N3099" s="10" t="s">
        <v>2373</v>
      </c>
      <c r="O3099" s="10"/>
    </row>
    <row r="3100" spans="1:15" ht="18" customHeight="1" x14ac:dyDescent="0.3">
      <c r="A3100" s="24">
        <v>3099</v>
      </c>
      <c r="B3100" s="10" t="s">
        <v>2212</v>
      </c>
      <c r="C3100" s="10" t="s">
        <v>2696</v>
      </c>
      <c r="D3100" s="62">
        <v>221</v>
      </c>
      <c r="E3100" s="61" t="s">
        <v>2697</v>
      </c>
      <c r="F3100" s="16" t="s">
        <v>2239</v>
      </c>
      <c r="G3100" s="10" t="s">
        <v>1278</v>
      </c>
      <c r="H3100" s="10" t="s">
        <v>2385</v>
      </c>
      <c r="I3100" s="71">
        <v>145</v>
      </c>
      <c r="J3100" s="8" t="s">
        <v>2372</v>
      </c>
      <c r="K3100" s="10" t="s">
        <v>2372</v>
      </c>
      <c r="L3100" s="10" t="s">
        <v>2373</v>
      </c>
      <c r="M3100" s="10" t="s">
        <v>2372</v>
      </c>
      <c r="N3100" s="10" t="s">
        <v>2373</v>
      </c>
      <c r="O3100" s="10"/>
    </row>
    <row r="3101" spans="1:15" ht="18" customHeight="1" x14ac:dyDescent="0.3">
      <c r="A3101" s="24">
        <v>3100</v>
      </c>
      <c r="B3101" s="10" t="s">
        <v>2212</v>
      </c>
      <c r="C3101" s="10" t="s">
        <v>2696</v>
      </c>
      <c r="D3101" s="62">
        <v>221</v>
      </c>
      <c r="E3101" s="61" t="s">
        <v>2697</v>
      </c>
      <c r="F3101" s="16" t="s">
        <v>2239</v>
      </c>
      <c r="G3101" s="10" t="s">
        <v>1278</v>
      </c>
      <c r="H3101" s="10" t="s">
        <v>2378</v>
      </c>
      <c r="I3101" s="71">
        <v>98</v>
      </c>
      <c r="J3101" s="8" t="s">
        <v>2372</v>
      </c>
      <c r="K3101" s="10" t="s">
        <v>2372</v>
      </c>
      <c r="L3101" s="10" t="s">
        <v>2373</v>
      </c>
      <c r="M3101" s="10" t="s">
        <v>2372</v>
      </c>
      <c r="N3101" s="10" t="s">
        <v>2373</v>
      </c>
      <c r="O3101" s="10"/>
    </row>
    <row r="3102" spans="1:15" ht="18" customHeight="1" x14ac:dyDescent="0.3">
      <c r="A3102" s="24">
        <v>3101</v>
      </c>
      <c r="B3102" s="10" t="s">
        <v>2212</v>
      </c>
      <c r="C3102" s="10" t="s">
        <v>2696</v>
      </c>
      <c r="D3102" s="62">
        <v>221</v>
      </c>
      <c r="E3102" s="61" t="s">
        <v>2697</v>
      </c>
      <c r="F3102" s="16" t="s">
        <v>2239</v>
      </c>
      <c r="G3102" s="10" t="s">
        <v>1278</v>
      </c>
      <c r="H3102" s="10" t="s">
        <v>2379</v>
      </c>
      <c r="I3102" s="71">
        <v>174</v>
      </c>
      <c r="J3102" s="8" t="s">
        <v>2372</v>
      </c>
      <c r="K3102" s="10" t="s">
        <v>2372</v>
      </c>
      <c r="L3102" s="10" t="s">
        <v>2373</v>
      </c>
      <c r="M3102" s="10" t="s">
        <v>2372</v>
      </c>
      <c r="N3102" s="10" t="s">
        <v>2373</v>
      </c>
      <c r="O3102" s="10"/>
    </row>
    <row r="3103" spans="1:15" ht="18" customHeight="1" x14ac:dyDescent="0.3">
      <c r="A3103" s="24">
        <v>3102</v>
      </c>
      <c r="B3103" s="10" t="s">
        <v>2212</v>
      </c>
      <c r="C3103" s="10" t="s">
        <v>2696</v>
      </c>
      <c r="D3103" s="62">
        <v>221</v>
      </c>
      <c r="E3103" s="61" t="s">
        <v>2697</v>
      </c>
      <c r="F3103" s="16" t="s">
        <v>2239</v>
      </c>
      <c r="G3103" s="10" t="s">
        <v>1278</v>
      </c>
      <c r="H3103" s="10" t="s">
        <v>2380</v>
      </c>
      <c r="I3103" s="71">
        <v>54</v>
      </c>
      <c r="J3103" s="8" t="s">
        <v>2372</v>
      </c>
      <c r="K3103" s="10" t="s">
        <v>2374</v>
      </c>
      <c r="L3103" s="10" t="s">
        <v>2229</v>
      </c>
      <c r="M3103" s="10" t="s">
        <v>2372</v>
      </c>
      <c r="N3103" s="10" t="s">
        <v>2373</v>
      </c>
      <c r="O3103" s="10"/>
    </row>
    <row r="3104" spans="1:15" ht="18" customHeight="1" x14ac:dyDescent="0.3">
      <c r="A3104" s="24">
        <v>3103</v>
      </c>
      <c r="B3104" s="10" t="s">
        <v>123</v>
      </c>
      <c r="C3104" s="10" t="s">
        <v>130</v>
      </c>
      <c r="D3104" s="62">
        <v>222</v>
      </c>
      <c r="E3104" s="61" t="s">
        <v>867</v>
      </c>
      <c r="F3104" s="16" t="s">
        <v>771</v>
      </c>
      <c r="G3104" s="10" t="s">
        <v>150</v>
      </c>
      <c r="H3104" s="10" t="s">
        <v>845</v>
      </c>
      <c r="I3104" s="62">
        <v>105</v>
      </c>
      <c r="J3104" s="10" t="s">
        <v>2372</v>
      </c>
      <c r="K3104" s="10" t="s">
        <v>847</v>
      </c>
      <c r="L3104" s="10" t="s">
        <v>2373</v>
      </c>
      <c r="M3104" s="10" t="s">
        <v>2372</v>
      </c>
      <c r="N3104" s="10" t="s">
        <v>2373</v>
      </c>
      <c r="O3104" s="10"/>
    </row>
    <row r="3105" spans="1:15" ht="18" customHeight="1" x14ac:dyDescent="0.3">
      <c r="A3105" s="24">
        <v>3104</v>
      </c>
      <c r="B3105" s="10" t="s">
        <v>123</v>
      </c>
      <c r="C3105" s="10" t="s">
        <v>130</v>
      </c>
      <c r="D3105" s="62">
        <v>222</v>
      </c>
      <c r="E3105" s="61" t="s">
        <v>867</v>
      </c>
      <c r="F3105" s="16" t="s">
        <v>771</v>
      </c>
      <c r="G3105" s="10" t="s">
        <v>150</v>
      </c>
      <c r="H3105" s="10" t="s">
        <v>848</v>
      </c>
      <c r="I3105" s="62">
        <v>93</v>
      </c>
      <c r="J3105" s="10" t="s">
        <v>2372</v>
      </c>
      <c r="K3105" s="10" t="s">
        <v>847</v>
      </c>
      <c r="L3105" s="10" t="s">
        <v>2373</v>
      </c>
      <c r="M3105" s="10" t="s">
        <v>2372</v>
      </c>
      <c r="N3105" s="10" t="s">
        <v>2373</v>
      </c>
      <c r="O3105" s="10"/>
    </row>
    <row r="3106" spans="1:15" ht="18" customHeight="1" x14ac:dyDescent="0.3">
      <c r="A3106" s="24">
        <v>3105</v>
      </c>
      <c r="B3106" s="10" t="s">
        <v>123</v>
      </c>
      <c r="C3106" s="10" t="s">
        <v>130</v>
      </c>
      <c r="D3106" s="62">
        <v>222</v>
      </c>
      <c r="E3106" s="61" t="s">
        <v>867</v>
      </c>
      <c r="F3106" s="16" t="s">
        <v>771</v>
      </c>
      <c r="G3106" s="10" t="s">
        <v>150</v>
      </c>
      <c r="H3106" s="10" t="s">
        <v>849</v>
      </c>
      <c r="I3106" s="62">
        <v>61</v>
      </c>
      <c r="J3106" s="10" t="s">
        <v>2372</v>
      </c>
      <c r="K3106" s="10" t="s">
        <v>847</v>
      </c>
      <c r="L3106" s="10" t="s">
        <v>2373</v>
      </c>
      <c r="M3106" s="10" t="s">
        <v>2372</v>
      </c>
      <c r="N3106" s="10" t="s">
        <v>2373</v>
      </c>
      <c r="O3106" s="10"/>
    </row>
    <row r="3107" spans="1:15" ht="18" customHeight="1" x14ac:dyDescent="0.3">
      <c r="A3107" s="24">
        <v>3106</v>
      </c>
      <c r="B3107" s="10" t="s">
        <v>2212</v>
      </c>
      <c r="C3107" s="10" t="s">
        <v>2240</v>
      </c>
      <c r="D3107" s="62">
        <v>223</v>
      </c>
      <c r="E3107" s="61" t="s">
        <v>2953</v>
      </c>
      <c r="F3107" s="44" t="s">
        <v>2242</v>
      </c>
      <c r="G3107" s="10" t="s">
        <v>1278</v>
      </c>
      <c r="H3107" s="10" t="s">
        <v>2385</v>
      </c>
      <c r="I3107" s="62">
        <v>81</v>
      </c>
      <c r="J3107" s="10" t="s">
        <v>2372</v>
      </c>
      <c r="K3107" s="10" t="s">
        <v>847</v>
      </c>
      <c r="L3107" s="10" t="s">
        <v>2373</v>
      </c>
      <c r="M3107" s="10" t="s">
        <v>2372</v>
      </c>
      <c r="N3107" s="10" t="s">
        <v>2373</v>
      </c>
      <c r="O3107" s="10"/>
    </row>
    <row r="3108" spans="1:15" ht="18" customHeight="1" x14ac:dyDescent="0.3">
      <c r="A3108" s="24">
        <v>3107</v>
      </c>
      <c r="B3108" s="10" t="s">
        <v>2212</v>
      </c>
      <c r="C3108" s="10" t="s">
        <v>2240</v>
      </c>
      <c r="D3108" s="62">
        <v>223</v>
      </c>
      <c r="E3108" s="61" t="s">
        <v>2953</v>
      </c>
      <c r="F3108" s="44" t="s">
        <v>2242</v>
      </c>
      <c r="G3108" s="10" t="s">
        <v>1278</v>
      </c>
      <c r="H3108" s="10" t="s">
        <v>2378</v>
      </c>
      <c r="I3108" s="62">
        <v>81</v>
      </c>
      <c r="J3108" s="10" t="s">
        <v>2372</v>
      </c>
      <c r="K3108" s="10" t="s">
        <v>847</v>
      </c>
      <c r="L3108" s="10" t="s">
        <v>2373</v>
      </c>
      <c r="M3108" s="10" t="s">
        <v>2372</v>
      </c>
      <c r="N3108" s="10" t="s">
        <v>2373</v>
      </c>
      <c r="O3108" s="10"/>
    </row>
    <row r="3109" spans="1:15" ht="18" customHeight="1" x14ac:dyDescent="0.3">
      <c r="A3109" s="24">
        <v>3108</v>
      </c>
      <c r="B3109" s="10" t="s">
        <v>2212</v>
      </c>
      <c r="C3109" s="10" t="s">
        <v>2240</v>
      </c>
      <c r="D3109" s="62">
        <v>223</v>
      </c>
      <c r="E3109" s="61" t="s">
        <v>2953</v>
      </c>
      <c r="F3109" s="44" t="s">
        <v>2242</v>
      </c>
      <c r="G3109" s="10" t="s">
        <v>1278</v>
      </c>
      <c r="H3109" s="10" t="s">
        <v>2379</v>
      </c>
      <c r="I3109" s="62">
        <v>81</v>
      </c>
      <c r="J3109" s="10" t="s">
        <v>2372</v>
      </c>
      <c r="K3109" s="10" t="s">
        <v>847</v>
      </c>
      <c r="L3109" s="10" t="s">
        <v>2373</v>
      </c>
      <c r="M3109" s="10" t="s">
        <v>2372</v>
      </c>
      <c r="N3109" s="10" t="s">
        <v>2373</v>
      </c>
      <c r="O3109" s="10"/>
    </row>
    <row r="3110" spans="1:15" ht="18" customHeight="1" x14ac:dyDescent="0.3">
      <c r="A3110" s="24">
        <v>3109</v>
      </c>
      <c r="B3110" s="10" t="s">
        <v>2212</v>
      </c>
      <c r="C3110" s="10" t="s">
        <v>2240</v>
      </c>
      <c r="D3110" s="62">
        <v>223</v>
      </c>
      <c r="E3110" s="61" t="s">
        <v>2953</v>
      </c>
      <c r="F3110" s="44" t="s">
        <v>2242</v>
      </c>
      <c r="G3110" s="10" t="s">
        <v>1278</v>
      </c>
      <c r="H3110" s="10" t="s">
        <v>2380</v>
      </c>
      <c r="I3110" s="62">
        <v>75</v>
      </c>
      <c r="J3110" s="10" t="s">
        <v>2372</v>
      </c>
      <c r="K3110" s="10" t="s">
        <v>847</v>
      </c>
      <c r="L3110" s="10" t="s">
        <v>2373</v>
      </c>
      <c r="M3110" s="10" t="s">
        <v>2372</v>
      </c>
      <c r="N3110" s="10" t="s">
        <v>2373</v>
      </c>
      <c r="O3110" s="10"/>
    </row>
    <row r="3111" spans="1:15" ht="18" customHeight="1" x14ac:dyDescent="0.3">
      <c r="A3111" s="24">
        <v>3110</v>
      </c>
      <c r="B3111" s="10" t="s">
        <v>2212</v>
      </c>
      <c r="C3111" s="10" t="s">
        <v>2240</v>
      </c>
      <c r="D3111" s="62">
        <v>223</v>
      </c>
      <c r="E3111" s="61" t="s">
        <v>2953</v>
      </c>
      <c r="F3111" s="44" t="s">
        <v>2242</v>
      </c>
      <c r="G3111" s="10" t="s">
        <v>1278</v>
      </c>
      <c r="H3111" s="10" t="s">
        <v>2390</v>
      </c>
      <c r="I3111" s="62">
        <v>81</v>
      </c>
      <c r="J3111" s="10" t="s">
        <v>2372</v>
      </c>
      <c r="K3111" s="10" t="s">
        <v>847</v>
      </c>
      <c r="L3111" s="10" t="s">
        <v>2373</v>
      </c>
      <c r="M3111" s="10" t="s">
        <v>2372</v>
      </c>
      <c r="N3111" s="10" t="s">
        <v>2373</v>
      </c>
      <c r="O3111" s="10"/>
    </row>
    <row r="3112" spans="1:15" ht="18" customHeight="1" x14ac:dyDescent="0.3">
      <c r="A3112" s="24">
        <v>3111</v>
      </c>
      <c r="B3112" s="10" t="s">
        <v>2212</v>
      </c>
      <c r="C3112" s="10" t="s">
        <v>2240</v>
      </c>
      <c r="D3112" s="62">
        <v>223</v>
      </c>
      <c r="E3112" s="61" t="s">
        <v>2953</v>
      </c>
      <c r="F3112" s="44" t="s">
        <v>2242</v>
      </c>
      <c r="G3112" s="10" t="s">
        <v>1278</v>
      </c>
      <c r="H3112" s="10" t="s">
        <v>2382</v>
      </c>
      <c r="I3112" s="62">
        <v>81</v>
      </c>
      <c r="J3112" s="10" t="s">
        <v>2372</v>
      </c>
      <c r="K3112" s="10" t="s">
        <v>847</v>
      </c>
      <c r="L3112" s="10" t="s">
        <v>2373</v>
      </c>
      <c r="M3112" s="10" t="s">
        <v>2372</v>
      </c>
      <c r="N3112" s="10" t="s">
        <v>2373</v>
      </c>
      <c r="O3112" s="10"/>
    </row>
    <row r="3113" spans="1:15" ht="18" customHeight="1" x14ac:dyDescent="0.3">
      <c r="A3113" s="24">
        <v>3112</v>
      </c>
      <c r="B3113" s="10" t="s">
        <v>2212</v>
      </c>
      <c r="C3113" s="10" t="s">
        <v>2240</v>
      </c>
      <c r="D3113" s="62">
        <v>223</v>
      </c>
      <c r="E3113" s="61" t="s">
        <v>2953</v>
      </c>
      <c r="F3113" s="44" t="s">
        <v>2242</v>
      </c>
      <c r="G3113" s="10" t="s">
        <v>1278</v>
      </c>
      <c r="H3113" s="10" t="s">
        <v>2431</v>
      </c>
      <c r="I3113" s="62">
        <v>81</v>
      </c>
      <c r="J3113" s="10" t="s">
        <v>2372</v>
      </c>
      <c r="K3113" s="10" t="s">
        <v>847</v>
      </c>
      <c r="L3113" s="10" t="s">
        <v>2373</v>
      </c>
      <c r="M3113" s="10" t="s">
        <v>2372</v>
      </c>
      <c r="N3113" s="10" t="s">
        <v>2373</v>
      </c>
      <c r="O3113" s="10"/>
    </row>
    <row r="3114" spans="1:15" ht="18" customHeight="1" x14ac:dyDescent="0.3">
      <c r="A3114" s="24">
        <v>3113</v>
      </c>
      <c r="B3114" s="10" t="s">
        <v>123</v>
      </c>
      <c r="C3114" s="10" t="s">
        <v>131</v>
      </c>
      <c r="D3114" s="62">
        <v>223</v>
      </c>
      <c r="E3114" s="61" t="s">
        <v>2698</v>
      </c>
      <c r="F3114" s="19" t="s">
        <v>754</v>
      </c>
      <c r="G3114" s="10" t="s">
        <v>160</v>
      </c>
      <c r="H3114" s="10" t="s">
        <v>845</v>
      </c>
      <c r="I3114" s="177">
        <v>92</v>
      </c>
      <c r="J3114" s="10" t="s">
        <v>2372</v>
      </c>
      <c r="K3114" s="173" t="s">
        <v>3450</v>
      </c>
      <c r="L3114" s="173" t="s">
        <v>3195</v>
      </c>
      <c r="M3114" s="10" t="s">
        <v>2372</v>
      </c>
      <c r="N3114" s="10" t="s">
        <v>2373</v>
      </c>
      <c r="O3114" s="10"/>
    </row>
    <row r="3115" spans="1:15" ht="18" customHeight="1" x14ac:dyDescent="0.3">
      <c r="A3115" s="24">
        <v>3114</v>
      </c>
      <c r="B3115" s="10" t="s">
        <v>123</v>
      </c>
      <c r="C3115" s="10" t="s">
        <v>131</v>
      </c>
      <c r="D3115" s="62">
        <v>223</v>
      </c>
      <c r="E3115" s="61" t="s">
        <v>2698</v>
      </c>
      <c r="F3115" s="19" t="s">
        <v>754</v>
      </c>
      <c r="G3115" s="10" t="s">
        <v>160</v>
      </c>
      <c r="H3115" s="10" t="s">
        <v>848</v>
      </c>
      <c r="I3115" s="177">
        <v>99</v>
      </c>
      <c r="J3115" s="10" t="s">
        <v>2372</v>
      </c>
      <c r="K3115" s="173" t="s">
        <v>3451</v>
      </c>
      <c r="L3115" s="173" t="s">
        <v>3195</v>
      </c>
      <c r="M3115" s="10" t="s">
        <v>2372</v>
      </c>
      <c r="N3115" s="10" t="s">
        <v>2373</v>
      </c>
      <c r="O3115" s="10"/>
    </row>
    <row r="3116" spans="1:15" ht="18" customHeight="1" x14ac:dyDescent="0.3">
      <c r="A3116" s="24">
        <v>3115</v>
      </c>
      <c r="B3116" s="10" t="s">
        <v>123</v>
      </c>
      <c r="C3116" s="10" t="s">
        <v>131</v>
      </c>
      <c r="D3116" s="62">
        <v>223</v>
      </c>
      <c r="E3116" s="61" t="s">
        <v>2698</v>
      </c>
      <c r="F3116" s="19" t="s">
        <v>754</v>
      </c>
      <c r="G3116" s="10" t="s">
        <v>160</v>
      </c>
      <c r="H3116" s="10" t="s">
        <v>849</v>
      </c>
      <c r="I3116" s="62">
        <v>139</v>
      </c>
      <c r="J3116" s="10" t="s">
        <v>2374</v>
      </c>
      <c r="K3116" s="10" t="s">
        <v>847</v>
      </c>
      <c r="L3116" s="10" t="s">
        <v>2373</v>
      </c>
      <c r="M3116" s="10" t="s">
        <v>2372</v>
      </c>
      <c r="N3116" s="10" t="s">
        <v>2373</v>
      </c>
      <c r="O3116" s="10"/>
    </row>
    <row r="3117" spans="1:15" ht="18" customHeight="1" x14ac:dyDescent="0.3">
      <c r="A3117" s="24">
        <v>3116</v>
      </c>
      <c r="B3117" s="10" t="s">
        <v>123</v>
      </c>
      <c r="C3117" s="10" t="s">
        <v>131</v>
      </c>
      <c r="D3117" s="62">
        <v>223</v>
      </c>
      <c r="E3117" s="61" t="s">
        <v>2698</v>
      </c>
      <c r="F3117" s="19" t="s">
        <v>754</v>
      </c>
      <c r="G3117" s="10" t="s">
        <v>160</v>
      </c>
      <c r="H3117" s="10" t="s">
        <v>850</v>
      </c>
      <c r="I3117" s="177">
        <v>83</v>
      </c>
      <c r="J3117" s="10" t="s">
        <v>2372</v>
      </c>
      <c r="K3117" s="173" t="s">
        <v>3451</v>
      </c>
      <c r="L3117" s="173" t="s">
        <v>3195</v>
      </c>
      <c r="M3117" s="10" t="s">
        <v>2372</v>
      </c>
      <c r="N3117" s="10" t="s">
        <v>2373</v>
      </c>
      <c r="O3117" s="10"/>
    </row>
    <row r="3118" spans="1:15" ht="18" customHeight="1" x14ac:dyDescent="0.3">
      <c r="A3118" s="24">
        <v>3117</v>
      </c>
      <c r="B3118" s="10" t="s">
        <v>123</v>
      </c>
      <c r="C3118" s="10" t="s">
        <v>131</v>
      </c>
      <c r="D3118" s="62">
        <v>223</v>
      </c>
      <c r="E3118" s="61" t="s">
        <v>2698</v>
      </c>
      <c r="F3118" s="19" t="s">
        <v>754</v>
      </c>
      <c r="G3118" s="10" t="s">
        <v>160</v>
      </c>
      <c r="H3118" s="10" t="s">
        <v>851</v>
      </c>
      <c r="I3118" s="177">
        <v>88</v>
      </c>
      <c r="J3118" s="10" t="s">
        <v>2372</v>
      </c>
      <c r="K3118" s="173" t="s">
        <v>3451</v>
      </c>
      <c r="L3118" s="173" t="s">
        <v>3195</v>
      </c>
      <c r="M3118" s="10" t="s">
        <v>2372</v>
      </c>
      <c r="N3118" s="10" t="s">
        <v>2373</v>
      </c>
      <c r="O3118" s="10"/>
    </row>
    <row r="3119" spans="1:15" ht="18" customHeight="1" x14ac:dyDescent="0.3">
      <c r="A3119" s="24">
        <v>3118</v>
      </c>
      <c r="B3119" s="10" t="s">
        <v>2212</v>
      </c>
      <c r="C3119" s="10" t="s">
        <v>2243</v>
      </c>
      <c r="D3119" s="8">
        <v>225</v>
      </c>
      <c r="E3119" s="56" t="s">
        <v>2244</v>
      </c>
      <c r="F3119" s="16" t="s">
        <v>2245</v>
      </c>
      <c r="G3119" s="10" t="s">
        <v>2373</v>
      </c>
      <c r="H3119" s="10" t="s">
        <v>2385</v>
      </c>
      <c r="I3119" s="62">
        <v>57</v>
      </c>
      <c r="J3119" s="10" t="s">
        <v>2374</v>
      </c>
      <c r="K3119" s="10" t="s">
        <v>847</v>
      </c>
      <c r="L3119" s="10" t="s">
        <v>2373</v>
      </c>
      <c r="M3119" s="10" t="s">
        <v>2372</v>
      </c>
      <c r="N3119" s="10" t="s">
        <v>2373</v>
      </c>
      <c r="O3119" s="10"/>
    </row>
    <row r="3120" spans="1:15" ht="18" customHeight="1" x14ac:dyDescent="0.3">
      <c r="A3120" s="24">
        <v>3119</v>
      </c>
      <c r="B3120" s="10" t="s">
        <v>2212</v>
      </c>
      <c r="C3120" s="10" t="s">
        <v>2243</v>
      </c>
      <c r="D3120" s="8">
        <v>225</v>
      </c>
      <c r="E3120" s="56" t="s">
        <v>2244</v>
      </c>
      <c r="F3120" s="16" t="s">
        <v>2245</v>
      </c>
      <c r="G3120" s="10" t="s">
        <v>2373</v>
      </c>
      <c r="H3120" s="10" t="s">
        <v>2378</v>
      </c>
      <c r="I3120" s="62">
        <v>37</v>
      </c>
      <c r="J3120" s="10" t="s">
        <v>2372</v>
      </c>
      <c r="K3120" s="10" t="s">
        <v>847</v>
      </c>
      <c r="L3120" s="10" t="s">
        <v>2373</v>
      </c>
      <c r="M3120" s="10" t="s">
        <v>2372</v>
      </c>
      <c r="N3120" s="10" t="s">
        <v>2373</v>
      </c>
      <c r="O3120" s="10"/>
    </row>
    <row r="3121" spans="1:15" ht="18" customHeight="1" x14ac:dyDescent="0.3">
      <c r="A3121" s="24">
        <v>3120</v>
      </c>
      <c r="B3121" s="10" t="s">
        <v>123</v>
      </c>
      <c r="C3121" s="10" t="s">
        <v>132</v>
      </c>
      <c r="D3121" s="62">
        <v>227</v>
      </c>
      <c r="E3121" s="61" t="s">
        <v>951</v>
      </c>
      <c r="F3121" s="11" t="s">
        <v>2250</v>
      </c>
      <c r="G3121" s="10" t="s">
        <v>2373</v>
      </c>
      <c r="H3121" s="10" t="s">
        <v>845</v>
      </c>
      <c r="I3121" s="62">
        <v>93</v>
      </c>
      <c r="J3121" s="10" t="s">
        <v>2372</v>
      </c>
      <c r="K3121" s="10" t="s">
        <v>847</v>
      </c>
      <c r="L3121" s="10" t="s">
        <v>2373</v>
      </c>
      <c r="M3121" s="10" t="s">
        <v>2372</v>
      </c>
      <c r="N3121" s="10" t="s">
        <v>2373</v>
      </c>
      <c r="O3121" s="10"/>
    </row>
    <row r="3122" spans="1:15" ht="18" customHeight="1" x14ac:dyDescent="0.3">
      <c r="A3122" s="24">
        <v>3121</v>
      </c>
      <c r="B3122" s="10" t="s">
        <v>123</v>
      </c>
      <c r="C3122" s="10" t="s">
        <v>133</v>
      </c>
      <c r="D3122" s="62">
        <v>230</v>
      </c>
      <c r="E3122" s="61" t="s">
        <v>950</v>
      </c>
      <c r="F3122" s="16" t="s">
        <v>2256</v>
      </c>
      <c r="G3122" s="10" t="s">
        <v>2373</v>
      </c>
      <c r="H3122" s="10" t="s">
        <v>845</v>
      </c>
      <c r="I3122" s="62">
        <v>54</v>
      </c>
      <c r="J3122" s="10" t="s">
        <v>2374</v>
      </c>
      <c r="K3122" s="10" t="s">
        <v>847</v>
      </c>
      <c r="L3122" s="10" t="s">
        <v>2373</v>
      </c>
      <c r="M3122" s="10" t="s">
        <v>2372</v>
      </c>
      <c r="N3122" s="10" t="s">
        <v>2373</v>
      </c>
      <c r="O3122" s="10"/>
    </row>
    <row r="3123" spans="1:15" ht="18" customHeight="1" x14ac:dyDescent="0.3">
      <c r="A3123" s="24">
        <v>3122</v>
      </c>
      <c r="B3123" s="10" t="s">
        <v>123</v>
      </c>
      <c r="C3123" s="10" t="s">
        <v>133</v>
      </c>
      <c r="D3123" s="62">
        <v>230</v>
      </c>
      <c r="E3123" s="61" t="s">
        <v>950</v>
      </c>
      <c r="F3123" s="16" t="s">
        <v>2256</v>
      </c>
      <c r="G3123" s="10" t="s">
        <v>2373</v>
      </c>
      <c r="H3123" s="10" t="s">
        <v>848</v>
      </c>
      <c r="I3123" s="62">
        <v>45</v>
      </c>
      <c r="J3123" s="10" t="s">
        <v>2372</v>
      </c>
      <c r="K3123" s="10" t="s">
        <v>847</v>
      </c>
      <c r="L3123" s="10" t="s">
        <v>2373</v>
      </c>
      <c r="M3123" s="10" t="s">
        <v>2372</v>
      </c>
      <c r="N3123" s="10" t="s">
        <v>2373</v>
      </c>
      <c r="O3123" s="10"/>
    </row>
    <row r="3124" spans="1:15" ht="18" customHeight="1" x14ac:dyDescent="0.3">
      <c r="A3124" s="24">
        <v>3123</v>
      </c>
      <c r="B3124" s="8" t="s">
        <v>2212</v>
      </c>
      <c r="C3124" s="8" t="s">
        <v>2259</v>
      </c>
      <c r="D3124" s="8">
        <v>231</v>
      </c>
      <c r="E3124" s="16" t="s">
        <v>2260</v>
      </c>
      <c r="F3124" s="16" t="s">
        <v>2261</v>
      </c>
      <c r="G3124" s="8" t="s">
        <v>2373</v>
      </c>
      <c r="H3124" s="10" t="s">
        <v>2385</v>
      </c>
      <c r="I3124" s="62">
        <v>49</v>
      </c>
      <c r="J3124" s="10" t="s">
        <v>2374</v>
      </c>
      <c r="K3124" s="10" t="s">
        <v>847</v>
      </c>
      <c r="L3124" s="10" t="s">
        <v>2373</v>
      </c>
      <c r="M3124" s="10" t="s">
        <v>2372</v>
      </c>
      <c r="N3124" s="10" t="s">
        <v>2373</v>
      </c>
      <c r="O3124" s="10"/>
    </row>
    <row r="3125" spans="1:15" ht="18" customHeight="1" x14ac:dyDescent="0.3">
      <c r="A3125" s="24">
        <v>3124</v>
      </c>
      <c r="B3125" s="8" t="s">
        <v>2212</v>
      </c>
      <c r="C3125" s="8" t="s">
        <v>2259</v>
      </c>
      <c r="D3125" s="8">
        <v>231</v>
      </c>
      <c r="E3125" s="16" t="s">
        <v>2260</v>
      </c>
      <c r="F3125" s="16" t="s">
        <v>2261</v>
      </c>
      <c r="G3125" s="8" t="s">
        <v>2373</v>
      </c>
      <c r="H3125" s="10" t="s">
        <v>2378</v>
      </c>
      <c r="I3125" s="62">
        <v>49</v>
      </c>
      <c r="J3125" s="10" t="s">
        <v>2372</v>
      </c>
      <c r="K3125" s="10" t="s">
        <v>847</v>
      </c>
      <c r="L3125" s="10" t="s">
        <v>2373</v>
      </c>
      <c r="M3125" s="10" t="s">
        <v>2372</v>
      </c>
      <c r="N3125" s="10" t="s">
        <v>2373</v>
      </c>
      <c r="O3125" s="10"/>
    </row>
    <row r="3126" spans="1:15" ht="18" customHeight="1" x14ac:dyDescent="0.3">
      <c r="A3126" s="24">
        <v>3125</v>
      </c>
      <c r="B3126" s="10" t="s">
        <v>2212</v>
      </c>
      <c r="C3126" s="10" t="s">
        <v>2699</v>
      </c>
      <c r="D3126" s="62">
        <v>232</v>
      </c>
      <c r="E3126" s="44" t="s">
        <v>2700</v>
      </c>
      <c r="F3126" s="44" t="s">
        <v>2701</v>
      </c>
      <c r="G3126" s="24" t="s">
        <v>2702</v>
      </c>
      <c r="H3126" s="10" t="s">
        <v>2385</v>
      </c>
      <c r="I3126" s="62">
        <v>47</v>
      </c>
      <c r="J3126" s="10" t="s">
        <v>2374</v>
      </c>
      <c r="K3126" s="10" t="s">
        <v>2372</v>
      </c>
      <c r="L3126" s="10" t="s">
        <v>2373</v>
      </c>
      <c r="M3126" s="10" t="s">
        <v>2372</v>
      </c>
      <c r="N3126" s="10" t="s">
        <v>2373</v>
      </c>
      <c r="O3126" s="10"/>
    </row>
    <row r="3127" spans="1:15" ht="18" customHeight="1" x14ac:dyDescent="0.3">
      <c r="A3127" s="24">
        <v>3126</v>
      </c>
      <c r="B3127" s="10" t="s">
        <v>2212</v>
      </c>
      <c r="C3127" s="10" t="s">
        <v>2699</v>
      </c>
      <c r="D3127" s="62">
        <v>232</v>
      </c>
      <c r="E3127" s="44" t="s">
        <v>2700</v>
      </c>
      <c r="F3127" s="44" t="s">
        <v>2701</v>
      </c>
      <c r="G3127" s="8" t="s">
        <v>2233</v>
      </c>
      <c r="H3127" s="10" t="s">
        <v>2378</v>
      </c>
      <c r="I3127" s="62">
        <v>47</v>
      </c>
      <c r="J3127" s="10" t="s">
        <v>2372</v>
      </c>
      <c r="K3127" s="10" t="s">
        <v>2372</v>
      </c>
      <c r="L3127" s="10" t="s">
        <v>2373</v>
      </c>
      <c r="M3127" s="10" t="s">
        <v>2372</v>
      </c>
      <c r="N3127" s="10" t="s">
        <v>2373</v>
      </c>
      <c r="O3127" s="10"/>
    </row>
    <row r="3128" spans="1:15" ht="18" customHeight="1" x14ac:dyDescent="0.3">
      <c r="A3128" s="24">
        <v>3127</v>
      </c>
      <c r="B3128" s="10" t="s">
        <v>123</v>
      </c>
      <c r="C3128" s="10" t="s">
        <v>134</v>
      </c>
      <c r="D3128" s="62">
        <v>233</v>
      </c>
      <c r="E3128" s="61" t="s">
        <v>868</v>
      </c>
      <c r="F3128" s="16" t="s">
        <v>2270</v>
      </c>
      <c r="G3128" s="10" t="s">
        <v>160</v>
      </c>
      <c r="H3128" s="10" t="s">
        <v>845</v>
      </c>
      <c r="I3128" s="62">
        <v>75</v>
      </c>
      <c r="J3128" s="10" t="s">
        <v>2372</v>
      </c>
      <c r="K3128" s="10" t="s">
        <v>847</v>
      </c>
      <c r="L3128" s="10" t="s">
        <v>2373</v>
      </c>
      <c r="M3128" s="10" t="s">
        <v>2372</v>
      </c>
      <c r="N3128" s="10" t="s">
        <v>2373</v>
      </c>
      <c r="O3128" s="10"/>
    </row>
    <row r="3129" spans="1:15" ht="18" customHeight="1" x14ac:dyDescent="0.3">
      <c r="A3129" s="24">
        <v>3128</v>
      </c>
      <c r="B3129" s="10" t="s">
        <v>123</v>
      </c>
      <c r="C3129" s="10" t="s">
        <v>134</v>
      </c>
      <c r="D3129" s="62">
        <v>233</v>
      </c>
      <c r="E3129" s="61" t="s">
        <v>868</v>
      </c>
      <c r="F3129" s="16" t="s">
        <v>2270</v>
      </c>
      <c r="G3129" s="10" t="s">
        <v>160</v>
      </c>
      <c r="H3129" s="10" t="s">
        <v>848</v>
      </c>
      <c r="I3129" s="62">
        <v>88</v>
      </c>
      <c r="J3129" s="10" t="s">
        <v>2372</v>
      </c>
      <c r="K3129" s="10" t="s">
        <v>847</v>
      </c>
      <c r="L3129" s="10" t="s">
        <v>2373</v>
      </c>
      <c r="M3129" s="10" t="s">
        <v>2372</v>
      </c>
      <c r="N3129" s="10" t="s">
        <v>2373</v>
      </c>
      <c r="O3129" s="10"/>
    </row>
    <row r="3130" spans="1:15" ht="18" customHeight="1" x14ac:dyDescent="0.3">
      <c r="A3130" s="24">
        <v>3129</v>
      </c>
      <c r="B3130" s="10" t="s">
        <v>123</v>
      </c>
      <c r="C3130" s="10" t="s">
        <v>134</v>
      </c>
      <c r="D3130" s="62">
        <v>233</v>
      </c>
      <c r="E3130" s="61" t="s">
        <v>868</v>
      </c>
      <c r="F3130" s="16" t="s">
        <v>1026</v>
      </c>
      <c r="G3130" s="10" t="s">
        <v>160</v>
      </c>
      <c r="H3130" s="10" t="s">
        <v>849</v>
      </c>
      <c r="I3130" s="62">
        <v>101</v>
      </c>
      <c r="J3130" s="10" t="s">
        <v>2374</v>
      </c>
      <c r="K3130" s="10" t="s">
        <v>847</v>
      </c>
      <c r="L3130" s="10" t="s">
        <v>2373</v>
      </c>
      <c r="M3130" s="10" t="s">
        <v>2372</v>
      </c>
      <c r="N3130" s="10" t="s">
        <v>2373</v>
      </c>
      <c r="O3130" s="10"/>
    </row>
    <row r="3131" spans="1:15" ht="18" customHeight="1" x14ac:dyDescent="0.3">
      <c r="A3131" s="24">
        <v>3130</v>
      </c>
      <c r="B3131" s="10" t="s">
        <v>123</v>
      </c>
      <c r="C3131" s="10" t="s">
        <v>134</v>
      </c>
      <c r="D3131" s="62">
        <v>233</v>
      </c>
      <c r="E3131" s="61" t="s">
        <v>868</v>
      </c>
      <c r="F3131" s="16" t="s">
        <v>1026</v>
      </c>
      <c r="G3131" s="10" t="s">
        <v>160</v>
      </c>
      <c r="H3131" s="10" t="s">
        <v>850</v>
      </c>
      <c r="I3131" s="62">
        <v>69</v>
      </c>
      <c r="J3131" s="10" t="s">
        <v>2372</v>
      </c>
      <c r="K3131" s="10" t="s">
        <v>847</v>
      </c>
      <c r="L3131" s="10" t="s">
        <v>2373</v>
      </c>
      <c r="M3131" s="10" t="s">
        <v>2372</v>
      </c>
      <c r="N3131" s="10" t="s">
        <v>2373</v>
      </c>
      <c r="O3131" s="10"/>
    </row>
    <row r="3132" spans="1:15" ht="18" customHeight="1" x14ac:dyDescent="0.3">
      <c r="A3132" s="24">
        <v>3131</v>
      </c>
      <c r="B3132" s="10" t="s">
        <v>123</v>
      </c>
      <c r="C3132" s="10" t="s">
        <v>134</v>
      </c>
      <c r="D3132" s="62">
        <v>233</v>
      </c>
      <c r="E3132" s="61" t="s">
        <v>868</v>
      </c>
      <c r="F3132" s="16" t="s">
        <v>1026</v>
      </c>
      <c r="G3132" s="10" t="s">
        <v>160</v>
      </c>
      <c r="H3132" s="10" t="s">
        <v>851</v>
      </c>
      <c r="I3132" s="62">
        <v>69</v>
      </c>
      <c r="J3132" s="10" t="s">
        <v>2372</v>
      </c>
      <c r="K3132" s="10" t="s">
        <v>847</v>
      </c>
      <c r="L3132" s="10" t="s">
        <v>2373</v>
      </c>
      <c r="M3132" s="10" t="s">
        <v>2372</v>
      </c>
      <c r="N3132" s="10" t="s">
        <v>2373</v>
      </c>
      <c r="O3132" s="10"/>
    </row>
    <row r="3133" spans="1:15" ht="18" customHeight="1" x14ac:dyDescent="0.3">
      <c r="A3133" s="24">
        <v>3132</v>
      </c>
      <c r="B3133" s="10" t="s">
        <v>123</v>
      </c>
      <c r="C3133" s="10" t="s">
        <v>134</v>
      </c>
      <c r="D3133" s="62">
        <v>233</v>
      </c>
      <c r="E3133" s="61" t="s">
        <v>868</v>
      </c>
      <c r="F3133" s="16" t="s">
        <v>1026</v>
      </c>
      <c r="G3133" s="10" t="s">
        <v>160</v>
      </c>
      <c r="H3133" s="10" t="s">
        <v>852</v>
      </c>
      <c r="I3133" s="62">
        <v>69</v>
      </c>
      <c r="J3133" s="10" t="s">
        <v>2372</v>
      </c>
      <c r="K3133" s="10" t="s">
        <v>847</v>
      </c>
      <c r="L3133" s="10" t="s">
        <v>2373</v>
      </c>
      <c r="M3133" s="10" t="s">
        <v>2372</v>
      </c>
      <c r="N3133" s="10" t="s">
        <v>2373</v>
      </c>
      <c r="O3133" s="10"/>
    </row>
    <row r="3134" spans="1:15" ht="18" customHeight="1" x14ac:dyDescent="0.3">
      <c r="A3134" s="24">
        <v>3133</v>
      </c>
      <c r="B3134" s="10" t="s">
        <v>2212</v>
      </c>
      <c r="C3134" s="10" t="s">
        <v>2703</v>
      </c>
      <c r="D3134" s="62">
        <v>235</v>
      </c>
      <c r="E3134" s="56" t="s">
        <v>2272</v>
      </c>
      <c r="F3134" s="16" t="s">
        <v>2273</v>
      </c>
      <c r="G3134" s="10" t="s">
        <v>2373</v>
      </c>
      <c r="H3134" s="10" t="s">
        <v>2385</v>
      </c>
      <c r="I3134" s="62">
        <v>87</v>
      </c>
      <c r="J3134" s="10" t="s">
        <v>2374</v>
      </c>
      <c r="K3134" s="10" t="s">
        <v>847</v>
      </c>
      <c r="L3134" s="10" t="s">
        <v>2373</v>
      </c>
      <c r="M3134" s="10" t="s">
        <v>2372</v>
      </c>
      <c r="N3134" s="10" t="s">
        <v>2373</v>
      </c>
      <c r="O3134" s="10"/>
    </row>
    <row r="3135" spans="1:15" ht="18" customHeight="1" x14ac:dyDescent="0.3">
      <c r="A3135" s="24">
        <v>3134</v>
      </c>
      <c r="B3135" s="10" t="s">
        <v>135</v>
      </c>
      <c r="C3135" s="10" t="s">
        <v>2292</v>
      </c>
      <c r="D3135" s="62">
        <v>237</v>
      </c>
      <c r="E3135" s="61" t="s">
        <v>948</v>
      </c>
      <c r="F3135" s="16" t="s">
        <v>2280</v>
      </c>
      <c r="G3135" s="10" t="s">
        <v>2373</v>
      </c>
      <c r="H3135" s="10" t="s">
        <v>845</v>
      </c>
      <c r="I3135" s="62">
        <v>51</v>
      </c>
      <c r="J3135" s="10" t="s">
        <v>2372</v>
      </c>
      <c r="K3135" s="10" t="s">
        <v>847</v>
      </c>
      <c r="L3135" s="10" t="s">
        <v>2373</v>
      </c>
      <c r="M3135" s="10" t="s">
        <v>2374</v>
      </c>
      <c r="N3135" s="10" t="s">
        <v>1234</v>
      </c>
      <c r="O3135" s="10"/>
    </row>
    <row r="3136" spans="1:15" ht="18" customHeight="1" x14ac:dyDescent="0.3">
      <c r="A3136" s="24">
        <v>3135</v>
      </c>
      <c r="B3136" s="10" t="s">
        <v>135</v>
      </c>
      <c r="C3136" s="10" t="s">
        <v>2292</v>
      </c>
      <c r="D3136" s="62">
        <v>237</v>
      </c>
      <c r="E3136" s="61" t="s">
        <v>865</v>
      </c>
      <c r="F3136" s="11" t="s">
        <v>808</v>
      </c>
      <c r="G3136" s="10" t="s">
        <v>150</v>
      </c>
      <c r="H3136" s="10" t="s">
        <v>2385</v>
      </c>
      <c r="I3136" s="62">
        <v>134</v>
      </c>
      <c r="J3136" s="10" t="s">
        <v>2372</v>
      </c>
      <c r="K3136" s="10" t="s">
        <v>2374</v>
      </c>
      <c r="L3136" s="10" t="s">
        <v>1422</v>
      </c>
      <c r="M3136" s="10" t="s">
        <v>2372</v>
      </c>
      <c r="N3136" s="10" t="s">
        <v>2373</v>
      </c>
      <c r="O3136" s="10"/>
    </row>
    <row r="3137" spans="1:15" ht="18" customHeight="1" x14ac:dyDescent="0.3">
      <c r="A3137" s="24">
        <v>3136</v>
      </c>
      <c r="B3137" s="10" t="s">
        <v>135</v>
      </c>
      <c r="C3137" s="10" t="s">
        <v>2292</v>
      </c>
      <c r="D3137" s="62">
        <v>237</v>
      </c>
      <c r="E3137" s="61" t="s">
        <v>865</v>
      </c>
      <c r="F3137" s="11" t="s">
        <v>808</v>
      </c>
      <c r="G3137" s="10" t="s">
        <v>150</v>
      </c>
      <c r="H3137" s="10" t="s">
        <v>848</v>
      </c>
      <c r="I3137" s="62">
        <v>128</v>
      </c>
      <c r="J3137" s="10" t="s">
        <v>2372</v>
      </c>
      <c r="K3137" s="10" t="s">
        <v>847</v>
      </c>
      <c r="L3137" s="10" t="s">
        <v>2373</v>
      </c>
      <c r="M3137" s="10" t="s">
        <v>2372</v>
      </c>
      <c r="N3137" s="10" t="s">
        <v>2373</v>
      </c>
      <c r="O3137" s="10"/>
    </row>
    <row r="3138" spans="1:15" ht="18" customHeight="1" x14ac:dyDescent="0.3">
      <c r="A3138" s="24">
        <v>3137</v>
      </c>
      <c r="B3138" s="10" t="s">
        <v>135</v>
      </c>
      <c r="C3138" s="10" t="s">
        <v>2292</v>
      </c>
      <c r="D3138" s="62">
        <v>237</v>
      </c>
      <c r="E3138" s="61" t="s">
        <v>865</v>
      </c>
      <c r="F3138" s="11" t="s">
        <v>808</v>
      </c>
      <c r="G3138" s="10" t="s">
        <v>150</v>
      </c>
      <c r="H3138" s="10" t="s">
        <v>849</v>
      </c>
      <c r="I3138" s="62">
        <v>252</v>
      </c>
      <c r="J3138" s="10" t="s">
        <v>2372</v>
      </c>
      <c r="K3138" s="10" t="s">
        <v>847</v>
      </c>
      <c r="L3138" s="10" t="s">
        <v>2373</v>
      </c>
      <c r="M3138" s="10" t="s">
        <v>2372</v>
      </c>
      <c r="N3138" s="10" t="s">
        <v>2373</v>
      </c>
      <c r="O3138" s="10"/>
    </row>
    <row r="3139" spans="1:15" ht="18" customHeight="1" x14ac:dyDescent="0.3">
      <c r="A3139" s="24">
        <v>3138</v>
      </c>
      <c r="B3139" s="10" t="s">
        <v>135</v>
      </c>
      <c r="C3139" s="10" t="s">
        <v>2292</v>
      </c>
      <c r="D3139" s="62">
        <v>237</v>
      </c>
      <c r="E3139" s="61" t="s">
        <v>865</v>
      </c>
      <c r="F3139" s="11" t="s">
        <v>808</v>
      </c>
      <c r="G3139" s="10" t="s">
        <v>150</v>
      </c>
      <c r="H3139" s="10" t="s">
        <v>850</v>
      </c>
      <c r="I3139" s="62">
        <v>252</v>
      </c>
      <c r="J3139" s="10" t="s">
        <v>2372</v>
      </c>
      <c r="K3139" s="10" t="s">
        <v>847</v>
      </c>
      <c r="L3139" s="10" t="s">
        <v>2373</v>
      </c>
      <c r="M3139" s="10" t="s">
        <v>2372</v>
      </c>
      <c r="N3139" s="10" t="s">
        <v>2373</v>
      </c>
      <c r="O3139" s="10"/>
    </row>
    <row r="3140" spans="1:15" ht="18" customHeight="1" x14ac:dyDescent="0.3">
      <c r="A3140" s="24">
        <v>3139</v>
      </c>
      <c r="B3140" s="10" t="s">
        <v>135</v>
      </c>
      <c r="C3140" s="10" t="s">
        <v>2292</v>
      </c>
      <c r="D3140" s="62">
        <v>237</v>
      </c>
      <c r="E3140" s="61" t="s">
        <v>865</v>
      </c>
      <c r="F3140" s="11" t="s">
        <v>808</v>
      </c>
      <c r="G3140" s="10" t="s">
        <v>150</v>
      </c>
      <c r="H3140" s="10" t="s">
        <v>851</v>
      </c>
      <c r="I3140" s="62">
        <v>161</v>
      </c>
      <c r="J3140" s="10" t="s">
        <v>2372</v>
      </c>
      <c r="K3140" s="10" t="s">
        <v>847</v>
      </c>
      <c r="L3140" s="10" t="s">
        <v>2373</v>
      </c>
      <c r="M3140" s="10" t="s">
        <v>2372</v>
      </c>
      <c r="N3140" s="10" t="s">
        <v>2373</v>
      </c>
      <c r="O3140" s="10"/>
    </row>
    <row r="3141" spans="1:15" ht="18" customHeight="1" x14ac:dyDescent="0.3">
      <c r="A3141" s="24">
        <v>3140</v>
      </c>
      <c r="B3141" s="10" t="s">
        <v>135</v>
      </c>
      <c r="C3141" s="10" t="s">
        <v>2292</v>
      </c>
      <c r="D3141" s="62">
        <v>237</v>
      </c>
      <c r="E3141" s="61" t="s">
        <v>865</v>
      </c>
      <c r="F3141" s="11" t="s">
        <v>808</v>
      </c>
      <c r="G3141" s="10" t="s">
        <v>150</v>
      </c>
      <c r="H3141" s="10" t="s">
        <v>2382</v>
      </c>
      <c r="I3141" s="62">
        <v>116</v>
      </c>
      <c r="J3141" s="10" t="s">
        <v>2372</v>
      </c>
      <c r="K3141" s="10" t="s">
        <v>2374</v>
      </c>
      <c r="L3141" s="10" t="s">
        <v>2704</v>
      </c>
      <c r="M3141" s="10" t="s">
        <v>2372</v>
      </c>
      <c r="N3141" s="10" t="s">
        <v>2373</v>
      </c>
      <c r="O3141" s="10"/>
    </row>
    <row r="3142" spans="1:15" ht="18" customHeight="1" x14ac:dyDescent="0.3">
      <c r="A3142" s="24">
        <v>3141</v>
      </c>
      <c r="B3142" s="10" t="s">
        <v>135</v>
      </c>
      <c r="C3142" s="10" t="s">
        <v>2292</v>
      </c>
      <c r="D3142" s="62">
        <v>237</v>
      </c>
      <c r="E3142" s="61" t="s">
        <v>2705</v>
      </c>
      <c r="F3142" s="16" t="s">
        <v>2286</v>
      </c>
      <c r="G3142" s="10" t="s">
        <v>160</v>
      </c>
      <c r="H3142" s="10" t="s">
        <v>845</v>
      </c>
      <c r="I3142" s="62">
        <v>55</v>
      </c>
      <c r="J3142" s="8" t="s">
        <v>2374</v>
      </c>
      <c r="K3142" s="173" t="s">
        <v>860</v>
      </c>
      <c r="L3142" s="173" t="s">
        <v>2229</v>
      </c>
      <c r="M3142" s="10" t="s">
        <v>2372</v>
      </c>
      <c r="N3142" s="10" t="s">
        <v>2373</v>
      </c>
      <c r="O3142" s="10"/>
    </row>
    <row r="3143" spans="1:15" ht="18" customHeight="1" x14ac:dyDescent="0.3">
      <c r="A3143" s="24">
        <v>3142</v>
      </c>
      <c r="B3143" s="10" t="s">
        <v>135</v>
      </c>
      <c r="C3143" s="10" t="s">
        <v>2292</v>
      </c>
      <c r="D3143" s="62">
        <v>237</v>
      </c>
      <c r="E3143" s="61" t="s">
        <v>2705</v>
      </c>
      <c r="F3143" s="16" t="s">
        <v>2286</v>
      </c>
      <c r="G3143" s="10" t="s">
        <v>160</v>
      </c>
      <c r="H3143" s="10" t="s">
        <v>848</v>
      </c>
      <c r="I3143" s="62">
        <v>54</v>
      </c>
      <c r="J3143" s="8" t="s">
        <v>2372</v>
      </c>
      <c r="K3143" s="173" t="s">
        <v>860</v>
      </c>
      <c r="L3143" s="173" t="s">
        <v>2229</v>
      </c>
      <c r="M3143" s="10" t="s">
        <v>2372</v>
      </c>
      <c r="N3143" s="10" t="s">
        <v>2373</v>
      </c>
      <c r="O3143" s="10"/>
    </row>
    <row r="3144" spans="1:15" ht="18" customHeight="1" x14ac:dyDescent="0.3">
      <c r="A3144" s="24">
        <v>3143</v>
      </c>
      <c r="B3144" s="10" t="s">
        <v>135</v>
      </c>
      <c r="C3144" s="10" t="s">
        <v>2292</v>
      </c>
      <c r="D3144" s="62">
        <v>237</v>
      </c>
      <c r="E3144" s="61" t="s">
        <v>2705</v>
      </c>
      <c r="F3144" s="16" t="s">
        <v>1022</v>
      </c>
      <c r="G3144" s="10" t="s">
        <v>160</v>
      </c>
      <c r="H3144" s="10" t="s">
        <v>849</v>
      </c>
      <c r="I3144" s="62">
        <v>84</v>
      </c>
      <c r="J3144" s="8" t="s">
        <v>2374</v>
      </c>
      <c r="K3144" s="173" t="s">
        <v>860</v>
      </c>
      <c r="L3144" s="173" t="s">
        <v>2229</v>
      </c>
      <c r="M3144" s="10" t="s">
        <v>2372</v>
      </c>
      <c r="N3144" s="10" t="s">
        <v>2373</v>
      </c>
      <c r="O3144" s="10"/>
    </row>
    <row r="3145" spans="1:15" ht="18" customHeight="1" x14ac:dyDescent="0.3">
      <c r="A3145" s="24">
        <v>3144</v>
      </c>
      <c r="B3145" s="10" t="s">
        <v>135</v>
      </c>
      <c r="C3145" s="10" t="s">
        <v>2292</v>
      </c>
      <c r="D3145" s="62">
        <v>237</v>
      </c>
      <c r="E3145" s="61" t="s">
        <v>2705</v>
      </c>
      <c r="F3145" s="16" t="s">
        <v>1022</v>
      </c>
      <c r="G3145" s="10" t="s">
        <v>160</v>
      </c>
      <c r="H3145" s="10" t="s">
        <v>850</v>
      </c>
      <c r="I3145" s="62">
        <v>46</v>
      </c>
      <c r="J3145" s="8" t="s">
        <v>2372</v>
      </c>
      <c r="K3145" s="173" t="s">
        <v>860</v>
      </c>
      <c r="L3145" s="173" t="s">
        <v>2229</v>
      </c>
      <c r="M3145" s="10" t="s">
        <v>2372</v>
      </c>
      <c r="N3145" s="10" t="s">
        <v>2373</v>
      </c>
      <c r="O3145" s="10"/>
    </row>
    <row r="3146" spans="1:15" ht="18" customHeight="1" x14ac:dyDescent="0.3">
      <c r="A3146" s="24">
        <v>3145</v>
      </c>
      <c r="B3146" s="10" t="s">
        <v>135</v>
      </c>
      <c r="C3146" s="10" t="s">
        <v>2292</v>
      </c>
      <c r="D3146" s="62">
        <v>237</v>
      </c>
      <c r="E3146" s="61" t="s">
        <v>2705</v>
      </c>
      <c r="F3146" s="16" t="s">
        <v>1022</v>
      </c>
      <c r="G3146" s="10" t="s">
        <v>160</v>
      </c>
      <c r="H3146" s="10" t="s">
        <v>851</v>
      </c>
      <c r="I3146" s="62">
        <v>55</v>
      </c>
      <c r="J3146" s="8" t="s">
        <v>2372</v>
      </c>
      <c r="K3146" s="173" t="s">
        <v>860</v>
      </c>
      <c r="L3146" s="173" t="s">
        <v>2229</v>
      </c>
      <c r="M3146" s="10" t="s">
        <v>2372</v>
      </c>
      <c r="N3146" s="10" t="s">
        <v>2373</v>
      </c>
      <c r="O3146" s="10"/>
    </row>
    <row r="3147" spans="1:15" ht="18" customHeight="1" x14ac:dyDescent="0.3">
      <c r="A3147" s="24">
        <v>3146</v>
      </c>
      <c r="B3147" s="10" t="s">
        <v>135</v>
      </c>
      <c r="C3147" s="10" t="s">
        <v>2292</v>
      </c>
      <c r="D3147" s="62">
        <v>237</v>
      </c>
      <c r="E3147" s="61" t="s">
        <v>2705</v>
      </c>
      <c r="F3147" s="16" t="s">
        <v>1022</v>
      </c>
      <c r="G3147" s="10" t="s">
        <v>160</v>
      </c>
      <c r="H3147" s="10" t="s">
        <v>852</v>
      </c>
      <c r="I3147" s="62">
        <v>54</v>
      </c>
      <c r="J3147" s="8" t="s">
        <v>2372</v>
      </c>
      <c r="K3147" s="173" t="s">
        <v>860</v>
      </c>
      <c r="L3147" s="173" t="s">
        <v>2229</v>
      </c>
      <c r="M3147" s="10" t="s">
        <v>2372</v>
      </c>
      <c r="N3147" s="10" t="s">
        <v>2373</v>
      </c>
      <c r="O3147" s="10"/>
    </row>
    <row r="3148" spans="1:15" ht="18" customHeight="1" x14ac:dyDescent="0.3">
      <c r="A3148" s="24">
        <v>3147</v>
      </c>
      <c r="B3148" s="10" t="s">
        <v>135</v>
      </c>
      <c r="C3148" s="10" t="s">
        <v>2292</v>
      </c>
      <c r="D3148" s="62">
        <v>237</v>
      </c>
      <c r="E3148" s="61" t="s">
        <v>2954</v>
      </c>
      <c r="F3148" s="19" t="s">
        <v>801</v>
      </c>
      <c r="G3148" s="10" t="s">
        <v>150</v>
      </c>
      <c r="H3148" s="10" t="s">
        <v>845</v>
      </c>
      <c r="I3148" s="62">
        <v>136</v>
      </c>
      <c r="J3148" s="10" t="s">
        <v>2374</v>
      </c>
      <c r="K3148" s="10" t="s">
        <v>847</v>
      </c>
      <c r="L3148" s="10" t="s">
        <v>2373</v>
      </c>
      <c r="M3148" s="10" t="s">
        <v>2372</v>
      </c>
      <c r="N3148" s="10" t="s">
        <v>2373</v>
      </c>
      <c r="O3148" s="10"/>
    </row>
    <row r="3149" spans="1:15" ht="18" customHeight="1" x14ac:dyDescent="0.3">
      <c r="A3149" s="24">
        <v>3148</v>
      </c>
      <c r="B3149" s="10" t="s">
        <v>135</v>
      </c>
      <c r="C3149" s="10" t="s">
        <v>2292</v>
      </c>
      <c r="D3149" s="62">
        <v>237</v>
      </c>
      <c r="E3149" s="61" t="s">
        <v>2954</v>
      </c>
      <c r="F3149" s="19" t="s">
        <v>801</v>
      </c>
      <c r="G3149" s="10" t="s">
        <v>150</v>
      </c>
      <c r="H3149" s="10" t="s">
        <v>848</v>
      </c>
      <c r="I3149" s="62">
        <v>137</v>
      </c>
      <c r="J3149" s="10" t="s">
        <v>2374</v>
      </c>
      <c r="K3149" s="10" t="s">
        <v>847</v>
      </c>
      <c r="L3149" s="10" t="s">
        <v>2373</v>
      </c>
      <c r="M3149" s="10" t="s">
        <v>2372</v>
      </c>
      <c r="N3149" s="10" t="s">
        <v>2373</v>
      </c>
      <c r="O3149" s="10"/>
    </row>
    <row r="3150" spans="1:15" ht="18" customHeight="1" x14ac:dyDescent="0.3">
      <c r="A3150" s="24">
        <v>3149</v>
      </c>
      <c r="B3150" s="10" t="s">
        <v>135</v>
      </c>
      <c r="C3150" s="10" t="s">
        <v>2292</v>
      </c>
      <c r="D3150" s="62">
        <v>237</v>
      </c>
      <c r="E3150" s="61" t="s">
        <v>2954</v>
      </c>
      <c r="F3150" s="19" t="s">
        <v>801</v>
      </c>
      <c r="G3150" s="10" t="s">
        <v>150</v>
      </c>
      <c r="H3150" s="10" t="s">
        <v>849</v>
      </c>
      <c r="I3150" s="62">
        <v>98</v>
      </c>
      <c r="J3150" s="10" t="s">
        <v>2372</v>
      </c>
      <c r="K3150" s="10" t="s">
        <v>847</v>
      </c>
      <c r="L3150" s="10" t="s">
        <v>2373</v>
      </c>
      <c r="M3150" s="10" t="s">
        <v>2372</v>
      </c>
      <c r="N3150" s="10" t="s">
        <v>2373</v>
      </c>
      <c r="O3150" s="10"/>
    </row>
    <row r="3151" spans="1:15" ht="18" customHeight="1" x14ac:dyDescent="0.3">
      <c r="A3151" s="24">
        <v>3150</v>
      </c>
      <c r="B3151" s="10" t="s">
        <v>135</v>
      </c>
      <c r="C3151" s="10" t="s">
        <v>2292</v>
      </c>
      <c r="D3151" s="62">
        <v>237</v>
      </c>
      <c r="E3151" s="61" t="s">
        <v>2954</v>
      </c>
      <c r="F3151" s="19" t="s">
        <v>801</v>
      </c>
      <c r="G3151" s="10" t="s">
        <v>150</v>
      </c>
      <c r="H3151" s="10" t="s">
        <v>850</v>
      </c>
      <c r="I3151" s="62">
        <v>268</v>
      </c>
      <c r="J3151" s="10" t="s">
        <v>2374</v>
      </c>
      <c r="K3151" s="10" t="s">
        <v>847</v>
      </c>
      <c r="L3151" s="10" t="s">
        <v>2373</v>
      </c>
      <c r="M3151" s="10" t="s">
        <v>2372</v>
      </c>
      <c r="N3151" s="10" t="s">
        <v>2373</v>
      </c>
      <c r="O3151" s="10"/>
    </row>
    <row r="3152" spans="1:15" ht="18" customHeight="1" x14ac:dyDescent="0.3">
      <c r="A3152" s="24">
        <v>3151</v>
      </c>
      <c r="B3152" s="10" t="s">
        <v>135</v>
      </c>
      <c r="C3152" s="10" t="s">
        <v>2292</v>
      </c>
      <c r="D3152" s="62">
        <v>237</v>
      </c>
      <c r="E3152" s="61" t="s">
        <v>2954</v>
      </c>
      <c r="F3152" s="19" t="s">
        <v>801</v>
      </c>
      <c r="G3152" s="10" t="s">
        <v>150</v>
      </c>
      <c r="H3152" s="10" t="s">
        <v>851</v>
      </c>
      <c r="I3152" s="62">
        <v>136</v>
      </c>
      <c r="J3152" s="10" t="s">
        <v>2372</v>
      </c>
      <c r="K3152" s="10" t="s">
        <v>847</v>
      </c>
      <c r="L3152" s="10" t="s">
        <v>2373</v>
      </c>
      <c r="M3152" s="10" t="s">
        <v>2372</v>
      </c>
      <c r="N3152" s="10" t="s">
        <v>2373</v>
      </c>
      <c r="O3152" s="10"/>
    </row>
    <row r="3153" spans="1:15" ht="18" customHeight="1" x14ac:dyDescent="0.3">
      <c r="A3153" s="24">
        <v>3152</v>
      </c>
      <c r="B3153" s="10" t="s">
        <v>135</v>
      </c>
      <c r="C3153" s="10" t="s">
        <v>2292</v>
      </c>
      <c r="D3153" s="62">
        <v>237</v>
      </c>
      <c r="E3153" s="61" t="s">
        <v>2954</v>
      </c>
      <c r="F3153" s="19" t="s">
        <v>801</v>
      </c>
      <c r="G3153" s="10" t="s">
        <v>150</v>
      </c>
      <c r="H3153" s="10" t="s">
        <v>852</v>
      </c>
      <c r="I3153" s="62">
        <v>137</v>
      </c>
      <c r="J3153" s="10" t="s">
        <v>2372</v>
      </c>
      <c r="K3153" s="10" t="s">
        <v>847</v>
      </c>
      <c r="L3153" s="10" t="s">
        <v>2373</v>
      </c>
      <c r="M3153" s="10" t="s">
        <v>2372</v>
      </c>
      <c r="N3153" s="10" t="s">
        <v>2373</v>
      </c>
      <c r="O3153" s="10"/>
    </row>
    <row r="3154" spans="1:15" ht="18" customHeight="1" x14ac:dyDescent="0.3">
      <c r="A3154" s="24">
        <v>3153</v>
      </c>
      <c r="B3154" s="10" t="s">
        <v>135</v>
      </c>
      <c r="C3154" s="10" t="s">
        <v>2292</v>
      </c>
      <c r="D3154" s="62">
        <v>237</v>
      </c>
      <c r="E3154" s="61" t="s">
        <v>2954</v>
      </c>
      <c r="F3154" s="19" t="s">
        <v>801</v>
      </c>
      <c r="G3154" s="10" t="s">
        <v>150</v>
      </c>
      <c r="H3154" s="10" t="s">
        <v>854</v>
      </c>
      <c r="I3154" s="62">
        <v>266</v>
      </c>
      <c r="J3154" s="10" t="s">
        <v>2374</v>
      </c>
      <c r="K3154" s="10" t="s">
        <v>847</v>
      </c>
      <c r="L3154" s="10" t="s">
        <v>2373</v>
      </c>
      <c r="M3154" s="10" t="s">
        <v>2372</v>
      </c>
      <c r="N3154" s="10" t="s">
        <v>2373</v>
      </c>
      <c r="O3154" s="10"/>
    </row>
    <row r="3155" spans="1:15" ht="18" customHeight="1" x14ac:dyDescent="0.3">
      <c r="A3155" s="24">
        <v>3154</v>
      </c>
      <c r="B3155" s="10" t="s">
        <v>135</v>
      </c>
      <c r="C3155" s="10" t="s">
        <v>2292</v>
      </c>
      <c r="D3155" s="62">
        <v>237</v>
      </c>
      <c r="E3155" s="61" t="s">
        <v>2289</v>
      </c>
      <c r="F3155" s="16" t="s">
        <v>803</v>
      </c>
      <c r="G3155" s="10" t="s">
        <v>160</v>
      </c>
      <c r="H3155" s="10" t="s">
        <v>845</v>
      </c>
      <c r="I3155" s="62">
        <v>98</v>
      </c>
      <c r="J3155" s="8" t="s">
        <v>2374</v>
      </c>
      <c r="K3155" s="173" t="s">
        <v>860</v>
      </c>
      <c r="L3155" s="173" t="s">
        <v>2229</v>
      </c>
      <c r="M3155" s="10" t="s">
        <v>2372</v>
      </c>
      <c r="N3155" s="10" t="s">
        <v>2373</v>
      </c>
      <c r="O3155" s="10"/>
    </row>
    <row r="3156" spans="1:15" ht="18" customHeight="1" x14ac:dyDescent="0.3">
      <c r="A3156" s="24">
        <v>3155</v>
      </c>
      <c r="B3156" s="10" t="s">
        <v>135</v>
      </c>
      <c r="C3156" s="10" t="s">
        <v>2292</v>
      </c>
      <c r="D3156" s="62">
        <v>237</v>
      </c>
      <c r="E3156" s="61" t="s">
        <v>2289</v>
      </c>
      <c r="F3156" s="16" t="s">
        <v>803</v>
      </c>
      <c r="G3156" s="10" t="s">
        <v>160</v>
      </c>
      <c r="H3156" s="10" t="s">
        <v>848</v>
      </c>
      <c r="I3156" s="62">
        <v>98</v>
      </c>
      <c r="J3156" s="8" t="s">
        <v>2372</v>
      </c>
      <c r="K3156" s="173" t="s">
        <v>860</v>
      </c>
      <c r="L3156" s="173" t="s">
        <v>2229</v>
      </c>
      <c r="M3156" s="10" t="s">
        <v>2372</v>
      </c>
      <c r="N3156" s="10" t="s">
        <v>2373</v>
      </c>
      <c r="O3156" s="10"/>
    </row>
    <row r="3157" spans="1:15" ht="18" customHeight="1" x14ac:dyDescent="0.3">
      <c r="A3157" s="24">
        <v>3156</v>
      </c>
      <c r="B3157" s="10" t="s">
        <v>135</v>
      </c>
      <c r="C3157" s="10" t="s">
        <v>2292</v>
      </c>
      <c r="D3157" s="62">
        <v>237</v>
      </c>
      <c r="E3157" s="61" t="s">
        <v>2289</v>
      </c>
      <c r="F3157" s="16" t="s">
        <v>803</v>
      </c>
      <c r="G3157" s="10" t="s">
        <v>160</v>
      </c>
      <c r="H3157" s="10" t="s">
        <v>849</v>
      </c>
      <c r="I3157" s="62">
        <v>68</v>
      </c>
      <c r="J3157" s="8" t="s">
        <v>2372</v>
      </c>
      <c r="K3157" s="173" t="s">
        <v>860</v>
      </c>
      <c r="L3157" s="173" t="s">
        <v>2229</v>
      </c>
      <c r="M3157" s="10" t="s">
        <v>2372</v>
      </c>
      <c r="N3157" s="10" t="s">
        <v>2373</v>
      </c>
      <c r="O3157" s="10"/>
    </row>
    <row r="3158" spans="1:15" ht="18" customHeight="1" x14ac:dyDescent="0.3">
      <c r="A3158" s="24">
        <v>3157</v>
      </c>
      <c r="B3158" s="10" t="s">
        <v>135</v>
      </c>
      <c r="C3158" s="10" t="s">
        <v>2292</v>
      </c>
      <c r="D3158" s="62">
        <v>237</v>
      </c>
      <c r="E3158" s="61" t="s">
        <v>2289</v>
      </c>
      <c r="F3158" s="16" t="s">
        <v>803</v>
      </c>
      <c r="G3158" s="10" t="s">
        <v>160</v>
      </c>
      <c r="H3158" s="10" t="s">
        <v>850</v>
      </c>
      <c r="I3158" s="62">
        <v>72</v>
      </c>
      <c r="J3158" s="8" t="s">
        <v>2372</v>
      </c>
      <c r="K3158" s="173" t="s">
        <v>860</v>
      </c>
      <c r="L3158" s="173" t="s">
        <v>2229</v>
      </c>
      <c r="M3158" s="10" t="s">
        <v>2372</v>
      </c>
      <c r="N3158" s="10" t="s">
        <v>2373</v>
      </c>
      <c r="O3158" s="10"/>
    </row>
    <row r="3159" spans="1:15" ht="18" customHeight="1" x14ac:dyDescent="0.3">
      <c r="A3159" s="24">
        <v>3158</v>
      </c>
      <c r="B3159" s="10" t="s">
        <v>135</v>
      </c>
      <c r="C3159" s="10" t="s">
        <v>2292</v>
      </c>
      <c r="D3159" s="62">
        <v>237</v>
      </c>
      <c r="E3159" s="61" t="s">
        <v>2289</v>
      </c>
      <c r="F3159" s="16" t="s">
        <v>803</v>
      </c>
      <c r="G3159" s="10" t="s">
        <v>160</v>
      </c>
      <c r="H3159" s="10" t="s">
        <v>851</v>
      </c>
      <c r="I3159" s="62">
        <v>72</v>
      </c>
      <c r="J3159" s="8" t="s">
        <v>2372</v>
      </c>
      <c r="K3159" s="173" t="s">
        <v>860</v>
      </c>
      <c r="L3159" s="173" t="s">
        <v>2229</v>
      </c>
      <c r="M3159" s="10" t="s">
        <v>2372</v>
      </c>
      <c r="N3159" s="10" t="s">
        <v>2373</v>
      </c>
      <c r="O3159" s="10"/>
    </row>
    <row r="3160" spans="1:15" ht="18" customHeight="1" x14ac:dyDescent="0.3">
      <c r="A3160" s="24">
        <v>3159</v>
      </c>
      <c r="B3160" s="10" t="s">
        <v>135</v>
      </c>
      <c r="C3160" s="10" t="s">
        <v>2292</v>
      </c>
      <c r="D3160" s="62">
        <v>237</v>
      </c>
      <c r="E3160" s="61" t="s">
        <v>2289</v>
      </c>
      <c r="F3160" s="16" t="s">
        <v>803</v>
      </c>
      <c r="G3160" s="10" t="s">
        <v>160</v>
      </c>
      <c r="H3160" s="10" t="s">
        <v>852</v>
      </c>
      <c r="I3160" s="177">
        <v>110</v>
      </c>
      <c r="J3160" s="8" t="s">
        <v>2372</v>
      </c>
      <c r="K3160" s="10" t="s">
        <v>847</v>
      </c>
      <c r="L3160" s="10" t="s">
        <v>2373</v>
      </c>
      <c r="M3160" s="10" t="s">
        <v>2372</v>
      </c>
      <c r="N3160" s="10" t="s">
        <v>2373</v>
      </c>
      <c r="O3160" s="10"/>
    </row>
    <row r="3161" spans="1:15" ht="18" customHeight="1" x14ac:dyDescent="0.3">
      <c r="A3161" s="24">
        <v>3160</v>
      </c>
      <c r="B3161" s="10" t="s">
        <v>135</v>
      </c>
      <c r="C3161" s="10" t="s">
        <v>2292</v>
      </c>
      <c r="D3161" s="62">
        <v>237</v>
      </c>
      <c r="E3161" s="61" t="s">
        <v>2289</v>
      </c>
      <c r="F3161" s="16" t="s">
        <v>803</v>
      </c>
      <c r="G3161" s="10" t="s">
        <v>160</v>
      </c>
      <c r="H3161" s="10" t="s">
        <v>853</v>
      </c>
      <c r="I3161" s="62">
        <v>84</v>
      </c>
      <c r="J3161" s="8" t="s">
        <v>2372</v>
      </c>
      <c r="K3161" s="10" t="s">
        <v>847</v>
      </c>
      <c r="L3161" s="10" t="s">
        <v>2373</v>
      </c>
      <c r="M3161" s="10" t="s">
        <v>2372</v>
      </c>
      <c r="N3161" s="10" t="s">
        <v>2373</v>
      </c>
      <c r="O3161" s="10"/>
    </row>
    <row r="3162" spans="1:15" ht="18" customHeight="1" x14ac:dyDescent="0.3">
      <c r="A3162" s="24">
        <v>3161</v>
      </c>
      <c r="B3162" s="10" t="s">
        <v>2291</v>
      </c>
      <c r="C3162" s="10" t="s">
        <v>2292</v>
      </c>
      <c r="D3162" s="62">
        <v>237</v>
      </c>
      <c r="E3162" s="61" t="s">
        <v>2293</v>
      </c>
      <c r="F3162" s="16" t="s">
        <v>2294</v>
      </c>
      <c r="G3162" s="10" t="s">
        <v>1264</v>
      </c>
      <c r="H3162" s="10" t="s">
        <v>2385</v>
      </c>
      <c r="I3162" s="62">
        <v>87</v>
      </c>
      <c r="J3162" s="10" t="s">
        <v>2372</v>
      </c>
      <c r="K3162" s="10" t="s">
        <v>2374</v>
      </c>
      <c r="L3162" s="10" t="s">
        <v>1422</v>
      </c>
      <c r="M3162" s="10" t="s">
        <v>2372</v>
      </c>
      <c r="N3162" s="10" t="s">
        <v>2373</v>
      </c>
      <c r="O3162" s="10"/>
    </row>
    <row r="3163" spans="1:15" ht="18" customHeight="1" x14ac:dyDescent="0.3">
      <c r="A3163" s="24">
        <v>3162</v>
      </c>
      <c r="B3163" s="10" t="s">
        <v>2291</v>
      </c>
      <c r="C3163" s="10" t="s">
        <v>2292</v>
      </c>
      <c r="D3163" s="62">
        <v>237</v>
      </c>
      <c r="E3163" s="61" t="s">
        <v>2293</v>
      </c>
      <c r="F3163" s="16" t="s">
        <v>2294</v>
      </c>
      <c r="G3163" s="10" t="s">
        <v>1264</v>
      </c>
      <c r="H3163" s="10" t="s">
        <v>2378</v>
      </c>
      <c r="I3163" s="62">
        <v>115</v>
      </c>
      <c r="J3163" s="10" t="s">
        <v>2372</v>
      </c>
      <c r="K3163" s="10" t="s">
        <v>2374</v>
      </c>
      <c r="L3163" s="10" t="s">
        <v>1422</v>
      </c>
      <c r="M3163" s="10" t="s">
        <v>2372</v>
      </c>
      <c r="N3163" s="10" t="s">
        <v>2373</v>
      </c>
      <c r="O3163" s="10"/>
    </row>
    <row r="3164" spans="1:15" ht="18" customHeight="1" x14ac:dyDescent="0.3">
      <c r="A3164" s="24">
        <v>3163</v>
      </c>
      <c r="B3164" s="10" t="s">
        <v>2291</v>
      </c>
      <c r="C3164" s="10" t="s">
        <v>2292</v>
      </c>
      <c r="D3164" s="62">
        <v>237</v>
      </c>
      <c r="E3164" s="61" t="s">
        <v>2293</v>
      </c>
      <c r="F3164" s="16" t="s">
        <v>2294</v>
      </c>
      <c r="G3164" s="10" t="s">
        <v>1264</v>
      </c>
      <c r="H3164" s="10" t="s">
        <v>2379</v>
      </c>
      <c r="I3164" s="62">
        <v>90</v>
      </c>
      <c r="J3164" s="10" t="s">
        <v>2372</v>
      </c>
      <c r="K3164" s="10" t="s">
        <v>2374</v>
      </c>
      <c r="L3164" s="10" t="s">
        <v>1422</v>
      </c>
      <c r="M3164" s="10" t="s">
        <v>2372</v>
      </c>
      <c r="N3164" s="10" t="s">
        <v>2373</v>
      </c>
      <c r="O3164" s="10"/>
    </row>
    <row r="3165" spans="1:15" ht="18" customHeight="1" x14ac:dyDescent="0.3">
      <c r="A3165" s="24">
        <v>3164</v>
      </c>
      <c r="B3165" s="10" t="s">
        <v>2291</v>
      </c>
      <c r="C3165" s="10" t="s">
        <v>2292</v>
      </c>
      <c r="D3165" s="62">
        <v>237</v>
      </c>
      <c r="E3165" s="61" t="s">
        <v>2293</v>
      </c>
      <c r="F3165" s="16" t="s">
        <v>2294</v>
      </c>
      <c r="G3165" s="10" t="s">
        <v>1264</v>
      </c>
      <c r="H3165" s="10" t="s">
        <v>2380</v>
      </c>
      <c r="I3165" s="62">
        <v>90</v>
      </c>
      <c r="J3165" s="10" t="s">
        <v>2372</v>
      </c>
      <c r="K3165" s="10" t="s">
        <v>2374</v>
      </c>
      <c r="L3165" s="10" t="s">
        <v>1422</v>
      </c>
      <c r="M3165" s="10" t="s">
        <v>2372</v>
      </c>
      <c r="N3165" s="10" t="s">
        <v>2373</v>
      </c>
      <c r="O3165" s="10"/>
    </row>
    <row r="3166" spans="1:15" ht="18" customHeight="1" x14ac:dyDescent="0.3">
      <c r="A3166" s="24">
        <v>3165</v>
      </c>
      <c r="B3166" s="10" t="s">
        <v>2291</v>
      </c>
      <c r="C3166" s="10" t="s">
        <v>2292</v>
      </c>
      <c r="D3166" s="62">
        <v>237</v>
      </c>
      <c r="E3166" s="61" t="s">
        <v>2293</v>
      </c>
      <c r="F3166" s="16" t="s">
        <v>2294</v>
      </c>
      <c r="G3166" s="10" t="s">
        <v>1264</v>
      </c>
      <c r="H3166" s="10" t="s">
        <v>2390</v>
      </c>
      <c r="I3166" s="62">
        <v>115</v>
      </c>
      <c r="J3166" s="10" t="s">
        <v>2372</v>
      </c>
      <c r="K3166" s="10" t="s">
        <v>2374</v>
      </c>
      <c r="L3166" s="10" t="s">
        <v>1422</v>
      </c>
      <c r="M3166" s="10" t="s">
        <v>2372</v>
      </c>
      <c r="N3166" s="10" t="s">
        <v>2373</v>
      </c>
      <c r="O3166" s="10"/>
    </row>
    <row r="3167" spans="1:15" ht="18" customHeight="1" x14ac:dyDescent="0.3">
      <c r="A3167" s="24">
        <v>3166</v>
      </c>
      <c r="B3167" s="10" t="s">
        <v>135</v>
      </c>
      <c r="C3167" s="10" t="s">
        <v>2292</v>
      </c>
      <c r="D3167" s="62">
        <v>237</v>
      </c>
      <c r="E3167" s="61" t="s">
        <v>282</v>
      </c>
      <c r="F3167" s="16" t="s">
        <v>809</v>
      </c>
      <c r="G3167" s="176" t="s">
        <v>3085</v>
      </c>
      <c r="H3167" s="176" t="s">
        <v>3132</v>
      </c>
      <c r="I3167" s="171">
        <v>92</v>
      </c>
      <c r="J3167" s="10" t="s">
        <v>2372</v>
      </c>
      <c r="K3167" s="173" t="s">
        <v>2374</v>
      </c>
      <c r="L3167" s="173" t="s">
        <v>1422</v>
      </c>
      <c r="M3167" s="10" t="s">
        <v>2372</v>
      </c>
      <c r="N3167" s="10" t="s">
        <v>2373</v>
      </c>
      <c r="O3167" s="10"/>
    </row>
    <row r="3168" spans="1:15" ht="18" customHeight="1" x14ac:dyDescent="0.3">
      <c r="A3168" s="24">
        <v>3167</v>
      </c>
      <c r="B3168" s="10" t="s">
        <v>135</v>
      </c>
      <c r="C3168" s="10" t="s">
        <v>2292</v>
      </c>
      <c r="D3168" s="62">
        <v>237</v>
      </c>
      <c r="E3168" s="61" t="s">
        <v>282</v>
      </c>
      <c r="F3168" s="16" t="s">
        <v>809</v>
      </c>
      <c r="G3168" s="176" t="s">
        <v>3085</v>
      </c>
      <c r="H3168" s="176" t="s">
        <v>2755</v>
      </c>
      <c r="I3168" s="171">
        <v>66</v>
      </c>
      <c r="J3168" s="10" t="s">
        <v>2372</v>
      </c>
      <c r="K3168" s="173" t="s">
        <v>2374</v>
      </c>
      <c r="L3168" s="173" t="s">
        <v>1422</v>
      </c>
      <c r="M3168" s="10" t="s">
        <v>2372</v>
      </c>
      <c r="N3168" s="10" t="s">
        <v>2373</v>
      </c>
      <c r="O3168" s="10"/>
    </row>
    <row r="3169" spans="1:15" ht="18" customHeight="1" x14ac:dyDescent="0.3">
      <c r="A3169" s="24">
        <v>3168</v>
      </c>
      <c r="B3169" s="10" t="s">
        <v>135</v>
      </c>
      <c r="C3169" s="10" t="s">
        <v>2292</v>
      </c>
      <c r="D3169" s="62">
        <v>237</v>
      </c>
      <c r="E3169" s="61" t="s">
        <v>282</v>
      </c>
      <c r="F3169" s="16" t="s">
        <v>809</v>
      </c>
      <c r="G3169" s="176" t="s">
        <v>3085</v>
      </c>
      <c r="H3169" s="176" t="s">
        <v>2618</v>
      </c>
      <c r="I3169" s="171">
        <v>72</v>
      </c>
      <c r="J3169" s="10" t="s">
        <v>2372</v>
      </c>
      <c r="K3169" s="173" t="s">
        <v>2374</v>
      </c>
      <c r="L3169" s="173" t="s">
        <v>1422</v>
      </c>
      <c r="M3169" s="10" t="s">
        <v>2372</v>
      </c>
      <c r="N3169" s="10" t="s">
        <v>2373</v>
      </c>
      <c r="O3169" s="10"/>
    </row>
    <row r="3170" spans="1:15" ht="18" customHeight="1" x14ac:dyDescent="0.3">
      <c r="A3170" s="24">
        <v>3169</v>
      </c>
      <c r="B3170" s="10" t="s">
        <v>135</v>
      </c>
      <c r="C3170" s="10" t="s">
        <v>2292</v>
      </c>
      <c r="D3170" s="62">
        <v>237</v>
      </c>
      <c r="E3170" s="61" t="s">
        <v>282</v>
      </c>
      <c r="F3170" s="16" t="s">
        <v>809</v>
      </c>
      <c r="G3170" s="176" t="s">
        <v>3085</v>
      </c>
      <c r="H3170" s="176" t="s">
        <v>2619</v>
      </c>
      <c r="I3170" s="171">
        <v>92</v>
      </c>
      <c r="J3170" s="10" t="s">
        <v>2372</v>
      </c>
      <c r="K3170" s="173" t="s">
        <v>2374</v>
      </c>
      <c r="L3170" s="173" t="s">
        <v>1422</v>
      </c>
      <c r="M3170" s="10" t="s">
        <v>2372</v>
      </c>
      <c r="N3170" s="10" t="s">
        <v>2373</v>
      </c>
      <c r="O3170" s="10"/>
    </row>
    <row r="3171" spans="1:15" ht="18" customHeight="1" x14ac:dyDescent="0.3">
      <c r="A3171" s="24">
        <v>3170</v>
      </c>
      <c r="B3171" s="10" t="s">
        <v>135</v>
      </c>
      <c r="C3171" s="10" t="s">
        <v>2292</v>
      </c>
      <c r="D3171" s="62">
        <v>237</v>
      </c>
      <c r="E3171" s="61" t="s">
        <v>282</v>
      </c>
      <c r="F3171" s="16" t="s">
        <v>809</v>
      </c>
      <c r="G3171" s="176" t="s">
        <v>3085</v>
      </c>
      <c r="H3171" s="176" t="s">
        <v>2620</v>
      </c>
      <c r="I3171" s="171">
        <v>48</v>
      </c>
      <c r="J3171" s="10" t="s">
        <v>2372</v>
      </c>
      <c r="K3171" s="173" t="s">
        <v>2374</v>
      </c>
      <c r="L3171" s="173" t="s">
        <v>1422</v>
      </c>
      <c r="M3171" s="10" t="s">
        <v>2372</v>
      </c>
      <c r="N3171" s="10" t="s">
        <v>2373</v>
      </c>
      <c r="O3171" s="10"/>
    </row>
    <row r="3172" spans="1:15" ht="18" customHeight="1" x14ac:dyDescent="0.3">
      <c r="A3172" s="24">
        <v>3171</v>
      </c>
      <c r="B3172" s="10" t="s">
        <v>135</v>
      </c>
      <c r="C3172" s="10" t="s">
        <v>2292</v>
      </c>
      <c r="D3172" s="62">
        <v>237</v>
      </c>
      <c r="E3172" s="61" t="s">
        <v>282</v>
      </c>
      <c r="F3172" s="16" t="s">
        <v>809</v>
      </c>
      <c r="G3172" s="176" t="s">
        <v>3085</v>
      </c>
      <c r="H3172" s="176" t="s">
        <v>2621</v>
      </c>
      <c r="I3172" s="171">
        <v>66</v>
      </c>
      <c r="J3172" s="10" t="s">
        <v>2372</v>
      </c>
      <c r="K3172" s="173" t="s">
        <v>2374</v>
      </c>
      <c r="L3172" s="173" t="s">
        <v>1422</v>
      </c>
      <c r="M3172" s="10" t="s">
        <v>2372</v>
      </c>
      <c r="N3172" s="10" t="s">
        <v>2373</v>
      </c>
      <c r="O3172" s="10"/>
    </row>
    <row r="3173" spans="1:15" ht="18" customHeight="1" x14ac:dyDescent="0.3">
      <c r="A3173" s="24">
        <v>3172</v>
      </c>
      <c r="B3173" s="10" t="s">
        <v>135</v>
      </c>
      <c r="C3173" s="10" t="s">
        <v>2292</v>
      </c>
      <c r="D3173" s="62">
        <v>237</v>
      </c>
      <c r="E3173" s="61" t="s">
        <v>282</v>
      </c>
      <c r="F3173" s="16" t="s">
        <v>809</v>
      </c>
      <c r="G3173" s="176" t="s">
        <v>3085</v>
      </c>
      <c r="H3173" s="176" t="s">
        <v>2622</v>
      </c>
      <c r="I3173" s="171">
        <v>72</v>
      </c>
      <c r="J3173" s="10" t="s">
        <v>2372</v>
      </c>
      <c r="K3173" s="173" t="s">
        <v>2374</v>
      </c>
      <c r="L3173" s="173" t="s">
        <v>1422</v>
      </c>
      <c r="M3173" s="10" t="s">
        <v>2372</v>
      </c>
      <c r="N3173" s="10" t="s">
        <v>2373</v>
      </c>
      <c r="O3173" s="10"/>
    </row>
    <row r="3174" spans="1:15" ht="18" customHeight="1" x14ac:dyDescent="0.3">
      <c r="A3174" s="24">
        <v>3173</v>
      </c>
      <c r="B3174" s="10" t="s">
        <v>2291</v>
      </c>
      <c r="C3174" s="10" t="s">
        <v>2292</v>
      </c>
      <c r="D3174" s="62">
        <v>237</v>
      </c>
      <c r="E3174" s="61" t="s">
        <v>2955</v>
      </c>
      <c r="F3174" s="16" t="s">
        <v>1183</v>
      </c>
      <c r="G3174" s="10" t="s">
        <v>1264</v>
      </c>
      <c r="H3174" s="10" t="s">
        <v>2385</v>
      </c>
      <c r="I3174" s="62">
        <v>135</v>
      </c>
      <c r="J3174" s="10" t="s">
        <v>2372</v>
      </c>
      <c r="K3174" s="10" t="s">
        <v>847</v>
      </c>
      <c r="L3174" s="10" t="s">
        <v>2373</v>
      </c>
      <c r="M3174" s="10" t="s">
        <v>2372</v>
      </c>
      <c r="N3174" s="10" t="s">
        <v>2373</v>
      </c>
      <c r="O3174" s="10"/>
    </row>
    <row r="3175" spans="1:15" ht="18" customHeight="1" x14ac:dyDescent="0.3">
      <c r="A3175" s="24">
        <v>3174</v>
      </c>
      <c r="B3175" s="10" t="s">
        <v>2291</v>
      </c>
      <c r="C3175" s="10" t="s">
        <v>2292</v>
      </c>
      <c r="D3175" s="62">
        <v>237</v>
      </c>
      <c r="E3175" s="61" t="s">
        <v>2955</v>
      </c>
      <c r="F3175" s="16" t="s">
        <v>1183</v>
      </c>
      <c r="G3175" s="10" t="s">
        <v>1264</v>
      </c>
      <c r="H3175" s="10" t="s">
        <v>2378</v>
      </c>
      <c r="I3175" s="62">
        <v>135</v>
      </c>
      <c r="J3175" s="10" t="s">
        <v>2372</v>
      </c>
      <c r="K3175" s="10" t="s">
        <v>847</v>
      </c>
      <c r="L3175" s="10" t="s">
        <v>2373</v>
      </c>
      <c r="M3175" s="10" t="s">
        <v>2372</v>
      </c>
      <c r="N3175" s="10" t="s">
        <v>2373</v>
      </c>
      <c r="O3175" s="10"/>
    </row>
    <row r="3176" spans="1:15" ht="18" customHeight="1" x14ac:dyDescent="0.3">
      <c r="A3176" s="24">
        <v>3175</v>
      </c>
      <c r="B3176" s="10" t="s">
        <v>2291</v>
      </c>
      <c r="C3176" s="10" t="s">
        <v>2292</v>
      </c>
      <c r="D3176" s="62">
        <v>237</v>
      </c>
      <c r="E3176" s="61" t="s">
        <v>2955</v>
      </c>
      <c r="F3176" s="16" t="s">
        <v>1183</v>
      </c>
      <c r="G3176" s="10" t="s">
        <v>1264</v>
      </c>
      <c r="H3176" s="10" t="s">
        <v>2379</v>
      </c>
      <c r="I3176" s="62">
        <v>118</v>
      </c>
      <c r="J3176" s="10" t="s">
        <v>2372</v>
      </c>
      <c r="K3176" s="10" t="s">
        <v>847</v>
      </c>
      <c r="L3176" s="10" t="s">
        <v>2373</v>
      </c>
      <c r="M3176" s="10" t="s">
        <v>2372</v>
      </c>
      <c r="N3176" s="10" t="s">
        <v>2373</v>
      </c>
      <c r="O3176" s="10"/>
    </row>
    <row r="3177" spans="1:15" ht="18" customHeight="1" x14ac:dyDescent="0.3">
      <c r="A3177" s="24">
        <v>3176</v>
      </c>
      <c r="B3177" s="10" t="s">
        <v>2291</v>
      </c>
      <c r="C3177" s="10" t="s">
        <v>2292</v>
      </c>
      <c r="D3177" s="62">
        <v>237</v>
      </c>
      <c r="E3177" s="61" t="s">
        <v>2955</v>
      </c>
      <c r="F3177" s="16" t="s">
        <v>1183</v>
      </c>
      <c r="G3177" s="10" t="s">
        <v>1264</v>
      </c>
      <c r="H3177" s="10" t="s">
        <v>2380</v>
      </c>
      <c r="I3177" s="62">
        <v>96</v>
      </c>
      <c r="J3177" s="10" t="s">
        <v>2372</v>
      </c>
      <c r="K3177" s="10" t="s">
        <v>847</v>
      </c>
      <c r="L3177" s="10" t="s">
        <v>2373</v>
      </c>
      <c r="M3177" s="10" t="s">
        <v>2372</v>
      </c>
      <c r="N3177" s="10" t="s">
        <v>2373</v>
      </c>
      <c r="O3177" s="10"/>
    </row>
    <row r="3178" spans="1:15" ht="18" customHeight="1" x14ac:dyDescent="0.3">
      <c r="A3178" s="24">
        <v>3177</v>
      </c>
      <c r="B3178" s="10" t="s">
        <v>2291</v>
      </c>
      <c r="C3178" s="10" t="s">
        <v>2292</v>
      </c>
      <c r="D3178" s="62">
        <v>237</v>
      </c>
      <c r="E3178" s="61" t="s">
        <v>2955</v>
      </c>
      <c r="F3178" s="16" t="s">
        <v>1183</v>
      </c>
      <c r="G3178" s="10" t="s">
        <v>1264</v>
      </c>
      <c r="H3178" s="10" t="s">
        <v>2390</v>
      </c>
      <c r="I3178" s="62">
        <v>109</v>
      </c>
      <c r="J3178" s="10" t="s">
        <v>2374</v>
      </c>
      <c r="K3178" s="10" t="s">
        <v>847</v>
      </c>
      <c r="L3178" s="10" t="s">
        <v>2373</v>
      </c>
      <c r="M3178" s="10" t="s">
        <v>2372</v>
      </c>
      <c r="N3178" s="10" t="s">
        <v>2373</v>
      </c>
      <c r="O3178" s="10"/>
    </row>
    <row r="3179" spans="1:15" ht="18" customHeight="1" x14ac:dyDescent="0.3">
      <c r="A3179" s="24">
        <v>3178</v>
      </c>
      <c r="B3179" s="10" t="s">
        <v>135</v>
      </c>
      <c r="C3179" s="10" t="s">
        <v>2292</v>
      </c>
      <c r="D3179" s="62">
        <v>237</v>
      </c>
      <c r="E3179" s="61" t="s">
        <v>247</v>
      </c>
      <c r="F3179" s="16" t="s">
        <v>806</v>
      </c>
      <c r="G3179" s="10" t="s">
        <v>150</v>
      </c>
      <c r="H3179" s="10" t="s">
        <v>845</v>
      </c>
      <c r="I3179" s="62">
        <v>147</v>
      </c>
      <c r="J3179" s="8" t="s">
        <v>846</v>
      </c>
      <c r="K3179" s="10" t="s">
        <v>847</v>
      </c>
      <c r="L3179" s="10" t="s">
        <v>2373</v>
      </c>
      <c r="M3179" s="10" t="s">
        <v>2372</v>
      </c>
      <c r="N3179" s="10" t="s">
        <v>2373</v>
      </c>
      <c r="O3179" s="10"/>
    </row>
    <row r="3180" spans="1:15" ht="18" customHeight="1" x14ac:dyDescent="0.3">
      <c r="A3180" s="24">
        <v>3179</v>
      </c>
      <c r="B3180" s="10" t="s">
        <v>135</v>
      </c>
      <c r="C3180" s="10" t="s">
        <v>2292</v>
      </c>
      <c r="D3180" s="62">
        <v>237</v>
      </c>
      <c r="E3180" s="61" t="s">
        <v>247</v>
      </c>
      <c r="F3180" s="16" t="s">
        <v>806</v>
      </c>
      <c r="G3180" s="10" t="s">
        <v>150</v>
      </c>
      <c r="H3180" s="10" t="s">
        <v>848</v>
      </c>
      <c r="I3180" s="62">
        <v>238</v>
      </c>
      <c r="J3180" s="8" t="s">
        <v>846</v>
      </c>
      <c r="K3180" s="10" t="s">
        <v>847</v>
      </c>
      <c r="L3180" s="10" t="s">
        <v>2373</v>
      </c>
      <c r="M3180" s="10" t="s">
        <v>2372</v>
      </c>
      <c r="N3180" s="10" t="s">
        <v>2373</v>
      </c>
      <c r="O3180" s="10"/>
    </row>
    <row r="3181" spans="1:15" ht="18" customHeight="1" x14ac:dyDescent="0.3">
      <c r="A3181" s="24">
        <v>3180</v>
      </c>
      <c r="B3181" s="10" t="s">
        <v>135</v>
      </c>
      <c r="C3181" s="10" t="s">
        <v>2292</v>
      </c>
      <c r="D3181" s="62">
        <v>237</v>
      </c>
      <c r="E3181" s="61" t="s">
        <v>247</v>
      </c>
      <c r="F3181" s="16" t="s">
        <v>806</v>
      </c>
      <c r="G3181" s="10" t="s">
        <v>150</v>
      </c>
      <c r="H3181" s="10" t="s">
        <v>849</v>
      </c>
      <c r="I3181" s="62">
        <v>219</v>
      </c>
      <c r="J3181" s="8" t="s">
        <v>846</v>
      </c>
      <c r="K3181" s="10" t="s">
        <v>847</v>
      </c>
      <c r="L3181" s="10" t="s">
        <v>2373</v>
      </c>
      <c r="M3181" s="10" t="s">
        <v>2372</v>
      </c>
      <c r="N3181" s="10" t="s">
        <v>2373</v>
      </c>
      <c r="O3181" s="10"/>
    </row>
    <row r="3182" spans="1:15" ht="18" customHeight="1" x14ac:dyDescent="0.3">
      <c r="A3182" s="24">
        <v>3181</v>
      </c>
      <c r="B3182" s="10" t="s">
        <v>135</v>
      </c>
      <c r="C3182" s="10" t="s">
        <v>2292</v>
      </c>
      <c r="D3182" s="62">
        <v>237</v>
      </c>
      <c r="E3182" s="61" t="s">
        <v>247</v>
      </c>
      <c r="F3182" s="16" t="s">
        <v>806</v>
      </c>
      <c r="G3182" s="10" t="s">
        <v>150</v>
      </c>
      <c r="H3182" s="10" t="s">
        <v>850</v>
      </c>
      <c r="I3182" s="62">
        <v>104</v>
      </c>
      <c r="J3182" s="8" t="s">
        <v>2372</v>
      </c>
      <c r="K3182" s="10" t="s">
        <v>847</v>
      </c>
      <c r="L3182" s="10" t="s">
        <v>2373</v>
      </c>
      <c r="M3182" s="10" t="s">
        <v>2372</v>
      </c>
      <c r="N3182" s="10" t="s">
        <v>2373</v>
      </c>
      <c r="O3182" s="10"/>
    </row>
    <row r="3183" spans="1:15" ht="18" customHeight="1" x14ac:dyDescent="0.3">
      <c r="A3183" s="24">
        <v>3182</v>
      </c>
      <c r="B3183" s="10" t="s">
        <v>135</v>
      </c>
      <c r="C3183" s="10" t="s">
        <v>2292</v>
      </c>
      <c r="D3183" s="62">
        <v>237</v>
      </c>
      <c r="E3183" s="61" t="s">
        <v>247</v>
      </c>
      <c r="F3183" s="16" t="s">
        <v>806</v>
      </c>
      <c r="G3183" s="10" t="s">
        <v>150</v>
      </c>
      <c r="H3183" s="10" t="s">
        <v>851</v>
      </c>
      <c r="I3183" s="62">
        <v>147</v>
      </c>
      <c r="J3183" s="8" t="s">
        <v>2372</v>
      </c>
      <c r="K3183" s="10" t="s">
        <v>847</v>
      </c>
      <c r="L3183" s="10" t="s">
        <v>2373</v>
      </c>
      <c r="M3183" s="10" t="s">
        <v>2372</v>
      </c>
      <c r="N3183" s="10" t="s">
        <v>2373</v>
      </c>
      <c r="O3183" s="10"/>
    </row>
    <row r="3184" spans="1:15" ht="18" customHeight="1" x14ac:dyDescent="0.3">
      <c r="A3184" s="24">
        <v>3183</v>
      </c>
      <c r="B3184" s="10" t="s">
        <v>135</v>
      </c>
      <c r="C3184" s="10" t="s">
        <v>2292</v>
      </c>
      <c r="D3184" s="62">
        <v>237</v>
      </c>
      <c r="E3184" s="61" t="s">
        <v>247</v>
      </c>
      <c r="F3184" s="16" t="s">
        <v>806</v>
      </c>
      <c r="G3184" s="10" t="s">
        <v>150</v>
      </c>
      <c r="H3184" s="10" t="s">
        <v>852</v>
      </c>
      <c r="I3184" s="62">
        <v>245</v>
      </c>
      <c r="J3184" s="8" t="s">
        <v>846</v>
      </c>
      <c r="K3184" s="10" t="s">
        <v>847</v>
      </c>
      <c r="L3184" s="10" t="s">
        <v>2373</v>
      </c>
      <c r="M3184" s="10" t="s">
        <v>2372</v>
      </c>
      <c r="N3184" s="10" t="s">
        <v>2373</v>
      </c>
      <c r="O3184" s="10"/>
    </row>
    <row r="3185" spans="1:15" ht="18" customHeight="1" x14ac:dyDescent="0.3">
      <c r="A3185" s="24">
        <v>3184</v>
      </c>
      <c r="B3185" s="10" t="s">
        <v>135</v>
      </c>
      <c r="C3185" s="10" t="s">
        <v>2292</v>
      </c>
      <c r="D3185" s="62">
        <v>237</v>
      </c>
      <c r="E3185" s="61" t="s">
        <v>247</v>
      </c>
      <c r="F3185" s="16" t="s">
        <v>806</v>
      </c>
      <c r="G3185" s="10" t="s">
        <v>150</v>
      </c>
      <c r="H3185" s="10" t="s">
        <v>853</v>
      </c>
      <c r="I3185" s="62">
        <v>219</v>
      </c>
      <c r="J3185" s="8" t="s">
        <v>2372</v>
      </c>
      <c r="K3185" s="10" t="s">
        <v>847</v>
      </c>
      <c r="L3185" s="10" t="s">
        <v>2373</v>
      </c>
      <c r="M3185" s="10" t="s">
        <v>2372</v>
      </c>
      <c r="N3185" s="10" t="s">
        <v>2373</v>
      </c>
      <c r="O3185" s="10"/>
    </row>
    <row r="3186" spans="1:15" ht="18" customHeight="1" x14ac:dyDescent="0.3">
      <c r="A3186" s="24">
        <v>3185</v>
      </c>
      <c r="B3186" s="10" t="s">
        <v>135</v>
      </c>
      <c r="C3186" s="10" t="s">
        <v>2292</v>
      </c>
      <c r="D3186" s="62">
        <v>237</v>
      </c>
      <c r="E3186" s="61" t="s">
        <v>2956</v>
      </c>
      <c r="F3186" s="19" t="s">
        <v>1023</v>
      </c>
      <c r="G3186" s="10" t="s">
        <v>150</v>
      </c>
      <c r="H3186" s="10" t="s">
        <v>849</v>
      </c>
      <c r="I3186" s="62">
        <v>201</v>
      </c>
      <c r="J3186" s="10" t="s">
        <v>2372</v>
      </c>
      <c r="K3186" s="10" t="s">
        <v>847</v>
      </c>
      <c r="L3186" s="10" t="s">
        <v>2373</v>
      </c>
      <c r="M3186" s="10" t="s">
        <v>2372</v>
      </c>
      <c r="N3186" s="10" t="s">
        <v>2373</v>
      </c>
      <c r="O3186" s="10"/>
    </row>
    <row r="3187" spans="1:15" ht="18" customHeight="1" x14ac:dyDescent="0.3">
      <c r="A3187" s="24">
        <v>3186</v>
      </c>
      <c r="B3187" s="10" t="s">
        <v>135</v>
      </c>
      <c r="C3187" s="10" t="s">
        <v>2292</v>
      </c>
      <c r="D3187" s="62">
        <v>237</v>
      </c>
      <c r="E3187" s="61" t="s">
        <v>2956</v>
      </c>
      <c r="F3187" s="19" t="s">
        <v>1023</v>
      </c>
      <c r="G3187" s="10" t="s">
        <v>150</v>
      </c>
      <c r="H3187" s="10" t="s">
        <v>851</v>
      </c>
      <c r="I3187" s="62">
        <v>155</v>
      </c>
      <c r="J3187" s="10" t="s">
        <v>2374</v>
      </c>
      <c r="K3187" s="10" t="s">
        <v>847</v>
      </c>
      <c r="L3187" s="10" t="s">
        <v>2373</v>
      </c>
      <c r="M3187" s="10" t="s">
        <v>2372</v>
      </c>
      <c r="N3187" s="10" t="s">
        <v>2373</v>
      </c>
      <c r="O3187" s="10"/>
    </row>
    <row r="3188" spans="1:15" ht="18" customHeight="1" x14ac:dyDescent="0.3">
      <c r="A3188" s="24">
        <v>3187</v>
      </c>
      <c r="B3188" s="10" t="s">
        <v>135</v>
      </c>
      <c r="C3188" s="10" t="s">
        <v>2292</v>
      </c>
      <c r="D3188" s="62">
        <v>237</v>
      </c>
      <c r="E3188" s="61" t="s">
        <v>2956</v>
      </c>
      <c r="F3188" s="19" t="s">
        <v>2706</v>
      </c>
      <c r="G3188" s="10" t="s">
        <v>150</v>
      </c>
      <c r="H3188" s="10" t="s">
        <v>852</v>
      </c>
      <c r="I3188" s="62">
        <v>236</v>
      </c>
      <c r="J3188" s="10" t="s">
        <v>2372</v>
      </c>
      <c r="K3188" s="10" t="s">
        <v>846</v>
      </c>
      <c r="L3188" s="10" t="s">
        <v>985</v>
      </c>
      <c r="M3188" s="10" t="s">
        <v>2372</v>
      </c>
      <c r="N3188" s="10" t="s">
        <v>2373</v>
      </c>
      <c r="O3188" s="10"/>
    </row>
    <row r="3189" spans="1:15" ht="18" customHeight="1" x14ac:dyDescent="0.3">
      <c r="A3189" s="24">
        <v>3188</v>
      </c>
      <c r="B3189" s="10" t="s">
        <v>135</v>
      </c>
      <c r="C3189" s="10" t="s">
        <v>2292</v>
      </c>
      <c r="D3189" s="62">
        <v>237</v>
      </c>
      <c r="E3189" s="61" t="s">
        <v>2956</v>
      </c>
      <c r="F3189" s="19" t="s">
        <v>2706</v>
      </c>
      <c r="G3189" s="10" t="s">
        <v>150</v>
      </c>
      <c r="H3189" s="10" t="s">
        <v>921</v>
      </c>
      <c r="I3189" s="62">
        <v>304</v>
      </c>
      <c r="J3189" s="10" t="s">
        <v>2374</v>
      </c>
      <c r="K3189" s="10" t="s">
        <v>846</v>
      </c>
      <c r="L3189" s="10" t="s">
        <v>187</v>
      </c>
      <c r="M3189" s="10" t="s">
        <v>2372</v>
      </c>
      <c r="N3189" s="10" t="s">
        <v>2373</v>
      </c>
      <c r="O3189" s="10"/>
    </row>
    <row r="3190" spans="1:15" ht="18" customHeight="1" x14ac:dyDescent="0.3">
      <c r="A3190" s="24">
        <v>3189</v>
      </c>
      <c r="B3190" s="10" t="s">
        <v>135</v>
      </c>
      <c r="C3190" s="10" t="s">
        <v>2292</v>
      </c>
      <c r="D3190" s="62">
        <v>237</v>
      </c>
      <c r="E3190" s="61" t="s">
        <v>2956</v>
      </c>
      <c r="F3190" s="19" t="s">
        <v>2707</v>
      </c>
      <c r="G3190" s="10" t="s">
        <v>150</v>
      </c>
      <c r="H3190" s="10" t="s">
        <v>845</v>
      </c>
      <c r="I3190" s="62">
        <v>162</v>
      </c>
      <c r="J3190" s="10" t="s">
        <v>2372</v>
      </c>
      <c r="K3190" s="10" t="s">
        <v>847</v>
      </c>
      <c r="L3190" s="10" t="s">
        <v>2373</v>
      </c>
      <c r="M3190" s="10" t="s">
        <v>2372</v>
      </c>
      <c r="N3190" s="10" t="s">
        <v>2373</v>
      </c>
      <c r="O3190" s="10"/>
    </row>
    <row r="3191" spans="1:15" ht="18" customHeight="1" x14ac:dyDescent="0.3">
      <c r="A3191" s="24">
        <v>3190</v>
      </c>
      <c r="B3191" s="10" t="s">
        <v>135</v>
      </c>
      <c r="C3191" s="10" t="s">
        <v>2292</v>
      </c>
      <c r="D3191" s="62">
        <v>237</v>
      </c>
      <c r="E3191" s="61" t="s">
        <v>2956</v>
      </c>
      <c r="F3191" s="19" t="s">
        <v>2707</v>
      </c>
      <c r="G3191" s="10" t="s">
        <v>150</v>
      </c>
      <c r="H3191" s="10" t="s">
        <v>848</v>
      </c>
      <c r="I3191" s="62">
        <v>120</v>
      </c>
      <c r="J3191" s="10" t="s">
        <v>2372</v>
      </c>
      <c r="K3191" s="10" t="s">
        <v>847</v>
      </c>
      <c r="L3191" s="10" t="s">
        <v>2373</v>
      </c>
      <c r="M3191" s="10" t="s">
        <v>2372</v>
      </c>
      <c r="N3191" s="10" t="s">
        <v>2373</v>
      </c>
      <c r="O3191" s="10"/>
    </row>
    <row r="3192" spans="1:15" ht="18" customHeight="1" x14ac:dyDescent="0.3">
      <c r="A3192" s="24">
        <v>3191</v>
      </c>
      <c r="B3192" s="10" t="s">
        <v>135</v>
      </c>
      <c r="C3192" s="10" t="s">
        <v>2292</v>
      </c>
      <c r="D3192" s="62">
        <v>237</v>
      </c>
      <c r="E3192" s="61" t="s">
        <v>2957</v>
      </c>
      <c r="F3192" s="19" t="s">
        <v>802</v>
      </c>
      <c r="G3192" s="10" t="s">
        <v>150</v>
      </c>
      <c r="H3192" s="10" t="s">
        <v>845</v>
      </c>
      <c r="I3192" s="62">
        <v>163</v>
      </c>
      <c r="J3192" s="10" t="s">
        <v>2372</v>
      </c>
      <c r="K3192" s="10" t="s">
        <v>847</v>
      </c>
      <c r="L3192" s="10" t="s">
        <v>2373</v>
      </c>
      <c r="M3192" s="10" t="s">
        <v>2372</v>
      </c>
      <c r="N3192" s="10" t="s">
        <v>2373</v>
      </c>
      <c r="O3192" s="10"/>
    </row>
    <row r="3193" spans="1:15" ht="18" customHeight="1" x14ac:dyDescent="0.3">
      <c r="A3193" s="24">
        <v>3192</v>
      </c>
      <c r="B3193" s="10" t="s">
        <v>135</v>
      </c>
      <c r="C3193" s="10" t="s">
        <v>2292</v>
      </c>
      <c r="D3193" s="62">
        <v>237</v>
      </c>
      <c r="E3193" s="61" t="s">
        <v>2957</v>
      </c>
      <c r="F3193" s="19" t="s">
        <v>802</v>
      </c>
      <c r="G3193" s="10" t="s">
        <v>150</v>
      </c>
      <c r="H3193" s="10" t="s">
        <v>848</v>
      </c>
      <c r="I3193" s="62">
        <v>212</v>
      </c>
      <c r="J3193" s="10" t="s">
        <v>2374</v>
      </c>
      <c r="K3193" s="10" t="s">
        <v>847</v>
      </c>
      <c r="L3193" s="10" t="s">
        <v>2373</v>
      </c>
      <c r="M3193" s="10" t="s">
        <v>2372</v>
      </c>
      <c r="N3193" s="10" t="s">
        <v>2373</v>
      </c>
      <c r="O3193" s="10"/>
    </row>
    <row r="3194" spans="1:15" ht="18" customHeight="1" x14ac:dyDescent="0.3">
      <c r="A3194" s="24">
        <v>3193</v>
      </c>
      <c r="B3194" s="10" t="s">
        <v>135</v>
      </c>
      <c r="C3194" s="10" t="s">
        <v>2292</v>
      </c>
      <c r="D3194" s="62">
        <v>237</v>
      </c>
      <c r="E3194" s="61" t="s">
        <v>2957</v>
      </c>
      <c r="F3194" s="19" t="s">
        <v>802</v>
      </c>
      <c r="G3194" s="10" t="s">
        <v>150</v>
      </c>
      <c r="H3194" s="10" t="s">
        <v>849</v>
      </c>
      <c r="I3194" s="62">
        <v>248</v>
      </c>
      <c r="J3194" s="10" t="s">
        <v>2372</v>
      </c>
      <c r="K3194" s="10" t="s">
        <v>847</v>
      </c>
      <c r="L3194" s="10" t="s">
        <v>2373</v>
      </c>
      <c r="M3194" s="10" t="s">
        <v>2372</v>
      </c>
      <c r="N3194" s="10" t="s">
        <v>2373</v>
      </c>
      <c r="O3194" s="10"/>
    </row>
    <row r="3195" spans="1:15" ht="18" customHeight="1" x14ac:dyDescent="0.3">
      <c r="A3195" s="24">
        <v>3194</v>
      </c>
      <c r="B3195" s="10" t="s">
        <v>135</v>
      </c>
      <c r="C3195" s="10" t="s">
        <v>2292</v>
      </c>
      <c r="D3195" s="62">
        <v>237</v>
      </c>
      <c r="E3195" s="61" t="s">
        <v>2957</v>
      </c>
      <c r="F3195" s="19" t="s">
        <v>802</v>
      </c>
      <c r="G3195" s="10" t="s">
        <v>150</v>
      </c>
      <c r="H3195" s="10" t="s">
        <v>850</v>
      </c>
      <c r="I3195" s="62">
        <v>284</v>
      </c>
      <c r="J3195" s="10" t="s">
        <v>2372</v>
      </c>
      <c r="K3195" s="10" t="s">
        <v>847</v>
      </c>
      <c r="L3195" s="10" t="s">
        <v>2373</v>
      </c>
      <c r="M3195" s="10" t="s">
        <v>2372</v>
      </c>
      <c r="N3195" s="10" t="s">
        <v>2373</v>
      </c>
      <c r="O3195" s="10"/>
    </row>
    <row r="3196" spans="1:15" ht="18" customHeight="1" x14ac:dyDescent="0.3">
      <c r="A3196" s="24">
        <v>3195</v>
      </c>
      <c r="B3196" s="10" t="s">
        <v>135</v>
      </c>
      <c r="C3196" s="10" t="s">
        <v>2292</v>
      </c>
      <c r="D3196" s="62">
        <v>237</v>
      </c>
      <c r="E3196" s="61" t="s">
        <v>2957</v>
      </c>
      <c r="F3196" s="19" t="s">
        <v>802</v>
      </c>
      <c r="G3196" s="10" t="s">
        <v>150</v>
      </c>
      <c r="H3196" s="10" t="s">
        <v>852</v>
      </c>
      <c r="I3196" s="62">
        <v>118</v>
      </c>
      <c r="J3196" s="10" t="s">
        <v>2372</v>
      </c>
      <c r="K3196" s="10" t="s">
        <v>847</v>
      </c>
      <c r="L3196" s="10" t="s">
        <v>2373</v>
      </c>
      <c r="M3196" s="10" t="s">
        <v>2372</v>
      </c>
      <c r="N3196" s="10" t="s">
        <v>2373</v>
      </c>
      <c r="O3196" s="10"/>
    </row>
    <row r="3197" spans="1:15" ht="18" customHeight="1" x14ac:dyDescent="0.3">
      <c r="A3197" s="24">
        <v>3196</v>
      </c>
      <c r="B3197" s="10" t="s">
        <v>135</v>
      </c>
      <c r="C3197" s="10" t="s">
        <v>2292</v>
      </c>
      <c r="D3197" s="62">
        <v>237</v>
      </c>
      <c r="E3197" s="61" t="s">
        <v>2957</v>
      </c>
      <c r="F3197" s="19" t="s">
        <v>2708</v>
      </c>
      <c r="G3197" s="10" t="s">
        <v>150</v>
      </c>
      <c r="H3197" s="10" t="s">
        <v>923</v>
      </c>
      <c r="I3197" s="62">
        <v>80</v>
      </c>
      <c r="J3197" s="10" t="s">
        <v>2374</v>
      </c>
      <c r="K3197" s="10" t="s">
        <v>846</v>
      </c>
      <c r="L3197" s="10" t="s">
        <v>1516</v>
      </c>
      <c r="M3197" s="10" t="s">
        <v>2372</v>
      </c>
      <c r="N3197" s="10" t="s">
        <v>2373</v>
      </c>
      <c r="O3197" s="10"/>
    </row>
    <row r="3198" spans="1:15" ht="18" customHeight="1" x14ac:dyDescent="0.3">
      <c r="A3198" s="24">
        <v>3197</v>
      </c>
      <c r="B3198" s="10" t="s">
        <v>135</v>
      </c>
      <c r="C3198" s="10" t="s">
        <v>2292</v>
      </c>
      <c r="D3198" s="62">
        <v>237</v>
      </c>
      <c r="E3198" s="61" t="s">
        <v>899</v>
      </c>
      <c r="F3198" s="16" t="s">
        <v>805</v>
      </c>
      <c r="G3198" s="10" t="s">
        <v>150</v>
      </c>
      <c r="H3198" s="10" t="s">
        <v>845</v>
      </c>
      <c r="I3198" s="62">
        <v>124</v>
      </c>
      <c r="J3198" s="8" t="s">
        <v>2372</v>
      </c>
      <c r="K3198" s="10" t="s">
        <v>847</v>
      </c>
      <c r="L3198" s="10" t="s">
        <v>2373</v>
      </c>
      <c r="M3198" s="10" t="s">
        <v>2372</v>
      </c>
      <c r="N3198" s="10" t="s">
        <v>2373</v>
      </c>
      <c r="O3198" s="10"/>
    </row>
    <row r="3199" spans="1:15" ht="18" customHeight="1" x14ac:dyDescent="0.3">
      <c r="A3199" s="24">
        <v>3198</v>
      </c>
      <c r="B3199" s="10" t="s">
        <v>135</v>
      </c>
      <c r="C3199" s="10" t="s">
        <v>2292</v>
      </c>
      <c r="D3199" s="62">
        <v>237</v>
      </c>
      <c r="E3199" s="61" t="s">
        <v>899</v>
      </c>
      <c r="F3199" s="16" t="s">
        <v>805</v>
      </c>
      <c r="G3199" s="10" t="s">
        <v>150</v>
      </c>
      <c r="H3199" s="10" t="s">
        <v>848</v>
      </c>
      <c r="I3199" s="62">
        <v>121</v>
      </c>
      <c r="J3199" s="8" t="s">
        <v>2372</v>
      </c>
      <c r="K3199" s="10" t="s">
        <v>847</v>
      </c>
      <c r="L3199" s="10" t="s">
        <v>2373</v>
      </c>
      <c r="M3199" s="10" t="s">
        <v>2372</v>
      </c>
      <c r="N3199" s="10" t="s">
        <v>2373</v>
      </c>
      <c r="O3199" s="10"/>
    </row>
    <row r="3200" spans="1:15" ht="18" customHeight="1" x14ac:dyDescent="0.3">
      <c r="A3200" s="24">
        <v>3199</v>
      </c>
      <c r="B3200" s="10" t="s">
        <v>135</v>
      </c>
      <c r="C3200" s="10" t="s">
        <v>2292</v>
      </c>
      <c r="D3200" s="62">
        <v>237</v>
      </c>
      <c r="E3200" s="61" t="s">
        <v>899</v>
      </c>
      <c r="F3200" s="16" t="s">
        <v>805</v>
      </c>
      <c r="G3200" s="10" t="s">
        <v>150</v>
      </c>
      <c r="H3200" s="10" t="s">
        <v>849</v>
      </c>
      <c r="I3200" s="62">
        <v>231</v>
      </c>
      <c r="J3200" s="8" t="s">
        <v>846</v>
      </c>
      <c r="K3200" s="10" t="s">
        <v>847</v>
      </c>
      <c r="L3200" s="10" t="s">
        <v>2373</v>
      </c>
      <c r="M3200" s="10" t="s">
        <v>2372</v>
      </c>
      <c r="N3200" s="10" t="s">
        <v>2373</v>
      </c>
      <c r="O3200" s="10"/>
    </row>
    <row r="3201" spans="1:15" ht="18" customHeight="1" x14ac:dyDescent="0.3">
      <c r="A3201" s="24">
        <v>3200</v>
      </c>
      <c r="B3201" s="10" t="s">
        <v>135</v>
      </c>
      <c r="C3201" s="10" t="s">
        <v>2292</v>
      </c>
      <c r="D3201" s="62">
        <v>237</v>
      </c>
      <c r="E3201" s="61" t="s">
        <v>899</v>
      </c>
      <c r="F3201" s="16" t="s">
        <v>805</v>
      </c>
      <c r="G3201" s="10" t="s">
        <v>150</v>
      </c>
      <c r="H3201" s="10" t="s">
        <v>850</v>
      </c>
      <c r="I3201" s="62">
        <v>124</v>
      </c>
      <c r="J3201" s="8" t="s">
        <v>846</v>
      </c>
      <c r="K3201" s="10" t="s">
        <v>847</v>
      </c>
      <c r="L3201" s="10" t="s">
        <v>2373</v>
      </c>
      <c r="M3201" s="10" t="s">
        <v>2372</v>
      </c>
      <c r="N3201" s="10" t="s">
        <v>2373</v>
      </c>
      <c r="O3201" s="10"/>
    </row>
    <row r="3202" spans="1:15" ht="18" customHeight="1" x14ac:dyDescent="0.3">
      <c r="A3202" s="24">
        <v>3201</v>
      </c>
      <c r="B3202" s="10" t="s">
        <v>135</v>
      </c>
      <c r="C3202" s="10" t="s">
        <v>2292</v>
      </c>
      <c r="D3202" s="62">
        <v>237</v>
      </c>
      <c r="E3202" s="61" t="s">
        <v>899</v>
      </c>
      <c r="F3202" s="16" t="s">
        <v>805</v>
      </c>
      <c r="G3202" s="10" t="s">
        <v>150</v>
      </c>
      <c r="H3202" s="10" t="s">
        <v>851</v>
      </c>
      <c r="I3202" s="62">
        <v>121</v>
      </c>
      <c r="J3202" s="8" t="s">
        <v>2372</v>
      </c>
      <c r="K3202" s="10" t="s">
        <v>847</v>
      </c>
      <c r="L3202" s="10" t="s">
        <v>2373</v>
      </c>
      <c r="M3202" s="10" t="s">
        <v>2372</v>
      </c>
      <c r="N3202" s="10" t="s">
        <v>2373</v>
      </c>
      <c r="O3202" s="10"/>
    </row>
    <row r="3203" spans="1:15" ht="18" customHeight="1" x14ac:dyDescent="0.3">
      <c r="A3203" s="24">
        <v>3202</v>
      </c>
      <c r="B3203" s="10" t="s">
        <v>135</v>
      </c>
      <c r="C3203" s="10" t="s">
        <v>2292</v>
      </c>
      <c r="D3203" s="62">
        <v>237</v>
      </c>
      <c r="E3203" s="61" t="s">
        <v>899</v>
      </c>
      <c r="F3203" s="16" t="s">
        <v>805</v>
      </c>
      <c r="G3203" s="10" t="s">
        <v>150</v>
      </c>
      <c r="H3203" s="10" t="s">
        <v>852</v>
      </c>
      <c r="I3203" s="62">
        <v>231</v>
      </c>
      <c r="J3203" s="8" t="s">
        <v>2372</v>
      </c>
      <c r="K3203" s="10" t="s">
        <v>847</v>
      </c>
      <c r="L3203" s="10" t="s">
        <v>2373</v>
      </c>
      <c r="M3203" s="10" t="s">
        <v>2372</v>
      </c>
      <c r="N3203" s="10" t="s">
        <v>2373</v>
      </c>
      <c r="O3203" s="10"/>
    </row>
    <row r="3204" spans="1:15" ht="18" customHeight="1" x14ac:dyDescent="0.3">
      <c r="A3204" s="24">
        <v>3203</v>
      </c>
      <c r="B3204" s="10" t="s">
        <v>135</v>
      </c>
      <c r="C3204" s="10" t="s">
        <v>137</v>
      </c>
      <c r="D3204" s="62">
        <v>243</v>
      </c>
      <c r="E3204" s="61" t="s">
        <v>2709</v>
      </c>
      <c r="F3204" s="16" t="s">
        <v>1021</v>
      </c>
      <c r="G3204" s="10" t="s">
        <v>160</v>
      </c>
      <c r="H3204" s="10" t="s">
        <v>2379</v>
      </c>
      <c r="I3204" s="62">
        <v>75</v>
      </c>
      <c r="J3204" s="8" t="s">
        <v>2372</v>
      </c>
      <c r="K3204" s="173" t="s">
        <v>860</v>
      </c>
      <c r="L3204" s="173" t="s">
        <v>2229</v>
      </c>
      <c r="M3204" s="10" t="s">
        <v>2372</v>
      </c>
      <c r="N3204" s="10" t="s">
        <v>2373</v>
      </c>
      <c r="O3204" s="10"/>
    </row>
    <row r="3205" spans="1:15" ht="18" customHeight="1" x14ac:dyDescent="0.3">
      <c r="A3205" s="24">
        <v>3204</v>
      </c>
      <c r="B3205" s="10" t="s">
        <v>135</v>
      </c>
      <c r="C3205" s="10" t="s">
        <v>137</v>
      </c>
      <c r="D3205" s="62">
        <v>243</v>
      </c>
      <c r="E3205" s="61" t="s">
        <v>2709</v>
      </c>
      <c r="F3205" s="16" t="s">
        <v>1021</v>
      </c>
      <c r="G3205" s="10" t="s">
        <v>160</v>
      </c>
      <c r="H3205" s="10" t="s">
        <v>2380</v>
      </c>
      <c r="I3205" s="62">
        <v>75</v>
      </c>
      <c r="J3205" s="8" t="s">
        <v>2372</v>
      </c>
      <c r="K3205" s="173" t="s">
        <v>860</v>
      </c>
      <c r="L3205" s="173" t="s">
        <v>2229</v>
      </c>
      <c r="M3205" s="10" t="s">
        <v>2372</v>
      </c>
      <c r="N3205" s="10" t="s">
        <v>2373</v>
      </c>
      <c r="O3205" s="10"/>
    </row>
    <row r="3206" spans="1:15" ht="18" customHeight="1" x14ac:dyDescent="0.3">
      <c r="A3206" s="24">
        <v>3205</v>
      </c>
      <c r="B3206" s="10" t="s">
        <v>135</v>
      </c>
      <c r="C3206" s="10" t="s">
        <v>137</v>
      </c>
      <c r="D3206" s="62">
        <v>243</v>
      </c>
      <c r="E3206" s="61" t="s">
        <v>2709</v>
      </c>
      <c r="F3206" s="16" t="s">
        <v>1021</v>
      </c>
      <c r="G3206" s="10" t="s">
        <v>160</v>
      </c>
      <c r="H3206" s="10" t="s">
        <v>2390</v>
      </c>
      <c r="I3206" s="62">
        <v>62</v>
      </c>
      <c r="J3206" s="8" t="s">
        <v>2372</v>
      </c>
      <c r="K3206" s="173" t="s">
        <v>860</v>
      </c>
      <c r="L3206" s="173" t="s">
        <v>2229</v>
      </c>
      <c r="M3206" s="10" t="s">
        <v>2372</v>
      </c>
      <c r="N3206" s="10" t="s">
        <v>2373</v>
      </c>
      <c r="O3206" s="10"/>
    </row>
    <row r="3207" spans="1:15" ht="18" customHeight="1" x14ac:dyDescent="0.3">
      <c r="A3207" s="24">
        <v>3206</v>
      </c>
      <c r="B3207" s="10" t="s">
        <v>135</v>
      </c>
      <c r="C3207" s="10" t="s">
        <v>137</v>
      </c>
      <c r="D3207" s="62">
        <v>243</v>
      </c>
      <c r="E3207" s="61" t="s">
        <v>2709</v>
      </c>
      <c r="F3207" s="16" t="s">
        <v>1021</v>
      </c>
      <c r="G3207" s="10" t="s">
        <v>160</v>
      </c>
      <c r="H3207" s="10" t="s">
        <v>2382</v>
      </c>
      <c r="I3207" s="62">
        <v>62</v>
      </c>
      <c r="J3207" s="8" t="s">
        <v>2374</v>
      </c>
      <c r="K3207" s="173" t="s">
        <v>860</v>
      </c>
      <c r="L3207" s="173" t="s">
        <v>2229</v>
      </c>
      <c r="M3207" s="10" t="s">
        <v>2372</v>
      </c>
      <c r="N3207" s="10" t="s">
        <v>2373</v>
      </c>
      <c r="O3207" s="10"/>
    </row>
    <row r="3208" spans="1:15" ht="18" customHeight="1" x14ac:dyDescent="0.3">
      <c r="A3208" s="24">
        <v>3207</v>
      </c>
      <c r="B3208" s="10" t="s">
        <v>135</v>
      </c>
      <c r="C3208" s="10" t="s">
        <v>137</v>
      </c>
      <c r="D3208" s="62">
        <v>243</v>
      </c>
      <c r="E3208" s="61" t="s">
        <v>2709</v>
      </c>
      <c r="F3208" s="16" t="s">
        <v>1021</v>
      </c>
      <c r="G3208" s="10" t="s">
        <v>160</v>
      </c>
      <c r="H3208" s="10" t="s">
        <v>2431</v>
      </c>
      <c r="I3208" s="62">
        <v>68</v>
      </c>
      <c r="J3208" s="8" t="s">
        <v>2372</v>
      </c>
      <c r="K3208" s="173" t="s">
        <v>860</v>
      </c>
      <c r="L3208" s="173" t="s">
        <v>2229</v>
      </c>
      <c r="M3208" s="10" t="s">
        <v>2372</v>
      </c>
      <c r="N3208" s="10" t="s">
        <v>2373</v>
      </c>
      <c r="O3208" s="10"/>
    </row>
    <row r="3209" spans="1:15" ht="18" customHeight="1" x14ac:dyDescent="0.3">
      <c r="A3209" s="24">
        <v>3208</v>
      </c>
      <c r="B3209" s="10" t="s">
        <v>135</v>
      </c>
      <c r="C3209" s="10" t="s">
        <v>137</v>
      </c>
      <c r="D3209" s="62">
        <v>243</v>
      </c>
      <c r="E3209" s="61" t="s">
        <v>2709</v>
      </c>
      <c r="F3209" s="16" t="s">
        <v>1021</v>
      </c>
      <c r="G3209" s="10" t="s">
        <v>160</v>
      </c>
      <c r="H3209" s="10" t="s">
        <v>854</v>
      </c>
      <c r="I3209" s="62">
        <v>57</v>
      </c>
      <c r="J3209" s="8" t="s">
        <v>2372</v>
      </c>
      <c r="K3209" s="173" t="s">
        <v>860</v>
      </c>
      <c r="L3209" s="173" t="s">
        <v>2229</v>
      </c>
      <c r="M3209" s="10" t="s">
        <v>2372</v>
      </c>
      <c r="N3209" s="10" t="s">
        <v>2373</v>
      </c>
      <c r="O3209" s="10"/>
    </row>
    <row r="3210" spans="1:15" ht="18" customHeight="1" x14ac:dyDescent="0.3">
      <c r="A3210" s="24">
        <v>3209</v>
      </c>
      <c r="B3210" s="10" t="s">
        <v>135</v>
      </c>
      <c r="C3210" s="10" t="s">
        <v>137</v>
      </c>
      <c r="D3210" s="62">
        <v>243</v>
      </c>
      <c r="E3210" s="61" t="s">
        <v>2709</v>
      </c>
      <c r="F3210" s="16" t="s">
        <v>1021</v>
      </c>
      <c r="G3210" s="10" t="s">
        <v>160</v>
      </c>
      <c r="H3210" s="10" t="s">
        <v>2515</v>
      </c>
      <c r="I3210" s="62">
        <v>268</v>
      </c>
      <c r="J3210" s="8" t="s">
        <v>2372</v>
      </c>
      <c r="K3210" s="10" t="s">
        <v>847</v>
      </c>
      <c r="L3210" s="10" t="s">
        <v>2373</v>
      </c>
      <c r="M3210" s="10" t="s">
        <v>2372</v>
      </c>
      <c r="N3210" s="10" t="s">
        <v>2373</v>
      </c>
      <c r="O3210" s="10"/>
    </row>
    <row r="3211" spans="1:15" ht="18" customHeight="1" x14ac:dyDescent="0.3">
      <c r="A3211" s="24">
        <v>3210</v>
      </c>
      <c r="B3211" s="10" t="s">
        <v>135</v>
      </c>
      <c r="C3211" s="10" t="s">
        <v>137</v>
      </c>
      <c r="D3211" s="62">
        <v>243</v>
      </c>
      <c r="E3211" s="61" t="s">
        <v>2709</v>
      </c>
      <c r="F3211" s="16" t="s">
        <v>798</v>
      </c>
      <c r="G3211" s="10" t="s">
        <v>160</v>
      </c>
      <c r="H3211" s="10" t="s">
        <v>2385</v>
      </c>
      <c r="I3211" s="62">
        <v>166</v>
      </c>
      <c r="J3211" s="8" t="s">
        <v>2374</v>
      </c>
      <c r="K3211" s="173" t="s">
        <v>860</v>
      </c>
      <c r="L3211" s="173" t="s">
        <v>2229</v>
      </c>
      <c r="M3211" s="10" t="s">
        <v>2372</v>
      </c>
      <c r="N3211" s="10" t="s">
        <v>2373</v>
      </c>
      <c r="O3211" s="10"/>
    </row>
    <row r="3212" spans="1:15" ht="18" customHeight="1" x14ac:dyDescent="0.3">
      <c r="A3212" s="24">
        <v>3211</v>
      </c>
      <c r="B3212" s="10" t="s">
        <v>135</v>
      </c>
      <c r="C3212" s="10" t="s">
        <v>137</v>
      </c>
      <c r="D3212" s="62">
        <v>243</v>
      </c>
      <c r="E3212" s="61" t="s">
        <v>2709</v>
      </c>
      <c r="F3212" s="16" t="s">
        <v>798</v>
      </c>
      <c r="G3212" s="10" t="s">
        <v>160</v>
      </c>
      <c r="H3212" s="10" t="s">
        <v>2378</v>
      </c>
      <c r="I3212" s="62">
        <v>110</v>
      </c>
      <c r="J3212" s="8" t="s">
        <v>2374</v>
      </c>
      <c r="K3212" s="173" t="s">
        <v>860</v>
      </c>
      <c r="L3212" s="173" t="s">
        <v>2229</v>
      </c>
      <c r="M3212" s="10" t="s">
        <v>2372</v>
      </c>
      <c r="N3212" s="10" t="s">
        <v>2373</v>
      </c>
      <c r="O3212" s="10"/>
    </row>
    <row r="3213" spans="1:15" ht="18" customHeight="1" x14ac:dyDescent="0.3">
      <c r="A3213" s="24">
        <v>3212</v>
      </c>
      <c r="B3213" s="10" t="s">
        <v>135</v>
      </c>
      <c r="C3213" s="10" t="s">
        <v>137</v>
      </c>
      <c r="D3213" s="62">
        <v>243</v>
      </c>
      <c r="E3213" s="61" t="s">
        <v>898</v>
      </c>
      <c r="F3213" s="16" t="s">
        <v>800</v>
      </c>
      <c r="G3213" s="10" t="s">
        <v>150</v>
      </c>
      <c r="H3213" s="10" t="s">
        <v>845</v>
      </c>
      <c r="I3213" s="62">
        <v>130</v>
      </c>
      <c r="J3213" s="8" t="s">
        <v>2372</v>
      </c>
      <c r="K3213" s="10" t="s">
        <v>847</v>
      </c>
      <c r="L3213" s="10" t="s">
        <v>2373</v>
      </c>
      <c r="M3213" s="10" t="s">
        <v>2372</v>
      </c>
      <c r="N3213" s="10" t="s">
        <v>2373</v>
      </c>
      <c r="O3213" s="10"/>
    </row>
    <row r="3214" spans="1:15" ht="18" customHeight="1" x14ac:dyDescent="0.3">
      <c r="A3214" s="24">
        <v>3213</v>
      </c>
      <c r="B3214" s="10" t="s">
        <v>135</v>
      </c>
      <c r="C3214" s="10" t="s">
        <v>137</v>
      </c>
      <c r="D3214" s="62">
        <v>243</v>
      </c>
      <c r="E3214" s="61" t="s">
        <v>898</v>
      </c>
      <c r="F3214" s="16" t="s">
        <v>800</v>
      </c>
      <c r="G3214" s="10" t="s">
        <v>150</v>
      </c>
      <c r="H3214" s="10" t="s">
        <v>848</v>
      </c>
      <c r="I3214" s="62">
        <v>212</v>
      </c>
      <c r="J3214" s="8" t="s">
        <v>846</v>
      </c>
      <c r="K3214" s="10" t="s">
        <v>847</v>
      </c>
      <c r="L3214" s="10" t="s">
        <v>2373</v>
      </c>
      <c r="M3214" s="10" t="s">
        <v>2372</v>
      </c>
      <c r="N3214" s="10" t="s">
        <v>2373</v>
      </c>
      <c r="O3214" s="10"/>
    </row>
    <row r="3215" spans="1:15" ht="18" customHeight="1" x14ac:dyDescent="0.3">
      <c r="A3215" s="24">
        <v>3214</v>
      </c>
      <c r="B3215" s="10" t="s">
        <v>135</v>
      </c>
      <c r="C3215" s="10" t="s">
        <v>137</v>
      </c>
      <c r="D3215" s="62">
        <v>243</v>
      </c>
      <c r="E3215" s="61" t="s">
        <v>898</v>
      </c>
      <c r="F3215" s="16" t="s">
        <v>800</v>
      </c>
      <c r="G3215" s="10" t="s">
        <v>150</v>
      </c>
      <c r="H3215" s="10" t="s">
        <v>849</v>
      </c>
      <c r="I3215" s="62">
        <v>116</v>
      </c>
      <c r="J3215" s="8" t="s">
        <v>2372</v>
      </c>
      <c r="K3215" s="10" t="s">
        <v>847</v>
      </c>
      <c r="L3215" s="10" t="s">
        <v>2373</v>
      </c>
      <c r="M3215" s="10" t="s">
        <v>2372</v>
      </c>
      <c r="N3215" s="10" t="s">
        <v>2373</v>
      </c>
      <c r="O3215" s="10"/>
    </row>
    <row r="3216" spans="1:15" ht="18" customHeight="1" x14ac:dyDescent="0.3">
      <c r="A3216" s="24">
        <v>3215</v>
      </c>
      <c r="B3216" s="10" t="s">
        <v>135</v>
      </c>
      <c r="C3216" s="10" t="s">
        <v>137</v>
      </c>
      <c r="D3216" s="62">
        <v>243</v>
      </c>
      <c r="E3216" s="61" t="s">
        <v>898</v>
      </c>
      <c r="F3216" s="16" t="s">
        <v>800</v>
      </c>
      <c r="G3216" s="10" t="s">
        <v>150</v>
      </c>
      <c r="H3216" s="10" t="s">
        <v>850</v>
      </c>
      <c r="I3216" s="62">
        <v>206</v>
      </c>
      <c r="J3216" s="8" t="s">
        <v>846</v>
      </c>
      <c r="K3216" s="10" t="s">
        <v>847</v>
      </c>
      <c r="L3216" s="10" t="s">
        <v>2373</v>
      </c>
      <c r="M3216" s="10" t="s">
        <v>2372</v>
      </c>
      <c r="N3216" s="10" t="s">
        <v>2373</v>
      </c>
      <c r="O3216" s="10"/>
    </row>
    <row r="3217" spans="1:15" ht="18" customHeight="1" x14ac:dyDescent="0.3">
      <c r="A3217" s="24">
        <v>3216</v>
      </c>
      <c r="B3217" s="10" t="s">
        <v>135</v>
      </c>
      <c r="C3217" s="10" t="s">
        <v>137</v>
      </c>
      <c r="D3217" s="62">
        <v>243</v>
      </c>
      <c r="E3217" s="61" t="s">
        <v>898</v>
      </c>
      <c r="F3217" s="16" t="s">
        <v>800</v>
      </c>
      <c r="G3217" s="10" t="s">
        <v>150</v>
      </c>
      <c r="H3217" s="10" t="s">
        <v>851</v>
      </c>
      <c r="I3217" s="62">
        <v>246</v>
      </c>
      <c r="J3217" s="8" t="s">
        <v>2372</v>
      </c>
      <c r="K3217" s="10" t="s">
        <v>847</v>
      </c>
      <c r="L3217" s="10" t="s">
        <v>2373</v>
      </c>
      <c r="M3217" s="10" t="s">
        <v>2372</v>
      </c>
      <c r="N3217" s="10" t="s">
        <v>2373</v>
      </c>
      <c r="O3217" s="10"/>
    </row>
    <row r="3218" spans="1:15" ht="18" customHeight="1" x14ac:dyDescent="0.3">
      <c r="A3218" s="24">
        <v>3217</v>
      </c>
      <c r="B3218" s="10" t="s">
        <v>135</v>
      </c>
      <c r="C3218" s="10" t="s">
        <v>137</v>
      </c>
      <c r="D3218" s="62">
        <v>243</v>
      </c>
      <c r="E3218" s="61" t="s">
        <v>898</v>
      </c>
      <c r="F3218" s="16" t="s">
        <v>800</v>
      </c>
      <c r="G3218" s="10" t="s">
        <v>150</v>
      </c>
      <c r="H3218" s="10" t="s">
        <v>852</v>
      </c>
      <c r="I3218" s="62">
        <v>180</v>
      </c>
      <c r="J3218" s="8" t="s">
        <v>2372</v>
      </c>
      <c r="K3218" s="10" t="s">
        <v>847</v>
      </c>
      <c r="L3218" s="10" t="s">
        <v>2373</v>
      </c>
      <c r="M3218" s="10" t="s">
        <v>2372</v>
      </c>
      <c r="N3218" s="10" t="s">
        <v>2373</v>
      </c>
      <c r="O3218" s="10"/>
    </row>
    <row r="3219" spans="1:15" ht="18" customHeight="1" x14ac:dyDescent="0.3">
      <c r="A3219" s="24">
        <v>3218</v>
      </c>
      <c r="B3219" s="10" t="s">
        <v>135</v>
      </c>
      <c r="C3219" s="10" t="s">
        <v>137</v>
      </c>
      <c r="D3219" s="62">
        <v>243</v>
      </c>
      <c r="E3219" s="61" t="s">
        <v>898</v>
      </c>
      <c r="F3219" s="16" t="s">
        <v>800</v>
      </c>
      <c r="G3219" s="10" t="s">
        <v>150</v>
      </c>
      <c r="H3219" s="10" t="s">
        <v>853</v>
      </c>
      <c r="I3219" s="62">
        <v>178</v>
      </c>
      <c r="J3219" s="8" t="s">
        <v>2372</v>
      </c>
      <c r="K3219" s="10" t="s">
        <v>847</v>
      </c>
      <c r="L3219" s="10" t="s">
        <v>2373</v>
      </c>
      <c r="M3219" s="10" t="s">
        <v>2372</v>
      </c>
      <c r="N3219" s="10" t="s">
        <v>2373</v>
      </c>
      <c r="O3219" s="10"/>
    </row>
    <row r="3220" spans="1:15" ht="18" customHeight="1" x14ac:dyDescent="0.3">
      <c r="A3220" s="24">
        <v>3219</v>
      </c>
      <c r="B3220" s="10" t="s">
        <v>2291</v>
      </c>
      <c r="C3220" s="10" t="s">
        <v>2300</v>
      </c>
      <c r="D3220" s="62">
        <v>243</v>
      </c>
      <c r="E3220" s="61" t="s">
        <v>2958</v>
      </c>
      <c r="F3220" s="19" t="s">
        <v>2710</v>
      </c>
      <c r="G3220" s="10" t="s">
        <v>1278</v>
      </c>
      <c r="H3220" s="10" t="s">
        <v>2385</v>
      </c>
      <c r="I3220" s="62">
        <v>101</v>
      </c>
      <c r="J3220" s="10" t="s">
        <v>2374</v>
      </c>
      <c r="K3220" s="10" t="s">
        <v>847</v>
      </c>
      <c r="L3220" s="10" t="s">
        <v>2373</v>
      </c>
      <c r="M3220" s="10" t="s">
        <v>2372</v>
      </c>
      <c r="N3220" s="10" t="s">
        <v>2373</v>
      </c>
      <c r="O3220" s="10"/>
    </row>
    <row r="3221" spans="1:15" ht="18" customHeight="1" x14ac:dyDescent="0.3">
      <c r="A3221" s="24">
        <v>3220</v>
      </c>
      <c r="B3221" s="10" t="s">
        <v>2291</v>
      </c>
      <c r="C3221" s="10" t="s">
        <v>2300</v>
      </c>
      <c r="D3221" s="62">
        <v>243</v>
      </c>
      <c r="E3221" s="61" t="s">
        <v>2958</v>
      </c>
      <c r="F3221" s="19" t="s">
        <v>2710</v>
      </c>
      <c r="G3221" s="10" t="s">
        <v>1278</v>
      </c>
      <c r="H3221" s="10" t="s">
        <v>2378</v>
      </c>
      <c r="I3221" s="62">
        <v>102</v>
      </c>
      <c r="J3221" s="10" t="s">
        <v>2372</v>
      </c>
      <c r="K3221" s="10" t="s">
        <v>847</v>
      </c>
      <c r="L3221" s="10" t="s">
        <v>2373</v>
      </c>
      <c r="M3221" s="10" t="s">
        <v>2372</v>
      </c>
      <c r="N3221" s="10" t="s">
        <v>2373</v>
      </c>
      <c r="O3221" s="10"/>
    </row>
    <row r="3222" spans="1:15" ht="18" customHeight="1" x14ac:dyDescent="0.3">
      <c r="A3222" s="24">
        <v>3221</v>
      </c>
      <c r="B3222" s="10" t="s">
        <v>2291</v>
      </c>
      <c r="C3222" s="10" t="s">
        <v>2300</v>
      </c>
      <c r="D3222" s="62">
        <v>243</v>
      </c>
      <c r="E3222" s="61" t="s">
        <v>2958</v>
      </c>
      <c r="F3222" s="19" t="s">
        <v>2710</v>
      </c>
      <c r="G3222" s="10" t="s">
        <v>1278</v>
      </c>
      <c r="H3222" s="10" t="s">
        <v>2379</v>
      </c>
      <c r="I3222" s="62">
        <v>191</v>
      </c>
      <c r="J3222" s="10" t="s">
        <v>2372</v>
      </c>
      <c r="K3222" s="10" t="s">
        <v>847</v>
      </c>
      <c r="L3222" s="10" t="s">
        <v>2373</v>
      </c>
      <c r="M3222" s="10" t="s">
        <v>2372</v>
      </c>
      <c r="N3222" s="10" t="s">
        <v>2373</v>
      </c>
      <c r="O3222" s="10"/>
    </row>
    <row r="3223" spans="1:15" ht="18" customHeight="1" x14ac:dyDescent="0.3">
      <c r="A3223" s="24">
        <v>3222</v>
      </c>
      <c r="B3223" s="10" t="s">
        <v>2291</v>
      </c>
      <c r="C3223" s="10" t="s">
        <v>2300</v>
      </c>
      <c r="D3223" s="62">
        <v>243</v>
      </c>
      <c r="E3223" s="61" t="s">
        <v>2958</v>
      </c>
      <c r="F3223" s="19" t="s">
        <v>2710</v>
      </c>
      <c r="G3223" s="10" t="s">
        <v>1278</v>
      </c>
      <c r="H3223" s="10" t="s">
        <v>2380</v>
      </c>
      <c r="I3223" s="62">
        <v>48</v>
      </c>
      <c r="J3223" s="10" t="s">
        <v>2372</v>
      </c>
      <c r="K3223" s="10" t="s">
        <v>847</v>
      </c>
      <c r="L3223" s="10" t="s">
        <v>2373</v>
      </c>
      <c r="M3223" s="10" t="s">
        <v>2372</v>
      </c>
      <c r="N3223" s="10" t="s">
        <v>2373</v>
      </c>
      <c r="O3223" s="10"/>
    </row>
    <row r="3224" spans="1:15" ht="18" customHeight="1" x14ac:dyDescent="0.3">
      <c r="A3224" s="24">
        <v>3223</v>
      </c>
      <c r="B3224" s="10" t="s">
        <v>2291</v>
      </c>
      <c r="C3224" s="10" t="s">
        <v>2300</v>
      </c>
      <c r="D3224" s="62">
        <v>243</v>
      </c>
      <c r="E3224" s="61" t="s">
        <v>2958</v>
      </c>
      <c r="F3224" s="19" t="s">
        <v>2710</v>
      </c>
      <c r="G3224" s="10" t="s">
        <v>1278</v>
      </c>
      <c r="H3224" s="10" t="s">
        <v>2390</v>
      </c>
      <c r="I3224" s="62">
        <v>94</v>
      </c>
      <c r="J3224" s="10" t="s">
        <v>2372</v>
      </c>
      <c r="K3224" s="10" t="s">
        <v>847</v>
      </c>
      <c r="L3224" s="10" t="s">
        <v>2373</v>
      </c>
      <c r="M3224" s="10" t="s">
        <v>2372</v>
      </c>
      <c r="N3224" s="10" t="s">
        <v>2373</v>
      </c>
      <c r="O3224" s="10"/>
    </row>
    <row r="3225" spans="1:15" ht="18" customHeight="1" x14ac:dyDescent="0.3">
      <c r="A3225" s="24">
        <v>3224</v>
      </c>
      <c r="B3225" s="10" t="s">
        <v>2291</v>
      </c>
      <c r="C3225" s="10" t="s">
        <v>2300</v>
      </c>
      <c r="D3225" s="62">
        <v>243</v>
      </c>
      <c r="E3225" s="61" t="s">
        <v>2958</v>
      </c>
      <c r="F3225" s="19" t="s">
        <v>2710</v>
      </c>
      <c r="G3225" s="10" t="s">
        <v>1278</v>
      </c>
      <c r="H3225" s="10" t="s">
        <v>2382</v>
      </c>
      <c r="I3225" s="62">
        <v>94</v>
      </c>
      <c r="J3225" s="10" t="s">
        <v>2372</v>
      </c>
      <c r="K3225" s="10" t="s">
        <v>847</v>
      </c>
      <c r="L3225" s="10" t="s">
        <v>2373</v>
      </c>
      <c r="M3225" s="10" t="s">
        <v>2372</v>
      </c>
      <c r="N3225" s="10" t="s">
        <v>2373</v>
      </c>
      <c r="O3225" s="10"/>
    </row>
    <row r="3226" spans="1:15" ht="18" customHeight="1" x14ac:dyDescent="0.3">
      <c r="A3226" s="24">
        <v>3225</v>
      </c>
      <c r="B3226" s="10" t="s">
        <v>2291</v>
      </c>
      <c r="C3226" s="10" t="s">
        <v>2300</v>
      </c>
      <c r="D3226" s="62">
        <v>243</v>
      </c>
      <c r="E3226" s="61" t="s">
        <v>2958</v>
      </c>
      <c r="F3226" s="19" t="s">
        <v>2710</v>
      </c>
      <c r="G3226" s="10" t="s">
        <v>1278</v>
      </c>
      <c r="H3226" s="10" t="s">
        <v>2431</v>
      </c>
      <c r="I3226" s="62">
        <v>94</v>
      </c>
      <c r="J3226" s="10" t="s">
        <v>2372</v>
      </c>
      <c r="K3226" s="10" t="s">
        <v>847</v>
      </c>
      <c r="L3226" s="10" t="s">
        <v>2373</v>
      </c>
      <c r="M3226" s="10" t="s">
        <v>2372</v>
      </c>
      <c r="N3226" s="10" t="s">
        <v>2373</v>
      </c>
      <c r="O3226" s="10"/>
    </row>
    <row r="3227" spans="1:15" ht="18" customHeight="1" x14ac:dyDescent="0.3">
      <c r="A3227" s="24">
        <v>3226</v>
      </c>
      <c r="B3227" s="8" t="s">
        <v>2291</v>
      </c>
      <c r="C3227" s="8" t="s">
        <v>2300</v>
      </c>
      <c r="D3227" s="8">
        <v>243</v>
      </c>
      <c r="E3227" s="19" t="s">
        <v>2303</v>
      </c>
      <c r="F3227" s="19" t="s">
        <v>2304</v>
      </c>
      <c r="G3227" s="8" t="s">
        <v>1278</v>
      </c>
      <c r="H3227" s="10" t="s">
        <v>2754</v>
      </c>
      <c r="I3227" s="62">
        <v>93</v>
      </c>
      <c r="J3227" s="10" t="s">
        <v>2372</v>
      </c>
      <c r="K3227" s="10" t="s">
        <v>2374</v>
      </c>
      <c r="L3227" s="10" t="s">
        <v>1422</v>
      </c>
      <c r="M3227" s="10" t="s">
        <v>2372</v>
      </c>
      <c r="N3227" s="10"/>
      <c r="O3227" s="10"/>
    </row>
    <row r="3228" spans="1:15" ht="18" customHeight="1" x14ac:dyDescent="0.3">
      <c r="A3228" s="24">
        <v>3227</v>
      </c>
      <c r="B3228" s="8" t="s">
        <v>2291</v>
      </c>
      <c r="C3228" s="8" t="s">
        <v>2300</v>
      </c>
      <c r="D3228" s="8">
        <v>243</v>
      </c>
      <c r="E3228" s="19" t="s">
        <v>2303</v>
      </c>
      <c r="F3228" s="19" t="s">
        <v>2304</v>
      </c>
      <c r="G3228" s="8" t="s">
        <v>1278</v>
      </c>
      <c r="H3228" s="10" t="s">
        <v>2755</v>
      </c>
      <c r="I3228" s="62">
        <v>118</v>
      </c>
      <c r="J3228" s="10" t="s">
        <v>2372</v>
      </c>
      <c r="K3228" s="10" t="s">
        <v>2374</v>
      </c>
      <c r="L3228" s="10" t="s">
        <v>1422</v>
      </c>
      <c r="M3228" s="10" t="s">
        <v>2372</v>
      </c>
      <c r="N3228" s="10"/>
      <c r="O3228" s="10"/>
    </row>
    <row r="3229" spans="1:15" ht="18" customHeight="1" x14ac:dyDescent="0.3">
      <c r="A3229" s="24">
        <v>3228</v>
      </c>
      <c r="B3229" s="8" t="s">
        <v>2291</v>
      </c>
      <c r="C3229" s="8" t="s">
        <v>2300</v>
      </c>
      <c r="D3229" s="8">
        <v>243</v>
      </c>
      <c r="E3229" s="19" t="s">
        <v>2303</v>
      </c>
      <c r="F3229" s="19" t="s">
        <v>2304</v>
      </c>
      <c r="G3229" s="8" t="s">
        <v>1278</v>
      </c>
      <c r="H3229" s="10" t="s">
        <v>2618</v>
      </c>
      <c r="I3229" s="62">
        <v>123</v>
      </c>
      <c r="J3229" s="10" t="s">
        <v>2372</v>
      </c>
      <c r="K3229" s="10" t="s">
        <v>2374</v>
      </c>
      <c r="L3229" s="10" t="s">
        <v>1422</v>
      </c>
      <c r="M3229" s="10" t="s">
        <v>2372</v>
      </c>
      <c r="N3229" s="10"/>
      <c r="O3229" s="10"/>
    </row>
    <row r="3230" spans="1:15" ht="18" customHeight="1" x14ac:dyDescent="0.3">
      <c r="A3230" s="24">
        <v>3229</v>
      </c>
      <c r="B3230" s="8" t="s">
        <v>2291</v>
      </c>
      <c r="C3230" s="8" t="s">
        <v>2300</v>
      </c>
      <c r="D3230" s="8">
        <v>243</v>
      </c>
      <c r="E3230" s="19" t="s">
        <v>2303</v>
      </c>
      <c r="F3230" s="19" t="s">
        <v>2304</v>
      </c>
      <c r="G3230" s="8" t="s">
        <v>1278</v>
      </c>
      <c r="H3230" s="10" t="s">
        <v>2619</v>
      </c>
      <c r="I3230" s="62">
        <v>121</v>
      </c>
      <c r="J3230" s="10" t="s">
        <v>2372</v>
      </c>
      <c r="K3230" s="10" t="s">
        <v>2374</v>
      </c>
      <c r="L3230" s="10" t="s">
        <v>1422</v>
      </c>
      <c r="M3230" s="10" t="s">
        <v>2372</v>
      </c>
      <c r="N3230" s="10"/>
      <c r="O3230" s="10"/>
    </row>
    <row r="3231" spans="1:15" ht="18" customHeight="1" x14ac:dyDescent="0.3">
      <c r="A3231" s="24">
        <v>3230</v>
      </c>
      <c r="B3231" s="8" t="s">
        <v>2291</v>
      </c>
      <c r="C3231" s="8" t="s">
        <v>2300</v>
      </c>
      <c r="D3231" s="8">
        <v>243</v>
      </c>
      <c r="E3231" s="19" t="s">
        <v>2303</v>
      </c>
      <c r="F3231" s="19" t="s">
        <v>2304</v>
      </c>
      <c r="G3231" s="8" t="s">
        <v>1278</v>
      </c>
      <c r="H3231" s="10" t="s">
        <v>2620</v>
      </c>
      <c r="I3231" s="62">
        <v>112</v>
      </c>
      <c r="J3231" s="10" t="s">
        <v>2374</v>
      </c>
      <c r="K3231" s="10" t="s">
        <v>2374</v>
      </c>
      <c r="L3231" s="10" t="s">
        <v>1422</v>
      </c>
      <c r="M3231" s="10" t="s">
        <v>2372</v>
      </c>
      <c r="N3231" s="10"/>
      <c r="O3231" s="10"/>
    </row>
    <row r="3232" spans="1:15" ht="18" customHeight="1" x14ac:dyDescent="0.3">
      <c r="A3232" s="24">
        <v>3231</v>
      </c>
      <c r="B3232" s="8" t="s">
        <v>2291</v>
      </c>
      <c r="C3232" s="8" t="s">
        <v>2300</v>
      </c>
      <c r="D3232" s="8">
        <v>243</v>
      </c>
      <c r="E3232" s="19" t="s">
        <v>2303</v>
      </c>
      <c r="F3232" s="19" t="s">
        <v>2304</v>
      </c>
      <c r="G3232" s="8" t="s">
        <v>1278</v>
      </c>
      <c r="H3232" s="10" t="s">
        <v>2621</v>
      </c>
      <c r="I3232" s="62">
        <v>113</v>
      </c>
      <c r="J3232" s="10" t="s">
        <v>2372</v>
      </c>
      <c r="K3232" s="10" t="s">
        <v>2374</v>
      </c>
      <c r="L3232" s="10" t="s">
        <v>1422</v>
      </c>
      <c r="M3232" s="10" t="s">
        <v>2372</v>
      </c>
      <c r="N3232" s="10"/>
      <c r="O3232" s="10"/>
    </row>
    <row r="3233" spans="1:15" ht="18" customHeight="1" x14ac:dyDescent="0.3">
      <c r="A3233" s="24">
        <v>3232</v>
      </c>
      <c r="B3233" s="8" t="s">
        <v>2291</v>
      </c>
      <c r="C3233" s="8" t="s">
        <v>2300</v>
      </c>
      <c r="D3233" s="8">
        <v>243</v>
      </c>
      <c r="E3233" s="19" t="s">
        <v>2303</v>
      </c>
      <c r="F3233" s="19" t="s">
        <v>2304</v>
      </c>
      <c r="G3233" s="8" t="s">
        <v>1278</v>
      </c>
      <c r="H3233" s="10" t="s">
        <v>2622</v>
      </c>
      <c r="I3233" s="62">
        <v>88</v>
      </c>
      <c r="J3233" s="10" t="s">
        <v>2372</v>
      </c>
      <c r="K3233" s="10" t="s">
        <v>2374</v>
      </c>
      <c r="L3233" s="10" t="s">
        <v>1422</v>
      </c>
      <c r="M3233" s="10" t="s">
        <v>2372</v>
      </c>
      <c r="N3233" s="10"/>
      <c r="O3233" s="10"/>
    </row>
    <row r="3234" spans="1:15" ht="18" customHeight="1" x14ac:dyDescent="0.3">
      <c r="A3234" s="24">
        <v>3233</v>
      </c>
      <c r="B3234" s="8" t="s">
        <v>2291</v>
      </c>
      <c r="C3234" s="8" t="s">
        <v>2300</v>
      </c>
      <c r="D3234" s="8">
        <v>243</v>
      </c>
      <c r="E3234" s="19" t="s">
        <v>2303</v>
      </c>
      <c r="F3234" s="19" t="s">
        <v>2304</v>
      </c>
      <c r="G3234" s="8" t="s">
        <v>1278</v>
      </c>
      <c r="H3234" s="10" t="s">
        <v>2756</v>
      </c>
      <c r="I3234" s="62">
        <v>71</v>
      </c>
      <c r="J3234" s="10" t="s">
        <v>2372</v>
      </c>
      <c r="K3234" s="10" t="s">
        <v>2374</v>
      </c>
      <c r="L3234" s="10" t="s">
        <v>1422</v>
      </c>
      <c r="M3234" s="10" t="s">
        <v>2372</v>
      </c>
      <c r="N3234" s="10"/>
      <c r="O3234" s="10"/>
    </row>
    <row r="3235" spans="1:15" ht="18" customHeight="1" x14ac:dyDescent="0.3">
      <c r="A3235" s="24">
        <v>3234</v>
      </c>
      <c r="B3235" s="8" t="s">
        <v>2291</v>
      </c>
      <c r="C3235" s="8" t="s">
        <v>2300</v>
      </c>
      <c r="D3235" s="8">
        <v>243</v>
      </c>
      <c r="E3235" s="19" t="s">
        <v>2303</v>
      </c>
      <c r="F3235" s="19" t="s">
        <v>2304</v>
      </c>
      <c r="G3235" s="8" t="s">
        <v>1278</v>
      </c>
      <c r="H3235" s="10" t="s">
        <v>2757</v>
      </c>
      <c r="I3235" s="62">
        <v>68</v>
      </c>
      <c r="J3235" s="10" t="s">
        <v>2372</v>
      </c>
      <c r="K3235" s="10" t="s">
        <v>2374</v>
      </c>
      <c r="L3235" s="10" t="s">
        <v>1422</v>
      </c>
      <c r="M3235" s="10" t="s">
        <v>2372</v>
      </c>
      <c r="N3235" s="10" t="s">
        <v>2373</v>
      </c>
      <c r="O3235" s="10"/>
    </row>
    <row r="3236" spans="1:15" ht="18" customHeight="1" x14ac:dyDescent="0.3">
      <c r="A3236" s="24">
        <v>3235</v>
      </c>
      <c r="B3236" s="10" t="s">
        <v>135</v>
      </c>
      <c r="C3236" s="10" t="s">
        <v>138</v>
      </c>
      <c r="D3236" s="62">
        <v>244</v>
      </c>
      <c r="E3236" s="61" t="s">
        <v>2711</v>
      </c>
      <c r="F3236" s="16" t="s">
        <v>811</v>
      </c>
      <c r="G3236" s="10" t="s">
        <v>160</v>
      </c>
      <c r="H3236" s="10" t="s">
        <v>845</v>
      </c>
      <c r="I3236" s="62">
        <v>287</v>
      </c>
      <c r="J3236" s="8" t="s">
        <v>2374</v>
      </c>
      <c r="K3236" s="10" t="s">
        <v>847</v>
      </c>
      <c r="L3236" s="10" t="s">
        <v>2373</v>
      </c>
      <c r="M3236" s="10" t="s">
        <v>2372</v>
      </c>
      <c r="N3236" s="10" t="s">
        <v>2373</v>
      </c>
      <c r="O3236" s="10"/>
    </row>
    <row r="3237" spans="1:15" ht="18" customHeight="1" x14ac:dyDescent="0.3">
      <c r="A3237" s="24">
        <v>3236</v>
      </c>
      <c r="B3237" s="10" t="s">
        <v>135</v>
      </c>
      <c r="C3237" s="10" t="s">
        <v>138</v>
      </c>
      <c r="D3237" s="62">
        <v>244</v>
      </c>
      <c r="E3237" s="61" t="s">
        <v>810</v>
      </c>
      <c r="F3237" s="16" t="s">
        <v>811</v>
      </c>
      <c r="G3237" s="10" t="s">
        <v>160</v>
      </c>
      <c r="H3237" s="10" t="s">
        <v>848</v>
      </c>
      <c r="I3237" s="62">
        <v>71</v>
      </c>
      <c r="J3237" s="8" t="s">
        <v>2372</v>
      </c>
      <c r="K3237" s="10" t="s">
        <v>2374</v>
      </c>
      <c r="L3237" s="10" t="s">
        <v>2229</v>
      </c>
      <c r="M3237" s="10" t="s">
        <v>2372</v>
      </c>
      <c r="N3237" s="10" t="s">
        <v>2373</v>
      </c>
      <c r="O3237" s="10"/>
    </row>
    <row r="3238" spans="1:15" ht="18" customHeight="1" x14ac:dyDescent="0.3">
      <c r="A3238" s="24">
        <v>3237</v>
      </c>
      <c r="B3238" s="10" t="s">
        <v>135</v>
      </c>
      <c r="C3238" s="10" t="s">
        <v>138</v>
      </c>
      <c r="D3238" s="62">
        <v>244</v>
      </c>
      <c r="E3238" s="61" t="s">
        <v>810</v>
      </c>
      <c r="F3238" s="16" t="s">
        <v>811</v>
      </c>
      <c r="G3238" s="10" t="s">
        <v>160</v>
      </c>
      <c r="H3238" s="10" t="s">
        <v>849</v>
      </c>
      <c r="I3238" s="62">
        <v>71</v>
      </c>
      <c r="J3238" s="8" t="s">
        <v>2372</v>
      </c>
      <c r="K3238" s="10" t="s">
        <v>2374</v>
      </c>
      <c r="L3238" s="10" t="s">
        <v>2229</v>
      </c>
      <c r="M3238" s="10" t="s">
        <v>2372</v>
      </c>
      <c r="N3238" s="10" t="s">
        <v>2373</v>
      </c>
      <c r="O3238" s="10"/>
    </row>
    <row r="3239" spans="1:15" ht="18.600000000000001" customHeight="1" x14ac:dyDescent="0.3">
      <c r="A3239" s="24">
        <v>3238</v>
      </c>
      <c r="B3239" s="10" t="s">
        <v>135</v>
      </c>
      <c r="C3239" s="10" t="s">
        <v>138</v>
      </c>
      <c r="D3239" s="62">
        <v>244</v>
      </c>
      <c r="E3239" s="61" t="s">
        <v>810</v>
      </c>
      <c r="F3239" s="16" t="s">
        <v>811</v>
      </c>
      <c r="G3239" s="10" t="s">
        <v>160</v>
      </c>
      <c r="H3239" s="10" t="s">
        <v>850</v>
      </c>
      <c r="I3239" s="62">
        <v>72</v>
      </c>
      <c r="J3239" s="8" t="s">
        <v>2374</v>
      </c>
      <c r="K3239" s="10" t="s">
        <v>2374</v>
      </c>
      <c r="L3239" s="10" t="s">
        <v>2229</v>
      </c>
      <c r="M3239" s="10" t="s">
        <v>2372</v>
      </c>
      <c r="N3239" s="10" t="s">
        <v>2373</v>
      </c>
      <c r="O3239" s="10"/>
    </row>
    <row r="3240" spans="1:15" ht="18" customHeight="1" x14ac:dyDescent="0.3">
      <c r="A3240" s="24">
        <v>3239</v>
      </c>
      <c r="B3240" s="10" t="s">
        <v>135</v>
      </c>
      <c r="C3240" s="10" t="s">
        <v>138</v>
      </c>
      <c r="D3240" s="62">
        <v>244</v>
      </c>
      <c r="E3240" s="61" t="s">
        <v>810</v>
      </c>
      <c r="F3240" s="16" t="s">
        <v>811</v>
      </c>
      <c r="G3240" s="10" t="s">
        <v>160</v>
      </c>
      <c r="H3240" s="10" t="s">
        <v>851</v>
      </c>
      <c r="I3240" s="62">
        <v>69</v>
      </c>
      <c r="J3240" s="8" t="s">
        <v>2372</v>
      </c>
      <c r="K3240" s="10" t="s">
        <v>2374</v>
      </c>
      <c r="L3240" s="10" t="s">
        <v>2229</v>
      </c>
      <c r="M3240" s="10" t="s">
        <v>2372</v>
      </c>
      <c r="N3240" s="10" t="s">
        <v>2373</v>
      </c>
      <c r="O3240" s="10"/>
    </row>
    <row r="3241" spans="1:15" ht="18" customHeight="1" x14ac:dyDescent="0.3">
      <c r="A3241" s="24">
        <v>3240</v>
      </c>
      <c r="B3241" s="10" t="s">
        <v>135</v>
      </c>
      <c r="C3241" s="10" t="s">
        <v>138</v>
      </c>
      <c r="D3241" s="62">
        <v>244</v>
      </c>
      <c r="E3241" s="61" t="s">
        <v>810</v>
      </c>
      <c r="F3241" s="16" t="s">
        <v>811</v>
      </c>
      <c r="G3241" s="10" t="s">
        <v>160</v>
      </c>
      <c r="H3241" s="10" t="s">
        <v>852</v>
      </c>
      <c r="I3241" s="62">
        <v>93</v>
      </c>
      <c r="J3241" s="8" t="s">
        <v>2372</v>
      </c>
      <c r="K3241" s="10" t="s">
        <v>847</v>
      </c>
      <c r="L3241" s="10" t="s">
        <v>2373</v>
      </c>
      <c r="M3241" s="10" t="s">
        <v>2372</v>
      </c>
      <c r="N3241" s="10" t="s">
        <v>2373</v>
      </c>
      <c r="O3241" s="10"/>
    </row>
    <row r="3242" spans="1:15" ht="18" customHeight="1" x14ac:dyDescent="0.3">
      <c r="A3242" s="24">
        <v>3241</v>
      </c>
      <c r="B3242" s="10" t="s">
        <v>135</v>
      </c>
      <c r="C3242" s="10" t="s">
        <v>138</v>
      </c>
      <c r="D3242" s="62">
        <v>244</v>
      </c>
      <c r="E3242" s="61" t="s">
        <v>810</v>
      </c>
      <c r="F3242" s="16" t="s">
        <v>811</v>
      </c>
      <c r="G3242" s="10" t="s">
        <v>160</v>
      </c>
      <c r="H3242" s="10" t="s">
        <v>853</v>
      </c>
      <c r="I3242" s="62">
        <v>195</v>
      </c>
      <c r="J3242" s="8" t="s">
        <v>2372</v>
      </c>
      <c r="K3242" s="10" t="s">
        <v>847</v>
      </c>
      <c r="L3242" s="10" t="s">
        <v>2373</v>
      </c>
      <c r="M3242" s="10" t="s">
        <v>2372</v>
      </c>
      <c r="N3242" s="10" t="s">
        <v>2373</v>
      </c>
      <c r="O3242" s="10"/>
    </row>
    <row r="3243" spans="1:15" ht="18" customHeight="1" x14ac:dyDescent="0.3">
      <c r="A3243" s="24">
        <v>3242</v>
      </c>
      <c r="B3243" s="10" t="s">
        <v>135</v>
      </c>
      <c r="C3243" s="10" t="s">
        <v>139</v>
      </c>
      <c r="D3243" s="62">
        <v>245</v>
      </c>
      <c r="E3243" s="61" t="s">
        <v>2712</v>
      </c>
      <c r="F3243" s="11" t="s">
        <v>791</v>
      </c>
      <c r="G3243" s="10" t="s">
        <v>160</v>
      </c>
      <c r="H3243" s="10" t="s">
        <v>845</v>
      </c>
      <c r="I3243" s="62">
        <v>140</v>
      </c>
      <c r="J3243" s="8" t="s">
        <v>2374</v>
      </c>
      <c r="K3243" s="10" t="s">
        <v>847</v>
      </c>
      <c r="L3243" s="10" t="s">
        <v>2373</v>
      </c>
      <c r="M3243" s="10" t="s">
        <v>2372</v>
      </c>
      <c r="N3243" s="10" t="s">
        <v>2373</v>
      </c>
      <c r="O3243" s="10"/>
    </row>
    <row r="3244" spans="1:15" ht="18" customHeight="1" x14ac:dyDescent="0.3">
      <c r="A3244" s="24">
        <v>3243</v>
      </c>
      <c r="B3244" s="10" t="s">
        <v>135</v>
      </c>
      <c r="C3244" s="10" t="s">
        <v>139</v>
      </c>
      <c r="D3244" s="62">
        <v>245</v>
      </c>
      <c r="E3244" s="61" t="s">
        <v>2712</v>
      </c>
      <c r="F3244" s="11" t="s">
        <v>791</v>
      </c>
      <c r="G3244" s="10" t="s">
        <v>160</v>
      </c>
      <c r="H3244" s="10" t="s">
        <v>848</v>
      </c>
      <c r="I3244" s="62">
        <v>139</v>
      </c>
      <c r="J3244" s="8" t="s">
        <v>2372</v>
      </c>
      <c r="K3244" s="10" t="s">
        <v>847</v>
      </c>
      <c r="L3244" s="10" t="s">
        <v>2373</v>
      </c>
      <c r="M3244" s="10" t="s">
        <v>2372</v>
      </c>
      <c r="N3244" s="10" t="s">
        <v>2373</v>
      </c>
      <c r="O3244" s="10"/>
    </row>
    <row r="3245" spans="1:15" ht="18" customHeight="1" x14ac:dyDescent="0.3">
      <c r="A3245" s="24">
        <v>3244</v>
      </c>
      <c r="B3245" s="10" t="s">
        <v>135</v>
      </c>
      <c r="C3245" s="10" t="s">
        <v>139</v>
      </c>
      <c r="D3245" s="62">
        <v>245</v>
      </c>
      <c r="E3245" s="61" t="s">
        <v>2712</v>
      </c>
      <c r="F3245" s="11" t="s">
        <v>791</v>
      </c>
      <c r="G3245" s="10" t="s">
        <v>160</v>
      </c>
      <c r="H3245" s="10" t="s">
        <v>849</v>
      </c>
      <c r="I3245" s="62">
        <v>140</v>
      </c>
      <c r="J3245" s="8" t="s">
        <v>2372</v>
      </c>
      <c r="K3245" s="10" t="s">
        <v>847</v>
      </c>
      <c r="L3245" s="10" t="s">
        <v>2373</v>
      </c>
      <c r="M3245" s="10" t="s">
        <v>2372</v>
      </c>
      <c r="N3245" s="10" t="s">
        <v>2373</v>
      </c>
      <c r="O3245" s="10"/>
    </row>
    <row r="3246" spans="1:15" ht="18" customHeight="1" x14ac:dyDescent="0.3">
      <c r="A3246" s="24">
        <v>3245</v>
      </c>
      <c r="B3246" s="10" t="s">
        <v>135</v>
      </c>
      <c r="C3246" s="10" t="s">
        <v>139</v>
      </c>
      <c r="D3246" s="62">
        <v>245</v>
      </c>
      <c r="E3246" s="61" t="s">
        <v>2712</v>
      </c>
      <c r="F3246" s="11" t="s">
        <v>791</v>
      </c>
      <c r="G3246" s="10" t="s">
        <v>160</v>
      </c>
      <c r="H3246" s="10" t="s">
        <v>851</v>
      </c>
      <c r="I3246" s="62">
        <v>140</v>
      </c>
      <c r="J3246" s="8" t="s">
        <v>2372</v>
      </c>
      <c r="K3246" s="10" t="s">
        <v>847</v>
      </c>
      <c r="L3246" s="10" t="s">
        <v>2373</v>
      </c>
      <c r="M3246" s="10" t="s">
        <v>2372</v>
      </c>
      <c r="N3246" s="10" t="s">
        <v>2373</v>
      </c>
      <c r="O3246" s="10"/>
    </row>
    <row r="3247" spans="1:15" ht="18" customHeight="1" x14ac:dyDescent="0.3">
      <c r="A3247" s="24">
        <v>3246</v>
      </c>
      <c r="B3247" s="509" t="s">
        <v>135</v>
      </c>
      <c r="C3247" s="509" t="s">
        <v>139</v>
      </c>
      <c r="D3247" s="510">
        <v>245</v>
      </c>
      <c r="E3247" s="511" t="s">
        <v>2712</v>
      </c>
      <c r="F3247" s="512" t="s">
        <v>791</v>
      </c>
      <c r="G3247" s="509" t="s">
        <v>160</v>
      </c>
      <c r="H3247" s="10" t="s">
        <v>852</v>
      </c>
      <c r="I3247" s="62">
        <v>32</v>
      </c>
      <c r="J3247" s="8" t="s">
        <v>2372</v>
      </c>
      <c r="K3247" s="10" t="s">
        <v>2374</v>
      </c>
      <c r="L3247" s="10" t="s">
        <v>2229</v>
      </c>
      <c r="M3247" s="10" t="s">
        <v>2372</v>
      </c>
      <c r="N3247" s="10" t="s">
        <v>2373</v>
      </c>
      <c r="O3247" s="10"/>
    </row>
    <row r="3248" spans="1:15" ht="18" customHeight="1" x14ac:dyDescent="0.3">
      <c r="A3248" s="24">
        <v>3247</v>
      </c>
      <c r="B3248" s="509" t="s">
        <v>135</v>
      </c>
      <c r="C3248" s="509" t="s">
        <v>139</v>
      </c>
      <c r="D3248" s="510">
        <v>245</v>
      </c>
      <c r="E3248" s="511" t="s">
        <v>2712</v>
      </c>
      <c r="F3248" s="512" t="s">
        <v>791</v>
      </c>
      <c r="G3248" s="509" t="s">
        <v>160</v>
      </c>
      <c r="H3248" s="10" t="s">
        <v>853</v>
      </c>
      <c r="I3248" s="62">
        <v>38</v>
      </c>
      <c r="J3248" s="8" t="s">
        <v>2372</v>
      </c>
      <c r="K3248" s="10" t="s">
        <v>2374</v>
      </c>
      <c r="L3248" s="10" t="s">
        <v>2229</v>
      </c>
      <c r="M3248" s="10" t="s">
        <v>2372</v>
      </c>
      <c r="N3248" s="10" t="s">
        <v>2373</v>
      </c>
      <c r="O3248" s="10"/>
    </row>
    <row r="3249" spans="1:15" ht="18" customHeight="1" x14ac:dyDescent="0.3">
      <c r="A3249" s="24">
        <v>3248</v>
      </c>
      <c r="B3249" s="10" t="s">
        <v>135</v>
      </c>
      <c r="C3249" s="10" t="s">
        <v>139</v>
      </c>
      <c r="D3249" s="62">
        <v>245</v>
      </c>
      <c r="E3249" s="61" t="s">
        <v>267</v>
      </c>
      <c r="F3249" s="11" t="s">
        <v>792</v>
      </c>
      <c r="G3249" s="10" t="s">
        <v>160</v>
      </c>
      <c r="H3249" s="10" t="s">
        <v>845</v>
      </c>
      <c r="I3249" s="62">
        <v>30</v>
      </c>
      <c r="J3249" s="10" t="s">
        <v>2374</v>
      </c>
      <c r="K3249" s="173" t="s">
        <v>3451</v>
      </c>
      <c r="L3249" s="173" t="s">
        <v>1422</v>
      </c>
      <c r="M3249" s="10" t="s">
        <v>2372</v>
      </c>
      <c r="N3249" s="10" t="s">
        <v>2373</v>
      </c>
      <c r="O3249" s="10"/>
    </row>
    <row r="3250" spans="1:15" ht="18" customHeight="1" x14ac:dyDescent="0.3">
      <c r="A3250" s="24">
        <v>3249</v>
      </c>
      <c r="B3250" s="10" t="s">
        <v>135</v>
      </c>
      <c r="C3250" s="10" t="s">
        <v>139</v>
      </c>
      <c r="D3250" s="62">
        <v>245</v>
      </c>
      <c r="E3250" s="61" t="s">
        <v>267</v>
      </c>
      <c r="F3250" s="11" t="s">
        <v>792</v>
      </c>
      <c r="G3250" s="10" t="s">
        <v>160</v>
      </c>
      <c r="H3250" s="10" t="s">
        <v>848</v>
      </c>
      <c r="I3250" s="62">
        <v>30</v>
      </c>
      <c r="J3250" s="10" t="s">
        <v>2374</v>
      </c>
      <c r="K3250" s="173" t="s">
        <v>3451</v>
      </c>
      <c r="L3250" s="173" t="s">
        <v>1422</v>
      </c>
      <c r="M3250" s="10" t="s">
        <v>2372</v>
      </c>
      <c r="N3250" s="10" t="s">
        <v>2373</v>
      </c>
      <c r="O3250" s="10"/>
    </row>
    <row r="3251" spans="1:15" ht="18" customHeight="1" x14ac:dyDescent="0.3">
      <c r="A3251" s="24">
        <v>3250</v>
      </c>
      <c r="B3251" s="10" t="s">
        <v>135</v>
      </c>
      <c r="C3251" s="10" t="s">
        <v>139</v>
      </c>
      <c r="D3251" s="62">
        <v>245</v>
      </c>
      <c r="E3251" s="61" t="s">
        <v>267</v>
      </c>
      <c r="F3251" s="11" t="s">
        <v>792</v>
      </c>
      <c r="G3251" s="10" t="s">
        <v>160</v>
      </c>
      <c r="H3251" s="10" t="s">
        <v>849</v>
      </c>
      <c r="I3251" s="62">
        <v>30</v>
      </c>
      <c r="J3251" s="10" t="s">
        <v>2374</v>
      </c>
      <c r="K3251" s="173" t="s">
        <v>3451</v>
      </c>
      <c r="L3251" s="173" t="s">
        <v>1422</v>
      </c>
      <c r="M3251" s="10" t="s">
        <v>2372</v>
      </c>
      <c r="N3251" s="10" t="s">
        <v>2373</v>
      </c>
      <c r="O3251" s="10"/>
    </row>
    <row r="3252" spans="1:15" ht="18" customHeight="1" x14ac:dyDescent="0.3">
      <c r="A3252" s="24">
        <v>3251</v>
      </c>
      <c r="B3252" s="10" t="s">
        <v>135</v>
      </c>
      <c r="C3252" s="10" t="s">
        <v>140</v>
      </c>
      <c r="D3252" s="62">
        <v>246</v>
      </c>
      <c r="E3252" s="61" t="s">
        <v>212</v>
      </c>
      <c r="F3252" s="16" t="s">
        <v>1018</v>
      </c>
      <c r="G3252" s="10" t="s">
        <v>150</v>
      </c>
      <c r="H3252" s="10" t="s">
        <v>849</v>
      </c>
      <c r="I3252" s="62">
        <v>104</v>
      </c>
      <c r="J3252" s="8" t="s">
        <v>2372</v>
      </c>
      <c r="K3252" s="10" t="s">
        <v>847</v>
      </c>
      <c r="L3252" s="10" t="s">
        <v>2373</v>
      </c>
      <c r="M3252" s="10" t="s">
        <v>2372</v>
      </c>
      <c r="N3252" s="10" t="s">
        <v>2373</v>
      </c>
      <c r="O3252" s="10"/>
    </row>
    <row r="3253" spans="1:15" ht="18" customHeight="1" x14ac:dyDescent="0.3">
      <c r="A3253" s="24">
        <v>3252</v>
      </c>
      <c r="B3253" s="10" t="s">
        <v>135</v>
      </c>
      <c r="C3253" s="10" t="s">
        <v>140</v>
      </c>
      <c r="D3253" s="62">
        <v>246</v>
      </c>
      <c r="E3253" s="61" t="s">
        <v>212</v>
      </c>
      <c r="F3253" s="16" t="s">
        <v>1018</v>
      </c>
      <c r="G3253" s="10" t="s">
        <v>150</v>
      </c>
      <c r="H3253" s="10" t="s">
        <v>850</v>
      </c>
      <c r="I3253" s="62">
        <v>184</v>
      </c>
      <c r="J3253" s="8" t="s">
        <v>2372</v>
      </c>
      <c r="K3253" s="10" t="s">
        <v>847</v>
      </c>
      <c r="L3253" s="10" t="s">
        <v>2373</v>
      </c>
      <c r="M3253" s="10" t="s">
        <v>2372</v>
      </c>
      <c r="N3253" s="10" t="s">
        <v>2373</v>
      </c>
      <c r="O3253" s="10"/>
    </row>
    <row r="3254" spans="1:15" ht="18" customHeight="1" x14ac:dyDescent="0.3">
      <c r="A3254" s="24">
        <v>3253</v>
      </c>
      <c r="B3254" s="10" t="s">
        <v>135</v>
      </c>
      <c r="C3254" s="10" t="s">
        <v>140</v>
      </c>
      <c r="D3254" s="62">
        <v>246</v>
      </c>
      <c r="E3254" s="61" t="s">
        <v>212</v>
      </c>
      <c r="F3254" s="16" t="s">
        <v>1018</v>
      </c>
      <c r="G3254" s="10" t="s">
        <v>150</v>
      </c>
      <c r="H3254" s="10" t="s">
        <v>851</v>
      </c>
      <c r="I3254" s="62">
        <v>122</v>
      </c>
      <c r="J3254" s="8" t="s">
        <v>2372</v>
      </c>
      <c r="K3254" s="10" t="s">
        <v>847</v>
      </c>
      <c r="L3254" s="10" t="s">
        <v>2373</v>
      </c>
      <c r="M3254" s="10" t="s">
        <v>2372</v>
      </c>
      <c r="N3254" s="10" t="s">
        <v>2373</v>
      </c>
      <c r="O3254" s="10"/>
    </row>
    <row r="3255" spans="1:15" ht="18" customHeight="1" x14ac:dyDescent="0.3">
      <c r="A3255" s="24">
        <v>3254</v>
      </c>
      <c r="B3255" s="10" t="s">
        <v>135</v>
      </c>
      <c r="C3255" s="10" t="s">
        <v>140</v>
      </c>
      <c r="D3255" s="62">
        <v>246</v>
      </c>
      <c r="E3255" s="61" t="s">
        <v>212</v>
      </c>
      <c r="F3255" s="16" t="s">
        <v>1018</v>
      </c>
      <c r="G3255" s="10" t="s">
        <v>150</v>
      </c>
      <c r="H3255" s="10" t="s">
        <v>852</v>
      </c>
      <c r="I3255" s="62">
        <v>132</v>
      </c>
      <c r="J3255" s="8" t="s">
        <v>846</v>
      </c>
      <c r="K3255" s="10" t="s">
        <v>847</v>
      </c>
      <c r="L3255" s="10" t="s">
        <v>2373</v>
      </c>
      <c r="M3255" s="10" t="s">
        <v>2372</v>
      </c>
      <c r="N3255" s="10" t="s">
        <v>2373</v>
      </c>
      <c r="O3255" s="10"/>
    </row>
    <row r="3256" spans="1:15" ht="18" customHeight="1" x14ac:dyDescent="0.3">
      <c r="A3256" s="24">
        <v>3255</v>
      </c>
      <c r="B3256" s="10" t="s">
        <v>135</v>
      </c>
      <c r="C3256" s="10" t="s">
        <v>140</v>
      </c>
      <c r="D3256" s="62">
        <v>246</v>
      </c>
      <c r="E3256" s="61" t="s">
        <v>212</v>
      </c>
      <c r="F3256" s="16" t="s">
        <v>1018</v>
      </c>
      <c r="G3256" s="10" t="s">
        <v>150</v>
      </c>
      <c r="H3256" s="10" t="s">
        <v>853</v>
      </c>
      <c r="I3256" s="62">
        <v>87</v>
      </c>
      <c r="J3256" s="8" t="s">
        <v>2372</v>
      </c>
      <c r="K3256" s="10" t="s">
        <v>847</v>
      </c>
      <c r="L3256" s="10" t="s">
        <v>2373</v>
      </c>
      <c r="M3256" s="10" t="s">
        <v>2372</v>
      </c>
      <c r="N3256" s="10" t="s">
        <v>2373</v>
      </c>
      <c r="O3256" s="10"/>
    </row>
    <row r="3257" spans="1:15" ht="18" customHeight="1" x14ac:dyDescent="0.3">
      <c r="A3257" s="24">
        <v>3256</v>
      </c>
      <c r="B3257" s="10" t="s">
        <v>135</v>
      </c>
      <c r="C3257" s="10" t="s">
        <v>140</v>
      </c>
      <c r="D3257" s="62">
        <v>246</v>
      </c>
      <c r="E3257" s="61" t="s">
        <v>212</v>
      </c>
      <c r="F3257" s="16" t="s">
        <v>786</v>
      </c>
      <c r="G3257" s="10" t="s">
        <v>150</v>
      </c>
      <c r="H3257" s="10" t="s">
        <v>845</v>
      </c>
      <c r="I3257" s="62">
        <v>250</v>
      </c>
      <c r="J3257" s="8" t="s">
        <v>846</v>
      </c>
      <c r="K3257" s="10" t="s">
        <v>847</v>
      </c>
      <c r="L3257" s="10" t="s">
        <v>2373</v>
      </c>
      <c r="M3257" s="10" t="s">
        <v>2372</v>
      </c>
      <c r="N3257" s="10" t="s">
        <v>2373</v>
      </c>
      <c r="O3257" s="10"/>
    </row>
    <row r="3258" spans="1:15" ht="18" customHeight="1" x14ac:dyDescent="0.3">
      <c r="A3258" s="24">
        <v>3257</v>
      </c>
      <c r="B3258" s="10" t="s">
        <v>135</v>
      </c>
      <c r="C3258" s="10" t="s">
        <v>140</v>
      </c>
      <c r="D3258" s="62">
        <v>246</v>
      </c>
      <c r="E3258" s="61" t="s">
        <v>212</v>
      </c>
      <c r="F3258" s="16" t="s">
        <v>786</v>
      </c>
      <c r="G3258" s="10" t="s">
        <v>150</v>
      </c>
      <c r="H3258" s="10" t="s">
        <v>848</v>
      </c>
      <c r="I3258" s="62">
        <v>242</v>
      </c>
      <c r="J3258" s="8" t="s">
        <v>2372</v>
      </c>
      <c r="K3258" s="10" t="s">
        <v>847</v>
      </c>
      <c r="L3258" s="10" t="s">
        <v>2373</v>
      </c>
      <c r="M3258" s="10" t="s">
        <v>2372</v>
      </c>
      <c r="N3258" s="10" t="s">
        <v>2373</v>
      </c>
      <c r="O3258" s="10"/>
    </row>
    <row r="3259" spans="1:15" ht="18" customHeight="1" x14ac:dyDescent="0.3">
      <c r="A3259" s="24">
        <v>3258</v>
      </c>
      <c r="B3259" s="10" t="s">
        <v>135</v>
      </c>
      <c r="C3259" s="10" t="s">
        <v>140</v>
      </c>
      <c r="D3259" s="62">
        <v>246</v>
      </c>
      <c r="E3259" s="61" t="s">
        <v>2959</v>
      </c>
      <c r="F3259" s="19" t="s">
        <v>783</v>
      </c>
      <c r="G3259" s="10" t="s">
        <v>150</v>
      </c>
      <c r="H3259" s="10" t="s">
        <v>845</v>
      </c>
      <c r="I3259" s="62">
        <v>172</v>
      </c>
      <c r="J3259" s="10" t="s">
        <v>2374</v>
      </c>
      <c r="K3259" s="10" t="s">
        <v>847</v>
      </c>
      <c r="L3259" s="10" t="s">
        <v>2373</v>
      </c>
      <c r="M3259" s="10" t="s">
        <v>2372</v>
      </c>
      <c r="N3259" s="10" t="s">
        <v>2373</v>
      </c>
      <c r="O3259" s="10"/>
    </row>
    <row r="3260" spans="1:15" ht="18" customHeight="1" x14ac:dyDescent="0.3">
      <c r="A3260" s="24">
        <v>3259</v>
      </c>
      <c r="B3260" s="10" t="s">
        <v>135</v>
      </c>
      <c r="C3260" s="10" t="s">
        <v>140</v>
      </c>
      <c r="D3260" s="62">
        <v>246</v>
      </c>
      <c r="E3260" s="61" t="s">
        <v>2959</v>
      </c>
      <c r="F3260" s="19" t="s">
        <v>783</v>
      </c>
      <c r="G3260" s="10" t="s">
        <v>150</v>
      </c>
      <c r="H3260" s="10" t="s">
        <v>848</v>
      </c>
      <c r="I3260" s="62">
        <v>158</v>
      </c>
      <c r="J3260" s="10" t="s">
        <v>2372</v>
      </c>
      <c r="K3260" s="10" t="s">
        <v>847</v>
      </c>
      <c r="L3260" s="10" t="s">
        <v>2373</v>
      </c>
      <c r="M3260" s="10" t="s">
        <v>2372</v>
      </c>
      <c r="N3260" s="10" t="s">
        <v>2373</v>
      </c>
      <c r="O3260" s="10"/>
    </row>
    <row r="3261" spans="1:15" ht="18" customHeight="1" x14ac:dyDescent="0.3">
      <c r="A3261" s="24">
        <v>3260</v>
      </c>
      <c r="B3261" s="10" t="s">
        <v>135</v>
      </c>
      <c r="C3261" s="10" t="s">
        <v>140</v>
      </c>
      <c r="D3261" s="62">
        <v>246</v>
      </c>
      <c r="E3261" s="61" t="s">
        <v>2959</v>
      </c>
      <c r="F3261" s="19" t="s">
        <v>783</v>
      </c>
      <c r="G3261" s="10" t="s">
        <v>150</v>
      </c>
      <c r="H3261" s="10" t="s">
        <v>849</v>
      </c>
      <c r="I3261" s="62">
        <v>208</v>
      </c>
      <c r="J3261" s="10" t="s">
        <v>2372</v>
      </c>
      <c r="K3261" s="10" t="s">
        <v>847</v>
      </c>
      <c r="L3261" s="10" t="s">
        <v>2373</v>
      </c>
      <c r="M3261" s="10" t="s">
        <v>2372</v>
      </c>
      <c r="N3261" s="10" t="s">
        <v>2373</v>
      </c>
      <c r="O3261" s="10"/>
    </row>
    <row r="3262" spans="1:15" ht="18" customHeight="1" x14ac:dyDescent="0.3">
      <c r="A3262" s="24">
        <v>3261</v>
      </c>
      <c r="B3262" s="10" t="s">
        <v>135</v>
      </c>
      <c r="C3262" s="10" t="s">
        <v>140</v>
      </c>
      <c r="D3262" s="62">
        <v>246</v>
      </c>
      <c r="E3262" s="61" t="s">
        <v>2959</v>
      </c>
      <c r="F3262" s="19" t="s">
        <v>783</v>
      </c>
      <c r="G3262" s="10" t="s">
        <v>150</v>
      </c>
      <c r="H3262" s="10" t="s">
        <v>850</v>
      </c>
      <c r="I3262" s="62">
        <v>208</v>
      </c>
      <c r="J3262" s="10" t="s">
        <v>2374</v>
      </c>
      <c r="K3262" s="10" t="s">
        <v>847</v>
      </c>
      <c r="L3262" s="10" t="s">
        <v>2373</v>
      </c>
      <c r="M3262" s="10" t="s">
        <v>2372</v>
      </c>
      <c r="N3262" s="10" t="s">
        <v>2373</v>
      </c>
      <c r="O3262" s="10"/>
    </row>
    <row r="3263" spans="1:15" ht="18" customHeight="1" x14ac:dyDescent="0.3">
      <c r="A3263" s="24">
        <v>3262</v>
      </c>
      <c r="B3263" s="10" t="s">
        <v>135</v>
      </c>
      <c r="C3263" s="10" t="s">
        <v>140</v>
      </c>
      <c r="D3263" s="62">
        <v>246</v>
      </c>
      <c r="E3263" s="61" t="s">
        <v>2959</v>
      </c>
      <c r="F3263" s="19" t="s">
        <v>783</v>
      </c>
      <c r="G3263" s="10" t="s">
        <v>150</v>
      </c>
      <c r="H3263" s="10" t="s">
        <v>851</v>
      </c>
      <c r="I3263" s="62">
        <v>166</v>
      </c>
      <c r="J3263" s="10" t="s">
        <v>2372</v>
      </c>
      <c r="K3263" s="10" t="s">
        <v>847</v>
      </c>
      <c r="L3263" s="10" t="s">
        <v>2373</v>
      </c>
      <c r="M3263" s="10" t="s">
        <v>2372</v>
      </c>
      <c r="N3263" s="10" t="s">
        <v>2373</v>
      </c>
      <c r="O3263" s="10"/>
    </row>
    <row r="3264" spans="1:15" ht="18" customHeight="1" x14ac:dyDescent="0.3">
      <c r="A3264" s="24">
        <v>3263</v>
      </c>
      <c r="B3264" s="10" t="s">
        <v>135</v>
      </c>
      <c r="C3264" s="10" t="s">
        <v>140</v>
      </c>
      <c r="D3264" s="62">
        <v>246</v>
      </c>
      <c r="E3264" s="61" t="s">
        <v>2959</v>
      </c>
      <c r="F3264" s="19" t="s">
        <v>783</v>
      </c>
      <c r="G3264" s="10" t="s">
        <v>150</v>
      </c>
      <c r="H3264" s="10" t="s">
        <v>852</v>
      </c>
      <c r="I3264" s="62">
        <v>115</v>
      </c>
      <c r="J3264" s="10" t="s">
        <v>2372</v>
      </c>
      <c r="K3264" s="10" t="s">
        <v>847</v>
      </c>
      <c r="L3264" s="10" t="s">
        <v>2373</v>
      </c>
      <c r="M3264" s="10" t="s">
        <v>2372</v>
      </c>
      <c r="N3264" s="10" t="s">
        <v>2373</v>
      </c>
      <c r="O3264" s="10"/>
    </row>
    <row r="3265" spans="1:15" ht="18" customHeight="1" x14ac:dyDescent="0.3">
      <c r="A3265" s="24">
        <v>3264</v>
      </c>
      <c r="B3265" s="10" t="s">
        <v>135</v>
      </c>
      <c r="C3265" s="10" t="s">
        <v>140</v>
      </c>
      <c r="D3265" s="62">
        <v>246</v>
      </c>
      <c r="E3265" s="61" t="s">
        <v>2959</v>
      </c>
      <c r="F3265" s="19" t="s">
        <v>783</v>
      </c>
      <c r="G3265" s="10" t="s">
        <v>150</v>
      </c>
      <c r="H3265" s="10" t="s">
        <v>854</v>
      </c>
      <c r="I3265" s="62">
        <v>204</v>
      </c>
      <c r="J3265" s="10" t="s">
        <v>2374</v>
      </c>
      <c r="K3265" s="10" t="s">
        <v>847</v>
      </c>
      <c r="L3265" s="10" t="s">
        <v>2373</v>
      </c>
      <c r="M3265" s="10" t="s">
        <v>2372</v>
      </c>
      <c r="N3265" s="10" t="s">
        <v>2373</v>
      </c>
      <c r="O3265" s="10"/>
    </row>
    <row r="3266" spans="1:15" ht="18" customHeight="1" x14ac:dyDescent="0.3">
      <c r="A3266" s="24">
        <v>3265</v>
      </c>
      <c r="B3266" s="10" t="s">
        <v>135</v>
      </c>
      <c r="C3266" s="10" t="s">
        <v>140</v>
      </c>
      <c r="D3266" s="62">
        <v>246</v>
      </c>
      <c r="E3266" s="61" t="s">
        <v>2959</v>
      </c>
      <c r="F3266" s="19" t="s">
        <v>2713</v>
      </c>
      <c r="G3266" s="10" t="s">
        <v>150</v>
      </c>
      <c r="H3266" s="10" t="s">
        <v>853</v>
      </c>
      <c r="I3266" s="62">
        <v>96</v>
      </c>
      <c r="J3266" s="10" t="s">
        <v>2374</v>
      </c>
      <c r="K3266" s="10" t="s">
        <v>846</v>
      </c>
      <c r="L3266" s="10" t="s">
        <v>188</v>
      </c>
      <c r="M3266" s="10" t="s">
        <v>2372</v>
      </c>
      <c r="N3266" s="10" t="s">
        <v>2373</v>
      </c>
      <c r="O3266" s="10"/>
    </row>
    <row r="3267" spans="1:15" ht="18" customHeight="1" x14ac:dyDescent="0.3">
      <c r="A3267" s="24">
        <v>3266</v>
      </c>
      <c r="B3267" s="10" t="s">
        <v>135</v>
      </c>
      <c r="C3267" s="10" t="s">
        <v>140</v>
      </c>
      <c r="D3267" s="62">
        <v>246</v>
      </c>
      <c r="E3267" s="61" t="s">
        <v>2959</v>
      </c>
      <c r="F3267" s="19" t="s">
        <v>2713</v>
      </c>
      <c r="G3267" s="10" t="s">
        <v>150</v>
      </c>
      <c r="H3267" s="10" t="s">
        <v>855</v>
      </c>
      <c r="I3267" s="62">
        <v>204</v>
      </c>
      <c r="J3267" s="10" t="s">
        <v>2372</v>
      </c>
      <c r="K3267" s="10" t="s">
        <v>847</v>
      </c>
      <c r="L3267" s="10" t="s">
        <v>2373</v>
      </c>
      <c r="M3267" s="10" t="s">
        <v>2372</v>
      </c>
      <c r="N3267" s="10" t="s">
        <v>2373</v>
      </c>
      <c r="O3267" s="10"/>
    </row>
    <row r="3268" spans="1:15" ht="18" customHeight="1" x14ac:dyDescent="0.3">
      <c r="A3268" s="24">
        <v>3267</v>
      </c>
      <c r="B3268" s="10" t="s">
        <v>135</v>
      </c>
      <c r="C3268" s="10" t="s">
        <v>140</v>
      </c>
      <c r="D3268" s="62">
        <v>246</v>
      </c>
      <c r="E3268" s="61" t="s">
        <v>2960</v>
      </c>
      <c r="F3268" s="19" t="s">
        <v>1017</v>
      </c>
      <c r="G3268" s="10" t="s">
        <v>160</v>
      </c>
      <c r="H3268" s="10" t="s">
        <v>849</v>
      </c>
      <c r="I3268" s="62">
        <v>145</v>
      </c>
      <c r="J3268" s="10" t="s">
        <v>2374</v>
      </c>
      <c r="K3268" s="10" t="s">
        <v>847</v>
      </c>
      <c r="L3268" s="10" t="s">
        <v>2373</v>
      </c>
      <c r="M3268" s="10" t="s">
        <v>2372</v>
      </c>
      <c r="N3268" s="10" t="s">
        <v>2373</v>
      </c>
      <c r="O3268" s="10"/>
    </row>
    <row r="3269" spans="1:15" ht="18" customHeight="1" x14ac:dyDescent="0.3">
      <c r="A3269" s="24">
        <v>3268</v>
      </c>
      <c r="B3269" s="10" t="s">
        <v>135</v>
      </c>
      <c r="C3269" s="10" t="s">
        <v>140</v>
      </c>
      <c r="D3269" s="62">
        <v>246</v>
      </c>
      <c r="E3269" s="61" t="s">
        <v>2960</v>
      </c>
      <c r="F3269" s="19" t="s">
        <v>1017</v>
      </c>
      <c r="G3269" s="10" t="s">
        <v>160</v>
      </c>
      <c r="H3269" s="10" t="s">
        <v>850</v>
      </c>
      <c r="I3269" s="62">
        <v>145</v>
      </c>
      <c r="J3269" s="10" t="s">
        <v>2372</v>
      </c>
      <c r="K3269" s="10" t="s">
        <v>847</v>
      </c>
      <c r="L3269" s="10" t="s">
        <v>2373</v>
      </c>
      <c r="M3269" s="10" t="s">
        <v>2372</v>
      </c>
      <c r="N3269" s="10" t="s">
        <v>2373</v>
      </c>
      <c r="O3269" s="10"/>
    </row>
    <row r="3270" spans="1:15" ht="18" customHeight="1" x14ac:dyDescent="0.3">
      <c r="A3270" s="24">
        <v>3269</v>
      </c>
      <c r="B3270" s="10" t="s">
        <v>135</v>
      </c>
      <c r="C3270" s="10" t="s">
        <v>140</v>
      </c>
      <c r="D3270" s="62">
        <v>246</v>
      </c>
      <c r="E3270" s="61" t="s">
        <v>2960</v>
      </c>
      <c r="F3270" s="19" t="s">
        <v>1017</v>
      </c>
      <c r="G3270" s="10" t="s">
        <v>160</v>
      </c>
      <c r="H3270" s="10" t="s">
        <v>851</v>
      </c>
      <c r="I3270" s="62">
        <v>194</v>
      </c>
      <c r="J3270" s="10" t="s">
        <v>2372</v>
      </c>
      <c r="K3270" s="10" t="s">
        <v>847</v>
      </c>
      <c r="L3270" s="10" t="s">
        <v>2373</v>
      </c>
      <c r="M3270" s="10" t="s">
        <v>2372</v>
      </c>
      <c r="N3270" s="10" t="s">
        <v>2373</v>
      </c>
      <c r="O3270" s="10"/>
    </row>
    <row r="3271" spans="1:15" ht="18" customHeight="1" x14ac:dyDescent="0.3">
      <c r="A3271" s="24">
        <v>3270</v>
      </c>
      <c r="B3271" s="10" t="s">
        <v>135</v>
      </c>
      <c r="C3271" s="10" t="s">
        <v>140</v>
      </c>
      <c r="D3271" s="62">
        <v>246</v>
      </c>
      <c r="E3271" s="61" t="s">
        <v>2960</v>
      </c>
      <c r="F3271" s="19" t="s">
        <v>1017</v>
      </c>
      <c r="G3271" s="10" t="s">
        <v>160</v>
      </c>
      <c r="H3271" s="10" t="s">
        <v>852</v>
      </c>
      <c r="I3271" s="62">
        <v>145</v>
      </c>
      <c r="J3271" s="10" t="s">
        <v>2372</v>
      </c>
      <c r="K3271" s="10" t="s">
        <v>847</v>
      </c>
      <c r="L3271" s="10" t="s">
        <v>2373</v>
      </c>
      <c r="M3271" s="10" t="s">
        <v>2372</v>
      </c>
      <c r="N3271" s="10" t="s">
        <v>2373</v>
      </c>
      <c r="O3271" s="10"/>
    </row>
    <row r="3272" spans="1:15" ht="18" customHeight="1" x14ac:dyDescent="0.3">
      <c r="A3272" s="24">
        <v>3271</v>
      </c>
      <c r="B3272" s="10" t="s">
        <v>135</v>
      </c>
      <c r="C3272" s="10" t="s">
        <v>140</v>
      </c>
      <c r="D3272" s="62">
        <v>246</v>
      </c>
      <c r="E3272" s="61" t="s">
        <v>2960</v>
      </c>
      <c r="F3272" s="19" t="s">
        <v>784</v>
      </c>
      <c r="G3272" s="10" t="s">
        <v>160</v>
      </c>
      <c r="H3272" s="10" t="s">
        <v>845</v>
      </c>
      <c r="I3272" s="62">
        <v>145</v>
      </c>
      <c r="J3272" s="10" t="s">
        <v>2372</v>
      </c>
      <c r="K3272" s="10" t="s">
        <v>847</v>
      </c>
      <c r="L3272" s="10" t="s">
        <v>2373</v>
      </c>
      <c r="M3272" s="10" t="s">
        <v>2372</v>
      </c>
      <c r="N3272" s="10" t="s">
        <v>2373</v>
      </c>
      <c r="O3272" s="10"/>
    </row>
    <row r="3273" spans="1:15" ht="18" customHeight="1" x14ac:dyDescent="0.3">
      <c r="A3273" s="24">
        <v>3272</v>
      </c>
      <c r="B3273" s="10" t="s">
        <v>135</v>
      </c>
      <c r="C3273" s="10" t="s">
        <v>140</v>
      </c>
      <c r="D3273" s="62">
        <v>246</v>
      </c>
      <c r="E3273" s="61" t="s">
        <v>2960</v>
      </c>
      <c r="F3273" s="19" t="s">
        <v>784</v>
      </c>
      <c r="G3273" s="10" t="s">
        <v>160</v>
      </c>
      <c r="H3273" s="10" t="s">
        <v>848</v>
      </c>
      <c r="I3273" s="62">
        <v>194</v>
      </c>
      <c r="J3273" s="10" t="s">
        <v>2372</v>
      </c>
      <c r="K3273" s="10" t="s">
        <v>847</v>
      </c>
      <c r="L3273" s="10" t="s">
        <v>2373</v>
      </c>
      <c r="M3273" s="10" t="s">
        <v>2372</v>
      </c>
      <c r="N3273" s="10" t="s">
        <v>2373</v>
      </c>
      <c r="O3273" s="10"/>
    </row>
    <row r="3274" spans="1:15" ht="18" customHeight="1" x14ac:dyDescent="0.3">
      <c r="A3274" s="24">
        <v>3273</v>
      </c>
      <c r="B3274" s="10" t="s">
        <v>135</v>
      </c>
      <c r="C3274" s="10" t="s">
        <v>140</v>
      </c>
      <c r="D3274" s="62">
        <v>246</v>
      </c>
      <c r="E3274" s="61" t="s">
        <v>2961</v>
      </c>
      <c r="F3274" s="19" t="s">
        <v>2314</v>
      </c>
      <c r="G3274" s="10" t="s">
        <v>1278</v>
      </c>
      <c r="H3274" s="10" t="s">
        <v>2385</v>
      </c>
      <c r="I3274" s="62">
        <v>68</v>
      </c>
      <c r="J3274" s="10" t="s">
        <v>2372</v>
      </c>
      <c r="K3274" s="10" t="s">
        <v>2372</v>
      </c>
      <c r="L3274" s="10" t="s">
        <v>2373</v>
      </c>
      <c r="M3274" s="10" t="s">
        <v>2372</v>
      </c>
      <c r="N3274" s="10" t="s">
        <v>2373</v>
      </c>
      <c r="O3274" s="10"/>
    </row>
    <row r="3275" spans="1:15" ht="18" customHeight="1" x14ac:dyDescent="0.3">
      <c r="A3275" s="24">
        <v>3274</v>
      </c>
      <c r="B3275" s="10" t="s">
        <v>135</v>
      </c>
      <c r="C3275" s="10" t="s">
        <v>140</v>
      </c>
      <c r="D3275" s="62">
        <v>246</v>
      </c>
      <c r="E3275" s="61" t="s">
        <v>2961</v>
      </c>
      <c r="F3275" s="19" t="s">
        <v>2314</v>
      </c>
      <c r="G3275" s="10" t="s">
        <v>1278</v>
      </c>
      <c r="H3275" s="10" t="s">
        <v>2378</v>
      </c>
      <c r="I3275" s="62">
        <v>63</v>
      </c>
      <c r="J3275" s="10" t="s">
        <v>2372</v>
      </c>
      <c r="K3275" s="10" t="s">
        <v>2372</v>
      </c>
      <c r="L3275" s="10" t="s">
        <v>2373</v>
      </c>
      <c r="M3275" s="10" t="s">
        <v>2372</v>
      </c>
      <c r="N3275" s="10" t="s">
        <v>2373</v>
      </c>
      <c r="O3275" s="10"/>
    </row>
    <row r="3276" spans="1:15" ht="18" customHeight="1" x14ac:dyDescent="0.3">
      <c r="A3276" s="24">
        <v>3275</v>
      </c>
      <c r="B3276" s="10" t="s">
        <v>135</v>
      </c>
      <c r="C3276" s="10" t="s">
        <v>140</v>
      </c>
      <c r="D3276" s="62">
        <v>246</v>
      </c>
      <c r="E3276" s="61" t="s">
        <v>2961</v>
      </c>
      <c r="F3276" s="19" t="s">
        <v>2314</v>
      </c>
      <c r="G3276" s="10" t="s">
        <v>1278</v>
      </c>
      <c r="H3276" s="10" t="s">
        <v>2379</v>
      </c>
      <c r="I3276" s="62">
        <v>68</v>
      </c>
      <c r="J3276" s="10" t="s">
        <v>2372</v>
      </c>
      <c r="K3276" s="10" t="s">
        <v>2372</v>
      </c>
      <c r="L3276" s="10" t="s">
        <v>2373</v>
      </c>
      <c r="M3276" s="10" t="s">
        <v>2372</v>
      </c>
      <c r="N3276" s="10" t="s">
        <v>2373</v>
      </c>
      <c r="O3276" s="10"/>
    </row>
    <row r="3277" spans="1:15" ht="18" customHeight="1" x14ac:dyDescent="0.3">
      <c r="A3277" s="24">
        <v>3276</v>
      </c>
      <c r="B3277" s="10" t="s">
        <v>135</v>
      </c>
      <c r="C3277" s="10" t="s">
        <v>140</v>
      </c>
      <c r="D3277" s="62">
        <v>246</v>
      </c>
      <c r="E3277" s="61" t="s">
        <v>2961</v>
      </c>
      <c r="F3277" s="19" t="s">
        <v>2314</v>
      </c>
      <c r="G3277" s="10" t="s">
        <v>1278</v>
      </c>
      <c r="H3277" s="10" t="s">
        <v>2380</v>
      </c>
      <c r="I3277" s="62">
        <v>63</v>
      </c>
      <c r="J3277" s="10" t="s">
        <v>2372</v>
      </c>
      <c r="K3277" s="10" t="s">
        <v>2372</v>
      </c>
      <c r="L3277" s="10" t="s">
        <v>2373</v>
      </c>
      <c r="M3277" s="10" t="s">
        <v>2372</v>
      </c>
      <c r="N3277" s="10" t="s">
        <v>2373</v>
      </c>
      <c r="O3277" s="10"/>
    </row>
    <row r="3278" spans="1:15" ht="18" customHeight="1" x14ac:dyDescent="0.3">
      <c r="A3278" s="24">
        <v>3277</v>
      </c>
      <c r="B3278" s="10" t="s">
        <v>135</v>
      </c>
      <c r="C3278" s="10" t="s">
        <v>140</v>
      </c>
      <c r="D3278" s="62">
        <v>246</v>
      </c>
      <c r="E3278" s="61" t="s">
        <v>897</v>
      </c>
      <c r="F3278" s="16" t="s">
        <v>1019</v>
      </c>
      <c r="G3278" s="10" t="s">
        <v>150</v>
      </c>
      <c r="H3278" s="10" t="s">
        <v>849</v>
      </c>
      <c r="I3278" s="62">
        <v>249</v>
      </c>
      <c r="J3278" s="8" t="s">
        <v>846</v>
      </c>
      <c r="K3278" s="10" t="s">
        <v>847</v>
      </c>
      <c r="L3278" s="10" t="s">
        <v>2373</v>
      </c>
      <c r="M3278" s="10" t="s">
        <v>2372</v>
      </c>
      <c r="N3278" s="10" t="s">
        <v>2373</v>
      </c>
      <c r="O3278" s="10"/>
    </row>
    <row r="3279" spans="1:15" ht="18" customHeight="1" x14ac:dyDescent="0.3">
      <c r="A3279" s="24">
        <v>3278</v>
      </c>
      <c r="B3279" s="10" t="s">
        <v>135</v>
      </c>
      <c r="C3279" s="10" t="s">
        <v>140</v>
      </c>
      <c r="D3279" s="62">
        <v>246</v>
      </c>
      <c r="E3279" s="61" t="s">
        <v>897</v>
      </c>
      <c r="F3279" s="16" t="s">
        <v>1019</v>
      </c>
      <c r="G3279" s="10" t="s">
        <v>150</v>
      </c>
      <c r="H3279" s="10" t="s">
        <v>850</v>
      </c>
      <c r="I3279" s="62">
        <v>151</v>
      </c>
      <c r="J3279" s="8" t="s">
        <v>2372</v>
      </c>
      <c r="K3279" s="10" t="s">
        <v>847</v>
      </c>
      <c r="L3279" s="10" t="s">
        <v>2373</v>
      </c>
      <c r="M3279" s="10" t="s">
        <v>2372</v>
      </c>
      <c r="N3279" s="10" t="s">
        <v>2373</v>
      </c>
      <c r="O3279" s="10"/>
    </row>
    <row r="3280" spans="1:15" ht="18" customHeight="1" x14ac:dyDescent="0.3">
      <c r="A3280" s="24">
        <v>3279</v>
      </c>
      <c r="B3280" s="10" t="s">
        <v>135</v>
      </c>
      <c r="C3280" s="10" t="s">
        <v>140</v>
      </c>
      <c r="D3280" s="62">
        <v>246</v>
      </c>
      <c r="E3280" s="61" t="s">
        <v>897</v>
      </c>
      <c r="F3280" s="16" t="s">
        <v>1019</v>
      </c>
      <c r="G3280" s="10" t="s">
        <v>150</v>
      </c>
      <c r="H3280" s="10" t="s">
        <v>851</v>
      </c>
      <c r="I3280" s="62">
        <v>145</v>
      </c>
      <c r="J3280" s="8" t="s">
        <v>2372</v>
      </c>
      <c r="K3280" s="10" t="s">
        <v>847</v>
      </c>
      <c r="L3280" s="10" t="s">
        <v>2373</v>
      </c>
      <c r="M3280" s="10" t="s">
        <v>2372</v>
      </c>
      <c r="N3280" s="10" t="s">
        <v>2373</v>
      </c>
      <c r="O3280" s="10"/>
    </row>
    <row r="3281" spans="1:15" ht="18" customHeight="1" x14ac:dyDescent="0.3">
      <c r="A3281" s="24">
        <v>3280</v>
      </c>
      <c r="B3281" s="10" t="s">
        <v>135</v>
      </c>
      <c r="C3281" s="10" t="s">
        <v>140</v>
      </c>
      <c r="D3281" s="62">
        <v>246</v>
      </c>
      <c r="E3281" s="61" t="s">
        <v>897</v>
      </c>
      <c r="F3281" s="16" t="s">
        <v>1019</v>
      </c>
      <c r="G3281" s="10" t="s">
        <v>150</v>
      </c>
      <c r="H3281" s="10" t="s">
        <v>852</v>
      </c>
      <c r="I3281" s="62">
        <v>175</v>
      </c>
      <c r="J3281" s="8" t="s">
        <v>2372</v>
      </c>
      <c r="K3281" s="10" t="s">
        <v>847</v>
      </c>
      <c r="L3281" s="10" t="s">
        <v>2373</v>
      </c>
      <c r="M3281" s="10" t="s">
        <v>2372</v>
      </c>
      <c r="N3281" s="10" t="s">
        <v>2373</v>
      </c>
      <c r="O3281" s="10"/>
    </row>
    <row r="3282" spans="1:15" ht="18" customHeight="1" x14ac:dyDescent="0.3">
      <c r="A3282" s="24">
        <v>3281</v>
      </c>
      <c r="B3282" s="10" t="s">
        <v>135</v>
      </c>
      <c r="C3282" s="10" t="s">
        <v>140</v>
      </c>
      <c r="D3282" s="62">
        <v>246</v>
      </c>
      <c r="E3282" s="61" t="s">
        <v>897</v>
      </c>
      <c r="F3282" s="16" t="s">
        <v>789</v>
      </c>
      <c r="G3282" s="10" t="s">
        <v>150</v>
      </c>
      <c r="H3282" s="10" t="s">
        <v>845</v>
      </c>
      <c r="I3282" s="62">
        <v>128</v>
      </c>
      <c r="J3282" s="8" t="s">
        <v>846</v>
      </c>
      <c r="K3282" s="10" t="s">
        <v>847</v>
      </c>
      <c r="L3282" s="10" t="s">
        <v>2373</v>
      </c>
      <c r="M3282" s="10" t="s">
        <v>2372</v>
      </c>
      <c r="N3282" s="10" t="s">
        <v>2373</v>
      </c>
      <c r="O3282" s="10"/>
    </row>
    <row r="3283" spans="1:15" ht="18" customHeight="1" x14ac:dyDescent="0.3">
      <c r="A3283" s="24">
        <v>3282</v>
      </c>
      <c r="B3283" s="10" t="s">
        <v>135</v>
      </c>
      <c r="C3283" s="10" t="s">
        <v>140</v>
      </c>
      <c r="D3283" s="62">
        <v>246</v>
      </c>
      <c r="E3283" s="61" t="s">
        <v>897</v>
      </c>
      <c r="F3283" s="16" t="s">
        <v>789</v>
      </c>
      <c r="G3283" s="10" t="s">
        <v>150</v>
      </c>
      <c r="H3283" s="10" t="s">
        <v>848</v>
      </c>
      <c r="I3283" s="62">
        <v>175</v>
      </c>
      <c r="J3283" s="8" t="s">
        <v>2372</v>
      </c>
      <c r="K3283" s="10" t="s">
        <v>847</v>
      </c>
      <c r="L3283" s="10" t="s">
        <v>2373</v>
      </c>
      <c r="M3283" s="10" t="s">
        <v>2372</v>
      </c>
      <c r="N3283" s="10" t="s">
        <v>2373</v>
      </c>
      <c r="O3283" s="10"/>
    </row>
    <row r="3284" spans="1:15" ht="18" customHeight="1" x14ac:dyDescent="0.3">
      <c r="A3284" s="24">
        <v>3283</v>
      </c>
      <c r="B3284" s="10" t="s">
        <v>135</v>
      </c>
      <c r="C3284" s="10" t="s">
        <v>141</v>
      </c>
      <c r="D3284" s="62">
        <v>247</v>
      </c>
      <c r="E3284" s="61" t="s">
        <v>291</v>
      </c>
      <c r="F3284" s="11" t="s">
        <v>2315</v>
      </c>
      <c r="G3284" s="10" t="s">
        <v>2373</v>
      </c>
      <c r="H3284" s="10" t="s">
        <v>845</v>
      </c>
      <c r="I3284" s="62">
        <v>146</v>
      </c>
      <c r="J3284" s="10" t="s">
        <v>2372</v>
      </c>
      <c r="K3284" s="10" t="s">
        <v>847</v>
      </c>
      <c r="L3284" s="10" t="s">
        <v>2373</v>
      </c>
      <c r="M3284" s="10" t="s">
        <v>2372</v>
      </c>
      <c r="N3284" s="10" t="s">
        <v>2373</v>
      </c>
      <c r="O3284" s="10"/>
    </row>
    <row r="3285" spans="1:15" ht="18" customHeight="1" x14ac:dyDescent="0.3">
      <c r="A3285" s="24">
        <v>3284</v>
      </c>
      <c r="B3285" s="10" t="s">
        <v>135</v>
      </c>
      <c r="C3285" s="10" t="s">
        <v>141</v>
      </c>
      <c r="D3285" s="62">
        <v>247</v>
      </c>
      <c r="E3285" s="61" t="s">
        <v>291</v>
      </c>
      <c r="F3285" s="11" t="s">
        <v>2315</v>
      </c>
      <c r="G3285" s="10" t="s">
        <v>2373</v>
      </c>
      <c r="H3285" s="10" t="s">
        <v>848</v>
      </c>
      <c r="I3285" s="62">
        <v>146</v>
      </c>
      <c r="J3285" s="10" t="s">
        <v>2372</v>
      </c>
      <c r="K3285" s="10" t="s">
        <v>847</v>
      </c>
      <c r="L3285" s="10" t="s">
        <v>2373</v>
      </c>
      <c r="M3285" s="10" t="s">
        <v>2372</v>
      </c>
      <c r="N3285" s="10" t="s">
        <v>2373</v>
      </c>
      <c r="O3285" s="10"/>
    </row>
    <row r="3286" spans="1:15" ht="18" customHeight="1" x14ac:dyDescent="0.3">
      <c r="A3286" s="24">
        <v>3285</v>
      </c>
      <c r="B3286" s="10" t="s">
        <v>135</v>
      </c>
      <c r="C3286" s="10" t="s">
        <v>142</v>
      </c>
      <c r="D3286" s="62">
        <v>248</v>
      </c>
      <c r="E3286" s="61" t="s">
        <v>2962</v>
      </c>
      <c r="F3286" s="11" t="s">
        <v>780</v>
      </c>
      <c r="G3286" s="10" t="s">
        <v>150</v>
      </c>
      <c r="H3286" s="10" t="s">
        <v>845</v>
      </c>
      <c r="I3286" s="62">
        <v>138</v>
      </c>
      <c r="J3286" s="10" t="s">
        <v>2374</v>
      </c>
      <c r="K3286" s="10" t="s">
        <v>847</v>
      </c>
      <c r="L3286" s="10" t="s">
        <v>2373</v>
      </c>
      <c r="M3286" s="10" t="s">
        <v>2372</v>
      </c>
      <c r="N3286" s="10" t="s">
        <v>2373</v>
      </c>
      <c r="O3286" s="10"/>
    </row>
    <row r="3287" spans="1:15" ht="18" customHeight="1" x14ac:dyDescent="0.3">
      <c r="A3287" s="24">
        <v>3286</v>
      </c>
      <c r="B3287" s="10" t="s">
        <v>135</v>
      </c>
      <c r="C3287" s="10" t="s">
        <v>142</v>
      </c>
      <c r="D3287" s="62">
        <v>248</v>
      </c>
      <c r="E3287" s="61" t="s">
        <v>2962</v>
      </c>
      <c r="F3287" s="11" t="s">
        <v>780</v>
      </c>
      <c r="G3287" s="10" t="s">
        <v>150</v>
      </c>
      <c r="H3287" s="10" t="s">
        <v>848</v>
      </c>
      <c r="I3287" s="62">
        <v>128</v>
      </c>
      <c r="J3287" s="10" t="s">
        <v>2372</v>
      </c>
      <c r="K3287" s="10" t="s">
        <v>847</v>
      </c>
      <c r="L3287" s="10" t="s">
        <v>2373</v>
      </c>
      <c r="M3287" s="10" t="s">
        <v>2372</v>
      </c>
      <c r="N3287" s="10" t="s">
        <v>2373</v>
      </c>
      <c r="O3287" s="10"/>
    </row>
    <row r="3288" spans="1:15" ht="18" customHeight="1" x14ac:dyDescent="0.3">
      <c r="A3288" s="24">
        <v>3287</v>
      </c>
      <c r="B3288" s="10" t="s">
        <v>135</v>
      </c>
      <c r="C3288" s="10" t="s">
        <v>142</v>
      </c>
      <c r="D3288" s="62">
        <v>248</v>
      </c>
      <c r="E3288" s="61" t="s">
        <v>2962</v>
      </c>
      <c r="F3288" s="11" t="s">
        <v>780</v>
      </c>
      <c r="G3288" s="10" t="s">
        <v>150</v>
      </c>
      <c r="H3288" s="10" t="s">
        <v>849</v>
      </c>
      <c r="I3288" s="62">
        <v>118</v>
      </c>
      <c r="J3288" s="10" t="s">
        <v>2372</v>
      </c>
      <c r="K3288" s="10" t="s">
        <v>847</v>
      </c>
      <c r="L3288" s="10" t="s">
        <v>2373</v>
      </c>
      <c r="M3288" s="10" t="s">
        <v>2372</v>
      </c>
      <c r="N3288" s="10" t="s">
        <v>2373</v>
      </c>
      <c r="O3288" s="10"/>
    </row>
    <row r="3289" spans="1:15" ht="18" customHeight="1" x14ac:dyDescent="0.3">
      <c r="A3289" s="24">
        <v>3288</v>
      </c>
      <c r="B3289" s="10" t="s">
        <v>135</v>
      </c>
      <c r="C3289" s="10" t="s">
        <v>142</v>
      </c>
      <c r="D3289" s="62">
        <v>248</v>
      </c>
      <c r="E3289" s="61" t="s">
        <v>2962</v>
      </c>
      <c r="F3289" s="11" t="s">
        <v>780</v>
      </c>
      <c r="G3289" s="10" t="s">
        <v>150</v>
      </c>
      <c r="H3289" s="10" t="s">
        <v>850</v>
      </c>
      <c r="I3289" s="62">
        <v>177</v>
      </c>
      <c r="J3289" s="10" t="s">
        <v>2372</v>
      </c>
      <c r="K3289" s="10" t="s">
        <v>847</v>
      </c>
      <c r="L3289" s="10" t="s">
        <v>2373</v>
      </c>
      <c r="M3289" s="10" t="s">
        <v>2372</v>
      </c>
      <c r="N3289" s="10" t="s">
        <v>2373</v>
      </c>
      <c r="O3289" s="10"/>
    </row>
    <row r="3290" spans="1:15" ht="18" customHeight="1" x14ac:dyDescent="0.3">
      <c r="A3290" s="24">
        <v>3289</v>
      </c>
      <c r="B3290" s="10" t="s">
        <v>135</v>
      </c>
      <c r="C3290" s="10" t="s">
        <v>142</v>
      </c>
      <c r="D3290" s="62">
        <v>248</v>
      </c>
      <c r="E3290" s="61" t="s">
        <v>2962</v>
      </c>
      <c r="F3290" s="11" t="s">
        <v>780</v>
      </c>
      <c r="G3290" s="10" t="s">
        <v>150</v>
      </c>
      <c r="H3290" s="10" t="s">
        <v>851</v>
      </c>
      <c r="I3290" s="62">
        <v>260</v>
      </c>
      <c r="J3290" s="10" t="s">
        <v>2372</v>
      </c>
      <c r="K3290" s="10" t="s">
        <v>847</v>
      </c>
      <c r="L3290" s="10" t="s">
        <v>2373</v>
      </c>
      <c r="M3290" s="10" t="s">
        <v>2372</v>
      </c>
      <c r="N3290" s="10" t="s">
        <v>2373</v>
      </c>
      <c r="O3290" s="10"/>
    </row>
    <row r="3291" spans="1:15" ht="18" customHeight="1" x14ac:dyDescent="0.3">
      <c r="A3291" s="24">
        <v>3290</v>
      </c>
      <c r="B3291" s="10" t="s">
        <v>135</v>
      </c>
      <c r="C3291" s="10" t="s">
        <v>142</v>
      </c>
      <c r="D3291" s="62">
        <v>248</v>
      </c>
      <c r="E3291" s="61" t="s">
        <v>2962</v>
      </c>
      <c r="F3291" s="11" t="s">
        <v>780</v>
      </c>
      <c r="G3291" s="10" t="s">
        <v>150</v>
      </c>
      <c r="H3291" s="10" t="s">
        <v>852</v>
      </c>
      <c r="I3291" s="62">
        <v>260</v>
      </c>
      <c r="J3291" s="10" t="s">
        <v>2372</v>
      </c>
      <c r="K3291" s="10" t="s">
        <v>847</v>
      </c>
      <c r="L3291" s="10" t="s">
        <v>2373</v>
      </c>
      <c r="M3291" s="10" t="s">
        <v>2372</v>
      </c>
      <c r="N3291" s="10" t="s">
        <v>2373</v>
      </c>
      <c r="O3291" s="10"/>
    </row>
    <row r="3292" spans="1:15" ht="18" customHeight="1" x14ac:dyDescent="0.3">
      <c r="A3292" s="24">
        <v>3291</v>
      </c>
      <c r="B3292" s="10" t="s">
        <v>135</v>
      </c>
      <c r="C3292" s="10" t="s">
        <v>142</v>
      </c>
      <c r="D3292" s="62">
        <v>248</v>
      </c>
      <c r="E3292" s="61" t="s">
        <v>2962</v>
      </c>
      <c r="F3292" s="11" t="s">
        <v>780</v>
      </c>
      <c r="G3292" s="10" t="s">
        <v>150</v>
      </c>
      <c r="H3292" s="10" t="s">
        <v>853</v>
      </c>
      <c r="I3292" s="62">
        <v>142</v>
      </c>
      <c r="J3292" s="10" t="s">
        <v>2372</v>
      </c>
      <c r="K3292" s="10" t="s">
        <v>847</v>
      </c>
      <c r="L3292" s="10" t="s">
        <v>2373</v>
      </c>
      <c r="M3292" s="10" t="s">
        <v>2372</v>
      </c>
      <c r="N3292" s="10" t="s">
        <v>2373</v>
      </c>
      <c r="O3292" s="10"/>
    </row>
    <row r="3293" spans="1:15" ht="18" customHeight="1" x14ac:dyDescent="0.3">
      <c r="A3293" s="24">
        <v>3292</v>
      </c>
      <c r="B3293" s="10" t="s">
        <v>135</v>
      </c>
      <c r="C3293" s="10" t="s">
        <v>143</v>
      </c>
      <c r="D3293" s="62">
        <v>249</v>
      </c>
      <c r="E3293" s="61" t="s">
        <v>2714</v>
      </c>
      <c r="F3293" s="11" t="s">
        <v>795</v>
      </c>
      <c r="G3293" s="10" t="s">
        <v>160</v>
      </c>
      <c r="H3293" s="10" t="s">
        <v>845</v>
      </c>
      <c r="I3293" s="62">
        <v>90</v>
      </c>
      <c r="J3293" s="10" t="s">
        <v>2372</v>
      </c>
      <c r="K3293" s="10" t="s">
        <v>2374</v>
      </c>
      <c r="L3293" s="10" t="s">
        <v>1422</v>
      </c>
      <c r="M3293" s="10" t="s">
        <v>2372</v>
      </c>
      <c r="N3293" s="10" t="s">
        <v>2373</v>
      </c>
      <c r="O3293" s="10"/>
    </row>
    <row r="3294" spans="1:15" ht="18" customHeight="1" x14ac:dyDescent="0.3">
      <c r="A3294" s="24">
        <v>3293</v>
      </c>
      <c r="B3294" s="10" t="s">
        <v>135</v>
      </c>
      <c r="C3294" s="10" t="s">
        <v>143</v>
      </c>
      <c r="D3294" s="62">
        <v>249</v>
      </c>
      <c r="E3294" s="61" t="s">
        <v>2714</v>
      </c>
      <c r="F3294" s="11" t="s">
        <v>795</v>
      </c>
      <c r="G3294" s="10" t="s">
        <v>160</v>
      </c>
      <c r="H3294" s="10" t="s">
        <v>848</v>
      </c>
      <c r="I3294" s="62">
        <v>90</v>
      </c>
      <c r="J3294" s="10" t="s">
        <v>2372</v>
      </c>
      <c r="K3294" s="10" t="s">
        <v>2374</v>
      </c>
      <c r="L3294" s="10" t="s">
        <v>1422</v>
      </c>
      <c r="M3294" s="10" t="s">
        <v>2372</v>
      </c>
      <c r="N3294" s="10" t="s">
        <v>2373</v>
      </c>
      <c r="O3294" s="10"/>
    </row>
    <row r="3295" spans="1:15" ht="18" customHeight="1" x14ac:dyDescent="0.3">
      <c r="A3295" s="24">
        <v>3294</v>
      </c>
      <c r="B3295" s="10" t="s">
        <v>135</v>
      </c>
      <c r="C3295" s="10" t="s">
        <v>143</v>
      </c>
      <c r="D3295" s="62">
        <v>249</v>
      </c>
      <c r="E3295" s="61" t="s">
        <v>2714</v>
      </c>
      <c r="F3295" s="11" t="s">
        <v>795</v>
      </c>
      <c r="G3295" s="10" t="s">
        <v>160</v>
      </c>
      <c r="H3295" s="10" t="s">
        <v>849</v>
      </c>
      <c r="I3295" s="62">
        <v>50</v>
      </c>
      <c r="J3295" s="10" t="s">
        <v>2372</v>
      </c>
      <c r="K3295" s="173" t="s">
        <v>860</v>
      </c>
      <c r="L3295" s="173" t="s">
        <v>1422</v>
      </c>
      <c r="M3295" s="10" t="s">
        <v>2372</v>
      </c>
      <c r="N3295" s="10" t="s">
        <v>2373</v>
      </c>
      <c r="O3295" s="10"/>
    </row>
    <row r="3296" spans="1:15" ht="18" customHeight="1" x14ac:dyDescent="0.3">
      <c r="A3296" s="24">
        <v>3295</v>
      </c>
      <c r="B3296" s="10" t="s">
        <v>135</v>
      </c>
      <c r="C3296" s="10" t="s">
        <v>143</v>
      </c>
      <c r="D3296" s="62">
        <v>249</v>
      </c>
      <c r="E3296" s="61" t="s">
        <v>2714</v>
      </c>
      <c r="F3296" s="11" t="s">
        <v>795</v>
      </c>
      <c r="G3296" s="10" t="s">
        <v>160</v>
      </c>
      <c r="H3296" s="10" t="s">
        <v>850</v>
      </c>
      <c r="I3296" s="62">
        <v>67</v>
      </c>
      <c r="J3296" s="10" t="s">
        <v>2374</v>
      </c>
      <c r="K3296" s="173" t="s">
        <v>860</v>
      </c>
      <c r="L3296" s="173" t="s">
        <v>1422</v>
      </c>
      <c r="M3296" s="10" t="s">
        <v>2372</v>
      </c>
      <c r="N3296" s="10" t="s">
        <v>2373</v>
      </c>
      <c r="O3296" s="10"/>
    </row>
    <row r="3297" spans="1:15" ht="18" customHeight="1" x14ac:dyDescent="0.3">
      <c r="A3297" s="24">
        <v>3296</v>
      </c>
      <c r="B3297" s="10" t="s">
        <v>135</v>
      </c>
      <c r="C3297" s="10" t="s">
        <v>143</v>
      </c>
      <c r="D3297" s="62">
        <v>249</v>
      </c>
      <c r="E3297" s="61" t="s">
        <v>2714</v>
      </c>
      <c r="F3297" s="11" t="s">
        <v>795</v>
      </c>
      <c r="G3297" s="10" t="s">
        <v>160</v>
      </c>
      <c r="H3297" s="10" t="s">
        <v>851</v>
      </c>
      <c r="I3297" s="62">
        <v>108</v>
      </c>
      <c r="J3297" s="10" t="s">
        <v>2372</v>
      </c>
      <c r="K3297" s="173" t="s">
        <v>860</v>
      </c>
      <c r="L3297" s="173" t="s">
        <v>1422</v>
      </c>
      <c r="M3297" s="10" t="s">
        <v>2372</v>
      </c>
      <c r="N3297" s="10" t="s">
        <v>2373</v>
      </c>
      <c r="O3297" s="10"/>
    </row>
    <row r="3298" spans="1:15" ht="18" customHeight="1" x14ac:dyDescent="0.3">
      <c r="A3298" s="24">
        <v>3297</v>
      </c>
      <c r="B3298" s="10" t="s">
        <v>135</v>
      </c>
      <c r="C3298" s="10" t="s">
        <v>143</v>
      </c>
      <c r="D3298" s="62">
        <v>249</v>
      </c>
      <c r="E3298" s="61" t="s">
        <v>2714</v>
      </c>
      <c r="F3298" s="11" t="s">
        <v>795</v>
      </c>
      <c r="G3298" s="10" t="s">
        <v>160</v>
      </c>
      <c r="H3298" s="10" t="s">
        <v>852</v>
      </c>
      <c r="I3298" s="62">
        <v>123</v>
      </c>
      <c r="J3298" s="10" t="s">
        <v>2374</v>
      </c>
      <c r="K3298" s="173" t="s">
        <v>860</v>
      </c>
      <c r="L3298" s="173" t="s">
        <v>1422</v>
      </c>
      <c r="M3298" s="10" t="s">
        <v>2372</v>
      </c>
      <c r="N3298" s="10" t="s">
        <v>2373</v>
      </c>
      <c r="O3298" s="10"/>
    </row>
    <row r="3299" spans="1:15" ht="18" customHeight="1" x14ac:dyDescent="0.3">
      <c r="A3299" s="24">
        <v>3298</v>
      </c>
      <c r="B3299" s="8" t="s">
        <v>2291</v>
      </c>
      <c r="C3299" s="8" t="s">
        <v>2318</v>
      </c>
      <c r="D3299" s="8">
        <v>249</v>
      </c>
      <c r="E3299" s="16" t="s">
        <v>2319</v>
      </c>
      <c r="F3299" s="11" t="s">
        <v>2320</v>
      </c>
      <c r="G3299" s="8" t="s">
        <v>2373</v>
      </c>
      <c r="H3299" s="13" t="s">
        <v>2385</v>
      </c>
      <c r="I3299" s="96">
        <v>108</v>
      </c>
      <c r="J3299" s="10" t="s">
        <v>2372</v>
      </c>
      <c r="K3299" s="10" t="s">
        <v>847</v>
      </c>
      <c r="L3299" s="10" t="s">
        <v>2373</v>
      </c>
      <c r="M3299" s="10" t="s">
        <v>2372</v>
      </c>
      <c r="N3299" s="10" t="s">
        <v>2373</v>
      </c>
      <c r="O3299" s="10"/>
    </row>
    <row r="3300" spans="1:15" ht="18" customHeight="1" x14ac:dyDescent="0.3">
      <c r="A3300" s="24">
        <v>3299</v>
      </c>
      <c r="B3300" s="10" t="s">
        <v>135</v>
      </c>
      <c r="C3300" s="10" t="s">
        <v>143</v>
      </c>
      <c r="D3300" s="62">
        <v>249</v>
      </c>
      <c r="E3300" s="61" t="s">
        <v>2323</v>
      </c>
      <c r="F3300" s="19" t="s">
        <v>793</v>
      </c>
      <c r="G3300" s="10" t="s">
        <v>160</v>
      </c>
      <c r="H3300" s="10" t="s">
        <v>845</v>
      </c>
      <c r="I3300" s="62">
        <v>103</v>
      </c>
      <c r="J3300" s="8" t="s">
        <v>2372</v>
      </c>
      <c r="K3300" s="10" t="s">
        <v>2374</v>
      </c>
      <c r="L3300" s="10" t="s">
        <v>2229</v>
      </c>
      <c r="M3300" s="10" t="s">
        <v>2372</v>
      </c>
      <c r="N3300" s="10" t="s">
        <v>2373</v>
      </c>
      <c r="O3300" s="10"/>
    </row>
    <row r="3301" spans="1:15" ht="18" customHeight="1" x14ac:dyDescent="0.3">
      <c r="A3301" s="24">
        <v>3300</v>
      </c>
      <c r="B3301" s="10" t="s">
        <v>135</v>
      </c>
      <c r="C3301" s="10" t="s">
        <v>143</v>
      </c>
      <c r="D3301" s="62">
        <v>249</v>
      </c>
      <c r="E3301" s="61" t="s">
        <v>2323</v>
      </c>
      <c r="F3301" s="19" t="s">
        <v>793</v>
      </c>
      <c r="G3301" s="10" t="s">
        <v>160</v>
      </c>
      <c r="H3301" s="10" t="s">
        <v>848</v>
      </c>
      <c r="I3301" s="62">
        <v>103</v>
      </c>
      <c r="J3301" s="8" t="s">
        <v>2374</v>
      </c>
      <c r="K3301" s="10" t="s">
        <v>2374</v>
      </c>
      <c r="L3301" s="10" t="s">
        <v>2229</v>
      </c>
      <c r="M3301" s="10" t="s">
        <v>2372</v>
      </c>
      <c r="N3301" s="10" t="s">
        <v>2373</v>
      </c>
      <c r="O3301" s="10"/>
    </row>
    <row r="3302" spans="1:15" ht="18" customHeight="1" x14ac:dyDescent="0.3">
      <c r="A3302" s="24">
        <v>3301</v>
      </c>
      <c r="B3302" s="10" t="s">
        <v>135</v>
      </c>
      <c r="C3302" s="10" t="s">
        <v>143</v>
      </c>
      <c r="D3302" s="62">
        <v>249</v>
      </c>
      <c r="E3302" s="61" t="s">
        <v>2323</v>
      </c>
      <c r="F3302" s="19" t="s">
        <v>793</v>
      </c>
      <c r="G3302" s="10" t="s">
        <v>160</v>
      </c>
      <c r="H3302" s="10" t="s">
        <v>849</v>
      </c>
      <c r="I3302" s="62">
        <v>99</v>
      </c>
      <c r="J3302" s="8" t="s">
        <v>2372</v>
      </c>
      <c r="K3302" s="10" t="s">
        <v>2374</v>
      </c>
      <c r="L3302" s="10" t="s">
        <v>2229</v>
      </c>
      <c r="M3302" s="10" t="s">
        <v>2372</v>
      </c>
      <c r="N3302" s="10" t="s">
        <v>2373</v>
      </c>
      <c r="O3302" s="10"/>
    </row>
    <row r="3303" spans="1:15" ht="18" customHeight="1" x14ac:dyDescent="0.3">
      <c r="A3303" s="24">
        <v>3302</v>
      </c>
      <c r="B3303" s="10" t="s">
        <v>135</v>
      </c>
      <c r="C3303" s="10" t="s">
        <v>143</v>
      </c>
      <c r="D3303" s="62">
        <v>249</v>
      </c>
      <c r="E3303" s="61" t="s">
        <v>2323</v>
      </c>
      <c r="F3303" s="19" t="s">
        <v>793</v>
      </c>
      <c r="G3303" s="10" t="s">
        <v>160</v>
      </c>
      <c r="H3303" s="10" t="s">
        <v>850</v>
      </c>
      <c r="I3303" s="62">
        <v>50</v>
      </c>
      <c r="J3303" s="8" t="s">
        <v>2372</v>
      </c>
      <c r="K3303" s="10" t="s">
        <v>2374</v>
      </c>
      <c r="L3303" s="10" t="s">
        <v>2229</v>
      </c>
      <c r="M3303" s="10" t="s">
        <v>2372</v>
      </c>
      <c r="N3303" s="10" t="s">
        <v>2373</v>
      </c>
      <c r="O3303" s="10"/>
    </row>
    <row r="3304" spans="1:15" ht="18" customHeight="1" x14ac:dyDescent="0.3">
      <c r="A3304" s="24">
        <v>3303</v>
      </c>
      <c r="B3304" s="10" t="s">
        <v>135</v>
      </c>
      <c r="C3304" s="10" t="s">
        <v>143</v>
      </c>
      <c r="D3304" s="62">
        <v>249</v>
      </c>
      <c r="E3304" s="61" t="s">
        <v>2323</v>
      </c>
      <c r="F3304" s="19" t="s">
        <v>793</v>
      </c>
      <c r="G3304" s="10" t="s">
        <v>160</v>
      </c>
      <c r="H3304" s="10" t="s">
        <v>851</v>
      </c>
      <c r="I3304" s="62">
        <v>99</v>
      </c>
      <c r="J3304" s="8" t="s">
        <v>2372</v>
      </c>
      <c r="K3304" s="10" t="s">
        <v>2374</v>
      </c>
      <c r="L3304" s="10" t="s">
        <v>2229</v>
      </c>
      <c r="M3304" s="10" t="s">
        <v>2372</v>
      </c>
      <c r="N3304" s="10" t="s">
        <v>2373</v>
      </c>
      <c r="O3304" s="10"/>
    </row>
    <row r="3305" spans="1:15" ht="18" customHeight="1" x14ac:dyDescent="0.3">
      <c r="A3305" s="24">
        <v>3304</v>
      </c>
      <c r="B3305" s="10" t="s">
        <v>135</v>
      </c>
      <c r="C3305" s="10" t="s">
        <v>143</v>
      </c>
      <c r="D3305" s="62">
        <v>249</v>
      </c>
      <c r="E3305" s="61" t="s">
        <v>3130</v>
      </c>
      <c r="F3305" s="19" t="s">
        <v>1020</v>
      </c>
      <c r="G3305" s="10" t="s">
        <v>150</v>
      </c>
      <c r="H3305" s="10" t="s">
        <v>2758</v>
      </c>
      <c r="I3305" s="8">
        <v>94</v>
      </c>
      <c r="J3305" s="10" t="s">
        <v>2372</v>
      </c>
      <c r="K3305" s="10" t="s">
        <v>2374</v>
      </c>
      <c r="L3305" s="10" t="s">
        <v>1422</v>
      </c>
      <c r="M3305" s="10" t="s">
        <v>2372</v>
      </c>
      <c r="N3305" s="10" t="s">
        <v>2373</v>
      </c>
      <c r="O3305" s="10"/>
    </row>
    <row r="3306" spans="1:15" ht="18" customHeight="1" x14ac:dyDescent="0.3">
      <c r="A3306" s="24">
        <v>3305</v>
      </c>
      <c r="B3306" s="10" t="s">
        <v>135</v>
      </c>
      <c r="C3306" s="10" t="s">
        <v>143</v>
      </c>
      <c r="D3306" s="62">
        <v>249</v>
      </c>
      <c r="E3306" s="61" t="s">
        <v>3130</v>
      </c>
      <c r="F3306" s="19" t="s">
        <v>1020</v>
      </c>
      <c r="G3306" s="10" t="s">
        <v>150</v>
      </c>
      <c r="H3306" s="10" t="s">
        <v>2759</v>
      </c>
      <c r="I3306" s="8">
        <v>82</v>
      </c>
      <c r="J3306" s="10" t="s">
        <v>2372</v>
      </c>
      <c r="K3306" s="10" t="s">
        <v>2374</v>
      </c>
      <c r="L3306" s="10" t="s">
        <v>1422</v>
      </c>
      <c r="M3306" s="10" t="s">
        <v>2372</v>
      </c>
      <c r="N3306" s="10" t="s">
        <v>2373</v>
      </c>
      <c r="O3306" s="10"/>
    </row>
    <row r="3307" spans="1:15" ht="18" customHeight="1" x14ac:dyDescent="0.3">
      <c r="A3307" s="24">
        <v>3306</v>
      </c>
      <c r="B3307" s="10" t="s">
        <v>135</v>
      </c>
      <c r="C3307" s="10" t="s">
        <v>143</v>
      </c>
      <c r="D3307" s="62">
        <v>249</v>
      </c>
      <c r="E3307" s="61" t="s">
        <v>3130</v>
      </c>
      <c r="F3307" s="19" t="s">
        <v>1020</v>
      </c>
      <c r="G3307" s="10" t="s">
        <v>150</v>
      </c>
      <c r="H3307" s="10" t="s">
        <v>2683</v>
      </c>
      <c r="I3307" s="8">
        <v>266</v>
      </c>
      <c r="J3307" s="10" t="s">
        <v>2372</v>
      </c>
      <c r="K3307" s="10" t="s">
        <v>847</v>
      </c>
      <c r="L3307" s="10" t="s">
        <v>2373</v>
      </c>
      <c r="M3307" s="10" t="s">
        <v>2372</v>
      </c>
      <c r="N3307" s="10" t="s">
        <v>2373</v>
      </c>
      <c r="O3307" s="10"/>
    </row>
    <row r="3308" spans="1:15" ht="18" customHeight="1" x14ac:dyDescent="0.3">
      <c r="A3308" s="24">
        <v>3307</v>
      </c>
      <c r="B3308" s="10" t="s">
        <v>135</v>
      </c>
      <c r="C3308" s="10" t="s">
        <v>143</v>
      </c>
      <c r="D3308" s="62">
        <v>249</v>
      </c>
      <c r="E3308" s="61" t="s">
        <v>3130</v>
      </c>
      <c r="F3308" s="19" t="s">
        <v>1020</v>
      </c>
      <c r="G3308" s="10" t="s">
        <v>150</v>
      </c>
      <c r="H3308" s="10" t="s">
        <v>2684</v>
      </c>
      <c r="I3308" s="8">
        <v>169</v>
      </c>
      <c r="J3308" s="10" t="s">
        <v>2372</v>
      </c>
      <c r="K3308" s="10" t="s">
        <v>847</v>
      </c>
      <c r="L3308" s="10" t="s">
        <v>2373</v>
      </c>
      <c r="M3308" s="10" t="s">
        <v>2372</v>
      </c>
      <c r="N3308" s="10" t="s">
        <v>2373</v>
      </c>
      <c r="O3308" s="10"/>
    </row>
    <row r="3309" spans="1:15" ht="18" customHeight="1" x14ac:dyDescent="0.3">
      <c r="A3309" s="24">
        <v>3308</v>
      </c>
      <c r="B3309" s="10" t="s">
        <v>135</v>
      </c>
      <c r="C3309" s="10" t="s">
        <v>143</v>
      </c>
      <c r="D3309" s="62">
        <v>249</v>
      </c>
      <c r="E3309" s="61" t="s">
        <v>3130</v>
      </c>
      <c r="F3309" s="19" t="s">
        <v>1020</v>
      </c>
      <c r="G3309" s="10" t="s">
        <v>150</v>
      </c>
      <c r="H3309" s="10" t="s">
        <v>2760</v>
      </c>
      <c r="I3309" s="8">
        <v>24</v>
      </c>
      <c r="J3309" s="10" t="s">
        <v>2372</v>
      </c>
      <c r="K3309" s="10" t="s">
        <v>2374</v>
      </c>
      <c r="L3309" s="10" t="s">
        <v>1422</v>
      </c>
      <c r="M3309" s="10" t="s">
        <v>2372</v>
      </c>
      <c r="N3309" s="10" t="s">
        <v>2373</v>
      </c>
      <c r="O3309" s="10"/>
    </row>
    <row r="3310" spans="1:15" ht="18" customHeight="1" x14ac:dyDescent="0.3">
      <c r="A3310" s="24">
        <v>3309</v>
      </c>
      <c r="B3310" s="10" t="s">
        <v>135</v>
      </c>
      <c r="C3310" s="10" t="s">
        <v>143</v>
      </c>
      <c r="D3310" s="62">
        <v>249</v>
      </c>
      <c r="E3310" s="61" t="s">
        <v>3130</v>
      </c>
      <c r="F3310" s="19" t="s">
        <v>2325</v>
      </c>
      <c r="G3310" s="10" t="s">
        <v>150</v>
      </c>
      <c r="H3310" s="10" t="s">
        <v>2761</v>
      </c>
      <c r="I3310" s="8">
        <v>77</v>
      </c>
      <c r="J3310" s="10" t="s">
        <v>2372</v>
      </c>
      <c r="K3310" s="10" t="s">
        <v>2374</v>
      </c>
      <c r="L3310" s="10" t="s">
        <v>1422</v>
      </c>
      <c r="M3310" s="10" t="s">
        <v>2372</v>
      </c>
      <c r="N3310" s="10" t="s">
        <v>2373</v>
      </c>
      <c r="O3310" s="10"/>
    </row>
    <row r="3311" spans="1:15" ht="18" customHeight="1" x14ac:dyDescent="0.3">
      <c r="A3311" s="24">
        <v>3310</v>
      </c>
      <c r="B3311" s="10" t="s">
        <v>135</v>
      </c>
      <c r="C3311" s="10" t="s">
        <v>143</v>
      </c>
      <c r="D3311" s="62">
        <v>249</v>
      </c>
      <c r="E3311" s="61" t="s">
        <v>3130</v>
      </c>
      <c r="F3311" s="19" t="s">
        <v>2325</v>
      </c>
      <c r="G3311" s="10" t="s">
        <v>150</v>
      </c>
      <c r="H3311" s="10" t="s">
        <v>2762</v>
      </c>
      <c r="I3311" s="8">
        <v>65</v>
      </c>
      <c r="J3311" s="10" t="s">
        <v>2372</v>
      </c>
      <c r="K3311" s="10" t="s">
        <v>2374</v>
      </c>
      <c r="L3311" s="10" t="s">
        <v>1422</v>
      </c>
      <c r="M3311" s="10" t="s">
        <v>2372</v>
      </c>
      <c r="N3311" s="10" t="s">
        <v>2373</v>
      </c>
      <c r="O3311" s="10"/>
    </row>
    <row r="3312" spans="1:15" ht="18" customHeight="1" x14ac:dyDescent="0.3">
      <c r="A3312" s="24">
        <v>3311</v>
      </c>
      <c r="B3312" s="55" t="s">
        <v>135</v>
      </c>
      <c r="C3312" s="55" t="s">
        <v>143</v>
      </c>
      <c r="D3312" s="62">
        <v>249</v>
      </c>
      <c r="E3312" s="65" t="s">
        <v>2963</v>
      </c>
      <c r="F3312" s="19" t="s">
        <v>2327</v>
      </c>
      <c r="G3312" s="55" t="s">
        <v>160</v>
      </c>
      <c r="H3312" s="55" t="s">
        <v>845</v>
      </c>
      <c r="I3312" s="72">
        <v>151</v>
      </c>
      <c r="J3312" s="10" t="s">
        <v>2372</v>
      </c>
      <c r="K3312" s="55" t="s">
        <v>2372</v>
      </c>
      <c r="L3312" s="10" t="s">
        <v>2373</v>
      </c>
      <c r="M3312" s="10" t="s">
        <v>2372</v>
      </c>
      <c r="N3312" s="10" t="s">
        <v>2373</v>
      </c>
      <c r="O3312" s="55"/>
    </row>
    <row r="3313" spans="1:15" ht="18" customHeight="1" x14ac:dyDescent="0.3">
      <c r="A3313" s="24">
        <v>3312</v>
      </c>
      <c r="B3313" s="55" t="s">
        <v>135</v>
      </c>
      <c r="C3313" s="55" t="s">
        <v>143</v>
      </c>
      <c r="D3313" s="62">
        <v>249</v>
      </c>
      <c r="E3313" s="65" t="s">
        <v>2963</v>
      </c>
      <c r="F3313" s="19" t="s">
        <v>2327</v>
      </c>
      <c r="G3313" s="55" t="s">
        <v>160</v>
      </c>
      <c r="H3313" s="55" t="s">
        <v>848</v>
      </c>
      <c r="I3313" s="72">
        <v>130</v>
      </c>
      <c r="J3313" s="10" t="s">
        <v>2372</v>
      </c>
      <c r="K3313" s="55" t="s">
        <v>2372</v>
      </c>
      <c r="L3313" s="10" t="s">
        <v>2373</v>
      </c>
      <c r="M3313" s="10" t="s">
        <v>2372</v>
      </c>
      <c r="N3313" s="10" t="s">
        <v>2373</v>
      </c>
      <c r="O3313" s="55"/>
    </row>
    <row r="3314" spans="1:15" ht="18" customHeight="1" x14ac:dyDescent="0.3">
      <c r="A3314" s="24">
        <v>3313</v>
      </c>
      <c r="B3314" s="55" t="s">
        <v>135</v>
      </c>
      <c r="C3314" s="55" t="s">
        <v>143</v>
      </c>
      <c r="D3314" s="62">
        <v>249</v>
      </c>
      <c r="E3314" s="65" t="s">
        <v>2963</v>
      </c>
      <c r="F3314" s="19" t="s">
        <v>2327</v>
      </c>
      <c r="G3314" s="55" t="s">
        <v>160</v>
      </c>
      <c r="H3314" s="55" t="s">
        <v>849</v>
      </c>
      <c r="I3314" s="72">
        <v>130</v>
      </c>
      <c r="J3314" s="10" t="s">
        <v>2372</v>
      </c>
      <c r="K3314" s="55" t="s">
        <v>847</v>
      </c>
      <c r="L3314" s="10" t="s">
        <v>2373</v>
      </c>
      <c r="M3314" s="10" t="s">
        <v>2372</v>
      </c>
      <c r="N3314" s="10" t="s">
        <v>2373</v>
      </c>
      <c r="O3314" s="55"/>
    </row>
    <row r="3315" spans="1:15" ht="18" customHeight="1" x14ac:dyDescent="0.3">
      <c r="A3315" s="24">
        <v>3314</v>
      </c>
      <c r="B3315" s="99" t="s">
        <v>2291</v>
      </c>
      <c r="C3315" s="99" t="s">
        <v>3566</v>
      </c>
      <c r="D3315" s="99">
        <v>250</v>
      </c>
      <c r="E3315" s="56" t="s">
        <v>3606</v>
      </c>
      <c r="F3315" s="56" t="s">
        <v>3569</v>
      </c>
      <c r="G3315" s="99" t="s">
        <v>2373</v>
      </c>
      <c r="H3315" s="10" t="s">
        <v>3598</v>
      </c>
      <c r="I3315" s="62">
        <v>63</v>
      </c>
      <c r="J3315" s="10" t="s">
        <v>3599</v>
      </c>
      <c r="K3315" s="10" t="s">
        <v>847</v>
      </c>
      <c r="L3315" s="10" t="s">
        <v>3603</v>
      </c>
      <c r="M3315" s="10" t="s">
        <v>3597</v>
      </c>
      <c r="N3315" s="10" t="s">
        <v>3603</v>
      </c>
      <c r="O3315" s="10"/>
    </row>
    <row r="3316" spans="1:15" ht="18" customHeight="1" x14ac:dyDescent="0.3">
      <c r="A3316" s="24">
        <v>3315</v>
      </c>
      <c r="B3316" s="99" t="s">
        <v>3604</v>
      </c>
      <c r="C3316" s="99" t="s">
        <v>3605</v>
      </c>
      <c r="D3316" s="99">
        <v>250</v>
      </c>
      <c r="E3316" s="56" t="s">
        <v>3567</v>
      </c>
      <c r="F3316" s="56" t="s">
        <v>3629</v>
      </c>
      <c r="G3316" s="99" t="s">
        <v>3603</v>
      </c>
      <c r="H3316" s="10" t="s">
        <v>3607</v>
      </c>
      <c r="I3316" s="62">
        <v>37</v>
      </c>
      <c r="J3316" s="10" t="s">
        <v>3586</v>
      </c>
      <c r="K3316" s="10" t="s">
        <v>847</v>
      </c>
      <c r="L3316" s="10" t="s">
        <v>3603</v>
      </c>
      <c r="M3316" s="10" t="s">
        <v>3597</v>
      </c>
      <c r="N3316" s="10" t="s">
        <v>2373</v>
      </c>
      <c r="O3316" s="10"/>
    </row>
    <row r="3317" spans="1:15" ht="18" customHeight="1" x14ac:dyDescent="0.3">
      <c r="A3317" s="24">
        <v>3316</v>
      </c>
      <c r="B3317" s="10" t="s">
        <v>2291</v>
      </c>
      <c r="C3317" s="10" t="s">
        <v>2715</v>
      </c>
      <c r="D3317" s="62">
        <v>251</v>
      </c>
      <c r="E3317" s="56" t="s">
        <v>2329</v>
      </c>
      <c r="F3317" s="16" t="s">
        <v>2330</v>
      </c>
      <c r="G3317" s="10" t="s">
        <v>2373</v>
      </c>
      <c r="H3317" s="10" t="s">
        <v>2385</v>
      </c>
      <c r="I3317" s="62">
        <v>59</v>
      </c>
      <c r="J3317" s="10" t="s">
        <v>2374</v>
      </c>
      <c r="K3317" s="10" t="s">
        <v>847</v>
      </c>
      <c r="L3317" s="10" t="s">
        <v>2373</v>
      </c>
      <c r="M3317" s="10" t="s">
        <v>2372</v>
      </c>
      <c r="N3317" s="10" t="s">
        <v>2373</v>
      </c>
      <c r="O3317" s="10"/>
    </row>
    <row r="3318" spans="1:15" ht="18" customHeight="1" x14ac:dyDescent="0.3">
      <c r="A3318" s="24">
        <v>3317</v>
      </c>
      <c r="B3318" s="10" t="s">
        <v>2291</v>
      </c>
      <c r="C3318" s="10" t="s">
        <v>2715</v>
      </c>
      <c r="D3318" s="62">
        <v>251</v>
      </c>
      <c r="E3318" s="56" t="s">
        <v>2329</v>
      </c>
      <c r="F3318" s="16" t="s">
        <v>2330</v>
      </c>
      <c r="G3318" s="10" t="s">
        <v>2373</v>
      </c>
      <c r="H3318" s="10" t="s">
        <v>2378</v>
      </c>
      <c r="I3318" s="62">
        <v>39</v>
      </c>
      <c r="J3318" s="10" t="s">
        <v>2372</v>
      </c>
      <c r="K3318" s="10" t="s">
        <v>847</v>
      </c>
      <c r="L3318" s="10" t="s">
        <v>2373</v>
      </c>
      <c r="M3318" s="10" t="s">
        <v>2372</v>
      </c>
      <c r="N3318" s="10" t="s">
        <v>2373</v>
      </c>
      <c r="O3318" s="10"/>
    </row>
    <row r="3319" spans="1:15" ht="18" customHeight="1" x14ac:dyDescent="0.3">
      <c r="A3319" s="24">
        <v>3318</v>
      </c>
      <c r="B3319" s="10" t="s">
        <v>2291</v>
      </c>
      <c r="C3319" s="10" t="s">
        <v>1914</v>
      </c>
      <c r="D3319" s="62">
        <v>253</v>
      </c>
      <c r="E3319" s="61" t="s">
        <v>2964</v>
      </c>
      <c r="F3319" s="11" t="s">
        <v>2334</v>
      </c>
      <c r="G3319" s="10" t="s">
        <v>1278</v>
      </c>
      <c r="H3319" s="10" t="s">
        <v>2385</v>
      </c>
      <c r="I3319" s="62">
        <v>68</v>
      </c>
      <c r="J3319" s="10" t="s">
        <v>2374</v>
      </c>
      <c r="K3319" s="10" t="s">
        <v>2372</v>
      </c>
      <c r="L3319" s="10" t="s">
        <v>2373</v>
      </c>
      <c r="M3319" s="10" t="s">
        <v>2372</v>
      </c>
      <c r="N3319" s="10" t="s">
        <v>2373</v>
      </c>
      <c r="O3319" s="10"/>
    </row>
    <row r="3320" spans="1:15" ht="18" customHeight="1" x14ac:dyDescent="0.3">
      <c r="A3320" s="24">
        <v>3319</v>
      </c>
      <c r="B3320" s="10" t="s">
        <v>2291</v>
      </c>
      <c r="C3320" s="10" t="s">
        <v>1914</v>
      </c>
      <c r="D3320" s="62">
        <v>253</v>
      </c>
      <c r="E3320" s="61" t="s">
        <v>2964</v>
      </c>
      <c r="F3320" s="11" t="s">
        <v>2334</v>
      </c>
      <c r="G3320" s="10" t="s">
        <v>1278</v>
      </c>
      <c r="H3320" s="10" t="s">
        <v>2378</v>
      </c>
      <c r="I3320" s="62">
        <v>48</v>
      </c>
      <c r="J3320" s="10" t="s">
        <v>2372</v>
      </c>
      <c r="K3320" s="10" t="s">
        <v>2372</v>
      </c>
      <c r="L3320" s="10" t="s">
        <v>2373</v>
      </c>
      <c r="M3320" s="10" t="s">
        <v>2372</v>
      </c>
      <c r="N3320" s="10" t="s">
        <v>2373</v>
      </c>
      <c r="O3320" s="10"/>
    </row>
    <row r="3321" spans="1:15" ht="18" customHeight="1" x14ac:dyDescent="0.3">
      <c r="A3321" s="24">
        <v>3320</v>
      </c>
      <c r="B3321" s="10" t="s">
        <v>135</v>
      </c>
      <c r="C3321" s="10" t="s">
        <v>144</v>
      </c>
      <c r="D3321" s="62">
        <v>254</v>
      </c>
      <c r="E3321" s="61" t="s">
        <v>947</v>
      </c>
      <c r="F3321" s="16" t="s">
        <v>2339</v>
      </c>
      <c r="G3321" s="10" t="s">
        <v>2373</v>
      </c>
      <c r="H3321" s="10" t="s">
        <v>845</v>
      </c>
      <c r="I3321" s="62">
        <v>212</v>
      </c>
      <c r="J3321" s="10" t="s">
        <v>2374</v>
      </c>
      <c r="K3321" s="10" t="s">
        <v>847</v>
      </c>
      <c r="L3321" s="10" t="s">
        <v>2373</v>
      </c>
      <c r="M3321" s="10" t="s">
        <v>2372</v>
      </c>
      <c r="N3321" s="10" t="s">
        <v>2373</v>
      </c>
      <c r="O3321" s="10"/>
    </row>
    <row r="3322" spans="1:15" ht="18" customHeight="1" x14ac:dyDescent="0.3">
      <c r="A3322" s="24">
        <v>3321</v>
      </c>
      <c r="B3322" s="24" t="s">
        <v>2291</v>
      </c>
      <c r="C3322" s="24" t="s">
        <v>2342</v>
      </c>
      <c r="D3322" s="24">
        <v>255</v>
      </c>
      <c r="E3322" s="501" t="s">
        <v>3548</v>
      </c>
      <c r="F3322" s="44" t="s">
        <v>2343</v>
      </c>
      <c r="G3322" s="24" t="s">
        <v>820</v>
      </c>
      <c r="H3322" s="10" t="s">
        <v>3632</v>
      </c>
      <c r="I3322" s="62">
        <v>152</v>
      </c>
      <c r="J3322" s="173" t="s">
        <v>3638</v>
      </c>
      <c r="K3322" s="173" t="s">
        <v>3633</v>
      </c>
      <c r="L3322" s="173" t="s">
        <v>3634</v>
      </c>
      <c r="M3322" s="10" t="s">
        <v>3635</v>
      </c>
      <c r="N3322" s="10" t="s">
        <v>3636</v>
      </c>
      <c r="O3322" s="10"/>
    </row>
    <row r="3323" spans="1:15" ht="18" customHeight="1" x14ac:dyDescent="0.3">
      <c r="A3323" s="24">
        <v>3322</v>
      </c>
      <c r="B3323" s="10" t="s">
        <v>2291</v>
      </c>
      <c r="C3323" s="10" t="s">
        <v>2344</v>
      </c>
      <c r="D3323" s="62">
        <v>256</v>
      </c>
      <c r="E3323" s="61" t="s">
        <v>2345</v>
      </c>
      <c r="F3323" s="16" t="s">
        <v>2346</v>
      </c>
      <c r="G3323" s="10" t="s">
        <v>2373</v>
      </c>
      <c r="H3323" s="10" t="s">
        <v>2385</v>
      </c>
      <c r="I3323" s="62">
        <v>59</v>
      </c>
      <c r="J3323" s="10" t="s">
        <v>2374</v>
      </c>
      <c r="K3323" s="10" t="s">
        <v>847</v>
      </c>
      <c r="L3323" s="10" t="s">
        <v>2373</v>
      </c>
      <c r="M3323" s="10" t="s">
        <v>2372</v>
      </c>
      <c r="N3323" s="10" t="s">
        <v>2373</v>
      </c>
      <c r="O3323" s="10"/>
    </row>
    <row r="3324" spans="1:15" ht="18" customHeight="1" x14ac:dyDescent="0.3">
      <c r="A3324" s="24">
        <v>3323</v>
      </c>
      <c r="B3324" s="10" t="s">
        <v>2291</v>
      </c>
      <c r="C3324" s="10" t="s">
        <v>2344</v>
      </c>
      <c r="D3324" s="62">
        <v>256</v>
      </c>
      <c r="E3324" s="61" t="s">
        <v>2345</v>
      </c>
      <c r="F3324" s="16" t="s">
        <v>2346</v>
      </c>
      <c r="G3324" s="10" t="s">
        <v>2373</v>
      </c>
      <c r="H3324" s="10" t="s">
        <v>2378</v>
      </c>
      <c r="I3324" s="62">
        <v>39</v>
      </c>
      <c r="J3324" s="10" t="s">
        <v>2372</v>
      </c>
      <c r="K3324" s="10" t="s">
        <v>847</v>
      </c>
      <c r="L3324" s="10" t="s">
        <v>2373</v>
      </c>
      <c r="M3324" s="10" t="s">
        <v>2372</v>
      </c>
      <c r="N3324" s="10" t="s">
        <v>2373</v>
      </c>
      <c r="O3324" s="10"/>
    </row>
    <row r="3325" spans="1:15" ht="18" customHeight="1" x14ac:dyDescent="0.3">
      <c r="A3325" s="24">
        <v>3324</v>
      </c>
      <c r="B3325" s="10" t="s">
        <v>135</v>
      </c>
      <c r="C3325" s="10" t="s">
        <v>145</v>
      </c>
      <c r="D3325" s="62">
        <v>258</v>
      </c>
      <c r="E3325" s="61" t="s">
        <v>2716</v>
      </c>
      <c r="F3325" s="16" t="s">
        <v>782</v>
      </c>
      <c r="G3325" s="10" t="s">
        <v>160</v>
      </c>
      <c r="H3325" s="10" t="s">
        <v>845</v>
      </c>
      <c r="I3325" s="62">
        <v>165</v>
      </c>
      <c r="J3325" s="8" t="s">
        <v>2372</v>
      </c>
      <c r="K3325" s="10" t="s">
        <v>847</v>
      </c>
      <c r="L3325" s="10" t="s">
        <v>2373</v>
      </c>
      <c r="M3325" s="10" t="s">
        <v>2372</v>
      </c>
      <c r="N3325" s="10" t="s">
        <v>2373</v>
      </c>
      <c r="O3325" s="10"/>
    </row>
    <row r="3326" spans="1:15" ht="18" customHeight="1" x14ac:dyDescent="0.3">
      <c r="A3326" s="24">
        <v>3325</v>
      </c>
      <c r="B3326" s="10" t="s">
        <v>135</v>
      </c>
      <c r="C3326" s="10" t="s">
        <v>145</v>
      </c>
      <c r="D3326" s="62">
        <v>258</v>
      </c>
      <c r="E3326" s="61" t="s">
        <v>2716</v>
      </c>
      <c r="F3326" s="16" t="s">
        <v>782</v>
      </c>
      <c r="G3326" s="10" t="s">
        <v>160</v>
      </c>
      <c r="H3326" s="10" t="s">
        <v>848</v>
      </c>
      <c r="I3326" s="62">
        <v>245</v>
      </c>
      <c r="J3326" s="8" t="s">
        <v>2372</v>
      </c>
      <c r="K3326" s="10" t="s">
        <v>847</v>
      </c>
      <c r="L3326" s="10" t="s">
        <v>2373</v>
      </c>
      <c r="M3326" s="10" t="s">
        <v>2372</v>
      </c>
      <c r="N3326" s="10" t="s">
        <v>2373</v>
      </c>
      <c r="O3326" s="10"/>
    </row>
    <row r="3327" spans="1:15" ht="18" customHeight="1" x14ac:dyDescent="0.3">
      <c r="A3327" s="24">
        <v>3326</v>
      </c>
      <c r="B3327" s="10" t="s">
        <v>135</v>
      </c>
      <c r="C3327" s="10" t="s">
        <v>146</v>
      </c>
      <c r="D3327" s="62">
        <v>259</v>
      </c>
      <c r="E3327" s="61" t="s">
        <v>949</v>
      </c>
      <c r="F3327" s="16" t="s">
        <v>2352</v>
      </c>
      <c r="G3327" s="10" t="s">
        <v>2373</v>
      </c>
      <c r="H3327" s="10" t="s">
        <v>845</v>
      </c>
      <c r="I3327" s="62">
        <v>57</v>
      </c>
      <c r="J3327" s="10" t="s">
        <v>2374</v>
      </c>
      <c r="K3327" s="10" t="s">
        <v>847</v>
      </c>
      <c r="L3327" s="10" t="s">
        <v>2373</v>
      </c>
      <c r="M3327" s="10" t="s">
        <v>2372</v>
      </c>
      <c r="N3327" s="10" t="s">
        <v>2373</v>
      </c>
      <c r="O3327" s="10"/>
    </row>
    <row r="3328" spans="1:15" ht="18" customHeight="1" x14ac:dyDescent="0.3">
      <c r="A3328" s="24">
        <v>3327</v>
      </c>
      <c r="B3328" s="10" t="s">
        <v>135</v>
      </c>
      <c r="C3328" s="10" t="s">
        <v>146</v>
      </c>
      <c r="D3328" s="62">
        <v>259</v>
      </c>
      <c r="E3328" s="61" t="s">
        <v>949</v>
      </c>
      <c r="F3328" s="16" t="s">
        <v>2352</v>
      </c>
      <c r="G3328" s="10" t="s">
        <v>2373</v>
      </c>
      <c r="H3328" s="10" t="s">
        <v>848</v>
      </c>
      <c r="I3328" s="62">
        <v>42</v>
      </c>
      <c r="J3328" s="10" t="s">
        <v>2372</v>
      </c>
      <c r="K3328" s="10" t="s">
        <v>847</v>
      </c>
      <c r="L3328" s="10" t="s">
        <v>2373</v>
      </c>
      <c r="M3328" s="10" t="s">
        <v>2372</v>
      </c>
      <c r="N3328" s="10" t="s">
        <v>2373</v>
      </c>
      <c r="O3328" s="10"/>
    </row>
    <row r="3329" spans="1:15" ht="18" customHeight="1" x14ac:dyDescent="0.3">
      <c r="A3329" s="24">
        <v>3328</v>
      </c>
      <c r="B3329" s="8" t="s">
        <v>200</v>
      </c>
      <c r="C3329" s="8" t="s">
        <v>2354</v>
      </c>
      <c r="D3329" s="8">
        <v>260</v>
      </c>
      <c r="E3329" s="16" t="s">
        <v>2355</v>
      </c>
      <c r="F3329" s="16" t="s">
        <v>2356</v>
      </c>
      <c r="G3329" s="8" t="s">
        <v>1264</v>
      </c>
      <c r="H3329" s="10" t="s">
        <v>2385</v>
      </c>
      <c r="I3329" s="62">
        <v>93</v>
      </c>
      <c r="J3329" s="8" t="s">
        <v>2372</v>
      </c>
      <c r="K3329" s="10" t="s">
        <v>847</v>
      </c>
      <c r="L3329" s="10" t="s">
        <v>2373</v>
      </c>
      <c r="M3329" s="10" t="s">
        <v>2372</v>
      </c>
      <c r="N3329" s="10" t="s">
        <v>2373</v>
      </c>
      <c r="O3329" s="10"/>
    </row>
    <row r="3330" spans="1:15" ht="18" customHeight="1" x14ac:dyDescent="0.3">
      <c r="A3330" s="24">
        <v>3329</v>
      </c>
      <c r="B3330" s="8" t="s">
        <v>200</v>
      </c>
      <c r="C3330" s="8" t="s">
        <v>2354</v>
      </c>
      <c r="D3330" s="8">
        <v>260</v>
      </c>
      <c r="E3330" s="16" t="s">
        <v>2355</v>
      </c>
      <c r="F3330" s="16" t="s">
        <v>2356</v>
      </c>
      <c r="G3330" s="8" t="s">
        <v>1264</v>
      </c>
      <c r="H3330" s="10" t="s">
        <v>2378</v>
      </c>
      <c r="I3330" s="62">
        <v>55</v>
      </c>
      <c r="J3330" s="8" t="s">
        <v>2372</v>
      </c>
      <c r="K3330" s="10" t="s">
        <v>2374</v>
      </c>
      <c r="L3330" s="10" t="s">
        <v>2229</v>
      </c>
      <c r="M3330" s="10" t="s">
        <v>2372</v>
      </c>
      <c r="N3330" s="10" t="s">
        <v>2373</v>
      </c>
      <c r="O3330" s="10"/>
    </row>
    <row r="3331" spans="1:15" ht="18" customHeight="1" x14ac:dyDescent="0.3">
      <c r="A3331" s="24">
        <v>3330</v>
      </c>
      <c r="B3331" s="8" t="s">
        <v>200</v>
      </c>
      <c r="C3331" s="8" t="s">
        <v>2354</v>
      </c>
      <c r="D3331" s="8">
        <v>260</v>
      </c>
      <c r="E3331" s="16" t="s">
        <v>2355</v>
      </c>
      <c r="F3331" s="16" t="s">
        <v>2356</v>
      </c>
      <c r="G3331" s="8" t="s">
        <v>1264</v>
      </c>
      <c r="H3331" s="10" t="s">
        <v>2379</v>
      </c>
      <c r="I3331" s="62">
        <v>157</v>
      </c>
      <c r="J3331" s="8" t="s">
        <v>2372</v>
      </c>
      <c r="K3331" s="10" t="s">
        <v>847</v>
      </c>
      <c r="L3331" s="10" t="s">
        <v>2373</v>
      </c>
      <c r="M3331" s="10" t="s">
        <v>2372</v>
      </c>
      <c r="N3331" s="10" t="s">
        <v>2373</v>
      </c>
      <c r="O3331" s="10"/>
    </row>
    <row r="3332" spans="1:15" ht="18" customHeight="1" x14ac:dyDescent="0.3">
      <c r="A3332" s="24">
        <v>3331</v>
      </c>
      <c r="B3332" s="8" t="s">
        <v>200</v>
      </c>
      <c r="C3332" s="8" t="s">
        <v>2354</v>
      </c>
      <c r="D3332" s="8">
        <v>260</v>
      </c>
      <c r="E3332" s="16" t="s">
        <v>2355</v>
      </c>
      <c r="F3332" s="16" t="s">
        <v>2356</v>
      </c>
      <c r="G3332" s="8" t="s">
        <v>1264</v>
      </c>
      <c r="H3332" s="10" t="s">
        <v>2380</v>
      </c>
      <c r="I3332" s="62">
        <v>75</v>
      </c>
      <c r="J3332" s="8" t="s">
        <v>2372</v>
      </c>
      <c r="K3332" s="10" t="s">
        <v>2374</v>
      </c>
      <c r="L3332" s="10" t="s">
        <v>2229</v>
      </c>
      <c r="M3332" s="10" t="s">
        <v>2372</v>
      </c>
      <c r="N3332" s="10" t="s">
        <v>2373</v>
      </c>
      <c r="O3332" s="10"/>
    </row>
    <row r="3333" spans="1:15" ht="18" customHeight="1" x14ac:dyDescent="0.3">
      <c r="A3333" s="24">
        <v>3332</v>
      </c>
      <c r="B3333" s="8" t="s">
        <v>200</v>
      </c>
      <c r="C3333" s="8" t="s">
        <v>2354</v>
      </c>
      <c r="D3333" s="8">
        <v>260</v>
      </c>
      <c r="E3333" s="16" t="s">
        <v>2355</v>
      </c>
      <c r="F3333" s="16" t="s">
        <v>2356</v>
      </c>
      <c r="G3333" s="8" t="s">
        <v>1264</v>
      </c>
      <c r="H3333" s="10" t="s">
        <v>2390</v>
      </c>
      <c r="I3333" s="62">
        <v>215</v>
      </c>
      <c r="J3333" s="8" t="s">
        <v>846</v>
      </c>
      <c r="K3333" s="10" t="s">
        <v>847</v>
      </c>
      <c r="L3333" s="10" t="s">
        <v>2373</v>
      </c>
      <c r="M3333" s="10" t="s">
        <v>2372</v>
      </c>
      <c r="N3333" s="10" t="s">
        <v>2373</v>
      </c>
      <c r="O3333" s="10"/>
    </row>
    <row r="3334" spans="1:15" ht="18" customHeight="1" x14ac:dyDescent="0.3">
      <c r="A3334" s="24">
        <v>3333</v>
      </c>
      <c r="B3334" s="8" t="s">
        <v>200</v>
      </c>
      <c r="C3334" s="8" t="s">
        <v>2354</v>
      </c>
      <c r="D3334" s="8">
        <v>260</v>
      </c>
      <c r="E3334" s="16" t="s">
        <v>2355</v>
      </c>
      <c r="F3334" s="16" t="s">
        <v>2356</v>
      </c>
      <c r="G3334" s="8" t="s">
        <v>1264</v>
      </c>
      <c r="H3334" s="10" t="s">
        <v>2382</v>
      </c>
      <c r="I3334" s="62">
        <v>160</v>
      </c>
      <c r="J3334" s="8" t="s">
        <v>846</v>
      </c>
      <c r="K3334" s="10" t="s">
        <v>847</v>
      </c>
      <c r="L3334" s="10" t="s">
        <v>2373</v>
      </c>
      <c r="M3334" s="10" t="s">
        <v>2372</v>
      </c>
      <c r="N3334" s="10" t="s">
        <v>2373</v>
      </c>
      <c r="O3334" s="10"/>
    </row>
    <row r="3335" spans="1:15" ht="18" customHeight="1" x14ac:dyDescent="0.3">
      <c r="A3335" s="24">
        <v>3334</v>
      </c>
      <c r="B3335" s="10" t="s">
        <v>200</v>
      </c>
      <c r="C3335" s="10" t="s">
        <v>147</v>
      </c>
      <c r="D3335" s="62">
        <v>260</v>
      </c>
      <c r="E3335" s="61" t="s">
        <v>918</v>
      </c>
      <c r="F3335" s="16" t="s">
        <v>818</v>
      </c>
      <c r="G3335" s="10" t="s">
        <v>160</v>
      </c>
      <c r="H3335" s="10" t="s">
        <v>845</v>
      </c>
      <c r="I3335" s="62">
        <v>56</v>
      </c>
      <c r="J3335" s="8" t="s">
        <v>2372</v>
      </c>
      <c r="K3335" s="10" t="s">
        <v>2374</v>
      </c>
      <c r="L3335" s="10" t="s">
        <v>2229</v>
      </c>
      <c r="M3335" s="10" t="s">
        <v>2372</v>
      </c>
      <c r="N3335" s="10" t="s">
        <v>2373</v>
      </c>
      <c r="O3335" s="10"/>
    </row>
    <row r="3336" spans="1:15" ht="18" customHeight="1" x14ac:dyDescent="0.3">
      <c r="A3336" s="24">
        <v>3335</v>
      </c>
      <c r="B3336" s="10" t="s">
        <v>200</v>
      </c>
      <c r="C3336" s="10" t="s">
        <v>147</v>
      </c>
      <c r="D3336" s="62">
        <v>260</v>
      </c>
      <c r="E3336" s="61" t="s">
        <v>918</v>
      </c>
      <c r="F3336" s="16" t="s">
        <v>818</v>
      </c>
      <c r="G3336" s="10" t="s">
        <v>160</v>
      </c>
      <c r="H3336" s="10" t="s">
        <v>848</v>
      </c>
      <c r="I3336" s="62">
        <v>130</v>
      </c>
      <c r="J3336" s="8" t="s">
        <v>2372</v>
      </c>
      <c r="K3336" s="10" t="s">
        <v>847</v>
      </c>
      <c r="L3336" s="10" t="s">
        <v>2373</v>
      </c>
      <c r="M3336" s="10" t="s">
        <v>2372</v>
      </c>
      <c r="N3336" s="10" t="s">
        <v>2373</v>
      </c>
      <c r="O3336" s="10"/>
    </row>
    <row r="3337" spans="1:15" ht="18" customHeight="1" x14ac:dyDescent="0.3">
      <c r="A3337" s="24">
        <v>3336</v>
      </c>
      <c r="B3337" s="10" t="s">
        <v>200</v>
      </c>
      <c r="C3337" s="10" t="s">
        <v>147</v>
      </c>
      <c r="D3337" s="62">
        <v>260</v>
      </c>
      <c r="E3337" s="61" t="s">
        <v>918</v>
      </c>
      <c r="F3337" s="16" t="s">
        <v>818</v>
      </c>
      <c r="G3337" s="10" t="s">
        <v>160</v>
      </c>
      <c r="H3337" s="10" t="s">
        <v>849</v>
      </c>
      <c r="I3337" s="62">
        <v>72</v>
      </c>
      <c r="J3337" s="8" t="s">
        <v>2374</v>
      </c>
      <c r="K3337" s="10" t="s">
        <v>2374</v>
      </c>
      <c r="L3337" s="10" t="s">
        <v>2229</v>
      </c>
      <c r="M3337" s="10" t="s">
        <v>2372</v>
      </c>
      <c r="N3337" s="10" t="s">
        <v>2373</v>
      </c>
      <c r="O3337" s="10"/>
    </row>
    <row r="3338" spans="1:15" ht="18" customHeight="1" x14ac:dyDescent="0.3">
      <c r="A3338" s="24">
        <v>3337</v>
      </c>
      <c r="B3338" s="10" t="s">
        <v>200</v>
      </c>
      <c r="C3338" s="10" t="s">
        <v>147</v>
      </c>
      <c r="D3338" s="62">
        <v>260</v>
      </c>
      <c r="E3338" s="61" t="s">
        <v>918</v>
      </c>
      <c r="F3338" s="16" t="s">
        <v>818</v>
      </c>
      <c r="G3338" s="10" t="s">
        <v>160</v>
      </c>
      <c r="H3338" s="10" t="s">
        <v>850</v>
      </c>
      <c r="I3338" s="62">
        <v>202</v>
      </c>
      <c r="J3338" s="8" t="s">
        <v>2372</v>
      </c>
      <c r="K3338" s="10" t="s">
        <v>847</v>
      </c>
      <c r="L3338" s="10" t="s">
        <v>2373</v>
      </c>
      <c r="M3338" s="10" t="s">
        <v>2372</v>
      </c>
      <c r="N3338" s="10" t="s">
        <v>2373</v>
      </c>
      <c r="O3338" s="10"/>
    </row>
    <row r="3339" spans="1:15" ht="18" customHeight="1" x14ac:dyDescent="0.3">
      <c r="A3339" s="24">
        <v>3338</v>
      </c>
      <c r="B3339" s="10" t="s">
        <v>200</v>
      </c>
      <c r="C3339" s="10" t="s">
        <v>147</v>
      </c>
      <c r="D3339" s="62">
        <v>260</v>
      </c>
      <c r="E3339" s="61" t="s">
        <v>918</v>
      </c>
      <c r="F3339" s="16" t="s">
        <v>818</v>
      </c>
      <c r="G3339" s="10" t="s">
        <v>160</v>
      </c>
      <c r="H3339" s="10" t="s">
        <v>851</v>
      </c>
      <c r="I3339" s="62">
        <v>40</v>
      </c>
      <c r="J3339" s="8" t="s">
        <v>2374</v>
      </c>
      <c r="K3339" s="10" t="s">
        <v>2374</v>
      </c>
      <c r="L3339" s="10" t="s">
        <v>2229</v>
      </c>
      <c r="M3339" s="10" t="s">
        <v>2372</v>
      </c>
      <c r="N3339" s="10" t="s">
        <v>2373</v>
      </c>
      <c r="O3339" s="10"/>
    </row>
    <row r="3340" spans="1:15" ht="18" customHeight="1" x14ac:dyDescent="0.3">
      <c r="A3340" s="24">
        <v>3339</v>
      </c>
      <c r="B3340" s="10" t="s">
        <v>200</v>
      </c>
      <c r="C3340" s="10" t="s">
        <v>147</v>
      </c>
      <c r="D3340" s="62">
        <v>260</v>
      </c>
      <c r="E3340" s="61" t="s">
        <v>918</v>
      </c>
      <c r="F3340" s="16" t="s">
        <v>818</v>
      </c>
      <c r="G3340" s="10" t="s">
        <v>160</v>
      </c>
      <c r="H3340" s="10" t="s">
        <v>852</v>
      </c>
      <c r="I3340" s="62">
        <v>92</v>
      </c>
      <c r="J3340" s="8" t="s">
        <v>2372</v>
      </c>
      <c r="K3340" s="10" t="s">
        <v>2374</v>
      </c>
      <c r="L3340" s="10" t="s">
        <v>2229</v>
      </c>
      <c r="M3340" s="10" t="s">
        <v>2372</v>
      </c>
      <c r="N3340" s="10" t="s">
        <v>2373</v>
      </c>
      <c r="O3340" s="10"/>
    </row>
    <row r="3341" spans="1:15" ht="18" customHeight="1" x14ac:dyDescent="0.3">
      <c r="A3341" s="24">
        <v>3340</v>
      </c>
      <c r="B3341" s="10" t="s">
        <v>200</v>
      </c>
      <c r="C3341" s="10" t="s">
        <v>147</v>
      </c>
      <c r="D3341" s="62">
        <v>260</v>
      </c>
      <c r="E3341" s="61" t="s">
        <v>2965</v>
      </c>
      <c r="F3341" s="11" t="s">
        <v>814</v>
      </c>
      <c r="G3341" s="10" t="s">
        <v>150</v>
      </c>
      <c r="H3341" s="10" t="s">
        <v>845</v>
      </c>
      <c r="I3341" s="62">
        <v>178</v>
      </c>
      <c r="J3341" s="10" t="s">
        <v>2374</v>
      </c>
      <c r="K3341" s="10" t="s">
        <v>847</v>
      </c>
      <c r="L3341" s="10" t="s">
        <v>2373</v>
      </c>
      <c r="M3341" s="10" t="s">
        <v>2372</v>
      </c>
      <c r="N3341" s="10" t="s">
        <v>2373</v>
      </c>
      <c r="O3341" s="10"/>
    </row>
    <row r="3342" spans="1:15" ht="18" customHeight="1" x14ac:dyDescent="0.3">
      <c r="A3342" s="24">
        <v>3341</v>
      </c>
      <c r="B3342" s="10" t="s">
        <v>200</v>
      </c>
      <c r="C3342" s="10" t="s">
        <v>147</v>
      </c>
      <c r="D3342" s="62">
        <v>260</v>
      </c>
      <c r="E3342" s="61" t="s">
        <v>2965</v>
      </c>
      <c r="F3342" s="11" t="s">
        <v>814</v>
      </c>
      <c r="G3342" s="10" t="s">
        <v>150</v>
      </c>
      <c r="H3342" s="10" t="s">
        <v>848</v>
      </c>
      <c r="I3342" s="62">
        <v>125</v>
      </c>
      <c r="J3342" s="10" t="s">
        <v>2374</v>
      </c>
      <c r="K3342" s="10" t="s">
        <v>847</v>
      </c>
      <c r="L3342" s="10" t="s">
        <v>2373</v>
      </c>
      <c r="M3342" s="10" t="s">
        <v>2372</v>
      </c>
      <c r="N3342" s="10" t="s">
        <v>2373</v>
      </c>
      <c r="O3342" s="10"/>
    </row>
    <row r="3343" spans="1:15" ht="18" customHeight="1" x14ac:dyDescent="0.3">
      <c r="A3343" s="24">
        <v>3342</v>
      </c>
      <c r="B3343" s="10" t="s">
        <v>200</v>
      </c>
      <c r="C3343" s="10" t="s">
        <v>147</v>
      </c>
      <c r="D3343" s="62">
        <v>260</v>
      </c>
      <c r="E3343" s="61" t="s">
        <v>2965</v>
      </c>
      <c r="F3343" s="11" t="s">
        <v>814</v>
      </c>
      <c r="G3343" s="10" t="s">
        <v>150</v>
      </c>
      <c r="H3343" s="10" t="s">
        <v>849</v>
      </c>
      <c r="I3343" s="62">
        <v>150</v>
      </c>
      <c r="J3343" s="10" t="s">
        <v>2372</v>
      </c>
      <c r="K3343" s="10" t="s">
        <v>847</v>
      </c>
      <c r="L3343" s="10" t="s">
        <v>2373</v>
      </c>
      <c r="M3343" s="10" t="s">
        <v>2372</v>
      </c>
      <c r="N3343" s="10" t="s">
        <v>2373</v>
      </c>
      <c r="O3343" s="10"/>
    </row>
    <row r="3344" spans="1:15" ht="18" customHeight="1" x14ac:dyDescent="0.3">
      <c r="A3344" s="24">
        <v>3343</v>
      </c>
      <c r="B3344" s="10" t="s">
        <v>200</v>
      </c>
      <c r="C3344" s="10" t="s">
        <v>147</v>
      </c>
      <c r="D3344" s="62">
        <v>260</v>
      </c>
      <c r="E3344" s="61" t="s">
        <v>2965</v>
      </c>
      <c r="F3344" s="11" t="s">
        <v>814</v>
      </c>
      <c r="G3344" s="10" t="s">
        <v>150</v>
      </c>
      <c r="H3344" s="10" t="s">
        <v>850</v>
      </c>
      <c r="I3344" s="62">
        <v>146</v>
      </c>
      <c r="J3344" s="10" t="s">
        <v>2372</v>
      </c>
      <c r="K3344" s="10" t="s">
        <v>847</v>
      </c>
      <c r="L3344" s="10" t="s">
        <v>2373</v>
      </c>
      <c r="M3344" s="10" t="s">
        <v>2372</v>
      </c>
      <c r="N3344" s="10" t="s">
        <v>2373</v>
      </c>
      <c r="O3344" s="10"/>
    </row>
    <row r="3345" spans="1:15" ht="18" customHeight="1" x14ac:dyDescent="0.3">
      <c r="A3345" s="24">
        <v>3344</v>
      </c>
      <c r="B3345" s="10" t="s">
        <v>200</v>
      </c>
      <c r="C3345" s="10" t="s">
        <v>147</v>
      </c>
      <c r="D3345" s="62">
        <v>260</v>
      </c>
      <c r="E3345" s="61" t="s">
        <v>2965</v>
      </c>
      <c r="F3345" s="11" t="s">
        <v>814</v>
      </c>
      <c r="G3345" s="10" t="s">
        <v>150</v>
      </c>
      <c r="H3345" s="10" t="s">
        <v>851</v>
      </c>
      <c r="I3345" s="62">
        <v>152</v>
      </c>
      <c r="J3345" s="10" t="s">
        <v>2372</v>
      </c>
      <c r="K3345" s="10" t="s">
        <v>847</v>
      </c>
      <c r="L3345" s="10" t="s">
        <v>2373</v>
      </c>
      <c r="M3345" s="10" t="s">
        <v>2372</v>
      </c>
      <c r="N3345" s="10" t="s">
        <v>2373</v>
      </c>
      <c r="O3345" s="10"/>
    </row>
    <row r="3346" spans="1:15" ht="18" customHeight="1" x14ac:dyDescent="0.3">
      <c r="A3346" s="24">
        <v>3345</v>
      </c>
      <c r="B3346" s="10" t="s">
        <v>200</v>
      </c>
      <c r="C3346" s="10" t="s">
        <v>147</v>
      </c>
      <c r="D3346" s="62">
        <v>260</v>
      </c>
      <c r="E3346" s="61" t="s">
        <v>2965</v>
      </c>
      <c r="F3346" s="11" t="s">
        <v>814</v>
      </c>
      <c r="G3346" s="10" t="s">
        <v>150</v>
      </c>
      <c r="H3346" s="10" t="s">
        <v>852</v>
      </c>
      <c r="I3346" s="62">
        <v>106</v>
      </c>
      <c r="J3346" s="10" t="s">
        <v>2372</v>
      </c>
      <c r="K3346" s="10" t="s">
        <v>847</v>
      </c>
      <c r="L3346" s="10" t="s">
        <v>2373</v>
      </c>
      <c r="M3346" s="10" t="s">
        <v>2372</v>
      </c>
      <c r="N3346" s="10" t="s">
        <v>2373</v>
      </c>
      <c r="O3346" s="10"/>
    </row>
    <row r="3347" spans="1:15" ht="18" customHeight="1" x14ac:dyDescent="0.3">
      <c r="A3347" s="24">
        <v>3346</v>
      </c>
      <c r="B3347" s="10" t="s">
        <v>200</v>
      </c>
      <c r="C3347" s="10" t="s">
        <v>147</v>
      </c>
      <c r="D3347" s="62">
        <v>260</v>
      </c>
      <c r="E3347" s="61" t="s">
        <v>3147</v>
      </c>
      <c r="F3347" s="16" t="s">
        <v>816</v>
      </c>
      <c r="G3347" s="10" t="s">
        <v>160</v>
      </c>
      <c r="H3347" s="10" t="s">
        <v>845</v>
      </c>
      <c r="I3347" s="62">
        <v>114</v>
      </c>
      <c r="J3347" s="8" t="s">
        <v>2374</v>
      </c>
      <c r="K3347" s="10" t="s">
        <v>847</v>
      </c>
      <c r="L3347" s="10" t="s">
        <v>2373</v>
      </c>
      <c r="M3347" s="10" t="s">
        <v>2372</v>
      </c>
      <c r="N3347" s="10" t="s">
        <v>2373</v>
      </c>
      <c r="O3347" s="10"/>
    </row>
    <row r="3348" spans="1:15" ht="18" customHeight="1" x14ac:dyDescent="0.3">
      <c r="A3348" s="24">
        <v>3347</v>
      </c>
      <c r="B3348" s="10" t="s">
        <v>200</v>
      </c>
      <c r="C3348" s="10" t="s">
        <v>147</v>
      </c>
      <c r="D3348" s="62">
        <v>260</v>
      </c>
      <c r="E3348" s="61" t="s">
        <v>3147</v>
      </c>
      <c r="F3348" s="16" t="s">
        <v>816</v>
      </c>
      <c r="G3348" s="10" t="s">
        <v>160</v>
      </c>
      <c r="H3348" s="10" t="s">
        <v>848</v>
      </c>
      <c r="I3348" s="62">
        <v>116</v>
      </c>
      <c r="J3348" s="8" t="s">
        <v>2372</v>
      </c>
      <c r="K3348" s="10" t="s">
        <v>847</v>
      </c>
      <c r="L3348" s="10" t="s">
        <v>2373</v>
      </c>
      <c r="M3348" s="10" t="s">
        <v>2372</v>
      </c>
      <c r="N3348" s="10" t="s">
        <v>2373</v>
      </c>
      <c r="O3348" s="10"/>
    </row>
    <row r="3349" spans="1:15" ht="18" customHeight="1" x14ac:dyDescent="0.3">
      <c r="A3349" s="24">
        <v>3348</v>
      </c>
      <c r="B3349" s="10" t="s">
        <v>200</v>
      </c>
      <c r="C3349" s="10" t="s">
        <v>147</v>
      </c>
      <c r="D3349" s="62">
        <v>260</v>
      </c>
      <c r="E3349" s="61" t="s">
        <v>3147</v>
      </c>
      <c r="F3349" s="16" t="s">
        <v>816</v>
      </c>
      <c r="G3349" s="10" t="s">
        <v>160</v>
      </c>
      <c r="H3349" s="10" t="s">
        <v>849</v>
      </c>
      <c r="I3349" s="62">
        <v>56</v>
      </c>
      <c r="J3349" s="8" t="s">
        <v>2372</v>
      </c>
      <c r="K3349" s="10" t="s">
        <v>2374</v>
      </c>
      <c r="L3349" s="176" t="s">
        <v>3148</v>
      </c>
      <c r="M3349" s="10" t="s">
        <v>2372</v>
      </c>
      <c r="N3349" s="10" t="s">
        <v>2373</v>
      </c>
      <c r="O3349" s="10"/>
    </row>
    <row r="3350" spans="1:15" ht="18" customHeight="1" x14ac:dyDescent="0.3">
      <c r="A3350" s="24">
        <v>3349</v>
      </c>
      <c r="B3350" s="10" t="s">
        <v>200</v>
      </c>
      <c r="C3350" s="10" t="s">
        <v>147</v>
      </c>
      <c r="D3350" s="62">
        <v>260</v>
      </c>
      <c r="E3350" s="61" t="s">
        <v>3147</v>
      </c>
      <c r="F3350" s="16" t="s">
        <v>816</v>
      </c>
      <c r="G3350" s="10" t="s">
        <v>160</v>
      </c>
      <c r="H3350" s="10" t="s">
        <v>850</v>
      </c>
      <c r="I3350" s="62">
        <v>56</v>
      </c>
      <c r="J3350" s="8" t="s">
        <v>2372</v>
      </c>
      <c r="K3350" s="10" t="s">
        <v>2374</v>
      </c>
      <c r="L3350" s="176" t="s">
        <v>3148</v>
      </c>
      <c r="M3350" s="10" t="s">
        <v>2372</v>
      </c>
      <c r="N3350" s="10" t="s">
        <v>2373</v>
      </c>
      <c r="O3350" s="10"/>
    </row>
    <row r="3351" spans="1:15" ht="18" customHeight="1" x14ac:dyDescent="0.3">
      <c r="A3351" s="24">
        <v>3350</v>
      </c>
      <c r="B3351" s="10" t="s">
        <v>200</v>
      </c>
      <c r="C3351" s="10" t="s">
        <v>147</v>
      </c>
      <c r="D3351" s="62">
        <v>260</v>
      </c>
      <c r="E3351" s="61" t="s">
        <v>3147</v>
      </c>
      <c r="F3351" s="16" t="s">
        <v>816</v>
      </c>
      <c r="G3351" s="10" t="s">
        <v>160</v>
      </c>
      <c r="H3351" s="10" t="s">
        <v>851</v>
      </c>
      <c r="I3351" s="62">
        <v>30</v>
      </c>
      <c r="J3351" s="8" t="s">
        <v>2372</v>
      </c>
      <c r="K3351" s="10" t="s">
        <v>2374</v>
      </c>
      <c r="L3351" s="176" t="s">
        <v>3148</v>
      </c>
      <c r="M3351" s="10" t="s">
        <v>2372</v>
      </c>
      <c r="N3351" s="10" t="s">
        <v>2373</v>
      </c>
      <c r="O3351" s="10"/>
    </row>
    <row r="3352" spans="1:15" ht="18" customHeight="1" x14ac:dyDescent="0.3">
      <c r="A3352" s="24">
        <v>3351</v>
      </c>
      <c r="B3352" s="10" t="s">
        <v>200</v>
      </c>
      <c r="C3352" s="10" t="s">
        <v>147</v>
      </c>
      <c r="D3352" s="62">
        <v>260</v>
      </c>
      <c r="E3352" s="61" t="s">
        <v>2966</v>
      </c>
      <c r="F3352" s="11" t="s">
        <v>813</v>
      </c>
      <c r="G3352" s="10" t="s">
        <v>1264</v>
      </c>
      <c r="H3352" s="10" t="s">
        <v>845</v>
      </c>
      <c r="I3352" s="62">
        <v>92</v>
      </c>
      <c r="J3352" s="10" t="s">
        <v>2372</v>
      </c>
      <c r="K3352" s="10" t="s">
        <v>847</v>
      </c>
      <c r="L3352" s="10" t="s">
        <v>2373</v>
      </c>
      <c r="M3352" s="10" t="s">
        <v>2372</v>
      </c>
      <c r="N3352" s="10" t="s">
        <v>2373</v>
      </c>
      <c r="O3352" s="10"/>
    </row>
    <row r="3353" spans="1:15" ht="18" customHeight="1" x14ac:dyDescent="0.3">
      <c r="A3353" s="24">
        <v>3352</v>
      </c>
      <c r="B3353" s="10" t="s">
        <v>200</v>
      </c>
      <c r="C3353" s="10" t="s">
        <v>147</v>
      </c>
      <c r="D3353" s="62">
        <v>260</v>
      </c>
      <c r="E3353" s="61" t="s">
        <v>2966</v>
      </c>
      <c r="F3353" s="11" t="s">
        <v>813</v>
      </c>
      <c r="G3353" s="10" t="s">
        <v>150</v>
      </c>
      <c r="H3353" s="10" t="s">
        <v>848</v>
      </c>
      <c r="I3353" s="62">
        <v>114</v>
      </c>
      <c r="J3353" s="10" t="s">
        <v>2372</v>
      </c>
      <c r="K3353" s="10" t="s">
        <v>847</v>
      </c>
      <c r="L3353" s="10" t="s">
        <v>2373</v>
      </c>
      <c r="M3353" s="10" t="s">
        <v>2372</v>
      </c>
      <c r="N3353" s="10" t="s">
        <v>2373</v>
      </c>
      <c r="O3353" s="10"/>
    </row>
    <row r="3354" spans="1:15" ht="18" customHeight="1" x14ac:dyDescent="0.3">
      <c r="A3354" s="24">
        <v>3353</v>
      </c>
      <c r="B3354" s="10" t="s">
        <v>200</v>
      </c>
      <c r="C3354" s="10" t="s">
        <v>147</v>
      </c>
      <c r="D3354" s="62">
        <v>260</v>
      </c>
      <c r="E3354" s="61" t="s">
        <v>2966</v>
      </c>
      <c r="F3354" s="11" t="s">
        <v>813</v>
      </c>
      <c r="G3354" s="10" t="s">
        <v>150</v>
      </c>
      <c r="H3354" s="10" t="s">
        <v>2410</v>
      </c>
      <c r="I3354" s="62">
        <v>96</v>
      </c>
      <c r="J3354" s="10" t="s">
        <v>2374</v>
      </c>
      <c r="K3354" s="10" t="s">
        <v>2374</v>
      </c>
      <c r="L3354" s="10" t="s">
        <v>1516</v>
      </c>
      <c r="M3354" s="10" t="s">
        <v>2372</v>
      </c>
      <c r="N3354" s="10" t="s">
        <v>2373</v>
      </c>
      <c r="O3354" s="10"/>
    </row>
    <row r="3355" spans="1:15" ht="18" customHeight="1" x14ac:dyDescent="0.3">
      <c r="A3355" s="24">
        <v>3354</v>
      </c>
      <c r="B3355" s="10" t="s">
        <v>200</v>
      </c>
      <c r="C3355" s="10" t="s">
        <v>147</v>
      </c>
      <c r="D3355" s="62">
        <v>260</v>
      </c>
      <c r="E3355" s="61" t="s">
        <v>2966</v>
      </c>
      <c r="F3355" s="11" t="s">
        <v>813</v>
      </c>
      <c r="G3355" s="10" t="s">
        <v>150</v>
      </c>
      <c r="H3355" s="10" t="s">
        <v>850</v>
      </c>
      <c r="I3355" s="62">
        <v>76</v>
      </c>
      <c r="J3355" s="10" t="s">
        <v>2372</v>
      </c>
      <c r="K3355" s="10" t="s">
        <v>847</v>
      </c>
      <c r="L3355" s="10" t="s">
        <v>2373</v>
      </c>
      <c r="M3355" s="10" t="s">
        <v>2372</v>
      </c>
      <c r="N3355" s="10" t="s">
        <v>2373</v>
      </c>
      <c r="O3355" s="10"/>
    </row>
    <row r="3356" spans="1:15" ht="18" customHeight="1" x14ac:dyDescent="0.3">
      <c r="A3356" s="24">
        <v>3355</v>
      </c>
      <c r="B3356" s="10" t="s">
        <v>200</v>
      </c>
      <c r="C3356" s="10" t="s">
        <v>147</v>
      </c>
      <c r="D3356" s="62">
        <v>260</v>
      </c>
      <c r="E3356" s="61" t="s">
        <v>2966</v>
      </c>
      <c r="F3356" s="11" t="s">
        <v>813</v>
      </c>
      <c r="G3356" s="10" t="s">
        <v>150</v>
      </c>
      <c r="H3356" s="10" t="s">
        <v>851</v>
      </c>
      <c r="I3356" s="62">
        <v>261</v>
      </c>
      <c r="J3356" s="10" t="s">
        <v>2374</v>
      </c>
      <c r="K3356" s="10" t="s">
        <v>847</v>
      </c>
      <c r="L3356" s="10" t="s">
        <v>2373</v>
      </c>
      <c r="M3356" s="10" t="s">
        <v>2372</v>
      </c>
      <c r="N3356" s="10" t="s">
        <v>2373</v>
      </c>
      <c r="O3356" s="10"/>
    </row>
    <row r="3357" spans="1:15" ht="18" customHeight="1" x14ac:dyDescent="0.3">
      <c r="A3357" s="24">
        <v>3356</v>
      </c>
      <c r="B3357" s="10" t="s">
        <v>200</v>
      </c>
      <c r="C3357" s="10" t="s">
        <v>147</v>
      </c>
      <c r="D3357" s="62">
        <v>260</v>
      </c>
      <c r="E3357" s="61" t="s">
        <v>2966</v>
      </c>
      <c r="F3357" s="11" t="s">
        <v>813</v>
      </c>
      <c r="G3357" s="10" t="s">
        <v>150</v>
      </c>
      <c r="H3357" s="10" t="s">
        <v>852</v>
      </c>
      <c r="I3357" s="62">
        <v>92</v>
      </c>
      <c r="J3357" s="10" t="s">
        <v>2374</v>
      </c>
      <c r="K3357" s="10" t="s">
        <v>847</v>
      </c>
      <c r="L3357" s="10" t="s">
        <v>2373</v>
      </c>
      <c r="M3357" s="10" t="s">
        <v>2372</v>
      </c>
      <c r="N3357" s="10" t="s">
        <v>2373</v>
      </c>
      <c r="O3357" s="10"/>
    </row>
    <row r="3358" spans="1:15" ht="18" customHeight="1" x14ac:dyDescent="0.3">
      <c r="A3358" s="24">
        <v>3357</v>
      </c>
      <c r="B3358" s="10" t="s">
        <v>200</v>
      </c>
      <c r="C3358" s="10" t="s">
        <v>147</v>
      </c>
      <c r="D3358" s="62">
        <v>260</v>
      </c>
      <c r="E3358" s="61" t="s">
        <v>2966</v>
      </c>
      <c r="F3358" s="11" t="s">
        <v>813</v>
      </c>
      <c r="G3358" s="10" t="s">
        <v>150</v>
      </c>
      <c r="H3358" s="10" t="s">
        <v>853</v>
      </c>
      <c r="I3358" s="62">
        <v>76</v>
      </c>
      <c r="J3358" s="10" t="s">
        <v>2372</v>
      </c>
      <c r="K3358" s="10" t="s">
        <v>847</v>
      </c>
      <c r="L3358" s="10" t="s">
        <v>2373</v>
      </c>
      <c r="M3358" s="10" t="s">
        <v>2372</v>
      </c>
      <c r="N3358" s="10" t="s">
        <v>2373</v>
      </c>
      <c r="O3358" s="10"/>
    </row>
    <row r="3359" spans="1:15" ht="18" customHeight="1" x14ac:dyDescent="0.3">
      <c r="A3359" s="24">
        <v>3358</v>
      </c>
      <c r="B3359" s="10" t="s">
        <v>200</v>
      </c>
      <c r="C3359" s="10" t="s">
        <v>147</v>
      </c>
      <c r="D3359" s="62">
        <v>260</v>
      </c>
      <c r="E3359" s="61" t="s">
        <v>2966</v>
      </c>
      <c r="F3359" s="11" t="s">
        <v>813</v>
      </c>
      <c r="G3359" s="10" t="s">
        <v>1264</v>
      </c>
      <c r="H3359" s="10" t="s">
        <v>2383</v>
      </c>
      <c r="I3359" s="62">
        <v>35</v>
      </c>
      <c r="J3359" s="10" t="s">
        <v>2372</v>
      </c>
      <c r="K3359" s="10" t="s">
        <v>847</v>
      </c>
      <c r="L3359" s="10" t="s">
        <v>2373</v>
      </c>
      <c r="M3359" s="10" t="s">
        <v>2372</v>
      </c>
      <c r="N3359" s="10" t="s">
        <v>2373</v>
      </c>
      <c r="O3359" s="10"/>
    </row>
    <row r="3360" spans="1:15" ht="18" customHeight="1" x14ac:dyDescent="0.3">
      <c r="A3360" s="24">
        <v>3359</v>
      </c>
      <c r="B3360" s="8" t="s">
        <v>2362</v>
      </c>
      <c r="C3360" s="8" t="s">
        <v>2354</v>
      </c>
      <c r="D3360" s="8">
        <v>260</v>
      </c>
      <c r="E3360" s="30" t="s">
        <v>2363</v>
      </c>
      <c r="F3360" s="19" t="s">
        <v>2364</v>
      </c>
      <c r="G3360" s="8" t="s">
        <v>2553</v>
      </c>
      <c r="H3360" s="10" t="s">
        <v>2385</v>
      </c>
      <c r="I3360" s="62">
        <v>59</v>
      </c>
      <c r="J3360" s="10" t="s">
        <v>2372</v>
      </c>
      <c r="K3360" s="10" t="s">
        <v>847</v>
      </c>
      <c r="L3360" s="10" t="s">
        <v>2373</v>
      </c>
      <c r="M3360" s="10" t="s">
        <v>2372</v>
      </c>
      <c r="N3360" s="10" t="s">
        <v>2373</v>
      </c>
      <c r="O3360" s="10"/>
    </row>
    <row r="3361" spans="1:15" ht="18" customHeight="1" x14ac:dyDescent="0.3">
      <c r="A3361" s="24">
        <v>3360</v>
      </c>
      <c r="B3361" s="8" t="s">
        <v>2362</v>
      </c>
      <c r="C3361" s="8" t="s">
        <v>2354</v>
      </c>
      <c r="D3361" s="8">
        <v>260</v>
      </c>
      <c r="E3361" s="30" t="s">
        <v>2363</v>
      </c>
      <c r="F3361" s="19" t="s">
        <v>2364</v>
      </c>
      <c r="G3361" s="8" t="s">
        <v>2553</v>
      </c>
      <c r="H3361" s="10" t="s">
        <v>2378</v>
      </c>
      <c r="I3361" s="62">
        <v>39</v>
      </c>
      <c r="J3361" s="10" t="s">
        <v>2372</v>
      </c>
      <c r="K3361" s="10" t="s">
        <v>847</v>
      </c>
      <c r="L3361" s="10" t="s">
        <v>2373</v>
      </c>
      <c r="M3361" s="10" t="s">
        <v>2372</v>
      </c>
      <c r="N3361" s="10" t="s">
        <v>2373</v>
      </c>
      <c r="O3361" s="10"/>
    </row>
    <row r="3362" spans="1:15" ht="18" customHeight="1" x14ac:dyDescent="0.3">
      <c r="A3362" s="24">
        <v>3361</v>
      </c>
      <c r="B3362" s="63" t="s">
        <v>2362</v>
      </c>
      <c r="C3362" s="99" t="s">
        <v>3144</v>
      </c>
      <c r="D3362" s="99">
        <v>261</v>
      </c>
      <c r="E3362" s="56" t="s">
        <v>3592</v>
      </c>
      <c r="F3362" s="56" t="s">
        <v>3630</v>
      </c>
      <c r="G3362" s="99" t="s">
        <v>3603</v>
      </c>
      <c r="H3362" s="10" t="s">
        <v>3598</v>
      </c>
      <c r="I3362" s="62">
        <v>18</v>
      </c>
      <c r="J3362" s="10" t="s">
        <v>2372</v>
      </c>
      <c r="K3362" s="10" t="s">
        <v>847</v>
      </c>
      <c r="L3362" s="10" t="s">
        <v>3603</v>
      </c>
      <c r="M3362" s="10" t="s">
        <v>3597</v>
      </c>
      <c r="N3362" s="10" t="s">
        <v>2373</v>
      </c>
      <c r="O3362" s="10"/>
    </row>
    <row r="3363" spans="1:15" ht="18" customHeight="1" x14ac:dyDescent="0.3">
      <c r="A3363" s="24">
        <v>3362</v>
      </c>
      <c r="B3363" s="63" t="s">
        <v>3611</v>
      </c>
      <c r="C3363" s="99" t="s">
        <v>3610</v>
      </c>
      <c r="D3363" s="99">
        <v>261</v>
      </c>
      <c r="E3363" s="56" t="s">
        <v>3612</v>
      </c>
      <c r="F3363" s="56" t="s">
        <v>3630</v>
      </c>
      <c r="G3363" s="99" t="s">
        <v>3603</v>
      </c>
      <c r="H3363" s="10" t="s">
        <v>3607</v>
      </c>
      <c r="I3363" s="62">
        <v>18</v>
      </c>
      <c r="J3363" s="10" t="s">
        <v>3597</v>
      </c>
      <c r="K3363" s="10" t="s">
        <v>847</v>
      </c>
      <c r="L3363" s="10" t="s">
        <v>3603</v>
      </c>
      <c r="M3363" s="10" t="s">
        <v>3597</v>
      </c>
      <c r="N3363" s="10" t="s">
        <v>3603</v>
      </c>
      <c r="O3363" s="10"/>
    </row>
    <row r="3364" spans="1:15" ht="18" customHeight="1" x14ac:dyDescent="0.3">
      <c r="A3364" s="24">
        <v>3363</v>
      </c>
      <c r="B3364" s="10" t="s">
        <v>200</v>
      </c>
      <c r="C3364" s="10" t="s">
        <v>148</v>
      </c>
      <c r="D3364" s="62">
        <v>261</v>
      </c>
      <c r="E3364" s="61" t="s">
        <v>226</v>
      </c>
      <c r="F3364" s="16" t="s">
        <v>812</v>
      </c>
      <c r="G3364" s="10" t="s">
        <v>160</v>
      </c>
      <c r="H3364" s="10" t="s">
        <v>845</v>
      </c>
      <c r="I3364" s="177">
        <v>167</v>
      </c>
      <c r="J3364" s="8" t="s">
        <v>2374</v>
      </c>
      <c r="K3364" s="10" t="s">
        <v>847</v>
      </c>
      <c r="L3364" s="10" t="s">
        <v>2373</v>
      </c>
      <c r="M3364" s="10" t="s">
        <v>2372</v>
      </c>
      <c r="N3364" s="10" t="s">
        <v>2373</v>
      </c>
      <c r="O3364" s="10"/>
    </row>
    <row r="3365" spans="1:15" ht="18" customHeight="1" x14ac:dyDescent="0.3">
      <c r="A3365" s="24">
        <v>3364</v>
      </c>
      <c r="B3365" s="10" t="s">
        <v>200</v>
      </c>
      <c r="C3365" s="10" t="s">
        <v>148</v>
      </c>
      <c r="D3365" s="62">
        <v>261</v>
      </c>
      <c r="E3365" s="61" t="s">
        <v>226</v>
      </c>
      <c r="F3365" s="16" t="s">
        <v>812</v>
      </c>
      <c r="G3365" s="10" t="s">
        <v>160</v>
      </c>
      <c r="H3365" s="10" t="s">
        <v>848</v>
      </c>
      <c r="I3365" s="62">
        <v>99</v>
      </c>
      <c r="J3365" s="8" t="s">
        <v>2374</v>
      </c>
      <c r="K3365" s="10" t="s">
        <v>847</v>
      </c>
      <c r="L3365" s="10" t="s">
        <v>2373</v>
      </c>
      <c r="M3365" s="10" t="s">
        <v>2372</v>
      </c>
      <c r="N3365" s="10" t="s">
        <v>2373</v>
      </c>
      <c r="O3365" s="10"/>
    </row>
    <row r="3366" spans="1:15" ht="18" customHeight="1" x14ac:dyDescent="0.3">
      <c r="A3366" s="24">
        <v>3365</v>
      </c>
      <c r="B3366" s="10" t="s">
        <v>200</v>
      </c>
      <c r="C3366" s="10" t="s">
        <v>148</v>
      </c>
      <c r="D3366" s="62">
        <v>261</v>
      </c>
      <c r="E3366" s="61" t="s">
        <v>226</v>
      </c>
      <c r="F3366" s="16" t="s">
        <v>812</v>
      </c>
      <c r="G3366" s="10" t="s">
        <v>160</v>
      </c>
      <c r="H3366" s="10" t="s">
        <v>849</v>
      </c>
      <c r="I3366" s="62">
        <v>149</v>
      </c>
      <c r="J3366" s="8" t="s">
        <v>2372</v>
      </c>
      <c r="K3366" s="10" t="s">
        <v>847</v>
      </c>
      <c r="L3366" s="10" t="s">
        <v>2373</v>
      </c>
      <c r="M3366" s="10" t="s">
        <v>2372</v>
      </c>
      <c r="N3366" s="10" t="s">
        <v>2373</v>
      </c>
      <c r="O3366" s="10"/>
    </row>
    <row r="3367" spans="1:15" ht="18" customHeight="1" x14ac:dyDescent="0.3">
      <c r="A3367" s="24">
        <v>3366</v>
      </c>
      <c r="B3367" s="10" t="s">
        <v>200</v>
      </c>
      <c r="C3367" s="10" t="s">
        <v>148</v>
      </c>
      <c r="D3367" s="62">
        <v>261</v>
      </c>
      <c r="E3367" s="61" t="s">
        <v>226</v>
      </c>
      <c r="F3367" s="16" t="s">
        <v>812</v>
      </c>
      <c r="G3367" s="10" t="s">
        <v>160</v>
      </c>
      <c r="H3367" s="10" t="s">
        <v>851</v>
      </c>
      <c r="I3367" s="62">
        <v>92</v>
      </c>
      <c r="J3367" s="8" t="s">
        <v>2372</v>
      </c>
      <c r="K3367" s="10" t="s">
        <v>847</v>
      </c>
      <c r="L3367" s="10" t="s">
        <v>2373</v>
      </c>
      <c r="M3367" s="10" t="s">
        <v>2372</v>
      </c>
      <c r="N3367" s="10" t="s">
        <v>2373</v>
      </c>
      <c r="O3367" s="10"/>
    </row>
    <row r="3368" spans="1:15" ht="18" customHeight="1" x14ac:dyDescent="0.3">
      <c r="A3368" s="24">
        <v>3367</v>
      </c>
      <c r="B3368" s="10" t="s">
        <v>200</v>
      </c>
      <c r="C3368" s="10" t="s">
        <v>148</v>
      </c>
      <c r="D3368" s="62">
        <v>261</v>
      </c>
      <c r="E3368" s="61" t="s">
        <v>226</v>
      </c>
      <c r="F3368" s="16" t="s">
        <v>812</v>
      </c>
      <c r="G3368" s="10" t="s">
        <v>160</v>
      </c>
      <c r="H3368" s="10" t="s">
        <v>852</v>
      </c>
      <c r="I3368" s="62">
        <v>62</v>
      </c>
      <c r="J3368" s="8" t="s">
        <v>2372</v>
      </c>
      <c r="K3368" s="10" t="s">
        <v>847</v>
      </c>
      <c r="L3368" s="10" t="s">
        <v>2373</v>
      </c>
      <c r="M3368" s="10" t="s">
        <v>2372</v>
      </c>
      <c r="N3368" s="10" t="s">
        <v>2373</v>
      </c>
      <c r="O3368" s="10"/>
    </row>
    <row r="3369" spans="1:15" ht="18" customHeight="1" x14ac:dyDescent="0.3">
      <c r="A3369" s="24">
        <v>3368</v>
      </c>
      <c r="B3369" s="10" t="s">
        <v>200</v>
      </c>
      <c r="C3369" s="10" t="s">
        <v>148</v>
      </c>
      <c r="D3369" s="62">
        <v>261</v>
      </c>
      <c r="E3369" s="61" t="s">
        <v>226</v>
      </c>
      <c r="F3369" s="16" t="s">
        <v>812</v>
      </c>
      <c r="G3369" s="10" t="s">
        <v>160</v>
      </c>
      <c r="H3369" s="10" t="s">
        <v>853</v>
      </c>
      <c r="I3369" s="62">
        <v>79</v>
      </c>
      <c r="J3369" s="8" t="s">
        <v>2372</v>
      </c>
      <c r="K3369" s="10" t="s">
        <v>847</v>
      </c>
      <c r="L3369" s="10" t="s">
        <v>2373</v>
      </c>
      <c r="M3369" s="10" t="s">
        <v>2372</v>
      </c>
      <c r="N3369" s="10" t="s">
        <v>2373</v>
      </c>
      <c r="O3369" s="10"/>
    </row>
    <row r="3370" spans="1:15" ht="18" customHeight="1" x14ac:dyDescent="0.3">
      <c r="A3370" s="24">
        <v>3369</v>
      </c>
      <c r="B3370" s="99" t="s">
        <v>2362</v>
      </c>
      <c r="C3370" s="99" t="s">
        <v>3144</v>
      </c>
      <c r="D3370" s="99">
        <v>261</v>
      </c>
      <c r="E3370" s="56" t="s">
        <v>3140</v>
      </c>
      <c r="F3370" s="56" t="s">
        <v>3141</v>
      </c>
      <c r="G3370" s="99" t="s">
        <v>3488</v>
      </c>
      <c r="H3370" s="10" t="s">
        <v>3489</v>
      </c>
      <c r="I3370" s="62">
        <v>32</v>
      </c>
      <c r="J3370" s="10" t="s">
        <v>884</v>
      </c>
      <c r="K3370" s="173" t="s">
        <v>3451</v>
      </c>
      <c r="L3370" s="173" t="s">
        <v>3492</v>
      </c>
      <c r="M3370" s="10" t="s">
        <v>884</v>
      </c>
      <c r="N3370" s="10" t="s">
        <v>820</v>
      </c>
      <c r="O3370" s="10"/>
    </row>
    <row r="3371" spans="1:15" ht="18" customHeight="1" x14ac:dyDescent="0.3">
      <c r="A3371" s="24">
        <v>3370</v>
      </c>
      <c r="B3371" s="99" t="s">
        <v>2362</v>
      </c>
      <c r="C3371" s="99" t="s">
        <v>3144</v>
      </c>
      <c r="D3371" s="99">
        <v>261</v>
      </c>
      <c r="E3371" s="56" t="s">
        <v>3140</v>
      </c>
      <c r="F3371" s="56" t="s">
        <v>3141</v>
      </c>
      <c r="G3371" s="99" t="s">
        <v>3477</v>
      </c>
      <c r="H3371" s="10" t="s">
        <v>3490</v>
      </c>
      <c r="I3371" s="62">
        <v>40</v>
      </c>
      <c r="J3371" s="10" t="s">
        <v>884</v>
      </c>
      <c r="K3371" s="173" t="s">
        <v>3451</v>
      </c>
      <c r="L3371" s="173" t="s">
        <v>3492</v>
      </c>
      <c r="M3371" s="10" t="s">
        <v>884</v>
      </c>
      <c r="N3371" s="10" t="s">
        <v>820</v>
      </c>
      <c r="O3371" s="10"/>
    </row>
    <row r="3372" spans="1:15" ht="18" customHeight="1" x14ac:dyDescent="0.3">
      <c r="A3372" s="119">
        <v>3371</v>
      </c>
      <c r="B3372" s="99" t="s">
        <v>2362</v>
      </c>
      <c r="C3372" s="99" t="s">
        <v>3144</v>
      </c>
      <c r="D3372" s="99">
        <v>261</v>
      </c>
      <c r="E3372" s="56" t="s">
        <v>3140</v>
      </c>
      <c r="F3372" s="56" t="s">
        <v>3141</v>
      </c>
      <c r="G3372" s="99" t="s">
        <v>3479</v>
      </c>
      <c r="H3372" s="10" t="s">
        <v>3491</v>
      </c>
      <c r="I3372" s="62">
        <v>27</v>
      </c>
      <c r="J3372" s="10" t="s">
        <v>884</v>
      </c>
      <c r="K3372" s="173" t="s">
        <v>3451</v>
      </c>
      <c r="L3372" s="173" t="s">
        <v>3492</v>
      </c>
      <c r="M3372" s="10" t="s">
        <v>884</v>
      </c>
      <c r="N3372" s="10" t="s">
        <v>820</v>
      </c>
      <c r="O3372" s="10"/>
    </row>
    <row r="3373" spans="1:15" ht="18" customHeight="1" x14ac:dyDescent="0.3">
      <c r="A3373" s="24"/>
      <c r="B3373" s="1"/>
      <c r="C3373" s="1"/>
      <c r="D3373" s="70"/>
      <c r="E3373" s="48" t="s">
        <v>2717</v>
      </c>
      <c r="F3373" s="48"/>
      <c r="G3373" s="69"/>
      <c r="H3373" s="106"/>
      <c r="I3373" s="115">
        <f>SUM(I2:I3372)</f>
        <v>463935</v>
      </c>
      <c r="J3373" s="118">
        <f>+COUNTIF(J2:J3372,"Y")</f>
        <v>973</v>
      </c>
      <c r="K3373" s="118">
        <f>+COUNTIF(K2:K3372,"Y")</f>
        <v>729</v>
      </c>
      <c r="L3373" s="116"/>
      <c r="M3373" s="118">
        <f>+COUNTIF(M2:M3372,"Y")</f>
        <v>69</v>
      </c>
      <c r="N3373" s="1"/>
      <c r="O3373" s="69"/>
    </row>
    <row r="5211" spans="6:6" ht="18" customHeight="1" x14ac:dyDescent="0.3">
      <c r="F5211" s="98" t="s">
        <v>2718</v>
      </c>
    </row>
  </sheetData>
  <autoFilter ref="A1:O3373">
    <sortState ref="A2:O3381">
      <sortCondition ref="D2:D3381"/>
      <sortCondition ref="F2:F3381"/>
    </sortState>
  </autoFilter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CFF"/>
  </sheetPr>
  <dimension ref="A1:XFC27"/>
  <sheetViews>
    <sheetView zoomScale="89" zoomScaleNormal="89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ColWidth="8.75" defaultRowHeight="20.45" customHeight="1" x14ac:dyDescent="0.3"/>
  <cols>
    <col min="1" max="1" width="6.25" style="144" customWidth="1"/>
    <col min="2" max="2" width="8.75" style="144"/>
    <col min="3" max="3" width="8.25" style="144" bestFit="1" customWidth="1"/>
    <col min="4" max="4" width="9.125" style="144" hidden="1" customWidth="1"/>
    <col min="5" max="5" width="24" style="111" bestFit="1" customWidth="1"/>
    <col min="6" max="6" width="35.875" style="111" bestFit="1" customWidth="1"/>
    <col min="7" max="7" width="8.75" style="144"/>
    <col min="8" max="9" width="8.75" style="169"/>
    <col min="10" max="10" width="11.25" style="144" customWidth="1"/>
    <col min="11" max="11" width="22.75" style="144" customWidth="1"/>
    <col min="12" max="12" width="15.25" style="144" customWidth="1"/>
    <col min="13" max="13" width="19.625" style="144" customWidth="1"/>
    <col min="14" max="14" width="9.5" style="144" customWidth="1"/>
    <col min="15" max="15" width="14.5" style="144" customWidth="1"/>
    <col min="16" max="16" width="19.25" style="144" customWidth="1"/>
    <col min="17" max="17" width="13.875" style="170" customWidth="1"/>
    <col min="18" max="18" width="24.625" style="144" customWidth="1"/>
    <col min="19" max="16384" width="8.75" style="144"/>
  </cols>
  <sheetData>
    <row r="1" spans="1:16383" ht="30" customHeight="1" thickBot="1" x14ac:dyDescent="0.35">
      <c r="A1" s="154" t="s">
        <v>301</v>
      </c>
      <c r="B1" s="154" t="s">
        <v>189</v>
      </c>
      <c r="C1" s="154" t="s">
        <v>190</v>
      </c>
      <c r="D1" s="154" t="s">
        <v>2719</v>
      </c>
      <c r="E1" s="154" t="s">
        <v>1</v>
      </c>
      <c r="F1" s="154" t="s">
        <v>0</v>
      </c>
      <c r="G1" s="134" t="s">
        <v>2720</v>
      </c>
      <c r="H1" s="135" t="s">
        <v>2979</v>
      </c>
      <c r="I1" s="155" t="s">
        <v>302</v>
      </c>
      <c r="J1" s="133" t="s">
        <v>2984</v>
      </c>
      <c r="K1" s="156" t="s">
        <v>2726</v>
      </c>
      <c r="L1" s="135" t="s">
        <v>2721</v>
      </c>
      <c r="M1" s="135" t="s">
        <v>2722</v>
      </c>
      <c r="N1" s="135" t="s">
        <v>981</v>
      </c>
      <c r="O1" s="154" t="s">
        <v>2723</v>
      </c>
      <c r="P1" s="154" t="s">
        <v>2</v>
      </c>
      <c r="Q1" s="157" t="s">
        <v>191</v>
      </c>
      <c r="R1" s="154" t="s">
        <v>192</v>
      </c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1"/>
      <c r="AP1" s="141"/>
      <c r="AQ1" s="141"/>
      <c r="AR1" s="141"/>
      <c r="AS1" s="141"/>
      <c r="AT1" s="141"/>
      <c r="AU1" s="141"/>
      <c r="AV1" s="141"/>
      <c r="AW1" s="141"/>
      <c r="AX1" s="141"/>
      <c r="AY1" s="141"/>
      <c r="AZ1" s="141"/>
      <c r="BA1" s="141"/>
      <c r="BB1" s="141"/>
      <c r="BC1" s="141"/>
      <c r="BD1" s="141"/>
      <c r="BE1" s="141"/>
      <c r="BF1" s="141"/>
      <c r="BG1" s="141"/>
      <c r="BH1" s="141"/>
      <c r="BI1" s="141"/>
      <c r="BJ1" s="141"/>
      <c r="BK1" s="141"/>
      <c r="BL1" s="141"/>
      <c r="BM1" s="141"/>
      <c r="BN1" s="141"/>
      <c r="BO1" s="141"/>
      <c r="BP1" s="141"/>
      <c r="BQ1" s="141"/>
      <c r="BR1" s="141"/>
      <c r="BS1" s="141"/>
      <c r="BT1" s="141"/>
      <c r="BU1" s="141"/>
      <c r="BV1" s="141"/>
      <c r="BW1" s="141"/>
      <c r="BX1" s="141"/>
      <c r="BY1" s="141"/>
      <c r="BZ1" s="141"/>
      <c r="CA1" s="141"/>
      <c r="CB1" s="141"/>
      <c r="CC1" s="141"/>
      <c r="CD1" s="141"/>
      <c r="CE1" s="141"/>
      <c r="CF1" s="141"/>
      <c r="CG1" s="141"/>
      <c r="CH1" s="141"/>
      <c r="CI1" s="141"/>
      <c r="CJ1" s="141"/>
      <c r="CK1" s="141"/>
      <c r="CL1" s="141"/>
      <c r="CM1" s="141"/>
      <c r="CN1" s="141"/>
      <c r="CO1" s="141"/>
      <c r="CP1" s="141"/>
      <c r="CQ1" s="141"/>
      <c r="CR1" s="141"/>
      <c r="CS1" s="141"/>
      <c r="CT1" s="141"/>
      <c r="CU1" s="141"/>
      <c r="CV1" s="141"/>
      <c r="CW1" s="141"/>
      <c r="CX1" s="141"/>
      <c r="CY1" s="141"/>
      <c r="CZ1" s="141"/>
      <c r="DA1" s="141"/>
      <c r="DB1" s="141"/>
      <c r="DC1" s="141"/>
      <c r="DD1" s="141"/>
      <c r="DE1" s="141"/>
      <c r="DF1" s="141"/>
      <c r="DG1" s="141"/>
      <c r="DH1" s="141"/>
      <c r="DI1" s="141"/>
      <c r="DJ1" s="141"/>
      <c r="DK1" s="141"/>
      <c r="DL1" s="141"/>
      <c r="DM1" s="141"/>
      <c r="DN1" s="141"/>
      <c r="DO1" s="141"/>
      <c r="DP1" s="141"/>
      <c r="DQ1" s="141"/>
      <c r="DR1" s="141"/>
      <c r="DS1" s="141"/>
      <c r="DT1" s="141"/>
      <c r="DU1" s="141"/>
      <c r="DV1" s="141"/>
      <c r="DW1" s="141"/>
      <c r="DX1" s="141"/>
      <c r="DY1" s="141"/>
      <c r="DZ1" s="141"/>
      <c r="EA1" s="141"/>
      <c r="EB1" s="141"/>
      <c r="EC1" s="141"/>
      <c r="ED1" s="141"/>
      <c r="EE1" s="141"/>
      <c r="EF1" s="141"/>
      <c r="EG1" s="141"/>
      <c r="EH1" s="141"/>
      <c r="EI1" s="141"/>
      <c r="EJ1" s="141"/>
      <c r="EK1" s="141"/>
      <c r="EL1" s="141"/>
      <c r="EM1" s="141"/>
      <c r="EN1" s="141"/>
      <c r="EO1" s="141"/>
      <c r="EP1" s="141"/>
      <c r="EQ1" s="141"/>
      <c r="ER1" s="141"/>
      <c r="ES1" s="141"/>
      <c r="ET1" s="141"/>
      <c r="EU1" s="141"/>
      <c r="EV1" s="141"/>
      <c r="EW1" s="141"/>
      <c r="EX1" s="141"/>
      <c r="EY1" s="141"/>
      <c r="EZ1" s="141"/>
      <c r="FA1" s="141"/>
      <c r="FB1" s="141"/>
      <c r="FC1" s="141"/>
      <c r="FD1" s="141"/>
      <c r="FE1" s="141"/>
      <c r="FF1" s="141"/>
      <c r="FG1" s="141"/>
      <c r="FH1" s="141"/>
      <c r="FI1" s="141"/>
      <c r="FJ1" s="141"/>
      <c r="FK1" s="141"/>
      <c r="FL1" s="141"/>
      <c r="FM1" s="141"/>
      <c r="FN1" s="141"/>
      <c r="FO1" s="141"/>
      <c r="FP1" s="141"/>
      <c r="FQ1" s="141"/>
      <c r="FR1" s="141"/>
      <c r="FS1" s="141"/>
      <c r="FT1" s="141"/>
      <c r="FU1" s="141"/>
      <c r="FV1" s="141"/>
      <c r="FW1" s="141"/>
      <c r="FX1" s="141"/>
      <c r="FY1" s="141"/>
      <c r="FZ1" s="141"/>
      <c r="GA1" s="141"/>
      <c r="GB1" s="141"/>
      <c r="GC1" s="141"/>
      <c r="GD1" s="141"/>
      <c r="GE1" s="141"/>
      <c r="GF1" s="141"/>
      <c r="GG1" s="141"/>
      <c r="GH1" s="141"/>
      <c r="GI1" s="141"/>
      <c r="GJ1" s="141"/>
      <c r="GK1" s="141"/>
      <c r="GL1" s="141"/>
      <c r="GM1" s="141"/>
      <c r="GN1" s="141"/>
      <c r="GO1" s="141"/>
      <c r="GP1" s="141"/>
      <c r="GQ1" s="141"/>
      <c r="GR1" s="141"/>
      <c r="GS1" s="141"/>
      <c r="GT1" s="141"/>
      <c r="GU1" s="141"/>
      <c r="GV1" s="141"/>
      <c r="GW1" s="141"/>
      <c r="GX1" s="141"/>
      <c r="GY1" s="141"/>
      <c r="GZ1" s="141"/>
      <c r="HA1" s="141"/>
      <c r="HB1" s="141"/>
      <c r="HC1" s="141"/>
      <c r="HD1" s="141"/>
      <c r="HE1" s="141"/>
      <c r="HF1" s="141"/>
      <c r="HG1" s="141"/>
      <c r="HH1" s="141"/>
      <c r="HI1" s="141"/>
      <c r="HJ1" s="141"/>
      <c r="HK1" s="141"/>
      <c r="HL1" s="141"/>
      <c r="HM1" s="141"/>
      <c r="HN1" s="141"/>
      <c r="HO1" s="141"/>
      <c r="HP1" s="141"/>
      <c r="HQ1" s="141"/>
      <c r="HR1" s="141"/>
      <c r="HS1" s="141"/>
      <c r="HT1" s="141"/>
      <c r="HU1" s="141"/>
      <c r="HV1" s="141"/>
      <c r="HW1" s="141"/>
      <c r="HX1" s="141"/>
      <c r="HY1" s="141"/>
      <c r="HZ1" s="141"/>
      <c r="IA1" s="141"/>
      <c r="IB1" s="141"/>
      <c r="IC1" s="141"/>
      <c r="ID1" s="141"/>
      <c r="IE1" s="141"/>
      <c r="IF1" s="141"/>
      <c r="IG1" s="141"/>
      <c r="IH1" s="141"/>
      <c r="II1" s="141"/>
      <c r="IJ1" s="141"/>
      <c r="IK1" s="141"/>
      <c r="IL1" s="141"/>
      <c r="IM1" s="141"/>
      <c r="IN1" s="141"/>
      <c r="IO1" s="141"/>
      <c r="IP1" s="141"/>
      <c r="IQ1" s="141"/>
      <c r="IR1" s="141"/>
      <c r="IS1" s="141"/>
      <c r="IT1" s="141"/>
      <c r="IU1" s="141"/>
      <c r="IV1" s="141"/>
      <c r="IW1" s="141"/>
      <c r="IX1" s="141"/>
      <c r="IY1" s="141"/>
      <c r="IZ1" s="141"/>
      <c r="JA1" s="141"/>
      <c r="JB1" s="141"/>
      <c r="JC1" s="141"/>
      <c r="JD1" s="141"/>
      <c r="JE1" s="141"/>
      <c r="JF1" s="141"/>
      <c r="JG1" s="141"/>
      <c r="JH1" s="141"/>
      <c r="JI1" s="141"/>
      <c r="JJ1" s="141"/>
      <c r="JK1" s="141"/>
      <c r="JL1" s="141"/>
      <c r="JM1" s="141"/>
      <c r="JN1" s="141"/>
      <c r="JO1" s="141"/>
      <c r="JP1" s="141"/>
      <c r="JQ1" s="141"/>
      <c r="JR1" s="141"/>
      <c r="JS1" s="141"/>
      <c r="JT1" s="141"/>
      <c r="JU1" s="141"/>
      <c r="JV1" s="141"/>
      <c r="JW1" s="141"/>
      <c r="JX1" s="141"/>
      <c r="JY1" s="141"/>
      <c r="JZ1" s="141"/>
      <c r="KA1" s="141"/>
      <c r="KB1" s="141"/>
      <c r="KC1" s="141"/>
      <c r="KD1" s="141"/>
      <c r="KE1" s="141"/>
      <c r="KF1" s="141"/>
      <c r="KG1" s="141"/>
      <c r="KH1" s="141"/>
      <c r="KI1" s="141"/>
      <c r="KJ1" s="141"/>
      <c r="KK1" s="141"/>
      <c r="KL1" s="141"/>
      <c r="KM1" s="141"/>
      <c r="KN1" s="141"/>
      <c r="KO1" s="141"/>
      <c r="KP1" s="141"/>
      <c r="KQ1" s="141"/>
      <c r="KR1" s="141"/>
      <c r="KS1" s="141"/>
      <c r="KT1" s="141"/>
      <c r="KU1" s="141"/>
      <c r="KV1" s="141"/>
      <c r="KW1" s="141"/>
      <c r="KX1" s="141"/>
      <c r="KY1" s="141"/>
      <c r="KZ1" s="141"/>
      <c r="LA1" s="141"/>
      <c r="LB1" s="141"/>
      <c r="LC1" s="141"/>
      <c r="LD1" s="141"/>
      <c r="LE1" s="141"/>
      <c r="LF1" s="141"/>
      <c r="LG1" s="141"/>
      <c r="LH1" s="141"/>
      <c r="LI1" s="141"/>
      <c r="LJ1" s="141"/>
      <c r="LK1" s="141"/>
      <c r="LL1" s="141"/>
      <c r="LM1" s="141"/>
      <c r="LN1" s="141"/>
      <c r="LO1" s="141"/>
      <c r="LP1" s="141"/>
      <c r="LQ1" s="141"/>
      <c r="LR1" s="141"/>
      <c r="LS1" s="141"/>
      <c r="LT1" s="141"/>
      <c r="LU1" s="141"/>
      <c r="LV1" s="141"/>
      <c r="LW1" s="141"/>
      <c r="LX1" s="141"/>
      <c r="LY1" s="141"/>
      <c r="LZ1" s="141"/>
      <c r="MA1" s="141"/>
      <c r="MB1" s="141"/>
      <c r="MC1" s="141"/>
      <c r="MD1" s="141"/>
      <c r="ME1" s="141"/>
      <c r="MF1" s="141"/>
      <c r="MG1" s="141"/>
      <c r="MH1" s="141"/>
      <c r="MI1" s="141"/>
      <c r="MJ1" s="141"/>
      <c r="MK1" s="141"/>
      <c r="ML1" s="141"/>
      <c r="MM1" s="141"/>
      <c r="MN1" s="141"/>
      <c r="MO1" s="141"/>
      <c r="MP1" s="141"/>
      <c r="MQ1" s="141"/>
      <c r="MR1" s="141"/>
      <c r="MS1" s="141"/>
      <c r="MT1" s="141"/>
      <c r="MU1" s="141"/>
      <c r="MV1" s="141"/>
      <c r="MW1" s="141"/>
      <c r="MX1" s="141"/>
      <c r="MY1" s="141"/>
      <c r="MZ1" s="141"/>
      <c r="NA1" s="141"/>
      <c r="NB1" s="141"/>
      <c r="NC1" s="141"/>
      <c r="ND1" s="141"/>
      <c r="NE1" s="141"/>
      <c r="NF1" s="141"/>
      <c r="NG1" s="141"/>
      <c r="NH1" s="141"/>
      <c r="NI1" s="141"/>
      <c r="NJ1" s="141"/>
      <c r="NK1" s="141"/>
      <c r="NL1" s="141"/>
      <c r="NM1" s="141"/>
      <c r="NN1" s="141"/>
      <c r="NO1" s="141"/>
      <c r="NP1" s="141"/>
      <c r="NQ1" s="141"/>
      <c r="NR1" s="141"/>
      <c r="NS1" s="141"/>
      <c r="NT1" s="141"/>
      <c r="NU1" s="141"/>
      <c r="NV1" s="141"/>
      <c r="NW1" s="141"/>
      <c r="NX1" s="141"/>
      <c r="NY1" s="141"/>
      <c r="NZ1" s="141"/>
      <c r="OA1" s="141"/>
      <c r="OB1" s="141"/>
      <c r="OC1" s="141"/>
      <c r="OD1" s="141"/>
      <c r="OE1" s="141"/>
      <c r="OF1" s="141"/>
      <c r="OG1" s="141"/>
      <c r="OH1" s="141"/>
      <c r="OI1" s="141"/>
      <c r="OJ1" s="141"/>
      <c r="OK1" s="141"/>
      <c r="OL1" s="141"/>
      <c r="OM1" s="141"/>
      <c r="ON1" s="141"/>
      <c r="OO1" s="141"/>
      <c r="OP1" s="141"/>
      <c r="OQ1" s="141"/>
      <c r="OR1" s="141"/>
      <c r="OS1" s="141"/>
      <c r="OT1" s="141"/>
      <c r="OU1" s="141"/>
      <c r="OV1" s="141"/>
      <c r="OW1" s="141"/>
      <c r="OX1" s="141"/>
      <c r="OY1" s="141"/>
      <c r="OZ1" s="141"/>
      <c r="PA1" s="141"/>
      <c r="PB1" s="141"/>
      <c r="PC1" s="141"/>
      <c r="PD1" s="141"/>
      <c r="PE1" s="141"/>
      <c r="PF1" s="141"/>
      <c r="PG1" s="141"/>
      <c r="PH1" s="141"/>
      <c r="PI1" s="141"/>
      <c r="PJ1" s="141"/>
      <c r="PK1" s="141"/>
      <c r="PL1" s="141"/>
      <c r="PM1" s="141"/>
      <c r="PN1" s="141"/>
      <c r="PO1" s="141"/>
      <c r="PP1" s="141"/>
      <c r="PQ1" s="141"/>
      <c r="PR1" s="141"/>
      <c r="PS1" s="141"/>
      <c r="PT1" s="141"/>
      <c r="PU1" s="141"/>
      <c r="PV1" s="141"/>
      <c r="PW1" s="141"/>
      <c r="PX1" s="141"/>
      <c r="PY1" s="141"/>
      <c r="PZ1" s="141"/>
      <c r="QA1" s="141"/>
      <c r="QB1" s="141"/>
      <c r="QC1" s="141"/>
      <c r="QD1" s="141"/>
      <c r="QE1" s="141"/>
      <c r="QF1" s="141"/>
      <c r="QG1" s="141"/>
      <c r="QH1" s="141"/>
      <c r="QI1" s="141"/>
      <c r="QJ1" s="141"/>
      <c r="QK1" s="141"/>
      <c r="QL1" s="141"/>
      <c r="QM1" s="141"/>
      <c r="QN1" s="141"/>
      <c r="QO1" s="141"/>
      <c r="QP1" s="141"/>
      <c r="QQ1" s="141"/>
      <c r="QR1" s="141"/>
      <c r="QS1" s="141"/>
      <c r="QT1" s="141"/>
      <c r="QU1" s="141"/>
      <c r="QV1" s="141"/>
      <c r="QW1" s="141"/>
      <c r="QX1" s="141"/>
      <c r="QY1" s="141"/>
      <c r="QZ1" s="141"/>
      <c r="RA1" s="141"/>
      <c r="RB1" s="141"/>
      <c r="RC1" s="141"/>
      <c r="RD1" s="141"/>
      <c r="RE1" s="141"/>
      <c r="RF1" s="141"/>
      <c r="RG1" s="141"/>
      <c r="RH1" s="141"/>
      <c r="RI1" s="141"/>
      <c r="RJ1" s="141"/>
      <c r="RK1" s="141"/>
      <c r="RL1" s="141"/>
      <c r="RM1" s="141"/>
      <c r="RN1" s="141"/>
      <c r="RO1" s="141"/>
      <c r="RP1" s="141"/>
      <c r="RQ1" s="141"/>
      <c r="RR1" s="141"/>
      <c r="RS1" s="141"/>
      <c r="RT1" s="141"/>
      <c r="RU1" s="141"/>
      <c r="RV1" s="141"/>
      <c r="RW1" s="141"/>
      <c r="RX1" s="141"/>
      <c r="RY1" s="141"/>
      <c r="RZ1" s="141"/>
      <c r="SA1" s="141"/>
      <c r="SB1" s="141"/>
      <c r="SC1" s="141"/>
      <c r="SD1" s="141"/>
      <c r="SE1" s="141"/>
      <c r="SF1" s="141"/>
      <c r="SG1" s="141"/>
      <c r="SH1" s="141"/>
      <c r="SI1" s="141"/>
      <c r="SJ1" s="141"/>
      <c r="SK1" s="141"/>
      <c r="SL1" s="141"/>
      <c r="SM1" s="141"/>
      <c r="SN1" s="141"/>
      <c r="SO1" s="141"/>
      <c r="SP1" s="141"/>
      <c r="SQ1" s="141"/>
      <c r="SR1" s="141"/>
      <c r="SS1" s="141"/>
      <c r="ST1" s="141"/>
      <c r="SU1" s="141"/>
      <c r="SV1" s="141"/>
      <c r="SW1" s="141"/>
      <c r="SX1" s="141"/>
      <c r="SY1" s="141"/>
      <c r="SZ1" s="141"/>
      <c r="TA1" s="141"/>
      <c r="TB1" s="141"/>
      <c r="TC1" s="141"/>
      <c r="TD1" s="141"/>
      <c r="TE1" s="141"/>
      <c r="TF1" s="141"/>
      <c r="TG1" s="141"/>
      <c r="TH1" s="141"/>
      <c r="TI1" s="141"/>
      <c r="TJ1" s="141"/>
      <c r="TK1" s="141"/>
      <c r="TL1" s="141"/>
      <c r="TM1" s="141"/>
      <c r="TN1" s="141"/>
      <c r="TO1" s="141"/>
      <c r="TP1" s="141"/>
      <c r="TQ1" s="141"/>
      <c r="TR1" s="141"/>
      <c r="TS1" s="141"/>
      <c r="TT1" s="141"/>
      <c r="TU1" s="141"/>
      <c r="TV1" s="141"/>
      <c r="TW1" s="141"/>
      <c r="TX1" s="141"/>
      <c r="TY1" s="141"/>
      <c r="TZ1" s="141"/>
      <c r="UA1" s="141"/>
      <c r="UB1" s="141"/>
      <c r="UC1" s="141"/>
      <c r="UD1" s="141"/>
      <c r="UE1" s="141"/>
      <c r="UF1" s="141"/>
      <c r="UG1" s="141"/>
      <c r="UH1" s="141"/>
      <c r="UI1" s="141"/>
      <c r="UJ1" s="141"/>
      <c r="UK1" s="141"/>
      <c r="UL1" s="141"/>
      <c r="UM1" s="141"/>
      <c r="UN1" s="141"/>
      <c r="UO1" s="141"/>
      <c r="UP1" s="141"/>
      <c r="UQ1" s="141"/>
      <c r="UR1" s="141"/>
      <c r="US1" s="141"/>
      <c r="UT1" s="141"/>
      <c r="UU1" s="141"/>
      <c r="UV1" s="141"/>
      <c r="UW1" s="141"/>
      <c r="UX1" s="141"/>
      <c r="UY1" s="141"/>
      <c r="UZ1" s="141"/>
      <c r="VA1" s="141"/>
      <c r="VB1" s="141"/>
      <c r="VC1" s="141"/>
      <c r="VD1" s="141"/>
      <c r="VE1" s="141"/>
      <c r="VF1" s="141"/>
      <c r="VG1" s="141"/>
      <c r="VH1" s="141"/>
      <c r="VI1" s="141"/>
      <c r="VJ1" s="141"/>
      <c r="VK1" s="141"/>
      <c r="VL1" s="141"/>
      <c r="VM1" s="141"/>
      <c r="VN1" s="141"/>
      <c r="VO1" s="141"/>
      <c r="VP1" s="141"/>
      <c r="VQ1" s="141"/>
      <c r="VR1" s="141"/>
      <c r="VS1" s="141"/>
      <c r="VT1" s="141"/>
      <c r="VU1" s="141"/>
      <c r="VV1" s="141"/>
      <c r="VW1" s="141"/>
      <c r="VX1" s="141"/>
      <c r="VY1" s="141"/>
      <c r="VZ1" s="141"/>
      <c r="WA1" s="141"/>
      <c r="WB1" s="141"/>
      <c r="WC1" s="141"/>
      <c r="WD1" s="141"/>
      <c r="WE1" s="141"/>
      <c r="WF1" s="141"/>
      <c r="WG1" s="141"/>
      <c r="WH1" s="141"/>
      <c r="WI1" s="141"/>
      <c r="WJ1" s="141"/>
      <c r="WK1" s="141"/>
      <c r="WL1" s="141"/>
      <c r="WM1" s="141"/>
      <c r="WN1" s="141"/>
      <c r="WO1" s="141"/>
      <c r="WP1" s="141"/>
      <c r="WQ1" s="141"/>
      <c r="WR1" s="141"/>
      <c r="WS1" s="141"/>
      <c r="WT1" s="141"/>
      <c r="WU1" s="141"/>
      <c r="WV1" s="141"/>
      <c r="WW1" s="141"/>
      <c r="WX1" s="141"/>
      <c r="WY1" s="141"/>
      <c r="WZ1" s="141"/>
      <c r="XA1" s="141"/>
      <c r="XB1" s="141"/>
      <c r="XC1" s="141"/>
      <c r="XD1" s="141"/>
      <c r="XE1" s="141"/>
      <c r="XF1" s="141"/>
      <c r="XG1" s="141"/>
      <c r="XH1" s="141"/>
      <c r="XI1" s="141"/>
      <c r="XJ1" s="141"/>
      <c r="XK1" s="141"/>
      <c r="XL1" s="141"/>
      <c r="XM1" s="141"/>
      <c r="XN1" s="141"/>
      <c r="XO1" s="141"/>
      <c r="XP1" s="141"/>
      <c r="XQ1" s="141"/>
      <c r="XR1" s="141"/>
      <c r="XS1" s="141"/>
      <c r="XT1" s="141"/>
      <c r="XU1" s="141"/>
      <c r="XV1" s="141"/>
      <c r="XW1" s="141"/>
      <c r="XX1" s="141"/>
      <c r="XY1" s="141"/>
      <c r="XZ1" s="141"/>
      <c r="YA1" s="141"/>
      <c r="YB1" s="141"/>
      <c r="YC1" s="141"/>
      <c r="YD1" s="141"/>
      <c r="YE1" s="141"/>
      <c r="YF1" s="141"/>
      <c r="YG1" s="141"/>
      <c r="YH1" s="141"/>
      <c r="YI1" s="141"/>
      <c r="YJ1" s="141"/>
      <c r="YK1" s="141"/>
      <c r="YL1" s="141"/>
      <c r="YM1" s="141"/>
      <c r="YN1" s="141"/>
      <c r="YO1" s="141"/>
      <c r="YP1" s="141"/>
      <c r="YQ1" s="141"/>
      <c r="YR1" s="141"/>
      <c r="YS1" s="141"/>
      <c r="YT1" s="141"/>
      <c r="YU1" s="141"/>
      <c r="YV1" s="141"/>
      <c r="YW1" s="141"/>
      <c r="YX1" s="141"/>
      <c r="YY1" s="141"/>
      <c r="YZ1" s="141"/>
      <c r="ZA1" s="141"/>
      <c r="ZB1" s="141"/>
      <c r="ZC1" s="141"/>
      <c r="ZD1" s="141"/>
      <c r="ZE1" s="141"/>
      <c r="ZF1" s="141"/>
      <c r="ZG1" s="141"/>
      <c r="ZH1" s="141"/>
      <c r="ZI1" s="141"/>
      <c r="ZJ1" s="141"/>
      <c r="ZK1" s="141"/>
      <c r="ZL1" s="141"/>
      <c r="ZM1" s="141"/>
      <c r="ZN1" s="141"/>
      <c r="ZO1" s="141"/>
      <c r="ZP1" s="141"/>
      <c r="ZQ1" s="141"/>
      <c r="ZR1" s="141"/>
      <c r="ZS1" s="141"/>
      <c r="ZT1" s="141"/>
      <c r="ZU1" s="141"/>
      <c r="ZV1" s="141"/>
      <c r="ZW1" s="141"/>
      <c r="ZX1" s="141"/>
      <c r="ZY1" s="141"/>
      <c r="ZZ1" s="141"/>
      <c r="AAA1" s="141"/>
      <c r="AAB1" s="141"/>
      <c r="AAC1" s="141"/>
      <c r="AAD1" s="141"/>
      <c r="AAE1" s="141"/>
      <c r="AAF1" s="141"/>
      <c r="AAG1" s="141"/>
      <c r="AAH1" s="141"/>
      <c r="AAI1" s="141"/>
      <c r="AAJ1" s="141"/>
      <c r="AAK1" s="141"/>
      <c r="AAL1" s="141"/>
      <c r="AAM1" s="141"/>
      <c r="AAN1" s="141"/>
      <c r="AAO1" s="141"/>
      <c r="AAP1" s="141"/>
      <c r="AAQ1" s="141"/>
      <c r="AAR1" s="141"/>
      <c r="AAS1" s="141"/>
      <c r="AAT1" s="141"/>
      <c r="AAU1" s="141"/>
      <c r="AAV1" s="141"/>
      <c r="AAW1" s="141"/>
      <c r="AAX1" s="141"/>
      <c r="AAY1" s="141"/>
      <c r="AAZ1" s="141"/>
      <c r="ABA1" s="141"/>
      <c r="ABB1" s="141"/>
      <c r="ABC1" s="141"/>
      <c r="ABD1" s="141"/>
      <c r="ABE1" s="141"/>
      <c r="ABF1" s="141"/>
      <c r="ABG1" s="141"/>
      <c r="ABH1" s="141"/>
      <c r="ABI1" s="141"/>
      <c r="ABJ1" s="141"/>
      <c r="ABK1" s="141"/>
      <c r="ABL1" s="141"/>
      <c r="ABM1" s="141"/>
      <c r="ABN1" s="141"/>
      <c r="ABO1" s="141"/>
      <c r="ABP1" s="141"/>
      <c r="ABQ1" s="141"/>
      <c r="ABR1" s="141"/>
      <c r="ABS1" s="141"/>
      <c r="ABT1" s="141"/>
      <c r="ABU1" s="141"/>
      <c r="ABV1" s="141"/>
      <c r="ABW1" s="141"/>
      <c r="ABX1" s="141"/>
      <c r="ABY1" s="141"/>
      <c r="ABZ1" s="141"/>
      <c r="ACA1" s="141"/>
      <c r="ACB1" s="141"/>
      <c r="ACC1" s="141"/>
      <c r="ACD1" s="141"/>
      <c r="ACE1" s="141"/>
      <c r="ACF1" s="141"/>
      <c r="ACG1" s="141"/>
      <c r="ACH1" s="141"/>
      <c r="ACI1" s="141"/>
      <c r="ACJ1" s="141"/>
      <c r="ACK1" s="141"/>
      <c r="ACL1" s="141"/>
      <c r="ACM1" s="141"/>
      <c r="ACN1" s="141"/>
      <c r="ACO1" s="141"/>
      <c r="ACP1" s="141"/>
      <c r="ACQ1" s="141"/>
      <c r="ACR1" s="141"/>
      <c r="ACS1" s="141"/>
      <c r="ACT1" s="141"/>
      <c r="ACU1" s="141"/>
      <c r="ACV1" s="141"/>
      <c r="ACW1" s="141"/>
      <c r="ACX1" s="141"/>
      <c r="ACY1" s="141"/>
      <c r="ACZ1" s="141"/>
      <c r="ADA1" s="141"/>
      <c r="ADB1" s="141"/>
      <c r="ADC1" s="141"/>
      <c r="ADD1" s="141"/>
      <c r="ADE1" s="141"/>
      <c r="ADF1" s="141"/>
      <c r="ADG1" s="141"/>
      <c r="ADH1" s="141"/>
      <c r="ADI1" s="141"/>
      <c r="ADJ1" s="141"/>
      <c r="ADK1" s="141"/>
      <c r="ADL1" s="141"/>
      <c r="ADM1" s="141"/>
      <c r="ADN1" s="141"/>
      <c r="ADO1" s="141"/>
      <c r="ADP1" s="141"/>
      <c r="ADQ1" s="141"/>
      <c r="ADR1" s="141"/>
      <c r="ADS1" s="141"/>
      <c r="ADT1" s="141"/>
      <c r="ADU1" s="141"/>
      <c r="ADV1" s="141"/>
      <c r="ADW1" s="141"/>
      <c r="ADX1" s="141"/>
      <c r="ADY1" s="141"/>
      <c r="ADZ1" s="141"/>
      <c r="AEA1" s="141"/>
      <c r="AEB1" s="141"/>
      <c r="AEC1" s="141"/>
      <c r="AED1" s="141"/>
      <c r="AEE1" s="141"/>
      <c r="AEF1" s="141"/>
      <c r="AEG1" s="141"/>
      <c r="AEH1" s="141"/>
      <c r="AEI1" s="141"/>
      <c r="AEJ1" s="141"/>
      <c r="AEK1" s="141"/>
      <c r="AEL1" s="141"/>
      <c r="AEM1" s="141"/>
      <c r="AEN1" s="141"/>
      <c r="AEO1" s="141"/>
      <c r="AEP1" s="141"/>
      <c r="AEQ1" s="141"/>
      <c r="AER1" s="141"/>
      <c r="AES1" s="141"/>
      <c r="AET1" s="141"/>
      <c r="AEU1" s="141"/>
      <c r="AEV1" s="141"/>
      <c r="AEW1" s="141"/>
      <c r="AEX1" s="141"/>
      <c r="AEY1" s="141"/>
      <c r="AEZ1" s="141"/>
      <c r="AFA1" s="141"/>
      <c r="AFB1" s="141"/>
      <c r="AFC1" s="141"/>
      <c r="AFD1" s="141"/>
      <c r="AFE1" s="141"/>
      <c r="AFF1" s="141"/>
      <c r="AFG1" s="141"/>
      <c r="AFH1" s="141"/>
      <c r="AFI1" s="141"/>
      <c r="AFJ1" s="141"/>
      <c r="AFK1" s="141"/>
      <c r="AFL1" s="141"/>
      <c r="AFM1" s="141"/>
      <c r="AFN1" s="141"/>
      <c r="AFO1" s="141"/>
      <c r="AFP1" s="141"/>
      <c r="AFQ1" s="141"/>
      <c r="AFR1" s="141"/>
      <c r="AFS1" s="141"/>
      <c r="AFT1" s="141"/>
      <c r="AFU1" s="141"/>
      <c r="AFV1" s="141"/>
      <c r="AFW1" s="141"/>
      <c r="AFX1" s="141"/>
      <c r="AFY1" s="141"/>
      <c r="AFZ1" s="141"/>
      <c r="AGA1" s="141"/>
      <c r="AGB1" s="141"/>
      <c r="AGC1" s="141"/>
      <c r="AGD1" s="141"/>
      <c r="AGE1" s="141"/>
      <c r="AGF1" s="141"/>
      <c r="AGG1" s="141"/>
      <c r="AGH1" s="141"/>
      <c r="AGI1" s="141"/>
      <c r="AGJ1" s="141"/>
      <c r="AGK1" s="141"/>
      <c r="AGL1" s="141"/>
      <c r="AGM1" s="141"/>
      <c r="AGN1" s="141"/>
      <c r="AGO1" s="141"/>
      <c r="AGP1" s="141"/>
      <c r="AGQ1" s="141"/>
      <c r="AGR1" s="141"/>
      <c r="AGS1" s="141"/>
      <c r="AGT1" s="141"/>
      <c r="AGU1" s="141"/>
      <c r="AGV1" s="141"/>
      <c r="AGW1" s="141"/>
      <c r="AGX1" s="141"/>
      <c r="AGY1" s="141"/>
      <c r="AGZ1" s="141"/>
      <c r="AHA1" s="141"/>
      <c r="AHB1" s="141"/>
      <c r="AHC1" s="141"/>
      <c r="AHD1" s="141"/>
      <c r="AHE1" s="141"/>
      <c r="AHF1" s="141"/>
      <c r="AHG1" s="141"/>
      <c r="AHH1" s="141"/>
      <c r="AHI1" s="141"/>
      <c r="AHJ1" s="141"/>
      <c r="AHK1" s="141"/>
      <c r="AHL1" s="141"/>
      <c r="AHM1" s="141"/>
      <c r="AHN1" s="141"/>
      <c r="AHO1" s="141"/>
      <c r="AHP1" s="141"/>
      <c r="AHQ1" s="141"/>
      <c r="AHR1" s="141"/>
      <c r="AHS1" s="141"/>
      <c r="AHT1" s="141"/>
      <c r="AHU1" s="141"/>
      <c r="AHV1" s="141"/>
      <c r="AHW1" s="141"/>
      <c r="AHX1" s="141"/>
      <c r="AHY1" s="141"/>
      <c r="AHZ1" s="141"/>
      <c r="AIA1" s="141"/>
      <c r="AIB1" s="141"/>
      <c r="AIC1" s="141"/>
      <c r="AID1" s="141"/>
      <c r="AIE1" s="141"/>
      <c r="AIF1" s="141"/>
      <c r="AIG1" s="141"/>
      <c r="AIH1" s="141"/>
      <c r="AII1" s="141"/>
      <c r="AIJ1" s="141"/>
      <c r="AIK1" s="141"/>
      <c r="AIL1" s="141"/>
      <c r="AIM1" s="141"/>
      <c r="AIN1" s="141"/>
      <c r="AIO1" s="141"/>
      <c r="AIP1" s="141"/>
      <c r="AIQ1" s="141"/>
      <c r="AIR1" s="141"/>
      <c r="AIS1" s="141"/>
      <c r="AIT1" s="141"/>
      <c r="AIU1" s="141"/>
      <c r="AIV1" s="141"/>
      <c r="AIW1" s="141"/>
      <c r="AIX1" s="141"/>
      <c r="AIY1" s="141"/>
      <c r="AIZ1" s="141"/>
      <c r="AJA1" s="141"/>
      <c r="AJB1" s="141"/>
      <c r="AJC1" s="141"/>
      <c r="AJD1" s="141"/>
      <c r="AJE1" s="141"/>
      <c r="AJF1" s="141"/>
      <c r="AJG1" s="141"/>
      <c r="AJH1" s="141"/>
      <c r="AJI1" s="141"/>
      <c r="AJJ1" s="141"/>
      <c r="AJK1" s="141"/>
      <c r="AJL1" s="141"/>
      <c r="AJM1" s="141"/>
      <c r="AJN1" s="141"/>
      <c r="AJO1" s="141"/>
      <c r="AJP1" s="141"/>
      <c r="AJQ1" s="141"/>
      <c r="AJR1" s="141"/>
      <c r="AJS1" s="141"/>
      <c r="AJT1" s="141"/>
      <c r="AJU1" s="141"/>
      <c r="AJV1" s="141"/>
      <c r="AJW1" s="141"/>
      <c r="AJX1" s="141"/>
      <c r="AJY1" s="141"/>
      <c r="AJZ1" s="141"/>
      <c r="AKA1" s="141"/>
      <c r="AKB1" s="141"/>
      <c r="AKC1" s="141"/>
      <c r="AKD1" s="141"/>
      <c r="AKE1" s="141"/>
      <c r="AKF1" s="141"/>
      <c r="AKG1" s="141"/>
      <c r="AKH1" s="141"/>
      <c r="AKI1" s="141"/>
      <c r="AKJ1" s="141"/>
      <c r="AKK1" s="141"/>
      <c r="AKL1" s="141"/>
      <c r="AKM1" s="141"/>
      <c r="AKN1" s="141"/>
      <c r="AKO1" s="141"/>
      <c r="AKP1" s="141"/>
      <c r="AKQ1" s="141"/>
      <c r="AKR1" s="141"/>
      <c r="AKS1" s="141"/>
      <c r="AKT1" s="141"/>
      <c r="AKU1" s="141"/>
      <c r="AKV1" s="141"/>
      <c r="AKW1" s="141"/>
      <c r="AKX1" s="141"/>
      <c r="AKY1" s="141"/>
      <c r="AKZ1" s="141"/>
      <c r="ALA1" s="141"/>
      <c r="ALB1" s="141"/>
      <c r="ALC1" s="141"/>
      <c r="ALD1" s="141"/>
      <c r="ALE1" s="141"/>
      <c r="ALF1" s="141"/>
      <c r="ALG1" s="141"/>
      <c r="ALH1" s="141"/>
      <c r="ALI1" s="141"/>
      <c r="ALJ1" s="141"/>
      <c r="ALK1" s="141"/>
      <c r="ALL1" s="141"/>
      <c r="ALM1" s="141"/>
      <c r="ALN1" s="141"/>
      <c r="ALO1" s="141"/>
      <c r="ALP1" s="141"/>
      <c r="ALQ1" s="141"/>
      <c r="ALR1" s="141"/>
      <c r="ALS1" s="141"/>
      <c r="ALT1" s="141"/>
      <c r="ALU1" s="141"/>
      <c r="ALV1" s="141"/>
      <c r="ALW1" s="141"/>
      <c r="ALX1" s="141"/>
      <c r="ALY1" s="141"/>
      <c r="ALZ1" s="141"/>
      <c r="AMA1" s="141"/>
      <c r="AMB1" s="141"/>
      <c r="AMC1" s="141"/>
      <c r="AMD1" s="141"/>
      <c r="AME1" s="141"/>
      <c r="AMF1" s="141"/>
      <c r="AMG1" s="141"/>
      <c r="AMH1" s="141"/>
      <c r="AMI1" s="141"/>
      <c r="AMJ1" s="141"/>
      <c r="AMK1" s="141"/>
      <c r="AML1" s="141"/>
      <c r="AMM1" s="141"/>
      <c r="AMN1" s="141"/>
      <c r="AMO1" s="141"/>
      <c r="AMP1" s="141"/>
      <c r="AMQ1" s="141"/>
      <c r="AMR1" s="141"/>
      <c r="AMS1" s="141"/>
      <c r="AMT1" s="141"/>
      <c r="AMU1" s="141"/>
      <c r="AMV1" s="141"/>
      <c r="AMW1" s="141"/>
      <c r="AMX1" s="141"/>
      <c r="AMY1" s="141"/>
      <c r="AMZ1" s="141"/>
      <c r="ANA1" s="141"/>
      <c r="ANB1" s="141"/>
      <c r="ANC1" s="141"/>
      <c r="AND1" s="141"/>
      <c r="ANE1" s="141"/>
      <c r="ANF1" s="141"/>
      <c r="ANG1" s="141"/>
      <c r="ANH1" s="141"/>
      <c r="ANI1" s="141"/>
      <c r="ANJ1" s="141"/>
      <c r="ANK1" s="141"/>
      <c r="ANL1" s="141"/>
      <c r="ANM1" s="141"/>
      <c r="ANN1" s="141"/>
      <c r="ANO1" s="141"/>
      <c r="ANP1" s="141"/>
      <c r="ANQ1" s="141"/>
      <c r="ANR1" s="141"/>
      <c r="ANS1" s="141"/>
      <c r="ANT1" s="141"/>
      <c r="ANU1" s="141"/>
      <c r="ANV1" s="141"/>
      <c r="ANW1" s="141"/>
      <c r="ANX1" s="141"/>
      <c r="ANY1" s="141"/>
      <c r="ANZ1" s="141"/>
      <c r="AOA1" s="141"/>
      <c r="AOB1" s="141"/>
      <c r="AOC1" s="141"/>
      <c r="AOD1" s="141"/>
      <c r="AOE1" s="141"/>
      <c r="AOF1" s="141"/>
      <c r="AOG1" s="141"/>
      <c r="AOH1" s="141"/>
      <c r="AOI1" s="141"/>
      <c r="AOJ1" s="141"/>
      <c r="AOK1" s="141"/>
      <c r="AOL1" s="141"/>
      <c r="AOM1" s="141"/>
      <c r="AON1" s="141"/>
      <c r="AOO1" s="141"/>
      <c r="AOP1" s="141"/>
      <c r="AOQ1" s="141"/>
      <c r="AOR1" s="141"/>
      <c r="AOS1" s="141"/>
      <c r="AOT1" s="141"/>
      <c r="AOU1" s="141"/>
      <c r="AOV1" s="141"/>
      <c r="AOW1" s="141"/>
      <c r="AOX1" s="141"/>
      <c r="AOY1" s="141"/>
      <c r="AOZ1" s="141"/>
      <c r="APA1" s="141"/>
      <c r="APB1" s="141"/>
      <c r="APC1" s="141"/>
      <c r="APD1" s="141"/>
      <c r="APE1" s="141"/>
      <c r="APF1" s="141"/>
      <c r="APG1" s="141"/>
      <c r="APH1" s="141"/>
      <c r="API1" s="141"/>
      <c r="APJ1" s="141"/>
      <c r="APK1" s="141"/>
      <c r="APL1" s="141"/>
      <c r="APM1" s="141"/>
      <c r="APN1" s="141"/>
      <c r="APO1" s="141"/>
      <c r="APP1" s="141"/>
      <c r="APQ1" s="141"/>
      <c r="APR1" s="141"/>
      <c r="APS1" s="141"/>
      <c r="APT1" s="141"/>
      <c r="APU1" s="141"/>
      <c r="APV1" s="141"/>
      <c r="APW1" s="141"/>
      <c r="APX1" s="141"/>
      <c r="APY1" s="141"/>
      <c r="APZ1" s="141"/>
      <c r="AQA1" s="141"/>
      <c r="AQB1" s="141"/>
      <c r="AQC1" s="141"/>
      <c r="AQD1" s="141"/>
      <c r="AQE1" s="141"/>
      <c r="AQF1" s="141"/>
      <c r="AQG1" s="141"/>
      <c r="AQH1" s="141"/>
      <c r="AQI1" s="141"/>
      <c r="AQJ1" s="141"/>
      <c r="AQK1" s="141"/>
      <c r="AQL1" s="141"/>
      <c r="AQM1" s="141"/>
      <c r="AQN1" s="141"/>
      <c r="AQO1" s="141"/>
      <c r="AQP1" s="141"/>
      <c r="AQQ1" s="141"/>
      <c r="AQR1" s="141"/>
      <c r="AQS1" s="141"/>
      <c r="AQT1" s="141"/>
      <c r="AQU1" s="141"/>
      <c r="AQV1" s="141"/>
      <c r="AQW1" s="141"/>
      <c r="AQX1" s="141"/>
      <c r="AQY1" s="141"/>
      <c r="AQZ1" s="141"/>
      <c r="ARA1" s="141"/>
      <c r="ARB1" s="141"/>
      <c r="ARC1" s="141"/>
      <c r="ARD1" s="141"/>
      <c r="ARE1" s="141"/>
      <c r="ARF1" s="141"/>
      <c r="ARG1" s="141"/>
      <c r="ARH1" s="141"/>
      <c r="ARI1" s="141"/>
      <c r="ARJ1" s="141"/>
      <c r="ARK1" s="141"/>
      <c r="ARL1" s="141"/>
      <c r="ARM1" s="141"/>
      <c r="ARN1" s="141"/>
      <c r="ARO1" s="141"/>
      <c r="ARP1" s="141"/>
      <c r="ARQ1" s="141"/>
      <c r="ARR1" s="141"/>
      <c r="ARS1" s="141"/>
      <c r="ART1" s="141"/>
      <c r="ARU1" s="141"/>
      <c r="ARV1" s="141"/>
      <c r="ARW1" s="141"/>
      <c r="ARX1" s="141"/>
      <c r="ARY1" s="141"/>
      <c r="ARZ1" s="141"/>
      <c r="ASA1" s="141"/>
      <c r="ASB1" s="141"/>
      <c r="ASC1" s="141"/>
      <c r="ASD1" s="141"/>
      <c r="ASE1" s="141"/>
      <c r="ASF1" s="141"/>
      <c r="ASG1" s="141"/>
      <c r="ASH1" s="141"/>
      <c r="ASI1" s="141"/>
      <c r="ASJ1" s="141"/>
      <c r="ASK1" s="141"/>
      <c r="ASL1" s="141"/>
      <c r="ASM1" s="141"/>
      <c r="ASN1" s="141"/>
      <c r="ASO1" s="141"/>
      <c r="ASP1" s="141"/>
      <c r="ASQ1" s="141"/>
      <c r="ASR1" s="141"/>
      <c r="ASS1" s="141"/>
      <c r="AST1" s="141"/>
      <c r="ASU1" s="141"/>
      <c r="ASV1" s="141"/>
      <c r="ASW1" s="141"/>
      <c r="ASX1" s="141"/>
      <c r="ASY1" s="141"/>
      <c r="ASZ1" s="141"/>
      <c r="ATA1" s="141"/>
      <c r="ATB1" s="141"/>
      <c r="ATC1" s="141"/>
      <c r="ATD1" s="141"/>
      <c r="ATE1" s="141"/>
      <c r="ATF1" s="141"/>
      <c r="ATG1" s="141"/>
      <c r="ATH1" s="141"/>
      <c r="ATI1" s="141"/>
      <c r="ATJ1" s="141"/>
      <c r="ATK1" s="141"/>
      <c r="ATL1" s="141"/>
      <c r="ATM1" s="141"/>
      <c r="ATN1" s="141"/>
      <c r="ATO1" s="141"/>
      <c r="ATP1" s="141"/>
      <c r="ATQ1" s="141"/>
      <c r="ATR1" s="141"/>
      <c r="ATS1" s="141"/>
      <c r="ATT1" s="141"/>
      <c r="ATU1" s="141"/>
      <c r="ATV1" s="141"/>
      <c r="ATW1" s="141"/>
      <c r="ATX1" s="141"/>
      <c r="ATY1" s="141"/>
      <c r="ATZ1" s="141"/>
      <c r="AUA1" s="141"/>
      <c r="AUB1" s="141"/>
      <c r="AUC1" s="141"/>
      <c r="AUD1" s="141"/>
      <c r="AUE1" s="141"/>
      <c r="AUF1" s="141"/>
      <c r="AUG1" s="141"/>
      <c r="AUH1" s="141"/>
      <c r="AUI1" s="141"/>
      <c r="AUJ1" s="141"/>
      <c r="AUK1" s="141"/>
      <c r="AUL1" s="141"/>
      <c r="AUM1" s="141"/>
      <c r="AUN1" s="141"/>
      <c r="AUO1" s="141"/>
      <c r="AUP1" s="141"/>
      <c r="AUQ1" s="141"/>
      <c r="AUR1" s="141"/>
      <c r="AUS1" s="141"/>
      <c r="AUT1" s="141"/>
      <c r="AUU1" s="141"/>
      <c r="AUV1" s="141"/>
      <c r="AUW1" s="141"/>
      <c r="AUX1" s="141"/>
      <c r="AUY1" s="141"/>
      <c r="AUZ1" s="141"/>
      <c r="AVA1" s="141"/>
      <c r="AVB1" s="141"/>
      <c r="AVC1" s="141"/>
      <c r="AVD1" s="141"/>
      <c r="AVE1" s="141"/>
      <c r="AVF1" s="141"/>
      <c r="AVG1" s="141"/>
      <c r="AVH1" s="141"/>
      <c r="AVI1" s="141"/>
      <c r="AVJ1" s="141"/>
      <c r="AVK1" s="141"/>
      <c r="AVL1" s="141"/>
      <c r="AVM1" s="141"/>
      <c r="AVN1" s="141"/>
      <c r="AVO1" s="141"/>
      <c r="AVP1" s="141"/>
      <c r="AVQ1" s="141"/>
      <c r="AVR1" s="141"/>
      <c r="AVS1" s="141"/>
      <c r="AVT1" s="141"/>
      <c r="AVU1" s="141"/>
      <c r="AVV1" s="141"/>
      <c r="AVW1" s="141"/>
      <c r="AVX1" s="141"/>
      <c r="AVY1" s="141"/>
      <c r="AVZ1" s="141"/>
      <c r="AWA1" s="141"/>
      <c r="AWB1" s="141"/>
      <c r="AWC1" s="141"/>
      <c r="AWD1" s="141"/>
      <c r="AWE1" s="141"/>
      <c r="AWF1" s="141"/>
      <c r="AWG1" s="141"/>
      <c r="AWH1" s="141"/>
      <c r="AWI1" s="141"/>
      <c r="AWJ1" s="141"/>
      <c r="AWK1" s="141"/>
      <c r="AWL1" s="141"/>
      <c r="AWM1" s="141"/>
      <c r="AWN1" s="141"/>
      <c r="AWO1" s="141"/>
      <c r="AWP1" s="141"/>
      <c r="AWQ1" s="141"/>
      <c r="AWR1" s="141"/>
      <c r="AWS1" s="141"/>
      <c r="AWT1" s="141"/>
      <c r="AWU1" s="141"/>
      <c r="AWV1" s="141"/>
      <c r="AWW1" s="141"/>
      <c r="AWX1" s="141"/>
      <c r="AWY1" s="141"/>
      <c r="AWZ1" s="141"/>
      <c r="AXA1" s="141"/>
      <c r="AXB1" s="141"/>
      <c r="AXC1" s="141"/>
      <c r="AXD1" s="141"/>
      <c r="AXE1" s="141"/>
      <c r="AXF1" s="141"/>
      <c r="AXG1" s="141"/>
      <c r="AXH1" s="141"/>
      <c r="AXI1" s="141"/>
      <c r="AXJ1" s="141"/>
      <c r="AXK1" s="141"/>
      <c r="AXL1" s="141"/>
      <c r="AXM1" s="141"/>
      <c r="AXN1" s="141"/>
      <c r="AXO1" s="141"/>
      <c r="AXP1" s="141"/>
      <c r="AXQ1" s="141"/>
      <c r="AXR1" s="141"/>
      <c r="AXS1" s="141"/>
      <c r="AXT1" s="141"/>
      <c r="AXU1" s="141"/>
      <c r="AXV1" s="141"/>
      <c r="AXW1" s="141"/>
      <c r="AXX1" s="141"/>
      <c r="AXY1" s="141"/>
      <c r="AXZ1" s="141"/>
      <c r="AYA1" s="141"/>
      <c r="AYB1" s="141"/>
      <c r="AYC1" s="141"/>
      <c r="AYD1" s="141"/>
      <c r="AYE1" s="141"/>
      <c r="AYF1" s="141"/>
      <c r="AYG1" s="141"/>
      <c r="AYH1" s="141"/>
      <c r="AYI1" s="141"/>
      <c r="AYJ1" s="141"/>
      <c r="AYK1" s="141"/>
      <c r="AYL1" s="141"/>
      <c r="AYM1" s="141"/>
      <c r="AYN1" s="141"/>
      <c r="AYO1" s="141"/>
      <c r="AYP1" s="141"/>
      <c r="AYQ1" s="141"/>
      <c r="AYR1" s="141"/>
      <c r="AYS1" s="141"/>
      <c r="AYT1" s="141"/>
      <c r="AYU1" s="141"/>
      <c r="AYV1" s="141"/>
      <c r="AYW1" s="141"/>
      <c r="AYX1" s="141"/>
      <c r="AYY1" s="141"/>
      <c r="AYZ1" s="141"/>
      <c r="AZA1" s="141"/>
      <c r="AZB1" s="141"/>
      <c r="AZC1" s="141"/>
      <c r="AZD1" s="141"/>
      <c r="AZE1" s="141"/>
      <c r="AZF1" s="141"/>
      <c r="AZG1" s="141"/>
      <c r="AZH1" s="141"/>
      <c r="AZI1" s="141"/>
      <c r="AZJ1" s="141"/>
      <c r="AZK1" s="141"/>
      <c r="AZL1" s="141"/>
      <c r="AZM1" s="141"/>
      <c r="AZN1" s="141"/>
      <c r="AZO1" s="141"/>
      <c r="AZP1" s="141"/>
      <c r="AZQ1" s="141"/>
      <c r="AZR1" s="141"/>
      <c r="AZS1" s="141"/>
      <c r="AZT1" s="141"/>
      <c r="AZU1" s="141"/>
      <c r="AZV1" s="141"/>
      <c r="AZW1" s="141"/>
      <c r="AZX1" s="141"/>
      <c r="AZY1" s="141"/>
      <c r="AZZ1" s="141"/>
      <c r="BAA1" s="141"/>
      <c r="BAB1" s="141"/>
      <c r="BAC1" s="141"/>
      <c r="BAD1" s="141"/>
      <c r="BAE1" s="141"/>
      <c r="BAF1" s="141"/>
      <c r="BAG1" s="141"/>
      <c r="BAH1" s="141"/>
      <c r="BAI1" s="141"/>
      <c r="BAJ1" s="141"/>
      <c r="BAK1" s="141"/>
      <c r="BAL1" s="141"/>
      <c r="BAM1" s="141"/>
      <c r="BAN1" s="141"/>
      <c r="BAO1" s="141"/>
      <c r="BAP1" s="141"/>
      <c r="BAQ1" s="141"/>
      <c r="BAR1" s="141"/>
      <c r="BAS1" s="141"/>
      <c r="BAT1" s="141"/>
      <c r="BAU1" s="141"/>
      <c r="BAV1" s="141"/>
      <c r="BAW1" s="141"/>
      <c r="BAX1" s="141"/>
      <c r="BAY1" s="141"/>
      <c r="BAZ1" s="141"/>
      <c r="BBA1" s="141"/>
      <c r="BBB1" s="141"/>
      <c r="BBC1" s="141"/>
      <c r="BBD1" s="141"/>
      <c r="BBE1" s="141"/>
      <c r="BBF1" s="141"/>
      <c r="BBG1" s="141"/>
      <c r="BBH1" s="141"/>
      <c r="BBI1" s="141"/>
      <c r="BBJ1" s="141"/>
      <c r="BBK1" s="141"/>
      <c r="BBL1" s="141"/>
      <c r="BBM1" s="141"/>
      <c r="BBN1" s="141"/>
      <c r="BBO1" s="141"/>
      <c r="BBP1" s="141"/>
      <c r="BBQ1" s="141"/>
      <c r="BBR1" s="141"/>
      <c r="BBS1" s="141"/>
      <c r="BBT1" s="141"/>
      <c r="BBU1" s="141"/>
      <c r="BBV1" s="141"/>
      <c r="BBW1" s="141"/>
      <c r="BBX1" s="141"/>
      <c r="BBY1" s="141"/>
      <c r="BBZ1" s="141"/>
      <c r="BCA1" s="141"/>
      <c r="BCB1" s="141"/>
      <c r="BCC1" s="141"/>
      <c r="BCD1" s="141"/>
      <c r="BCE1" s="141"/>
      <c r="BCF1" s="141"/>
      <c r="BCG1" s="141"/>
      <c r="BCH1" s="141"/>
      <c r="BCI1" s="141"/>
      <c r="BCJ1" s="141"/>
      <c r="BCK1" s="141"/>
      <c r="BCL1" s="141"/>
      <c r="BCM1" s="141"/>
      <c r="BCN1" s="141"/>
      <c r="BCO1" s="141"/>
      <c r="BCP1" s="141"/>
      <c r="BCQ1" s="141"/>
      <c r="BCR1" s="141"/>
      <c r="BCS1" s="141"/>
      <c r="BCT1" s="141"/>
      <c r="BCU1" s="141"/>
      <c r="BCV1" s="141"/>
      <c r="BCW1" s="141"/>
      <c r="BCX1" s="141"/>
      <c r="BCY1" s="141"/>
      <c r="BCZ1" s="141"/>
      <c r="BDA1" s="141"/>
      <c r="BDB1" s="141"/>
      <c r="BDC1" s="141"/>
      <c r="BDD1" s="141"/>
      <c r="BDE1" s="141"/>
      <c r="BDF1" s="141"/>
      <c r="BDG1" s="141"/>
      <c r="BDH1" s="141"/>
      <c r="BDI1" s="141"/>
      <c r="BDJ1" s="141"/>
      <c r="BDK1" s="141"/>
      <c r="BDL1" s="141"/>
      <c r="BDM1" s="141"/>
      <c r="BDN1" s="141"/>
      <c r="BDO1" s="141"/>
      <c r="BDP1" s="141"/>
      <c r="BDQ1" s="141"/>
      <c r="BDR1" s="141"/>
      <c r="BDS1" s="141"/>
      <c r="BDT1" s="141"/>
      <c r="BDU1" s="141"/>
      <c r="BDV1" s="141"/>
      <c r="BDW1" s="141"/>
      <c r="BDX1" s="141"/>
      <c r="BDY1" s="141"/>
      <c r="BDZ1" s="141"/>
      <c r="BEA1" s="141"/>
      <c r="BEB1" s="141"/>
      <c r="BEC1" s="141"/>
      <c r="BED1" s="141"/>
      <c r="BEE1" s="141"/>
      <c r="BEF1" s="141"/>
      <c r="BEG1" s="141"/>
      <c r="BEH1" s="141"/>
      <c r="BEI1" s="141"/>
      <c r="BEJ1" s="141"/>
      <c r="BEK1" s="141"/>
      <c r="BEL1" s="141"/>
      <c r="BEM1" s="141"/>
      <c r="BEN1" s="141"/>
      <c r="BEO1" s="141"/>
      <c r="BEP1" s="141"/>
      <c r="BEQ1" s="141"/>
      <c r="BER1" s="141"/>
      <c r="BES1" s="141"/>
      <c r="BET1" s="141"/>
      <c r="BEU1" s="141"/>
      <c r="BEV1" s="141"/>
      <c r="BEW1" s="141"/>
      <c r="BEX1" s="141"/>
      <c r="BEY1" s="141"/>
      <c r="BEZ1" s="141"/>
      <c r="BFA1" s="141"/>
      <c r="BFB1" s="141"/>
      <c r="BFC1" s="141"/>
      <c r="BFD1" s="141"/>
      <c r="BFE1" s="141"/>
      <c r="BFF1" s="141"/>
      <c r="BFG1" s="141"/>
      <c r="BFH1" s="141"/>
      <c r="BFI1" s="141"/>
      <c r="BFJ1" s="141"/>
      <c r="BFK1" s="141"/>
      <c r="BFL1" s="141"/>
      <c r="BFM1" s="141"/>
      <c r="BFN1" s="141"/>
      <c r="BFO1" s="141"/>
      <c r="BFP1" s="141"/>
      <c r="BFQ1" s="141"/>
      <c r="BFR1" s="141"/>
      <c r="BFS1" s="141"/>
      <c r="BFT1" s="141"/>
      <c r="BFU1" s="141"/>
      <c r="BFV1" s="141"/>
      <c r="BFW1" s="141"/>
      <c r="BFX1" s="141"/>
      <c r="BFY1" s="141"/>
      <c r="BFZ1" s="141"/>
      <c r="BGA1" s="141"/>
      <c r="BGB1" s="141"/>
      <c r="BGC1" s="141"/>
      <c r="BGD1" s="141"/>
      <c r="BGE1" s="141"/>
      <c r="BGF1" s="141"/>
      <c r="BGG1" s="141"/>
      <c r="BGH1" s="141"/>
      <c r="BGI1" s="141"/>
      <c r="BGJ1" s="141"/>
      <c r="BGK1" s="141"/>
      <c r="BGL1" s="141"/>
      <c r="BGM1" s="141"/>
      <c r="BGN1" s="141"/>
      <c r="BGO1" s="141"/>
      <c r="BGP1" s="141"/>
      <c r="BGQ1" s="141"/>
      <c r="BGR1" s="141"/>
      <c r="BGS1" s="141"/>
      <c r="BGT1" s="141"/>
      <c r="BGU1" s="141"/>
      <c r="BGV1" s="141"/>
      <c r="BGW1" s="141"/>
      <c r="BGX1" s="141"/>
      <c r="BGY1" s="141"/>
      <c r="BGZ1" s="141"/>
      <c r="BHA1" s="141"/>
      <c r="BHB1" s="141"/>
      <c r="BHC1" s="141"/>
      <c r="BHD1" s="141"/>
      <c r="BHE1" s="141"/>
      <c r="BHF1" s="141"/>
      <c r="BHG1" s="141"/>
      <c r="BHH1" s="141"/>
      <c r="BHI1" s="141"/>
      <c r="BHJ1" s="141"/>
      <c r="BHK1" s="141"/>
      <c r="BHL1" s="141"/>
      <c r="BHM1" s="141"/>
      <c r="BHN1" s="141"/>
      <c r="BHO1" s="141"/>
      <c r="BHP1" s="141"/>
      <c r="BHQ1" s="141"/>
      <c r="BHR1" s="141"/>
      <c r="BHS1" s="141"/>
      <c r="BHT1" s="141"/>
      <c r="BHU1" s="141"/>
      <c r="BHV1" s="141"/>
      <c r="BHW1" s="141"/>
      <c r="BHX1" s="141"/>
      <c r="BHY1" s="141"/>
      <c r="BHZ1" s="141"/>
      <c r="BIA1" s="141"/>
      <c r="BIB1" s="141"/>
      <c r="BIC1" s="141"/>
      <c r="BID1" s="141"/>
      <c r="BIE1" s="141"/>
      <c r="BIF1" s="141"/>
      <c r="BIG1" s="141"/>
      <c r="BIH1" s="141"/>
      <c r="BII1" s="141"/>
      <c r="BIJ1" s="141"/>
      <c r="BIK1" s="141"/>
      <c r="BIL1" s="141"/>
      <c r="BIM1" s="141"/>
      <c r="BIN1" s="141"/>
      <c r="BIO1" s="141"/>
      <c r="BIP1" s="141"/>
      <c r="BIQ1" s="141"/>
      <c r="BIR1" s="141"/>
      <c r="BIS1" s="141"/>
      <c r="BIT1" s="141"/>
      <c r="BIU1" s="141"/>
      <c r="BIV1" s="141"/>
      <c r="BIW1" s="141"/>
      <c r="BIX1" s="141"/>
      <c r="BIY1" s="141"/>
      <c r="BIZ1" s="141"/>
      <c r="BJA1" s="141"/>
      <c r="BJB1" s="141"/>
      <c r="BJC1" s="141"/>
      <c r="BJD1" s="141"/>
      <c r="BJE1" s="141"/>
      <c r="BJF1" s="141"/>
      <c r="BJG1" s="141"/>
      <c r="BJH1" s="141"/>
      <c r="BJI1" s="141"/>
      <c r="BJJ1" s="141"/>
      <c r="BJK1" s="141"/>
      <c r="BJL1" s="141"/>
      <c r="BJM1" s="141"/>
      <c r="BJN1" s="141"/>
      <c r="BJO1" s="141"/>
      <c r="BJP1" s="141"/>
      <c r="BJQ1" s="141"/>
      <c r="BJR1" s="141"/>
      <c r="BJS1" s="141"/>
      <c r="BJT1" s="141"/>
      <c r="BJU1" s="141"/>
      <c r="BJV1" s="141"/>
      <c r="BJW1" s="141"/>
      <c r="BJX1" s="141"/>
      <c r="BJY1" s="141"/>
      <c r="BJZ1" s="141"/>
      <c r="BKA1" s="141"/>
      <c r="BKB1" s="141"/>
      <c r="BKC1" s="141"/>
      <c r="BKD1" s="141"/>
      <c r="BKE1" s="141"/>
      <c r="BKF1" s="141"/>
      <c r="BKG1" s="141"/>
      <c r="BKH1" s="141"/>
      <c r="BKI1" s="141"/>
      <c r="BKJ1" s="141"/>
      <c r="BKK1" s="141"/>
      <c r="BKL1" s="141"/>
      <c r="BKM1" s="141"/>
      <c r="BKN1" s="141"/>
      <c r="BKO1" s="141"/>
      <c r="BKP1" s="141"/>
      <c r="BKQ1" s="141"/>
      <c r="BKR1" s="141"/>
      <c r="BKS1" s="141"/>
      <c r="BKT1" s="141"/>
      <c r="BKU1" s="141"/>
      <c r="BKV1" s="141"/>
      <c r="BKW1" s="141"/>
      <c r="BKX1" s="141"/>
      <c r="BKY1" s="141"/>
      <c r="BKZ1" s="141"/>
      <c r="BLA1" s="141"/>
      <c r="BLB1" s="141"/>
      <c r="BLC1" s="141"/>
      <c r="BLD1" s="141"/>
      <c r="BLE1" s="141"/>
      <c r="BLF1" s="141"/>
      <c r="BLG1" s="141"/>
      <c r="BLH1" s="141"/>
      <c r="BLI1" s="141"/>
      <c r="BLJ1" s="141"/>
      <c r="BLK1" s="141"/>
      <c r="BLL1" s="141"/>
      <c r="BLM1" s="141"/>
      <c r="BLN1" s="141"/>
      <c r="BLO1" s="141"/>
      <c r="BLP1" s="141"/>
      <c r="BLQ1" s="141"/>
      <c r="BLR1" s="141"/>
      <c r="BLS1" s="141"/>
      <c r="BLT1" s="141"/>
      <c r="BLU1" s="141"/>
      <c r="BLV1" s="141"/>
      <c r="BLW1" s="141"/>
      <c r="BLX1" s="141"/>
      <c r="BLY1" s="141"/>
      <c r="BLZ1" s="141"/>
      <c r="BMA1" s="141"/>
      <c r="BMB1" s="141"/>
      <c r="BMC1" s="141"/>
      <c r="BMD1" s="141"/>
      <c r="BME1" s="141"/>
      <c r="BMF1" s="141"/>
      <c r="BMG1" s="141"/>
      <c r="BMH1" s="141"/>
      <c r="BMI1" s="141"/>
      <c r="BMJ1" s="141"/>
      <c r="BMK1" s="141"/>
      <c r="BML1" s="141"/>
      <c r="BMM1" s="141"/>
      <c r="BMN1" s="141"/>
      <c r="BMO1" s="141"/>
      <c r="BMP1" s="141"/>
      <c r="BMQ1" s="141"/>
      <c r="BMR1" s="141"/>
      <c r="BMS1" s="141"/>
      <c r="BMT1" s="141"/>
      <c r="BMU1" s="141"/>
      <c r="BMV1" s="141"/>
      <c r="BMW1" s="141"/>
      <c r="BMX1" s="141"/>
      <c r="BMY1" s="141"/>
      <c r="BMZ1" s="141"/>
      <c r="BNA1" s="141"/>
      <c r="BNB1" s="141"/>
      <c r="BNC1" s="141"/>
      <c r="BND1" s="141"/>
      <c r="BNE1" s="141"/>
      <c r="BNF1" s="141"/>
      <c r="BNG1" s="141"/>
      <c r="BNH1" s="141"/>
      <c r="BNI1" s="141"/>
      <c r="BNJ1" s="141"/>
      <c r="BNK1" s="141"/>
      <c r="BNL1" s="141"/>
      <c r="BNM1" s="141"/>
      <c r="BNN1" s="141"/>
      <c r="BNO1" s="141"/>
      <c r="BNP1" s="141"/>
      <c r="BNQ1" s="141"/>
      <c r="BNR1" s="141"/>
      <c r="BNS1" s="141"/>
      <c r="BNT1" s="141"/>
      <c r="BNU1" s="141"/>
      <c r="BNV1" s="141"/>
      <c r="BNW1" s="141"/>
      <c r="BNX1" s="141"/>
      <c r="BNY1" s="141"/>
      <c r="BNZ1" s="141"/>
      <c r="BOA1" s="141"/>
      <c r="BOB1" s="141"/>
      <c r="BOC1" s="141"/>
      <c r="BOD1" s="141"/>
      <c r="BOE1" s="141"/>
      <c r="BOF1" s="141"/>
      <c r="BOG1" s="141"/>
      <c r="BOH1" s="141"/>
      <c r="BOI1" s="141"/>
      <c r="BOJ1" s="141"/>
      <c r="BOK1" s="141"/>
      <c r="BOL1" s="141"/>
      <c r="BOM1" s="141"/>
      <c r="BON1" s="141"/>
      <c r="BOO1" s="141"/>
      <c r="BOP1" s="141"/>
      <c r="BOQ1" s="141"/>
      <c r="BOR1" s="141"/>
      <c r="BOS1" s="141"/>
      <c r="BOT1" s="141"/>
      <c r="BOU1" s="141"/>
      <c r="BOV1" s="141"/>
      <c r="BOW1" s="141"/>
      <c r="BOX1" s="141"/>
      <c r="BOY1" s="141"/>
      <c r="BOZ1" s="141"/>
      <c r="BPA1" s="141"/>
      <c r="BPB1" s="141"/>
      <c r="BPC1" s="141"/>
      <c r="BPD1" s="141"/>
      <c r="BPE1" s="141"/>
      <c r="BPF1" s="141"/>
      <c r="BPG1" s="141"/>
      <c r="BPH1" s="141"/>
      <c r="BPI1" s="141"/>
      <c r="BPJ1" s="141"/>
      <c r="BPK1" s="141"/>
      <c r="BPL1" s="141"/>
      <c r="BPM1" s="141"/>
      <c r="BPN1" s="141"/>
      <c r="BPO1" s="141"/>
      <c r="BPP1" s="141"/>
      <c r="BPQ1" s="141"/>
      <c r="BPR1" s="141"/>
      <c r="BPS1" s="141"/>
      <c r="BPT1" s="141"/>
      <c r="BPU1" s="141"/>
      <c r="BPV1" s="141"/>
      <c r="BPW1" s="141"/>
      <c r="BPX1" s="141"/>
      <c r="BPY1" s="141"/>
      <c r="BPZ1" s="141"/>
      <c r="BQA1" s="141"/>
      <c r="BQB1" s="141"/>
      <c r="BQC1" s="141"/>
      <c r="BQD1" s="141"/>
      <c r="BQE1" s="141"/>
      <c r="BQF1" s="141"/>
      <c r="BQG1" s="141"/>
      <c r="BQH1" s="141"/>
      <c r="BQI1" s="141"/>
      <c r="BQJ1" s="141"/>
      <c r="BQK1" s="141"/>
      <c r="BQL1" s="141"/>
      <c r="BQM1" s="141"/>
      <c r="BQN1" s="141"/>
      <c r="BQO1" s="141"/>
      <c r="BQP1" s="141"/>
      <c r="BQQ1" s="141"/>
      <c r="BQR1" s="141"/>
      <c r="BQS1" s="141"/>
      <c r="BQT1" s="141"/>
      <c r="BQU1" s="141"/>
      <c r="BQV1" s="141"/>
      <c r="BQW1" s="141"/>
      <c r="BQX1" s="141"/>
      <c r="BQY1" s="141"/>
      <c r="BQZ1" s="141"/>
      <c r="BRA1" s="141"/>
      <c r="BRB1" s="141"/>
      <c r="BRC1" s="141"/>
      <c r="BRD1" s="141"/>
      <c r="BRE1" s="141"/>
      <c r="BRF1" s="141"/>
      <c r="BRG1" s="141"/>
      <c r="BRH1" s="141"/>
      <c r="BRI1" s="141"/>
      <c r="BRJ1" s="141"/>
      <c r="BRK1" s="141"/>
      <c r="BRL1" s="141"/>
      <c r="BRM1" s="141"/>
      <c r="BRN1" s="141"/>
      <c r="BRO1" s="141"/>
      <c r="BRP1" s="141"/>
      <c r="BRQ1" s="141"/>
      <c r="BRR1" s="141"/>
      <c r="BRS1" s="141"/>
      <c r="BRT1" s="141"/>
      <c r="BRU1" s="141"/>
      <c r="BRV1" s="141"/>
      <c r="BRW1" s="141"/>
      <c r="BRX1" s="141"/>
      <c r="BRY1" s="141"/>
      <c r="BRZ1" s="141"/>
      <c r="BSA1" s="141"/>
      <c r="BSB1" s="141"/>
      <c r="BSC1" s="141"/>
      <c r="BSD1" s="141"/>
      <c r="BSE1" s="141"/>
      <c r="BSF1" s="141"/>
      <c r="BSG1" s="141"/>
      <c r="BSH1" s="141"/>
      <c r="BSI1" s="141"/>
      <c r="BSJ1" s="141"/>
      <c r="BSK1" s="141"/>
      <c r="BSL1" s="141"/>
      <c r="BSM1" s="141"/>
      <c r="BSN1" s="141"/>
      <c r="BSO1" s="141"/>
      <c r="BSP1" s="141"/>
      <c r="BSQ1" s="141"/>
      <c r="BSR1" s="141"/>
      <c r="BSS1" s="141"/>
      <c r="BST1" s="141"/>
      <c r="BSU1" s="141"/>
      <c r="BSV1" s="141"/>
      <c r="BSW1" s="141"/>
      <c r="BSX1" s="141"/>
      <c r="BSY1" s="141"/>
      <c r="BSZ1" s="141"/>
      <c r="BTA1" s="141"/>
      <c r="BTB1" s="141"/>
      <c r="BTC1" s="141"/>
      <c r="BTD1" s="141"/>
      <c r="BTE1" s="141"/>
      <c r="BTF1" s="141"/>
      <c r="BTG1" s="141"/>
      <c r="BTH1" s="141"/>
      <c r="BTI1" s="141"/>
      <c r="BTJ1" s="141"/>
      <c r="BTK1" s="141"/>
      <c r="BTL1" s="141"/>
      <c r="BTM1" s="141"/>
      <c r="BTN1" s="141"/>
      <c r="BTO1" s="141"/>
      <c r="BTP1" s="141"/>
      <c r="BTQ1" s="141"/>
      <c r="BTR1" s="141"/>
      <c r="BTS1" s="141"/>
      <c r="BTT1" s="141"/>
      <c r="BTU1" s="141"/>
      <c r="BTV1" s="141"/>
      <c r="BTW1" s="141"/>
      <c r="BTX1" s="141"/>
      <c r="BTY1" s="141"/>
      <c r="BTZ1" s="141"/>
      <c r="BUA1" s="141"/>
      <c r="BUB1" s="141"/>
      <c r="BUC1" s="141"/>
      <c r="BUD1" s="141"/>
      <c r="BUE1" s="141"/>
      <c r="BUF1" s="141"/>
      <c r="BUG1" s="141"/>
      <c r="BUH1" s="141"/>
      <c r="BUI1" s="141"/>
      <c r="BUJ1" s="141"/>
      <c r="BUK1" s="141"/>
      <c r="BUL1" s="141"/>
      <c r="BUM1" s="141"/>
      <c r="BUN1" s="141"/>
      <c r="BUO1" s="141"/>
      <c r="BUP1" s="141"/>
      <c r="BUQ1" s="141"/>
      <c r="BUR1" s="141"/>
      <c r="BUS1" s="141"/>
      <c r="BUT1" s="141"/>
      <c r="BUU1" s="141"/>
      <c r="BUV1" s="141"/>
      <c r="BUW1" s="141"/>
      <c r="BUX1" s="141"/>
      <c r="BUY1" s="141"/>
      <c r="BUZ1" s="141"/>
      <c r="BVA1" s="141"/>
      <c r="BVB1" s="141"/>
      <c r="BVC1" s="141"/>
      <c r="BVD1" s="141"/>
      <c r="BVE1" s="141"/>
      <c r="BVF1" s="141"/>
      <c r="BVG1" s="141"/>
      <c r="BVH1" s="141"/>
      <c r="BVI1" s="141"/>
      <c r="BVJ1" s="141"/>
      <c r="BVK1" s="141"/>
      <c r="BVL1" s="141"/>
      <c r="BVM1" s="141"/>
      <c r="BVN1" s="141"/>
      <c r="BVO1" s="141"/>
      <c r="BVP1" s="141"/>
      <c r="BVQ1" s="141"/>
      <c r="BVR1" s="141"/>
      <c r="BVS1" s="141"/>
      <c r="BVT1" s="141"/>
      <c r="BVU1" s="141"/>
      <c r="BVV1" s="141"/>
      <c r="BVW1" s="141"/>
      <c r="BVX1" s="141"/>
      <c r="BVY1" s="141"/>
      <c r="BVZ1" s="141"/>
      <c r="BWA1" s="141"/>
      <c r="BWB1" s="141"/>
      <c r="BWC1" s="141"/>
      <c r="BWD1" s="141"/>
      <c r="BWE1" s="141"/>
      <c r="BWF1" s="141"/>
      <c r="BWG1" s="141"/>
      <c r="BWH1" s="141"/>
      <c r="BWI1" s="141"/>
      <c r="BWJ1" s="141"/>
      <c r="BWK1" s="141"/>
      <c r="BWL1" s="141"/>
      <c r="BWM1" s="141"/>
      <c r="BWN1" s="141"/>
      <c r="BWO1" s="141"/>
      <c r="BWP1" s="141"/>
      <c r="BWQ1" s="141"/>
      <c r="BWR1" s="141"/>
      <c r="BWS1" s="141"/>
      <c r="BWT1" s="141"/>
      <c r="BWU1" s="141"/>
      <c r="BWV1" s="141"/>
      <c r="BWW1" s="141"/>
      <c r="BWX1" s="141"/>
      <c r="BWY1" s="141"/>
      <c r="BWZ1" s="141"/>
      <c r="BXA1" s="141"/>
      <c r="BXB1" s="141"/>
      <c r="BXC1" s="141"/>
      <c r="BXD1" s="141"/>
      <c r="BXE1" s="141"/>
      <c r="BXF1" s="141"/>
      <c r="BXG1" s="141"/>
      <c r="BXH1" s="141"/>
      <c r="BXI1" s="141"/>
      <c r="BXJ1" s="141"/>
      <c r="BXK1" s="141"/>
      <c r="BXL1" s="141"/>
      <c r="BXM1" s="141"/>
      <c r="BXN1" s="141"/>
      <c r="BXO1" s="141"/>
      <c r="BXP1" s="141"/>
      <c r="BXQ1" s="141"/>
      <c r="BXR1" s="141"/>
      <c r="BXS1" s="141"/>
      <c r="BXT1" s="141"/>
      <c r="BXU1" s="141"/>
      <c r="BXV1" s="141"/>
      <c r="BXW1" s="141"/>
      <c r="BXX1" s="141"/>
      <c r="BXY1" s="141"/>
      <c r="BXZ1" s="141"/>
      <c r="BYA1" s="141"/>
      <c r="BYB1" s="141"/>
      <c r="BYC1" s="141"/>
      <c r="BYD1" s="141"/>
      <c r="BYE1" s="141"/>
      <c r="BYF1" s="141"/>
      <c r="BYG1" s="141"/>
      <c r="BYH1" s="141"/>
      <c r="BYI1" s="141"/>
      <c r="BYJ1" s="141"/>
      <c r="BYK1" s="141"/>
      <c r="BYL1" s="141"/>
      <c r="BYM1" s="141"/>
      <c r="BYN1" s="141"/>
      <c r="BYO1" s="141"/>
      <c r="BYP1" s="141"/>
      <c r="BYQ1" s="141"/>
      <c r="BYR1" s="141"/>
      <c r="BYS1" s="141"/>
      <c r="BYT1" s="141"/>
      <c r="BYU1" s="141"/>
      <c r="BYV1" s="141"/>
      <c r="BYW1" s="141"/>
      <c r="BYX1" s="141"/>
      <c r="BYY1" s="141"/>
      <c r="BYZ1" s="141"/>
      <c r="BZA1" s="141"/>
      <c r="BZB1" s="141"/>
      <c r="BZC1" s="141"/>
      <c r="BZD1" s="141"/>
      <c r="BZE1" s="141"/>
      <c r="BZF1" s="141"/>
      <c r="BZG1" s="141"/>
      <c r="BZH1" s="141"/>
      <c r="BZI1" s="141"/>
      <c r="BZJ1" s="141"/>
      <c r="BZK1" s="141"/>
      <c r="BZL1" s="141"/>
      <c r="BZM1" s="141"/>
      <c r="BZN1" s="141"/>
      <c r="BZO1" s="141"/>
      <c r="BZP1" s="141"/>
      <c r="BZQ1" s="141"/>
      <c r="BZR1" s="141"/>
      <c r="BZS1" s="141"/>
      <c r="BZT1" s="141"/>
      <c r="BZU1" s="141"/>
      <c r="BZV1" s="141"/>
      <c r="BZW1" s="141"/>
      <c r="BZX1" s="141"/>
      <c r="BZY1" s="141"/>
      <c r="BZZ1" s="141"/>
      <c r="CAA1" s="141"/>
      <c r="CAB1" s="141"/>
      <c r="CAC1" s="141"/>
      <c r="CAD1" s="141"/>
      <c r="CAE1" s="141"/>
      <c r="CAF1" s="141"/>
      <c r="CAG1" s="141"/>
      <c r="CAH1" s="141"/>
      <c r="CAI1" s="141"/>
      <c r="CAJ1" s="141"/>
      <c r="CAK1" s="141"/>
      <c r="CAL1" s="141"/>
      <c r="CAM1" s="141"/>
      <c r="CAN1" s="141"/>
      <c r="CAO1" s="141"/>
      <c r="CAP1" s="141"/>
      <c r="CAQ1" s="141"/>
      <c r="CAR1" s="141"/>
      <c r="CAS1" s="141"/>
      <c r="CAT1" s="141"/>
      <c r="CAU1" s="141"/>
      <c r="CAV1" s="141"/>
      <c r="CAW1" s="141"/>
      <c r="CAX1" s="141"/>
      <c r="CAY1" s="141"/>
      <c r="CAZ1" s="141"/>
      <c r="CBA1" s="141"/>
      <c r="CBB1" s="141"/>
      <c r="CBC1" s="141"/>
      <c r="CBD1" s="141"/>
      <c r="CBE1" s="141"/>
      <c r="CBF1" s="141"/>
      <c r="CBG1" s="141"/>
      <c r="CBH1" s="141"/>
      <c r="CBI1" s="141"/>
      <c r="CBJ1" s="141"/>
      <c r="CBK1" s="141"/>
      <c r="CBL1" s="141"/>
      <c r="CBM1" s="141"/>
      <c r="CBN1" s="141"/>
      <c r="CBO1" s="141"/>
      <c r="CBP1" s="141"/>
      <c r="CBQ1" s="141"/>
      <c r="CBR1" s="141"/>
      <c r="CBS1" s="141"/>
      <c r="CBT1" s="141"/>
      <c r="CBU1" s="141"/>
      <c r="CBV1" s="141"/>
      <c r="CBW1" s="141"/>
      <c r="CBX1" s="141"/>
      <c r="CBY1" s="141"/>
      <c r="CBZ1" s="141"/>
      <c r="CCA1" s="141"/>
      <c r="CCB1" s="141"/>
      <c r="CCC1" s="141"/>
      <c r="CCD1" s="141"/>
      <c r="CCE1" s="141"/>
      <c r="CCF1" s="141"/>
      <c r="CCG1" s="141"/>
      <c r="CCH1" s="141"/>
      <c r="CCI1" s="141"/>
      <c r="CCJ1" s="141"/>
      <c r="CCK1" s="141"/>
      <c r="CCL1" s="141"/>
      <c r="CCM1" s="141"/>
      <c r="CCN1" s="141"/>
      <c r="CCO1" s="141"/>
      <c r="CCP1" s="141"/>
      <c r="CCQ1" s="141"/>
      <c r="CCR1" s="141"/>
      <c r="CCS1" s="141"/>
      <c r="CCT1" s="141"/>
      <c r="CCU1" s="141"/>
      <c r="CCV1" s="141"/>
      <c r="CCW1" s="141"/>
      <c r="CCX1" s="141"/>
      <c r="CCY1" s="141"/>
      <c r="CCZ1" s="141"/>
      <c r="CDA1" s="141"/>
      <c r="CDB1" s="141"/>
      <c r="CDC1" s="141"/>
      <c r="CDD1" s="141"/>
      <c r="CDE1" s="141"/>
      <c r="CDF1" s="141"/>
      <c r="CDG1" s="141"/>
      <c r="CDH1" s="141"/>
      <c r="CDI1" s="141"/>
      <c r="CDJ1" s="141"/>
      <c r="CDK1" s="141"/>
      <c r="CDL1" s="141"/>
      <c r="CDM1" s="141"/>
      <c r="CDN1" s="141"/>
      <c r="CDO1" s="141"/>
      <c r="CDP1" s="141"/>
      <c r="CDQ1" s="141"/>
      <c r="CDR1" s="141"/>
      <c r="CDS1" s="141"/>
      <c r="CDT1" s="141"/>
      <c r="CDU1" s="141"/>
      <c r="CDV1" s="141"/>
      <c r="CDW1" s="141"/>
      <c r="CDX1" s="141"/>
      <c r="CDY1" s="141"/>
      <c r="CDZ1" s="141"/>
      <c r="CEA1" s="141"/>
      <c r="CEB1" s="141"/>
      <c r="CEC1" s="141"/>
      <c r="CED1" s="141"/>
      <c r="CEE1" s="141"/>
      <c r="CEF1" s="141"/>
      <c r="CEG1" s="141"/>
      <c r="CEH1" s="141"/>
      <c r="CEI1" s="141"/>
      <c r="CEJ1" s="141"/>
      <c r="CEK1" s="141"/>
      <c r="CEL1" s="141"/>
      <c r="CEM1" s="141"/>
      <c r="CEN1" s="141"/>
      <c r="CEO1" s="141"/>
      <c r="CEP1" s="141"/>
      <c r="CEQ1" s="141"/>
      <c r="CER1" s="141"/>
      <c r="CES1" s="141"/>
      <c r="CET1" s="141"/>
      <c r="CEU1" s="141"/>
      <c r="CEV1" s="141"/>
      <c r="CEW1" s="141"/>
      <c r="CEX1" s="141"/>
      <c r="CEY1" s="141"/>
      <c r="CEZ1" s="141"/>
      <c r="CFA1" s="141"/>
      <c r="CFB1" s="141"/>
      <c r="CFC1" s="141"/>
      <c r="CFD1" s="141"/>
      <c r="CFE1" s="141"/>
      <c r="CFF1" s="141"/>
      <c r="CFG1" s="141"/>
      <c r="CFH1" s="141"/>
      <c r="CFI1" s="141"/>
      <c r="CFJ1" s="141"/>
      <c r="CFK1" s="141"/>
      <c r="CFL1" s="141"/>
      <c r="CFM1" s="141"/>
      <c r="CFN1" s="141"/>
      <c r="CFO1" s="141"/>
      <c r="CFP1" s="141"/>
      <c r="CFQ1" s="141"/>
      <c r="CFR1" s="141"/>
      <c r="CFS1" s="141"/>
      <c r="CFT1" s="141"/>
      <c r="CFU1" s="141"/>
      <c r="CFV1" s="141"/>
      <c r="CFW1" s="141"/>
      <c r="CFX1" s="141"/>
      <c r="CFY1" s="141"/>
      <c r="CFZ1" s="141"/>
      <c r="CGA1" s="141"/>
      <c r="CGB1" s="141"/>
      <c r="CGC1" s="141"/>
      <c r="CGD1" s="141"/>
      <c r="CGE1" s="141"/>
      <c r="CGF1" s="141"/>
      <c r="CGG1" s="141"/>
      <c r="CGH1" s="141"/>
      <c r="CGI1" s="141"/>
      <c r="CGJ1" s="141"/>
      <c r="CGK1" s="141"/>
      <c r="CGL1" s="141"/>
      <c r="CGM1" s="141"/>
      <c r="CGN1" s="141"/>
      <c r="CGO1" s="141"/>
      <c r="CGP1" s="141"/>
      <c r="CGQ1" s="141"/>
      <c r="CGR1" s="141"/>
      <c r="CGS1" s="141"/>
      <c r="CGT1" s="141"/>
      <c r="CGU1" s="141"/>
      <c r="CGV1" s="141"/>
      <c r="CGW1" s="141"/>
      <c r="CGX1" s="141"/>
      <c r="CGY1" s="141"/>
      <c r="CGZ1" s="141"/>
      <c r="CHA1" s="141"/>
      <c r="CHB1" s="141"/>
      <c r="CHC1" s="141"/>
      <c r="CHD1" s="141"/>
      <c r="CHE1" s="141"/>
      <c r="CHF1" s="141"/>
      <c r="CHG1" s="141"/>
      <c r="CHH1" s="141"/>
      <c r="CHI1" s="141"/>
      <c r="CHJ1" s="141"/>
      <c r="CHK1" s="141"/>
      <c r="CHL1" s="141"/>
      <c r="CHM1" s="141"/>
      <c r="CHN1" s="141"/>
      <c r="CHO1" s="141"/>
      <c r="CHP1" s="141"/>
      <c r="CHQ1" s="141"/>
      <c r="CHR1" s="141"/>
      <c r="CHS1" s="141"/>
      <c r="CHT1" s="141"/>
      <c r="CHU1" s="141"/>
      <c r="CHV1" s="141"/>
      <c r="CHW1" s="141"/>
      <c r="CHX1" s="141"/>
      <c r="CHY1" s="141"/>
      <c r="CHZ1" s="141"/>
      <c r="CIA1" s="141"/>
      <c r="CIB1" s="141"/>
      <c r="CIC1" s="141"/>
      <c r="CID1" s="141"/>
      <c r="CIE1" s="141"/>
      <c r="CIF1" s="141"/>
      <c r="CIG1" s="141"/>
      <c r="CIH1" s="141"/>
      <c r="CII1" s="141"/>
      <c r="CIJ1" s="141"/>
      <c r="CIK1" s="141"/>
      <c r="CIL1" s="141"/>
      <c r="CIM1" s="141"/>
      <c r="CIN1" s="141"/>
      <c r="CIO1" s="141"/>
      <c r="CIP1" s="141"/>
      <c r="CIQ1" s="141"/>
      <c r="CIR1" s="141"/>
      <c r="CIS1" s="141"/>
      <c r="CIT1" s="141"/>
      <c r="CIU1" s="141"/>
      <c r="CIV1" s="141"/>
      <c r="CIW1" s="141"/>
      <c r="CIX1" s="141"/>
      <c r="CIY1" s="141"/>
      <c r="CIZ1" s="141"/>
      <c r="CJA1" s="141"/>
      <c r="CJB1" s="141"/>
      <c r="CJC1" s="141"/>
      <c r="CJD1" s="141"/>
      <c r="CJE1" s="141"/>
      <c r="CJF1" s="141"/>
      <c r="CJG1" s="141"/>
      <c r="CJH1" s="141"/>
      <c r="CJI1" s="141"/>
      <c r="CJJ1" s="141"/>
      <c r="CJK1" s="141"/>
      <c r="CJL1" s="141"/>
      <c r="CJM1" s="141"/>
      <c r="CJN1" s="141"/>
      <c r="CJO1" s="141"/>
      <c r="CJP1" s="141"/>
      <c r="CJQ1" s="141"/>
      <c r="CJR1" s="141"/>
      <c r="CJS1" s="141"/>
      <c r="CJT1" s="141"/>
      <c r="CJU1" s="141"/>
      <c r="CJV1" s="141"/>
      <c r="CJW1" s="141"/>
      <c r="CJX1" s="141"/>
      <c r="CJY1" s="141"/>
      <c r="CJZ1" s="141"/>
      <c r="CKA1" s="141"/>
      <c r="CKB1" s="141"/>
      <c r="CKC1" s="141"/>
      <c r="CKD1" s="141"/>
      <c r="CKE1" s="141"/>
      <c r="CKF1" s="141"/>
      <c r="CKG1" s="141"/>
      <c r="CKH1" s="141"/>
      <c r="CKI1" s="141"/>
      <c r="CKJ1" s="141"/>
      <c r="CKK1" s="141"/>
      <c r="CKL1" s="141"/>
      <c r="CKM1" s="141"/>
      <c r="CKN1" s="141"/>
      <c r="CKO1" s="141"/>
      <c r="CKP1" s="141"/>
      <c r="CKQ1" s="141"/>
      <c r="CKR1" s="141"/>
      <c r="CKS1" s="141"/>
      <c r="CKT1" s="141"/>
      <c r="CKU1" s="141"/>
      <c r="CKV1" s="141"/>
      <c r="CKW1" s="141"/>
      <c r="CKX1" s="141"/>
      <c r="CKY1" s="141"/>
      <c r="CKZ1" s="141"/>
      <c r="CLA1" s="141"/>
      <c r="CLB1" s="141"/>
      <c r="CLC1" s="141"/>
      <c r="CLD1" s="141"/>
      <c r="CLE1" s="141"/>
      <c r="CLF1" s="141"/>
      <c r="CLG1" s="141"/>
      <c r="CLH1" s="141"/>
      <c r="CLI1" s="141"/>
      <c r="CLJ1" s="141"/>
      <c r="CLK1" s="141"/>
      <c r="CLL1" s="141"/>
      <c r="CLM1" s="141"/>
      <c r="CLN1" s="141"/>
      <c r="CLO1" s="141"/>
      <c r="CLP1" s="141"/>
      <c r="CLQ1" s="141"/>
      <c r="CLR1" s="141"/>
      <c r="CLS1" s="141"/>
      <c r="CLT1" s="141"/>
      <c r="CLU1" s="141"/>
      <c r="CLV1" s="141"/>
      <c r="CLW1" s="141"/>
      <c r="CLX1" s="141"/>
      <c r="CLY1" s="141"/>
      <c r="CLZ1" s="141"/>
      <c r="CMA1" s="141"/>
      <c r="CMB1" s="141"/>
      <c r="CMC1" s="141"/>
      <c r="CMD1" s="141"/>
      <c r="CME1" s="141"/>
      <c r="CMF1" s="141"/>
      <c r="CMG1" s="141"/>
      <c r="CMH1" s="141"/>
      <c r="CMI1" s="141"/>
      <c r="CMJ1" s="141"/>
      <c r="CMK1" s="141"/>
      <c r="CML1" s="141"/>
      <c r="CMM1" s="141"/>
      <c r="CMN1" s="141"/>
      <c r="CMO1" s="141"/>
      <c r="CMP1" s="141"/>
      <c r="CMQ1" s="141"/>
      <c r="CMR1" s="141"/>
      <c r="CMS1" s="141"/>
      <c r="CMT1" s="141"/>
      <c r="CMU1" s="141"/>
      <c r="CMV1" s="141"/>
      <c r="CMW1" s="141"/>
      <c r="CMX1" s="141"/>
      <c r="CMY1" s="141"/>
      <c r="CMZ1" s="141"/>
      <c r="CNA1" s="141"/>
      <c r="CNB1" s="141"/>
      <c r="CNC1" s="141"/>
      <c r="CND1" s="141"/>
      <c r="CNE1" s="141"/>
      <c r="CNF1" s="141"/>
      <c r="CNG1" s="141"/>
      <c r="CNH1" s="141"/>
      <c r="CNI1" s="141"/>
      <c r="CNJ1" s="141"/>
      <c r="CNK1" s="141"/>
      <c r="CNL1" s="141"/>
      <c r="CNM1" s="141"/>
      <c r="CNN1" s="141"/>
      <c r="CNO1" s="141"/>
      <c r="CNP1" s="141"/>
      <c r="CNQ1" s="141"/>
      <c r="CNR1" s="141"/>
      <c r="CNS1" s="141"/>
      <c r="CNT1" s="141"/>
      <c r="CNU1" s="141"/>
      <c r="CNV1" s="141"/>
      <c r="CNW1" s="141"/>
      <c r="CNX1" s="141"/>
      <c r="CNY1" s="141"/>
      <c r="CNZ1" s="141"/>
      <c r="COA1" s="141"/>
      <c r="COB1" s="141"/>
      <c r="COC1" s="141"/>
      <c r="COD1" s="141"/>
      <c r="COE1" s="141"/>
      <c r="COF1" s="141"/>
      <c r="COG1" s="141"/>
      <c r="COH1" s="141"/>
      <c r="COI1" s="141"/>
      <c r="COJ1" s="141"/>
      <c r="COK1" s="141"/>
      <c r="COL1" s="141"/>
      <c r="COM1" s="141"/>
      <c r="CON1" s="141"/>
      <c r="COO1" s="141"/>
      <c r="COP1" s="141"/>
      <c r="COQ1" s="141"/>
      <c r="COR1" s="141"/>
      <c r="COS1" s="141"/>
      <c r="COT1" s="141"/>
      <c r="COU1" s="141"/>
      <c r="COV1" s="141"/>
      <c r="COW1" s="141"/>
      <c r="COX1" s="141"/>
      <c r="COY1" s="141"/>
      <c r="COZ1" s="141"/>
      <c r="CPA1" s="141"/>
      <c r="CPB1" s="141"/>
      <c r="CPC1" s="141"/>
      <c r="CPD1" s="141"/>
      <c r="CPE1" s="141"/>
      <c r="CPF1" s="141"/>
      <c r="CPG1" s="141"/>
      <c r="CPH1" s="141"/>
      <c r="CPI1" s="141"/>
      <c r="CPJ1" s="141"/>
      <c r="CPK1" s="141"/>
      <c r="CPL1" s="141"/>
      <c r="CPM1" s="141"/>
      <c r="CPN1" s="141"/>
      <c r="CPO1" s="141"/>
      <c r="CPP1" s="141"/>
      <c r="CPQ1" s="141"/>
      <c r="CPR1" s="141"/>
      <c r="CPS1" s="141"/>
      <c r="CPT1" s="141"/>
      <c r="CPU1" s="141"/>
      <c r="CPV1" s="141"/>
      <c r="CPW1" s="141"/>
      <c r="CPX1" s="141"/>
      <c r="CPY1" s="141"/>
      <c r="CPZ1" s="141"/>
      <c r="CQA1" s="141"/>
      <c r="CQB1" s="141"/>
      <c r="CQC1" s="141"/>
      <c r="CQD1" s="141"/>
      <c r="CQE1" s="141"/>
      <c r="CQF1" s="141"/>
      <c r="CQG1" s="141"/>
      <c r="CQH1" s="141"/>
      <c r="CQI1" s="141"/>
      <c r="CQJ1" s="141"/>
      <c r="CQK1" s="141"/>
      <c r="CQL1" s="141"/>
      <c r="CQM1" s="141"/>
      <c r="CQN1" s="141"/>
      <c r="CQO1" s="141"/>
      <c r="CQP1" s="141"/>
      <c r="CQQ1" s="141"/>
      <c r="CQR1" s="141"/>
      <c r="CQS1" s="141"/>
      <c r="CQT1" s="141"/>
      <c r="CQU1" s="141"/>
      <c r="CQV1" s="141"/>
      <c r="CQW1" s="141"/>
      <c r="CQX1" s="141"/>
      <c r="CQY1" s="141"/>
      <c r="CQZ1" s="141"/>
      <c r="CRA1" s="141"/>
      <c r="CRB1" s="141"/>
      <c r="CRC1" s="141"/>
      <c r="CRD1" s="141"/>
      <c r="CRE1" s="141"/>
      <c r="CRF1" s="141"/>
      <c r="CRG1" s="141"/>
      <c r="CRH1" s="141"/>
      <c r="CRI1" s="141"/>
      <c r="CRJ1" s="141"/>
      <c r="CRK1" s="141"/>
      <c r="CRL1" s="141"/>
      <c r="CRM1" s="141"/>
      <c r="CRN1" s="141"/>
      <c r="CRO1" s="141"/>
      <c r="CRP1" s="141"/>
      <c r="CRQ1" s="141"/>
      <c r="CRR1" s="141"/>
      <c r="CRS1" s="141"/>
      <c r="CRT1" s="141"/>
      <c r="CRU1" s="141"/>
      <c r="CRV1" s="141"/>
      <c r="CRW1" s="141"/>
      <c r="CRX1" s="141"/>
      <c r="CRY1" s="141"/>
      <c r="CRZ1" s="141"/>
      <c r="CSA1" s="141"/>
      <c r="CSB1" s="141"/>
      <c r="CSC1" s="141"/>
      <c r="CSD1" s="141"/>
      <c r="CSE1" s="141"/>
      <c r="CSF1" s="141"/>
      <c r="CSG1" s="141"/>
      <c r="CSH1" s="141"/>
      <c r="CSI1" s="141"/>
      <c r="CSJ1" s="141"/>
      <c r="CSK1" s="141"/>
      <c r="CSL1" s="141"/>
      <c r="CSM1" s="141"/>
      <c r="CSN1" s="141"/>
      <c r="CSO1" s="141"/>
      <c r="CSP1" s="141"/>
      <c r="CSQ1" s="141"/>
      <c r="CSR1" s="141"/>
      <c r="CSS1" s="141"/>
      <c r="CST1" s="141"/>
      <c r="CSU1" s="141"/>
      <c r="CSV1" s="141"/>
      <c r="CSW1" s="141"/>
      <c r="CSX1" s="141"/>
      <c r="CSY1" s="141"/>
      <c r="CSZ1" s="141"/>
      <c r="CTA1" s="141"/>
      <c r="CTB1" s="141"/>
      <c r="CTC1" s="141"/>
      <c r="CTD1" s="141"/>
      <c r="CTE1" s="141"/>
      <c r="CTF1" s="141"/>
      <c r="CTG1" s="141"/>
      <c r="CTH1" s="141"/>
      <c r="CTI1" s="141"/>
      <c r="CTJ1" s="141"/>
      <c r="CTK1" s="141"/>
      <c r="CTL1" s="141"/>
      <c r="CTM1" s="141"/>
      <c r="CTN1" s="141"/>
      <c r="CTO1" s="141"/>
      <c r="CTP1" s="141"/>
      <c r="CTQ1" s="141"/>
      <c r="CTR1" s="141"/>
      <c r="CTS1" s="141"/>
      <c r="CTT1" s="141"/>
      <c r="CTU1" s="141"/>
      <c r="CTV1" s="141"/>
      <c r="CTW1" s="141"/>
      <c r="CTX1" s="141"/>
      <c r="CTY1" s="141"/>
      <c r="CTZ1" s="141"/>
      <c r="CUA1" s="141"/>
      <c r="CUB1" s="141"/>
      <c r="CUC1" s="141"/>
      <c r="CUD1" s="141"/>
      <c r="CUE1" s="141"/>
      <c r="CUF1" s="141"/>
      <c r="CUG1" s="141"/>
      <c r="CUH1" s="141"/>
      <c r="CUI1" s="141"/>
      <c r="CUJ1" s="141"/>
      <c r="CUK1" s="141"/>
      <c r="CUL1" s="141"/>
      <c r="CUM1" s="141"/>
      <c r="CUN1" s="141"/>
      <c r="CUO1" s="141"/>
      <c r="CUP1" s="141"/>
      <c r="CUQ1" s="141"/>
      <c r="CUR1" s="141"/>
      <c r="CUS1" s="141"/>
      <c r="CUT1" s="141"/>
      <c r="CUU1" s="141"/>
      <c r="CUV1" s="141"/>
      <c r="CUW1" s="141"/>
      <c r="CUX1" s="141"/>
      <c r="CUY1" s="141"/>
      <c r="CUZ1" s="141"/>
      <c r="CVA1" s="141"/>
      <c r="CVB1" s="141"/>
      <c r="CVC1" s="141"/>
      <c r="CVD1" s="141"/>
      <c r="CVE1" s="141"/>
      <c r="CVF1" s="141"/>
      <c r="CVG1" s="141"/>
      <c r="CVH1" s="141"/>
      <c r="CVI1" s="141"/>
      <c r="CVJ1" s="141"/>
      <c r="CVK1" s="141"/>
      <c r="CVL1" s="141"/>
      <c r="CVM1" s="141"/>
      <c r="CVN1" s="141"/>
      <c r="CVO1" s="141"/>
      <c r="CVP1" s="141"/>
      <c r="CVQ1" s="141"/>
      <c r="CVR1" s="141"/>
      <c r="CVS1" s="141"/>
      <c r="CVT1" s="141"/>
      <c r="CVU1" s="141"/>
      <c r="CVV1" s="141"/>
      <c r="CVW1" s="141"/>
      <c r="CVX1" s="141"/>
      <c r="CVY1" s="141"/>
      <c r="CVZ1" s="141"/>
      <c r="CWA1" s="141"/>
      <c r="CWB1" s="141"/>
      <c r="CWC1" s="141"/>
      <c r="CWD1" s="141"/>
      <c r="CWE1" s="141"/>
      <c r="CWF1" s="141"/>
      <c r="CWG1" s="141"/>
      <c r="CWH1" s="141"/>
      <c r="CWI1" s="141"/>
      <c r="CWJ1" s="141"/>
      <c r="CWK1" s="141"/>
      <c r="CWL1" s="141"/>
      <c r="CWM1" s="141"/>
      <c r="CWN1" s="141"/>
      <c r="CWO1" s="141"/>
      <c r="CWP1" s="141"/>
      <c r="CWQ1" s="141"/>
      <c r="CWR1" s="141"/>
      <c r="CWS1" s="141"/>
      <c r="CWT1" s="141"/>
      <c r="CWU1" s="141"/>
      <c r="CWV1" s="141"/>
      <c r="CWW1" s="141"/>
      <c r="CWX1" s="141"/>
      <c r="CWY1" s="141"/>
      <c r="CWZ1" s="141"/>
      <c r="CXA1" s="141"/>
      <c r="CXB1" s="141"/>
      <c r="CXC1" s="141"/>
      <c r="CXD1" s="141"/>
      <c r="CXE1" s="141"/>
      <c r="CXF1" s="141"/>
      <c r="CXG1" s="141"/>
      <c r="CXH1" s="141"/>
      <c r="CXI1" s="141"/>
      <c r="CXJ1" s="141"/>
      <c r="CXK1" s="141"/>
      <c r="CXL1" s="141"/>
      <c r="CXM1" s="141"/>
      <c r="CXN1" s="141"/>
      <c r="CXO1" s="141"/>
      <c r="CXP1" s="141"/>
      <c r="CXQ1" s="141"/>
      <c r="CXR1" s="141"/>
      <c r="CXS1" s="141"/>
      <c r="CXT1" s="141"/>
      <c r="CXU1" s="141"/>
      <c r="CXV1" s="141"/>
      <c r="CXW1" s="141"/>
      <c r="CXX1" s="141"/>
      <c r="CXY1" s="141"/>
      <c r="CXZ1" s="141"/>
      <c r="CYA1" s="141"/>
      <c r="CYB1" s="141"/>
      <c r="CYC1" s="141"/>
      <c r="CYD1" s="141"/>
      <c r="CYE1" s="141"/>
      <c r="CYF1" s="141"/>
      <c r="CYG1" s="141"/>
      <c r="CYH1" s="141"/>
      <c r="CYI1" s="141"/>
      <c r="CYJ1" s="141"/>
      <c r="CYK1" s="141"/>
      <c r="CYL1" s="141"/>
      <c r="CYM1" s="141"/>
      <c r="CYN1" s="141"/>
      <c r="CYO1" s="141"/>
      <c r="CYP1" s="141"/>
      <c r="CYQ1" s="141"/>
      <c r="CYR1" s="141"/>
      <c r="CYS1" s="141"/>
      <c r="CYT1" s="141"/>
      <c r="CYU1" s="141"/>
      <c r="CYV1" s="141"/>
      <c r="CYW1" s="141"/>
      <c r="CYX1" s="141"/>
      <c r="CYY1" s="141"/>
      <c r="CYZ1" s="141"/>
      <c r="CZA1" s="141"/>
      <c r="CZB1" s="141"/>
      <c r="CZC1" s="141"/>
      <c r="CZD1" s="141"/>
      <c r="CZE1" s="141"/>
      <c r="CZF1" s="141"/>
      <c r="CZG1" s="141"/>
      <c r="CZH1" s="141"/>
      <c r="CZI1" s="141"/>
      <c r="CZJ1" s="141"/>
      <c r="CZK1" s="141"/>
      <c r="CZL1" s="141"/>
      <c r="CZM1" s="141"/>
      <c r="CZN1" s="141"/>
      <c r="CZO1" s="141"/>
      <c r="CZP1" s="141"/>
      <c r="CZQ1" s="141"/>
      <c r="CZR1" s="141"/>
      <c r="CZS1" s="141"/>
      <c r="CZT1" s="141"/>
      <c r="CZU1" s="141"/>
      <c r="CZV1" s="141"/>
      <c r="CZW1" s="141"/>
      <c r="CZX1" s="141"/>
      <c r="CZY1" s="141"/>
      <c r="CZZ1" s="141"/>
      <c r="DAA1" s="141"/>
      <c r="DAB1" s="141"/>
      <c r="DAC1" s="141"/>
      <c r="DAD1" s="141"/>
      <c r="DAE1" s="141"/>
      <c r="DAF1" s="141"/>
      <c r="DAG1" s="141"/>
      <c r="DAH1" s="141"/>
      <c r="DAI1" s="141"/>
      <c r="DAJ1" s="141"/>
      <c r="DAK1" s="141"/>
      <c r="DAL1" s="141"/>
      <c r="DAM1" s="141"/>
      <c r="DAN1" s="141"/>
      <c r="DAO1" s="141"/>
      <c r="DAP1" s="141"/>
      <c r="DAQ1" s="141"/>
      <c r="DAR1" s="141"/>
      <c r="DAS1" s="141"/>
      <c r="DAT1" s="141"/>
      <c r="DAU1" s="141"/>
      <c r="DAV1" s="141"/>
      <c r="DAW1" s="141"/>
      <c r="DAX1" s="141"/>
      <c r="DAY1" s="141"/>
      <c r="DAZ1" s="141"/>
      <c r="DBA1" s="141"/>
      <c r="DBB1" s="141"/>
      <c r="DBC1" s="141"/>
      <c r="DBD1" s="141"/>
      <c r="DBE1" s="141"/>
      <c r="DBF1" s="141"/>
      <c r="DBG1" s="141"/>
      <c r="DBH1" s="141"/>
      <c r="DBI1" s="141"/>
      <c r="DBJ1" s="141"/>
      <c r="DBK1" s="141"/>
      <c r="DBL1" s="141"/>
      <c r="DBM1" s="141"/>
      <c r="DBN1" s="141"/>
      <c r="DBO1" s="141"/>
      <c r="DBP1" s="141"/>
      <c r="DBQ1" s="141"/>
      <c r="DBR1" s="141"/>
      <c r="DBS1" s="141"/>
      <c r="DBT1" s="141"/>
      <c r="DBU1" s="141"/>
      <c r="DBV1" s="141"/>
      <c r="DBW1" s="141"/>
      <c r="DBX1" s="141"/>
      <c r="DBY1" s="141"/>
      <c r="DBZ1" s="141"/>
      <c r="DCA1" s="141"/>
      <c r="DCB1" s="141"/>
      <c r="DCC1" s="141"/>
      <c r="DCD1" s="141"/>
      <c r="DCE1" s="141"/>
      <c r="DCF1" s="141"/>
      <c r="DCG1" s="141"/>
      <c r="DCH1" s="141"/>
      <c r="DCI1" s="141"/>
      <c r="DCJ1" s="141"/>
      <c r="DCK1" s="141"/>
      <c r="DCL1" s="141"/>
      <c r="DCM1" s="141"/>
      <c r="DCN1" s="141"/>
      <c r="DCO1" s="141"/>
      <c r="DCP1" s="141"/>
      <c r="DCQ1" s="141"/>
      <c r="DCR1" s="141"/>
      <c r="DCS1" s="141"/>
      <c r="DCT1" s="141"/>
      <c r="DCU1" s="141"/>
      <c r="DCV1" s="141"/>
      <c r="DCW1" s="141"/>
      <c r="DCX1" s="141"/>
      <c r="DCY1" s="141"/>
      <c r="DCZ1" s="141"/>
      <c r="DDA1" s="141"/>
      <c r="DDB1" s="141"/>
      <c r="DDC1" s="141"/>
      <c r="DDD1" s="141"/>
      <c r="DDE1" s="141"/>
      <c r="DDF1" s="141"/>
      <c r="DDG1" s="141"/>
      <c r="DDH1" s="141"/>
      <c r="DDI1" s="141"/>
      <c r="DDJ1" s="141"/>
      <c r="DDK1" s="141"/>
      <c r="DDL1" s="141"/>
      <c r="DDM1" s="141"/>
      <c r="DDN1" s="141"/>
      <c r="DDO1" s="141"/>
      <c r="DDP1" s="141"/>
      <c r="DDQ1" s="141"/>
      <c r="DDR1" s="141"/>
      <c r="DDS1" s="141"/>
      <c r="DDT1" s="141"/>
      <c r="DDU1" s="141"/>
      <c r="DDV1" s="141"/>
      <c r="DDW1" s="141"/>
      <c r="DDX1" s="141"/>
      <c r="DDY1" s="141"/>
      <c r="DDZ1" s="141"/>
      <c r="DEA1" s="141"/>
      <c r="DEB1" s="141"/>
      <c r="DEC1" s="141"/>
      <c r="DED1" s="141"/>
      <c r="DEE1" s="141"/>
      <c r="DEF1" s="141"/>
      <c r="DEG1" s="141"/>
      <c r="DEH1" s="141"/>
      <c r="DEI1" s="141"/>
      <c r="DEJ1" s="141"/>
      <c r="DEK1" s="141"/>
      <c r="DEL1" s="141"/>
      <c r="DEM1" s="141"/>
      <c r="DEN1" s="141"/>
      <c r="DEO1" s="141"/>
      <c r="DEP1" s="141"/>
      <c r="DEQ1" s="141"/>
      <c r="DER1" s="141"/>
      <c r="DES1" s="141"/>
      <c r="DET1" s="141"/>
      <c r="DEU1" s="141"/>
      <c r="DEV1" s="141"/>
      <c r="DEW1" s="141"/>
      <c r="DEX1" s="141"/>
      <c r="DEY1" s="141"/>
      <c r="DEZ1" s="141"/>
      <c r="DFA1" s="141"/>
      <c r="DFB1" s="141"/>
      <c r="DFC1" s="141"/>
      <c r="DFD1" s="141"/>
      <c r="DFE1" s="141"/>
      <c r="DFF1" s="141"/>
      <c r="DFG1" s="141"/>
      <c r="DFH1" s="141"/>
      <c r="DFI1" s="141"/>
      <c r="DFJ1" s="141"/>
      <c r="DFK1" s="141"/>
      <c r="DFL1" s="141"/>
      <c r="DFM1" s="141"/>
      <c r="DFN1" s="141"/>
      <c r="DFO1" s="141"/>
      <c r="DFP1" s="141"/>
      <c r="DFQ1" s="141"/>
      <c r="DFR1" s="141"/>
      <c r="DFS1" s="141"/>
      <c r="DFT1" s="141"/>
      <c r="DFU1" s="141"/>
      <c r="DFV1" s="141"/>
      <c r="DFW1" s="141"/>
      <c r="DFX1" s="141"/>
      <c r="DFY1" s="141"/>
      <c r="DFZ1" s="141"/>
      <c r="DGA1" s="141"/>
      <c r="DGB1" s="141"/>
      <c r="DGC1" s="141"/>
      <c r="DGD1" s="141"/>
      <c r="DGE1" s="141"/>
      <c r="DGF1" s="141"/>
      <c r="DGG1" s="141"/>
      <c r="DGH1" s="141"/>
      <c r="DGI1" s="141"/>
      <c r="DGJ1" s="141"/>
      <c r="DGK1" s="141"/>
      <c r="DGL1" s="141"/>
      <c r="DGM1" s="141"/>
      <c r="DGN1" s="141"/>
      <c r="DGO1" s="141"/>
      <c r="DGP1" s="141"/>
      <c r="DGQ1" s="141"/>
      <c r="DGR1" s="141"/>
      <c r="DGS1" s="141"/>
      <c r="DGT1" s="141"/>
      <c r="DGU1" s="141"/>
      <c r="DGV1" s="141"/>
      <c r="DGW1" s="141"/>
      <c r="DGX1" s="141"/>
      <c r="DGY1" s="141"/>
      <c r="DGZ1" s="141"/>
      <c r="DHA1" s="141"/>
      <c r="DHB1" s="141"/>
      <c r="DHC1" s="141"/>
      <c r="DHD1" s="141"/>
      <c r="DHE1" s="141"/>
      <c r="DHF1" s="141"/>
      <c r="DHG1" s="141"/>
      <c r="DHH1" s="141"/>
      <c r="DHI1" s="141"/>
      <c r="DHJ1" s="141"/>
      <c r="DHK1" s="141"/>
      <c r="DHL1" s="141"/>
      <c r="DHM1" s="141"/>
      <c r="DHN1" s="141"/>
      <c r="DHO1" s="141"/>
      <c r="DHP1" s="141"/>
      <c r="DHQ1" s="141"/>
      <c r="DHR1" s="141"/>
      <c r="DHS1" s="141"/>
      <c r="DHT1" s="141"/>
      <c r="DHU1" s="141"/>
      <c r="DHV1" s="141"/>
      <c r="DHW1" s="141"/>
      <c r="DHX1" s="141"/>
      <c r="DHY1" s="141"/>
      <c r="DHZ1" s="141"/>
      <c r="DIA1" s="141"/>
      <c r="DIB1" s="141"/>
      <c r="DIC1" s="141"/>
      <c r="DID1" s="141"/>
      <c r="DIE1" s="141"/>
      <c r="DIF1" s="141"/>
      <c r="DIG1" s="141"/>
      <c r="DIH1" s="141"/>
      <c r="DII1" s="141"/>
      <c r="DIJ1" s="141"/>
      <c r="DIK1" s="141"/>
      <c r="DIL1" s="141"/>
      <c r="DIM1" s="141"/>
      <c r="DIN1" s="141"/>
      <c r="DIO1" s="141"/>
      <c r="DIP1" s="141"/>
      <c r="DIQ1" s="141"/>
      <c r="DIR1" s="141"/>
      <c r="DIS1" s="141"/>
      <c r="DIT1" s="141"/>
      <c r="DIU1" s="141"/>
      <c r="DIV1" s="141"/>
      <c r="DIW1" s="141"/>
      <c r="DIX1" s="141"/>
      <c r="DIY1" s="141"/>
      <c r="DIZ1" s="141"/>
      <c r="DJA1" s="141"/>
      <c r="DJB1" s="141"/>
      <c r="DJC1" s="141"/>
      <c r="DJD1" s="141"/>
      <c r="DJE1" s="141"/>
      <c r="DJF1" s="141"/>
      <c r="DJG1" s="141"/>
      <c r="DJH1" s="141"/>
      <c r="DJI1" s="141"/>
      <c r="DJJ1" s="141"/>
      <c r="DJK1" s="141"/>
      <c r="DJL1" s="141"/>
      <c r="DJM1" s="141"/>
      <c r="DJN1" s="141"/>
      <c r="DJO1" s="141"/>
      <c r="DJP1" s="141"/>
      <c r="DJQ1" s="141"/>
      <c r="DJR1" s="141"/>
      <c r="DJS1" s="141"/>
      <c r="DJT1" s="141"/>
      <c r="DJU1" s="141"/>
      <c r="DJV1" s="141"/>
      <c r="DJW1" s="141"/>
      <c r="DJX1" s="141"/>
      <c r="DJY1" s="141"/>
      <c r="DJZ1" s="141"/>
      <c r="DKA1" s="141"/>
      <c r="DKB1" s="141"/>
      <c r="DKC1" s="141"/>
      <c r="DKD1" s="141"/>
      <c r="DKE1" s="141"/>
      <c r="DKF1" s="141"/>
      <c r="DKG1" s="141"/>
      <c r="DKH1" s="141"/>
      <c r="DKI1" s="141"/>
      <c r="DKJ1" s="141"/>
      <c r="DKK1" s="141"/>
      <c r="DKL1" s="141"/>
      <c r="DKM1" s="141"/>
      <c r="DKN1" s="141"/>
      <c r="DKO1" s="141"/>
      <c r="DKP1" s="141"/>
      <c r="DKQ1" s="141"/>
      <c r="DKR1" s="141"/>
      <c r="DKS1" s="141"/>
      <c r="DKT1" s="141"/>
      <c r="DKU1" s="141"/>
      <c r="DKV1" s="141"/>
      <c r="DKW1" s="141"/>
      <c r="DKX1" s="141"/>
      <c r="DKY1" s="141"/>
      <c r="DKZ1" s="141"/>
      <c r="DLA1" s="141"/>
      <c r="DLB1" s="141"/>
      <c r="DLC1" s="141"/>
      <c r="DLD1" s="141"/>
      <c r="DLE1" s="141"/>
      <c r="DLF1" s="141"/>
      <c r="DLG1" s="141"/>
      <c r="DLH1" s="141"/>
      <c r="DLI1" s="141"/>
      <c r="DLJ1" s="141"/>
      <c r="DLK1" s="141"/>
      <c r="DLL1" s="141"/>
      <c r="DLM1" s="141"/>
      <c r="DLN1" s="141"/>
      <c r="DLO1" s="141"/>
      <c r="DLP1" s="141"/>
      <c r="DLQ1" s="141"/>
      <c r="DLR1" s="141"/>
      <c r="DLS1" s="141"/>
      <c r="DLT1" s="141"/>
      <c r="DLU1" s="141"/>
      <c r="DLV1" s="141"/>
      <c r="DLW1" s="141"/>
      <c r="DLX1" s="141"/>
      <c r="DLY1" s="141"/>
      <c r="DLZ1" s="141"/>
      <c r="DMA1" s="141"/>
      <c r="DMB1" s="141"/>
      <c r="DMC1" s="141"/>
      <c r="DMD1" s="141"/>
      <c r="DME1" s="141"/>
      <c r="DMF1" s="141"/>
      <c r="DMG1" s="141"/>
      <c r="DMH1" s="141"/>
      <c r="DMI1" s="141"/>
      <c r="DMJ1" s="141"/>
      <c r="DMK1" s="141"/>
      <c r="DML1" s="141"/>
      <c r="DMM1" s="141"/>
      <c r="DMN1" s="141"/>
      <c r="DMO1" s="141"/>
      <c r="DMP1" s="141"/>
      <c r="DMQ1" s="141"/>
      <c r="DMR1" s="141"/>
      <c r="DMS1" s="141"/>
      <c r="DMT1" s="141"/>
      <c r="DMU1" s="141"/>
      <c r="DMV1" s="141"/>
      <c r="DMW1" s="141"/>
      <c r="DMX1" s="141"/>
      <c r="DMY1" s="141"/>
      <c r="DMZ1" s="141"/>
      <c r="DNA1" s="141"/>
      <c r="DNB1" s="141"/>
      <c r="DNC1" s="141"/>
      <c r="DND1" s="141"/>
      <c r="DNE1" s="141"/>
      <c r="DNF1" s="141"/>
      <c r="DNG1" s="141"/>
      <c r="DNH1" s="141"/>
      <c r="DNI1" s="141"/>
      <c r="DNJ1" s="141"/>
      <c r="DNK1" s="141"/>
      <c r="DNL1" s="141"/>
      <c r="DNM1" s="141"/>
      <c r="DNN1" s="141"/>
      <c r="DNO1" s="141"/>
      <c r="DNP1" s="141"/>
      <c r="DNQ1" s="141"/>
      <c r="DNR1" s="141"/>
      <c r="DNS1" s="141"/>
      <c r="DNT1" s="141"/>
      <c r="DNU1" s="141"/>
      <c r="DNV1" s="141"/>
      <c r="DNW1" s="141"/>
      <c r="DNX1" s="141"/>
      <c r="DNY1" s="141"/>
      <c r="DNZ1" s="141"/>
      <c r="DOA1" s="141"/>
      <c r="DOB1" s="141"/>
      <c r="DOC1" s="141"/>
      <c r="DOD1" s="141"/>
      <c r="DOE1" s="141"/>
      <c r="DOF1" s="141"/>
      <c r="DOG1" s="141"/>
      <c r="DOH1" s="141"/>
      <c r="DOI1" s="141"/>
      <c r="DOJ1" s="141"/>
      <c r="DOK1" s="141"/>
      <c r="DOL1" s="141"/>
      <c r="DOM1" s="141"/>
      <c r="DON1" s="141"/>
      <c r="DOO1" s="141"/>
      <c r="DOP1" s="141"/>
      <c r="DOQ1" s="141"/>
      <c r="DOR1" s="141"/>
      <c r="DOS1" s="141"/>
      <c r="DOT1" s="141"/>
      <c r="DOU1" s="141"/>
      <c r="DOV1" s="141"/>
      <c r="DOW1" s="141"/>
      <c r="DOX1" s="141"/>
      <c r="DOY1" s="141"/>
      <c r="DOZ1" s="141"/>
      <c r="DPA1" s="141"/>
      <c r="DPB1" s="141"/>
      <c r="DPC1" s="141"/>
      <c r="DPD1" s="141"/>
      <c r="DPE1" s="141"/>
      <c r="DPF1" s="141"/>
      <c r="DPG1" s="141"/>
      <c r="DPH1" s="141"/>
      <c r="DPI1" s="141"/>
      <c r="DPJ1" s="141"/>
      <c r="DPK1" s="141"/>
      <c r="DPL1" s="141"/>
      <c r="DPM1" s="141"/>
      <c r="DPN1" s="141"/>
      <c r="DPO1" s="141"/>
      <c r="DPP1" s="141"/>
      <c r="DPQ1" s="141"/>
      <c r="DPR1" s="141"/>
      <c r="DPS1" s="141"/>
      <c r="DPT1" s="141"/>
      <c r="DPU1" s="141"/>
      <c r="DPV1" s="141"/>
      <c r="DPW1" s="141"/>
      <c r="DPX1" s="141"/>
      <c r="DPY1" s="141"/>
      <c r="DPZ1" s="141"/>
      <c r="DQA1" s="141"/>
      <c r="DQB1" s="141"/>
      <c r="DQC1" s="141"/>
      <c r="DQD1" s="141"/>
      <c r="DQE1" s="141"/>
      <c r="DQF1" s="141"/>
      <c r="DQG1" s="141"/>
      <c r="DQH1" s="141"/>
      <c r="DQI1" s="141"/>
      <c r="DQJ1" s="141"/>
      <c r="DQK1" s="141"/>
      <c r="DQL1" s="141"/>
      <c r="DQM1" s="141"/>
      <c r="DQN1" s="141"/>
      <c r="DQO1" s="141"/>
      <c r="DQP1" s="141"/>
      <c r="DQQ1" s="141"/>
      <c r="DQR1" s="141"/>
      <c r="DQS1" s="141"/>
      <c r="DQT1" s="141"/>
      <c r="DQU1" s="141"/>
      <c r="DQV1" s="141"/>
      <c r="DQW1" s="141"/>
      <c r="DQX1" s="141"/>
      <c r="DQY1" s="141"/>
      <c r="DQZ1" s="141"/>
      <c r="DRA1" s="141"/>
      <c r="DRB1" s="141"/>
      <c r="DRC1" s="141"/>
      <c r="DRD1" s="141"/>
      <c r="DRE1" s="141"/>
      <c r="DRF1" s="141"/>
      <c r="DRG1" s="141"/>
      <c r="DRH1" s="141"/>
      <c r="DRI1" s="141"/>
      <c r="DRJ1" s="141"/>
      <c r="DRK1" s="141"/>
      <c r="DRL1" s="141"/>
      <c r="DRM1" s="141"/>
      <c r="DRN1" s="141"/>
      <c r="DRO1" s="141"/>
      <c r="DRP1" s="141"/>
      <c r="DRQ1" s="141"/>
      <c r="DRR1" s="141"/>
      <c r="DRS1" s="141"/>
      <c r="DRT1" s="141"/>
      <c r="DRU1" s="141"/>
      <c r="DRV1" s="141"/>
      <c r="DRW1" s="141"/>
      <c r="DRX1" s="141"/>
      <c r="DRY1" s="141"/>
      <c r="DRZ1" s="141"/>
      <c r="DSA1" s="141"/>
      <c r="DSB1" s="141"/>
      <c r="DSC1" s="141"/>
      <c r="DSD1" s="141"/>
      <c r="DSE1" s="141"/>
      <c r="DSF1" s="141"/>
      <c r="DSG1" s="141"/>
      <c r="DSH1" s="141"/>
      <c r="DSI1" s="141"/>
      <c r="DSJ1" s="141"/>
      <c r="DSK1" s="141"/>
      <c r="DSL1" s="141"/>
      <c r="DSM1" s="141"/>
      <c r="DSN1" s="141"/>
      <c r="DSO1" s="141"/>
      <c r="DSP1" s="141"/>
      <c r="DSQ1" s="141"/>
      <c r="DSR1" s="141"/>
      <c r="DSS1" s="141"/>
      <c r="DST1" s="141"/>
      <c r="DSU1" s="141"/>
      <c r="DSV1" s="141"/>
      <c r="DSW1" s="141"/>
      <c r="DSX1" s="141"/>
      <c r="DSY1" s="141"/>
      <c r="DSZ1" s="141"/>
      <c r="DTA1" s="141"/>
      <c r="DTB1" s="141"/>
      <c r="DTC1" s="141"/>
      <c r="DTD1" s="141"/>
      <c r="DTE1" s="141"/>
      <c r="DTF1" s="141"/>
      <c r="DTG1" s="141"/>
      <c r="DTH1" s="141"/>
      <c r="DTI1" s="141"/>
      <c r="DTJ1" s="141"/>
      <c r="DTK1" s="141"/>
      <c r="DTL1" s="141"/>
      <c r="DTM1" s="141"/>
      <c r="DTN1" s="141"/>
      <c r="DTO1" s="141"/>
      <c r="DTP1" s="141"/>
      <c r="DTQ1" s="141"/>
      <c r="DTR1" s="141"/>
      <c r="DTS1" s="141"/>
      <c r="DTT1" s="141"/>
      <c r="DTU1" s="141"/>
      <c r="DTV1" s="141"/>
      <c r="DTW1" s="141"/>
      <c r="DTX1" s="141"/>
      <c r="DTY1" s="141"/>
      <c r="DTZ1" s="141"/>
      <c r="DUA1" s="141"/>
      <c r="DUB1" s="141"/>
      <c r="DUC1" s="141"/>
      <c r="DUD1" s="141"/>
      <c r="DUE1" s="141"/>
      <c r="DUF1" s="141"/>
      <c r="DUG1" s="141"/>
      <c r="DUH1" s="141"/>
      <c r="DUI1" s="141"/>
      <c r="DUJ1" s="141"/>
      <c r="DUK1" s="141"/>
      <c r="DUL1" s="141"/>
      <c r="DUM1" s="141"/>
      <c r="DUN1" s="141"/>
      <c r="DUO1" s="141"/>
      <c r="DUP1" s="141"/>
      <c r="DUQ1" s="141"/>
      <c r="DUR1" s="141"/>
      <c r="DUS1" s="141"/>
      <c r="DUT1" s="141"/>
      <c r="DUU1" s="141"/>
      <c r="DUV1" s="141"/>
      <c r="DUW1" s="141"/>
      <c r="DUX1" s="141"/>
      <c r="DUY1" s="141"/>
      <c r="DUZ1" s="141"/>
      <c r="DVA1" s="141"/>
      <c r="DVB1" s="141"/>
      <c r="DVC1" s="141"/>
      <c r="DVD1" s="141"/>
      <c r="DVE1" s="141"/>
      <c r="DVF1" s="141"/>
      <c r="DVG1" s="141"/>
      <c r="DVH1" s="141"/>
      <c r="DVI1" s="141"/>
      <c r="DVJ1" s="141"/>
      <c r="DVK1" s="141"/>
      <c r="DVL1" s="141"/>
      <c r="DVM1" s="141"/>
      <c r="DVN1" s="141"/>
      <c r="DVO1" s="141"/>
      <c r="DVP1" s="141"/>
      <c r="DVQ1" s="141"/>
      <c r="DVR1" s="141"/>
      <c r="DVS1" s="141"/>
      <c r="DVT1" s="141"/>
      <c r="DVU1" s="141"/>
      <c r="DVV1" s="141"/>
      <c r="DVW1" s="141"/>
      <c r="DVX1" s="141"/>
      <c r="DVY1" s="141"/>
      <c r="DVZ1" s="141"/>
      <c r="DWA1" s="141"/>
      <c r="DWB1" s="141"/>
      <c r="DWC1" s="141"/>
      <c r="DWD1" s="141"/>
      <c r="DWE1" s="141"/>
      <c r="DWF1" s="141"/>
      <c r="DWG1" s="141"/>
      <c r="DWH1" s="141"/>
      <c r="DWI1" s="141"/>
      <c r="DWJ1" s="141"/>
      <c r="DWK1" s="141"/>
      <c r="DWL1" s="141"/>
      <c r="DWM1" s="141"/>
      <c r="DWN1" s="141"/>
      <c r="DWO1" s="141"/>
      <c r="DWP1" s="141"/>
      <c r="DWQ1" s="141"/>
      <c r="DWR1" s="141"/>
      <c r="DWS1" s="141"/>
      <c r="DWT1" s="141"/>
      <c r="DWU1" s="141"/>
      <c r="DWV1" s="141"/>
      <c r="DWW1" s="141"/>
      <c r="DWX1" s="141"/>
      <c r="DWY1" s="141"/>
      <c r="DWZ1" s="141"/>
      <c r="DXA1" s="141"/>
      <c r="DXB1" s="141"/>
      <c r="DXC1" s="141"/>
      <c r="DXD1" s="141"/>
      <c r="DXE1" s="141"/>
      <c r="DXF1" s="141"/>
      <c r="DXG1" s="141"/>
      <c r="DXH1" s="141"/>
      <c r="DXI1" s="141"/>
      <c r="DXJ1" s="141"/>
      <c r="DXK1" s="141"/>
      <c r="DXL1" s="141"/>
      <c r="DXM1" s="141"/>
      <c r="DXN1" s="141"/>
      <c r="DXO1" s="141"/>
      <c r="DXP1" s="141"/>
      <c r="DXQ1" s="141"/>
      <c r="DXR1" s="141"/>
      <c r="DXS1" s="141"/>
      <c r="DXT1" s="141"/>
      <c r="DXU1" s="141"/>
      <c r="DXV1" s="141"/>
      <c r="DXW1" s="141"/>
      <c r="DXX1" s="141"/>
      <c r="DXY1" s="141"/>
      <c r="DXZ1" s="141"/>
      <c r="DYA1" s="141"/>
      <c r="DYB1" s="141"/>
      <c r="DYC1" s="141"/>
      <c r="DYD1" s="141"/>
      <c r="DYE1" s="141"/>
      <c r="DYF1" s="141"/>
      <c r="DYG1" s="141"/>
      <c r="DYH1" s="141"/>
      <c r="DYI1" s="141"/>
      <c r="DYJ1" s="141"/>
      <c r="DYK1" s="141"/>
      <c r="DYL1" s="141"/>
      <c r="DYM1" s="141"/>
      <c r="DYN1" s="141"/>
      <c r="DYO1" s="141"/>
      <c r="DYP1" s="141"/>
      <c r="DYQ1" s="141"/>
      <c r="DYR1" s="141"/>
      <c r="DYS1" s="141"/>
      <c r="DYT1" s="141"/>
      <c r="DYU1" s="141"/>
      <c r="DYV1" s="141"/>
      <c r="DYW1" s="141"/>
      <c r="DYX1" s="141"/>
      <c r="DYY1" s="141"/>
      <c r="DYZ1" s="141"/>
      <c r="DZA1" s="141"/>
      <c r="DZB1" s="141"/>
      <c r="DZC1" s="141"/>
      <c r="DZD1" s="141"/>
      <c r="DZE1" s="141"/>
      <c r="DZF1" s="141"/>
      <c r="DZG1" s="141"/>
      <c r="DZH1" s="141"/>
      <c r="DZI1" s="141"/>
      <c r="DZJ1" s="141"/>
      <c r="DZK1" s="141"/>
      <c r="DZL1" s="141"/>
      <c r="DZM1" s="141"/>
      <c r="DZN1" s="141"/>
      <c r="DZO1" s="141"/>
      <c r="DZP1" s="141"/>
      <c r="DZQ1" s="141"/>
      <c r="DZR1" s="141"/>
      <c r="DZS1" s="141"/>
      <c r="DZT1" s="141"/>
      <c r="DZU1" s="141"/>
      <c r="DZV1" s="141"/>
      <c r="DZW1" s="141"/>
      <c r="DZX1" s="141"/>
      <c r="DZY1" s="141"/>
      <c r="DZZ1" s="141"/>
      <c r="EAA1" s="141"/>
      <c r="EAB1" s="141"/>
      <c r="EAC1" s="141"/>
      <c r="EAD1" s="141"/>
      <c r="EAE1" s="141"/>
      <c r="EAF1" s="141"/>
      <c r="EAG1" s="141"/>
      <c r="EAH1" s="141"/>
      <c r="EAI1" s="141"/>
      <c r="EAJ1" s="141"/>
      <c r="EAK1" s="141"/>
      <c r="EAL1" s="141"/>
      <c r="EAM1" s="141"/>
      <c r="EAN1" s="141"/>
      <c r="EAO1" s="141"/>
      <c r="EAP1" s="141"/>
      <c r="EAQ1" s="141"/>
      <c r="EAR1" s="141"/>
      <c r="EAS1" s="141"/>
      <c r="EAT1" s="141"/>
      <c r="EAU1" s="141"/>
      <c r="EAV1" s="141"/>
      <c r="EAW1" s="141"/>
      <c r="EAX1" s="141"/>
      <c r="EAY1" s="141"/>
      <c r="EAZ1" s="141"/>
      <c r="EBA1" s="141"/>
      <c r="EBB1" s="141"/>
      <c r="EBC1" s="141"/>
      <c r="EBD1" s="141"/>
      <c r="EBE1" s="141"/>
      <c r="EBF1" s="141"/>
      <c r="EBG1" s="141"/>
      <c r="EBH1" s="141"/>
      <c r="EBI1" s="141"/>
      <c r="EBJ1" s="141"/>
      <c r="EBK1" s="141"/>
      <c r="EBL1" s="141"/>
      <c r="EBM1" s="141"/>
      <c r="EBN1" s="141"/>
      <c r="EBO1" s="141"/>
      <c r="EBP1" s="141"/>
      <c r="EBQ1" s="141"/>
      <c r="EBR1" s="141"/>
      <c r="EBS1" s="141"/>
      <c r="EBT1" s="141"/>
      <c r="EBU1" s="141"/>
      <c r="EBV1" s="141"/>
      <c r="EBW1" s="141"/>
      <c r="EBX1" s="141"/>
      <c r="EBY1" s="141"/>
      <c r="EBZ1" s="141"/>
      <c r="ECA1" s="141"/>
      <c r="ECB1" s="141"/>
      <c r="ECC1" s="141"/>
      <c r="ECD1" s="141"/>
      <c r="ECE1" s="141"/>
      <c r="ECF1" s="141"/>
      <c r="ECG1" s="141"/>
      <c r="ECH1" s="141"/>
      <c r="ECI1" s="141"/>
      <c r="ECJ1" s="141"/>
      <c r="ECK1" s="141"/>
      <c r="ECL1" s="141"/>
      <c r="ECM1" s="141"/>
      <c r="ECN1" s="141"/>
      <c r="ECO1" s="141"/>
      <c r="ECP1" s="141"/>
      <c r="ECQ1" s="141"/>
      <c r="ECR1" s="141"/>
      <c r="ECS1" s="141"/>
      <c r="ECT1" s="141"/>
      <c r="ECU1" s="141"/>
      <c r="ECV1" s="141"/>
      <c r="ECW1" s="141"/>
      <c r="ECX1" s="141"/>
      <c r="ECY1" s="141"/>
      <c r="ECZ1" s="141"/>
      <c r="EDA1" s="141"/>
      <c r="EDB1" s="141"/>
      <c r="EDC1" s="141"/>
      <c r="EDD1" s="141"/>
      <c r="EDE1" s="141"/>
      <c r="EDF1" s="141"/>
      <c r="EDG1" s="141"/>
      <c r="EDH1" s="141"/>
      <c r="EDI1" s="141"/>
      <c r="EDJ1" s="141"/>
      <c r="EDK1" s="141"/>
      <c r="EDL1" s="141"/>
      <c r="EDM1" s="141"/>
      <c r="EDN1" s="141"/>
      <c r="EDO1" s="141"/>
      <c r="EDP1" s="141"/>
      <c r="EDQ1" s="141"/>
      <c r="EDR1" s="141"/>
      <c r="EDS1" s="141"/>
      <c r="EDT1" s="141"/>
      <c r="EDU1" s="141"/>
      <c r="EDV1" s="141"/>
      <c r="EDW1" s="141"/>
      <c r="EDX1" s="141"/>
      <c r="EDY1" s="141"/>
      <c r="EDZ1" s="141"/>
      <c r="EEA1" s="141"/>
      <c r="EEB1" s="141"/>
      <c r="EEC1" s="141"/>
      <c r="EED1" s="141"/>
      <c r="EEE1" s="141"/>
      <c r="EEF1" s="141"/>
      <c r="EEG1" s="141"/>
      <c r="EEH1" s="141"/>
      <c r="EEI1" s="141"/>
      <c r="EEJ1" s="141"/>
      <c r="EEK1" s="141"/>
      <c r="EEL1" s="141"/>
      <c r="EEM1" s="141"/>
      <c r="EEN1" s="141"/>
      <c r="EEO1" s="141"/>
      <c r="EEP1" s="141"/>
      <c r="EEQ1" s="141"/>
      <c r="EER1" s="141"/>
      <c r="EES1" s="141"/>
      <c r="EET1" s="141"/>
      <c r="EEU1" s="141"/>
      <c r="EEV1" s="141"/>
      <c r="EEW1" s="141"/>
      <c r="EEX1" s="141"/>
      <c r="EEY1" s="141"/>
      <c r="EEZ1" s="141"/>
      <c r="EFA1" s="141"/>
      <c r="EFB1" s="141"/>
      <c r="EFC1" s="141"/>
      <c r="EFD1" s="141"/>
      <c r="EFE1" s="141"/>
      <c r="EFF1" s="141"/>
      <c r="EFG1" s="141"/>
      <c r="EFH1" s="141"/>
      <c r="EFI1" s="141"/>
      <c r="EFJ1" s="141"/>
      <c r="EFK1" s="141"/>
      <c r="EFL1" s="141"/>
      <c r="EFM1" s="141"/>
      <c r="EFN1" s="141"/>
      <c r="EFO1" s="141"/>
      <c r="EFP1" s="141"/>
      <c r="EFQ1" s="141"/>
      <c r="EFR1" s="141"/>
      <c r="EFS1" s="141"/>
      <c r="EFT1" s="141"/>
      <c r="EFU1" s="141"/>
      <c r="EFV1" s="141"/>
      <c r="EFW1" s="141"/>
      <c r="EFX1" s="141"/>
      <c r="EFY1" s="141"/>
      <c r="EFZ1" s="141"/>
      <c r="EGA1" s="141"/>
      <c r="EGB1" s="141"/>
      <c r="EGC1" s="141"/>
      <c r="EGD1" s="141"/>
      <c r="EGE1" s="141"/>
      <c r="EGF1" s="141"/>
      <c r="EGG1" s="141"/>
      <c r="EGH1" s="141"/>
      <c r="EGI1" s="141"/>
      <c r="EGJ1" s="141"/>
      <c r="EGK1" s="141"/>
      <c r="EGL1" s="141"/>
      <c r="EGM1" s="141"/>
      <c r="EGN1" s="141"/>
      <c r="EGO1" s="141"/>
      <c r="EGP1" s="141"/>
      <c r="EGQ1" s="141"/>
      <c r="EGR1" s="141"/>
      <c r="EGS1" s="141"/>
      <c r="EGT1" s="141"/>
      <c r="EGU1" s="141"/>
      <c r="EGV1" s="141"/>
      <c r="EGW1" s="141"/>
      <c r="EGX1" s="141"/>
      <c r="EGY1" s="141"/>
      <c r="EGZ1" s="141"/>
      <c r="EHA1" s="141"/>
      <c r="EHB1" s="141"/>
      <c r="EHC1" s="141"/>
      <c r="EHD1" s="141"/>
      <c r="EHE1" s="141"/>
      <c r="EHF1" s="141"/>
      <c r="EHG1" s="141"/>
      <c r="EHH1" s="141"/>
      <c r="EHI1" s="141"/>
      <c r="EHJ1" s="141"/>
      <c r="EHK1" s="141"/>
      <c r="EHL1" s="141"/>
      <c r="EHM1" s="141"/>
      <c r="EHN1" s="141"/>
      <c r="EHO1" s="141"/>
      <c r="EHP1" s="141"/>
      <c r="EHQ1" s="141"/>
      <c r="EHR1" s="141"/>
      <c r="EHS1" s="141"/>
      <c r="EHT1" s="141"/>
      <c r="EHU1" s="141"/>
      <c r="EHV1" s="141"/>
      <c r="EHW1" s="141"/>
      <c r="EHX1" s="141"/>
      <c r="EHY1" s="141"/>
      <c r="EHZ1" s="141"/>
      <c r="EIA1" s="141"/>
      <c r="EIB1" s="141"/>
      <c r="EIC1" s="141"/>
      <c r="EID1" s="141"/>
      <c r="EIE1" s="141"/>
      <c r="EIF1" s="141"/>
      <c r="EIG1" s="141"/>
      <c r="EIH1" s="141"/>
      <c r="EII1" s="141"/>
      <c r="EIJ1" s="141"/>
      <c r="EIK1" s="141"/>
      <c r="EIL1" s="141"/>
      <c r="EIM1" s="141"/>
      <c r="EIN1" s="141"/>
      <c r="EIO1" s="141"/>
      <c r="EIP1" s="141"/>
      <c r="EIQ1" s="141"/>
      <c r="EIR1" s="141"/>
      <c r="EIS1" s="141"/>
      <c r="EIT1" s="141"/>
      <c r="EIU1" s="141"/>
      <c r="EIV1" s="141"/>
      <c r="EIW1" s="141"/>
      <c r="EIX1" s="141"/>
      <c r="EIY1" s="141"/>
      <c r="EIZ1" s="141"/>
      <c r="EJA1" s="141"/>
      <c r="EJB1" s="141"/>
      <c r="EJC1" s="141"/>
      <c r="EJD1" s="141"/>
      <c r="EJE1" s="141"/>
      <c r="EJF1" s="141"/>
      <c r="EJG1" s="141"/>
      <c r="EJH1" s="141"/>
      <c r="EJI1" s="141"/>
      <c r="EJJ1" s="141"/>
      <c r="EJK1" s="141"/>
      <c r="EJL1" s="141"/>
      <c r="EJM1" s="141"/>
      <c r="EJN1" s="141"/>
      <c r="EJO1" s="141"/>
      <c r="EJP1" s="141"/>
      <c r="EJQ1" s="141"/>
      <c r="EJR1" s="141"/>
      <c r="EJS1" s="141"/>
      <c r="EJT1" s="141"/>
      <c r="EJU1" s="141"/>
      <c r="EJV1" s="141"/>
      <c r="EJW1" s="141"/>
      <c r="EJX1" s="141"/>
      <c r="EJY1" s="141"/>
      <c r="EJZ1" s="141"/>
      <c r="EKA1" s="141"/>
      <c r="EKB1" s="141"/>
      <c r="EKC1" s="141"/>
      <c r="EKD1" s="141"/>
      <c r="EKE1" s="141"/>
      <c r="EKF1" s="141"/>
      <c r="EKG1" s="141"/>
      <c r="EKH1" s="141"/>
      <c r="EKI1" s="141"/>
      <c r="EKJ1" s="141"/>
      <c r="EKK1" s="141"/>
      <c r="EKL1" s="141"/>
      <c r="EKM1" s="141"/>
      <c r="EKN1" s="141"/>
      <c r="EKO1" s="141"/>
      <c r="EKP1" s="141"/>
      <c r="EKQ1" s="141"/>
      <c r="EKR1" s="141"/>
      <c r="EKS1" s="141"/>
      <c r="EKT1" s="141"/>
      <c r="EKU1" s="141"/>
      <c r="EKV1" s="141"/>
      <c r="EKW1" s="141"/>
      <c r="EKX1" s="141"/>
      <c r="EKY1" s="141"/>
      <c r="EKZ1" s="141"/>
      <c r="ELA1" s="141"/>
      <c r="ELB1" s="141"/>
      <c r="ELC1" s="141"/>
      <c r="ELD1" s="141"/>
      <c r="ELE1" s="141"/>
      <c r="ELF1" s="141"/>
      <c r="ELG1" s="141"/>
      <c r="ELH1" s="141"/>
      <c r="ELI1" s="141"/>
      <c r="ELJ1" s="141"/>
      <c r="ELK1" s="141"/>
      <c r="ELL1" s="141"/>
      <c r="ELM1" s="141"/>
      <c r="ELN1" s="141"/>
      <c r="ELO1" s="141"/>
      <c r="ELP1" s="141"/>
      <c r="ELQ1" s="141"/>
      <c r="ELR1" s="141"/>
      <c r="ELS1" s="141"/>
      <c r="ELT1" s="141"/>
      <c r="ELU1" s="141"/>
      <c r="ELV1" s="141"/>
      <c r="ELW1" s="141"/>
      <c r="ELX1" s="141"/>
      <c r="ELY1" s="141"/>
      <c r="ELZ1" s="141"/>
      <c r="EMA1" s="141"/>
      <c r="EMB1" s="141"/>
      <c r="EMC1" s="141"/>
      <c r="EMD1" s="141"/>
      <c r="EME1" s="141"/>
      <c r="EMF1" s="141"/>
      <c r="EMG1" s="141"/>
      <c r="EMH1" s="141"/>
      <c r="EMI1" s="141"/>
      <c r="EMJ1" s="141"/>
      <c r="EMK1" s="141"/>
      <c r="EML1" s="141"/>
      <c r="EMM1" s="141"/>
      <c r="EMN1" s="141"/>
      <c r="EMO1" s="141"/>
      <c r="EMP1" s="141"/>
      <c r="EMQ1" s="141"/>
      <c r="EMR1" s="141"/>
      <c r="EMS1" s="141"/>
      <c r="EMT1" s="141"/>
      <c r="EMU1" s="141"/>
      <c r="EMV1" s="141"/>
      <c r="EMW1" s="141"/>
      <c r="EMX1" s="141"/>
      <c r="EMY1" s="141"/>
      <c r="EMZ1" s="141"/>
      <c r="ENA1" s="141"/>
      <c r="ENB1" s="141"/>
      <c r="ENC1" s="141"/>
      <c r="END1" s="141"/>
      <c r="ENE1" s="141"/>
      <c r="ENF1" s="141"/>
      <c r="ENG1" s="141"/>
      <c r="ENH1" s="141"/>
      <c r="ENI1" s="141"/>
      <c r="ENJ1" s="141"/>
      <c r="ENK1" s="141"/>
      <c r="ENL1" s="141"/>
      <c r="ENM1" s="141"/>
      <c r="ENN1" s="141"/>
      <c r="ENO1" s="141"/>
      <c r="ENP1" s="141"/>
      <c r="ENQ1" s="141"/>
      <c r="ENR1" s="141"/>
      <c r="ENS1" s="141"/>
      <c r="ENT1" s="141"/>
      <c r="ENU1" s="141"/>
      <c r="ENV1" s="141"/>
      <c r="ENW1" s="141"/>
      <c r="ENX1" s="141"/>
      <c r="ENY1" s="141"/>
      <c r="ENZ1" s="141"/>
      <c r="EOA1" s="141"/>
      <c r="EOB1" s="141"/>
      <c r="EOC1" s="141"/>
      <c r="EOD1" s="141"/>
      <c r="EOE1" s="141"/>
      <c r="EOF1" s="141"/>
      <c r="EOG1" s="141"/>
      <c r="EOH1" s="141"/>
      <c r="EOI1" s="141"/>
      <c r="EOJ1" s="141"/>
      <c r="EOK1" s="141"/>
      <c r="EOL1" s="141"/>
      <c r="EOM1" s="141"/>
      <c r="EON1" s="141"/>
      <c r="EOO1" s="141"/>
      <c r="EOP1" s="141"/>
      <c r="EOQ1" s="141"/>
      <c r="EOR1" s="141"/>
      <c r="EOS1" s="141"/>
      <c r="EOT1" s="141"/>
      <c r="EOU1" s="141"/>
      <c r="EOV1" s="141"/>
      <c r="EOW1" s="141"/>
      <c r="EOX1" s="141"/>
      <c r="EOY1" s="141"/>
      <c r="EOZ1" s="141"/>
      <c r="EPA1" s="141"/>
      <c r="EPB1" s="141"/>
      <c r="EPC1" s="141"/>
      <c r="EPD1" s="141"/>
      <c r="EPE1" s="141"/>
      <c r="EPF1" s="141"/>
      <c r="EPG1" s="141"/>
      <c r="EPH1" s="141"/>
      <c r="EPI1" s="141"/>
      <c r="EPJ1" s="141"/>
      <c r="EPK1" s="141"/>
      <c r="EPL1" s="141"/>
      <c r="EPM1" s="141"/>
      <c r="EPN1" s="141"/>
      <c r="EPO1" s="141"/>
      <c r="EPP1" s="141"/>
      <c r="EPQ1" s="141"/>
      <c r="EPR1" s="141"/>
      <c r="EPS1" s="141"/>
      <c r="EPT1" s="141"/>
      <c r="EPU1" s="141"/>
      <c r="EPV1" s="141"/>
      <c r="EPW1" s="141"/>
      <c r="EPX1" s="141"/>
      <c r="EPY1" s="141"/>
      <c r="EPZ1" s="141"/>
      <c r="EQA1" s="141"/>
      <c r="EQB1" s="141"/>
      <c r="EQC1" s="141"/>
      <c r="EQD1" s="141"/>
      <c r="EQE1" s="141"/>
      <c r="EQF1" s="141"/>
      <c r="EQG1" s="141"/>
      <c r="EQH1" s="141"/>
      <c r="EQI1" s="141"/>
      <c r="EQJ1" s="141"/>
      <c r="EQK1" s="141"/>
      <c r="EQL1" s="141"/>
      <c r="EQM1" s="141"/>
      <c r="EQN1" s="141"/>
      <c r="EQO1" s="141"/>
      <c r="EQP1" s="141"/>
      <c r="EQQ1" s="141"/>
      <c r="EQR1" s="141"/>
      <c r="EQS1" s="141"/>
      <c r="EQT1" s="141"/>
      <c r="EQU1" s="141"/>
      <c r="EQV1" s="141"/>
      <c r="EQW1" s="141"/>
      <c r="EQX1" s="141"/>
      <c r="EQY1" s="141"/>
      <c r="EQZ1" s="141"/>
      <c r="ERA1" s="141"/>
      <c r="ERB1" s="141"/>
      <c r="ERC1" s="141"/>
      <c r="ERD1" s="141"/>
      <c r="ERE1" s="141"/>
      <c r="ERF1" s="141"/>
      <c r="ERG1" s="141"/>
      <c r="ERH1" s="141"/>
      <c r="ERI1" s="141"/>
      <c r="ERJ1" s="141"/>
      <c r="ERK1" s="141"/>
      <c r="ERL1" s="141"/>
      <c r="ERM1" s="141"/>
      <c r="ERN1" s="141"/>
      <c r="ERO1" s="141"/>
      <c r="ERP1" s="141"/>
      <c r="ERQ1" s="141"/>
      <c r="ERR1" s="141"/>
      <c r="ERS1" s="141"/>
      <c r="ERT1" s="141"/>
      <c r="ERU1" s="141"/>
      <c r="ERV1" s="141"/>
      <c r="ERW1" s="141"/>
      <c r="ERX1" s="141"/>
      <c r="ERY1" s="141"/>
      <c r="ERZ1" s="141"/>
      <c r="ESA1" s="141"/>
      <c r="ESB1" s="141"/>
      <c r="ESC1" s="141"/>
      <c r="ESD1" s="141"/>
      <c r="ESE1" s="141"/>
      <c r="ESF1" s="141"/>
      <c r="ESG1" s="141"/>
      <c r="ESH1" s="141"/>
      <c r="ESI1" s="141"/>
      <c r="ESJ1" s="141"/>
      <c r="ESK1" s="141"/>
      <c r="ESL1" s="141"/>
      <c r="ESM1" s="141"/>
      <c r="ESN1" s="141"/>
      <c r="ESO1" s="141"/>
      <c r="ESP1" s="141"/>
      <c r="ESQ1" s="141"/>
      <c r="ESR1" s="141"/>
      <c r="ESS1" s="141"/>
      <c r="EST1" s="141"/>
      <c r="ESU1" s="141"/>
      <c r="ESV1" s="141"/>
      <c r="ESW1" s="141"/>
      <c r="ESX1" s="141"/>
      <c r="ESY1" s="141"/>
      <c r="ESZ1" s="141"/>
      <c r="ETA1" s="141"/>
      <c r="ETB1" s="141"/>
      <c r="ETC1" s="141"/>
      <c r="ETD1" s="141"/>
      <c r="ETE1" s="141"/>
      <c r="ETF1" s="141"/>
      <c r="ETG1" s="141"/>
      <c r="ETH1" s="141"/>
      <c r="ETI1" s="141"/>
      <c r="ETJ1" s="141"/>
      <c r="ETK1" s="141"/>
      <c r="ETL1" s="141"/>
      <c r="ETM1" s="141"/>
      <c r="ETN1" s="141"/>
      <c r="ETO1" s="141"/>
      <c r="ETP1" s="141"/>
      <c r="ETQ1" s="141"/>
      <c r="ETR1" s="141"/>
      <c r="ETS1" s="141"/>
      <c r="ETT1" s="141"/>
      <c r="ETU1" s="141"/>
      <c r="ETV1" s="141"/>
      <c r="ETW1" s="141"/>
      <c r="ETX1" s="141"/>
      <c r="ETY1" s="141"/>
      <c r="ETZ1" s="141"/>
      <c r="EUA1" s="141"/>
      <c r="EUB1" s="141"/>
      <c r="EUC1" s="141"/>
      <c r="EUD1" s="141"/>
      <c r="EUE1" s="141"/>
      <c r="EUF1" s="141"/>
      <c r="EUG1" s="141"/>
      <c r="EUH1" s="141"/>
      <c r="EUI1" s="141"/>
      <c r="EUJ1" s="141"/>
      <c r="EUK1" s="141"/>
      <c r="EUL1" s="141"/>
      <c r="EUM1" s="141"/>
      <c r="EUN1" s="141"/>
      <c r="EUO1" s="141"/>
      <c r="EUP1" s="141"/>
      <c r="EUQ1" s="141"/>
      <c r="EUR1" s="141"/>
      <c r="EUS1" s="141"/>
      <c r="EUT1" s="141"/>
      <c r="EUU1" s="141"/>
      <c r="EUV1" s="141"/>
      <c r="EUW1" s="141"/>
      <c r="EUX1" s="141"/>
      <c r="EUY1" s="141"/>
      <c r="EUZ1" s="141"/>
      <c r="EVA1" s="141"/>
      <c r="EVB1" s="141"/>
      <c r="EVC1" s="141"/>
      <c r="EVD1" s="141"/>
      <c r="EVE1" s="141"/>
      <c r="EVF1" s="141"/>
      <c r="EVG1" s="141"/>
      <c r="EVH1" s="141"/>
      <c r="EVI1" s="141"/>
      <c r="EVJ1" s="141"/>
      <c r="EVK1" s="141"/>
      <c r="EVL1" s="141"/>
      <c r="EVM1" s="141"/>
      <c r="EVN1" s="141"/>
      <c r="EVO1" s="141"/>
      <c r="EVP1" s="141"/>
      <c r="EVQ1" s="141"/>
      <c r="EVR1" s="141"/>
      <c r="EVS1" s="141"/>
      <c r="EVT1" s="141"/>
      <c r="EVU1" s="141"/>
      <c r="EVV1" s="141"/>
      <c r="EVW1" s="141"/>
      <c r="EVX1" s="141"/>
      <c r="EVY1" s="141"/>
      <c r="EVZ1" s="141"/>
      <c r="EWA1" s="141"/>
      <c r="EWB1" s="141"/>
      <c r="EWC1" s="141"/>
      <c r="EWD1" s="141"/>
      <c r="EWE1" s="141"/>
      <c r="EWF1" s="141"/>
      <c r="EWG1" s="141"/>
      <c r="EWH1" s="141"/>
      <c r="EWI1" s="141"/>
      <c r="EWJ1" s="141"/>
      <c r="EWK1" s="141"/>
      <c r="EWL1" s="141"/>
      <c r="EWM1" s="141"/>
      <c r="EWN1" s="141"/>
      <c r="EWO1" s="141"/>
      <c r="EWP1" s="141"/>
      <c r="EWQ1" s="141"/>
      <c r="EWR1" s="141"/>
      <c r="EWS1" s="141"/>
      <c r="EWT1" s="141"/>
      <c r="EWU1" s="141"/>
      <c r="EWV1" s="141"/>
      <c r="EWW1" s="141"/>
      <c r="EWX1" s="141"/>
      <c r="EWY1" s="141"/>
      <c r="EWZ1" s="141"/>
      <c r="EXA1" s="141"/>
      <c r="EXB1" s="141"/>
      <c r="EXC1" s="141"/>
      <c r="EXD1" s="141"/>
      <c r="EXE1" s="141"/>
      <c r="EXF1" s="141"/>
      <c r="EXG1" s="141"/>
      <c r="EXH1" s="141"/>
      <c r="EXI1" s="141"/>
      <c r="EXJ1" s="141"/>
      <c r="EXK1" s="141"/>
      <c r="EXL1" s="141"/>
      <c r="EXM1" s="141"/>
      <c r="EXN1" s="141"/>
      <c r="EXO1" s="141"/>
      <c r="EXP1" s="141"/>
      <c r="EXQ1" s="141"/>
      <c r="EXR1" s="141"/>
      <c r="EXS1" s="141"/>
      <c r="EXT1" s="141"/>
      <c r="EXU1" s="141"/>
      <c r="EXV1" s="141"/>
      <c r="EXW1" s="141"/>
      <c r="EXX1" s="141"/>
      <c r="EXY1" s="141"/>
      <c r="EXZ1" s="141"/>
      <c r="EYA1" s="141"/>
      <c r="EYB1" s="141"/>
      <c r="EYC1" s="141"/>
      <c r="EYD1" s="141"/>
      <c r="EYE1" s="141"/>
      <c r="EYF1" s="141"/>
      <c r="EYG1" s="141"/>
      <c r="EYH1" s="141"/>
      <c r="EYI1" s="141"/>
      <c r="EYJ1" s="141"/>
      <c r="EYK1" s="141"/>
      <c r="EYL1" s="141"/>
      <c r="EYM1" s="141"/>
      <c r="EYN1" s="141"/>
      <c r="EYO1" s="141"/>
      <c r="EYP1" s="141"/>
      <c r="EYQ1" s="141"/>
      <c r="EYR1" s="141"/>
      <c r="EYS1" s="141"/>
      <c r="EYT1" s="141"/>
      <c r="EYU1" s="141"/>
      <c r="EYV1" s="141"/>
      <c r="EYW1" s="141"/>
      <c r="EYX1" s="141"/>
      <c r="EYY1" s="141"/>
      <c r="EYZ1" s="141"/>
      <c r="EZA1" s="141"/>
      <c r="EZB1" s="141"/>
      <c r="EZC1" s="141"/>
      <c r="EZD1" s="141"/>
      <c r="EZE1" s="141"/>
      <c r="EZF1" s="141"/>
      <c r="EZG1" s="141"/>
      <c r="EZH1" s="141"/>
      <c r="EZI1" s="141"/>
      <c r="EZJ1" s="141"/>
      <c r="EZK1" s="141"/>
      <c r="EZL1" s="141"/>
      <c r="EZM1" s="141"/>
      <c r="EZN1" s="141"/>
      <c r="EZO1" s="141"/>
      <c r="EZP1" s="141"/>
      <c r="EZQ1" s="141"/>
      <c r="EZR1" s="141"/>
      <c r="EZS1" s="141"/>
      <c r="EZT1" s="141"/>
      <c r="EZU1" s="141"/>
      <c r="EZV1" s="141"/>
      <c r="EZW1" s="141"/>
      <c r="EZX1" s="141"/>
      <c r="EZY1" s="141"/>
      <c r="EZZ1" s="141"/>
      <c r="FAA1" s="141"/>
      <c r="FAB1" s="141"/>
      <c r="FAC1" s="141"/>
      <c r="FAD1" s="141"/>
      <c r="FAE1" s="141"/>
      <c r="FAF1" s="141"/>
      <c r="FAG1" s="141"/>
      <c r="FAH1" s="141"/>
      <c r="FAI1" s="141"/>
      <c r="FAJ1" s="141"/>
      <c r="FAK1" s="141"/>
      <c r="FAL1" s="141"/>
      <c r="FAM1" s="141"/>
      <c r="FAN1" s="141"/>
      <c r="FAO1" s="141"/>
      <c r="FAP1" s="141"/>
      <c r="FAQ1" s="141"/>
      <c r="FAR1" s="141"/>
      <c r="FAS1" s="141"/>
      <c r="FAT1" s="141"/>
      <c r="FAU1" s="141"/>
      <c r="FAV1" s="141"/>
      <c r="FAW1" s="141"/>
      <c r="FAX1" s="141"/>
      <c r="FAY1" s="141"/>
      <c r="FAZ1" s="141"/>
      <c r="FBA1" s="141"/>
      <c r="FBB1" s="141"/>
      <c r="FBC1" s="141"/>
      <c r="FBD1" s="141"/>
      <c r="FBE1" s="141"/>
      <c r="FBF1" s="141"/>
      <c r="FBG1" s="141"/>
      <c r="FBH1" s="141"/>
      <c r="FBI1" s="141"/>
      <c r="FBJ1" s="141"/>
      <c r="FBK1" s="141"/>
      <c r="FBL1" s="141"/>
      <c r="FBM1" s="141"/>
      <c r="FBN1" s="141"/>
      <c r="FBO1" s="141"/>
      <c r="FBP1" s="141"/>
      <c r="FBQ1" s="141"/>
      <c r="FBR1" s="141"/>
      <c r="FBS1" s="141"/>
      <c r="FBT1" s="141"/>
      <c r="FBU1" s="141"/>
      <c r="FBV1" s="141"/>
      <c r="FBW1" s="141"/>
      <c r="FBX1" s="141"/>
      <c r="FBY1" s="141"/>
      <c r="FBZ1" s="141"/>
      <c r="FCA1" s="141"/>
      <c r="FCB1" s="141"/>
      <c r="FCC1" s="141"/>
      <c r="FCD1" s="141"/>
      <c r="FCE1" s="141"/>
      <c r="FCF1" s="141"/>
      <c r="FCG1" s="141"/>
      <c r="FCH1" s="141"/>
      <c r="FCI1" s="141"/>
      <c r="FCJ1" s="141"/>
      <c r="FCK1" s="141"/>
      <c r="FCL1" s="141"/>
      <c r="FCM1" s="141"/>
      <c r="FCN1" s="141"/>
      <c r="FCO1" s="141"/>
      <c r="FCP1" s="141"/>
      <c r="FCQ1" s="141"/>
      <c r="FCR1" s="141"/>
      <c r="FCS1" s="141"/>
      <c r="FCT1" s="141"/>
      <c r="FCU1" s="141"/>
      <c r="FCV1" s="141"/>
      <c r="FCW1" s="141"/>
      <c r="FCX1" s="141"/>
      <c r="FCY1" s="141"/>
      <c r="FCZ1" s="141"/>
      <c r="FDA1" s="141"/>
      <c r="FDB1" s="141"/>
      <c r="FDC1" s="141"/>
      <c r="FDD1" s="141"/>
      <c r="FDE1" s="141"/>
      <c r="FDF1" s="141"/>
      <c r="FDG1" s="141"/>
      <c r="FDH1" s="141"/>
      <c r="FDI1" s="141"/>
      <c r="FDJ1" s="141"/>
      <c r="FDK1" s="141"/>
      <c r="FDL1" s="141"/>
      <c r="FDM1" s="141"/>
      <c r="FDN1" s="141"/>
      <c r="FDO1" s="141"/>
      <c r="FDP1" s="141"/>
      <c r="FDQ1" s="141"/>
      <c r="FDR1" s="141"/>
      <c r="FDS1" s="141"/>
      <c r="FDT1" s="141"/>
      <c r="FDU1" s="141"/>
      <c r="FDV1" s="141"/>
      <c r="FDW1" s="141"/>
      <c r="FDX1" s="141"/>
      <c r="FDY1" s="141"/>
      <c r="FDZ1" s="141"/>
      <c r="FEA1" s="141"/>
      <c r="FEB1" s="141"/>
      <c r="FEC1" s="141"/>
      <c r="FED1" s="141"/>
      <c r="FEE1" s="141"/>
      <c r="FEF1" s="141"/>
      <c r="FEG1" s="141"/>
      <c r="FEH1" s="141"/>
      <c r="FEI1" s="141"/>
      <c r="FEJ1" s="141"/>
      <c r="FEK1" s="141"/>
      <c r="FEL1" s="141"/>
      <c r="FEM1" s="141"/>
      <c r="FEN1" s="141"/>
      <c r="FEO1" s="141"/>
      <c r="FEP1" s="141"/>
      <c r="FEQ1" s="141"/>
      <c r="FER1" s="141"/>
      <c r="FES1" s="141"/>
      <c r="FET1" s="141"/>
      <c r="FEU1" s="141"/>
      <c r="FEV1" s="141"/>
      <c r="FEW1" s="141"/>
      <c r="FEX1" s="141"/>
      <c r="FEY1" s="141"/>
      <c r="FEZ1" s="141"/>
      <c r="FFA1" s="141"/>
      <c r="FFB1" s="141"/>
      <c r="FFC1" s="141"/>
      <c r="FFD1" s="141"/>
      <c r="FFE1" s="141"/>
      <c r="FFF1" s="141"/>
      <c r="FFG1" s="141"/>
      <c r="FFH1" s="141"/>
      <c r="FFI1" s="141"/>
      <c r="FFJ1" s="141"/>
      <c r="FFK1" s="141"/>
      <c r="FFL1" s="141"/>
      <c r="FFM1" s="141"/>
      <c r="FFN1" s="141"/>
      <c r="FFO1" s="141"/>
      <c r="FFP1" s="141"/>
      <c r="FFQ1" s="141"/>
      <c r="FFR1" s="141"/>
      <c r="FFS1" s="141"/>
      <c r="FFT1" s="141"/>
      <c r="FFU1" s="141"/>
      <c r="FFV1" s="141"/>
      <c r="FFW1" s="141"/>
      <c r="FFX1" s="141"/>
      <c r="FFY1" s="141"/>
      <c r="FFZ1" s="141"/>
      <c r="FGA1" s="141"/>
      <c r="FGB1" s="141"/>
      <c r="FGC1" s="141"/>
      <c r="FGD1" s="141"/>
      <c r="FGE1" s="141"/>
      <c r="FGF1" s="141"/>
      <c r="FGG1" s="141"/>
      <c r="FGH1" s="141"/>
      <c r="FGI1" s="141"/>
      <c r="FGJ1" s="141"/>
      <c r="FGK1" s="141"/>
      <c r="FGL1" s="141"/>
      <c r="FGM1" s="141"/>
      <c r="FGN1" s="141"/>
      <c r="FGO1" s="141"/>
      <c r="FGP1" s="141"/>
      <c r="FGQ1" s="141"/>
      <c r="FGR1" s="141"/>
      <c r="FGS1" s="141"/>
      <c r="FGT1" s="141"/>
      <c r="FGU1" s="141"/>
      <c r="FGV1" s="141"/>
      <c r="FGW1" s="141"/>
      <c r="FGX1" s="141"/>
      <c r="FGY1" s="141"/>
      <c r="FGZ1" s="141"/>
      <c r="FHA1" s="141"/>
      <c r="FHB1" s="141"/>
      <c r="FHC1" s="141"/>
      <c r="FHD1" s="141"/>
      <c r="FHE1" s="141"/>
      <c r="FHF1" s="141"/>
      <c r="FHG1" s="141"/>
      <c r="FHH1" s="141"/>
      <c r="FHI1" s="141"/>
      <c r="FHJ1" s="141"/>
      <c r="FHK1" s="141"/>
      <c r="FHL1" s="141"/>
      <c r="FHM1" s="141"/>
      <c r="FHN1" s="141"/>
      <c r="FHO1" s="141"/>
      <c r="FHP1" s="141"/>
      <c r="FHQ1" s="141"/>
      <c r="FHR1" s="141"/>
      <c r="FHS1" s="141"/>
      <c r="FHT1" s="141"/>
      <c r="FHU1" s="141"/>
      <c r="FHV1" s="141"/>
      <c r="FHW1" s="141"/>
      <c r="FHX1" s="141"/>
      <c r="FHY1" s="141"/>
      <c r="FHZ1" s="141"/>
      <c r="FIA1" s="141"/>
      <c r="FIB1" s="141"/>
      <c r="FIC1" s="141"/>
      <c r="FID1" s="141"/>
      <c r="FIE1" s="141"/>
      <c r="FIF1" s="141"/>
      <c r="FIG1" s="141"/>
      <c r="FIH1" s="141"/>
      <c r="FII1" s="141"/>
      <c r="FIJ1" s="141"/>
      <c r="FIK1" s="141"/>
      <c r="FIL1" s="141"/>
      <c r="FIM1" s="141"/>
      <c r="FIN1" s="141"/>
      <c r="FIO1" s="141"/>
      <c r="FIP1" s="141"/>
      <c r="FIQ1" s="141"/>
      <c r="FIR1" s="141"/>
      <c r="FIS1" s="141"/>
      <c r="FIT1" s="141"/>
      <c r="FIU1" s="141"/>
      <c r="FIV1" s="141"/>
      <c r="FIW1" s="141"/>
      <c r="FIX1" s="141"/>
      <c r="FIY1" s="141"/>
      <c r="FIZ1" s="141"/>
      <c r="FJA1" s="141"/>
      <c r="FJB1" s="141"/>
      <c r="FJC1" s="141"/>
      <c r="FJD1" s="141"/>
      <c r="FJE1" s="141"/>
      <c r="FJF1" s="141"/>
      <c r="FJG1" s="141"/>
      <c r="FJH1" s="141"/>
      <c r="FJI1" s="141"/>
      <c r="FJJ1" s="141"/>
      <c r="FJK1" s="141"/>
      <c r="FJL1" s="141"/>
      <c r="FJM1" s="141"/>
      <c r="FJN1" s="141"/>
      <c r="FJO1" s="141"/>
      <c r="FJP1" s="141"/>
      <c r="FJQ1" s="141"/>
      <c r="FJR1" s="141"/>
      <c r="FJS1" s="141"/>
      <c r="FJT1" s="141"/>
      <c r="FJU1" s="141"/>
      <c r="FJV1" s="141"/>
      <c r="FJW1" s="141"/>
      <c r="FJX1" s="141"/>
      <c r="FJY1" s="141"/>
      <c r="FJZ1" s="141"/>
      <c r="FKA1" s="141"/>
      <c r="FKB1" s="141"/>
      <c r="FKC1" s="141"/>
      <c r="FKD1" s="141"/>
      <c r="FKE1" s="141"/>
      <c r="FKF1" s="141"/>
      <c r="FKG1" s="141"/>
      <c r="FKH1" s="141"/>
      <c r="FKI1" s="141"/>
      <c r="FKJ1" s="141"/>
      <c r="FKK1" s="141"/>
      <c r="FKL1" s="141"/>
      <c r="FKM1" s="141"/>
      <c r="FKN1" s="141"/>
      <c r="FKO1" s="141"/>
      <c r="FKP1" s="141"/>
      <c r="FKQ1" s="141"/>
      <c r="FKR1" s="141"/>
      <c r="FKS1" s="141"/>
      <c r="FKT1" s="141"/>
      <c r="FKU1" s="141"/>
      <c r="FKV1" s="141"/>
      <c r="FKW1" s="141"/>
      <c r="FKX1" s="141"/>
      <c r="FKY1" s="141"/>
      <c r="FKZ1" s="141"/>
      <c r="FLA1" s="141"/>
      <c r="FLB1" s="141"/>
      <c r="FLC1" s="141"/>
      <c r="FLD1" s="141"/>
      <c r="FLE1" s="141"/>
      <c r="FLF1" s="141"/>
      <c r="FLG1" s="141"/>
      <c r="FLH1" s="141"/>
      <c r="FLI1" s="141"/>
      <c r="FLJ1" s="141"/>
      <c r="FLK1" s="141"/>
      <c r="FLL1" s="141"/>
      <c r="FLM1" s="141"/>
      <c r="FLN1" s="141"/>
      <c r="FLO1" s="141"/>
      <c r="FLP1" s="141"/>
      <c r="FLQ1" s="141"/>
      <c r="FLR1" s="141"/>
      <c r="FLS1" s="141"/>
      <c r="FLT1" s="141"/>
      <c r="FLU1" s="141"/>
      <c r="FLV1" s="141"/>
      <c r="FLW1" s="141"/>
      <c r="FLX1" s="141"/>
      <c r="FLY1" s="141"/>
      <c r="FLZ1" s="141"/>
      <c r="FMA1" s="141"/>
      <c r="FMB1" s="141"/>
      <c r="FMC1" s="141"/>
      <c r="FMD1" s="141"/>
      <c r="FME1" s="141"/>
      <c r="FMF1" s="141"/>
      <c r="FMG1" s="141"/>
      <c r="FMH1" s="141"/>
      <c r="FMI1" s="141"/>
      <c r="FMJ1" s="141"/>
      <c r="FMK1" s="141"/>
      <c r="FML1" s="141"/>
      <c r="FMM1" s="141"/>
      <c r="FMN1" s="141"/>
      <c r="FMO1" s="141"/>
      <c r="FMP1" s="141"/>
      <c r="FMQ1" s="141"/>
      <c r="FMR1" s="141"/>
      <c r="FMS1" s="141"/>
      <c r="FMT1" s="141"/>
      <c r="FMU1" s="141"/>
      <c r="FMV1" s="141"/>
      <c r="FMW1" s="141"/>
      <c r="FMX1" s="141"/>
      <c r="FMY1" s="141"/>
      <c r="FMZ1" s="141"/>
      <c r="FNA1" s="141"/>
      <c r="FNB1" s="141"/>
      <c r="FNC1" s="141"/>
      <c r="FND1" s="141"/>
      <c r="FNE1" s="141"/>
      <c r="FNF1" s="141"/>
      <c r="FNG1" s="141"/>
      <c r="FNH1" s="141"/>
      <c r="FNI1" s="141"/>
      <c r="FNJ1" s="141"/>
      <c r="FNK1" s="141"/>
      <c r="FNL1" s="141"/>
      <c r="FNM1" s="141"/>
      <c r="FNN1" s="141"/>
      <c r="FNO1" s="141"/>
      <c r="FNP1" s="141"/>
      <c r="FNQ1" s="141"/>
      <c r="FNR1" s="141"/>
      <c r="FNS1" s="141"/>
      <c r="FNT1" s="141"/>
      <c r="FNU1" s="141"/>
      <c r="FNV1" s="141"/>
      <c r="FNW1" s="141"/>
      <c r="FNX1" s="141"/>
      <c r="FNY1" s="141"/>
      <c r="FNZ1" s="141"/>
      <c r="FOA1" s="141"/>
      <c r="FOB1" s="141"/>
      <c r="FOC1" s="141"/>
      <c r="FOD1" s="141"/>
      <c r="FOE1" s="141"/>
      <c r="FOF1" s="141"/>
      <c r="FOG1" s="141"/>
      <c r="FOH1" s="141"/>
      <c r="FOI1" s="141"/>
      <c r="FOJ1" s="141"/>
      <c r="FOK1" s="141"/>
      <c r="FOL1" s="141"/>
      <c r="FOM1" s="141"/>
      <c r="FON1" s="141"/>
      <c r="FOO1" s="141"/>
      <c r="FOP1" s="141"/>
      <c r="FOQ1" s="141"/>
      <c r="FOR1" s="141"/>
      <c r="FOS1" s="141"/>
      <c r="FOT1" s="141"/>
      <c r="FOU1" s="141"/>
      <c r="FOV1" s="141"/>
      <c r="FOW1" s="141"/>
      <c r="FOX1" s="141"/>
      <c r="FOY1" s="141"/>
      <c r="FOZ1" s="141"/>
      <c r="FPA1" s="141"/>
      <c r="FPB1" s="141"/>
      <c r="FPC1" s="141"/>
      <c r="FPD1" s="141"/>
      <c r="FPE1" s="141"/>
      <c r="FPF1" s="141"/>
      <c r="FPG1" s="141"/>
      <c r="FPH1" s="141"/>
      <c r="FPI1" s="141"/>
      <c r="FPJ1" s="141"/>
      <c r="FPK1" s="141"/>
      <c r="FPL1" s="141"/>
      <c r="FPM1" s="141"/>
      <c r="FPN1" s="141"/>
      <c r="FPO1" s="141"/>
      <c r="FPP1" s="141"/>
      <c r="FPQ1" s="141"/>
      <c r="FPR1" s="141"/>
      <c r="FPS1" s="141"/>
      <c r="FPT1" s="141"/>
      <c r="FPU1" s="141"/>
      <c r="FPV1" s="141"/>
      <c r="FPW1" s="141"/>
      <c r="FPX1" s="141"/>
      <c r="FPY1" s="141"/>
      <c r="FPZ1" s="141"/>
      <c r="FQA1" s="141"/>
      <c r="FQB1" s="141"/>
      <c r="FQC1" s="141"/>
      <c r="FQD1" s="141"/>
      <c r="FQE1" s="141"/>
      <c r="FQF1" s="141"/>
      <c r="FQG1" s="141"/>
      <c r="FQH1" s="141"/>
      <c r="FQI1" s="141"/>
      <c r="FQJ1" s="141"/>
      <c r="FQK1" s="141"/>
      <c r="FQL1" s="141"/>
      <c r="FQM1" s="141"/>
      <c r="FQN1" s="141"/>
      <c r="FQO1" s="141"/>
      <c r="FQP1" s="141"/>
      <c r="FQQ1" s="141"/>
      <c r="FQR1" s="141"/>
      <c r="FQS1" s="141"/>
      <c r="FQT1" s="141"/>
      <c r="FQU1" s="141"/>
      <c r="FQV1" s="141"/>
      <c r="FQW1" s="141"/>
      <c r="FQX1" s="141"/>
      <c r="FQY1" s="141"/>
      <c r="FQZ1" s="141"/>
      <c r="FRA1" s="141"/>
      <c r="FRB1" s="141"/>
      <c r="FRC1" s="141"/>
      <c r="FRD1" s="141"/>
      <c r="FRE1" s="141"/>
      <c r="FRF1" s="141"/>
      <c r="FRG1" s="141"/>
      <c r="FRH1" s="141"/>
      <c r="FRI1" s="141"/>
      <c r="FRJ1" s="141"/>
      <c r="FRK1" s="141"/>
      <c r="FRL1" s="141"/>
      <c r="FRM1" s="141"/>
      <c r="FRN1" s="141"/>
      <c r="FRO1" s="141"/>
      <c r="FRP1" s="141"/>
      <c r="FRQ1" s="141"/>
      <c r="FRR1" s="141"/>
      <c r="FRS1" s="141"/>
      <c r="FRT1" s="141"/>
      <c r="FRU1" s="141"/>
      <c r="FRV1" s="141"/>
      <c r="FRW1" s="141"/>
      <c r="FRX1" s="141"/>
      <c r="FRY1" s="141"/>
      <c r="FRZ1" s="141"/>
      <c r="FSA1" s="141"/>
      <c r="FSB1" s="141"/>
      <c r="FSC1" s="141"/>
      <c r="FSD1" s="141"/>
      <c r="FSE1" s="141"/>
      <c r="FSF1" s="141"/>
      <c r="FSG1" s="141"/>
      <c r="FSH1" s="141"/>
      <c r="FSI1" s="141"/>
      <c r="FSJ1" s="141"/>
      <c r="FSK1" s="141"/>
      <c r="FSL1" s="141"/>
      <c r="FSM1" s="141"/>
      <c r="FSN1" s="141"/>
      <c r="FSO1" s="141"/>
      <c r="FSP1" s="141"/>
      <c r="FSQ1" s="141"/>
      <c r="FSR1" s="141"/>
      <c r="FSS1" s="141"/>
      <c r="FST1" s="141"/>
      <c r="FSU1" s="141"/>
      <c r="FSV1" s="141"/>
      <c r="FSW1" s="141"/>
      <c r="FSX1" s="141"/>
      <c r="FSY1" s="141"/>
      <c r="FSZ1" s="141"/>
      <c r="FTA1" s="141"/>
      <c r="FTB1" s="141"/>
      <c r="FTC1" s="141"/>
      <c r="FTD1" s="141"/>
      <c r="FTE1" s="141"/>
      <c r="FTF1" s="141"/>
      <c r="FTG1" s="141"/>
      <c r="FTH1" s="141"/>
      <c r="FTI1" s="141"/>
      <c r="FTJ1" s="141"/>
      <c r="FTK1" s="141"/>
      <c r="FTL1" s="141"/>
      <c r="FTM1" s="141"/>
      <c r="FTN1" s="141"/>
      <c r="FTO1" s="141"/>
      <c r="FTP1" s="141"/>
      <c r="FTQ1" s="141"/>
      <c r="FTR1" s="141"/>
      <c r="FTS1" s="141"/>
      <c r="FTT1" s="141"/>
      <c r="FTU1" s="141"/>
      <c r="FTV1" s="141"/>
      <c r="FTW1" s="141"/>
      <c r="FTX1" s="141"/>
      <c r="FTY1" s="141"/>
      <c r="FTZ1" s="141"/>
      <c r="FUA1" s="141"/>
      <c r="FUB1" s="141"/>
      <c r="FUC1" s="141"/>
      <c r="FUD1" s="141"/>
      <c r="FUE1" s="141"/>
      <c r="FUF1" s="141"/>
      <c r="FUG1" s="141"/>
      <c r="FUH1" s="141"/>
      <c r="FUI1" s="141"/>
      <c r="FUJ1" s="141"/>
      <c r="FUK1" s="141"/>
      <c r="FUL1" s="141"/>
      <c r="FUM1" s="141"/>
      <c r="FUN1" s="141"/>
      <c r="FUO1" s="141"/>
      <c r="FUP1" s="141"/>
      <c r="FUQ1" s="141"/>
      <c r="FUR1" s="141"/>
      <c r="FUS1" s="141"/>
      <c r="FUT1" s="141"/>
      <c r="FUU1" s="141"/>
      <c r="FUV1" s="141"/>
      <c r="FUW1" s="141"/>
      <c r="FUX1" s="141"/>
      <c r="FUY1" s="141"/>
      <c r="FUZ1" s="141"/>
      <c r="FVA1" s="141"/>
      <c r="FVB1" s="141"/>
      <c r="FVC1" s="141"/>
      <c r="FVD1" s="141"/>
      <c r="FVE1" s="141"/>
      <c r="FVF1" s="141"/>
      <c r="FVG1" s="141"/>
      <c r="FVH1" s="141"/>
      <c r="FVI1" s="141"/>
      <c r="FVJ1" s="141"/>
      <c r="FVK1" s="141"/>
      <c r="FVL1" s="141"/>
      <c r="FVM1" s="141"/>
      <c r="FVN1" s="141"/>
      <c r="FVO1" s="141"/>
      <c r="FVP1" s="141"/>
      <c r="FVQ1" s="141"/>
      <c r="FVR1" s="141"/>
      <c r="FVS1" s="141"/>
      <c r="FVT1" s="141"/>
      <c r="FVU1" s="141"/>
      <c r="FVV1" s="141"/>
      <c r="FVW1" s="141"/>
      <c r="FVX1" s="141"/>
      <c r="FVY1" s="141"/>
      <c r="FVZ1" s="141"/>
      <c r="FWA1" s="141"/>
      <c r="FWB1" s="141"/>
      <c r="FWC1" s="141"/>
      <c r="FWD1" s="141"/>
      <c r="FWE1" s="141"/>
      <c r="FWF1" s="141"/>
      <c r="FWG1" s="141"/>
      <c r="FWH1" s="141"/>
      <c r="FWI1" s="141"/>
      <c r="FWJ1" s="141"/>
      <c r="FWK1" s="141"/>
      <c r="FWL1" s="141"/>
      <c r="FWM1" s="141"/>
      <c r="FWN1" s="141"/>
      <c r="FWO1" s="141"/>
      <c r="FWP1" s="141"/>
      <c r="FWQ1" s="141"/>
      <c r="FWR1" s="141"/>
      <c r="FWS1" s="141"/>
      <c r="FWT1" s="141"/>
      <c r="FWU1" s="141"/>
      <c r="FWV1" s="141"/>
      <c r="FWW1" s="141"/>
      <c r="FWX1" s="141"/>
      <c r="FWY1" s="141"/>
      <c r="FWZ1" s="141"/>
      <c r="FXA1" s="141"/>
      <c r="FXB1" s="141"/>
      <c r="FXC1" s="141"/>
      <c r="FXD1" s="141"/>
      <c r="FXE1" s="141"/>
      <c r="FXF1" s="141"/>
      <c r="FXG1" s="141"/>
      <c r="FXH1" s="141"/>
      <c r="FXI1" s="141"/>
      <c r="FXJ1" s="141"/>
      <c r="FXK1" s="141"/>
      <c r="FXL1" s="141"/>
      <c r="FXM1" s="141"/>
      <c r="FXN1" s="141"/>
      <c r="FXO1" s="141"/>
      <c r="FXP1" s="141"/>
      <c r="FXQ1" s="141"/>
      <c r="FXR1" s="141"/>
      <c r="FXS1" s="141"/>
      <c r="FXT1" s="141"/>
      <c r="FXU1" s="141"/>
      <c r="FXV1" s="141"/>
      <c r="FXW1" s="141"/>
      <c r="FXX1" s="141"/>
      <c r="FXY1" s="141"/>
      <c r="FXZ1" s="141"/>
      <c r="FYA1" s="141"/>
      <c r="FYB1" s="141"/>
      <c r="FYC1" s="141"/>
      <c r="FYD1" s="141"/>
      <c r="FYE1" s="141"/>
      <c r="FYF1" s="141"/>
      <c r="FYG1" s="141"/>
      <c r="FYH1" s="141"/>
      <c r="FYI1" s="141"/>
      <c r="FYJ1" s="141"/>
      <c r="FYK1" s="141"/>
      <c r="FYL1" s="141"/>
      <c r="FYM1" s="141"/>
      <c r="FYN1" s="141"/>
      <c r="FYO1" s="141"/>
      <c r="FYP1" s="141"/>
      <c r="FYQ1" s="141"/>
      <c r="FYR1" s="141"/>
      <c r="FYS1" s="141"/>
      <c r="FYT1" s="141"/>
      <c r="FYU1" s="141"/>
      <c r="FYV1" s="141"/>
      <c r="FYW1" s="141"/>
      <c r="FYX1" s="141"/>
      <c r="FYY1" s="141"/>
      <c r="FYZ1" s="141"/>
      <c r="FZA1" s="141"/>
      <c r="FZB1" s="141"/>
      <c r="FZC1" s="141"/>
      <c r="FZD1" s="141"/>
      <c r="FZE1" s="141"/>
      <c r="FZF1" s="141"/>
      <c r="FZG1" s="141"/>
      <c r="FZH1" s="141"/>
      <c r="FZI1" s="141"/>
      <c r="FZJ1" s="141"/>
      <c r="FZK1" s="141"/>
      <c r="FZL1" s="141"/>
      <c r="FZM1" s="141"/>
      <c r="FZN1" s="141"/>
      <c r="FZO1" s="141"/>
      <c r="FZP1" s="141"/>
      <c r="FZQ1" s="141"/>
      <c r="FZR1" s="141"/>
      <c r="FZS1" s="141"/>
      <c r="FZT1" s="141"/>
      <c r="FZU1" s="141"/>
      <c r="FZV1" s="141"/>
      <c r="FZW1" s="141"/>
      <c r="FZX1" s="141"/>
      <c r="FZY1" s="141"/>
      <c r="FZZ1" s="141"/>
      <c r="GAA1" s="141"/>
      <c r="GAB1" s="141"/>
      <c r="GAC1" s="141"/>
      <c r="GAD1" s="141"/>
      <c r="GAE1" s="141"/>
      <c r="GAF1" s="141"/>
      <c r="GAG1" s="141"/>
      <c r="GAH1" s="141"/>
      <c r="GAI1" s="141"/>
      <c r="GAJ1" s="141"/>
      <c r="GAK1" s="141"/>
      <c r="GAL1" s="141"/>
      <c r="GAM1" s="141"/>
      <c r="GAN1" s="141"/>
      <c r="GAO1" s="141"/>
      <c r="GAP1" s="141"/>
      <c r="GAQ1" s="141"/>
      <c r="GAR1" s="141"/>
      <c r="GAS1" s="141"/>
      <c r="GAT1" s="141"/>
      <c r="GAU1" s="141"/>
      <c r="GAV1" s="141"/>
      <c r="GAW1" s="141"/>
      <c r="GAX1" s="141"/>
      <c r="GAY1" s="141"/>
      <c r="GAZ1" s="141"/>
      <c r="GBA1" s="141"/>
      <c r="GBB1" s="141"/>
      <c r="GBC1" s="141"/>
      <c r="GBD1" s="141"/>
      <c r="GBE1" s="141"/>
      <c r="GBF1" s="141"/>
      <c r="GBG1" s="141"/>
      <c r="GBH1" s="141"/>
      <c r="GBI1" s="141"/>
      <c r="GBJ1" s="141"/>
      <c r="GBK1" s="141"/>
      <c r="GBL1" s="141"/>
      <c r="GBM1" s="141"/>
      <c r="GBN1" s="141"/>
      <c r="GBO1" s="141"/>
      <c r="GBP1" s="141"/>
      <c r="GBQ1" s="141"/>
      <c r="GBR1" s="141"/>
      <c r="GBS1" s="141"/>
      <c r="GBT1" s="141"/>
      <c r="GBU1" s="141"/>
      <c r="GBV1" s="141"/>
      <c r="GBW1" s="141"/>
      <c r="GBX1" s="141"/>
      <c r="GBY1" s="141"/>
      <c r="GBZ1" s="141"/>
      <c r="GCA1" s="141"/>
      <c r="GCB1" s="141"/>
      <c r="GCC1" s="141"/>
      <c r="GCD1" s="141"/>
      <c r="GCE1" s="141"/>
      <c r="GCF1" s="141"/>
      <c r="GCG1" s="141"/>
      <c r="GCH1" s="141"/>
      <c r="GCI1" s="141"/>
      <c r="GCJ1" s="141"/>
      <c r="GCK1" s="141"/>
      <c r="GCL1" s="141"/>
      <c r="GCM1" s="141"/>
      <c r="GCN1" s="141"/>
      <c r="GCO1" s="141"/>
      <c r="GCP1" s="141"/>
      <c r="GCQ1" s="141"/>
      <c r="GCR1" s="141"/>
      <c r="GCS1" s="141"/>
      <c r="GCT1" s="141"/>
      <c r="GCU1" s="141"/>
      <c r="GCV1" s="141"/>
      <c r="GCW1" s="141"/>
      <c r="GCX1" s="141"/>
      <c r="GCY1" s="141"/>
      <c r="GCZ1" s="141"/>
      <c r="GDA1" s="141"/>
      <c r="GDB1" s="141"/>
      <c r="GDC1" s="141"/>
      <c r="GDD1" s="141"/>
      <c r="GDE1" s="141"/>
      <c r="GDF1" s="141"/>
      <c r="GDG1" s="141"/>
      <c r="GDH1" s="141"/>
      <c r="GDI1" s="141"/>
      <c r="GDJ1" s="141"/>
      <c r="GDK1" s="141"/>
      <c r="GDL1" s="141"/>
      <c r="GDM1" s="141"/>
      <c r="GDN1" s="141"/>
      <c r="GDO1" s="141"/>
      <c r="GDP1" s="141"/>
      <c r="GDQ1" s="141"/>
      <c r="GDR1" s="141"/>
      <c r="GDS1" s="141"/>
      <c r="GDT1" s="141"/>
      <c r="GDU1" s="141"/>
      <c r="GDV1" s="141"/>
      <c r="GDW1" s="141"/>
      <c r="GDX1" s="141"/>
      <c r="GDY1" s="141"/>
      <c r="GDZ1" s="141"/>
      <c r="GEA1" s="141"/>
      <c r="GEB1" s="141"/>
      <c r="GEC1" s="141"/>
      <c r="GED1" s="141"/>
      <c r="GEE1" s="141"/>
      <c r="GEF1" s="141"/>
      <c r="GEG1" s="141"/>
      <c r="GEH1" s="141"/>
      <c r="GEI1" s="141"/>
      <c r="GEJ1" s="141"/>
      <c r="GEK1" s="141"/>
      <c r="GEL1" s="141"/>
      <c r="GEM1" s="141"/>
      <c r="GEN1" s="141"/>
      <c r="GEO1" s="141"/>
      <c r="GEP1" s="141"/>
      <c r="GEQ1" s="141"/>
      <c r="GER1" s="141"/>
      <c r="GES1" s="141"/>
      <c r="GET1" s="141"/>
      <c r="GEU1" s="141"/>
      <c r="GEV1" s="141"/>
      <c r="GEW1" s="141"/>
      <c r="GEX1" s="141"/>
      <c r="GEY1" s="141"/>
      <c r="GEZ1" s="141"/>
      <c r="GFA1" s="141"/>
      <c r="GFB1" s="141"/>
      <c r="GFC1" s="141"/>
      <c r="GFD1" s="141"/>
      <c r="GFE1" s="141"/>
      <c r="GFF1" s="141"/>
      <c r="GFG1" s="141"/>
      <c r="GFH1" s="141"/>
      <c r="GFI1" s="141"/>
      <c r="GFJ1" s="141"/>
      <c r="GFK1" s="141"/>
      <c r="GFL1" s="141"/>
      <c r="GFM1" s="141"/>
      <c r="GFN1" s="141"/>
      <c r="GFO1" s="141"/>
      <c r="GFP1" s="141"/>
      <c r="GFQ1" s="141"/>
      <c r="GFR1" s="141"/>
      <c r="GFS1" s="141"/>
      <c r="GFT1" s="141"/>
      <c r="GFU1" s="141"/>
      <c r="GFV1" s="141"/>
      <c r="GFW1" s="141"/>
      <c r="GFX1" s="141"/>
      <c r="GFY1" s="141"/>
      <c r="GFZ1" s="141"/>
      <c r="GGA1" s="141"/>
      <c r="GGB1" s="141"/>
      <c r="GGC1" s="141"/>
      <c r="GGD1" s="141"/>
      <c r="GGE1" s="141"/>
      <c r="GGF1" s="141"/>
      <c r="GGG1" s="141"/>
      <c r="GGH1" s="141"/>
      <c r="GGI1" s="141"/>
      <c r="GGJ1" s="141"/>
      <c r="GGK1" s="141"/>
      <c r="GGL1" s="141"/>
      <c r="GGM1" s="141"/>
      <c r="GGN1" s="141"/>
      <c r="GGO1" s="141"/>
      <c r="GGP1" s="141"/>
      <c r="GGQ1" s="141"/>
      <c r="GGR1" s="141"/>
      <c r="GGS1" s="141"/>
      <c r="GGT1" s="141"/>
      <c r="GGU1" s="141"/>
      <c r="GGV1" s="141"/>
      <c r="GGW1" s="141"/>
      <c r="GGX1" s="141"/>
      <c r="GGY1" s="141"/>
      <c r="GGZ1" s="141"/>
      <c r="GHA1" s="141"/>
      <c r="GHB1" s="141"/>
      <c r="GHC1" s="141"/>
      <c r="GHD1" s="141"/>
      <c r="GHE1" s="141"/>
      <c r="GHF1" s="141"/>
      <c r="GHG1" s="141"/>
      <c r="GHH1" s="141"/>
      <c r="GHI1" s="141"/>
      <c r="GHJ1" s="141"/>
      <c r="GHK1" s="141"/>
      <c r="GHL1" s="141"/>
      <c r="GHM1" s="141"/>
      <c r="GHN1" s="141"/>
      <c r="GHO1" s="141"/>
      <c r="GHP1" s="141"/>
      <c r="GHQ1" s="141"/>
      <c r="GHR1" s="141"/>
      <c r="GHS1" s="141"/>
      <c r="GHT1" s="141"/>
      <c r="GHU1" s="141"/>
      <c r="GHV1" s="141"/>
      <c r="GHW1" s="141"/>
      <c r="GHX1" s="141"/>
      <c r="GHY1" s="141"/>
      <c r="GHZ1" s="141"/>
      <c r="GIA1" s="141"/>
      <c r="GIB1" s="141"/>
      <c r="GIC1" s="141"/>
      <c r="GID1" s="141"/>
      <c r="GIE1" s="141"/>
      <c r="GIF1" s="141"/>
      <c r="GIG1" s="141"/>
      <c r="GIH1" s="141"/>
      <c r="GII1" s="141"/>
      <c r="GIJ1" s="141"/>
      <c r="GIK1" s="141"/>
      <c r="GIL1" s="141"/>
      <c r="GIM1" s="141"/>
      <c r="GIN1" s="141"/>
      <c r="GIO1" s="141"/>
      <c r="GIP1" s="141"/>
      <c r="GIQ1" s="141"/>
      <c r="GIR1" s="141"/>
      <c r="GIS1" s="141"/>
      <c r="GIT1" s="141"/>
      <c r="GIU1" s="141"/>
      <c r="GIV1" s="141"/>
      <c r="GIW1" s="141"/>
      <c r="GIX1" s="141"/>
      <c r="GIY1" s="141"/>
      <c r="GIZ1" s="141"/>
      <c r="GJA1" s="141"/>
      <c r="GJB1" s="141"/>
      <c r="GJC1" s="141"/>
      <c r="GJD1" s="141"/>
      <c r="GJE1" s="141"/>
      <c r="GJF1" s="141"/>
      <c r="GJG1" s="141"/>
      <c r="GJH1" s="141"/>
      <c r="GJI1" s="141"/>
      <c r="GJJ1" s="141"/>
      <c r="GJK1" s="141"/>
      <c r="GJL1" s="141"/>
      <c r="GJM1" s="141"/>
      <c r="GJN1" s="141"/>
      <c r="GJO1" s="141"/>
      <c r="GJP1" s="141"/>
      <c r="GJQ1" s="141"/>
      <c r="GJR1" s="141"/>
      <c r="GJS1" s="141"/>
      <c r="GJT1" s="141"/>
      <c r="GJU1" s="141"/>
      <c r="GJV1" s="141"/>
      <c r="GJW1" s="141"/>
      <c r="GJX1" s="141"/>
      <c r="GJY1" s="141"/>
      <c r="GJZ1" s="141"/>
      <c r="GKA1" s="141"/>
      <c r="GKB1" s="141"/>
      <c r="GKC1" s="141"/>
      <c r="GKD1" s="141"/>
      <c r="GKE1" s="141"/>
      <c r="GKF1" s="141"/>
      <c r="GKG1" s="141"/>
      <c r="GKH1" s="141"/>
      <c r="GKI1" s="141"/>
      <c r="GKJ1" s="141"/>
      <c r="GKK1" s="141"/>
      <c r="GKL1" s="141"/>
      <c r="GKM1" s="141"/>
      <c r="GKN1" s="141"/>
      <c r="GKO1" s="141"/>
      <c r="GKP1" s="141"/>
      <c r="GKQ1" s="141"/>
      <c r="GKR1" s="141"/>
      <c r="GKS1" s="141"/>
      <c r="GKT1" s="141"/>
      <c r="GKU1" s="141"/>
      <c r="GKV1" s="141"/>
      <c r="GKW1" s="141"/>
      <c r="GKX1" s="141"/>
      <c r="GKY1" s="141"/>
      <c r="GKZ1" s="141"/>
      <c r="GLA1" s="141"/>
      <c r="GLB1" s="141"/>
      <c r="GLC1" s="141"/>
      <c r="GLD1" s="141"/>
      <c r="GLE1" s="141"/>
      <c r="GLF1" s="141"/>
      <c r="GLG1" s="141"/>
      <c r="GLH1" s="141"/>
      <c r="GLI1" s="141"/>
      <c r="GLJ1" s="141"/>
      <c r="GLK1" s="141"/>
      <c r="GLL1" s="141"/>
      <c r="GLM1" s="141"/>
      <c r="GLN1" s="141"/>
      <c r="GLO1" s="141"/>
      <c r="GLP1" s="141"/>
      <c r="GLQ1" s="141"/>
      <c r="GLR1" s="141"/>
      <c r="GLS1" s="141"/>
      <c r="GLT1" s="141"/>
      <c r="GLU1" s="141"/>
      <c r="GLV1" s="141"/>
      <c r="GLW1" s="141"/>
      <c r="GLX1" s="141"/>
      <c r="GLY1" s="141"/>
      <c r="GLZ1" s="141"/>
      <c r="GMA1" s="141"/>
      <c r="GMB1" s="141"/>
      <c r="GMC1" s="141"/>
      <c r="GMD1" s="141"/>
      <c r="GME1" s="141"/>
      <c r="GMF1" s="141"/>
      <c r="GMG1" s="141"/>
      <c r="GMH1" s="141"/>
      <c r="GMI1" s="141"/>
      <c r="GMJ1" s="141"/>
      <c r="GMK1" s="141"/>
      <c r="GML1" s="141"/>
      <c r="GMM1" s="141"/>
      <c r="GMN1" s="141"/>
      <c r="GMO1" s="141"/>
      <c r="GMP1" s="141"/>
      <c r="GMQ1" s="141"/>
      <c r="GMR1" s="141"/>
      <c r="GMS1" s="141"/>
      <c r="GMT1" s="141"/>
      <c r="GMU1" s="141"/>
      <c r="GMV1" s="141"/>
      <c r="GMW1" s="141"/>
      <c r="GMX1" s="141"/>
      <c r="GMY1" s="141"/>
      <c r="GMZ1" s="141"/>
      <c r="GNA1" s="141"/>
      <c r="GNB1" s="141"/>
      <c r="GNC1" s="141"/>
      <c r="GND1" s="141"/>
      <c r="GNE1" s="141"/>
      <c r="GNF1" s="141"/>
      <c r="GNG1" s="141"/>
      <c r="GNH1" s="141"/>
      <c r="GNI1" s="141"/>
      <c r="GNJ1" s="141"/>
      <c r="GNK1" s="141"/>
      <c r="GNL1" s="141"/>
      <c r="GNM1" s="141"/>
      <c r="GNN1" s="141"/>
      <c r="GNO1" s="141"/>
      <c r="GNP1" s="141"/>
      <c r="GNQ1" s="141"/>
      <c r="GNR1" s="141"/>
      <c r="GNS1" s="141"/>
      <c r="GNT1" s="141"/>
      <c r="GNU1" s="141"/>
      <c r="GNV1" s="141"/>
      <c r="GNW1" s="141"/>
      <c r="GNX1" s="141"/>
      <c r="GNY1" s="141"/>
      <c r="GNZ1" s="141"/>
      <c r="GOA1" s="141"/>
      <c r="GOB1" s="141"/>
      <c r="GOC1" s="141"/>
      <c r="GOD1" s="141"/>
      <c r="GOE1" s="141"/>
      <c r="GOF1" s="141"/>
      <c r="GOG1" s="141"/>
      <c r="GOH1" s="141"/>
      <c r="GOI1" s="141"/>
      <c r="GOJ1" s="141"/>
      <c r="GOK1" s="141"/>
      <c r="GOL1" s="141"/>
      <c r="GOM1" s="141"/>
      <c r="GON1" s="141"/>
      <c r="GOO1" s="141"/>
      <c r="GOP1" s="141"/>
      <c r="GOQ1" s="141"/>
      <c r="GOR1" s="141"/>
      <c r="GOS1" s="141"/>
      <c r="GOT1" s="141"/>
      <c r="GOU1" s="141"/>
      <c r="GOV1" s="141"/>
      <c r="GOW1" s="141"/>
      <c r="GOX1" s="141"/>
      <c r="GOY1" s="141"/>
      <c r="GOZ1" s="141"/>
      <c r="GPA1" s="141"/>
      <c r="GPB1" s="141"/>
      <c r="GPC1" s="141"/>
      <c r="GPD1" s="141"/>
      <c r="GPE1" s="141"/>
      <c r="GPF1" s="141"/>
      <c r="GPG1" s="141"/>
      <c r="GPH1" s="141"/>
      <c r="GPI1" s="141"/>
      <c r="GPJ1" s="141"/>
      <c r="GPK1" s="141"/>
      <c r="GPL1" s="141"/>
      <c r="GPM1" s="141"/>
      <c r="GPN1" s="141"/>
      <c r="GPO1" s="141"/>
      <c r="GPP1" s="141"/>
      <c r="GPQ1" s="141"/>
      <c r="GPR1" s="141"/>
      <c r="GPS1" s="141"/>
      <c r="GPT1" s="141"/>
      <c r="GPU1" s="141"/>
      <c r="GPV1" s="141"/>
      <c r="GPW1" s="141"/>
      <c r="GPX1" s="141"/>
      <c r="GPY1" s="141"/>
      <c r="GPZ1" s="141"/>
      <c r="GQA1" s="141"/>
      <c r="GQB1" s="141"/>
      <c r="GQC1" s="141"/>
      <c r="GQD1" s="141"/>
      <c r="GQE1" s="141"/>
      <c r="GQF1" s="141"/>
      <c r="GQG1" s="141"/>
      <c r="GQH1" s="141"/>
      <c r="GQI1" s="141"/>
      <c r="GQJ1" s="141"/>
      <c r="GQK1" s="141"/>
      <c r="GQL1" s="141"/>
      <c r="GQM1" s="141"/>
      <c r="GQN1" s="141"/>
      <c r="GQO1" s="141"/>
      <c r="GQP1" s="141"/>
      <c r="GQQ1" s="141"/>
      <c r="GQR1" s="141"/>
      <c r="GQS1" s="141"/>
      <c r="GQT1" s="141"/>
      <c r="GQU1" s="141"/>
      <c r="GQV1" s="141"/>
      <c r="GQW1" s="141"/>
      <c r="GQX1" s="141"/>
      <c r="GQY1" s="141"/>
      <c r="GQZ1" s="141"/>
      <c r="GRA1" s="141"/>
      <c r="GRB1" s="141"/>
      <c r="GRC1" s="141"/>
      <c r="GRD1" s="141"/>
      <c r="GRE1" s="141"/>
      <c r="GRF1" s="141"/>
      <c r="GRG1" s="141"/>
      <c r="GRH1" s="141"/>
      <c r="GRI1" s="141"/>
      <c r="GRJ1" s="141"/>
      <c r="GRK1" s="141"/>
      <c r="GRL1" s="141"/>
      <c r="GRM1" s="141"/>
      <c r="GRN1" s="141"/>
      <c r="GRO1" s="141"/>
      <c r="GRP1" s="141"/>
      <c r="GRQ1" s="141"/>
      <c r="GRR1" s="141"/>
      <c r="GRS1" s="141"/>
      <c r="GRT1" s="141"/>
      <c r="GRU1" s="141"/>
      <c r="GRV1" s="141"/>
      <c r="GRW1" s="141"/>
      <c r="GRX1" s="141"/>
      <c r="GRY1" s="141"/>
      <c r="GRZ1" s="141"/>
      <c r="GSA1" s="141"/>
      <c r="GSB1" s="141"/>
      <c r="GSC1" s="141"/>
      <c r="GSD1" s="141"/>
      <c r="GSE1" s="141"/>
      <c r="GSF1" s="141"/>
      <c r="GSG1" s="141"/>
      <c r="GSH1" s="141"/>
      <c r="GSI1" s="141"/>
      <c r="GSJ1" s="141"/>
      <c r="GSK1" s="141"/>
      <c r="GSL1" s="141"/>
      <c r="GSM1" s="141"/>
      <c r="GSN1" s="141"/>
      <c r="GSO1" s="141"/>
      <c r="GSP1" s="141"/>
      <c r="GSQ1" s="141"/>
      <c r="GSR1" s="141"/>
      <c r="GSS1" s="141"/>
      <c r="GST1" s="141"/>
      <c r="GSU1" s="141"/>
      <c r="GSV1" s="141"/>
      <c r="GSW1" s="141"/>
      <c r="GSX1" s="141"/>
      <c r="GSY1" s="141"/>
      <c r="GSZ1" s="141"/>
      <c r="GTA1" s="141"/>
      <c r="GTB1" s="141"/>
      <c r="GTC1" s="141"/>
      <c r="GTD1" s="141"/>
      <c r="GTE1" s="141"/>
      <c r="GTF1" s="141"/>
      <c r="GTG1" s="141"/>
      <c r="GTH1" s="141"/>
      <c r="GTI1" s="141"/>
      <c r="GTJ1" s="141"/>
      <c r="GTK1" s="141"/>
      <c r="GTL1" s="141"/>
      <c r="GTM1" s="141"/>
      <c r="GTN1" s="141"/>
      <c r="GTO1" s="141"/>
      <c r="GTP1" s="141"/>
      <c r="GTQ1" s="141"/>
      <c r="GTR1" s="141"/>
      <c r="GTS1" s="141"/>
      <c r="GTT1" s="141"/>
      <c r="GTU1" s="141"/>
      <c r="GTV1" s="141"/>
      <c r="GTW1" s="141"/>
      <c r="GTX1" s="141"/>
      <c r="GTY1" s="141"/>
      <c r="GTZ1" s="141"/>
      <c r="GUA1" s="141"/>
      <c r="GUB1" s="141"/>
      <c r="GUC1" s="141"/>
      <c r="GUD1" s="141"/>
      <c r="GUE1" s="141"/>
      <c r="GUF1" s="141"/>
      <c r="GUG1" s="141"/>
      <c r="GUH1" s="141"/>
      <c r="GUI1" s="141"/>
      <c r="GUJ1" s="141"/>
      <c r="GUK1" s="141"/>
      <c r="GUL1" s="141"/>
      <c r="GUM1" s="141"/>
      <c r="GUN1" s="141"/>
      <c r="GUO1" s="141"/>
      <c r="GUP1" s="141"/>
      <c r="GUQ1" s="141"/>
      <c r="GUR1" s="141"/>
      <c r="GUS1" s="141"/>
      <c r="GUT1" s="141"/>
      <c r="GUU1" s="141"/>
      <c r="GUV1" s="141"/>
      <c r="GUW1" s="141"/>
      <c r="GUX1" s="141"/>
      <c r="GUY1" s="141"/>
      <c r="GUZ1" s="141"/>
      <c r="GVA1" s="141"/>
      <c r="GVB1" s="141"/>
      <c r="GVC1" s="141"/>
      <c r="GVD1" s="141"/>
      <c r="GVE1" s="141"/>
      <c r="GVF1" s="141"/>
      <c r="GVG1" s="141"/>
      <c r="GVH1" s="141"/>
      <c r="GVI1" s="141"/>
      <c r="GVJ1" s="141"/>
      <c r="GVK1" s="141"/>
      <c r="GVL1" s="141"/>
      <c r="GVM1" s="141"/>
      <c r="GVN1" s="141"/>
      <c r="GVO1" s="141"/>
      <c r="GVP1" s="141"/>
      <c r="GVQ1" s="141"/>
      <c r="GVR1" s="141"/>
      <c r="GVS1" s="141"/>
      <c r="GVT1" s="141"/>
      <c r="GVU1" s="141"/>
      <c r="GVV1" s="141"/>
      <c r="GVW1" s="141"/>
      <c r="GVX1" s="141"/>
      <c r="GVY1" s="141"/>
      <c r="GVZ1" s="141"/>
      <c r="GWA1" s="141"/>
      <c r="GWB1" s="141"/>
      <c r="GWC1" s="141"/>
      <c r="GWD1" s="141"/>
      <c r="GWE1" s="141"/>
      <c r="GWF1" s="141"/>
      <c r="GWG1" s="141"/>
      <c r="GWH1" s="141"/>
      <c r="GWI1" s="141"/>
      <c r="GWJ1" s="141"/>
      <c r="GWK1" s="141"/>
      <c r="GWL1" s="141"/>
      <c r="GWM1" s="141"/>
      <c r="GWN1" s="141"/>
      <c r="GWO1" s="141"/>
      <c r="GWP1" s="141"/>
      <c r="GWQ1" s="141"/>
      <c r="GWR1" s="141"/>
      <c r="GWS1" s="141"/>
      <c r="GWT1" s="141"/>
      <c r="GWU1" s="141"/>
      <c r="GWV1" s="141"/>
      <c r="GWW1" s="141"/>
      <c r="GWX1" s="141"/>
      <c r="GWY1" s="141"/>
      <c r="GWZ1" s="141"/>
      <c r="GXA1" s="141"/>
      <c r="GXB1" s="141"/>
      <c r="GXC1" s="141"/>
      <c r="GXD1" s="141"/>
      <c r="GXE1" s="141"/>
      <c r="GXF1" s="141"/>
      <c r="GXG1" s="141"/>
      <c r="GXH1" s="141"/>
      <c r="GXI1" s="141"/>
      <c r="GXJ1" s="141"/>
      <c r="GXK1" s="141"/>
      <c r="GXL1" s="141"/>
      <c r="GXM1" s="141"/>
      <c r="GXN1" s="141"/>
      <c r="GXO1" s="141"/>
      <c r="GXP1" s="141"/>
      <c r="GXQ1" s="141"/>
      <c r="GXR1" s="141"/>
      <c r="GXS1" s="141"/>
      <c r="GXT1" s="141"/>
      <c r="GXU1" s="141"/>
      <c r="GXV1" s="141"/>
      <c r="GXW1" s="141"/>
      <c r="GXX1" s="141"/>
      <c r="GXY1" s="141"/>
      <c r="GXZ1" s="141"/>
      <c r="GYA1" s="141"/>
      <c r="GYB1" s="141"/>
      <c r="GYC1" s="141"/>
      <c r="GYD1" s="141"/>
      <c r="GYE1" s="141"/>
      <c r="GYF1" s="141"/>
      <c r="GYG1" s="141"/>
      <c r="GYH1" s="141"/>
      <c r="GYI1" s="141"/>
      <c r="GYJ1" s="141"/>
      <c r="GYK1" s="141"/>
      <c r="GYL1" s="141"/>
      <c r="GYM1" s="141"/>
      <c r="GYN1" s="141"/>
      <c r="GYO1" s="141"/>
      <c r="GYP1" s="141"/>
      <c r="GYQ1" s="141"/>
      <c r="GYR1" s="141"/>
      <c r="GYS1" s="141"/>
      <c r="GYT1" s="141"/>
      <c r="GYU1" s="141"/>
      <c r="GYV1" s="141"/>
      <c r="GYW1" s="141"/>
      <c r="GYX1" s="141"/>
      <c r="GYY1" s="141"/>
      <c r="GYZ1" s="141"/>
      <c r="GZA1" s="141"/>
      <c r="GZB1" s="141"/>
      <c r="GZC1" s="141"/>
      <c r="GZD1" s="141"/>
      <c r="GZE1" s="141"/>
      <c r="GZF1" s="141"/>
      <c r="GZG1" s="141"/>
      <c r="GZH1" s="141"/>
      <c r="GZI1" s="141"/>
      <c r="GZJ1" s="141"/>
      <c r="GZK1" s="141"/>
      <c r="GZL1" s="141"/>
      <c r="GZM1" s="141"/>
      <c r="GZN1" s="141"/>
      <c r="GZO1" s="141"/>
      <c r="GZP1" s="141"/>
      <c r="GZQ1" s="141"/>
      <c r="GZR1" s="141"/>
      <c r="GZS1" s="141"/>
      <c r="GZT1" s="141"/>
      <c r="GZU1" s="141"/>
      <c r="GZV1" s="141"/>
      <c r="GZW1" s="141"/>
      <c r="GZX1" s="141"/>
      <c r="GZY1" s="141"/>
      <c r="GZZ1" s="141"/>
      <c r="HAA1" s="141"/>
      <c r="HAB1" s="141"/>
      <c r="HAC1" s="141"/>
      <c r="HAD1" s="141"/>
      <c r="HAE1" s="141"/>
      <c r="HAF1" s="141"/>
      <c r="HAG1" s="141"/>
      <c r="HAH1" s="141"/>
      <c r="HAI1" s="141"/>
      <c r="HAJ1" s="141"/>
      <c r="HAK1" s="141"/>
      <c r="HAL1" s="141"/>
      <c r="HAM1" s="141"/>
      <c r="HAN1" s="141"/>
      <c r="HAO1" s="141"/>
      <c r="HAP1" s="141"/>
      <c r="HAQ1" s="141"/>
      <c r="HAR1" s="141"/>
      <c r="HAS1" s="141"/>
      <c r="HAT1" s="141"/>
      <c r="HAU1" s="141"/>
      <c r="HAV1" s="141"/>
      <c r="HAW1" s="141"/>
      <c r="HAX1" s="141"/>
      <c r="HAY1" s="141"/>
      <c r="HAZ1" s="141"/>
      <c r="HBA1" s="141"/>
      <c r="HBB1" s="141"/>
      <c r="HBC1" s="141"/>
      <c r="HBD1" s="141"/>
      <c r="HBE1" s="141"/>
      <c r="HBF1" s="141"/>
      <c r="HBG1" s="141"/>
      <c r="HBH1" s="141"/>
      <c r="HBI1" s="141"/>
      <c r="HBJ1" s="141"/>
      <c r="HBK1" s="141"/>
      <c r="HBL1" s="141"/>
      <c r="HBM1" s="141"/>
      <c r="HBN1" s="141"/>
      <c r="HBO1" s="141"/>
      <c r="HBP1" s="141"/>
      <c r="HBQ1" s="141"/>
      <c r="HBR1" s="141"/>
      <c r="HBS1" s="141"/>
      <c r="HBT1" s="141"/>
      <c r="HBU1" s="141"/>
      <c r="HBV1" s="141"/>
      <c r="HBW1" s="141"/>
      <c r="HBX1" s="141"/>
      <c r="HBY1" s="141"/>
      <c r="HBZ1" s="141"/>
      <c r="HCA1" s="141"/>
      <c r="HCB1" s="141"/>
      <c r="HCC1" s="141"/>
      <c r="HCD1" s="141"/>
      <c r="HCE1" s="141"/>
      <c r="HCF1" s="141"/>
      <c r="HCG1" s="141"/>
      <c r="HCH1" s="141"/>
      <c r="HCI1" s="141"/>
      <c r="HCJ1" s="141"/>
      <c r="HCK1" s="141"/>
      <c r="HCL1" s="141"/>
      <c r="HCM1" s="141"/>
      <c r="HCN1" s="141"/>
      <c r="HCO1" s="141"/>
      <c r="HCP1" s="141"/>
      <c r="HCQ1" s="141"/>
      <c r="HCR1" s="141"/>
      <c r="HCS1" s="141"/>
      <c r="HCT1" s="141"/>
      <c r="HCU1" s="141"/>
      <c r="HCV1" s="141"/>
      <c r="HCW1" s="141"/>
      <c r="HCX1" s="141"/>
      <c r="HCY1" s="141"/>
      <c r="HCZ1" s="141"/>
      <c r="HDA1" s="141"/>
      <c r="HDB1" s="141"/>
      <c r="HDC1" s="141"/>
      <c r="HDD1" s="141"/>
      <c r="HDE1" s="141"/>
      <c r="HDF1" s="141"/>
      <c r="HDG1" s="141"/>
      <c r="HDH1" s="141"/>
      <c r="HDI1" s="141"/>
      <c r="HDJ1" s="141"/>
      <c r="HDK1" s="141"/>
      <c r="HDL1" s="141"/>
      <c r="HDM1" s="141"/>
      <c r="HDN1" s="141"/>
      <c r="HDO1" s="141"/>
      <c r="HDP1" s="141"/>
      <c r="HDQ1" s="141"/>
      <c r="HDR1" s="141"/>
      <c r="HDS1" s="141"/>
      <c r="HDT1" s="141"/>
      <c r="HDU1" s="141"/>
      <c r="HDV1" s="141"/>
      <c r="HDW1" s="141"/>
      <c r="HDX1" s="141"/>
      <c r="HDY1" s="141"/>
      <c r="HDZ1" s="141"/>
      <c r="HEA1" s="141"/>
      <c r="HEB1" s="141"/>
      <c r="HEC1" s="141"/>
      <c r="HED1" s="141"/>
      <c r="HEE1" s="141"/>
      <c r="HEF1" s="141"/>
      <c r="HEG1" s="141"/>
      <c r="HEH1" s="141"/>
      <c r="HEI1" s="141"/>
      <c r="HEJ1" s="141"/>
      <c r="HEK1" s="141"/>
      <c r="HEL1" s="141"/>
      <c r="HEM1" s="141"/>
      <c r="HEN1" s="141"/>
      <c r="HEO1" s="141"/>
      <c r="HEP1" s="141"/>
      <c r="HEQ1" s="141"/>
      <c r="HER1" s="141"/>
      <c r="HES1" s="141"/>
      <c r="HET1" s="141"/>
      <c r="HEU1" s="141"/>
      <c r="HEV1" s="141"/>
      <c r="HEW1" s="141"/>
      <c r="HEX1" s="141"/>
      <c r="HEY1" s="141"/>
      <c r="HEZ1" s="141"/>
      <c r="HFA1" s="141"/>
      <c r="HFB1" s="141"/>
      <c r="HFC1" s="141"/>
      <c r="HFD1" s="141"/>
      <c r="HFE1" s="141"/>
      <c r="HFF1" s="141"/>
      <c r="HFG1" s="141"/>
      <c r="HFH1" s="141"/>
      <c r="HFI1" s="141"/>
      <c r="HFJ1" s="141"/>
      <c r="HFK1" s="141"/>
      <c r="HFL1" s="141"/>
      <c r="HFM1" s="141"/>
      <c r="HFN1" s="141"/>
      <c r="HFO1" s="141"/>
      <c r="HFP1" s="141"/>
      <c r="HFQ1" s="141"/>
      <c r="HFR1" s="141"/>
      <c r="HFS1" s="141"/>
      <c r="HFT1" s="141"/>
      <c r="HFU1" s="141"/>
      <c r="HFV1" s="141"/>
      <c r="HFW1" s="141"/>
      <c r="HFX1" s="141"/>
      <c r="HFY1" s="141"/>
      <c r="HFZ1" s="141"/>
      <c r="HGA1" s="141"/>
      <c r="HGB1" s="141"/>
      <c r="HGC1" s="141"/>
      <c r="HGD1" s="141"/>
      <c r="HGE1" s="141"/>
      <c r="HGF1" s="141"/>
      <c r="HGG1" s="141"/>
      <c r="HGH1" s="141"/>
      <c r="HGI1" s="141"/>
      <c r="HGJ1" s="141"/>
      <c r="HGK1" s="141"/>
      <c r="HGL1" s="141"/>
      <c r="HGM1" s="141"/>
      <c r="HGN1" s="141"/>
      <c r="HGO1" s="141"/>
      <c r="HGP1" s="141"/>
      <c r="HGQ1" s="141"/>
      <c r="HGR1" s="141"/>
      <c r="HGS1" s="141"/>
      <c r="HGT1" s="141"/>
      <c r="HGU1" s="141"/>
      <c r="HGV1" s="141"/>
      <c r="HGW1" s="141"/>
      <c r="HGX1" s="141"/>
      <c r="HGY1" s="141"/>
      <c r="HGZ1" s="141"/>
      <c r="HHA1" s="141"/>
      <c r="HHB1" s="141"/>
      <c r="HHC1" s="141"/>
      <c r="HHD1" s="141"/>
      <c r="HHE1" s="141"/>
      <c r="HHF1" s="141"/>
      <c r="HHG1" s="141"/>
      <c r="HHH1" s="141"/>
      <c r="HHI1" s="141"/>
      <c r="HHJ1" s="141"/>
      <c r="HHK1" s="141"/>
      <c r="HHL1" s="141"/>
      <c r="HHM1" s="141"/>
      <c r="HHN1" s="141"/>
      <c r="HHO1" s="141"/>
      <c r="HHP1" s="141"/>
      <c r="HHQ1" s="141"/>
      <c r="HHR1" s="141"/>
      <c r="HHS1" s="141"/>
      <c r="HHT1" s="141"/>
      <c r="HHU1" s="141"/>
      <c r="HHV1" s="141"/>
      <c r="HHW1" s="141"/>
      <c r="HHX1" s="141"/>
      <c r="HHY1" s="141"/>
      <c r="HHZ1" s="141"/>
      <c r="HIA1" s="141"/>
      <c r="HIB1" s="141"/>
      <c r="HIC1" s="141"/>
      <c r="HID1" s="141"/>
      <c r="HIE1" s="141"/>
      <c r="HIF1" s="141"/>
      <c r="HIG1" s="141"/>
      <c r="HIH1" s="141"/>
      <c r="HII1" s="141"/>
      <c r="HIJ1" s="141"/>
      <c r="HIK1" s="141"/>
      <c r="HIL1" s="141"/>
      <c r="HIM1" s="141"/>
      <c r="HIN1" s="141"/>
      <c r="HIO1" s="141"/>
      <c r="HIP1" s="141"/>
      <c r="HIQ1" s="141"/>
      <c r="HIR1" s="141"/>
      <c r="HIS1" s="141"/>
      <c r="HIT1" s="141"/>
      <c r="HIU1" s="141"/>
      <c r="HIV1" s="141"/>
      <c r="HIW1" s="141"/>
      <c r="HIX1" s="141"/>
      <c r="HIY1" s="141"/>
      <c r="HIZ1" s="141"/>
      <c r="HJA1" s="141"/>
      <c r="HJB1" s="141"/>
      <c r="HJC1" s="141"/>
      <c r="HJD1" s="141"/>
      <c r="HJE1" s="141"/>
      <c r="HJF1" s="141"/>
      <c r="HJG1" s="141"/>
      <c r="HJH1" s="141"/>
      <c r="HJI1" s="141"/>
      <c r="HJJ1" s="141"/>
      <c r="HJK1" s="141"/>
      <c r="HJL1" s="141"/>
      <c r="HJM1" s="141"/>
      <c r="HJN1" s="141"/>
      <c r="HJO1" s="141"/>
      <c r="HJP1" s="141"/>
      <c r="HJQ1" s="141"/>
      <c r="HJR1" s="141"/>
      <c r="HJS1" s="141"/>
      <c r="HJT1" s="141"/>
      <c r="HJU1" s="141"/>
      <c r="HJV1" s="141"/>
      <c r="HJW1" s="141"/>
      <c r="HJX1" s="141"/>
      <c r="HJY1" s="141"/>
      <c r="HJZ1" s="141"/>
      <c r="HKA1" s="141"/>
      <c r="HKB1" s="141"/>
      <c r="HKC1" s="141"/>
      <c r="HKD1" s="141"/>
      <c r="HKE1" s="141"/>
      <c r="HKF1" s="141"/>
      <c r="HKG1" s="141"/>
      <c r="HKH1" s="141"/>
      <c r="HKI1" s="141"/>
      <c r="HKJ1" s="141"/>
      <c r="HKK1" s="141"/>
      <c r="HKL1" s="141"/>
      <c r="HKM1" s="141"/>
      <c r="HKN1" s="141"/>
      <c r="HKO1" s="141"/>
      <c r="HKP1" s="141"/>
      <c r="HKQ1" s="141"/>
      <c r="HKR1" s="141"/>
      <c r="HKS1" s="141"/>
      <c r="HKT1" s="141"/>
      <c r="HKU1" s="141"/>
      <c r="HKV1" s="141"/>
      <c r="HKW1" s="141"/>
      <c r="HKX1" s="141"/>
      <c r="HKY1" s="141"/>
      <c r="HKZ1" s="141"/>
      <c r="HLA1" s="141"/>
      <c r="HLB1" s="141"/>
      <c r="HLC1" s="141"/>
      <c r="HLD1" s="141"/>
      <c r="HLE1" s="141"/>
      <c r="HLF1" s="141"/>
      <c r="HLG1" s="141"/>
      <c r="HLH1" s="141"/>
      <c r="HLI1" s="141"/>
      <c r="HLJ1" s="141"/>
      <c r="HLK1" s="141"/>
      <c r="HLL1" s="141"/>
      <c r="HLM1" s="141"/>
      <c r="HLN1" s="141"/>
      <c r="HLO1" s="141"/>
      <c r="HLP1" s="141"/>
      <c r="HLQ1" s="141"/>
      <c r="HLR1" s="141"/>
      <c r="HLS1" s="141"/>
      <c r="HLT1" s="141"/>
      <c r="HLU1" s="141"/>
      <c r="HLV1" s="141"/>
      <c r="HLW1" s="141"/>
      <c r="HLX1" s="141"/>
      <c r="HLY1" s="141"/>
      <c r="HLZ1" s="141"/>
      <c r="HMA1" s="141"/>
      <c r="HMB1" s="141"/>
      <c r="HMC1" s="141"/>
      <c r="HMD1" s="141"/>
      <c r="HME1" s="141"/>
      <c r="HMF1" s="141"/>
      <c r="HMG1" s="141"/>
      <c r="HMH1" s="141"/>
      <c r="HMI1" s="141"/>
      <c r="HMJ1" s="141"/>
      <c r="HMK1" s="141"/>
      <c r="HML1" s="141"/>
      <c r="HMM1" s="141"/>
      <c r="HMN1" s="141"/>
      <c r="HMO1" s="141"/>
      <c r="HMP1" s="141"/>
      <c r="HMQ1" s="141"/>
      <c r="HMR1" s="141"/>
      <c r="HMS1" s="141"/>
      <c r="HMT1" s="141"/>
      <c r="HMU1" s="141"/>
      <c r="HMV1" s="141"/>
      <c r="HMW1" s="141"/>
      <c r="HMX1" s="141"/>
      <c r="HMY1" s="141"/>
      <c r="HMZ1" s="141"/>
      <c r="HNA1" s="141"/>
      <c r="HNB1" s="141"/>
      <c r="HNC1" s="141"/>
      <c r="HND1" s="141"/>
      <c r="HNE1" s="141"/>
      <c r="HNF1" s="141"/>
      <c r="HNG1" s="141"/>
      <c r="HNH1" s="141"/>
      <c r="HNI1" s="141"/>
      <c r="HNJ1" s="141"/>
      <c r="HNK1" s="141"/>
      <c r="HNL1" s="141"/>
      <c r="HNM1" s="141"/>
      <c r="HNN1" s="141"/>
      <c r="HNO1" s="141"/>
      <c r="HNP1" s="141"/>
      <c r="HNQ1" s="141"/>
      <c r="HNR1" s="141"/>
      <c r="HNS1" s="141"/>
      <c r="HNT1" s="141"/>
      <c r="HNU1" s="141"/>
      <c r="HNV1" s="141"/>
      <c r="HNW1" s="141"/>
      <c r="HNX1" s="141"/>
      <c r="HNY1" s="141"/>
      <c r="HNZ1" s="141"/>
      <c r="HOA1" s="141"/>
      <c r="HOB1" s="141"/>
      <c r="HOC1" s="141"/>
      <c r="HOD1" s="141"/>
      <c r="HOE1" s="141"/>
      <c r="HOF1" s="141"/>
      <c r="HOG1" s="141"/>
      <c r="HOH1" s="141"/>
      <c r="HOI1" s="141"/>
      <c r="HOJ1" s="141"/>
      <c r="HOK1" s="141"/>
      <c r="HOL1" s="141"/>
      <c r="HOM1" s="141"/>
      <c r="HON1" s="141"/>
      <c r="HOO1" s="141"/>
      <c r="HOP1" s="141"/>
      <c r="HOQ1" s="141"/>
      <c r="HOR1" s="141"/>
      <c r="HOS1" s="141"/>
      <c r="HOT1" s="141"/>
      <c r="HOU1" s="141"/>
      <c r="HOV1" s="141"/>
      <c r="HOW1" s="141"/>
      <c r="HOX1" s="141"/>
      <c r="HOY1" s="141"/>
      <c r="HOZ1" s="141"/>
      <c r="HPA1" s="141"/>
      <c r="HPB1" s="141"/>
      <c r="HPC1" s="141"/>
      <c r="HPD1" s="141"/>
      <c r="HPE1" s="141"/>
      <c r="HPF1" s="141"/>
      <c r="HPG1" s="141"/>
      <c r="HPH1" s="141"/>
      <c r="HPI1" s="141"/>
      <c r="HPJ1" s="141"/>
      <c r="HPK1" s="141"/>
      <c r="HPL1" s="141"/>
      <c r="HPM1" s="141"/>
      <c r="HPN1" s="141"/>
      <c r="HPO1" s="141"/>
      <c r="HPP1" s="141"/>
      <c r="HPQ1" s="141"/>
      <c r="HPR1" s="141"/>
      <c r="HPS1" s="141"/>
      <c r="HPT1" s="141"/>
      <c r="HPU1" s="141"/>
      <c r="HPV1" s="141"/>
      <c r="HPW1" s="141"/>
      <c r="HPX1" s="141"/>
      <c r="HPY1" s="141"/>
      <c r="HPZ1" s="141"/>
      <c r="HQA1" s="141"/>
      <c r="HQB1" s="141"/>
      <c r="HQC1" s="141"/>
      <c r="HQD1" s="141"/>
      <c r="HQE1" s="141"/>
      <c r="HQF1" s="141"/>
      <c r="HQG1" s="141"/>
      <c r="HQH1" s="141"/>
      <c r="HQI1" s="141"/>
      <c r="HQJ1" s="141"/>
      <c r="HQK1" s="141"/>
      <c r="HQL1" s="141"/>
      <c r="HQM1" s="141"/>
      <c r="HQN1" s="141"/>
      <c r="HQO1" s="141"/>
      <c r="HQP1" s="141"/>
      <c r="HQQ1" s="141"/>
      <c r="HQR1" s="141"/>
      <c r="HQS1" s="141"/>
      <c r="HQT1" s="141"/>
      <c r="HQU1" s="141"/>
      <c r="HQV1" s="141"/>
      <c r="HQW1" s="141"/>
      <c r="HQX1" s="141"/>
      <c r="HQY1" s="141"/>
      <c r="HQZ1" s="141"/>
      <c r="HRA1" s="141"/>
      <c r="HRB1" s="141"/>
      <c r="HRC1" s="141"/>
      <c r="HRD1" s="141"/>
      <c r="HRE1" s="141"/>
      <c r="HRF1" s="141"/>
      <c r="HRG1" s="141"/>
      <c r="HRH1" s="141"/>
      <c r="HRI1" s="141"/>
      <c r="HRJ1" s="141"/>
      <c r="HRK1" s="141"/>
      <c r="HRL1" s="141"/>
      <c r="HRM1" s="141"/>
      <c r="HRN1" s="141"/>
      <c r="HRO1" s="141"/>
      <c r="HRP1" s="141"/>
      <c r="HRQ1" s="141"/>
      <c r="HRR1" s="141"/>
      <c r="HRS1" s="141"/>
      <c r="HRT1" s="141"/>
      <c r="HRU1" s="141"/>
      <c r="HRV1" s="141"/>
      <c r="HRW1" s="141"/>
      <c r="HRX1" s="141"/>
      <c r="HRY1" s="141"/>
      <c r="HRZ1" s="141"/>
      <c r="HSA1" s="141"/>
      <c r="HSB1" s="141"/>
      <c r="HSC1" s="141"/>
      <c r="HSD1" s="141"/>
      <c r="HSE1" s="141"/>
      <c r="HSF1" s="141"/>
      <c r="HSG1" s="141"/>
      <c r="HSH1" s="141"/>
      <c r="HSI1" s="141"/>
      <c r="HSJ1" s="141"/>
      <c r="HSK1" s="141"/>
      <c r="HSL1" s="141"/>
      <c r="HSM1" s="141"/>
      <c r="HSN1" s="141"/>
      <c r="HSO1" s="141"/>
      <c r="HSP1" s="141"/>
      <c r="HSQ1" s="141"/>
      <c r="HSR1" s="141"/>
      <c r="HSS1" s="141"/>
      <c r="HST1" s="141"/>
      <c r="HSU1" s="141"/>
      <c r="HSV1" s="141"/>
      <c r="HSW1" s="141"/>
      <c r="HSX1" s="141"/>
      <c r="HSY1" s="141"/>
      <c r="HSZ1" s="141"/>
      <c r="HTA1" s="141"/>
      <c r="HTB1" s="141"/>
      <c r="HTC1" s="141"/>
      <c r="HTD1" s="141"/>
      <c r="HTE1" s="141"/>
      <c r="HTF1" s="141"/>
      <c r="HTG1" s="141"/>
      <c r="HTH1" s="141"/>
      <c r="HTI1" s="141"/>
      <c r="HTJ1" s="141"/>
      <c r="HTK1" s="141"/>
      <c r="HTL1" s="141"/>
      <c r="HTM1" s="141"/>
      <c r="HTN1" s="141"/>
      <c r="HTO1" s="141"/>
      <c r="HTP1" s="141"/>
      <c r="HTQ1" s="141"/>
      <c r="HTR1" s="141"/>
      <c r="HTS1" s="141"/>
      <c r="HTT1" s="141"/>
      <c r="HTU1" s="141"/>
      <c r="HTV1" s="141"/>
      <c r="HTW1" s="141"/>
      <c r="HTX1" s="141"/>
      <c r="HTY1" s="141"/>
      <c r="HTZ1" s="141"/>
      <c r="HUA1" s="141"/>
      <c r="HUB1" s="141"/>
      <c r="HUC1" s="141"/>
      <c r="HUD1" s="141"/>
      <c r="HUE1" s="141"/>
      <c r="HUF1" s="141"/>
      <c r="HUG1" s="141"/>
      <c r="HUH1" s="141"/>
      <c r="HUI1" s="141"/>
      <c r="HUJ1" s="141"/>
      <c r="HUK1" s="141"/>
      <c r="HUL1" s="141"/>
      <c r="HUM1" s="141"/>
      <c r="HUN1" s="141"/>
      <c r="HUO1" s="141"/>
      <c r="HUP1" s="141"/>
      <c r="HUQ1" s="141"/>
      <c r="HUR1" s="141"/>
      <c r="HUS1" s="141"/>
      <c r="HUT1" s="141"/>
      <c r="HUU1" s="141"/>
      <c r="HUV1" s="141"/>
      <c r="HUW1" s="141"/>
      <c r="HUX1" s="141"/>
      <c r="HUY1" s="141"/>
      <c r="HUZ1" s="141"/>
      <c r="HVA1" s="141"/>
      <c r="HVB1" s="141"/>
      <c r="HVC1" s="141"/>
      <c r="HVD1" s="141"/>
      <c r="HVE1" s="141"/>
      <c r="HVF1" s="141"/>
      <c r="HVG1" s="141"/>
      <c r="HVH1" s="141"/>
      <c r="HVI1" s="141"/>
      <c r="HVJ1" s="141"/>
      <c r="HVK1" s="141"/>
      <c r="HVL1" s="141"/>
      <c r="HVM1" s="141"/>
      <c r="HVN1" s="141"/>
      <c r="HVO1" s="141"/>
      <c r="HVP1" s="141"/>
      <c r="HVQ1" s="141"/>
      <c r="HVR1" s="141"/>
      <c r="HVS1" s="141"/>
      <c r="HVT1" s="141"/>
      <c r="HVU1" s="141"/>
      <c r="HVV1" s="141"/>
      <c r="HVW1" s="141"/>
      <c r="HVX1" s="141"/>
      <c r="HVY1" s="141"/>
      <c r="HVZ1" s="141"/>
      <c r="HWA1" s="141"/>
      <c r="HWB1" s="141"/>
      <c r="HWC1" s="141"/>
      <c r="HWD1" s="141"/>
      <c r="HWE1" s="141"/>
      <c r="HWF1" s="141"/>
      <c r="HWG1" s="141"/>
      <c r="HWH1" s="141"/>
      <c r="HWI1" s="141"/>
      <c r="HWJ1" s="141"/>
      <c r="HWK1" s="141"/>
      <c r="HWL1" s="141"/>
      <c r="HWM1" s="141"/>
      <c r="HWN1" s="141"/>
      <c r="HWO1" s="141"/>
      <c r="HWP1" s="141"/>
      <c r="HWQ1" s="141"/>
      <c r="HWR1" s="141"/>
      <c r="HWS1" s="141"/>
      <c r="HWT1" s="141"/>
      <c r="HWU1" s="141"/>
      <c r="HWV1" s="141"/>
      <c r="HWW1" s="141"/>
      <c r="HWX1" s="141"/>
      <c r="HWY1" s="141"/>
      <c r="HWZ1" s="141"/>
      <c r="HXA1" s="141"/>
      <c r="HXB1" s="141"/>
      <c r="HXC1" s="141"/>
      <c r="HXD1" s="141"/>
      <c r="HXE1" s="141"/>
      <c r="HXF1" s="141"/>
      <c r="HXG1" s="141"/>
      <c r="HXH1" s="141"/>
      <c r="HXI1" s="141"/>
      <c r="HXJ1" s="141"/>
      <c r="HXK1" s="141"/>
      <c r="HXL1" s="141"/>
      <c r="HXM1" s="141"/>
      <c r="HXN1" s="141"/>
      <c r="HXO1" s="141"/>
      <c r="HXP1" s="141"/>
      <c r="HXQ1" s="141"/>
      <c r="HXR1" s="141"/>
      <c r="HXS1" s="141"/>
      <c r="HXT1" s="141"/>
      <c r="HXU1" s="141"/>
      <c r="HXV1" s="141"/>
      <c r="HXW1" s="141"/>
      <c r="HXX1" s="141"/>
      <c r="HXY1" s="141"/>
      <c r="HXZ1" s="141"/>
      <c r="HYA1" s="141"/>
      <c r="HYB1" s="141"/>
      <c r="HYC1" s="141"/>
      <c r="HYD1" s="141"/>
      <c r="HYE1" s="141"/>
      <c r="HYF1" s="141"/>
      <c r="HYG1" s="141"/>
      <c r="HYH1" s="141"/>
      <c r="HYI1" s="141"/>
      <c r="HYJ1" s="141"/>
      <c r="HYK1" s="141"/>
      <c r="HYL1" s="141"/>
      <c r="HYM1" s="141"/>
      <c r="HYN1" s="141"/>
      <c r="HYO1" s="141"/>
      <c r="HYP1" s="141"/>
      <c r="HYQ1" s="141"/>
      <c r="HYR1" s="141"/>
      <c r="HYS1" s="141"/>
      <c r="HYT1" s="141"/>
      <c r="HYU1" s="141"/>
      <c r="HYV1" s="141"/>
      <c r="HYW1" s="141"/>
      <c r="HYX1" s="141"/>
      <c r="HYY1" s="141"/>
      <c r="HYZ1" s="141"/>
      <c r="HZA1" s="141"/>
      <c r="HZB1" s="141"/>
      <c r="HZC1" s="141"/>
      <c r="HZD1" s="141"/>
      <c r="HZE1" s="141"/>
      <c r="HZF1" s="141"/>
      <c r="HZG1" s="141"/>
      <c r="HZH1" s="141"/>
      <c r="HZI1" s="141"/>
      <c r="HZJ1" s="141"/>
      <c r="HZK1" s="141"/>
      <c r="HZL1" s="141"/>
      <c r="HZM1" s="141"/>
      <c r="HZN1" s="141"/>
      <c r="HZO1" s="141"/>
      <c r="HZP1" s="141"/>
      <c r="HZQ1" s="141"/>
      <c r="HZR1" s="141"/>
      <c r="HZS1" s="141"/>
      <c r="HZT1" s="141"/>
      <c r="HZU1" s="141"/>
      <c r="HZV1" s="141"/>
      <c r="HZW1" s="141"/>
      <c r="HZX1" s="141"/>
      <c r="HZY1" s="141"/>
      <c r="HZZ1" s="141"/>
      <c r="IAA1" s="141"/>
      <c r="IAB1" s="141"/>
      <c r="IAC1" s="141"/>
      <c r="IAD1" s="141"/>
      <c r="IAE1" s="141"/>
      <c r="IAF1" s="141"/>
      <c r="IAG1" s="141"/>
      <c r="IAH1" s="141"/>
      <c r="IAI1" s="141"/>
      <c r="IAJ1" s="141"/>
      <c r="IAK1" s="141"/>
      <c r="IAL1" s="141"/>
      <c r="IAM1" s="141"/>
      <c r="IAN1" s="141"/>
      <c r="IAO1" s="141"/>
      <c r="IAP1" s="141"/>
      <c r="IAQ1" s="141"/>
      <c r="IAR1" s="141"/>
      <c r="IAS1" s="141"/>
      <c r="IAT1" s="141"/>
      <c r="IAU1" s="141"/>
      <c r="IAV1" s="141"/>
      <c r="IAW1" s="141"/>
      <c r="IAX1" s="141"/>
      <c r="IAY1" s="141"/>
      <c r="IAZ1" s="141"/>
      <c r="IBA1" s="141"/>
      <c r="IBB1" s="141"/>
      <c r="IBC1" s="141"/>
      <c r="IBD1" s="141"/>
      <c r="IBE1" s="141"/>
      <c r="IBF1" s="141"/>
      <c r="IBG1" s="141"/>
      <c r="IBH1" s="141"/>
      <c r="IBI1" s="141"/>
      <c r="IBJ1" s="141"/>
      <c r="IBK1" s="141"/>
      <c r="IBL1" s="141"/>
      <c r="IBM1" s="141"/>
      <c r="IBN1" s="141"/>
      <c r="IBO1" s="141"/>
      <c r="IBP1" s="141"/>
      <c r="IBQ1" s="141"/>
      <c r="IBR1" s="141"/>
      <c r="IBS1" s="141"/>
      <c r="IBT1" s="141"/>
      <c r="IBU1" s="141"/>
      <c r="IBV1" s="141"/>
      <c r="IBW1" s="141"/>
      <c r="IBX1" s="141"/>
      <c r="IBY1" s="141"/>
      <c r="IBZ1" s="141"/>
      <c r="ICA1" s="141"/>
      <c r="ICB1" s="141"/>
      <c r="ICC1" s="141"/>
      <c r="ICD1" s="141"/>
      <c r="ICE1" s="141"/>
      <c r="ICF1" s="141"/>
      <c r="ICG1" s="141"/>
      <c r="ICH1" s="141"/>
      <c r="ICI1" s="141"/>
      <c r="ICJ1" s="141"/>
      <c r="ICK1" s="141"/>
      <c r="ICL1" s="141"/>
      <c r="ICM1" s="141"/>
      <c r="ICN1" s="141"/>
      <c r="ICO1" s="141"/>
      <c r="ICP1" s="141"/>
      <c r="ICQ1" s="141"/>
      <c r="ICR1" s="141"/>
      <c r="ICS1" s="141"/>
      <c r="ICT1" s="141"/>
      <c r="ICU1" s="141"/>
      <c r="ICV1" s="141"/>
      <c r="ICW1" s="141"/>
      <c r="ICX1" s="141"/>
      <c r="ICY1" s="141"/>
      <c r="ICZ1" s="141"/>
      <c r="IDA1" s="141"/>
      <c r="IDB1" s="141"/>
      <c r="IDC1" s="141"/>
      <c r="IDD1" s="141"/>
      <c r="IDE1" s="141"/>
      <c r="IDF1" s="141"/>
      <c r="IDG1" s="141"/>
      <c r="IDH1" s="141"/>
      <c r="IDI1" s="141"/>
      <c r="IDJ1" s="141"/>
      <c r="IDK1" s="141"/>
      <c r="IDL1" s="141"/>
      <c r="IDM1" s="141"/>
      <c r="IDN1" s="141"/>
      <c r="IDO1" s="141"/>
      <c r="IDP1" s="141"/>
      <c r="IDQ1" s="141"/>
      <c r="IDR1" s="141"/>
      <c r="IDS1" s="141"/>
      <c r="IDT1" s="141"/>
      <c r="IDU1" s="141"/>
      <c r="IDV1" s="141"/>
      <c r="IDW1" s="141"/>
      <c r="IDX1" s="141"/>
      <c r="IDY1" s="141"/>
      <c r="IDZ1" s="141"/>
      <c r="IEA1" s="141"/>
      <c r="IEB1" s="141"/>
      <c r="IEC1" s="141"/>
      <c r="IED1" s="141"/>
      <c r="IEE1" s="141"/>
      <c r="IEF1" s="141"/>
      <c r="IEG1" s="141"/>
      <c r="IEH1" s="141"/>
      <c r="IEI1" s="141"/>
      <c r="IEJ1" s="141"/>
      <c r="IEK1" s="141"/>
      <c r="IEL1" s="141"/>
      <c r="IEM1" s="141"/>
      <c r="IEN1" s="141"/>
      <c r="IEO1" s="141"/>
      <c r="IEP1" s="141"/>
      <c r="IEQ1" s="141"/>
      <c r="IER1" s="141"/>
      <c r="IES1" s="141"/>
      <c r="IET1" s="141"/>
      <c r="IEU1" s="141"/>
      <c r="IEV1" s="141"/>
      <c r="IEW1" s="141"/>
      <c r="IEX1" s="141"/>
      <c r="IEY1" s="141"/>
      <c r="IEZ1" s="141"/>
      <c r="IFA1" s="141"/>
      <c r="IFB1" s="141"/>
      <c r="IFC1" s="141"/>
      <c r="IFD1" s="141"/>
      <c r="IFE1" s="141"/>
      <c r="IFF1" s="141"/>
      <c r="IFG1" s="141"/>
      <c r="IFH1" s="141"/>
      <c r="IFI1" s="141"/>
      <c r="IFJ1" s="141"/>
      <c r="IFK1" s="141"/>
      <c r="IFL1" s="141"/>
      <c r="IFM1" s="141"/>
      <c r="IFN1" s="141"/>
      <c r="IFO1" s="141"/>
      <c r="IFP1" s="141"/>
      <c r="IFQ1" s="141"/>
      <c r="IFR1" s="141"/>
      <c r="IFS1" s="141"/>
      <c r="IFT1" s="141"/>
      <c r="IFU1" s="141"/>
      <c r="IFV1" s="141"/>
      <c r="IFW1" s="141"/>
      <c r="IFX1" s="141"/>
      <c r="IFY1" s="141"/>
      <c r="IFZ1" s="141"/>
      <c r="IGA1" s="141"/>
      <c r="IGB1" s="141"/>
      <c r="IGC1" s="141"/>
      <c r="IGD1" s="141"/>
      <c r="IGE1" s="141"/>
      <c r="IGF1" s="141"/>
      <c r="IGG1" s="141"/>
      <c r="IGH1" s="141"/>
      <c r="IGI1" s="141"/>
      <c r="IGJ1" s="141"/>
      <c r="IGK1" s="141"/>
      <c r="IGL1" s="141"/>
      <c r="IGM1" s="141"/>
      <c r="IGN1" s="141"/>
      <c r="IGO1" s="141"/>
      <c r="IGP1" s="141"/>
      <c r="IGQ1" s="141"/>
      <c r="IGR1" s="141"/>
      <c r="IGS1" s="141"/>
      <c r="IGT1" s="141"/>
      <c r="IGU1" s="141"/>
      <c r="IGV1" s="141"/>
      <c r="IGW1" s="141"/>
      <c r="IGX1" s="141"/>
      <c r="IGY1" s="141"/>
      <c r="IGZ1" s="141"/>
      <c r="IHA1" s="141"/>
      <c r="IHB1" s="141"/>
      <c r="IHC1" s="141"/>
      <c r="IHD1" s="141"/>
      <c r="IHE1" s="141"/>
      <c r="IHF1" s="141"/>
      <c r="IHG1" s="141"/>
      <c r="IHH1" s="141"/>
      <c r="IHI1" s="141"/>
      <c r="IHJ1" s="141"/>
      <c r="IHK1" s="141"/>
      <c r="IHL1" s="141"/>
      <c r="IHM1" s="141"/>
      <c r="IHN1" s="141"/>
      <c r="IHO1" s="141"/>
      <c r="IHP1" s="141"/>
      <c r="IHQ1" s="141"/>
      <c r="IHR1" s="141"/>
      <c r="IHS1" s="141"/>
      <c r="IHT1" s="141"/>
      <c r="IHU1" s="141"/>
      <c r="IHV1" s="141"/>
      <c r="IHW1" s="141"/>
      <c r="IHX1" s="141"/>
      <c r="IHY1" s="141"/>
      <c r="IHZ1" s="141"/>
      <c r="IIA1" s="141"/>
      <c r="IIB1" s="141"/>
      <c r="IIC1" s="141"/>
      <c r="IID1" s="141"/>
      <c r="IIE1" s="141"/>
      <c r="IIF1" s="141"/>
      <c r="IIG1" s="141"/>
      <c r="IIH1" s="141"/>
      <c r="III1" s="141"/>
      <c r="IIJ1" s="141"/>
      <c r="IIK1" s="141"/>
      <c r="IIL1" s="141"/>
      <c r="IIM1" s="141"/>
      <c r="IIN1" s="141"/>
      <c r="IIO1" s="141"/>
      <c r="IIP1" s="141"/>
      <c r="IIQ1" s="141"/>
      <c r="IIR1" s="141"/>
      <c r="IIS1" s="141"/>
      <c r="IIT1" s="141"/>
      <c r="IIU1" s="141"/>
      <c r="IIV1" s="141"/>
      <c r="IIW1" s="141"/>
      <c r="IIX1" s="141"/>
      <c r="IIY1" s="141"/>
      <c r="IIZ1" s="141"/>
      <c r="IJA1" s="141"/>
      <c r="IJB1" s="141"/>
      <c r="IJC1" s="141"/>
      <c r="IJD1" s="141"/>
      <c r="IJE1" s="141"/>
      <c r="IJF1" s="141"/>
      <c r="IJG1" s="141"/>
      <c r="IJH1" s="141"/>
      <c r="IJI1" s="141"/>
      <c r="IJJ1" s="141"/>
      <c r="IJK1" s="141"/>
      <c r="IJL1" s="141"/>
      <c r="IJM1" s="141"/>
      <c r="IJN1" s="141"/>
      <c r="IJO1" s="141"/>
      <c r="IJP1" s="141"/>
      <c r="IJQ1" s="141"/>
      <c r="IJR1" s="141"/>
      <c r="IJS1" s="141"/>
      <c r="IJT1" s="141"/>
      <c r="IJU1" s="141"/>
      <c r="IJV1" s="141"/>
      <c r="IJW1" s="141"/>
      <c r="IJX1" s="141"/>
      <c r="IJY1" s="141"/>
      <c r="IJZ1" s="141"/>
      <c r="IKA1" s="141"/>
      <c r="IKB1" s="141"/>
      <c r="IKC1" s="141"/>
      <c r="IKD1" s="141"/>
      <c r="IKE1" s="141"/>
      <c r="IKF1" s="141"/>
      <c r="IKG1" s="141"/>
      <c r="IKH1" s="141"/>
      <c r="IKI1" s="141"/>
      <c r="IKJ1" s="141"/>
      <c r="IKK1" s="141"/>
      <c r="IKL1" s="141"/>
      <c r="IKM1" s="141"/>
      <c r="IKN1" s="141"/>
      <c r="IKO1" s="141"/>
      <c r="IKP1" s="141"/>
      <c r="IKQ1" s="141"/>
      <c r="IKR1" s="141"/>
      <c r="IKS1" s="141"/>
      <c r="IKT1" s="141"/>
      <c r="IKU1" s="141"/>
      <c r="IKV1" s="141"/>
      <c r="IKW1" s="141"/>
      <c r="IKX1" s="141"/>
      <c r="IKY1" s="141"/>
      <c r="IKZ1" s="141"/>
      <c r="ILA1" s="141"/>
      <c r="ILB1" s="141"/>
      <c r="ILC1" s="141"/>
      <c r="ILD1" s="141"/>
      <c r="ILE1" s="141"/>
      <c r="ILF1" s="141"/>
      <c r="ILG1" s="141"/>
      <c r="ILH1" s="141"/>
      <c r="ILI1" s="141"/>
      <c r="ILJ1" s="141"/>
      <c r="ILK1" s="141"/>
      <c r="ILL1" s="141"/>
      <c r="ILM1" s="141"/>
      <c r="ILN1" s="141"/>
      <c r="ILO1" s="141"/>
      <c r="ILP1" s="141"/>
      <c r="ILQ1" s="141"/>
      <c r="ILR1" s="141"/>
      <c r="ILS1" s="141"/>
      <c r="ILT1" s="141"/>
      <c r="ILU1" s="141"/>
      <c r="ILV1" s="141"/>
      <c r="ILW1" s="141"/>
      <c r="ILX1" s="141"/>
      <c r="ILY1" s="141"/>
      <c r="ILZ1" s="141"/>
      <c r="IMA1" s="141"/>
      <c r="IMB1" s="141"/>
      <c r="IMC1" s="141"/>
      <c r="IMD1" s="141"/>
      <c r="IME1" s="141"/>
      <c r="IMF1" s="141"/>
      <c r="IMG1" s="141"/>
      <c r="IMH1" s="141"/>
      <c r="IMI1" s="141"/>
      <c r="IMJ1" s="141"/>
      <c r="IMK1" s="141"/>
      <c r="IML1" s="141"/>
      <c r="IMM1" s="141"/>
      <c r="IMN1" s="141"/>
      <c r="IMO1" s="141"/>
      <c r="IMP1" s="141"/>
      <c r="IMQ1" s="141"/>
      <c r="IMR1" s="141"/>
      <c r="IMS1" s="141"/>
      <c r="IMT1" s="141"/>
      <c r="IMU1" s="141"/>
      <c r="IMV1" s="141"/>
      <c r="IMW1" s="141"/>
      <c r="IMX1" s="141"/>
      <c r="IMY1" s="141"/>
      <c r="IMZ1" s="141"/>
      <c r="INA1" s="141"/>
      <c r="INB1" s="141"/>
      <c r="INC1" s="141"/>
      <c r="IND1" s="141"/>
      <c r="INE1" s="141"/>
      <c r="INF1" s="141"/>
      <c r="ING1" s="141"/>
      <c r="INH1" s="141"/>
      <c r="INI1" s="141"/>
      <c r="INJ1" s="141"/>
      <c r="INK1" s="141"/>
      <c r="INL1" s="141"/>
      <c r="INM1" s="141"/>
      <c r="INN1" s="141"/>
      <c r="INO1" s="141"/>
      <c r="INP1" s="141"/>
      <c r="INQ1" s="141"/>
      <c r="INR1" s="141"/>
      <c r="INS1" s="141"/>
      <c r="INT1" s="141"/>
      <c r="INU1" s="141"/>
      <c r="INV1" s="141"/>
      <c r="INW1" s="141"/>
      <c r="INX1" s="141"/>
      <c r="INY1" s="141"/>
      <c r="INZ1" s="141"/>
      <c r="IOA1" s="141"/>
      <c r="IOB1" s="141"/>
      <c r="IOC1" s="141"/>
      <c r="IOD1" s="141"/>
      <c r="IOE1" s="141"/>
      <c r="IOF1" s="141"/>
      <c r="IOG1" s="141"/>
      <c r="IOH1" s="141"/>
      <c r="IOI1" s="141"/>
      <c r="IOJ1" s="141"/>
      <c r="IOK1" s="141"/>
      <c r="IOL1" s="141"/>
      <c r="IOM1" s="141"/>
      <c r="ION1" s="141"/>
      <c r="IOO1" s="141"/>
      <c r="IOP1" s="141"/>
      <c r="IOQ1" s="141"/>
      <c r="IOR1" s="141"/>
      <c r="IOS1" s="141"/>
      <c r="IOT1" s="141"/>
      <c r="IOU1" s="141"/>
      <c r="IOV1" s="141"/>
      <c r="IOW1" s="141"/>
      <c r="IOX1" s="141"/>
      <c r="IOY1" s="141"/>
      <c r="IOZ1" s="141"/>
      <c r="IPA1" s="141"/>
      <c r="IPB1" s="141"/>
      <c r="IPC1" s="141"/>
      <c r="IPD1" s="141"/>
      <c r="IPE1" s="141"/>
      <c r="IPF1" s="141"/>
      <c r="IPG1" s="141"/>
      <c r="IPH1" s="141"/>
      <c r="IPI1" s="141"/>
      <c r="IPJ1" s="141"/>
      <c r="IPK1" s="141"/>
      <c r="IPL1" s="141"/>
      <c r="IPM1" s="141"/>
      <c r="IPN1" s="141"/>
      <c r="IPO1" s="141"/>
      <c r="IPP1" s="141"/>
      <c r="IPQ1" s="141"/>
      <c r="IPR1" s="141"/>
      <c r="IPS1" s="141"/>
      <c r="IPT1" s="141"/>
      <c r="IPU1" s="141"/>
      <c r="IPV1" s="141"/>
      <c r="IPW1" s="141"/>
      <c r="IPX1" s="141"/>
      <c r="IPY1" s="141"/>
      <c r="IPZ1" s="141"/>
      <c r="IQA1" s="141"/>
      <c r="IQB1" s="141"/>
      <c r="IQC1" s="141"/>
      <c r="IQD1" s="141"/>
      <c r="IQE1" s="141"/>
      <c r="IQF1" s="141"/>
      <c r="IQG1" s="141"/>
      <c r="IQH1" s="141"/>
      <c r="IQI1" s="141"/>
      <c r="IQJ1" s="141"/>
      <c r="IQK1" s="141"/>
      <c r="IQL1" s="141"/>
      <c r="IQM1" s="141"/>
      <c r="IQN1" s="141"/>
      <c r="IQO1" s="141"/>
      <c r="IQP1" s="141"/>
      <c r="IQQ1" s="141"/>
      <c r="IQR1" s="141"/>
      <c r="IQS1" s="141"/>
      <c r="IQT1" s="141"/>
      <c r="IQU1" s="141"/>
      <c r="IQV1" s="141"/>
      <c r="IQW1" s="141"/>
      <c r="IQX1" s="141"/>
      <c r="IQY1" s="141"/>
      <c r="IQZ1" s="141"/>
      <c r="IRA1" s="141"/>
      <c r="IRB1" s="141"/>
      <c r="IRC1" s="141"/>
      <c r="IRD1" s="141"/>
      <c r="IRE1" s="141"/>
      <c r="IRF1" s="141"/>
      <c r="IRG1" s="141"/>
      <c r="IRH1" s="141"/>
      <c r="IRI1" s="141"/>
      <c r="IRJ1" s="141"/>
      <c r="IRK1" s="141"/>
      <c r="IRL1" s="141"/>
      <c r="IRM1" s="141"/>
      <c r="IRN1" s="141"/>
      <c r="IRO1" s="141"/>
      <c r="IRP1" s="141"/>
      <c r="IRQ1" s="141"/>
      <c r="IRR1" s="141"/>
      <c r="IRS1" s="141"/>
      <c r="IRT1" s="141"/>
      <c r="IRU1" s="141"/>
      <c r="IRV1" s="141"/>
      <c r="IRW1" s="141"/>
      <c r="IRX1" s="141"/>
      <c r="IRY1" s="141"/>
      <c r="IRZ1" s="141"/>
      <c r="ISA1" s="141"/>
      <c r="ISB1" s="141"/>
      <c r="ISC1" s="141"/>
      <c r="ISD1" s="141"/>
      <c r="ISE1" s="141"/>
      <c r="ISF1" s="141"/>
      <c r="ISG1" s="141"/>
      <c r="ISH1" s="141"/>
      <c r="ISI1" s="141"/>
      <c r="ISJ1" s="141"/>
      <c r="ISK1" s="141"/>
      <c r="ISL1" s="141"/>
      <c r="ISM1" s="141"/>
      <c r="ISN1" s="141"/>
      <c r="ISO1" s="141"/>
      <c r="ISP1" s="141"/>
      <c r="ISQ1" s="141"/>
      <c r="ISR1" s="141"/>
      <c r="ISS1" s="141"/>
      <c r="IST1" s="141"/>
      <c r="ISU1" s="141"/>
      <c r="ISV1" s="141"/>
      <c r="ISW1" s="141"/>
      <c r="ISX1" s="141"/>
      <c r="ISY1" s="141"/>
      <c r="ISZ1" s="141"/>
      <c r="ITA1" s="141"/>
      <c r="ITB1" s="141"/>
      <c r="ITC1" s="141"/>
      <c r="ITD1" s="141"/>
      <c r="ITE1" s="141"/>
      <c r="ITF1" s="141"/>
      <c r="ITG1" s="141"/>
      <c r="ITH1" s="141"/>
      <c r="ITI1" s="141"/>
      <c r="ITJ1" s="141"/>
      <c r="ITK1" s="141"/>
      <c r="ITL1" s="141"/>
      <c r="ITM1" s="141"/>
      <c r="ITN1" s="141"/>
      <c r="ITO1" s="141"/>
      <c r="ITP1" s="141"/>
      <c r="ITQ1" s="141"/>
      <c r="ITR1" s="141"/>
      <c r="ITS1" s="141"/>
      <c r="ITT1" s="141"/>
      <c r="ITU1" s="141"/>
      <c r="ITV1" s="141"/>
      <c r="ITW1" s="141"/>
      <c r="ITX1" s="141"/>
      <c r="ITY1" s="141"/>
      <c r="ITZ1" s="141"/>
      <c r="IUA1" s="141"/>
      <c r="IUB1" s="141"/>
      <c r="IUC1" s="141"/>
      <c r="IUD1" s="141"/>
      <c r="IUE1" s="141"/>
      <c r="IUF1" s="141"/>
      <c r="IUG1" s="141"/>
      <c r="IUH1" s="141"/>
      <c r="IUI1" s="141"/>
      <c r="IUJ1" s="141"/>
      <c r="IUK1" s="141"/>
      <c r="IUL1" s="141"/>
      <c r="IUM1" s="141"/>
      <c r="IUN1" s="141"/>
      <c r="IUO1" s="141"/>
      <c r="IUP1" s="141"/>
      <c r="IUQ1" s="141"/>
      <c r="IUR1" s="141"/>
      <c r="IUS1" s="141"/>
      <c r="IUT1" s="141"/>
      <c r="IUU1" s="141"/>
      <c r="IUV1" s="141"/>
      <c r="IUW1" s="141"/>
      <c r="IUX1" s="141"/>
      <c r="IUY1" s="141"/>
      <c r="IUZ1" s="141"/>
      <c r="IVA1" s="141"/>
      <c r="IVB1" s="141"/>
      <c r="IVC1" s="141"/>
      <c r="IVD1" s="141"/>
      <c r="IVE1" s="141"/>
      <c r="IVF1" s="141"/>
      <c r="IVG1" s="141"/>
      <c r="IVH1" s="141"/>
      <c r="IVI1" s="141"/>
      <c r="IVJ1" s="141"/>
      <c r="IVK1" s="141"/>
      <c r="IVL1" s="141"/>
      <c r="IVM1" s="141"/>
      <c r="IVN1" s="141"/>
      <c r="IVO1" s="141"/>
      <c r="IVP1" s="141"/>
      <c r="IVQ1" s="141"/>
      <c r="IVR1" s="141"/>
      <c r="IVS1" s="141"/>
      <c r="IVT1" s="141"/>
      <c r="IVU1" s="141"/>
      <c r="IVV1" s="141"/>
      <c r="IVW1" s="141"/>
      <c r="IVX1" s="141"/>
      <c r="IVY1" s="141"/>
      <c r="IVZ1" s="141"/>
      <c r="IWA1" s="141"/>
      <c r="IWB1" s="141"/>
      <c r="IWC1" s="141"/>
      <c r="IWD1" s="141"/>
      <c r="IWE1" s="141"/>
      <c r="IWF1" s="141"/>
      <c r="IWG1" s="141"/>
      <c r="IWH1" s="141"/>
      <c r="IWI1" s="141"/>
      <c r="IWJ1" s="141"/>
      <c r="IWK1" s="141"/>
      <c r="IWL1" s="141"/>
      <c r="IWM1" s="141"/>
      <c r="IWN1" s="141"/>
      <c r="IWO1" s="141"/>
      <c r="IWP1" s="141"/>
      <c r="IWQ1" s="141"/>
      <c r="IWR1" s="141"/>
      <c r="IWS1" s="141"/>
      <c r="IWT1" s="141"/>
      <c r="IWU1" s="141"/>
      <c r="IWV1" s="141"/>
      <c r="IWW1" s="141"/>
      <c r="IWX1" s="141"/>
      <c r="IWY1" s="141"/>
      <c r="IWZ1" s="141"/>
      <c r="IXA1" s="141"/>
      <c r="IXB1" s="141"/>
      <c r="IXC1" s="141"/>
      <c r="IXD1" s="141"/>
      <c r="IXE1" s="141"/>
      <c r="IXF1" s="141"/>
      <c r="IXG1" s="141"/>
      <c r="IXH1" s="141"/>
      <c r="IXI1" s="141"/>
      <c r="IXJ1" s="141"/>
      <c r="IXK1" s="141"/>
      <c r="IXL1" s="141"/>
      <c r="IXM1" s="141"/>
      <c r="IXN1" s="141"/>
      <c r="IXO1" s="141"/>
      <c r="IXP1" s="141"/>
      <c r="IXQ1" s="141"/>
      <c r="IXR1" s="141"/>
      <c r="IXS1" s="141"/>
      <c r="IXT1" s="141"/>
      <c r="IXU1" s="141"/>
      <c r="IXV1" s="141"/>
      <c r="IXW1" s="141"/>
      <c r="IXX1" s="141"/>
      <c r="IXY1" s="141"/>
      <c r="IXZ1" s="141"/>
      <c r="IYA1" s="141"/>
      <c r="IYB1" s="141"/>
      <c r="IYC1" s="141"/>
      <c r="IYD1" s="141"/>
      <c r="IYE1" s="141"/>
      <c r="IYF1" s="141"/>
      <c r="IYG1" s="141"/>
      <c r="IYH1" s="141"/>
      <c r="IYI1" s="141"/>
      <c r="IYJ1" s="141"/>
      <c r="IYK1" s="141"/>
      <c r="IYL1" s="141"/>
      <c r="IYM1" s="141"/>
      <c r="IYN1" s="141"/>
      <c r="IYO1" s="141"/>
      <c r="IYP1" s="141"/>
      <c r="IYQ1" s="141"/>
      <c r="IYR1" s="141"/>
      <c r="IYS1" s="141"/>
      <c r="IYT1" s="141"/>
      <c r="IYU1" s="141"/>
      <c r="IYV1" s="141"/>
      <c r="IYW1" s="141"/>
      <c r="IYX1" s="141"/>
      <c r="IYY1" s="141"/>
      <c r="IYZ1" s="141"/>
      <c r="IZA1" s="141"/>
      <c r="IZB1" s="141"/>
      <c r="IZC1" s="141"/>
      <c r="IZD1" s="141"/>
      <c r="IZE1" s="141"/>
      <c r="IZF1" s="141"/>
      <c r="IZG1" s="141"/>
      <c r="IZH1" s="141"/>
      <c r="IZI1" s="141"/>
      <c r="IZJ1" s="141"/>
      <c r="IZK1" s="141"/>
      <c r="IZL1" s="141"/>
      <c r="IZM1" s="141"/>
      <c r="IZN1" s="141"/>
      <c r="IZO1" s="141"/>
      <c r="IZP1" s="141"/>
      <c r="IZQ1" s="141"/>
      <c r="IZR1" s="141"/>
      <c r="IZS1" s="141"/>
      <c r="IZT1" s="141"/>
      <c r="IZU1" s="141"/>
      <c r="IZV1" s="141"/>
      <c r="IZW1" s="141"/>
      <c r="IZX1" s="141"/>
      <c r="IZY1" s="141"/>
      <c r="IZZ1" s="141"/>
      <c r="JAA1" s="141"/>
      <c r="JAB1" s="141"/>
      <c r="JAC1" s="141"/>
      <c r="JAD1" s="141"/>
      <c r="JAE1" s="141"/>
      <c r="JAF1" s="141"/>
      <c r="JAG1" s="141"/>
      <c r="JAH1" s="141"/>
      <c r="JAI1" s="141"/>
      <c r="JAJ1" s="141"/>
      <c r="JAK1" s="141"/>
      <c r="JAL1" s="141"/>
      <c r="JAM1" s="141"/>
      <c r="JAN1" s="141"/>
      <c r="JAO1" s="141"/>
      <c r="JAP1" s="141"/>
      <c r="JAQ1" s="141"/>
      <c r="JAR1" s="141"/>
      <c r="JAS1" s="141"/>
      <c r="JAT1" s="141"/>
      <c r="JAU1" s="141"/>
      <c r="JAV1" s="141"/>
      <c r="JAW1" s="141"/>
      <c r="JAX1" s="141"/>
      <c r="JAY1" s="141"/>
      <c r="JAZ1" s="141"/>
      <c r="JBA1" s="141"/>
      <c r="JBB1" s="141"/>
      <c r="JBC1" s="141"/>
      <c r="JBD1" s="141"/>
      <c r="JBE1" s="141"/>
      <c r="JBF1" s="141"/>
      <c r="JBG1" s="141"/>
      <c r="JBH1" s="141"/>
      <c r="JBI1" s="141"/>
      <c r="JBJ1" s="141"/>
      <c r="JBK1" s="141"/>
      <c r="JBL1" s="141"/>
      <c r="JBM1" s="141"/>
      <c r="JBN1" s="141"/>
      <c r="JBO1" s="141"/>
      <c r="JBP1" s="141"/>
      <c r="JBQ1" s="141"/>
      <c r="JBR1" s="141"/>
      <c r="JBS1" s="141"/>
      <c r="JBT1" s="141"/>
      <c r="JBU1" s="141"/>
      <c r="JBV1" s="141"/>
      <c r="JBW1" s="141"/>
      <c r="JBX1" s="141"/>
      <c r="JBY1" s="141"/>
      <c r="JBZ1" s="141"/>
      <c r="JCA1" s="141"/>
      <c r="JCB1" s="141"/>
      <c r="JCC1" s="141"/>
      <c r="JCD1" s="141"/>
      <c r="JCE1" s="141"/>
      <c r="JCF1" s="141"/>
      <c r="JCG1" s="141"/>
      <c r="JCH1" s="141"/>
      <c r="JCI1" s="141"/>
      <c r="JCJ1" s="141"/>
      <c r="JCK1" s="141"/>
      <c r="JCL1" s="141"/>
      <c r="JCM1" s="141"/>
      <c r="JCN1" s="141"/>
      <c r="JCO1" s="141"/>
      <c r="JCP1" s="141"/>
      <c r="JCQ1" s="141"/>
      <c r="JCR1" s="141"/>
      <c r="JCS1" s="141"/>
      <c r="JCT1" s="141"/>
      <c r="JCU1" s="141"/>
      <c r="JCV1" s="141"/>
      <c r="JCW1" s="141"/>
      <c r="JCX1" s="141"/>
      <c r="JCY1" s="141"/>
      <c r="JCZ1" s="141"/>
      <c r="JDA1" s="141"/>
      <c r="JDB1" s="141"/>
      <c r="JDC1" s="141"/>
      <c r="JDD1" s="141"/>
      <c r="JDE1" s="141"/>
      <c r="JDF1" s="141"/>
      <c r="JDG1" s="141"/>
      <c r="JDH1" s="141"/>
      <c r="JDI1" s="141"/>
      <c r="JDJ1" s="141"/>
      <c r="JDK1" s="141"/>
      <c r="JDL1" s="141"/>
      <c r="JDM1" s="141"/>
      <c r="JDN1" s="141"/>
      <c r="JDO1" s="141"/>
      <c r="JDP1" s="141"/>
      <c r="JDQ1" s="141"/>
      <c r="JDR1" s="141"/>
      <c r="JDS1" s="141"/>
      <c r="JDT1" s="141"/>
      <c r="JDU1" s="141"/>
      <c r="JDV1" s="141"/>
      <c r="JDW1" s="141"/>
      <c r="JDX1" s="141"/>
      <c r="JDY1" s="141"/>
      <c r="JDZ1" s="141"/>
      <c r="JEA1" s="141"/>
      <c r="JEB1" s="141"/>
      <c r="JEC1" s="141"/>
      <c r="JED1" s="141"/>
      <c r="JEE1" s="141"/>
      <c r="JEF1" s="141"/>
      <c r="JEG1" s="141"/>
      <c r="JEH1" s="141"/>
      <c r="JEI1" s="141"/>
      <c r="JEJ1" s="141"/>
      <c r="JEK1" s="141"/>
      <c r="JEL1" s="141"/>
      <c r="JEM1" s="141"/>
      <c r="JEN1" s="141"/>
      <c r="JEO1" s="141"/>
      <c r="JEP1" s="141"/>
      <c r="JEQ1" s="141"/>
      <c r="JER1" s="141"/>
      <c r="JES1" s="141"/>
      <c r="JET1" s="141"/>
      <c r="JEU1" s="141"/>
      <c r="JEV1" s="141"/>
      <c r="JEW1" s="141"/>
      <c r="JEX1" s="141"/>
      <c r="JEY1" s="141"/>
      <c r="JEZ1" s="141"/>
      <c r="JFA1" s="141"/>
      <c r="JFB1" s="141"/>
      <c r="JFC1" s="141"/>
      <c r="JFD1" s="141"/>
      <c r="JFE1" s="141"/>
      <c r="JFF1" s="141"/>
      <c r="JFG1" s="141"/>
      <c r="JFH1" s="141"/>
      <c r="JFI1" s="141"/>
      <c r="JFJ1" s="141"/>
      <c r="JFK1" s="141"/>
      <c r="JFL1" s="141"/>
      <c r="JFM1" s="141"/>
      <c r="JFN1" s="141"/>
      <c r="JFO1" s="141"/>
      <c r="JFP1" s="141"/>
      <c r="JFQ1" s="141"/>
      <c r="JFR1" s="141"/>
      <c r="JFS1" s="141"/>
      <c r="JFT1" s="141"/>
      <c r="JFU1" s="141"/>
      <c r="JFV1" s="141"/>
      <c r="JFW1" s="141"/>
      <c r="JFX1" s="141"/>
      <c r="JFY1" s="141"/>
      <c r="JFZ1" s="141"/>
      <c r="JGA1" s="141"/>
      <c r="JGB1" s="141"/>
      <c r="JGC1" s="141"/>
      <c r="JGD1" s="141"/>
      <c r="JGE1" s="141"/>
      <c r="JGF1" s="141"/>
      <c r="JGG1" s="141"/>
      <c r="JGH1" s="141"/>
      <c r="JGI1" s="141"/>
      <c r="JGJ1" s="141"/>
      <c r="JGK1" s="141"/>
      <c r="JGL1" s="141"/>
      <c r="JGM1" s="141"/>
      <c r="JGN1" s="141"/>
      <c r="JGO1" s="141"/>
      <c r="JGP1" s="141"/>
      <c r="JGQ1" s="141"/>
      <c r="JGR1" s="141"/>
      <c r="JGS1" s="141"/>
      <c r="JGT1" s="141"/>
      <c r="JGU1" s="141"/>
      <c r="JGV1" s="141"/>
      <c r="JGW1" s="141"/>
      <c r="JGX1" s="141"/>
      <c r="JGY1" s="141"/>
      <c r="JGZ1" s="141"/>
      <c r="JHA1" s="141"/>
      <c r="JHB1" s="141"/>
      <c r="JHC1" s="141"/>
      <c r="JHD1" s="141"/>
      <c r="JHE1" s="141"/>
      <c r="JHF1" s="141"/>
      <c r="JHG1" s="141"/>
      <c r="JHH1" s="141"/>
      <c r="JHI1" s="141"/>
      <c r="JHJ1" s="141"/>
      <c r="JHK1" s="141"/>
      <c r="JHL1" s="141"/>
      <c r="JHM1" s="141"/>
      <c r="JHN1" s="141"/>
      <c r="JHO1" s="141"/>
      <c r="JHP1" s="141"/>
      <c r="JHQ1" s="141"/>
      <c r="JHR1" s="141"/>
      <c r="JHS1" s="141"/>
      <c r="JHT1" s="141"/>
      <c r="JHU1" s="141"/>
      <c r="JHV1" s="141"/>
      <c r="JHW1" s="141"/>
      <c r="JHX1" s="141"/>
      <c r="JHY1" s="141"/>
      <c r="JHZ1" s="141"/>
      <c r="JIA1" s="141"/>
      <c r="JIB1" s="141"/>
      <c r="JIC1" s="141"/>
      <c r="JID1" s="141"/>
      <c r="JIE1" s="141"/>
      <c r="JIF1" s="141"/>
      <c r="JIG1" s="141"/>
      <c r="JIH1" s="141"/>
      <c r="JII1" s="141"/>
      <c r="JIJ1" s="141"/>
      <c r="JIK1" s="141"/>
      <c r="JIL1" s="141"/>
      <c r="JIM1" s="141"/>
      <c r="JIN1" s="141"/>
      <c r="JIO1" s="141"/>
      <c r="JIP1" s="141"/>
      <c r="JIQ1" s="141"/>
      <c r="JIR1" s="141"/>
      <c r="JIS1" s="141"/>
      <c r="JIT1" s="141"/>
      <c r="JIU1" s="141"/>
      <c r="JIV1" s="141"/>
      <c r="JIW1" s="141"/>
      <c r="JIX1" s="141"/>
      <c r="JIY1" s="141"/>
      <c r="JIZ1" s="141"/>
      <c r="JJA1" s="141"/>
      <c r="JJB1" s="141"/>
      <c r="JJC1" s="141"/>
      <c r="JJD1" s="141"/>
      <c r="JJE1" s="141"/>
      <c r="JJF1" s="141"/>
      <c r="JJG1" s="141"/>
      <c r="JJH1" s="141"/>
      <c r="JJI1" s="141"/>
      <c r="JJJ1" s="141"/>
      <c r="JJK1" s="141"/>
      <c r="JJL1" s="141"/>
      <c r="JJM1" s="141"/>
      <c r="JJN1" s="141"/>
      <c r="JJO1" s="141"/>
      <c r="JJP1" s="141"/>
      <c r="JJQ1" s="141"/>
      <c r="JJR1" s="141"/>
      <c r="JJS1" s="141"/>
      <c r="JJT1" s="141"/>
      <c r="JJU1" s="141"/>
      <c r="JJV1" s="141"/>
      <c r="JJW1" s="141"/>
      <c r="JJX1" s="141"/>
      <c r="JJY1" s="141"/>
      <c r="JJZ1" s="141"/>
      <c r="JKA1" s="141"/>
      <c r="JKB1" s="141"/>
      <c r="JKC1" s="141"/>
      <c r="JKD1" s="141"/>
      <c r="JKE1" s="141"/>
      <c r="JKF1" s="141"/>
      <c r="JKG1" s="141"/>
      <c r="JKH1" s="141"/>
      <c r="JKI1" s="141"/>
      <c r="JKJ1" s="141"/>
      <c r="JKK1" s="141"/>
      <c r="JKL1" s="141"/>
      <c r="JKM1" s="141"/>
      <c r="JKN1" s="141"/>
      <c r="JKO1" s="141"/>
      <c r="JKP1" s="141"/>
      <c r="JKQ1" s="141"/>
      <c r="JKR1" s="141"/>
      <c r="JKS1" s="141"/>
      <c r="JKT1" s="141"/>
      <c r="JKU1" s="141"/>
      <c r="JKV1" s="141"/>
      <c r="JKW1" s="141"/>
      <c r="JKX1" s="141"/>
      <c r="JKY1" s="141"/>
      <c r="JKZ1" s="141"/>
      <c r="JLA1" s="141"/>
      <c r="JLB1" s="141"/>
      <c r="JLC1" s="141"/>
      <c r="JLD1" s="141"/>
      <c r="JLE1" s="141"/>
      <c r="JLF1" s="141"/>
      <c r="JLG1" s="141"/>
      <c r="JLH1" s="141"/>
      <c r="JLI1" s="141"/>
      <c r="JLJ1" s="141"/>
      <c r="JLK1" s="141"/>
      <c r="JLL1" s="141"/>
      <c r="JLM1" s="141"/>
      <c r="JLN1" s="141"/>
      <c r="JLO1" s="141"/>
      <c r="JLP1" s="141"/>
      <c r="JLQ1" s="141"/>
      <c r="JLR1" s="141"/>
      <c r="JLS1" s="141"/>
      <c r="JLT1" s="141"/>
      <c r="JLU1" s="141"/>
      <c r="JLV1" s="141"/>
      <c r="JLW1" s="141"/>
      <c r="JLX1" s="141"/>
      <c r="JLY1" s="141"/>
      <c r="JLZ1" s="141"/>
      <c r="JMA1" s="141"/>
      <c r="JMB1" s="141"/>
      <c r="JMC1" s="141"/>
      <c r="JMD1" s="141"/>
      <c r="JME1" s="141"/>
      <c r="JMF1" s="141"/>
      <c r="JMG1" s="141"/>
      <c r="JMH1" s="141"/>
      <c r="JMI1" s="141"/>
      <c r="JMJ1" s="141"/>
      <c r="JMK1" s="141"/>
      <c r="JML1" s="141"/>
      <c r="JMM1" s="141"/>
      <c r="JMN1" s="141"/>
      <c r="JMO1" s="141"/>
      <c r="JMP1" s="141"/>
      <c r="JMQ1" s="141"/>
      <c r="JMR1" s="141"/>
      <c r="JMS1" s="141"/>
      <c r="JMT1" s="141"/>
      <c r="JMU1" s="141"/>
      <c r="JMV1" s="141"/>
      <c r="JMW1" s="141"/>
      <c r="JMX1" s="141"/>
      <c r="JMY1" s="141"/>
      <c r="JMZ1" s="141"/>
      <c r="JNA1" s="141"/>
      <c r="JNB1" s="141"/>
      <c r="JNC1" s="141"/>
      <c r="JND1" s="141"/>
      <c r="JNE1" s="141"/>
      <c r="JNF1" s="141"/>
      <c r="JNG1" s="141"/>
      <c r="JNH1" s="141"/>
      <c r="JNI1" s="141"/>
      <c r="JNJ1" s="141"/>
      <c r="JNK1" s="141"/>
      <c r="JNL1" s="141"/>
      <c r="JNM1" s="141"/>
      <c r="JNN1" s="141"/>
      <c r="JNO1" s="141"/>
      <c r="JNP1" s="141"/>
      <c r="JNQ1" s="141"/>
      <c r="JNR1" s="141"/>
      <c r="JNS1" s="141"/>
      <c r="JNT1" s="141"/>
      <c r="JNU1" s="141"/>
      <c r="JNV1" s="141"/>
      <c r="JNW1" s="141"/>
      <c r="JNX1" s="141"/>
      <c r="JNY1" s="141"/>
      <c r="JNZ1" s="141"/>
      <c r="JOA1" s="141"/>
      <c r="JOB1" s="141"/>
      <c r="JOC1" s="141"/>
      <c r="JOD1" s="141"/>
      <c r="JOE1" s="141"/>
      <c r="JOF1" s="141"/>
      <c r="JOG1" s="141"/>
      <c r="JOH1" s="141"/>
      <c r="JOI1" s="141"/>
      <c r="JOJ1" s="141"/>
      <c r="JOK1" s="141"/>
      <c r="JOL1" s="141"/>
      <c r="JOM1" s="141"/>
      <c r="JON1" s="141"/>
      <c r="JOO1" s="141"/>
      <c r="JOP1" s="141"/>
      <c r="JOQ1" s="141"/>
      <c r="JOR1" s="141"/>
      <c r="JOS1" s="141"/>
      <c r="JOT1" s="141"/>
      <c r="JOU1" s="141"/>
      <c r="JOV1" s="141"/>
      <c r="JOW1" s="141"/>
      <c r="JOX1" s="141"/>
      <c r="JOY1" s="141"/>
      <c r="JOZ1" s="141"/>
      <c r="JPA1" s="141"/>
      <c r="JPB1" s="141"/>
      <c r="JPC1" s="141"/>
      <c r="JPD1" s="141"/>
      <c r="JPE1" s="141"/>
      <c r="JPF1" s="141"/>
      <c r="JPG1" s="141"/>
      <c r="JPH1" s="141"/>
      <c r="JPI1" s="141"/>
      <c r="JPJ1" s="141"/>
      <c r="JPK1" s="141"/>
      <c r="JPL1" s="141"/>
      <c r="JPM1" s="141"/>
      <c r="JPN1" s="141"/>
      <c r="JPO1" s="141"/>
      <c r="JPP1" s="141"/>
      <c r="JPQ1" s="141"/>
      <c r="JPR1" s="141"/>
      <c r="JPS1" s="141"/>
      <c r="JPT1" s="141"/>
      <c r="JPU1" s="141"/>
      <c r="JPV1" s="141"/>
      <c r="JPW1" s="141"/>
      <c r="JPX1" s="141"/>
      <c r="JPY1" s="141"/>
      <c r="JPZ1" s="141"/>
      <c r="JQA1" s="141"/>
      <c r="JQB1" s="141"/>
      <c r="JQC1" s="141"/>
      <c r="JQD1" s="141"/>
      <c r="JQE1" s="141"/>
      <c r="JQF1" s="141"/>
      <c r="JQG1" s="141"/>
      <c r="JQH1" s="141"/>
      <c r="JQI1" s="141"/>
      <c r="JQJ1" s="141"/>
      <c r="JQK1" s="141"/>
      <c r="JQL1" s="141"/>
      <c r="JQM1" s="141"/>
      <c r="JQN1" s="141"/>
      <c r="JQO1" s="141"/>
      <c r="JQP1" s="141"/>
      <c r="JQQ1" s="141"/>
      <c r="JQR1" s="141"/>
      <c r="JQS1" s="141"/>
      <c r="JQT1" s="141"/>
      <c r="JQU1" s="141"/>
      <c r="JQV1" s="141"/>
      <c r="JQW1" s="141"/>
      <c r="JQX1" s="141"/>
      <c r="JQY1" s="141"/>
      <c r="JQZ1" s="141"/>
      <c r="JRA1" s="141"/>
      <c r="JRB1" s="141"/>
      <c r="JRC1" s="141"/>
      <c r="JRD1" s="141"/>
      <c r="JRE1" s="141"/>
      <c r="JRF1" s="141"/>
      <c r="JRG1" s="141"/>
      <c r="JRH1" s="141"/>
      <c r="JRI1" s="141"/>
      <c r="JRJ1" s="141"/>
      <c r="JRK1" s="141"/>
      <c r="JRL1" s="141"/>
      <c r="JRM1" s="141"/>
      <c r="JRN1" s="141"/>
      <c r="JRO1" s="141"/>
      <c r="JRP1" s="141"/>
      <c r="JRQ1" s="141"/>
      <c r="JRR1" s="141"/>
      <c r="JRS1" s="141"/>
      <c r="JRT1" s="141"/>
      <c r="JRU1" s="141"/>
      <c r="JRV1" s="141"/>
      <c r="JRW1" s="141"/>
      <c r="JRX1" s="141"/>
      <c r="JRY1" s="141"/>
      <c r="JRZ1" s="141"/>
      <c r="JSA1" s="141"/>
      <c r="JSB1" s="141"/>
      <c r="JSC1" s="141"/>
      <c r="JSD1" s="141"/>
      <c r="JSE1" s="141"/>
      <c r="JSF1" s="141"/>
      <c r="JSG1" s="141"/>
      <c r="JSH1" s="141"/>
      <c r="JSI1" s="141"/>
      <c r="JSJ1" s="141"/>
      <c r="JSK1" s="141"/>
      <c r="JSL1" s="141"/>
      <c r="JSM1" s="141"/>
      <c r="JSN1" s="141"/>
      <c r="JSO1" s="141"/>
      <c r="JSP1" s="141"/>
      <c r="JSQ1" s="141"/>
      <c r="JSR1" s="141"/>
      <c r="JSS1" s="141"/>
      <c r="JST1" s="141"/>
      <c r="JSU1" s="141"/>
      <c r="JSV1" s="141"/>
      <c r="JSW1" s="141"/>
      <c r="JSX1" s="141"/>
      <c r="JSY1" s="141"/>
      <c r="JSZ1" s="141"/>
      <c r="JTA1" s="141"/>
      <c r="JTB1" s="141"/>
      <c r="JTC1" s="141"/>
      <c r="JTD1" s="141"/>
      <c r="JTE1" s="141"/>
      <c r="JTF1" s="141"/>
      <c r="JTG1" s="141"/>
      <c r="JTH1" s="141"/>
      <c r="JTI1" s="141"/>
      <c r="JTJ1" s="141"/>
      <c r="JTK1" s="141"/>
      <c r="JTL1" s="141"/>
      <c r="JTM1" s="141"/>
      <c r="JTN1" s="141"/>
      <c r="JTO1" s="141"/>
      <c r="JTP1" s="141"/>
      <c r="JTQ1" s="141"/>
      <c r="JTR1" s="141"/>
      <c r="JTS1" s="141"/>
      <c r="JTT1" s="141"/>
      <c r="JTU1" s="141"/>
      <c r="JTV1" s="141"/>
      <c r="JTW1" s="141"/>
      <c r="JTX1" s="141"/>
      <c r="JTY1" s="141"/>
      <c r="JTZ1" s="141"/>
      <c r="JUA1" s="141"/>
      <c r="JUB1" s="141"/>
      <c r="JUC1" s="141"/>
      <c r="JUD1" s="141"/>
      <c r="JUE1" s="141"/>
      <c r="JUF1" s="141"/>
      <c r="JUG1" s="141"/>
      <c r="JUH1" s="141"/>
      <c r="JUI1" s="141"/>
      <c r="JUJ1" s="141"/>
      <c r="JUK1" s="141"/>
      <c r="JUL1" s="141"/>
      <c r="JUM1" s="141"/>
      <c r="JUN1" s="141"/>
      <c r="JUO1" s="141"/>
      <c r="JUP1" s="141"/>
      <c r="JUQ1" s="141"/>
      <c r="JUR1" s="141"/>
      <c r="JUS1" s="141"/>
      <c r="JUT1" s="141"/>
      <c r="JUU1" s="141"/>
      <c r="JUV1" s="141"/>
      <c r="JUW1" s="141"/>
      <c r="JUX1" s="141"/>
      <c r="JUY1" s="141"/>
      <c r="JUZ1" s="141"/>
      <c r="JVA1" s="141"/>
      <c r="JVB1" s="141"/>
      <c r="JVC1" s="141"/>
      <c r="JVD1" s="141"/>
      <c r="JVE1" s="141"/>
      <c r="JVF1" s="141"/>
      <c r="JVG1" s="141"/>
      <c r="JVH1" s="141"/>
      <c r="JVI1" s="141"/>
      <c r="JVJ1" s="141"/>
      <c r="JVK1" s="141"/>
      <c r="JVL1" s="141"/>
      <c r="JVM1" s="141"/>
      <c r="JVN1" s="141"/>
      <c r="JVO1" s="141"/>
      <c r="JVP1" s="141"/>
      <c r="JVQ1" s="141"/>
      <c r="JVR1" s="141"/>
      <c r="JVS1" s="141"/>
      <c r="JVT1" s="141"/>
      <c r="JVU1" s="141"/>
      <c r="JVV1" s="141"/>
      <c r="JVW1" s="141"/>
      <c r="JVX1" s="141"/>
      <c r="JVY1" s="141"/>
      <c r="JVZ1" s="141"/>
      <c r="JWA1" s="141"/>
      <c r="JWB1" s="141"/>
      <c r="JWC1" s="141"/>
      <c r="JWD1" s="141"/>
      <c r="JWE1" s="141"/>
      <c r="JWF1" s="141"/>
      <c r="JWG1" s="141"/>
      <c r="JWH1" s="141"/>
      <c r="JWI1" s="141"/>
      <c r="JWJ1" s="141"/>
      <c r="JWK1" s="141"/>
      <c r="JWL1" s="141"/>
      <c r="JWM1" s="141"/>
      <c r="JWN1" s="141"/>
      <c r="JWO1" s="141"/>
      <c r="JWP1" s="141"/>
      <c r="JWQ1" s="141"/>
      <c r="JWR1" s="141"/>
      <c r="JWS1" s="141"/>
      <c r="JWT1" s="141"/>
      <c r="JWU1" s="141"/>
      <c r="JWV1" s="141"/>
      <c r="JWW1" s="141"/>
      <c r="JWX1" s="141"/>
      <c r="JWY1" s="141"/>
      <c r="JWZ1" s="141"/>
      <c r="JXA1" s="141"/>
      <c r="JXB1" s="141"/>
      <c r="JXC1" s="141"/>
      <c r="JXD1" s="141"/>
      <c r="JXE1" s="141"/>
      <c r="JXF1" s="141"/>
      <c r="JXG1" s="141"/>
      <c r="JXH1" s="141"/>
      <c r="JXI1" s="141"/>
      <c r="JXJ1" s="141"/>
      <c r="JXK1" s="141"/>
      <c r="JXL1" s="141"/>
      <c r="JXM1" s="141"/>
      <c r="JXN1" s="141"/>
      <c r="JXO1" s="141"/>
      <c r="JXP1" s="141"/>
      <c r="JXQ1" s="141"/>
      <c r="JXR1" s="141"/>
      <c r="JXS1" s="141"/>
      <c r="JXT1" s="141"/>
      <c r="JXU1" s="141"/>
      <c r="JXV1" s="141"/>
      <c r="JXW1" s="141"/>
      <c r="JXX1" s="141"/>
      <c r="JXY1" s="141"/>
      <c r="JXZ1" s="141"/>
      <c r="JYA1" s="141"/>
      <c r="JYB1" s="141"/>
      <c r="JYC1" s="141"/>
      <c r="JYD1" s="141"/>
      <c r="JYE1" s="141"/>
      <c r="JYF1" s="141"/>
      <c r="JYG1" s="141"/>
      <c r="JYH1" s="141"/>
      <c r="JYI1" s="141"/>
      <c r="JYJ1" s="141"/>
      <c r="JYK1" s="141"/>
      <c r="JYL1" s="141"/>
      <c r="JYM1" s="141"/>
      <c r="JYN1" s="141"/>
      <c r="JYO1" s="141"/>
      <c r="JYP1" s="141"/>
      <c r="JYQ1" s="141"/>
      <c r="JYR1" s="141"/>
      <c r="JYS1" s="141"/>
      <c r="JYT1" s="141"/>
      <c r="JYU1" s="141"/>
      <c r="JYV1" s="141"/>
      <c r="JYW1" s="141"/>
      <c r="JYX1" s="141"/>
      <c r="JYY1" s="141"/>
      <c r="JYZ1" s="141"/>
      <c r="JZA1" s="141"/>
      <c r="JZB1" s="141"/>
      <c r="JZC1" s="141"/>
      <c r="JZD1" s="141"/>
      <c r="JZE1" s="141"/>
      <c r="JZF1" s="141"/>
      <c r="JZG1" s="141"/>
      <c r="JZH1" s="141"/>
      <c r="JZI1" s="141"/>
      <c r="JZJ1" s="141"/>
      <c r="JZK1" s="141"/>
      <c r="JZL1" s="141"/>
      <c r="JZM1" s="141"/>
      <c r="JZN1" s="141"/>
      <c r="JZO1" s="141"/>
      <c r="JZP1" s="141"/>
      <c r="JZQ1" s="141"/>
      <c r="JZR1" s="141"/>
      <c r="JZS1" s="141"/>
      <c r="JZT1" s="141"/>
      <c r="JZU1" s="141"/>
      <c r="JZV1" s="141"/>
      <c r="JZW1" s="141"/>
      <c r="JZX1" s="141"/>
      <c r="JZY1" s="141"/>
      <c r="JZZ1" s="141"/>
      <c r="KAA1" s="141"/>
      <c r="KAB1" s="141"/>
      <c r="KAC1" s="141"/>
      <c r="KAD1" s="141"/>
      <c r="KAE1" s="141"/>
      <c r="KAF1" s="141"/>
      <c r="KAG1" s="141"/>
      <c r="KAH1" s="141"/>
      <c r="KAI1" s="141"/>
      <c r="KAJ1" s="141"/>
      <c r="KAK1" s="141"/>
      <c r="KAL1" s="141"/>
      <c r="KAM1" s="141"/>
      <c r="KAN1" s="141"/>
      <c r="KAO1" s="141"/>
      <c r="KAP1" s="141"/>
      <c r="KAQ1" s="141"/>
      <c r="KAR1" s="141"/>
      <c r="KAS1" s="141"/>
      <c r="KAT1" s="141"/>
      <c r="KAU1" s="141"/>
      <c r="KAV1" s="141"/>
      <c r="KAW1" s="141"/>
      <c r="KAX1" s="141"/>
      <c r="KAY1" s="141"/>
      <c r="KAZ1" s="141"/>
      <c r="KBA1" s="141"/>
      <c r="KBB1" s="141"/>
      <c r="KBC1" s="141"/>
      <c r="KBD1" s="141"/>
      <c r="KBE1" s="141"/>
      <c r="KBF1" s="141"/>
      <c r="KBG1" s="141"/>
      <c r="KBH1" s="141"/>
      <c r="KBI1" s="141"/>
      <c r="KBJ1" s="141"/>
      <c r="KBK1" s="141"/>
      <c r="KBL1" s="141"/>
      <c r="KBM1" s="141"/>
      <c r="KBN1" s="141"/>
      <c r="KBO1" s="141"/>
      <c r="KBP1" s="141"/>
      <c r="KBQ1" s="141"/>
      <c r="KBR1" s="141"/>
      <c r="KBS1" s="141"/>
      <c r="KBT1" s="141"/>
      <c r="KBU1" s="141"/>
      <c r="KBV1" s="141"/>
      <c r="KBW1" s="141"/>
      <c r="KBX1" s="141"/>
      <c r="KBY1" s="141"/>
      <c r="KBZ1" s="141"/>
      <c r="KCA1" s="141"/>
      <c r="KCB1" s="141"/>
      <c r="KCC1" s="141"/>
      <c r="KCD1" s="141"/>
      <c r="KCE1" s="141"/>
      <c r="KCF1" s="141"/>
      <c r="KCG1" s="141"/>
      <c r="KCH1" s="141"/>
      <c r="KCI1" s="141"/>
      <c r="KCJ1" s="141"/>
      <c r="KCK1" s="141"/>
      <c r="KCL1" s="141"/>
      <c r="KCM1" s="141"/>
      <c r="KCN1" s="141"/>
      <c r="KCO1" s="141"/>
      <c r="KCP1" s="141"/>
      <c r="KCQ1" s="141"/>
      <c r="KCR1" s="141"/>
      <c r="KCS1" s="141"/>
      <c r="KCT1" s="141"/>
      <c r="KCU1" s="141"/>
      <c r="KCV1" s="141"/>
      <c r="KCW1" s="141"/>
      <c r="KCX1" s="141"/>
      <c r="KCY1" s="141"/>
      <c r="KCZ1" s="141"/>
      <c r="KDA1" s="141"/>
      <c r="KDB1" s="141"/>
      <c r="KDC1" s="141"/>
      <c r="KDD1" s="141"/>
      <c r="KDE1" s="141"/>
      <c r="KDF1" s="141"/>
      <c r="KDG1" s="141"/>
      <c r="KDH1" s="141"/>
      <c r="KDI1" s="141"/>
      <c r="KDJ1" s="141"/>
      <c r="KDK1" s="141"/>
      <c r="KDL1" s="141"/>
      <c r="KDM1" s="141"/>
      <c r="KDN1" s="141"/>
      <c r="KDO1" s="141"/>
      <c r="KDP1" s="141"/>
      <c r="KDQ1" s="141"/>
      <c r="KDR1" s="141"/>
      <c r="KDS1" s="141"/>
      <c r="KDT1" s="141"/>
      <c r="KDU1" s="141"/>
      <c r="KDV1" s="141"/>
      <c r="KDW1" s="141"/>
      <c r="KDX1" s="141"/>
      <c r="KDY1" s="141"/>
      <c r="KDZ1" s="141"/>
      <c r="KEA1" s="141"/>
      <c r="KEB1" s="141"/>
      <c r="KEC1" s="141"/>
      <c r="KED1" s="141"/>
      <c r="KEE1" s="141"/>
      <c r="KEF1" s="141"/>
      <c r="KEG1" s="141"/>
      <c r="KEH1" s="141"/>
      <c r="KEI1" s="141"/>
      <c r="KEJ1" s="141"/>
      <c r="KEK1" s="141"/>
      <c r="KEL1" s="141"/>
      <c r="KEM1" s="141"/>
      <c r="KEN1" s="141"/>
      <c r="KEO1" s="141"/>
      <c r="KEP1" s="141"/>
      <c r="KEQ1" s="141"/>
      <c r="KER1" s="141"/>
      <c r="KES1" s="141"/>
      <c r="KET1" s="141"/>
      <c r="KEU1" s="141"/>
      <c r="KEV1" s="141"/>
      <c r="KEW1" s="141"/>
      <c r="KEX1" s="141"/>
      <c r="KEY1" s="141"/>
      <c r="KEZ1" s="141"/>
      <c r="KFA1" s="141"/>
      <c r="KFB1" s="141"/>
      <c r="KFC1" s="141"/>
      <c r="KFD1" s="141"/>
      <c r="KFE1" s="141"/>
      <c r="KFF1" s="141"/>
      <c r="KFG1" s="141"/>
      <c r="KFH1" s="141"/>
      <c r="KFI1" s="141"/>
      <c r="KFJ1" s="141"/>
      <c r="KFK1" s="141"/>
      <c r="KFL1" s="141"/>
      <c r="KFM1" s="141"/>
      <c r="KFN1" s="141"/>
      <c r="KFO1" s="141"/>
      <c r="KFP1" s="141"/>
      <c r="KFQ1" s="141"/>
      <c r="KFR1" s="141"/>
      <c r="KFS1" s="141"/>
      <c r="KFT1" s="141"/>
      <c r="KFU1" s="141"/>
      <c r="KFV1" s="141"/>
      <c r="KFW1" s="141"/>
      <c r="KFX1" s="141"/>
      <c r="KFY1" s="141"/>
      <c r="KFZ1" s="141"/>
      <c r="KGA1" s="141"/>
      <c r="KGB1" s="141"/>
      <c r="KGC1" s="141"/>
      <c r="KGD1" s="141"/>
      <c r="KGE1" s="141"/>
      <c r="KGF1" s="141"/>
      <c r="KGG1" s="141"/>
      <c r="KGH1" s="141"/>
      <c r="KGI1" s="141"/>
      <c r="KGJ1" s="141"/>
      <c r="KGK1" s="141"/>
      <c r="KGL1" s="141"/>
      <c r="KGM1" s="141"/>
      <c r="KGN1" s="141"/>
      <c r="KGO1" s="141"/>
      <c r="KGP1" s="141"/>
      <c r="KGQ1" s="141"/>
      <c r="KGR1" s="141"/>
      <c r="KGS1" s="141"/>
      <c r="KGT1" s="141"/>
      <c r="KGU1" s="141"/>
      <c r="KGV1" s="141"/>
      <c r="KGW1" s="141"/>
      <c r="KGX1" s="141"/>
      <c r="KGY1" s="141"/>
      <c r="KGZ1" s="141"/>
      <c r="KHA1" s="141"/>
      <c r="KHB1" s="141"/>
      <c r="KHC1" s="141"/>
      <c r="KHD1" s="141"/>
      <c r="KHE1" s="141"/>
      <c r="KHF1" s="141"/>
      <c r="KHG1" s="141"/>
      <c r="KHH1" s="141"/>
      <c r="KHI1" s="141"/>
      <c r="KHJ1" s="141"/>
      <c r="KHK1" s="141"/>
      <c r="KHL1" s="141"/>
      <c r="KHM1" s="141"/>
      <c r="KHN1" s="141"/>
      <c r="KHO1" s="141"/>
      <c r="KHP1" s="141"/>
      <c r="KHQ1" s="141"/>
      <c r="KHR1" s="141"/>
      <c r="KHS1" s="141"/>
      <c r="KHT1" s="141"/>
      <c r="KHU1" s="141"/>
      <c r="KHV1" s="141"/>
      <c r="KHW1" s="141"/>
      <c r="KHX1" s="141"/>
      <c r="KHY1" s="141"/>
      <c r="KHZ1" s="141"/>
      <c r="KIA1" s="141"/>
      <c r="KIB1" s="141"/>
      <c r="KIC1" s="141"/>
      <c r="KID1" s="141"/>
      <c r="KIE1" s="141"/>
      <c r="KIF1" s="141"/>
      <c r="KIG1" s="141"/>
      <c r="KIH1" s="141"/>
      <c r="KII1" s="141"/>
      <c r="KIJ1" s="141"/>
      <c r="KIK1" s="141"/>
      <c r="KIL1" s="141"/>
      <c r="KIM1" s="141"/>
      <c r="KIN1" s="141"/>
      <c r="KIO1" s="141"/>
      <c r="KIP1" s="141"/>
      <c r="KIQ1" s="141"/>
      <c r="KIR1" s="141"/>
      <c r="KIS1" s="141"/>
      <c r="KIT1" s="141"/>
      <c r="KIU1" s="141"/>
      <c r="KIV1" s="141"/>
      <c r="KIW1" s="141"/>
      <c r="KIX1" s="141"/>
      <c r="KIY1" s="141"/>
      <c r="KIZ1" s="141"/>
      <c r="KJA1" s="141"/>
      <c r="KJB1" s="141"/>
      <c r="KJC1" s="141"/>
      <c r="KJD1" s="141"/>
      <c r="KJE1" s="141"/>
      <c r="KJF1" s="141"/>
      <c r="KJG1" s="141"/>
      <c r="KJH1" s="141"/>
      <c r="KJI1" s="141"/>
      <c r="KJJ1" s="141"/>
      <c r="KJK1" s="141"/>
      <c r="KJL1" s="141"/>
      <c r="KJM1" s="141"/>
      <c r="KJN1" s="141"/>
      <c r="KJO1" s="141"/>
      <c r="KJP1" s="141"/>
      <c r="KJQ1" s="141"/>
      <c r="KJR1" s="141"/>
      <c r="KJS1" s="141"/>
      <c r="KJT1" s="141"/>
      <c r="KJU1" s="141"/>
      <c r="KJV1" s="141"/>
      <c r="KJW1" s="141"/>
      <c r="KJX1" s="141"/>
      <c r="KJY1" s="141"/>
      <c r="KJZ1" s="141"/>
      <c r="KKA1" s="141"/>
      <c r="KKB1" s="141"/>
      <c r="KKC1" s="141"/>
      <c r="KKD1" s="141"/>
      <c r="KKE1" s="141"/>
      <c r="KKF1" s="141"/>
      <c r="KKG1" s="141"/>
      <c r="KKH1" s="141"/>
      <c r="KKI1" s="141"/>
      <c r="KKJ1" s="141"/>
      <c r="KKK1" s="141"/>
      <c r="KKL1" s="141"/>
      <c r="KKM1" s="141"/>
      <c r="KKN1" s="141"/>
      <c r="KKO1" s="141"/>
      <c r="KKP1" s="141"/>
      <c r="KKQ1" s="141"/>
      <c r="KKR1" s="141"/>
      <c r="KKS1" s="141"/>
      <c r="KKT1" s="141"/>
      <c r="KKU1" s="141"/>
      <c r="KKV1" s="141"/>
      <c r="KKW1" s="141"/>
      <c r="KKX1" s="141"/>
      <c r="KKY1" s="141"/>
      <c r="KKZ1" s="141"/>
      <c r="KLA1" s="141"/>
      <c r="KLB1" s="141"/>
      <c r="KLC1" s="141"/>
      <c r="KLD1" s="141"/>
      <c r="KLE1" s="141"/>
      <c r="KLF1" s="141"/>
      <c r="KLG1" s="141"/>
      <c r="KLH1" s="141"/>
      <c r="KLI1" s="141"/>
      <c r="KLJ1" s="141"/>
      <c r="KLK1" s="141"/>
      <c r="KLL1" s="141"/>
      <c r="KLM1" s="141"/>
      <c r="KLN1" s="141"/>
      <c r="KLO1" s="141"/>
      <c r="KLP1" s="141"/>
      <c r="KLQ1" s="141"/>
      <c r="KLR1" s="141"/>
      <c r="KLS1" s="141"/>
      <c r="KLT1" s="141"/>
      <c r="KLU1" s="141"/>
      <c r="KLV1" s="141"/>
      <c r="KLW1" s="141"/>
      <c r="KLX1" s="141"/>
      <c r="KLY1" s="141"/>
      <c r="KLZ1" s="141"/>
      <c r="KMA1" s="141"/>
      <c r="KMB1" s="141"/>
      <c r="KMC1" s="141"/>
      <c r="KMD1" s="141"/>
      <c r="KME1" s="141"/>
      <c r="KMF1" s="141"/>
      <c r="KMG1" s="141"/>
      <c r="KMH1" s="141"/>
      <c r="KMI1" s="141"/>
      <c r="KMJ1" s="141"/>
      <c r="KMK1" s="141"/>
      <c r="KML1" s="141"/>
      <c r="KMM1" s="141"/>
      <c r="KMN1" s="141"/>
      <c r="KMO1" s="141"/>
      <c r="KMP1" s="141"/>
      <c r="KMQ1" s="141"/>
      <c r="KMR1" s="141"/>
      <c r="KMS1" s="141"/>
      <c r="KMT1" s="141"/>
      <c r="KMU1" s="141"/>
      <c r="KMV1" s="141"/>
      <c r="KMW1" s="141"/>
      <c r="KMX1" s="141"/>
      <c r="KMY1" s="141"/>
      <c r="KMZ1" s="141"/>
      <c r="KNA1" s="141"/>
      <c r="KNB1" s="141"/>
      <c r="KNC1" s="141"/>
      <c r="KND1" s="141"/>
      <c r="KNE1" s="141"/>
      <c r="KNF1" s="141"/>
      <c r="KNG1" s="141"/>
      <c r="KNH1" s="141"/>
      <c r="KNI1" s="141"/>
      <c r="KNJ1" s="141"/>
      <c r="KNK1" s="141"/>
      <c r="KNL1" s="141"/>
      <c r="KNM1" s="141"/>
      <c r="KNN1" s="141"/>
      <c r="KNO1" s="141"/>
      <c r="KNP1" s="141"/>
      <c r="KNQ1" s="141"/>
      <c r="KNR1" s="141"/>
      <c r="KNS1" s="141"/>
      <c r="KNT1" s="141"/>
      <c r="KNU1" s="141"/>
      <c r="KNV1" s="141"/>
      <c r="KNW1" s="141"/>
      <c r="KNX1" s="141"/>
      <c r="KNY1" s="141"/>
      <c r="KNZ1" s="141"/>
      <c r="KOA1" s="141"/>
      <c r="KOB1" s="141"/>
      <c r="KOC1" s="141"/>
      <c r="KOD1" s="141"/>
      <c r="KOE1" s="141"/>
      <c r="KOF1" s="141"/>
      <c r="KOG1" s="141"/>
      <c r="KOH1" s="141"/>
      <c r="KOI1" s="141"/>
      <c r="KOJ1" s="141"/>
      <c r="KOK1" s="141"/>
      <c r="KOL1" s="141"/>
      <c r="KOM1" s="141"/>
      <c r="KON1" s="141"/>
      <c r="KOO1" s="141"/>
      <c r="KOP1" s="141"/>
      <c r="KOQ1" s="141"/>
      <c r="KOR1" s="141"/>
      <c r="KOS1" s="141"/>
      <c r="KOT1" s="141"/>
      <c r="KOU1" s="141"/>
      <c r="KOV1" s="141"/>
      <c r="KOW1" s="141"/>
      <c r="KOX1" s="141"/>
      <c r="KOY1" s="141"/>
      <c r="KOZ1" s="141"/>
      <c r="KPA1" s="141"/>
      <c r="KPB1" s="141"/>
      <c r="KPC1" s="141"/>
      <c r="KPD1" s="141"/>
      <c r="KPE1" s="141"/>
      <c r="KPF1" s="141"/>
      <c r="KPG1" s="141"/>
      <c r="KPH1" s="141"/>
      <c r="KPI1" s="141"/>
      <c r="KPJ1" s="141"/>
      <c r="KPK1" s="141"/>
      <c r="KPL1" s="141"/>
      <c r="KPM1" s="141"/>
      <c r="KPN1" s="141"/>
      <c r="KPO1" s="141"/>
      <c r="KPP1" s="141"/>
      <c r="KPQ1" s="141"/>
      <c r="KPR1" s="141"/>
      <c r="KPS1" s="141"/>
      <c r="KPT1" s="141"/>
      <c r="KPU1" s="141"/>
      <c r="KPV1" s="141"/>
      <c r="KPW1" s="141"/>
      <c r="KPX1" s="141"/>
      <c r="KPY1" s="141"/>
      <c r="KPZ1" s="141"/>
      <c r="KQA1" s="141"/>
      <c r="KQB1" s="141"/>
      <c r="KQC1" s="141"/>
      <c r="KQD1" s="141"/>
      <c r="KQE1" s="141"/>
      <c r="KQF1" s="141"/>
      <c r="KQG1" s="141"/>
      <c r="KQH1" s="141"/>
      <c r="KQI1" s="141"/>
      <c r="KQJ1" s="141"/>
      <c r="KQK1" s="141"/>
      <c r="KQL1" s="141"/>
      <c r="KQM1" s="141"/>
      <c r="KQN1" s="141"/>
      <c r="KQO1" s="141"/>
      <c r="KQP1" s="141"/>
      <c r="KQQ1" s="141"/>
      <c r="KQR1" s="141"/>
      <c r="KQS1" s="141"/>
      <c r="KQT1" s="141"/>
      <c r="KQU1" s="141"/>
      <c r="KQV1" s="141"/>
      <c r="KQW1" s="141"/>
      <c r="KQX1" s="141"/>
      <c r="KQY1" s="141"/>
      <c r="KQZ1" s="141"/>
      <c r="KRA1" s="141"/>
      <c r="KRB1" s="141"/>
      <c r="KRC1" s="141"/>
      <c r="KRD1" s="141"/>
      <c r="KRE1" s="141"/>
      <c r="KRF1" s="141"/>
      <c r="KRG1" s="141"/>
      <c r="KRH1" s="141"/>
      <c r="KRI1" s="141"/>
      <c r="KRJ1" s="141"/>
      <c r="KRK1" s="141"/>
      <c r="KRL1" s="141"/>
      <c r="KRM1" s="141"/>
      <c r="KRN1" s="141"/>
      <c r="KRO1" s="141"/>
      <c r="KRP1" s="141"/>
      <c r="KRQ1" s="141"/>
      <c r="KRR1" s="141"/>
      <c r="KRS1" s="141"/>
      <c r="KRT1" s="141"/>
      <c r="KRU1" s="141"/>
      <c r="KRV1" s="141"/>
      <c r="KRW1" s="141"/>
      <c r="KRX1" s="141"/>
      <c r="KRY1" s="141"/>
      <c r="KRZ1" s="141"/>
      <c r="KSA1" s="141"/>
      <c r="KSB1" s="141"/>
      <c r="KSC1" s="141"/>
      <c r="KSD1" s="141"/>
      <c r="KSE1" s="141"/>
      <c r="KSF1" s="141"/>
      <c r="KSG1" s="141"/>
      <c r="KSH1" s="141"/>
      <c r="KSI1" s="141"/>
      <c r="KSJ1" s="141"/>
      <c r="KSK1" s="141"/>
      <c r="KSL1" s="141"/>
      <c r="KSM1" s="141"/>
      <c r="KSN1" s="141"/>
      <c r="KSO1" s="141"/>
      <c r="KSP1" s="141"/>
      <c r="KSQ1" s="141"/>
      <c r="KSR1" s="141"/>
      <c r="KSS1" s="141"/>
      <c r="KST1" s="141"/>
      <c r="KSU1" s="141"/>
      <c r="KSV1" s="141"/>
      <c r="KSW1" s="141"/>
      <c r="KSX1" s="141"/>
      <c r="KSY1" s="141"/>
      <c r="KSZ1" s="141"/>
      <c r="KTA1" s="141"/>
      <c r="KTB1" s="141"/>
      <c r="KTC1" s="141"/>
      <c r="KTD1" s="141"/>
      <c r="KTE1" s="141"/>
      <c r="KTF1" s="141"/>
      <c r="KTG1" s="141"/>
      <c r="KTH1" s="141"/>
      <c r="KTI1" s="141"/>
      <c r="KTJ1" s="141"/>
      <c r="KTK1" s="141"/>
      <c r="KTL1" s="141"/>
      <c r="KTM1" s="141"/>
      <c r="KTN1" s="141"/>
      <c r="KTO1" s="141"/>
      <c r="KTP1" s="141"/>
      <c r="KTQ1" s="141"/>
      <c r="KTR1" s="141"/>
      <c r="KTS1" s="141"/>
      <c r="KTT1" s="141"/>
      <c r="KTU1" s="141"/>
      <c r="KTV1" s="141"/>
      <c r="KTW1" s="141"/>
      <c r="KTX1" s="141"/>
      <c r="KTY1" s="141"/>
      <c r="KTZ1" s="141"/>
      <c r="KUA1" s="141"/>
      <c r="KUB1" s="141"/>
      <c r="KUC1" s="141"/>
      <c r="KUD1" s="141"/>
      <c r="KUE1" s="141"/>
      <c r="KUF1" s="141"/>
      <c r="KUG1" s="141"/>
      <c r="KUH1" s="141"/>
      <c r="KUI1" s="141"/>
      <c r="KUJ1" s="141"/>
      <c r="KUK1" s="141"/>
      <c r="KUL1" s="141"/>
      <c r="KUM1" s="141"/>
      <c r="KUN1" s="141"/>
      <c r="KUO1" s="141"/>
      <c r="KUP1" s="141"/>
      <c r="KUQ1" s="141"/>
      <c r="KUR1" s="141"/>
      <c r="KUS1" s="141"/>
      <c r="KUT1" s="141"/>
      <c r="KUU1" s="141"/>
      <c r="KUV1" s="141"/>
      <c r="KUW1" s="141"/>
      <c r="KUX1" s="141"/>
      <c r="KUY1" s="141"/>
      <c r="KUZ1" s="141"/>
      <c r="KVA1" s="141"/>
      <c r="KVB1" s="141"/>
      <c r="KVC1" s="141"/>
      <c r="KVD1" s="141"/>
      <c r="KVE1" s="141"/>
      <c r="KVF1" s="141"/>
      <c r="KVG1" s="141"/>
      <c r="KVH1" s="141"/>
      <c r="KVI1" s="141"/>
      <c r="KVJ1" s="141"/>
      <c r="KVK1" s="141"/>
      <c r="KVL1" s="141"/>
      <c r="KVM1" s="141"/>
      <c r="KVN1" s="141"/>
      <c r="KVO1" s="141"/>
      <c r="KVP1" s="141"/>
      <c r="KVQ1" s="141"/>
      <c r="KVR1" s="141"/>
      <c r="KVS1" s="141"/>
      <c r="KVT1" s="141"/>
      <c r="KVU1" s="141"/>
      <c r="KVV1" s="141"/>
      <c r="KVW1" s="141"/>
      <c r="KVX1" s="141"/>
      <c r="KVY1" s="141"/>
      <c r="KVZ1" s="141"/>
      <c r="KWA1" s="141"/>
      <c r="KWB1" s="141"/>
      <c r="KWC1" s="141"/>
      <c r="KWD1" s="141"/>
      <c r="KWE1" s="141"/>
      <c r="KWF1" s="141"/>
      <c r="KWG1" s="141"/>
      <c r="KWH1" s="141"/>
      <c r="KWI1" s="141"/>
      <c r="KWJ1" s="141"/>
      <c r="KWK1" s="141"/>
      <c r="KWL1" s="141"/>
      <c r="KWM1" s="141"/>
      <c r="KWN1" s="141"/>
      <c r="KWO1" s="141"/>
      <c r="KWP1" s="141"/>
      <c r="KWQ1" s="141"/>
      <c r="KWR1" s="141"/>
      <c r="KWS1" s="141"/>
      <c r="KWT1" s="141"/>
      <c r="KWU1" s="141"/>
      <c r="KWV1" s="141"/>
      <c r="KWW1" s="141"/>
      <c r="KWX1" s="141"/>
      <c r="KWY1" s="141"/>
      <c r="KWZ1" s="141"/>
      <c r="KXA1" s="141"/>
      <c r="KXB1" s="141"/>
      <c r="KXC1" s="141"/>
      <c r="KXD1" s="141"/>
      <c r="KXE1" s="141"/>
      <c r="KXF1" s="141"/>
      <c r="KXG1" s="141"/>
      <c r="KXH1" s="141"/>
      <c r="KXI1" s="141"/>
      <c r="KXJ1" s="141"/>
      <c r="KXK1" s="141"/>
      <c r="KXL1" s="141"/>
      <c r="KXM1" s="141"/>
      <c r="KXN1" s="141"/>
      <c r="KXO1" s="141"/>
      <c r="KXP1" s="141"/>
      <c r="KXQ1" s="141"/>
      <c r="KXR1" s="141"/>
      <c r="KXS1" s="141"/>
      <c r="KXT1" s="141"/>
      <c r="KXU1" s="141"/>
      <c r="KXV1" s="141"/>
      <c r="KXW1" s="141"/>
      <c r="KXX1" s="141"/>
      <c r="KXY1" s="141"/>
      <c r="KXZ1" s="141"/>
      <c r="KYA1" s="141"/>
      <c r="KYB1" s="141"/>
      <c r="KYC1" s="141"/>
      <c r="KYD1" s="141"/>
      <c r="KYE1" s="141"/>
      <c r="KYF1" s="141"/>
      <c r="KYG1" s="141"/>
      <c r="KYH1" s="141"/>
      <c r="KYI1" s="141"/>
      <c r="KYJ1" s="141"/>
      <c r="KYK1" s="141"/>
      <c r="KYL1" s="141"/>
      <c r="KYM1" s="141"/>
      <c r="KYN1" s="141"/>
      <c r="KYO1" s="141"/>
      <c r="KYP1" s="141"/>
      <c r="KYQ1" s="141"/>
      <c r="KYR1" s="141"/>
      <c r="KYS1" s="141"/>
      <c r="KYT1" s="141"/>
      <c r="KYU1" s="141"/>
      <c r="KYV1" s="141"/>
      <c r="KYW1" s="141"/>
      <c r="KYX1" s="141"/>
      <c r="KYY1" s="141"/>
      <c r="KYZ1" s="141"/>
      <c r="KZA1" s="141"/>
      <c r="KZB1" s="141"/>
      <c r="KZC1" s="141"/>
      <c r="KZD1" s="141"/>
      <c r="KZE1" s="141"/>
      <c r="KZF1" s="141"/>
      <c r="KZG1" s="141"/>
      <c r="KZH1" s="141"/>
      <c r="KZI1" s="141"/>
      <c r="KZJ1" s="141"/>
      <c r="KZK1" s="141"/>
      <c r="KZL1" s="141"/>
      <c r="KZM1" s="141"/>
      <c r="KZN1" s="141"/>
      <c r="KZO1" s="141"/>
      <c r="KZP1" s="141"/>
      <c r="KZQ1" s="141"/>
      <c r="KZR1" s="141"/>
      <c r="KZS1" s="141"/>
      <c r="KZT1" s="141"/>
      <c r="KZU1" s="141"/>
      <c r="KZV1" s="141"/>
      <c r="KZW1" s="141"/>
      <c r="KZX1" s="141"/>
      <c r="KZY1" s="141"/>
      <c r="KZZ1" s="141"/>
      <c r="LAA1" s="141"/>
      <c r="LAB1" s="141"/>
      <c r="LAC1" s="141"/>
      <c r="LAD1" s="141"/>
      <c r="LAE1" s="141"/>
      <c r="LAF1" s="141"/>
      <c r="LAG1" s="141"/>
      <c r="LAH1" s="141"/>
      <c r="LAI1" s="141"/>
      <c r="LAJ1" s="141"/>
      <c r="LAK1" s="141"/>
      <c r="LAL1" s="141"/>
      <c r="LAM1" s="141"/>
      <c r="LAN1" s="141"/>
      <c r="LAO1" s="141"/>
      <c r="LAP1" s="141"/>
      <c r="LAQ1" s="141"/>
      <c r="LAR1" s="141"/>
      <c r="LAS1" s="141"/>
      <c r="LAT1" s="141"/>
      <c r="LAU1" s="141"/>
      <c r="LAV1" s="141"/>
      <c r="LAW1" s="141"/>
      <c r="LAX1" s="141"/>
      <c r="LAY1" s="141"/>
      <c r="LAZ1" s="141"/>
      <c r="LBA1" s="141"/>
      <c r="LBB1" s="141"/>
      <c r="LBC1" s="141"/>
      <c r="LBD1" s="141"/>
      <c r="LBE1" s="141"/>
      <c r="LBF1" s="141"/>
      <c r="LBG1" s="141"/>
      <c r="LBH1" s="141"/>
      <c r="LBI1" s="141"/>
      <c r="LBJ1" s="141"/>
      <c r="LBK1" s="141"/>
      <c r="LBL1" s="141"/>
      <c r="LBM1" s="141"/>
      <c r="LBN1" s="141"/>
      <c r="LBO1" s="141"/>
      <c r="LBP1" s="141"/>
      <c r="LBQ1" s="141"/>
      <c r="LBR1" s="141"/>
      <c r="LBS1" s="141"/>
      <c r="LBT1" s="141"/>
      <c r="LBU1" s="141"/>
      <c r="LBV1" s="141"/>
      <c r="LBW1" s="141"/>
      <c r="LBX1" s="141"/>
      <c r="LBY1" s="141"/>
      <c r="LBZ1" s="141"/>
      <c r="LCA1" s="141"/>
      <c r="LCB1" s="141"/>
      <c r="LCC1" s="141"/>
      <c r="LCD1" s="141"/>
      <c r="LCE1" s="141"/>
      <c r="LCF1" s="141"/>
      <c r="LCG1" s="141"/>
      <c r="LCH1" s="141"/>
      <c r="LCI1" s="141"/>
      <c r="LCJ1" s="141"/>
      <c r="LCK1" s="141"/>
      <c r="LCL1" s="141"/>
      <c r="LCM1" s="141"/>
      <c r="LCN1" s="141"/>
      <c r="LCO1" s="141"/>
      <c r="LCP1" s="141"/>
      <c r="LCQ1" s="141"/>
      <c r="LCR1" s="141"/>
      <c r="LCS1" s="141"/>
      <c r="LCT1" s="141"/>
      <c r="LCU1" s="141"/>
      <c r="LCV1" s="141"/>
      <c r="LCW1" s="141"/>
      <c r="LCX1" s="141"/>
      <c r="LCY1" s="141"/>
      <c r="LCZ1" s="141"/>
      <c r="LDA1" s="141"/>
      <c r="LDB1" s="141"/>
      <c r="LDC1" s="141"/>
      <c r="LDD1" s="141"/>
      <c r="LDE1" s="141"/>
      <c r="LDF1" s="141"/>
      <c r="LDG1" s="141"/>
      <c r="LDH1" s="141"/>
      <c r="LDI1" s="141"/>
      <c r="LDJ1" s="141"/>
      <c r="LDK1" s="141"/>
      <c r="LDL1" s="141"/>
      <c r="LDM1" s="141"/>
      <c r="LDN1" s="141"/>
      <c r="LDO1" s="141"/>
      <c r="LDP1" s="141"/>
      <c r="LDQ1" s="141"/>
      <c r="LDR1" s="141"/>
      <c r="LDS1" s="141"/>
      <c r="LDT1" s="141"/>
      <c r="LDU1" s="141"/>
      <c r="LDV1" s="141"/>
      <c r="LDW1" s="141"/>
      <c r="LDX1" s="141"/>
      <c r="LDY1" s="141"/>
      <c r="LDZ1" s="141"/>
      <c r="LEA1" s="141"/>
      <c r="LEB1" s="141"/>
      <c r="LEC1" s="141"/>
      <c r="LED1" s="141"/>
      <c r="LEE1" s="141"/>
      <c r="LEF1" s="141"/>
      <c r="LEG1" s="141"/>
      <c r="LEH1" s="141"/>
      <c r="LEI1" s="141"/>
      <c r="LEJ1" s="141"/>
      <c r="LEK1" s="141"/>
      <c r="LEL1" s="141"/>
      <c r="LEM1" s="141"/>
      <c r="LEN1" s="141"/>
      <c r="LEO1" s="141"/>
      <c r="LEP1" s="141"/>
      <c r="LEQ1" s="141"/>
      <c r="LER1" s="141"/>
      <c r="LES1" s="141"/>
      <c r="LET1" s="141"/>
      <c r="LEU1" s="141"/>
      <c r="LEV1" s="141"/>
      <c r="LEW1" s="141"/>
      <c r="LEX1" s="141"/>
      <c r="LEY1" s="141"/>
      <c r="LEZ1" s="141"/>
      <c r="LFA1" s="141"/>
      <c r="LFB1" s="141"/>
      <c r="LFC1" s="141"/>
      <c r="LFD1" s="141"/>
      <c r="LFE1" s="141"/>
      <c r="LFF1" s="141"/>
      <c r="LFG1" s="141"/>
      <c r="LFH1" s="141"/>
      <c r="LFI1" s="141"/>
      <c r="LFJ1" s="141"/>
      <c r="LFK1" s="141"/>
      <c r="LFL1" s="141"/>
      <c r="LFM1" s="141"/>
      <c r="LFN1" s="141"/>
      <c r="LFO1" s="141"/>
      <c r="LFP1" s="141"/>
      <c r="LFQ1" s="141"/>
      <c r="LFR1" s="141"/>
      <c r="LFS1" s="141"/>
      <c r="LFT1" s="141"/>
      <c r="LFU1" s="141"/>
      <c r="LFV1" s="141"/>
      <c r="LFW1" s="141"/>
      <c r="LFX1" s="141"/>
      <c r="LFY1" s="141"/>
      <c r="LFZ1" s="141"/>
      <c r="LGA1" s="141"/>
      <c r="LGB1" s="141"/>
      <c r="LGC1" s="141"/>
      <c r="LGD1" s="141"/>
      <c r="LGE1" s="141"/>
      <c r="LGF1" s="141"/>
      <c r="LGG1" s="141"/>
      <c r="LGH1" s="141"/>
      <c r="LGI1" s="141"/>
      <c r="LGJ1" s="141"/>
      <c r="LGK1" s="141"/>
      <c r="LGL1" s="141"/>
      <c r="LGM1" s="141"/>
      <c r="LGN1" s="141"/>
      <c r="LGO1" s="141"/>
      <c r="LGP1" s="141"/>
      <c r="LGQ1" s="141"/>
      <c r="LGR1" s="141"/>
      <c r="LGS1" s="141"/>
      <c r="LGT1" s="141"/>
      <c r="LGU1" s="141"/>
      <c r="LGV1" s="141"/>
      <c r="LGW1" s="141"/>
      <c r="LGX1" s="141"/>
      <c r="LGY1" s="141"/>
      <c r="LGZ1" s="141"/>
      <c r="LHA1" s="141"/>
      <c r="LHB1" s="141"/>
      <c r="LHC1" s="141"/>
      <c r="LHD1" s="141"/>
      <c r="LHE1" s="141"/>
      <c r="LHF1" s="141"/>
      <c r="LHG1" s="141"/>
      <c r="LHH1" s="141"/>
      <c r="LHI1" s="141"/>
      <c r="LHJ1" s="141"/>
      <c r="LHK1" s="141"/>
      <c r="LHL1" s="141"/>
      <c r="LHM1" s="141"/>
      <c r="LHN1" s="141"/>
      <c r="LHO1" s="141"/>
      <c r="LHP1" s="141"/>
      <c r="LHQ1" s="141"/>
      <c r="LHR1" s="141"/>
      <c r="LHS1" s="141"/>
      <c r="LHT1" s="141"/>
      <c r="LHU1" s="141"/>
      <c r="LHV1" s="141"/>
      <c r="LHW1" s="141"/>
      <c r="LHX1" s="141"/>
      <c r="LHY1" s="141"/>
      <c r="LHZ1" s="141"/>
      <c r="LIA1" s="141"/>
      <c r="LIB1" s="141"/>
      <c r="LIC1" s="141"/>
      <c r="LID1" s="141"/>
      <c r="LIE1" s="141"/>
      <c r="LIF1" s="141"/>
      <c r="LIG1" s="141"/>
      <c r="LIH1" s="141"/>
      <c r="LII1" s="141"/>
      <c r="LIJ1" s="141"/>
      <c r="LIK1" s="141"/>
      <c r="LIL1" s="141"/>
      <c r="LIM1" s="141"/>
      <c r="LIN1" s="141"/>
      <c r="LIO1" s="141"/>
      <c r="LIP1" s="141"/>
      <c r="LIQ1" s="141"/>
      <c r="LIR1" s="141"/>
      <c r="LIS1" s="141"/>
      <c r="LIT1" s="141"/>
      <c r="LIU1" s="141"/>
      <c r="LIV1" s="141"/>
      <c r="LIW1" s="141"/>
      <c r="LIX1" s="141"/>
      <c r="LIY1" s="141"/>
      <c r="LIZ1" s="141"/>
      <c r="LJA1" s="141"/>
      <c r="LJB1" s="141"/>
      <c r="LJC1" s="141"/>
      <c r="LJD1" s="141"/>
      <c r="LJE1" s="141"/>
      <c r="LJF1" s="141"/>
      <c r="LJG1" s="141"/>
      <c r="LJH1" s="141"/>
      <c r="LJI1" s="141"/>
      <c r="LJJ1" s="141"/>
      <c r="LJK1" s="141"/>
      <c r="LJL1" s="141"/>
      <c r="LJM1" s="141"/>
      <c r="LJN1" s="141"/>
      <c r="LJO1" s="141"/>
      <c r="LJP1" s="141"/>
      <c r="LJQ1" s="141"/>
      <c r="LJR1" s="141"/>
      <c r="LJS1" s="141"/>
      <c r="LJT1" s="141"/>
      <c r="LJU1" s="141"/>
      <c r="LJV1" s="141"/>
      <c r="LJW1" s="141"/>
      <c r="LJX1" s="141"/>
      <c r="LJY1" s="141"/>
      <c r="LJZ1" s="141"/>
      <c r="LKA1" s="141"/>
      <c r="LKB1" s="141"/>
      <c r="LKC1" s="141"/>
      <c r="LKD1" s="141"/>
      <c r="LKE1" s="141"/>
      <c r="LKF1" s="141"/>
      <c r="LKG1" s="141"/>
      <c r="LKH1" s="141"/>
      <c r="LKI1" s="141"/>
      <c r="LKJ1" s="141"/>
      <c r="LKK1" s="141"/>
      <c r="LKL1" s="141"/>
      <c r="LKM1" s="141"/>
      <c r="LKN1" s="141"/>
      <c r="LKO1" s="141"/>
      <c r="LKP1" s="141"/>
      <c r="LKQ1" s="141"/>
      <c r="LKR1" s="141"/>
      <c r="LKS1" s="141"/>
      <c r="LKT1" s="141"/>
      <c r="LKU1" s="141"/>
      <c r="LKV1" s="141"/>
      <c r="LKW1" s="141"/>
      <c r="LKX1" s="141"/>
      <c r="LKY1" s="141"/>
      <c r="LKZ1" s="141"/>
      <c r="LLA1" s="141"/>
      <c r="LLB1" s="141"/>
      <c r="LLC1" s="141"/>
      <c r="LLD1" s="141"/>
      <c r="LLE1" s="141"/>
      <c r="LLF1" s="141"/>
      <c r="LLG1" s="141"/>
      <c r="LLH1" s="141"/>
      <c r="LLI1" s="141"/>
      <c r="LLJ1" s="141"/>
      <c r="LLK1" s="141"/>
      <c r="LLL1" s="141"/>
      <c r="LLM1" s="141"/>
      <c r="LLN1" s="141"/>
      <c r="LLO1" s="141"/>
      <c r="LLP1" s="141"/>
      <c r="LLQ1" s="141"/>
      <c r="LLR1" s="141"/>
      <c r="LLS1" s="141"/>
      <c r="LLT1" s="141"/>
      <c r="LLU1" s="141"/>
      <c r="LLV1" s="141"/>
      <c r="LLW1" s="141"/>
      <c r="LLX1" s="141"/>
      <c r="LLY1" s="141"/>
      <c r="LLZ1" s="141"/>
      <c r="LMA1" s="141"/>
      <c r="LMB1" s="141"/>
      <c r="LMC1" s="141"/>
      <c r="LMD1" s="141"/>
      <c r="LME1" s="141"/>
      <c r="LMF1" s="141"/>
      <c r="LMG1" s="141"/>
      <c r="LMH1" s="141"/>
      <c r="LMI1" s="141"/>
      <c r="LMJ1" s="141"/>
      <c r="LMK1" s="141"/>
      <c r="LML1" s="141"/>
      <c r="LMM1" s="141"/>
      <c r="LMN1" s="141"/>
      <c r="LMO1" s="141"/>
      <c r="LMP1" s="141"/>
      <c r="LMQ1" s="141"/>
      <c r="LMR1" s="141"/>
      <c r="LMS1" s="141"/>
      <c r="LMT1" s="141"/>
      <c r="LMU1" s="141"/>
      <c r="LMV1" s="141"/>
      <c r="LMW1" s="141"/>
      <c r="LMX1" s="141"/>
      <c r="LMY1" s="141"/>
      <c r="LMZ1" s="141"/>
      <c r="LNA1" s="141"/>
      <c r="LNB1" s="141"/>
      <c r="LNC1" s="141"/>
      <c r="LND1" s="141"/>
      <c r="LNE1" s="141"/>
      <c r="LNF1" s="141"/>
      <c r="LNG1" s="141"/>
      <c r="LNH1" s="141"/>
      <c r="LNI1" s="141"/>
      <c r="LNJ1" s="141"/>
      <c r="LNK1" s="141"/>
      <c r="LNL1" s="141"/>
      <c r="LNM1" s="141"/>
      <c r="LNN1" s="141"/>
      <c r="LNO1" s="141"/>
      <c r="LNP1" s="141"/>
      <c r="LNQ1" s="141"/>
      <c r="LNR1" s="141"/>
      <c r="LNS1" s="141"/>
      <c r="LNT1" s="141"/>
      <c r="LNU1" s="141"/>
      <c r="LNV1" s="141"/>
      <c r="LNW1" s="141"/>
      <c r="LNX1" s="141"/>
      <c r="LNY1" s="141"/>
      <c r="LNZ1" s="141"/>
      <c r="LOA1" s="141"/>
      <c r="LOB1" s="141"/>
      <c r="LOC1" s="141"/>
      <c r="LOD1" s="141"/>
      <c r="LOE1" s="141"/>
      <c r="LOF1" s="141"/>
      <c r="LOG1" s="141"/>
      <c r="LOH1" s="141"/>
      <c r="LOI1" s="141"/>
      <c r="LOJ1" s="141"/>
      <c r="LOK1" s="141"/>
      <c r="LOL1" s="141"/>
      <c r="LOM1" s="141"/>
      <c r="LON1" s="141"/>
      <c r="LOO1" s="141"/>
      <c r="LOP1" s="141"/>
      <c r="LOQ1" s="141"/>
      <c r="LOR1" s="141"/>
      <c r="LOS1" s="141"/>
      <c r="LOT1" s="141"/>
      <c r="LOU1" s="141"/>
      <c r="LOV1" s="141"/>
      <c r="LOW1" s="141"/>
      <c r="LOX1" s="141"/>
      <c r="LOY1" s="141"/>
      <c r="LOZ1" s="141"/>
      <c r="LPA1" s="141"/>
      <c r="LPB1" s="141"/>
      <c r="LPC1" s="141"/>
      <c r="LPD1" s="141"/>
      <c r="LPE1" s="141"/>
      <c r="LPF1" s="141"/>
      <c r="LPG1" s="141"/>
      <c r="LPH1" s="141"/>
      <c r="LPI1" s="141"/>
      <c r="LPJ1" s="141"/>
      <c r="LPK1" s="141"/>
      <c r="LPL1" s="141"/>
      <c r="LPM1" s="141"/>
      <c r="LPN1" s="141"/>
      <c r="LPO1" s="141"/>
      <c r="LPP1" s="141"/>
      <c r="LPQ1" s="141"/>
      <c r="LPR1" s="141"/>
      <c r="LPS1" s="141"/>
      <c r="LPT1" s="141"/>
      <c r="LPU1" s="141"/>
      <c r="LPV1" s="141"/>
      <c r="LPW1" s="141"/>
      <c r="LPX1" s="141"/>
      <c r="LPY1" s="141"/>
      <c r="LPZ1" s="141"/>
      <c r="LQA1" s="141"/>
      <c r="LQB1" s="141"/>
      <c r="LQC1" s="141"/>
      <c r="LQD1" s="141"/>
      <c r="LQE1" s="141"/>
      <c r="LQF1" s="141"/>
      <c r="LQG1" s="141"/>
      <c r="LQH1" s="141"/>
      <c r="LQI1" s="141"/>
      <c r="LQJ1" s="141"/>
      <c r="LQK1" s="141"/>
      <c r="LQL1" s="141"/>
      <c r="LQM1" s="141"/>
      <c r="LQN1" s="141"/>
      <c r="LQO1" s="141"/>
      <c r="LQP1" s="141"/>
      <c r="LQQ1" s="141"/>
      <c r="LQR1" s="141"/>
      <c r="LQS1" s="141"/>
      <c r="LQT1" s="141"/>
      <c r="LQU1" s="141"/>
      <c r="LQV1" s="141"/>
      <c r="LQW1" s="141"/>
      <c r="LQX1" s="141"/>
      <c r="LQY1" s="141"/>
      <c r="LQZ1" s="141"/>
      <c r="LRA1" s="141"/>
      <c r="LRB1" s="141"/>
      <c r="LRC1" s="141"/>
      <c r="LRD1" s="141"/>
      <c r="LRE1" s="141"/>
      <c r="LRF1" s="141"/>
      <c r="LRG1" s="141"/>
      <c r="LRH1" s="141"/>
      <c r="LRI1" s="141"/>
      <c r="LRJ1" s="141"/>
      <c r="LRK1" s="141"/>
      <c r="LRL1" s="141"/>
      <c r="LRM1" s="141"/>
      <c r="LRN1" s="141"/>
      <c r="LRO1" s="141"/>
      <c r="LRP1" s="141"/>
      <c r="LRQ1" s="141"/>
      <c r="LRR1" s="141"/>
      <c r="LRS1" s="141"/>
      <c r="LRT1" s="141"/>
      <c r="LRU1" s="141"/>
      <c r="LRV1" s="141"/>
      <c r="LRW1" s="141"/>
      <c r="LRX1" s="141"/>
      <c r="LRY1" s="141"/>
      <c r="LRZ1" s="141"/>
      <c r="LSA1" s="141"/>
      <c r="LSB1" s="141"/>
      <c r="LSC1" s="141"/>
      <c r="LSD1" s="141"/>
      <c r="LSE1" s="141"/>
      <c r="LSF1" s="141"/>
      <c r="LSG1" s="141"/>
      <c r="LSH1" s="141"/>
      <c r="LSI1" s="141"/>
      <c r="LSJ1" s="141"/>
      <c r="LSK1" s="141"/>
      <c r="LSL1" s="141"/>
      <c r="LSM1" s="141"/>
      <c r="LSN1" s="141"/>
      <c r="LSO1" s="141"/>
      <c r="LSP1" s="141"/>
      <c r="LSQ1" s="141"/>
      <c r="LSR1" s="141"/>
      <c r="LSS1" s="141"/>
      <c r="LST1" s="141"/>
      <c r="LSU1" s="141"/>
      <c r="LSV1" s="141"/>
      <c r="LSW1" s="141"/>
      <c r="LSX1" s="141"/>
      <c r="LSY1" s="141"/>
      <c r="LSZ1" s="141"/>
      <c r="LTA1" s="141"/>
      <c r="LTB1" s="141"/>
      <c r="LTC1" s="141"/>
      <c r="LTD1" s="141"/>
      <c r="LTE1" s="141"/>
      <c r="LTF1" s="141"/>
      <c r="LTG1" s="141"/>
      <c r="LTH1" s="141"/>
      <c r="LTI1" s="141"/>
      <c r="LTJ1" s="141"/>
      <c r="LTK1" s="141"/>
      <c r="LTL1" s="141"/>
      <c r="LTM1" s="141"/>
      <c r="LTN1" s="141"/>
      <c r="LTO1" s="141"/>
      <c r="LTP1" s="141"/>
      <c r="LTQ1" s="141"/>
      <c r="LTR1" s="141"/>
      <c r="LTS1" s="141"/>
      <c r="LTT1" s="141"/>
      <c r="LTU1" s="141"/>
      <c r="LTV1" s="141"/>
      <c r="LTW1" s="141"/>
      <c r="LTX1" s="141"/>
      <c r="LTY1" s="141"/>
      <c r="LTZ1" s="141"/>
      <c r="LUA1" s="141"/>
      <c r="LUB1" s="141"/>
      <c r="LUC1" s="141"/>
      <c r="LUD1" s="141"/>
      <c r="LUE1" s="141"/>
      <c r="LUF1" s="141"/>
      <c r="LUG1" s="141"/>
      <c r="LUH1" s="141"/>
      <c r="LUI1" s="141"/>
      <c r="LUJ1" s="141"/>
      <c r="LUK1" s="141"/>
      <c r="LUL1" s="141"/>
      <c r="LUM1" s="141"/>
      <c r="LUN1" s="141"/>
      <c r="LUO1" s="141"/>
      <c r="LUP1" s="141"/>
      <c r="LUQ1" s="141"/>
      <c r="LUR1" s="141"/>
      <c r="LUS1" s="141"/>
      <c r="LUT1" s="141"/>
      <c r="LUU1" s="141"/>
      <c r="LUV1" s="141"/>
      <c r="LUW1" s="141"/>
      <c r="LUX1" s="141"/>
      <c r="LUY1" s="141"/>
      <c r="LUZ1" s="141"/>
      <c r="LVA1" s="141"/>
      <c r="LVB1" s="141"/>
      <c r="LVC1" s="141"/>
      <c r="LVD1" s="141"/>
      <c r="LVE1" s="141"/>
      <c r="LVF1" s="141"/>
      <c r="LVG1" s="141"/>
      <c r="LVH1" s="141"/>
      <c r="LVI1" s="141"/>
      <c r="LVJ1" s="141"/>
      <c r="LVK1" s="141"/>
      <c r="LVL1" s="141"/>
      <c r="LVM1" s="141"/>
      <c r="LVN1" s="141"/>
      <c r="LVO1" s="141"/>
      <c r="LVP1" s="141"/>
      <c r="LVQ1" s="141"/>
      <c r="LVR1" s="141"/>
      <c r="LVS1" s="141"/>
      <c r="LVT1" s="141"/>
      <c r="LVU1" s="141"/>
      <c r="LVV1" s="141"/>
      <c r="LVW1" s="141"/>
      <c r="LVX1" s="141"/>
      <c r="LVY1" s="141"/>
      <c r="LVZ1" s="141"/>
      <c r="LWA1" s="141"/>
      <c r="LWB1" s="141"/>
      <c r="LWC1" s="141"/>
      <c r="LWD1" s="141"/>
      <c r="LWE1" s="141"/>
      <c r="LWF1" s="141"/>
      <c r="LWG1" s="141"/>
      <c r="LWH1" s="141"/>
      <c r="LWI1" s="141"/>
      <c r="LWJ1" s="141"/>
      <c r="LWK1" s="141"/>
      <c r="LWL1" s="141"/>
      <c r="LWM1" s="141"/>
      <c r="LWN1" s="141"/>
      <c r="LWO1" s="141"/>
      <c r="LWP1" s="141"/>
      <c r="LWQ1" s="141"/>
      <c r="LWR1" s="141"/>
      <c r="LWS1" s="141"/>
      <c r="LWT1" s="141"/>
      <c r="LWU1" s="141"/>
      <c r="LWV1" s="141"/>
      <c r="LWW1" s="141"/>
      <c r="LWX1" s="141"/>
      <c r="LWY1" s="141"/>
      <c r="LWZ1" s="141"/>
      <c r="LXA1" s="141"/>
      <c r="LXB1" s="141"/>
      <c r="LXC1" s="141"/>
      <c r="LXD1" s="141"/>
      <c r="LXE1" s="141"/>
      <c r="LXF1" s="141"/>
      <c r="LXG1" s="141"/>
      <c r="LXH1" s="141"/>
      <c r="LXI1" s="141"/>
      <c r="LXJ1" s="141"/>
      <c r="LXK1" s="141"/>
      <c r="LXL1" s="141"/>
      <c r="LXM1" s="141"/>
      <c r="LXN1" s="141"/>
      <c r="LXO1" s="141"/>
      <c r="LXP1" s="141"/>
      <c r="LXQ1" s="141"/>
      <c r="LXR1" s="141"/>
      <c r="LXS1" s="141"/>
      <c r="LXT1" s="141"/>
      <c r="LXU1" s="141"/>
      <c r="LXV1" s="141"/>
      <c r="LXW1" s="141"/>
      <c r="LXX1" s="141"/>
      <c r="LXY1" s="141"/>
      <c r="LXZ1" s="141"/>
      <c r="LYA1" s="141"/>
      <c r="LYB1" s="141"/>
      <c r="LYC1" s="141"/>
      <c r="LYD1" s="141"/>
      <c r="LYE1" s="141"/>
      <c r="LYF1" s="141"/>
      <c r="LYG1" s="141"/>
      <c r="LYH1" s="141"/>
      <c r="LYI1" s="141"/>
      <c r="LYJ1" s="141"/>
      <c r="LYK1" s="141"/>
      <c r="LYL1" s="141"/>
      <c r="LYM1" s="141"/>
      <c r="LYN1" s="141"/>
      <c r="LYO1" s="141"/>
      <c r="LYP1" s="141"/>
      <c r="LYQ1" s="141"/>
      <c r="LYR1" s="141"/>
      <c r="LYS1" s="141"/>
      <c r="LYT1" s="141"/>
      <c r="LYU1" s="141"/>
      <c r="LYV1" s="141"/>
      <c r="LYW1" s="141"/>
      <c r="LYX1" s="141"/>
      <c r="LYY1" s="141"/>
      <c r="LYZ1" s="141"/>
      <c r="LZA1" s="141"/>
      <c r="LZB1" s="141"/>
      <c r="LZC1" s="141"/>
      <c r="LZD1" s="141"/>
      <c r="LZE1" s="141"/>
      <c r="LZF1" s="141"/>
      <c r="LZG1" s="141"/>
      <c r="LZH1" s="141"/>
      <c r="LZI1" s="141"/>
      <c r="LZJ1" s="141"/>
      <c r="LZK1" s="141"/>
      <c r="LZL1" s="141"/>
      <c r="LZM1" s="141"/>
      <c r="LZN1" s="141"/>
      <c r="LZO1" s="141"/>
      <c r="LZP1" s="141"/>
      <c r="LZQ1" s="141"/>
      <c r="LZR1" s="141"/>
      <c r="LZS1" s="141"/>
      <c r="LZT1" s="141"/>
      <c r="LZU1" s="141"/>
      <c r="LZV1" s="141"/>
      <c r="LZW1" s="141"/>
      <c r="LZX1" s="141"/>
      <c r="LZY1" s="141"/>
      <c r="LZZ1" s="141"/>
      <c r="MAA1" s="141"/>
      <c r="MAB1" s="141"/>
      <c r="MAC1" s="141"/>
      <c r="MAD1" s="141"/>
      <c r="MAE1" s="141"/>
      <c r="MAF1" s="141"/>
      <c r="MAG1" s="141"/>
      <c r="MAH1" s="141"/>
      <c r="MAI1" s="141"/>
      <c r="MAJ1" s="141"/>
      <c r="MAK1" s="141"/>
      <c r="MAL1" s="141"/>
      <c r="MAM1" s="141"/>
      <c r="MAN1" s="141"/>
      <c r="MAO1" s="141"/>
      <c r="MAP1" s="141"/>
      <c r="MAQ1" s="141"/>
      <c r="MAR1" s="141"/>
      <c r="MAS1" s="141"/>
      <c r="MAT1" s="141"/>
      <c r="MAU1" s="141"/>
      <c r="MAV1" s="141"/>
      <c r="MAW1" s="141"/>
      <c r="MAX1" s="141"/>
      <c r="MAY1" s="141"/>
      <c r="MAZ1" s="141"/>
      <c r="MBA1" s="141"/>
      <c r="MBB1" s="141"/>
      <c r="MBC1" s="141"/>
      <c r="MBD1" s="141"/>
      <c r="MBE1" s="141"/>
      <c r="MBF1" s="141"/>
      <c r="MBG1" s="141"/>
      <c r="MBH1" s="141"/>
      <c r="MBI1" s="141"/>
      <c r="MBJ1" s="141"/>
      <c r="MBK1" s="141"/>
      <c r="MBL1" s="141"/>
      <c r="MBM1" s="141"/>
      <c r="MBN1" s="141"/>
      <c r="MBO1" s="141"/>
      <c r="MBP1" s="141"/>
      <c r="MBQ1" s="141"/>
      <c r="MBR1" s="141"/>
      <c r="MBS1" s="141"/>
      <c r="MBT1" s="141"/>
      <c r="MBU1" s="141"/>
      <c r="MBV1" s="141"/>
      <c r="MBW1" s="141"/>
      <c r="MBX1" s="141"/>
      <c r="MBY1" s="141"/>
      <c r="MBZ1" s="141"/>
      <c r="MCA1" s="141"/>
      <c r="MCB1" s="141"/>
      <c r="MCC1" s="141"/>
      <c r="MCD1" s="141"/>
      <c r="MCE1" s="141"/>
      <c r="MCF1" s="141"/>
      <c r="MCG1" s="141"/>
      <c r="MCH1" s="141"/>
      <c r="MCI1" s="141"/>
      <c r="MCJ1" s="141"/>
      <c r="MCK1" s="141"/>
      <c r="MCL1" s="141"/>
      <c r="MCM1" s="141"/>
      <c r="MCN1" s="141"/>
      <c r="MCO1" s="141"/>
      <c r="MCP1" s="141"/>
      <c r="MCQ1" s="141"/>
      <c r="MCR1" s="141"/>
      <c r="MCS1" s="141"/>
      <c r="MCT1" s="141"/>
      <c r="MCU1" s="141"/>
      <c r="MCV1" s="141"/>
      <c r="MCW1" s="141"/>
      <c r="MCX1" s="141"/>
      <c r="MCY1" s="141"/>
      <c r="MCZ1" s="141"/>
      <c r="MDA1" s="141"/>
      <c r="MDB1" s="141"/>
      <c r="MDC1" s="141"/>
      <c r="MDD1" s="141"/>
      <c r="MDE1" s="141"/>
      <c r="MDF1" s="141"/>
      <c r="MDG1" s="141"/>
      <c r="MDH1" s="141"/>
      <c r="MDI1" s="141"/>
      <c r="MDJ1" s="141"/>
      <c r="MDK1" s="141"/>
      <c r="MDL1" s="141"/>
      <c r="MDM1" s="141"/>
      <c r="MDN1" s="141"/>
      <c r="MDO1" s="141"/>
      <c r="MDP1" s="141"/>
      <c r="MDQ1" s="141"/>
      <c r="MDR1" s="141"/>
      <c r="MDS1" s="141"/>
      <c r="MDT1" s="141"/>
      <c r="MDU1" s="141"/>
      <c r="MDV1" s="141"/>
      <c r="MDW1" s="141"/>
      <c r="MDX1" s="141"/>
      <c r="MDY1" s="141"/>
      <c r="MDZ1" s="141"/>
      <c r="MEA1" s="141"/>
      <c r="MEB1" s="141"/>
      <c r="MEC1" s="141"/>
      <c r="MED1" s="141"/>
      <c r="MEE1" s="141"/>
      <c r="MEF1" s="141"/>
      <c r="MEG1" s="141"/>
      <c r="MEH1" s="141"/>
      <c r="MEI1" s="141"/>
      <c r="MEJ1" s="141"/>
      <c r="MEK1" s="141"/>
      <c r="MEL1" s="141"/>
      <c r="MEM1" s="141"/>
      <c r="MEN1" s="141"/>
      <c r="MEO1" s="141"/>
      <c r="MEP1" s="141"/>
      <c r="MEQ1" s="141"/>
      <c r="MER1" s="141"/>
      <c r="MES1" s="141"/>
      <c r="MET1" s="141"/>
      <c r="MEU1" s="141"/>
      <c r="MEV1" s="141"/>
      <c r="MEW1" s="141"/>
      <c r="MEX1" s="141"/>
      <c r="MEY1" s="141"/>
      <c r="MEZ1" s="141"/>
      <c r="MFA1" s="141"/>
      <c r="MFB1" s="141"/>
      <c r="MFC1" s="141"/>
      <c r="MFD1" s="141"/>
      <c r="MFE1" s="141"/>
      <c r="MFF1" s="141"/>
      <c r="MFG1" s="141"/>
      <c r="MFH1" s="141"/>
      <c r="MFI1" s="141"/>
      <c r="MFJ1" s="141"/>
      <c r="MFK1" s="141"/>
      <c r="MFL1" s="141"/>
      <c r="MFM1" s="141"/>
      <c r="MFN1" s="141"/>
      <c r="MFO1" s="141"/>
      <c r="MFP1" s="141"/>
      <c r="MFQ1" s="141"/>
      <c r="MFR1" s="141"/>
      <c r="MFS1" s="141"/>
      <c r="MFT1" s="141"/>
      <c r="MFU1" s="141"/>
      <c r="MFV1" s="141"/>
      <c r="MFW1" s="141"/>
      <c r="MFX1" s="141"/>
      <c r="MFY1" s="141"/>
      <c r="MFZ1" s="141"/>
      <c r="MGA1" s="141"/>
      <c r="MGB1" s="141"/>
      <c r="MGC1" s="141"/>
      <c r="MGD1" s="141"/>
      <c r="MGE1" s="141"/>
      <c r="MGF1" s="141"/>
      <c r="MGG1" s="141"/>
      <c r="MGH1" s="141"/>
      <c r="MGI1" s="141"/>
      <c r="MGJ1" s="141"/>
      <c r="MGK1" s="141"/>
      <c r="MGL1" s="141"/>
      <c r="MGM1" s="141"/>
      <c r="MGN1" s="141"/>
      <c r="MGO1" s="141"/>
      <c r="MGP1" s="141"/>
      <c r="MGQ1" s="141"/>
      <c r="MGR1" s="141"/>
      <c r="MGS1" s="141"/>
      <c r="MGT1" s="141"/>
      <c r="MGU1" s="141"/>
      <c r="MGV1" s="141"/>
      <c r="MGW1" s="141"/>
      <c r="MGX1" s="141"/>
      <c r="MGY1" s="141"/>
      <c r="MGZ1" s="141"/>
      <c r="MHA1" s="141"/>
      <c r="MHB1" s="141"/>
      <c r="MHC1" s="141"/>
      <c r="MHD1" s="141"/>
      <c r="MHE1" s="141"/>
      <c r="MHF1" s="141"/>
      <c r="MHG1" s="141"/>
      <c r="MHH1" s="141"/>
      <c r="MHI1" s="141"/>
      <c r="MHJ1" s="141"/>
      <c r="MHK1" s="141"/>
      <c r="MHL1" s="141"/>
      <c r="MHM1" s="141"/>
      <c r="MHN1" s="141"/>
      <c r="MHO1" s="141"/>
      <c r="MHP1" s="141"/>
      <c r="MHQ1" s="141"/>
      <c r="MHR1" s="141"/>
      <c r="MHS1" s="141"/>
      <c r="MHT1" s="141"/>
      <c r="MHU1" s="141"/>
      <c r="MHV1" s="141"/>
      <c r="MHW1" s="141"/>
      <c r="MHX1" s="141"/>
      <c r="MHY1" s="141"/>
      <c r="MHZ1" s="141"/>
      <c r="MIA1" s="141"/>
      <c r="MIB1" s="141"/>
      <c r="MIC1" s="141"/>
      <c r="MID1" s="141"/>
      <c r="MIE1" s="141"/>
      <c r="MIF1" s="141"/>
      <c r="MIG1" s="141"/>
      <c r="MIH1" s="141"/>
      <c r="MII1" s="141"/>
      <c r="MIJ1" s="141"/>
      <c r="MIK1" s="141"/>
      <c r="MIL1" s="141"/>
      <c r="MIM1" s="141"/>
      <c r="MIN1" s="141"/>
      <c r="MIO1" s="141"/>
      <c r="MIP1" s="141"/>
      <c r="MIQ1" s="141"/>
      <c r="MIR1" s="141"/>
      <c r="MIS1" s="141"/>
      <c r="MIT1" s="141"/>
      <c r="MIU1" s="141"/>
      <c r="MIV1" s="141"/>
      <c r="MIW1" s="141"/>
      <c r="MIX1" s="141"/>
      <c r="MIY1" s="141"/>
      <c r="MIZ1" s="141"/>
      <c r="MJA1" s="141"/>
      <c r="MJB1" s="141"/>
      <c r="MJC1" s="141"/>
      <c r="MJD1" s="141"/>
      <c r="MJE1" s="141"/>
      <c r="MJF1" s="141"/>
      <c r="MJG1" s="141"/>
      <c r="MJH1" s="141"/>
      <c r="MJI1" s="141"/>
      <c r="MJJ1" s="141"/>
      <c r="MJK1" s="141"/>
      <c r="MJL1" s="141"/>
      <c r="MJM1" s="141"/>
      <c r="MJN1" s="141"/>
      <c r="MJO1" s="141"/>
      <c r="MJP1" s="141"/>
      <c r="MJQ1" s="141"/>
      <c r="MJR1" s="141"/>
      <c r="MJS1" s="141"/>
      <c r="MJT1" s="141"/>
      <c r="MJU1" s="141"/>
      <c r="MJV1" s="141"/>
      <c r="MJW1" s="141"/>
      <c r="MJX1" s="141"/>
      <c r="MJY1" s="141"/>
      <c r="MJZ1" s="141"/>
      <c r="MKA1" s="141"/>
      <c r="MKB1" s="141"/>
      <c r="MKC1" s="141"/>
      <c r="MKD1" s="141"/>
      <c r="MKE1" s="141"/>
      <c r="MKF1" s="141"/>
      <c r="MKG1" s="141"/>
      <c r="MKH1" s="141"/>
      <c r="MKI1" s="141"/>
      <c r="MKJ1" s="141"/>
      <c r="MKK1" s="141"/>
      <c r="MKL1" s="141"/>
      <c r="MKM1" s="141"/>
      <c r="MKN1" s="141"/>
      <c r="MKO1" s="141"/>
      <c r="MKP1" s="141"/>
      <c r="MKQ1" s="141"/>
      <c r="MKR1" s="141"/>
      <c r="MKS1" s="141"/>
      <c r="MKT1" s="141"/>
      <c r="MKU1" s="141"/>
      <c r="MKV1" s="141"/>
      <c r="MKW1" s="141"/>
      <c r="MKX1" s="141"/>
      <c r="MKY1" s="141"/>
      <c r="MKZ1" s="141"/>
      <c r="MLA1" s="141"/>
      <c r="MLB1" s="141"/>
      <c r="MLC1" s="141"/>
      <c r="MLD1" s="141"/>
      <c r="MLE1" s="141"/>
      <c r="MLF1" s="141"/>
      <c r="MLG1" s="141"/>
      <c r="MLH1" s="141"/>
      <c r="MLI1" s="141"/>
      <c r="MLJ1" s="141"/>
      <c r="MLK1" s="141"/>
      <c r="MLL1" s="141"/>
      <c r="MLM1" s="141"/>
      <c r="MLN1" s="141"/>
      <c r="MLO1" s="141"/>
      <c r="MLP1" s="141"/>
      <c r="MLQ1" s="141"/>
      <c r="MLR1" s="141"/>
      <c r="MLS1" s="141"/>
      <c r="MLT1" s="141"/>
      <c r="MLU1" s="141"/>
      <c r="MLV1" s="141"/>
      <c r="MLW1" s="141"/>
      <c r="MLX1" s="141"/>
      <c r="MLY1" s="141"/>
      <c r="MLZ1" s="141"/>
      <c r="MMA1" s="141"/>
      <c r="MMB1" s="141"/>
      <c r="MMC1" s="141"/>
      <c r="MMD1" s="141"/>
      <c r="MME1" s="141"/>
      <c r="MMF1" s="141"/>
      <c r="MMG1" s="141"/>
      <c r="MMH1" s="141"/>
      <c r="MMI1" s="141"/>
      <c r="MMJ1" s="141"/>
      <c r="MMK1" s="141"/>
      <c r="MML1" s="141"/>
      <c r="MMM1" s="141"/>
      <c r="MMN1" s="141"/>
      <c r="MMO1" s="141"/>
      <c r="MMP1" s="141"/>
      <c r="MMQ1" s="141"/>
      <c r="MMR1" s="141"/>
      <c r="MMS1" s="141"/>
      <c r="MMT1" s="141"/>
      <c r="MMU1" s="141"/>
      <c r="MMV1" s="141"/>
      <c r="MMW1" s="141"/>
      <c r="MMX1" s="141"/>
      <c r="MMY1" s="141"/>
      <c r="MMZ1" s="141"/>
      <c r="MNA1" s="141"/>
      <c r="MNB1" s="141"/>
      <c r="MNC1" s="141"/>
      <c r="MND1" s="141"/>
      <c r="MNE1" s="141"/>
      <c r="MNF1" s="141"/>
      <c r="MNG1" s="141"/>
      <c r="MNH1" s="141"/>
      <c r="MNI1" s="141"/>
      <c r="MNJ1" s="141"/>
      <c r="MNK1" s="141"/>
      <c r="MNL1" s="141"/>
      <c r="MNM1" s="141"/>
      <c r="MNN1" s="141"/>
      <c r="MNO1" s="141"/>
      <c r="MNP1" s="141"/>
      <c r="MNQ1" s="141"/>
      <c r="MNR1" s="141"/>
      <c r="MNS1" s="141"/>
      <c r="MNT1" s="141"/>
      <c r="MNU1" s="141"/>
      <c r="MNV1" s="141"/>
      <c r="MNW1" s="141"/>
      <c r="MNX1" s="141"/>
      <c r="MNY1" s="141"/>
      <c r="MNZ1" s="141"/>
      <c r="MOA1" s="141"/>
      <c r="MOB1" s="141"/>
      <c r="MOC1" s="141"/>
      <c r="MOD1" s="141"/>
      <c r="MOE1" s="141"/>
      <c r="MOF1" s="141"/>
      <c r="MOG1" s="141"/>
      <c r="MOH1" s="141"/>
      <c r="MOI1" s="141"/>
      <c r="MOJ1" s="141"/>
      <c r="MOK1" s="141"/>
      <c r="MOL1" s="141"/>
      <c r="MOM1" s="141"/>
      <c r="MON1" s="141"/>
      <c r="MOO1" s="141"/>
      <c r="MOP1" s="141"/>
      <c r="MOQ1" s="141"/>
      <c r="MOR1" s="141"/>
      <c r="MOS1" s="141"/>
      <c r="MOT1" s="141"/>
      <c r="MOU1" s="141"/>
      <c r="MOV1" s="141"/>
      <c r="MOW1" s="141"/>
      <c r="MOX1" s="141"/>
      <c r="MOY1" s="141"/>
      <c r="MOZ1" s="141"/>
      <c r="MPA1" s="141"/>
      <c r="MPB1" s="141"/>
      <c r="MPC1" s="141"/>
      <c r="MPD1" s="141"/>
      <c r="MPE1" s="141"/>
      <c r="MPF1" s="141"/>
      <c r="MPG1" s="141"/>
      <c r="MPH1" s="141"/>
      <c r="MPI1" s="141"/>
      <c r="MPJ1" s="141"/>
      <c r="MPK1" s="141"/>
      <c r="MPL1" s="141"/>
      <c r="MPM1" s="141"/>
      <c r="MPN1" s="141"/>
      <c r="MPO1" s="141"/>
      <c r="MPP1" s="141"/>
      <c r="MPQ1" s="141"/>
      <c r="MPR1" s="141"/>
      <c r="MPS1" s="141"/>
      <c r="MPT1" s="141"/>
      <c r="MPU1" s="141"/>
      <c r="MPV1" s="141"/>
      <c r="MPW1" s="141"/>
      <c r="MPX1" s="141"/>
      <c r="MPY1" s="141"/>
      <c r="MPZ1" s="141"/>
      <c r="MQA1" s="141"/>
      <c r="MQB1" s="141"/>
      <c r="MQC1" s="141"/>
      <c r="MQD1" s="141"/>
      <c r="MQE1" s="141"/>
      <c r="MQF1" s="141"/>
      <c r="MQG1" s="141"/>
      <c r="MQH1" s="141"/>
      <c r="MQI1" s="141"/>
      <c r="MQJ1" s="141"/>
      <c r="MQK1" s="141"/>
      <c r="MQL1" s="141"/>
      <c r="MQM1" s="141"/>
      <c r="MQN1" s="141"/>
      <c r="MQO1" s="141"/>
      <c r="MQP1" s="141"/>
      <c r="MQQ1" s="141"/>
      <c r="MQR1" s="141"/>
      <c r="MQS1" s="141"/>
      <c r="MQT1" s="141"/>
      <c r="MQU1" s="141"/>
      <c r="MQV1" s="141"/>
      <c r="MQW1" s="141"/>
      <c r="MQX1" s="141"/>
      <c r="MQY1" s="141"/>
      <c r="MQZ1" s="141"/>
      <c r="MRA1" s="141"/>
      <c r="MRB1" s="141"/>
      <c r="MRC1" s="141"/>
      <c r="MRD1" s="141"/>
      <c r="MRE1" s="141"/>
      <c r="MRF1" s="141"/>
      <c r="MRG1" s="141"/>
      <c r="MRH1" s="141"/>
      <c r="MRI1" s="141"/>
      <c r="MRJ1" s="141"/>
      <c r="MRK1" s="141"/>
      <c r="MRL1" s="141"/>
      <c r="MRM1" s="141"/>
      <c r="MRN1" s="141"/>
      <c r="MRO1" s="141"/>
      <c r="MRP1" s="141"/>
      <c r="MRQ1" s="141"/>
      <c r="MRR1" s="141"/>
      <c r="MRS1" s="141"/>
      <c r="MRT1" s="141"/>
      <c r="MRU1" s="141"/>
      <c r="MRV1" s="141"/>
      <c r="MRW1" s="141"/>
      <c r="MRX1" s="141"/>
      <c r="MRY1" s="141"/>
      <c r="MRZ1" s="141"/>
      <c r="MSA1" s="141"/>
      <c r="MSB1" s="141"/>
      <c r="MSC1" s="141"/>
      <c r="MSD1" s="141"/>
      <c r="MSE1" s="141"/>
      <c r="MSF1" s="141"/>
      <c r="MSG1" s="141"/>
      <c r="MSH1" s="141"/>
      <c r="MSI1" s="141"/>
      <c r="MSJ1" s="141"/>
      <c r="MSK1" s="141"/>
      <c r="MSL1" s="141"/>
      <c r="MSM1" s="141"/>
      <c r="MSN1" s="141"/>
      <c r="MSO1" s="141"/>
      <c r="MSP1" s="141"/>
      <c r="MSQ1" s="141"/>
      <c r="MSR1" s="141"/>
      <c r="MSS1" s="141"/>
      <c r="MST1" s="141"/>
      <c r="MSU1" s="141"/>
      <c r="MSV1" s="141"/>
      <c r="MSW1" s="141"/>
      <c r="MSX1" s="141"/>
      <c r="MSY1" s="141"/>
      <c r="MSZ1" s="141"/>
      <c r="MTA1" s="141"/>
      <c r="MTB1" s="141"/>
      <c r="MTC1" s="141"/>
      <c r="MTD1" s="141"/>
      <c r="MTE1" s="141"/>
      <c r="MTF1" s="141"/>
      <c r="MTG1" s="141"/>
      <c r="MTH1" s="141"/>
      <c r="MTI1" s="141"/>
      <c r="MTJ1" s="141"/>
      <c r="MTK1" s="141"/>
      <c r="MTL1" s="141"/>
      <c r="MTM1" s="141"/>
      <c r="MTN1" s="141"/>
      <c r="MTO1" s="141"/>
      <c r="MTP1" s="141"/>
      <c r="MTQ1" s="141"/>
      <c r="MTR1" s="141"/>
      <c r="MTS1" s="141"/>
      <c r="MTT1" s="141"/>
      <c r="MTU1" s="141"/>
      <c r="MTV1" s="141"/>
      <c r="MTW1" s="141"/>
      <c r="MTX1" s="141"/>
      <c r="MTY1" s="141"/>
      <c r="MTZ1" s="141"/>
      <c r="MUA1" s="141"/>
      <c r="MUB1" s="141"/>
      <c r="MUC1" s="141"/>
      <c r="MUD1" s="141"/>
      <c r="MUE1" s="141"/>
      <c r="MUF1" s="141"/>
      <c r="MUG1" s="141"/>
      <c r="MUH1" s="141"/>
      <c r="MUI1" s="141"/>
      <c r="MUJ1" s="141"/>
      <c r="MUK1" s="141"/>
      <c r="MUL1" s="141"/>
      <c r="MUM1" s="141"/>
      <c r="MUN1" s="141"/>
      <c r="MUO1" s="141"/>
      <c r="MUP1" s="141"/>
      <c r="MUQ1" s="141"/>
      <c r="MUR1" s="141"/>
      <c r="MUS1" s="141"/>
      <c r="MUT1" s="141"/>
      <c r="MUU1" s="141"/>
      <c r="MUV1" s="141"/>
      <c r="MUW1" s="141"/>
      <c r="MUX1" s="141"/>
      <c r="MUY1" s="141"/>
      <c r="MUZ1" s="141"/>
      <c r="MVA1" s="141"/>
      <c r="MVB1" s="141"/>
      <c r="MVC1" s="141"/>
      <c r="MVD1" s="141"/>
      <c r="MVE1" s="141"/>
      <c r="MVF1" s="141"/>
      <c r="MVG1" s="141"/>
      <c r="MVH1" s="141"/>
      <c r="MVI1" s="141"/>
      <c r="MVJ1" s="141"/>
      <c r="MVK1" s="141"/>
      <c r="MVL1" s="141"/>
      <c r="MVM1" s="141"/>
      <c r="MVN1" s="141"/>
      <c r="MVO1" s="141"/>
      <c r="MVP1" s="141"/>
      <c r="MVQ1" s="141"/>
      <c r="MVR1" s="141"/>
      <c r="MVS1" s="141"/>
      <c r="MVT1" s="141"/>
      <c r="MVU1" s="141"/>
      <c r="MVV1" s="141"/>
      <c r="MVW1" s="141"/>
      <c r="MVX1" s="141"/>
      <c r="MVY1" s="141"/>
      <c r="MVZ1" s="141"/>
      <c r="MWA1" s="141"/>
      <c r="MWB1" s="141"/>
      <c r="MWC1" s="141"/>
      <c r="MWD1" s="141"/>
      <c r="MWE1" s="141"/>
      <c r="MWF1" s="141"/>
      <c r="MWG1" s="141"/>
      <c r="MWH1" s="141"/>
      <c r="MWI1" s="141"/>
      <c r="MWJ1" s="141"/>
      <c r="MWK1" s="141"/>
      <c r="MWL1" s="141"/>
      <c r="MWM1" s="141"/>
      <c r="MWN1" s="141"/>
      <c r="MWO1" s="141"/>
      <c r="MWP1" s="141"/>
      <c r="MWQ1" s="141"/>
      <c r="MWR1" s="141"/>
      <c r="MWS1" s="141"/>
      <c r="MWT1" s="141"/>
      <c r="MWU1" s="141"/>
      <c r="MWV1" s="141"/>
      <c r="MWW1" s="141"/>
      <c r="MWX1" s="141"/>
      <c r="MWY1" s="141"/>
      <c r="MWZ1" s="141"/>
      <c r="MXA1" s="141"/>
      <c r="MXB1" s="141"/>
      <c r="MXC1" s="141"/>
      <c r="MXD1" s="141"/>
      <c r="MXE1" s="141"/>
      <c r="MXF1" s="141"/>
      <c r="MXG1" s="141"/>
      <c r="MXH1" s="141"/>
      <c r="MXI1" s="141"/>
      <c r="MXJ1" s="141"/>
      <c r="MXK1" s="141"/>
      <c r="MXL1" s="141"/>
      <c r="MXM1" s="141"/>
      <c r="MXN1" s="141"/>
      <c r="MXO1" s="141"/>
      <c r="MXP1" s="141"/>
      <c r="MXQ1" s="141"/>
      <c r="MXR1" s="141"/>
      <c r="MXS1" s="141"/>
      <c r="MXT1" s="141"/>
      <c r="MXU1" s="141"/>
      <c r="MXV1" s="141"/>
      <c r="MXW1" s="141"/>
      <c r="MXX1" s="141"/>
      <c r="MXY1" s="141"/>
      <c r="MXZ1" s="141"/>
      <c r="MYA1" s="141"/>
      <c r="MYB1" s="141"/>
      <c r="MYC1" s="141"/>
      <c r="MYD1" s="141"/>
      <c r="MYE1" s="141"/>
      <c r="MYF1" s="141"/>
      <c r="MYG1" s="141"/>
      <c r="MYH1" s="141"/>
      <c r="MYI1" s="141"/>
      <c r="MYJ1" s="141"/>
      <c r="MYK1" s="141"/>
      <c r="MYL1" s="141"/>
      <c r="MYM1" s="141"/>
      <c r="MYN1" s="141"/>
      <c r="MYO1" s="141"/>
      <c r="MYP1" s="141"/>
      <c r="MYQ1" s="141"/>
      <c r="MYR1" s="141"/>
      <c r="MYS1" s="141"/>
      <c r="MYT1" s="141"/>
      <c r="MYU1" s="141"/>
      <c r="MYV1" s="141"/>
      <c r="MYW1" s="141"/>
      <c r="MYX1" s="141"/>
      <c r="MYY1" s="141"/>
      <c r="MYZ1" s="141"/>
      <c r="MZA1" s="141"/>
      <c r="MZB1" s="141"/>
      <c r="MZC1" s="141"/>
      <c r="MZD1" s="141"/>
      <c r="MZE1" s="141"/>
      <c r="MZF1" s="141"/>
      <c r="MZG1" s="141"/>
      <c r="MZH1" s="141"/>
      <c r="MZI1" s="141"/>
      <c r="MZJ1" s="141"/>
      <c r="MZK1" s="141"/>
      <c r="MZL1" s="141"/>
      <c r="MZM1" s="141"/>
      <c r="MZN1" s="141"/>
      <c r="MZO1" s="141"/>
      <c r="MZP1" s="141"/>
      <c r="MZQ1" s="141"/>
      <c r="MZR1" s="141"/>
      <c r="MZS1" s="141"/>
      <c r="MZT1" s="141"/>
      <c r="MZU1" s="141"/>
      <c r="MZV1" s="141"/>
      <c r="MZW1" s="141"/>
      <c r="MZX1" s="141"/>
      <c r="MZY1" s="141"/>
      <c r="MZZ1" s="141"/>
      <c r="NAA1" s="141"/>
      <c r="NAB1" s="141"/>
      <c r="NAC1" s="141"/>
      <c r="NAD1" s="141"/>
      <c r="NAE1" s="141"/>
      <c r="NAF1" s="141"/>
      <c r="NAG1" s="141"/>
      <c r="NAH1" s="141"/>
      <c r="NAI1" s="141"/>
      <c r="NAJ1" s="141"/>
      <c r="NAK1" s="141"/>
      <c r="NAL1" s="141"/>
      <c r="NAM1" s="141"/>
      <c r="NAN1" s="141"/>
      <c r="NAO1" s="141"/>
      <c r="NAP1" s="141"/>
      <c r="NAQ1" s="141"/>
      <c r="NAR1" s="141"/>
      <c r="NAS1" s="141"/>
      <c r="NAT1" s="141"/>
      <c r="NAU1" s="141"/>
      <c r="NAV1" s="141"/>
      <c r="NAW1" s="141"/>
      <c r="NAX1" s="141"/>
      <c r="NAY1" s="141"/>
      <c r="NAZ1" s="141"/>
      <c r="NBA1" s="141"/>
      <c r="NBB1" s="141"/>
      <c r="NBC1" s="141"/>
      <c r="NBD1" s="141"/>
      <c r="NBE1" s="141"/>
      <c r="NBF1" s="141"/>
      <c r="NBG1" s="141"/>
      <c r="NBH1" s="141"/>
      <c r="NBI1" s="141"/>
      <c r="NBJ1" s="141"/>
      <c r="NBK1" s="141"/>
      <c r="NBL1" s="141"/>
      <c r="NBM1" s="141"/>
      <c r="NBN1" s="141"/>
      <c r="NBO1" s="141"/>
      <c r="NBP1" s="141"/>
      <c r="NBQ1" s="141"/>
      <c r="NBR1" s="141"/>
      <c r="NBS1" s="141"/>
      <c r="NBT1" s="141"/>
      <c r="NBU1" s="141"/>
      <c r="NBV1" s="141"/>
      <c r="NBW1" s="141"/>
      <c r="NBX1" s="141"/>
      <c r="NBY1" s="141"/>
      <c r="NBZ1" s="141"/>
      <c r="NCA1" s="141"/>
      <c r="NCB1" s="141"/>
      <c r="NCC1" s="141"/>
      <c r="NCD1" s="141"/>
      <c r="NCE1" s="141"/>
      <c r="NCF1" s="141"/>
      <c r="NCG1" s="141"/>
      <c r="NCH1" s="141"/>
      <c r="NCI1" s="141"/>
      <c r="NCJ1" s="141"/>
      <c r="NCK1" s="141"/>
      <c r="NCL1" s="141"/>
      <c r="NCM1" s="141"/>
      <c r="NCN1" s="141"/>
      <c r="NCO1" s="141"/>
      <c r="NCP1" s="141"/>
      <c r="NCQ1" s="141"/>
      <c r="NCR1" s="141"/>
      <c r="NCS1" s="141"/>
      <c r="NCT1" s="141"/>
      <c r="NCU1" s="141"/>
      <c r="NCV1" s="141"/>
      <c r="NCW1" s="141"/>
      <c r="NCX1" s="141"/>
      <c r="NCY1" s="141"/>
      <c r="NCZ1" s="141"/>
      <c r="NDA1" s="141"/>
      <c r="NDB1" s="141"/>
      <c r="NDC1" s="141"/>
      <c r="NDD1" s="141"/>
      <c r="NDE1" s="141"/>
      <c r="NDF1" s="141"/>
      <c r="NDG1" s="141"/>
      <c r="NDH1" s="141"/>
      <c r="NDI1" s="141"/>
      <c r="NDJ1" s="141"/>
      <c r="NDK1" s="141"/>
      <c r="NDL1" s="141"/>
      <c r="NDM1" s="141"/>
      <c r="NDN1" s="141"/>
      <c r="NDO1" s="141"/>
      <c r="NDP1" s="141"/>
      <c r="NDQ1" s="141"/>
      <c r="NDR1" s="141"/>
      <c r="NDS1" s="141"/>
      <c r="NDT1" s="141"/>
      <c r="NDU1" s="141"/>
      <c r="NDV1" s="141"/>
      <c r="NDW1" s="141"/>
      <c r="NDX1" s="141"/>
      <c r="NDY1" s="141"/>
      <c r="NDZ1" s="141"/>
      <c r="NEA1" s="141"/>
      <c r="NEB1" s="141"/>
      <c r="NEC1" s="141"/>
      <c r="NED1" s="141"/>
      <c r="NEE1" s="141"/>
      <c r="NEF1" s="141"/>
      <c r="NEG1" s="141"/>
      <c r="NEH1" s="141"/>
      <c r="NEI1" s="141"/>
      <c r="NEJ1" s="141"/>
      <c r="NEK1" s="141"/>
      <c r="NEL1" s="141"/>
      <c r="NEM1" s="141"/>
      <c r="NEN1" s="141"/>
      <c r="NEO1" s="141"/>
      <c r="NEP1" s="141"/>
      <c r="NEQ1" s="141"/>
      <c r="NER1" s="141"/>
      <c r="NES1" s="141"/>
      <c r="NET1" s="141"/>
      <c r="NEU1" s="141"/>
      <c r="NEV1" s="141"/>
      <c r="NEW1" s="141"/>
      <c r="NEX1" s="141"/>
      <c r="NEY1" s="141"/>
      <c r="NEZ1" s="141"/>
      <c r="NFA1" s="141"/>
      <c r="NFB1" s="141"/>
      <c r="NFC1" s="141"/>
      <c r="NFD1" s="141"/>
      <c r="NFE1" s="141"/>
      <c r="NFF1" s="141"/>
      <c r="NFG1" s="141"/>
      <c r="NFH1" s="141"/>
      <c r="NFI1" s="141"/>
      <c r="NFJ1" s="141"/>
      <c r="NFK1" s="141"/>
      <c r="NFL1" s="141"/>
      <c r="NFM1" s="141"/>
      <c r="NFN1" s="141"/>
      <c r="NFO1" s="141"/>
      <c r="NFP1" s="141"/>
      <c r="NFQ1" s="141"/>
      <c r="NFR1" s="141"/>
      <c r="NFS1" s="141"/>
      <c r="NFT1" s="141"/>
      <c r="NFU1" s="141"/>
      <c r="NFV1" s="141"/>
      <c r="NFW1" s="141"/>
      <c r="NFX1" s="141"/>
      <c r="NFY1" s="141"/>
      <c r="NFZ1" s="141"/>
      <c r="NGA1" s="141"/>
      <c r="NGB1" s="141"/>
      <c r="NGC1" s="141"/>
      <c r="NGD1" s="141"/>
      <c r="NGE1" s="141"/>
      <c r="NGF1" s="141"/>
      <c r="NGG1" s="141"/>
      <c r="NGH1" s="141"/>
      <c r="NGI1" s="141"/>
      <c r="NGJ1" s="141"/>
      <c r="NGK1" s="141"/>
      <c r="NGL1" s="141"/>
      <c r="NGM1" s="141"/>
      <c r="NGN1" s="141"/>
      <c r="NGO1" s="141"/>
      <c r="NGP1" s="141"/>
      <c r="NGQ1" s="141"/>
      <c r="NGR1" s="141"/>
      <c r="NGS1" s="141"/>
      <c r="NGT1" s="141"/>
      <c r="NGU1" s="141"/>
      <c r="NGV1" s="141"/>
      <c r="NGW1" s="141"/>
      <c r="NGX1" s="141"/>
      <c r="NGY1" s="141"/>
      <c r="NGZ1" s="141"/>
      <c r="NHA1" s="141"/>
      <c r="NHB1" s="141"/>
      <c r="NHC1" s="141"/>
      <c r="NHD1" s="141"/>
      <c r="NHE1" s="141"/>
      <c r="NHF1" s="141"/>
      <c r="NHG1" s="141"/>
      <c r="NHH1" s="141"/>
      <c r="NHI1" s="141"/>
      <c r="NHJ1" s="141"/>
      <c r="NHK1" s="141"/>
      <c r="NHL1" s="141"/>
      <c r="NHM1" s="141"/>
      <c r="NHN1" s="141"/>
      <c r="NHO1" s="141"/>
      <c r="NHP1" s="141"/>
      <c r="NHQ1" s="141"/>
      <c r="NHR1" s="141"/>
      <c r="NHS1" s="141"/>
      <c r="NHT1" s="141"/>
      <c r="NHU1" s="141"/>
      <c r="NHV1" s="141"/>
      <c r="NHW1" s="141"/>
      <c r="NHX1" s="141"/>
      <c r="NHY1" s="141"/>
      <c r="NHZ1" s="141"/>
      <c r="NIA1" s="141"/>
      <c r="NIB1" s="141"/>
      <c r="NIC1" s="141"/>
      <c r="NID1" s="141"/>
      <c r="NIE1" s="141"/>
      <c r="NIF1" s="141"/>
      <c r="NIG1" s="141"/>
      <c r="NIH1" s="141"/>
      <c r="NII1" s="141"/>
      <c r="NIJ1" s="141"/>
      <c r="NIK1" s="141"/>
      <c r="NIL1" s="141"/>
      <c r="NIM1" s="141"/>
      <c r="NIN1" s="141"/>
      <c r="NIO1" s="141"/>
      <c r="NIP1" s="141"/>
      <c r="NIQ1" s="141"/>
      <c r="NIR1" s="141"/>
      <c r="NIS1" s="141"/>
      <c r="NIT1" s="141"/>
      <c r="NIU1" s="141"/>
      <c r="NIV1" s="141"/>
      <c r="NIW1" s="141"/>
      <c r="NIX1" s="141"/>
      <c r="NIY1" s="141"/>
      <c r="NIZ1" s="141"/>
      <c r="NJA1" s="141"/>
      <c r="NJB1" s="141"/>
      <c r="NJC1" s="141"/>
      <c r="NJD1" s="141"/>
      <c r="NJE1" s="141"/>
      <c r="NJF1" s="141"/>
      <c r="NJG1" s="141"/>
      <c r="NJH1" s="141"/>
      <c r="NJI1" s="141"/>
      <c r="NJJ1" s="141"/>
      <c r="NJK1" s="141"/>
      <c r="NJL1" s="141"/>
      <c r="NJM1" s="141"/>
      <c r="NJN1" s="141"/>
      <c r="NJO1" s="141"/>
      <c r="NJP1" s="141"/>
      <c r="NJQ1" s="141"/>
      <c r="NJR1" s="141"/>
      <c r="NJS1" s="141"/>
      <c r="NJT1" s="141"/>
      <c r="NJU1" s="141"/>
      <c r="NJV1" s="141"/>
      <c r="NJW1" s="141"/>
      <c r="NJX1" s="141"/>
      <c r="NJY1" s="141"/>
      <c r="NJZ1" s="141"/>
      <c r="NKA1" s="141"/>
      <c r="NKB1" s="141"/>
      <c r="NKC1" s="141"/>
      <c r="NKD1" s="141"/>
      <c r="NKE1" s="141"/>
      <c r="NKF1" s="141"/>
      <c r="NKG1" s="141"/>
      <c r="NKH1" s="141"/>
      <c r="NKI1" s="141"/>
      <c r="NKJ1" s="141"/>
      <c r="NKK1" s="141"/>
      <c r="NKL1" s="141"/>
      <c r="NKM1" s="141"/>
      <c r="NKN1" s="141"/>
      <c r="NKO1" s="141"/>
      <c r="NKP1" s="141"/>
      <c r="NKQ1" s="141"/>
      <c r="NKR1" s="141"/>
      <c r="NKS1" s="141"/>
      <c r="NKT1" s="141"/>
      <c r="NKU1" s="141"/>
      <c r="NKV1" s="141"/>
      <c r="NKW1" s="141"/>
      <c r="NKX1" s="141"/>
      <c r="NKY1" s="141"/>
      <c r="NKZ1" s="141"/>
      <c r="NLA1" s="141"/>
      <c r="NLB1" s="141"/>
      <c r="NLC1" s="141"/>
      <c r="NLD1" s="141"/>
      <c r="NLE1" s="141"/>
      <c r="NLF1" s="141"/>
      <c r="NLG1" s="141"/>
      <c r="NLH1" s="141"/>
      <c r="NLI1" s="141"/>
      <c r="NLJ1" s="141"/>
      <c r="NLK1" s="141"/>
      <c r="NLL1" s="141"/>
      <c r="NLM1" s="141"/>
      <c r="NLN1" s="141"/>
      <c r="NLO1" s="141"/>
      <c r="NLP1" s="141"/>
      <c r="NLQ1" s="141"/>
      <c r="NLR1" s="141"/>
      <c r="NLS1" s="141"/>
      <c r="NLT1" s="141"/>
      <c r="NLU1" s="141"/>
      <c r="NLV1" s="141"/>
      <c r="NLW1" s="141"/>
      <c r="NLX1" s="141"/>
      <c r="NLY1" s="141"/>
      <c r="NLZ1" s="141"/>
      <c r="NMA1" s="141"/>
      <c r="NMB1" s="141"/>
      <c r="NMC1" s="141"/>
      <c r="NMD1" s="141"/>
      <c r="NME1" s="141"/>
      <c r="NMF1" s="141"/>
      <c r="NMG1" s="141"/>
      <c r="NMH1" s="141"/>
      <c r="NMI1" s="141"/>
      <c r="NMJ1" s="141"/>
      <c r="NMK1" s="141"/>
      <c r="NML1" s="141"/>
      <c r="NMM1" s="141"/>
      <c r="NMN1" s="141"/>
      <c r="NMO1" s="141"/>
      <c r="NMP1" s="141"/>
      <c r="NMQ1" s="141"/>
      <c r="NMR1" s="141"/>
      <c r="NMS1" s="141"/>
      <c r="NMT1" s="141"/>
      <c r="NMU1" s="141"/>
      <c r="NMV1" s="141"/>
      <c r="NMW1" s="141"/>
      <c r="NMX1" s="141"/>
      <c r="NMY1" s="141"/>
      <c r="NMZ1" s="141"/>
      <c r="NNA1" s="141"/>
      <c r="NNB1" s="141"/>
      <c r="NNC1" s="141"/>
      <c r="NND1" s="141"/>
      <c r="NNE1" s="141"/>
      <c r="NNF1" s="141"/>
      <c r="NNG1" s="141"/>
      <c r="NNH1" s="141"/>
      <c r="NNI1" s="141"/>
      <c r="NNJ1" s="141"/>
      <c r="NNK1" s="141"/>
      <c r="NNL1" s="141"/>
      <c r="NNM1" s="141"/>
      <c r="NNN1" s="141"/>
      <c r="NNO1" s="141"/>
      <c r="NNP1" s="141"/>
      <c r="NNQ1" s="141"/>
      <c r="NNR1" s="141"/>
      <c r="NNS1" s="141"/>
      <c r="NNT1" s="141"/>
      <c r="NNU1" s="141"/>
      <c r="NNV1" s="141"/>
      <c r="NNW1" s="141"/>
      <c r="NNX1" s="141"/>
      <c r="NNY1" s="141"/>
      <c r="NNZ1" s="141"/>
      <c r="NOA1" s="141"/>
      <c r="NOB1" s="141"/>
      <c r="NOC1" s="141"/>
      <c r="NOD1" s="141"/>
      <c r="NOE1" s="141"/>
      <c r="NOF1" s="141"/>
      <c r="NOG1" s="141"/>
      <c r="NOH1" s="141"/>
      <c r="NOI1" s="141"/>
      <c r="NOJ1" s="141"/>
      <c r="NOK1" s="141"/>
      <c r="NOL1" s="141"/>
      <c r="NOM1" s="141"/>
      <c r="NON1" s="141"/>
      <c r="NOO1" s="141"/>
      <c r="NOP1" s="141"/>
      <c r="NOQ1" s="141"/>
      <c r="NOR1" s="141"/>
      <c r="NOS1" s="141"/>
      <c r="NOT1" s="141"/>
      <c r="NOU1" s="141"/>
      <c r="NOV1" s="141"/>
      <c r="NOW1" s="141"/>
      <c r="NOX1" s="141"/>
      <c r="NOY1" s="141"/>
      <c r="NOZ1" s="141"/>
      <c r="NPA1" s="141"/>
      <c r="NPB1" s="141"/>
      <c r="NPC1" s="141"/>
      <c r="NPD1" s="141"/>
      <c r="NPE1" s="141"/>
      <c r="NPF1" s="141"/>
      <c r="NPG1" s="141"/>
      <c r="NPH1" s="141"/>
      <c r="NPI1" s="141"/>
      <c r="NPJ1" s="141"/>
      <c r="NPK1" s="141"/>
      <c r="NPL1" s="141"/>
      <c r="NPM1" s="141"/>
      <c r="NPN1" s="141"/>
      <c r="NPO1" s="141"/>
      <c r="NPP1" s="141"/>
      <c r="NPQ1" s="141"/>
      <c r="NPR1" s="141"/>
      <c r="NPS1" s="141"/>
      <c r="NPT1" s="141"/>
      <c r="NPU1" s="141"/>
      <c r="NPV1" s="141"/>
      <c r="NPW1" s="141"/>
      <c r="NPX1" s="141"/>
      <c r="NPY1" s="141"/>
      <c r="NPZ1" s="141"/>
      <c r="NQA1" s="141"/>
      <c r="NQB1" s="141"/>
      <c r="NQC1" s="141"/>
      <c r="NQD1" s="141"/>
      <c r="NQE1" s="141"/>
      <c r="NQF1" s="141"/>
      <c r="NQG1" s="141"/>
      <c r="NQH1" s="141"/>
      <c r="NQI1" s="141"/>
      <c r="NQJ1" s="141"/>
      <c r="NQK1" s="141"/>
      <c r="NQL1" s="141"/>
      <c r="NQM1" s="141"/>
      <c r="NQN1" s="141"/>
      <c r="NQO1" s="141"/>
      <c r="NQP1" s="141"/>
      <c r="NQQ1" s="141"/>
      <c r="NQR1" s="141"/>
      <c r="NQS1" s="141"/>
      <c r="NQT1" s="141"/>
      <c r="NQU1" s="141"/>
      <c r="NQV1" s="141"/>
      <c r="NQW1" s="141"/>
      <c r="NQX1" s="141"/>
      <c r="NQY1" s="141"/>
      <c r="NQZ1" s="141"/>
      <c r="NRA1" s="141"/>
      <c r="NRB1" s="141"/>
      <c r="NRC1" s="141"/>
      <c r="NRD1" s="141"/>
      <c r="NRE1" s="141"/>
      <c r="NRF1" s="141"/>
      <c r="NRG1" s="141"/>
      <c r="NRH1" s="141"/>
      <c r="NRI1" s="141"/>
      <c r="NRJ1" s="141"/>
      <c r="NRK1" s="141"/>
      <c r="NRL1" s="141"/>
      <c r="NRM1" s="141"/>
      <c r="NRN1" s="141"/>
      <c r="NRO1" s="141"/>
      <c r="NRP1" s="141"/>
      <c r="NRQ1" s="141"/>
      <c r="NRR1" s="141"/>
      <c r="NRS1" s="141"/>
      <c r="NRT1" s="141"/>
      <c r="NRU1" s="141"/>
      <c r="NRV1" s="141"/>
      <c r="NRW1" s="141"/>
      <c r="NRX1" s="141"/>
      <c r="NRY1" s="141"/>
      <c r="NRZ1" s="141"/>
      <c r="NSA1" s="141"/>
      <c r="NSB1" s="141"/>
      <c r="NSC1" s="141"/>
      <c r="NSD1" s="141"/>
      <c r="NSE1" s="141"/>
      <c r="NSF1" s="141"/>
      <c r="NSG1" s="141"/>
      <c r="NSH1" s="141"/>
      <c r="NSI1" s="141"/>
      <c r="NSJ1" s="141"/>
      <c r="NSK1" s="141"/>
      <c r="NSL1" s="141"/>
      <c r="NSM1" s="141"/>
      <c r="NSN1" s="141"/>
      <c r="NSO1" s="141"/>
      <c r="NSP1" s="141"/>
      <c r="NSQ1" s="141"/>
      <c r="NSR1" s="141"/>
      <c r="NSS1" s="141"/>
      <c r="NST1" s="141"/>
      <c r="NSU1" s="141"/>
      <c r="NSV1" s="141"/>
      <c r="NSW1" s="141"/>
      <c r="NSX1" s="141"/>
      <c r="NSY1" s="141"/>
      <c r="NSZ1" s="141"/>
      <c r="NTA1" s="141"/>
      <c r="NTB1" s="141"/>
      <c r="NTC1" s="141"/>
      <c r="NTD1" s="141"/>
      <c r="NTE1" s="141"/>
      <c r="NTF1" s="141"/>
      <c r="NTG1" s="141"/>
      <c r="NTH1" s="141"/>
      <c r="NTI1" s="141"/>
      <c r="NTJ1" s="141"/>
      <c r="NTK1" s="141"/>
      <c r="NTL1" s="141"/>
      <c r="NTM1" s="141"/>
      <c r="NTN1" s="141"/>
      <c r="NTO1" s="141"/>
      <c r="NTP1" s="141"/>
      <c r="NTQ1" s="141"/>
      <c r="NTR1" s="141"/>
      <c r="NTS1" s="141"/>
      <c r="NTT1" s="141"/>
      <c r="NTU1" s="141"/>
      <c r="NTV1" s="141"/>
      <c r="NTW1" s="141"/>
      <c r="NTX1" s="141"/>
      <c r="NTY1" s="141"/>
      <c r="NTZ1" s="141"/>
      <c r="NUA1" s="141"/>
      <c r="NUB1" s="141"/>
      <c r="NUC1" s="141"/>
      <c r="NUD1" s="141"/>
      <c r="NUE1" s="141"/>
      <c r="NUF1" s="141"/>
      <c r="NUG1" s="141"/>
      <c r="NUH1" s="141"/>
      <c r="NUI1" s="141"/>
      <c r="NUJ1" s="141"/>
      <c r="NUK1" s="141"/>
      <c r="NUL1" s="141"/>
      <c r="NUM1" s="141"/>
      <c r="NUN1" s="141"/>
      <c r="NUO1" s="141"/>
      <c r="NUP1" s="141"/>
      <c r="NUQ1" s="141"/>
      <c r="NUR1" s="141"/>
      <c r="NUS1" s="141"/>
      <c r="NUT1" s="141"/>
      <c r="NUU1" s="141"/>
      <c r="NUV1" s="141"/>
      <c r="NUW1" s="141"/>
      <c r="NUX1" s="141"/>
      <c r="NUY1" s="141"/>
      <c r="NUZ1" s="141"/>
      <c r="NVA1" s="141"/>
      <c r="NVB1" s="141"/>
      <c r="NVC1" s="141"/>
      <c r="NVD1" s="141"/>
      <c r="NVE1" s="141"/>
      <c r="NVF1" s="141"/>
      <c r="NVG1" s="141"/>
      <c r="NVH1" s="141"/>
      <c r="NVI1" s="141"/>
      <c r="NVJ1" s="141"/>
      <c r="NVK1" s="141"/>
      <c r="NVL1" s="141"/>
      <c r="NVM1" s="141"/>
      <c r="NVN1" s="141"/>
      <c r="NVO1" s="141"/>
      <c r="NVP1" s="141"/>
      <c r="NVQ1" s="141"/>
      <c r="NVR1" s="141"/>
      <c r="NVS1" s="141"/>
      <c r="NVT1" s="141"/>
      <c r="NVU1" s="141"/>
      <c r="NVV1" s="141"/>
      <c r="NVW1" s="141"/>
      <c r="NVX1" s="141"/>
      <c r="NVY1" s="141"/>
      <c r="NVZ1" s="141"/>
      <c r="NWA1" s="141"/>
      <c r="NWB1" s="141"/>
      <c r="NWC1" s="141"/>
      <c r="NWD1" s="141"/>
      <c r="NWE1" s="141"/>
      <c r="NWF1" s="141"/>
      <c r="NWG1" s="141"/>
      <c r="NWH1" s="141"/>
      <c r="NWI1" s="141"/>
      <c r="NWJ1" s="141"/>
      <c r="NWK1" s="141"/>
      <c r="NWL1" s="141"/>
      <c r="NWM1" s="141"/>
      <c r="NWN1" s="141"/>
      <c r="NWO1" s="141"/>
      <c r="NWP1" s="141"/>
      <c r="NWQ1" s="141"/>
      <c r="NWR1" s="141"/>
      <c r="NWS1" s="141"/>
      <c r="NWT1" s="141"/>
      <c r="NWU1" s="141"/>
      <c r="NWV1" s="141"/>
      <c r="NWW1" s="141"/>
      <c r="NWX1" s="141"/>
      <c r="NWY1" s="141"/>
      <c r="NWZ1" s="141"/>
      <c r="NXA1" s="141"/>
      <c r="NXB1" s="141"/>
      <c r="NXC1" s="141"/>
      <c r="NXD1" s="141"/>
      <c r="NXE1" s="141"/>
      <c r="NXF1" s="141"/>
      <c r="NXG1" s="141"/>
      <c r="NXH1" s="141"/>
      <c r="NXI1" s="141"/>
      <c r="NXJ1" s="141"/>
      <c r="NXK1" s="141"/>
      <c r="NXL1" s="141"/>
      <c r="NXM1" s="141"/>
      <c r="NXN1" s="141"/>
      <c r="NXO1" s="141"/>
      <c r="NXP1" s="141"/>
      <c r="NXQ1" s="141"/>
      <c r="NXR1" s="141"/>
      <c r="NXS1" s="141"/>
      <c r="NXT1" s="141"/>
      <c r="NXU1" s="141"/>
      <c r="NXV1" s="141"/>
      <c r="NXW1" s="141"/>
      <c r="NXX1" s="141"/>
      <c r="NXY1" s="141"/>
      <c r="NXZ1" s="141"/>
      <c r="NYA1" s="141"/>
      <c r="NYB1" s="141"/>
      <c r="NYC1" s="141"/>
      <c r="NYD1" s="141"/>
      <c r="NYE1" s="141"/>
      <c r="NYF1" s="141"/>
      <c r="NYG1" s="141"/>
      <c r="NYH1" s="141"/>
      <c r="NYI1" s="141"/>
      <c r="NYJ1" s="141"/>
      <c r="NYK1" s="141"/>
      <c r="NYL1" s="141"/>
      <c r="NYM1" s="141"/>
      <c r="NYN1" s="141"/>
      <c r="NYO1" s="141"/>
      <c r="NYP1" s="141"/>
      <c r="NYQ1" s="141"/>
      <c r="NYR1" s="141"/>
      <c r="NYS1" s="141"/>
      <c r="NYT1" s="141"/>
      <c r="NYU1" s="141"/>
      <c r="NYV1" s="141"/>
      <c r="NYW1" s="141"/>
      <c r="NYX1" s="141"/>
      <c r="NYY1" s="141"/>
      <c r="NYZ1" s="141"/>
      <c r="NZA1" s="141"/>
      <c r="NZB1" s="141"/>
      <c r="NZC1" s="141"/>
      <c r="NZD1" s="141"/>
      <c r="NZE1" s="141"/>
      <c r="NZF1" s="141"/>
      <c r="NZG1" s="141"/>
      <c r="NZH1" s="141"/>
      <c r="NZI1" s="141"/>
      <c r="NZJ1" s="141"/>
      <c r="NZK1" s="141"/>
      <c r="NZL1" s="141"/>
      <c r="NZM1" s="141"/>
      <c r="NZN1" s="141"/>
      <c r="NZO1" s="141"/>
      <c r="NZP1" s="141"/>
      <c r="NZQ1" s="141"/>
      <c r="NZR1" s="141"/>
      <c r="NZS1" s="141"/>
      <c r="NZT1" s="141"/>
      <c r="NZU1" s="141"/>
      <c r="NZV1" s="141"/>
      <c r="NZW1" s="141"/>
      <c r="NZX1" s="141"/>
      <c r="NZY1" s="141"/>
      <c r="NZZ1" s="141"/>
      <c r="OAA1" s="141"/>
      <c r="OAB1" s="141"/>
      <c r="OAC1" s="141"/>
      <c r="OAD1" s="141"/>
      <c r="OAE1" s="141"/>
      <c r="OAF1" s="141"/>
      <c r="OAG1" s="141"/>
      <c r="OAH1" s="141"/>
      <c r="OAI1" s="141"/>
      <c r="OAJ1" s="141"/>
      <c r="OAK1" s="141"/>
      <c r="OAL1" s="141"/>
      <c r="OAM1" s="141"/>
      <c r="OAN1" s="141"/>
      <c r="OAO1" s="141"/>
      <c r="OAP1" s="141"/>
      <c r="OAQ1" s="141"/>
      <c r="OAR1" s="141"/>
      <c r="OAS1" s="141"/>
      <c r="OAT1" s="141"/>
      <c r="OAU1" s="141"/>
      <c r="OAV1" s="141"/>
      <c r="OAW1" s="141"/>
      <c r="OAX1" s="141"/>
      <c r="OAY1" s="141"/>
      <c r="OAZ1" s="141"/>
      <c r="OBA1" s="141"/>
      <c r="OBB1" s="141"/>
      <c r="OBC1" s="141"/>
      <c r="OBD1" s="141"/>
      <c r="OBE1" s="141"/>
      <c r="OBF1" s="141"/>
      <c r="OBG1" s="141"/>
      <c r="OBH1" s="141"/>
      <c r="OBI1" s="141"/>
      <c r="OBJ1" s="141"/>
      <c r="OBK1" s="141"/>
      <c r="OBL1" s="141"/>
      <c r="OBM1" s="141"/>
      <c r="OBN1" s="141"/>
      <c r="OBO1" s="141"/>
      <c r="OBP1" s="141"/>
      <c r="OBQ1" s="141"/>
      <c r="OBR1" s="141"/>
      <c r="OBS1" s="141"/>
      <c r="OBT1" s="141"/>
      <c r="OBU1" s="141"/>
      <c r="OBV1" s="141"/>
      <c r="OBW1" s="141"/>
      <c r="OBX1" s="141"/>
      <c r="OBY1" s="141"/>
      <c r="OBZ1" s="141"/>
      <c r="OCA1" s="141"/>
      <c r="OCB1" s="141"/>
      <c r="OCC1" s="141"/>
      <c r="OCD1" s="141"/>
      <c r="OCE1" s="141"/>
      <c r="OCF1" s="141"/>
      <c r="OCG1" s="141"/>
      <c r="OCH1" s="141"/>
      <c r="OCI1" s="141"/>
      <c r="OCJ1" s="141"/>
      <c r="OCK1" s="141"/>
      <c r="OCL1" s="141"/>
      <c r="OCM1" s="141"/>
      <c r="OCN1" s="141"/>
      <c r="OCO1" s="141"/>
      <c r="OCP1" s="141"/>
      <c r="OCQ1" s="141"/>
      <c r="OCR1" s="141"/>
      <c r="OCS1" s="141"/>
      <c r="OCT1" s="141"/>
      <c r="OCU1" s="141"/>
      <c r="OCV1" s="141"/>
      <c r="OCW1" s="141"/>
      <c r="OCX1" s="141"/>
      <c r="OCY1" s="141"/>
      <c r="OCZ1" s="141"/>
      <c r="ODA1" s="141"/>
      <c r="ODB1" s="141"/>
      <c r="ODC1" s="141"/>
      <c r="ODD1" s="141"/>
      <c r="ODE1" s="141"/>
      <c r="ODF1" s="141"/>
      <c r="ODG1" s="141"/>
      <c r="ODH1" s="141"/>
      <c r="ODI1" s="141"/>
      <c r="ODJ1" s="141"/>
      <c r="ODK1" s="141"/>
      <c r="ODL1" s="141"/>
      <c r="ODM1" s="141"/>
      <c r="ODN1" s="141"/>
      <c r="ODO1" s="141"/>
      <c r="ODP1" s="141"/>
      <c r="ODQ1" s="141"/>
      <c r="ODR1" s="141"/>
      <c r="ODS1" s="141"/>
      <c r="ODT1" s="141"/>
      <c r="ODU1" s="141"/>
      <c r="ODV1" s="141"/>
      <c r="ODW1" s="141"/>
      <c r="ODX1" s="141"/>
      <c r="ODY1" s="141"/>
      <c r="ODZ1" s="141"/>
      <c r="OEA1" s="141"/>
      <c r="OEB1" s="141"/>
      <c r="OEC1" s="141"/>
      <c r="OED1" s="141"/>
      <c r="OEE1" s="141"/>
      <c r="OEF1" s="141"/>
      <c r="OEG1" s="141"/>
      <c r="OEH1" s="141"/>
      <c r="OEI1" s="141"/>
      <c r="OEJ1" s="141"/>
      <c r="OEK1" s="141"/>
      <c r="OEL1" s="141"/>
      <c r="OEM1" s="141"/>
      <c r="OEN1" s="141"/>
      <c r="OEO1" s="141"/>
      <c r="OEP1" s="141"/>
      <c r="OEQ1" s="141"/>
      <c r="OER1" s="141"/>
      <c r="OES1" s="141"/>
      <c r="OET1" s="141"/>
      <c r="OEU1" s="141"/>
      <c r="OEV1" s="141"/>
      <c r="OEW1" s="141"/>
      <c r="OEX1" s="141"/>
      <c r="OEY1" s="141"/>
      <c r="OEZ1" s="141"/>
      <c r="OFA1" s="141"/>
      <c r="OFB1" s="141"/>
      <c r="OFC1" s="141"/>
      <c r="OFD1" s="141"/>
      <c r="OFE1" s="141"/>
      <c r="OFF1" s="141"/>
      <c r="OFG1" s="141"/>
      <c r="OFH1" s="141"/>
      <c r="OFI1" s="141"/>
      <c r="OFJ1" s="141"/>
      <c r="OFK1" s="141"/>
      <c r="OFL1" s="141"/>
      <c r="OFM1" s="141"/>
      <c r="OFN1" s="141"/>
      <c r="OFO1" s="141"/>
      <c r="OFP1" s="141"/>
      <c r="OFQ1" s="141"/>
      <c r="OFR1" s="141"/>
      <c r="OFS1" s="141"/>
      <c r="OFT1" s="141"/>
      <c r="OFU1" s="141"/>
      <c r="OFV1" s="141"/>
      <c r="OFW1" s="141"/>
      <c r="OFX1" s="141"/>
      <c r="OFY1" s="141"/>
      <c r="OFZ1" s="141"/>
      <c r="OGA1" s="141"/>
      <c r="OGB1" s="141"/>
      <c r="OGC1" s="141"/>
      <c r="OGD1" s="141"/>
      <c r="OGE1" s="141"/>
      <c r="OGF1" s="141"/>
      <c r="OGG1" s="141"/>
      <c r="OGH1" s="141"/>
      <c r="OGI1" s="141"/>
      <c r="OGJ1" s="141"/>
      <c r="OGK1" s="141"/>
      <c r="OGL1" s="141"/>
      <c r="OGM1" s="141"/>
      <c r="OGN1" s="141"/>
      <c r="OGO1" s="141"/>
      <c r="OGP1" s="141"/>
      <c r="OGQ1" s="141"/>
      <c r="OGR1" s="141"/>
      <c r="OGS1" s="141"/>
      <c r="OGT1" s="141"/>
      <c r="OGU1" s="141"/>
      <c r="OGV1" s="141"/>
      <c r="OGW1" s="141"/>
      <c r="OGX1" s="141"/>
      <c r="OGY1" s="141"/>
      <c r="OGZ1" s="141"/>
      <c r="OHA1" s="141"/>
      <c r="OHB1" s="141"/>
      <c r="OHC1" s="141"/>
      <c r="OHD1" s="141"/>
      <c r="OHE1" s="141"/>
      <c r="OHF1" s="141"/>
      <c r="OHG1" s="141"/>
      <c r="OHH1" s="141"/>
      <c r="OHI1" s="141"/>
      <c r="OHJ1" s="141"/>
      <c r="OHK1" s="141"/>
      <c r="OHL1" s="141"/>
      <c r="OHM1" s="141"/>
      <c r="OHN1" s="141"/>
      <c r="OHO1" s="141"/>
      <c r="OHP1" s="141"/>
      <c r="OHQ1" s="141"/>
      <c r="OHR1" s="141"/>
      <c r="OHS1" s="141"/>
      <c r="OHT1" s="141"/>
      <c r="OHU1" s="141"/>
      <c r="OHV1" s="141"/>
      <c r="OHW1" s="141"/>
      <c r="OHX1" s="141"/>
      <c r="OHY1" s="141"/>
      <c r="OHZ1" s="141"/>
      <c r="OIA1" s="141"/>
      <c r="OIB1" s="141"/>
      <c r="OIC1" s="141"/>
      <c r="OID1" s="141"/>
      <c r="OIE1" s="141"/>
      <c r="OIF1" s="141"/>
      <c r="OIG1" s="141"/>
      <c r="OIH1" s="141"/>
      <c r="OII1" s="141"/>
      <c r="OIJ1" s="141"/>
      <c r="OIK1" s="141"/>
      <c r="OIL1" s="141"/>
      <c r="OIM1" s="141"/>
      <c r="OIN1" s="141"/>
      <c r="OIO1" s="141"/>
      <c r="OIP1" s="141"/>
      <c r="OIQ1" s="141"/>
      <c r="OIR1" s="141"/>
      <c r="OIS1" s="141"/>
      <c r="OIT1" s="141"/>
      <c r="OIU1" s="141"/>
      <c r="OIV1" s="141"/>
      <c r="OIW1" s="141"/>
      <c r="OIX1" s="141"/>
      <c r="OIY1" s="141"/>
      <c r="OIZ1" s="141"/>
      <c r="OJA1" s="141"/>
      <c r="OJB1" s="141"/>
      <c r="OJC1" s="141"/>
      <c r="OJD1" s="141"/>
      <c r="OJE1" s="141"/>
      <c r="OJF1" s="141"/>
      <c r="OJG1" s="141"/>
      <c r="OJH1" s="141"/>
      <c r="OJI1" s="141"/>
      <c r="OJJ1" s="141"/>
      <c r="OJK1" s="141"/>
      <c r="OJL1" s="141"/>
      <c r="OJM1" s="141"/>
      <c r="OJN1" s="141"/>
      <c r="OJO1" s="141"/>
      <c r="OJP1" s="141"/>
      <c r="OJQ1" s="141"/>
      <c r="OJR1" s="141"/>
      <c r="OJS1" s="141"/>
      <c r="OJT1" s="141"/>
      <c r="OJU1" s="141"/>
      <c r="OJV1" s="141"/>
      <c r="OJW1" s="141"/>
      <c r="OJX1" s="141"/>
      <c r="OJY1" s="141"/>
      <c r="OJZ1" s="141"/>
      <c r="OKA1" s="141"/>
      <c r="OKB1" s="141"/>
      <c r="OKC1" s="141"/>
      <c r="OKD1" s="141"/>
      <c r="OKE1" s="141"/>
      <c r="OKF1" s="141"/>
      <c r="OKG1" s="141"/>
      <c r="OKH1" s="141"/>
      <c r="OKI1" s="141"/>
      <c r="OKJ1" s="141"/>
      <c r="OKK1" s="141"/>
      <c r="OKL1" s="141"/>
      <c r="OKM1" s="141"/>
      <c r="OKN1" s="141"/>
      <c r="OKO1" s="141"/>
      <c r="OKP1" s="141"/>
      <c r="OKQ1" s="141"/>
      <c r="OKR1" s="141"/>
      <c r="OKS1" s="141"/>
      <c r="OKT1" s="141"/>
      <c r="OKU1" s="141"/>
      <c r="OKV1" s="141"/>
      <c r="OKW1" s="141"/>
      <c r="OKX1" s="141"/>
      <c r="OKY1" s="141"/>
      <c r="OKZ1" s="141"/>
      <c r="OLA1" s="141"/>
      <c r="OLB1" s="141"/>
      <c r="OLC1" s="141"/>
      <c r="OLD1" s="141"/>
      <c r="OLE1" s="141"/>
      <c r="OLF1" s="141"/>
      <c r="OLG1" s="141"/>
      <c r="OLH1" s="141"/>
      <c r="OLI1" s="141"/>
      <c r="OLJ1" s="141"/>
      <c r="OLK1" s="141"/>
      <c r="OLL1" s="141"/>
      <c r="OLM1" s="141"/>
      <c r="OLN1" s="141"/>
      <c r="OLO1" s="141"/>
      <c r="OLP1" s="141"/>
      <c r="OLQ1" s="141"/>
      <c r="OLR1" s="141"/>
      <c r="OLS1" s="141"/>
      <c r="OLT1" s="141"/>
      <c r="OLU1" s="141"/>
      <c r="OLV1" s="141"/>
      <c r="OLW1" s="141"/>
      <c r="OLX1" s="141"/>
      <c r="OLY1" s="141"/>
      <c r="OLZ1" s="141"/>
      <c r="OMA1" s="141"/>
      <c r="OMB1" s="141"/>
      <c r="OMC1" s="141"/>
      <c r="OMD1" s="141"/>
      <c r="OME1" s="141"/>
      <c r="OMF1" s="141"/>
      <c r="OMG1" s="141"/>
      <c r="OMH1" s="141"/>
      <c r="OMI1" s="141"/>
      <c r="OMJ1" s="141"/>
      <c r="OMK1" s="141"/>
      <c r="OML1" s="141"/>
      <c r="OMM1" s="141"/>
      <c r="OMN1" s="141"/>
      <c r="OMO1" s="141"/>
      <c r="OMP1" s="141"/>
      <c r="OMQ1" s="141"/>
      <c r="OMR1" s="141"/>
      <c r="OMS1" s="141"/>
      <c r="OMT1" s="141"/>
      <c r="OMU1" s="141"/>
      <c r="OMV1" s="141"/>
      <c r="OMW1" s="141"/>
      <c r="OMX1" s="141"/>
      <c r="OMY1" s="141"/>
      <c r="OMZ1" s="141"/>
      <c r="ONA1" s="141"/>
      <c r="ONB1" s="141"/>
      <c r="ONC1" s="141"/>
      <c r="OND1" s="141"/>
      <c r="ONE1" s="141"/>
      <c r="ONF1" s="141"/>
      <c r="ONG1" s="141"/>
      <c r="ONH1" s="141"/>
      <c r="ONI1" s="141"/>
      <c r="ONJ1" s="141"/>
      <c r="ONK1" s="141"/>
      <c r="ONL1" s="141"/>
      <c r="ONM1" s="141"/>
      <c r="ONN1" s="141"/>
      <c r="ONO1" s="141"/>
      <c r="ONP1" s="141"/>
      <c r="ONQ1" s="141"/>
      <c r="ONR1" s="141"/>
      <c r="ONS1" s="141"/>
      <c r="ONT1" s="141"/>
      <c r="ONU1" s="141"/>
      <c r="ONV1" s="141"/>
      <c r="ONW1" s="141"/>
      <c r="ONX1" s="141"/>
      <c r="ONY1" s="141"/>
      <c r="ONZ1" s="141"/>
      <c r="OOA1" s="141"/>
      <c r="OOB1" s="141"/>
      <c r="OOC1" s="141"/>
      <c r="OOD1" s="141"/>
      <c r="OOE1" s="141"/>
      <c r="OOF1" s="141"/>
      <c r="OOG1" s="141"/>
      <c r="OOH1" s="141"/>
      <c r="OOI1" s="141"/>
      <c r="OOJ1" s="141"/>
      <c r="OOK1" s="141"/>
      <c r="OOL1" s="141"/>
      <c r="OOM1" s="141"/>
      <c r="OON1" s="141"/>
      <c r="OOO1" s="141"/>
      <c r="OOP1" s="141"/>
      <c r="OOQ1" s="141"/>
      <c r="OOR1" s="141"/>
      <c r="OOS1" s="141"/>
      <c r="OOT1" s="141"/>
      <c r="OOU1" s="141"/>
      <c r="OOV1" s="141"/>
      <c r="OOW1" s="141"/>
      <c r="OOX1" s="141"/>
      <c r="OOY1" s="141"/>
      <c r="OOZ1" s="141"/>
      <c r="OPA1" s="141"/>
      <c r="OPB1" s="141"/>
      <c r="OPC1" s="141"/>
      <c r="OPD1" s="141"/>
      <c r="OPE1" s="141"/>
      <c r="OPF1" s="141"/>
      <c r="OPG1" s="141"/>
      <c r="OPH1" s="141"/>
      <c r="OPI1" s="141"/>
      <c r="OPJ1" s="141"/>
      <c r="OPK1" s="141"/>
      <c r="OPL1" s="141"/>
      <c r="OPM1" s="141"/>
      <c r="OPN1" s="141"/>
      <c r="OPO1" s="141"/>
      <c r="OPP1" s="141"/>
      <c r="OPQ1" s="141"/>
      <c r="OPR1" s="141"/>
      <c r="OPS1" s="141"/>
      <c r="OPT1" s="141"/>
      <c r="OPU1" s="141"/>
      <c r="OPV1" s="141"/>
      <c r="OPW1" s="141"/>
      <c r="OPX1" s="141"/>
      <c r="OPY1" s="141"/>
      <c r="OPZ1" s="141"/>
      <c r="OQA1" s="141"/>
      <c r="OQB1" s="141"/>
      <c r="OQC1" s="141"/>
      <c r="OQD1" s="141"/>
      <c r="OQE1" s="141"/>
      <c r="OQF1" s="141"/>
      <c r="OQG1" s="141"/>
      <c r="OQH1" s="141"/>
      <c r="OQI1" s="141"/>
      <c r="OQJ1" s="141"/>
      <c r="OQK1" s="141"/>
      <c r="OQL1" s="141"/>
      <c r="OQM1" s="141"/>
      <c r="OQN1" s="141"/>
      <c r="OQO1" s="141"/>
      <c r="OQP1" s="141"/>
      <c r="OQQ1" s="141"/>
      <c r="OQR1" s="141"/>
      <c r="OQS1" s="141"/>
      <c r="OQT1" s="141"/>
      <c r="OQU1" s="141"/>
      <c r="OQV1" s="141"/>
      <c r="OQW1" s="141"/>
      <c r="OQX1" s="141"/>
      <c r="OQY1" s="141"/>
      <c r="OQZ1" s="141"/>
      <c r="ORA1" s="141"/>
      <c r="ORB1" s="141"/>
      <c r="ORC1" s="141"/>
      <c r="ORD1" s="141"/>
      <c r="ORE1" s="141"/>
      <c r="ORF1" s="141"/>
      <c r="ORG1" s="141"/>
      <c r="ORH1" s="141"/>
      <c r="ORI1" s="141"/>
      <c r="ORJ1" s="141"/>
      <c r="ORK1" s="141"/>
      <c r="ORL1" s="141"/>
      <c r="ORM1" s="141"/>
      <c r="ORN1" s="141"/>
      <c r="ORO1" s="141"/>
      <c r="ORP1" s="141"/>
      <c r="ORQ1" s="141"/>
      <c r="ORR1" s="141"/>
      <c r="ORS1" s="141"/>
      <c r="ORT1" s="141"/>
      <c r="ORU1" s="141"/>
      <c r="ORV1" s="141"/>
      <c r="ORW1" s="141"/>
      <c r="ORX1" s="141"/>
      <c r="ORY1" s="141"/>
      <c r="ORZ1" s="141"/>
      <c r="OSA1" s="141"/>
      <c r="OSB1" s="141"/>
      <c r="OSC1" s="141"/>
      <c r="OSD1" s="141"/>
      <c r="OSE1" s="141"/>
      <c r="OSF1" s="141"/>
      <c r="OSG1" s="141"/>
      <c r="OSH1" s="141"/>
      <c r="OSI1" s="141"/>
      <c r="OSJ1" s="141"/>
      <c r="OSK1" s="141"/>
      <c r="OSL1" s="141"/>
      <c r="OSM1" s="141"/>
      <c r="OSN1" s="141"/>
      <c r="OSO1" s="141"/>
      <c r="OSP1" s="141"/>
      <c r="OSQ1" s="141"/>
      <c r="OSR1" s="141"/>
      <c r="OSS1" s="141"/>
      <c r="OST1" s="141"/>
      <c r="OSU1" s="141"/>
      <c r="OSV1" s="141"/>
      <c r="OSW1" s="141"/>
      <c r="OSX1" s="141"/>
      <c r="OSY1" s="141"/>
      <c r="OSZ1" s="141"/>
      <c r="OTA1" s="141"/>
      <c r="OTB1" s="141"/>
      <c r="OTC1" s="141"/>
      <c r="OTD1" s="141"/>
      <c r="OTE1" s="141"/>
      <c r="OTF1" s="141"/>
      <c r="OTG1" s="141"/>
      <c r="OTH1" s="141"/>
      <c r="OTI1" s="141"/>
      <c r="OTJ1" s="141"/>
      <c r="OTK1" s="141"/>
      <c r="OTL1" s="141"/>
      <c r="OTM1" s="141"/>
      <c r="OTN1" s="141"/>
      <c r="OTO1" s="141"/>
      <c r="OTP1" s="141"/>
      <c r="OTQ1" s="141"/>
      <c r="OTR1" s="141"/>
      <c r="OTS1" s="141"/>
      <c r="OTT1" s="141"/>
      <c r="OTU1" s="141"/>
      <c r="OTV1" s="141"/>
      <c r="OTW1" s="141"/>
      <c r="OTX1" s="141"/>
      <c r="OTY1" s="141"/>
      <c r="OTZ1" s="141"/>
      <c r="OUA1" s="141"/>
      <c r="OUB1" s="141"/>
      <c r="OUC1" s="141"/>
      <c r="OUD1" s="141"/>
      <c r="OUE1" s="141"/>
      <c r="OUF1" s="141"/>
      <c r="OUG1" s="141"/>
      <c r="OUH1" s="141"/>
      <c r="OUI1" s="141"/>
      <c r="OUJ1" s="141"/>
      <c r="OUK1" s="141"/>
      <c r="OUL1" s="141"/>
      <c r="OUM1" s="141"/>
      <c r="OUN1" s="141"/>
      <c r="OUO1" s="141"/>
      <c r="OUP1" s="141"/>
      <c r="OUQ1" s="141"/>
      <c r="OUR1" s="141"/>
      <c r="OUS1" s="141"/>
      <c r="OUT1" s="141"/>
      <c r="OUU1" s="141"/>
      <c r="OUV1" s="141"/>
      <c r="OUW1" s="141"/>
      <c r="OUX1" s="141"/>
      <c r="OUY1" s="141"/>
      <c r="OUZ1" s="141"/>
      <c r="OVA1" s="141"/>
      <c r="OVB1" s="141"/>
      <c r="OVC1" s="141"/>
      <c r="OVD1" s="141"/>
      <c r="OVE1" s="141"/>
      <c r="OVF1" s="141"/>
      <c r="OVG1" s="141"/>
      <c r="OVH1" s="141"/>
      <c r="OVI1" s="141"/>
      <c r="OVJ1" s="141"/>
      <c r="OVK1" s="141"/>
      <c r="OVL1" s="141"/>
      <c r="OVM1" s="141"/>
      <c r="OVN1" s="141"/>
      <c r="OVO1" s="141"/>
      <c r="OVP1" s="141"/>
      <c r="OVQ1" s="141"/>
      <c r="OVR1" s="141"/>
      <c r="OVS1" s="141"/>
      <c r="OVT1" s="141"/>
      <c r="OVU1" s="141"/>
      <c r="OVV1" s="141"/>
      <c r="OVW1" s="141"/>
      <c r="OVX1" s="141"/>
      <c r="OVY1" s="141"/>
      <c r="OVZ1" s="141"/>
      <c r="OWA1" s="141"/>
      <c r="OWB1" s="141"/>
      <c r="OWC1" s="141"/>
      <c r="OWD1" s="141"/>
      <c r="OWE1" s="141"/>
      <c r="OWF1" s="141"/>
      <c r="OWG1" s="141"/>
      <c r="OWH1" s="141"/>
      <c r="OWI1" s="141"/>
      <c r="OWJ1" s="141"/>
      <c r="OWK1" s="141"/>
      <c r="OWL1" s="141"/>
      <c r="OWM1" s="141"/>
      <c r="OWN1" s="141"/>
      <c r="OWO1" s="141"/>
      <c r="OWP1" s="141"/>
      <c r="OWQ1" s="141"/>
      <c r="OWR1" s="141"/>
      <c r="OWS1" s="141"/>
      <c r="OWT1" s="141"/>
      <c r="OWU1" s="141"/>
      <c r="OWV1" s="141"/>
      <c r="OWW1" s="141"/>
      <c r="OWX1" s="141"/>
      <c r="OWY1" s="141"/>
      <c r="OWZ1" s="141"/>
      <c r="OXA1" s="141"/>
      <c r="OXB1" s="141"/>
      <c r="OXC1" s="141"/>
      <c r="OXD1" s="141"/>
      <c r="OXE1" s="141"/>
      <c r="OXF1" s="141"/>
      <c r="OXG1" s="141"/>
      <c r="OXH1" s="141"/>
      <c r="OXI1" s="141"/>
      <c r="OXJ1" s="141"/>
      <c r="OXK1" s="141"/>
      <c r="OXL1" s="141"/>
      <c r="OXM1" s="141"/>
      <c r="OXN1" s="141"/>
      <c r="OXO1" s="141"/>
      <c r="OXP1" s="141"/>
      <c r="OXQ1" s="141"/>
      <c r="OXR1" s="141"/>
      <c r="OXS1" s="141"/>
      <c r="OXT1" s="141"/>
      <c r="OXU1" s="141"/>
      <c r="OXV1" s="141"/>
      <c r="OXW1" s="141"/>
      <c r="OXX1" s="141"/>
      <c r="OXY1" s="141"/>
      <c r="OXZ1" s="141"/>
      <c r="OYA1" s="141"/>
      <c r="OYB1" s="141"/>
      <c r="OYC1" s="141"/>
      <c r="OYD1" s="141"/>
      <c r="OYE1" s="141"/>
      <c r="OYF1" s="141"/>
      <c r="OYG1" s="141"/>
      <c r="OYH1" s="141"/>
      <c r="OYI1" s="141"/>
      <c r="OYJ1" s="141"/>
      <c r="OYK1" s="141"/>
      <c r="OYL1" s="141"/>
      <c r="OYM1" s="141"/>
      <c r="OYN1" s="141"/>
      <c r="OYO1" s="141"/>
      <c r="OYP1" s="141"/>
      <c r="OYQ1" s="141"/>
      <c r="OYR1" s="141"/>
      <c r="OYS1" s="141"/>
      <c r="OYT1" s="141"/>
      <c r="OYU1" s="141"/>
      <c r="OYV1" s="141"/>
      <c r="OYW1" s="141"/>
      <c r="OYX1" s="141"/>
      <c r="OYY1" s="141"/>
      <c r="OYZ1" s="141"/>
      <c r="OZA1" s="141"/>
      <c r="OZB1" s="141"/>
      <c r="OZC1" s="141"/>
      <c r="OZD1" s="141"/>
      <c r="OZE1" s="141"/>
      <c r="OZF1" s="141"/>
      <c r="OZG1" s="141"/>
      <c r="OZH1" s="141"/>
      <c r="OZI1" s="141"/>
      <c r="OZJ1" s="141"/>
      <c r="OZK1" s="141"/>
      <c r="OZL1" s="141"/>
      <c r="OZM1" s="141"/>
      <c r="OZN1" s="141"/>
      <c r="OZO1" s="141"/>
      <c r="OZP1" s="141"/>
      <c r="OZQ1" s="141"/>
      <c r="OZR1" s="141"/>
      <c r="OZS1" s="141"/>
      <c r="OZT1" s="141"/>
      <c r="OZU1" s="141"/>
      <c r="OZV1" s="141"/>
      <c r="OZW1" s="141"/>
      <c r="OZX1" s="141"/>
      <c r="OZY1" s="141"/>
      <c r="OZZ1" s="141"/>
      <c r="PAA1" s="141"/>
      <c r="PAB1" s="141"/>
      <c r="PAC1" s="141"/>
      <c r="PAD1" s="141"/>
      <c r="PAE1" s="141"/>
      <c r="PAF1" s="141"/>
      <c r="PAG1" s="141"/>
      <c r="PAH1" s="141"/>
      <c r="PAI1" s="141"/>
      <c r="PAJ1" s="141"/>
      <c r="PAK1" s="141"/>
      <c r="PAL1" s="141"/>
      <c r="PAM1" s="141"/>
      <c r="PAN1" s="141"/>
      <c r="PAO1" s="141"/>
      <c r="PAP1" s="141"/>
      <c r="PAQ1" s="141"/>
      <c r="PAR1" s="141"/>
      <c r="PAS1" s="141"/>
      <c r="PAT1" s="141"/>
      <c r="PAU1" s="141"/>
      <c r="PAV1" s="141"/>
      <c r="PAW1" s="141"/>
      <c r="PAX1" s="141"/>
      <c r="PAY1" s="141"/>
      <c r="PAZ1" s="141"/>
      <c r="PBA1" s="141"/>
      <c r="PBB1" s="141"/>
      <c r="PBC1" s="141"/>
      <c r="PBD1" s="141"/>
      <c r="PBE1" s="141"/>
      <c r="PBF1" s="141"/>
      <c r="PBG1" s="141"/>
      <c r="PBH1" s="141"/>
      <c r="PBI1" s="141"/>
      <c r="PBJ1" s="141"/>
      <c r="PBK1" s="141"/>
      <c r="PBL1" s="141"/>
      <c r="PBM1" s="141"/>
      <c r="PBN1" s="141"/>
      <c r="PBO1" s="141"/>
      <c r="PBP1" s="141"/>
      <c r="PBQ1" s="141"/>
      <c r="PBR1" s="141"/>
      <c r="PBS1" s="141"/>
      <c r="PBT1" s="141"/>
      <c r="PBU1" s="141"/>
      <c r="PBV1" s="141"/>
      <c r="PBW1" s="141"/>
      <c r="PBX1" s="141"/>
      <c r="PBY1" s="141"/>
      <c r="PBZ1" s="141"/>
      <c r="PCA1" s="141"/>
      <c r="PCB1" s="141"/>
      <c r="PCC1" s="141"/>
      <c r="PCD1" s="141"/>
      <c r="PCE1" s="141"/>
      <c r="PCF1" s="141"/>
      <c r="PCG1" s="141"/>
      <c r="PCH1" s="141"/>
      <c r="PCI1" s="141"/>
      <c r="PCJ1" s="141"/>
      <c r="PCK1" s="141"/>
      <c r="PCL1" s="141"/>
      <c r="PCM1" s="141"/>
      <c r="PCN1" s="141"/>
      <c r="PCO1" s="141"/>
      <c r="PCP1" s="141"/>
      <c r="PCQ1" s="141"/>
      <c r="PCR1" s="141"/>
      <c r="PCS1" s="141"/>
      <c r="PCT1" s="141"/>
      <c r="PCU1" s="141"/>
      <c r="PCV1" s="141"/>
      <c r="PCW1" s="141"/>
      <c r="PCX1" s="141"/>
      <c r="PCY1" s="141"/>
      <c r="PCZ1" s="141"/>
      <c r="PDA1" s="141"/>
      <c r="PDB1" s="141"/>
      <c r="PDC1" s="141"/>
      <c r="PDD1" s="141"/>
      <c r="PDE1" s="141"/>
      <c r="PDF1" s="141"/>
      <c r="PDG1" s="141"/>
      <c r="PDH1" s="141"/>
      <c r="PDI1" s="141"/>
      <c r="PDJ1" s="141"/>
      <c r="PDK1" s="141"/>
      <c r="PDL1" s="141"/>
      <c r="PDM1" s="141"/>
      <c r="PDN1" s="141"/>
      <c r="PDO1" s="141"/>
      <c r="PDP1" s="141"/>
      <c r="PDQ1" s="141"/>
      <c r="PDR1" s="141"/>
      <c r="PDS1" s="141"/>
      <c r="PDT1" s="141"/>
      <c r="PDU1" s="141"/>
      <c r="PDV1" s="141"/>
      <c r="PDW1" s="141"/>
      <c r="PDX1" s="141"/>
      <c r="PDY1" s="141"/>
      <c r="PDZ1" s="141"/>
      <c r="PEA1" s="141"/>
      <c r="PEB1" s="141"/>
      <c r="PEC1" s="141"/>
      <c r="PED1" s="141"/>
      <c r="PEE1" s="141"/>
      <c r="PEF1" s="141"/>
      <c r="PEG1" s="141"/>
      <c r="PEH1" s="141"/>
      <c r="PEI1" s="141"/>
      <c r="PEJ1" s="141"/>
      <c r="PEK1" s="141"/>
      <c r="PEL1" s="141"/>
      <c r="PEM1" s="141"/>
      <c r="PEN1" s="141"/>
      <c r="PEO1" s="141"/>
      <c r="PEP1" s="141"/>
      <c r="PEQ1" s="141"/>
      <c r="PER1" s="141"/>
      <c r="PES1" s="141"/>
      <c r="PET1" s="141"/>
      <c r="PEU1" s="141"/>
      <c r="PEV1" s="141"/>
      <c r="PEW1" s="141"/>
      <c r="PEX1" s="141"/>
      <c r="PEY1" s="141"/>
      <c r="PEZ1" s="141"/>
      <c r="PFA1" s="141"/>
      <c r="PFB1" s="141"/>
      <c r="PFC1" s="141"/>
      <c r="PFD1" s="141"/>
      <c r="PFE1" s="141"/>
      <c r="PFF1" s="141"/>
      <c r="PFG1" s="141"/>
      <c r="PFH1" s="141"/>
      <c r="PFI1" s="141"/>
      <c r="PFJ1" s="141"/>
      <c r="PFK1" s="141"/>
      <c r="PFL1" s="141"/>
      <c r="PFM1" s="141"/>
      <c r="PFN1" s="141"/>
      <c r="PFO1" s="141"/>
      <c r="PFP1" s="141"/>
      <c r="PFQ1" s="141"/>
      <c r="PFR1" s="141"/>
      <c r="PFS1" s="141"/>
      <c r="PFT1" s="141"/>
      <c r="PFU1" s="141"/>
      <c r="PFV1" s="141"/>
      <c r="PFW1" s="141"/>
      <c r="PFX1" s="141"/>
      <c r="PFY1" s="141"/>
      <c r="PFZ1" s="141"/>
      <c r="PGA1" s="141"/>
      <c r="PGB1" s="141"/>
      <c r="PGC1" s="141"/>
      <c r="PGD1" s="141"/>
      <c r="PGE1" s="141"/>
      <c r="PGF1" s="141"/>
      <c r="PGG1" s="141"/>
      <c r="PGH1" s="141"/>
      <c r="PGI1" s="141"/>
      <c r="PGJ1" s="141"/>
      <c r="PGK1" s="141"/>
      <c r="PGL1" s="141"/>
      <c r="PGM1" s="141"/>
      <c r="PGN1" s="141"/>
      <c r="PGO1" s="141"/>
      <c r="PGP1" s="141"/>
      <c r="PGQ1" s="141"/>
      <c r="PGR1" s="141"/>
      <c r="PGS1" s="141"/>
      <c r="PGT1" s="141"/>
      <c r="PGU1" s="141"/>
      <c r="PGV1" s="141"/>
      <c r="PGW1" s="141"/>
      <c r="PGX1" s="141"/>
      <c r="PGY1" s="141"/>
      <c r="PGZ1" s="141"/>
      <c r="PHA1" s="141"/>
      <c r="PHB1" s="141"/>
      <c r="PHC1" s="141"/>
      <c r="PHD1" s="141"/>
      <c r="PHE1" s="141"/>
      <c r="PHF1" s="141"/>
      <c r="PHG1" s="141"/>
      <c r="PHH1" s="141"/>
      <c r="PHI1" s="141"/>
      <c r="PHJ1" s="141"/>
      <c r="PHK1" s="141"/>
      <c r="PHL1" s="141"/>
      <c r="PHM1" s="141"/>
      <c r="PHN1" s="141"/>
      <c r="PHO1" s="141"/>
      <c r="PHP1" s="141"/>
      <c r="PHQ1" s="141"/>
      <c r="PHR1" s="141"/>
      <c r="PHS1" s="141"/>
      <c r="PHT1" s="141"/>
      <c r="PHU1" s="141"/>
      <c r="PHV1" s="141"/>
      <c r="PHW1" s="141"/>
      <c r="PHX1" s="141"/>
      <c r="PHY1" s="141"/>
      <c r="PHZ1" s="141"/>
      <c r="PIA1" s="141"/>
      <c r="PIB1" s="141"/>
      <c r="PIC1" s="141"/>
      <c r="PID1" s="141"/>
      <c r="PIE1" s="141"/>
      <c r="PIF1" s="141"/>
      <c r="PIG1" s="141"/>
      <c r="PIH1" s="141"/>
      <c r="PII1" s="141"/>
      <c r="PIJ1" s="141"/>
      <c r="PIK1" s="141"/>
      <c r="PIL1" s="141"/>
      <c r="PIM1" s="141"/>
      <c r="PIN1" s="141"/>
      <c r="PIO1" s="141"/>
      <c r="PIP1" s="141"/>
      <c r="PIQ1" s="141"/>
      <c r="PIR1" s="141"/>
      <c r="PIS1" s="141"/>
      <c r="PIT1" s="141"/>
      <c r="PIU1" s="141"/>
      <c r="PIV1" s="141"/>
      <c r="PIW1" s="141"/>
      <c r="PIX1" s="141"/>
      <c r="PIY1" s="141"/>
      <c r="PIZ1" s="141"/>
      <c r="PJA1" s="141"/>
      <c r="PJB1" s="141"/>
      <c r="PJC1" s="141"/>
      <c r="PJD1" s="141"/>
      <c r="PJE1" s="141"/>
      <c r="PJF1" s="141"/>
      <c r="PJG1" s="141"/>
      <c r="PJH1" s="141"/>
      <c r="PJI1" s="141"/>
      <c r="PJJ1" s="141"/>
      <c r="PJK1" s="141"/>
      <c r="PJL1" s="141"/>
      <c r="PJM1" s="141"/>
      <c r="PJN1" s="141"/>
      <c r="PJO1" s="141"/>
      <c r="PJP1" s="141"/>
      <c r="PJQ1" s="141"/>
      <c r="PJR1" s="141"/>
      <c r="PJS1" s="141"/>
      <c r="PJT1" s="141"/>
      <c r="PJU1" s="141"/>
      <c r="PJV1" s="141"/>
      <c r="PJW1" s="141"/>
      <c r="PJX1" s="141"/>
      <c r="PJY1" s="141"/>
      <c r="PJZ1" s="141"/>
      <c r="PKA1" s="141"/>
      <c r="PKB1" s="141"/>
      <c r="PKC1" s="141"/>
      <c r="PKD1" s="141"/>
      <c r="PKE1" s="141"/>
      <c r="PKF1" s="141"/>
      <c r="PKG1" s="141"/>
      <c r="PKH1" s="141"/>
      <c r="PKI1" s="141"/>
      <c r="PKJ1" s="141"/>
      <c r="PKK1" s="141"/>
      <c r="PKL1" s="141"/>
      <c r="PKM1" s="141"/>
      <c r="PKN1" s="141"/>
      <c r="PKO1" s="141"/>
      <c r="PKP1" s="141"/>
      <c r="PKQ1" s="141"/>
      <c r="PKR1" s="141"/>
      <c r="PKS1" s="141"/>
      <c r="PKT1" s="141"/>
      <c r="PKU1" s="141"/>
      <c r="PKV1" s="141"/>
      <c r="PKW1" s="141"/>
      <c r="PKX1" s="141"/>
      <c r="PKY1" s="141"/>
      <c r="PKZ1" s="141"/>
      <c r="PLA1" s="141"/>
      <c r="PLB1" s="141"/>
      <c r="PLC1" s="141"/>
      <c r="PLD1" s="141"/>
      <c r="PLE1" s="141"/>
      <c r="PLF1" s="141"/>
      <c r="PLG1" s="141"/>
      <c r="PLH1" s="141"/>
      <c r="PLI1" s="141"/>
      <c r="PLJ1" s="141"/>
      <c r="PLK1" s="141"/>
      <c r="PLL1" s="141"/>
      <c r="PLM1" s="141"/>
      <c r="PLN1" s="141"/>
      <c r="PLO1" s="141"/>
      <c r="PLP1" s="141"/>
      <c r="PLQ1" s="141"/>
      <c r="PLR1" s="141"/>
      <c r="PLS1" s="141"/>
      <c r="PLT1" s="141"/>
      <c r="PLU1" s="141"/>
      <c r="PLV1" s="141"/>
      <c r="PLW1" s="141"/>
      <c r="PLX1" s="141"/>
      <c r="PLY1" s="141"/>
      <c r="PLZ1" s="141"/>
      <c r="PMA1" s="141"/>
      <c r="PMB1" s="141"/>
      <c r="PMC1" s="141"/>
      <c r="PMD1" s="141"/>
      <c r="PME1" s="141"/>
      <c r="PMF1" s="141"/>
      <c r="PMG1" s="141"/>
      <c r="PMH1" s="141"/>
      <c r="PMI1" s="141"/>
      <c r="PMJ1" s="141"/>
      <c r="PMK1" s="141"/>
      <c r="PML1" s="141"/>
      <c r="PMM1" s="141"/>
      <c r="PMN1" s="141"/>
      <c r="PMO1" s="141"/>
      <c r="PMP1" s="141"/>
      <c r="PMQ1" s="141"/>
      <c r="PMR1" s="141"/>
      <c r="PMS1" s="141"/>
      <c r="PMT1" s="141"/>
      <c r="PMU1" s="141"/>
      <c r="PMV1" s="141"/>
      <c r="PMW1" s="141"/>
      <c r="PMX1" s="141"/>
      <c r="PMY1" s="141"/>
      <c r="PMZ1" s="141"/>
      <c r="PNA1" s="141"/>
      <c r="PNB1" s="141"/>
      <c r="PNC1" s="141"/>
      <c r="PND1" s="141"/>
      <c r="PNE1" s="141"/>
      <c r="PNF1" s="141"/>
      <c r="PNG1" s="141"/>
      <c r="PNH1" s="141"/>
      <c r="PNI1" s="141"/>
      <c r="PNJ1" s="141"/>
      <c r="PNK1" s="141"/>
      <c r="PNL1" s="141"/>
      <c r="PNM1" s="141"/>
      <c r="PNN1" s="141"/>
      <c r="PNO1" s="141"/>
      <c r="PNP1" s="141"/>
      <c r="PNQ1" s="141"/>
      <c r="PNR1" s="141"/>
      <c r="PNS1" s="141"/>
      <c r="PNT1" s="141"/>
      <c r="PNU1" s="141"/>
      <c r="PNV1" s="141"/>
      <c r="PNW1" s="141"/>
      <c r="PNX1" s="141"/>
      <c r="PNY1" s="141"/>
      <c r="PNZ1" s="141"/>
      <c r="POA1" s="141"/>
      <c r="POB1" s="141"/>
      <c r="POC1" s="141"/>
      <c r="POD1" s="141"/>
      <c r="POE1" s="141"/>
      <c r="POF1" s="141"/>
      <c r="POG1" s="141"/>
      <c r="POH1" s="141"/>
      <c r="POI1" s="141"/>
      <c r="POJ1" s="141"/>
      <c r="POK1" s="141"/>
      <c r="POL1" s="141"/>
      <c r="POM1" s="141"/>
      <c r="PON1" s="141"/>
      <c r="POO1" s="141"/>
      <c r="POP1" s="141"/>
      <c r="POQ1" s="141"/>
      <c r="POR1" s="141"/>
      <c r="POS1" s="141"/>
      <c r="POT1" s="141"/>
      <c r="POU1" s="141"/>
      <c r="POV1" s="141"/>
      <c r="POW1" s="141"/>
      <c r="POX1" s="141"/>
      <c r="POY1" s="141"/>
      <c r="POZ1" s="141"/>
      <c r="PPA1" s="141"/>
      <c r="PPB1" s="141"/>
      <c r="PPC1" s="141"/>
      <c r="PPD1" s="141"/>
      <c r="PPE1" s="141"/>
      <c r="PPF1" s="141"/>
      <c r="PPG1" s="141"/>
      <c r="PPH1" s="141"/>
      <c r="PPI1" s="141"/>
      <c r="PPJ1" s="141"/>
      <c r="PPK1" s="141"/>
      <c r="PPL1" s="141"/>
      <c r="PPM1" s="141"/>
      <c r="PPN1" s="141"/>
      <c r="PPO1" s="141"/>
      <c r="PPP1" s="141"/>
      <c r="PPQ1" s="141"/>
      <c r="PPR1" s="141"/>
      <c r="PPS1" s="141"/>
      <c r="PPT1" s="141"/>
      <c r="PPU1" s="141"/>
      <c r="PPV1" s="141"/>
      <c r="PPW1" s="141"/>
      <c r="PPX1" s="141"/>
      <c r="PPY1" s="141"/>
      <c r="PPZ1" s="141"/>
      <c r="PQA1" s="141"/>
      <c r="PQB1" s="141"/>
      <c r="PQC1" s="141"/>
      <c r="PQD1" s="141"/>
      <c r="PQE1" s="141"/>
      <c r="PQF1" s="141"/>
      <c r="PQG1" s="141"/>
      <c r="PQH1" s="141"/>
      <c r="PQI1" s="141"/>
      <c r="PQJ1" s="141"/>
      <c r="PQK1" s="141"/>
      <c r="PQL1" s="141"/>
      <c r="PQM1" s="141"/>
      <c r="PQN1" s="141"/>
      <c r="PQO1" s="141"/>
      <c r="PQP1" s="141"/>
      <c r="PQQ1" s="141"/>
      <c r="PQR1" s="141"/>
      <c r="PQS1" s="141"/>
      <c r="PQT1" s="141"/>
      <c r="PQU1" s="141"/>
      <c r="PQV1" s="141"/>
      <c r="PQW1" s="141"/>
      <c r="PQX1" s="141"/>
      <c r="PQY1" s="141"/>
      <c r="PQZ1" s="141"/>
      <c r="PRA1" s="141"/>
      <c r="PRB1" s="141"/>
      <c r="PRC1" s="141"/>
      <c r="PRD1" s="141"/>
      <c r="PRE1" s="141"/>
      <c r="PRF1" s="141"/>
      <c r="PRG1" s="141"/>
      <c r="PRH1" s="141"/>
      <c r="PRI1" s="141"/>
      <c r="PRJ1" s="141"/>
      <c r="PRK1" s="141"/>
      <c r="PRL1" s="141"/>
      <c r="PRM1" s="141"/>
      <c r="PRN1" s="141"/>
      <c r="PRO1" s="141"/>
      <c r="PRP1" s="141"/>
      <c r="PRQ1" s="141"/>
      <c r="PRR1" s="141"/>
      <c r="PRS1" s="141"/>
      <c r="PRT1" s="141"/>
      <c r="PRU1" s="141"/>
      <c r="PRV1" s="141"/>
      <c r="PRW1" s="141"/>
      <c r="PRX1" s="141"/>
      <c r="PRY1" s="141"/>
      <c r="PRZ1" s="141"/>
      <c r="PSA1" s="141"/>
      <c r="PSB1" s="141"/>
      <c r="PSC1" s="141"/>
      <c r="PSD1" s="141"/>
      <c r="PSE1" s="141"/>
      <c r="PSF1" s="141"/>
      <c r="PSG1" s="141"/>
      <c r="PSH1" s="141"/>
      <c r="PSI1" s="141"/>
      <c r="PSJ1" s="141"/>
      <c r="PSK1" s="141"/>
      <c r="PSL1" s="141"/>
      <c r="PSM1" s="141"/>
      <c r="PSN1" s="141"/>
      <c r="PSO1" s="141"/>
      <c r="PSP1" s="141"/>
      <c r="PSQ1" s="141"/>
      <c r="PSR1" s="141"/>
      <c r="PSS1" s="141"/>
      <c r="PST1" s="141"/>
      <c r="PSU1" s="141"/>
      <c r="PSV1" s="141"/>
      <c r="PSW1" s="141"/>
      <c r="PSX1" s="141"/>
      <c r="PSY1" s="141"/>
      <c r="PSZ1" s="141"/>
      <c r="PTA1" s="141"/>
      <c r="PTB1" s="141"/>
      <c r="PTC1" s="141"/>
      <c r="PTD1" s="141"/>
      <c r="PTE1" s="141"/>
      <c r="PTF1" s="141"/>
      <c r="PTG1" s="141"/>
      <c r="PTH1" s="141"/>
      <c r="PTI1" s="141"/>
      <c r="PTJ1" s="141"/>
      <c r="PTK1" s="141"/>
      <c r="PTL1" s="141"/>
      <c r="PTM1" s="141"/>
      <c r="PTN1" s="141"/>
      <c r="PTO1" s="141"/>
      <c r="PTP1" s="141"/>
      <c r="PTQ1" s="141"/>
      <c r="PTR1" s="141"/>
      <c r="PTS1" s="141"/>
      <c r="PTT1" s="141"/>
      <c r="PTU1" s="141"/>
      <c r="PTV1" s="141"/>
      <c r="PTW1" s="141"/>
      <c r="PTX1" s="141"/>
      <c r="PTY1" s="141"/>
      <c r="PTZ1" s="141"/>
      <c r="PUA1" s="141"/>
      <c r="PUB1" s="141"/>
      <c r="PUC1" s="141"/>
      <c r="PUD1" s="141"/>
      <c r="PUE1" s="141"/>
      <c r="PUF1" s="141"/>
      <c r="PUG1" s="141"/>
      <c r="PUH1" s="141"/>
      <c r="PUI1" s="141"/>
      <c r="PUJ1" s="141"/>
      <c r="PUK1" s="141"/>
      <c r="PUL1" s="141"/>
      <c r="PUM1" s="141"/>
      <c r="PUN1" s="141"/>
      <c r="PUO1" s="141"/>
      <c r="PUP1" s="141"/>
      <c r="PUQ1" s="141"/>
      <c r="PUR1" s="141"/>
      <c r="PUS1" s="141"/>
      <c r="PUT1" s="141"/>
      <c r="PUU1" s="141"/>
      <c r="PUV1" s="141"/>
      <c r="PUW1" s="141"/>
      <c r="PUX1" s="141"/>
      <c r="PUY1" s="141"/>
      <c r="PUZ1" s="141"/>
      <c r="PVA1" s="141"/>
      <c r="PVB1" s="141"/>
      <c r="PVC1" s="141"/>
      <c r="PVD1" s="141"/>
      <c r="PVE1" s="141"/>
      <c r="PVF1" s="141"/>
      <c r="PVG1" s="141"/>
      <c r="PVH1" s="141"/>
      <c r="PVI1" s="141"/>
      <c r="PVJ1" s="141"/>
      <c r="PVK1" s="141"/>
      <c r="PVL1" s="141"/>
      <c r="PVM1" s="141"/>
      <c r="PVN1" s="141"/>
      <c r="PVO1" s="141"/>
      <c r="PVP1" s="141"/>
      <c r="PVQ1" s="141"/>
      <c r="PVR1" s="141"/>
      <c r="PVS1" s="141"/>
      <c r="PVT1" s="141"/>
      <c r="PVU1" s="141"/>
      <c r="PVV1" s="141"/>
      <c r="PVW1" s="141"/>
      <c r="PVX1" s="141"/>
      <c r="PVY1" s="141"/>
      <c r="PVZ1" s="141"/>
      <c r="PWA1" s="141"/>
      <c r="PWB1" s="141"/>
      <c r="PWC1" s="141"/>
      <c r="PWD1" s="141"/>
      <c r="PWE1" s="141"/>
      <c r="PWF1" s="141"/>
      <c r="PWG1" s="141"/>
      <c r="PWH1" s="141"/>
      <c r="PWI1" s="141"/>
      <c r="PWJ1" s="141"/>
      <c r="PWK1" s="141"/>
      <c r="PWL1" s="141"/>
      <c r="PWM1" s="141"/>
      <c r="PWN1" s="141"/>
      <c r="PWO1" s="141"/>
      <c r="PWP1" s="141"/>
      <c r="PWQ1" s="141"/>
      <c r="PWR1" s="141"/>
      <c r="PWS1" s="141"/>
      <c r="PWT1" s="141"/>
      <c r="PWU1" s="141"/>
      <c r="PWV1" s="141"/>
      <c r="PWW1" s="141"/>
      <c r="PWX1" s="141"/>
      <c r="PWY1" s="141"/>
      <c r="PWZ1" s="141"/>
      <c r="PXA1" s="141"/>
      <c r="PXB1" s="141"/>
      <c r="PXC1" s="141"/>
      <c r="PXD1" s="141"/>
      <c r="PXE1" s="141"/>
      <c r="PXF1" s="141"/>
      <c r="PXG1" s="141"/>
      <c r="PXH1" s="141"/>
      <c r="PXI1" s="141"/>
      <c r="PXJ1" s="141"/>
      <c r="PXK1" s="141"/>
      <c r="PXL1" s="141"/>
      <c r="PXM1" s="141"/>
      <c r="PXN1" s="141"/>
      <c r="PXO1" s="141"/>
      <c r="PXP1" s="141"/>
      <c r="PXQ1" s="141"/>
      <c r="PXR1" s="141"/>
      <c r="PXS1" s="141"/>
      <c r="PXT1" s="141"/>
      <c r="PXU1" s="141"/>
      <c r="PXV1" s="141"/>
      <c r="PXW1" s="141"/>
      <c r="PXX1" s="141"/>
      <c r="PXY1" s="141"/>
      <c r="PXZ1" s="141"/>
      <c r="PYA1" s="141"/>
      <c r="PYB1" s="141"/>
      <c r="PYC1" s="141"/>
      <c r="PYD1" s="141"/>
      <c r="PYE1" s="141"/>
      <c r="PYF1" s="141"/>
      <c r="PYG1" s="141"/>
      <c r="PYH1" s="141"/>
      <c r="PYI1" s="141"/>
      <c r="PYJ1" s="141"/>
      <c r="PYK1" s="141"/>
      <c r="PYL1" s="141"/>
      <c r="PYM1" s="141"/>
      <c r="PYN1" s="141"/>
      <c r="PYO1" s="141"/>
      <c r="PYP1" s="141"/>
      <c r="PYQ1" s="141"/>
      <c r="PYR1" s="141"/>
      <c r="PYS1" s="141"/>
      <c r="PYT1" s="141"/>
      <c r="PYU1" s="141"/>
      <c r="PYV1" s="141"/>
      <c r="PYW1" s="141"/>
      <c r="PYX1" s="141"/>
      <c r="PYY1" s="141"/>
      <c r="PYZ1" s="141"/>
      <c r="PZA1" s="141"/>
      <c r="PZB1" s="141"/>
      <c r="PZC1" s="141"/>
      <c r="PZD1" s="141"/>
      <c r="PZE1" s="141"/>
      <c r="PZF1" s="141"/>
      <c r="PZG1" s="141"/>
      <c r="PZH1" s="141"/>
      <c r="PZI1" s="141"/>
      <c r="PZJ1" s="141"/>
      <c r="PZK1" s="141"/>
      <c r="PZL1" s="141"/>
      <c r="PZM1" s="141"/>
      <c r="PZN1" s="141"/>
      <c r="PZO1" s="141"/>
      <c r="PZP1" s="141"/>
      <c r="PZQ1" s="141"/>
      <c r="PZR1" s="141"/>
      <c r="PZS1" s="141"/>
      <c r="PZT1" s="141"/>
      <c r="PZU1" s="141"/>
      <c r="PZV1" s="141"/>
      <c r="PZW1" s="141"/>
      <c r="PZX1" s="141"/>
      <c r="PZY1" s="141"/>
      <c r="PZZ1" s="141"/>
      <c r="QAA1" s="141"/>
      <c r="QAB1" s="141"/>
      <c r="QAC1" s="141"/>
      <c r="QAD1" s="141"/>
      <c r="QAE1" s="141"/>
      <c r="QAF1" s="141"/>
      <c r="QAG1" s="141"/>
      <c r="QAH1" s="141"/>
      <c r="QAI1" s="141"/>
      <c r="QAJ1" s="141"/>
      <c r="QAK1" s="141"/>
      <c r="QAL1" s="141"/>
      <c r="QAM1" s="141"/>
      <c r="QAN1" s="141"/>
      <c r="QAO1" s="141"/>
      <c r="QAP1" s="141"/>
      <c r="QAQ1" s="141"/>
      <c r="QAR1" s="141"/>
      <c r="QAS1" s="141"/>
      <c r="QAT1" s="141"/>
      <c r="QAU1" s="141"/>
      <c r="QAV1" s="141"/>
      <c r="QAW1" s="141"/>
      <c r="QAX1" s="141"/>
      <c r="QAY1" s="141"/>
      <c r="QAZ1" s="141"/>
      <c r="QBA1" s="141"/>
      <c r="QBB1" s="141"/>
      <c r="QBC1" s="141"/>
      <c r="QBD1" s="141"/>
      <c r="QBE1" s="141"/>
      <c r="QBF1" s="141"/>
      <c r="QBG1" s="141"/>
      <c r="QBH1" s="141"/>
      <c r="QBI1" s="141"/>
      <c r="QBJ1" s="141"/>
      <c r="QBK1" s="141"/>
      <c r="QBL1" s="141"/>
      <c r="QBM1" s="141"/>
      <c r="QBN1" s="141"/>
      <c r="QBO1" s="141"/>
      <c r="QBP1" s="141"/>
      <c r="QBQ1" s="141"/>
      <c r="QBR1" s="141"/>
      <c r="QBS1" s="141"/>
      <c r="QBT1" s="141"/>
      <c r="QBU1" s="141"/>
      <c r="QBV1" s="141"/>
      <c r="QBW1" s="141"/>
      <c r="QBX1" s="141"/>
      <c r="QBY1" s="141"/>
      <c r="QBZ1" s="141"/>
      <c r="QCA1" s="141"/>
      <c r="QCB1" s="141"/>
      <c r="QCC1" s="141"/>
      <c r="QCD1" s="141"/>
      <c r="QCE1" s="141"/>
      <c r="QCF1" s="141"/>
      <c r="QCG1" s="141"/>
      <c r="QCH1" s="141"/>
      <c r="QCI1" s="141"/>
      <c r="QCJ1" s="141"/>
      <c r="QCK1" s="141"/>
      <c r="QCL1" s="141"/>
      <c r="QCM1" s="141"/>
      <c r="QCN1" s="141"/>
      <c r="QCO1" s="141"/>
      <c r="QCP1" s="141"/>
      <c r="QCQ1" s="141"/>
      <c r="QCR1" s="141"/>
      <c r="QCS1" s="141"/>
      <c r="QCT1" s="141"/>
      <c r="QCU1" s="141"/>
      <c r="QCV1" s="141"/>
      <c r="QCW1" s="141"/>
      <c r="QCX1" s="141"/>
      <c r="QCY1" s="141"/>
      <c r="QCZ1" s="141"/>
      <c r="QDA1" s="141"/>
      <c r="QDB1" s="141"/>
      <c r="QDC1" s="141"/>
      <c r="QDD1" s="141"/>
      <c r="QDE1" s="141"/>
      <c r="QDF1" s="141"/>
      <c r="QDG1" s="141"/>
      <c r="QDH1" s="141"/>
      <c r="QDI1" s="141"/>
      <c r="QDJ1" s="141"/>
      <c r="QDK1" s="141"/>
      <c r="QDL1" s="141"/>
      <c r="QDM1" s="141"/>
      <c r="QDN1" s="141"/>
      <c r="QDO1" s="141"/>
      <c r="QDP1" s="141"/>
      <c r="QDQ1" s="141"/>
      <c r="QDR1" s="141"/>
      <c r="QDS1" s="141"/>
      <c r="QDT1" s="141"/>
      <c r="QDU1" s="141"/>
      <c r="QDV1" s="141"/>
      <c r="QDW1" s="141"/>
      <c r="QDX1" s="141"/>
      <c r="QDY1" s="141"/>
      <c r="QDZ1" s="141"/>
      <c r="QEA1" s="141"/>
      <c r="QEB1" s="141"/>
      <c r="QEC1" s="141"/>
      <c r="QED1" s="141"/>
      <c r="QEE1" s="141"/>
      <c r="QEF1" s="141"/>
      <c r="QEG1" s="141"/>
      <c r="QEH1" s="141"/>
      <c r="QEI1" s="141"/>
      <c r="QEJ1" s="141"/>
      <c r="QEK1" s="141"/>
      <c r="QEL1" s="141"/>
      <c r="QEM1" s="141"/>
      <c r="QEN1" s="141"/>
      <c r="QEO1" s="141"/>
      <c r="QEP1" s="141"/>
      <c r="QEQ1" s="141"/>
      <c r="QER1" s="141"/>
      <c r="QES1" s="141"/>
      <c r="QET1" s="141"/>
      <c r="QEU1" s="141"/>
      <c r="QEV1" s="141"/>
      <c r="QEW1" s="141"/>
      <c r="QEX1" s="141"/>
      <c r="QEY1" s="141"/>
      <c r="QEZ1" s="141"/>
      <c r="QFA1" s="141"/>
      <c r="QFB1" s="141"/>
      <c r="QFC1" s="141"/>
      <c r="QFD1" s="141"/>
      <c r="QFE1" s="141"/>
      <c r="QFF1" s="141"/>
      <c r="QFG1" s="141"/>
      <c r="QFH1" s="141"/>
      <c r="QFI1" s="141"/>
      <c r="QFJ1" s="141"/>
      <c r="QFK1" s="141"/>
      <c r="QFL1" s="141"/>
      <c r="QFM1" s="141"/>
      <c r="QFN1" s="141"/>
      <c r="QFO1" s="141"/>
      <c r="QFP1" s="141"/>
      <c r="QFQ1" s="141"/>
      <c r="QFR1" s="141"/>
      <c r="QFS1" s="141"/>
      <c r="QFT1" s="141"/>
      <c r="QFU1" s="141"/>
      <c r="QFV1" s="141"/>
      <c r="QFW1" s="141"/>
      <c r="QFX1" s="141"/>
      <c r="QFY1" s="141"/>
      <c r="QFZ1" s="141"/>
      <c r="QGA1" s="141"/>
      <c r="QGB1" s="141"/>
      <c r="QGC1" s="141"/>
      <c r="QGD1" s="141"/>
      <c r="QGE1" s="141"/>
      <c r="QGF1" s="141"/>
      <c r="QGG1" s="141"/>
      <c r="QGH1" s="141"/>
      <c r="QGI1" s="141"/>
      <c r="QGJ1" s="141"/>
      <c r="QGK1" s="141"/>
      <c r="QGL1" s="141"/>
      <c r="QGM1" s="141"/>
      <c r="QGN1" s="141"/>
      <c r="QGO1" s="141"/>
      <c r="QGP1" s="141"/>
      <c r="QGQ1" s="141"/>
      <c r="QGR1" s="141"/>
      <c r="QGS1" s="141"/>
      <c r="QGT1" s="141"/>
      <c r="QGU1" s="141"/>
      <c r="QGV1" s="141"/>
      <c r="QGW1" s="141"/>
      <c r="QGX1" s="141"/>
      <c r="QGY1" s="141"/>
      <c r="QGZ1" s="141"/>
      <c r="QHA1" s="141"/>
      <c r="QHB1" s="141"/>
      <c r="QHC1" s="141"/>
      <c r="QHD1" s="141"/>
      <c r="QHE1" s="141"/>
      <c r="QHF1" s="141"/>
      <c r="QHG1" s="141"/>
      <c r="QHH1" s="141"/>
      <c r="QHI1" s="141"/>
      <c r="QHJ1" s="141"/>
      <c r="QHK1" s="141"/>
      <c r="QHL1" s="141"/>
      <c r="QHM1" s="141"/>
      <c r="QHN1" s="141"/>
      <c r="QHO1" s="141"/>
      <c r="QHP1" s="141"/>
      <c r="QHQ1" s="141"/>
      <c r="QHR1" s="141"/>
      <c r="QHS1" s="141"/>
      <c r="QHT1" s="141"/>
      <c r="QHU1" s="141"/>
      <c r="QHV1" s="141"/>
      <c r="QHW1" s="141"/>
      <c r="QHX1" s="141"/>
      <c r="QHY1" s="141"/>
      <c r="QHZ1" s="141"/>
      <c r="QIA1" s="141"/>
      <c r="QIB1" s="141"/>
      <c r="QIC1" s="141"/>
      <c r="QID1" s="141"/>
      <c r="QIE1" s="141"/>
      <c r="QIF1" s="141"/>
      <c r="QIG1" s="141"/>
      <c r="QIH1" s="141"/>
      <c r="QII1" s="141"/>
      <c r="QIJ1" s="141"/>
      <c r="QIK1" s="141"/>
      <c r="QIL1" s="141"/>
      <c r="QIM1" s="141"/>
      <c r="QIN1" s="141"/>
      <c r="QIO1" s="141"/>
      <c r="QIP1" s="141"/>
      <c r="QIQ1" s="141"/>
      <c r="QIR1" s="141"/>
      <c r="QIS1" s="141"/>
      <c r="QIT1" s="141"/>
      <c r="QIU1" s="141"/>
      <c r="QIV1" s="141"/>
      <c r="QIW1" s="141"/>
      <c r="QIX1" s="141"/>
      <c r="QIY1" s="141"/>
      <c r="QIZ1" s="141"/>
      <c r="QJA1" s="141"/>
      <c r="QJB1" s="141"/>
      <c r="QJC1" s="141"/>
      <c r="QJD1" s="141"/>
      <c r="QJE1" s="141"/>
      <c r="QJF1" s="141"/>
      <c r="QJG1" s="141"/>
      <c r="QJH1" s="141"/>
      <c r="QJI1" s="141"/>
      <c r="QJJ1" s="141"/>
      <c r="QJK1" s="141"/>
      <c r="QJL1" s="141"/>
      <c r="QJM1" s="141"/>
      <c r="QJN1" s="141"/>
      <c r="QJO1" s="141"/>
      <c r="QJP1" s="141"/>
      <c r="QJQ1" s="141"/>
      <c r="QJR1" s="141"/>
      <c r="QJS1" s="141"/>
      <c r="QJT1" s="141"/>
      <c r="QJU1" s="141"/>
      <c r="QJV1" s="141"/>
      <c r="QJW1" s="141"/>
      <c r="QJX1" s="141"/>
      <c r="QJY1" s="141"/>
      <c r="QJZ1" s="141"/>
      <c r="QKA1" s="141"/>
      <c r="QKB1" s="141"/>
      <c r="QKC1" s="141"/>
      <c r="QKD1" s="141"/>
      <c r="QKE1" s="141"/>
      <c r="QKF1" s="141"/>
      <c r="QKG1" s="141"/>
      <c r="QKH1" s="141"/>
      <c r="QKI1" s="141"/>
      <c r="QKJ1" s="141"/>
      <c r="QKK1" s="141"/>
      <c r="QKL1" s="141"/>
      <c r="QKM1" s="141"/>
      <c r="QKN1" s="141"/>
      <c r="QKO1" s="141"/>
      <c r="QKP1" s="141"/>
      <c r="QKQ1" s="141"/>
      <c r="QKR1" s="141"/>
      <c r="QKS1" s="141"/>
      <c r="QKT1" s="141"/>
      <c r="QKU1" s="141"/>
      <c r="QKV1" s="141"/>
      <c r="QKW1" s="141"/>
      <c r="QKX1" s="141"/>
      <c r="QKY1" s="141"/>
      <c r="QKZ1" s="141"/>
      <c r="QLA1" s="141"/>
      <c r="QLB1" s="141"/>
      <c r="QLC1" s="141"/>
      <c r="QLD1" s="141"/>
      <c r="QLE1" s="141"/>
      <c r="QLF1" s="141"/>
      <c r="QLG1" s="141"/>
      <c r="QLH1" s="141"/>
      <c r="QLI1" s="141"/>
      <c r="QLJ1" s="141"/>
      <c r="QLK1" s="141"/>
      <c r="QLL1" s="141"/>
      <c r="QLM1" s="141"/>
      <c r="QLN1" s="141"/>
      <c r="QLO1" s="141"/>
      <c r="QLP1" s="141"/>
      <c r="QLQ1" s="141"/>
      <c r="QLR1" s="141"/>
      <c r="QLS1" s="141"/>
      <c r="QLT1" s="141"/>
      <c r="QLU1" s="141"/>
      <c r="QLV1" s="141"/>
      <c r="QLW1" s="141"/>
      <c r="QLX1" s="141"/>
      <c r="QLY1" s="141"/>
      <c r="QLZ1" s="141"/>
      <c r="QMA1" s="141"/>
      <c r="QMB1" s="141"/>
      <c r="QMC1" s="141"/>
      <c r="QMD1" s="141"/>
      <c r="QME1" s="141"/>
      <c r="QMF1" s="141"/>
      <c r="QMG1" s="141"/>
      <c r="QMH1" s="141"/>
      <c r="QMI1" s="141"/>
      <c r="QMJ1" s="141"/>
      <c r="QMK1" s="141"/>
      <c r="QML1" s="141"/>
      <c r="QMM1" s="141"/>
      <c r="QMN1" s="141"/>
      <c r="QMO1" s="141"/>
      <c r="QMP1" s="141"/>
      <c r="QMQ1" s="141"/>
      <c r="QMR1" s="141"/>
      <c r="QMS1" s="141"/>
      <c r="QMT1" s="141"/>
      <c r="QMU1" s="141"/>
      <c r="QMV1" s="141"/>
      <c r="QMW1" s="141"/>
      <c r="QMX1" s="141"/>
      <c r="QMY1" s="141"/>
      <c r="QMZ1" s="141"/>
      <c r="QNA1" s="141"/>
      <c r="QNB1" s="141"/>
      <c r="QNC1" s="141"/>
      <c r="QND1" s="141"/>
      <c r="QNE1" s="141"/>
      <c r="QNF1" s="141"/>
      <c r="QNG1" s="141"/>
      <c r="QNH1" s="141"/>
      <c r="QNI1" s="141"/>
      <c r="QNJ1" s="141"/>
      <c r="QNK1" s="141"/>
      <c r="QNL1" s="141"/>
      <c r="QNM1" s="141"/>
      <c r="QNN1" s="141"/>
      <c r="QNO1" s="141"/>
      <c r="QNP1" s="141"/>
      <c r="QNQ1" s="141"/>
      <c r="QNR1" s="141"/>
      <c r="QNS1" s="141"/>
      <c r="QNT1" s="141"/>
      <c r="QNU1" s="141"/>
      <c r="QNV1" s="141"/>
      <c r="QNW1" s="141"/>
      <c r="QNX1" s="141"/>
      <c r="QNY1" s="141"/>
      <c r="QNZ1" s="141"/>
      <c r="QOA1" s="141"/>
      <c r="QOB1" s="141"/>
      <c r="QOC1" s="141"/>
      <c r="QOD1" s="141"/>
      <c r="QOE1" s="141"/>
      <c r="QOF1" s="141"/>
      <c r="QOG1" s="141"/>
      <c r="QOH1" s="141"/>
      <c r="QOI1" s="141"/>
      <c r="QOJ1" s="141"/>
      <c r="QOK1" s="141"/>
      <c r="QOL1" s="141"/>
      <c r="QOM1" s="141"/>
      <c r="QON1" s="141"/>
      <c r="QOO1" s="141"/>
      <c r="QOP1" s="141"/>
      <c r="QOQ1" s="141"/>
      <c r="QOR1" s="141"/>
      <c r="QOS1" s="141"/>
      <c r="QOT1" s="141"/>
      <c r="QOU1" s="141"/>
      <c r="QOV1" s="141"/>
      <c r="QOW1" s="141"/>
      <c r="QOX1" s="141"/>
      <c r="QOY1" s="141"/>
      <c r="QOZ1" s="141"/>
      <c r="QPA1" s="141"/>
      <c r="QPB1" s="141"/>
      <c r="QPC1" s="141"/>
      <c r="QPD1" s="141"/>
      <c r="QPE1" s="141"/>
      <c r="QPF1" s="141"/>
      <c r="QPG1" s="141"/>
      <c r="QPH1" s="141"/>
      <c r="QPI1" s="141"/>
      <c r="QPJ1" s="141"/>
      <c r="QPK1" s="141"/>
      <c r="QPL1" s="141"/>
      <c r="QPM1" s="141"/>
      <c r="QPN1" s="141"/>
      <c r="QPO1" s="141"/>
      <c r="QPP1" s="141"/>
      <c r="QPQ1" s="141"/>
      <c r="QPR1" s="141"/>
      <c r="QPS1" s="141"/>
      <c r="QPT1" s="141"/>
      <c r="QPU1" s="141"/>
      <c r="QPV1" s="141"/>
      <c r="QPW1" s="141"/>
      <c r="QPX1" s="141"/>
      <c r="QPY1" s="141"/>
      <c r="QPZ1" s="141"/>
      <c r="QQA1" s="141"/>
      <c r="QQB1" s="141"/>
      <c r="QQC1" s="141"/>
      <c r="QQD1" s="141"/>
      <c r="QQE1" s="141"/>
      <c r="QQF1" s="141"/>
      <c r="QQG1" s="141"/>
      <c r="QQH1" s="141"/>
      <c r="QQI1" s="141"/>
      <c r="QQJ1" s="141"/>
      <c r="QQK1" s="141"/>
      <c r="QQL1" s="141"/>
      <c r="QQM1" s="141"/>
      <c r="QQN1" s="141"/>
      <c r="QQO1" s="141"/>
      <c r="QQP1" s="141"/>
      <c r="QQQ1" s="141"/>
      <c r="QQR1" s="141"/>
      <c r="QQS1" s="141"/>
      <c r="QQT1" s="141"/>
      <c r="QQU1" s="141"/>
      <c r="QQV1" s="141"/>
      <c r="QQW1" s="141"/>
      <c r="QQX1" s="141"/>
      <c r="QQY1" s="141"/>
      <c r="QQZ1" s="141"/>
      <c r="QRA1" s="141"/>
      <c r="QRB1" s="141"/>
      <c r="QRC1" s="141"/>
      <c r="QRD1" s="141"/>
      <c r="QRE1" s="141"/>
      <c r="QRF1" s="141"/>
      <c r="QRG1" s="141"/>
      <c r="QRH1" s="141"/>
      <c r="QRI1" s="141"/>
      <c r="QRJ1" s="141"/>
      <c r="QRK1" s="141"/>
      <c r="QRL1" s="141"/>
      <c r="QRM1" s="141"/>
      <c r="QRN1" s="141"/>
      <c r="QRO1" s="141"/>
      <c r="QRP1" s="141"/>
      <c r="QRQ1" s="141"/>
      <c r="QRR1" s="141"/>
      <c r="QRS1" s="141"/>
      <c r="QRT1" s="141"/>
      <c r="QRU1" s="141"/>
      <c r="QRV1" s="141"/>
      <c r="QRW1" s="141"/>
      <c r="QRX1" s="141"/>
      <c r="QRY1" s="141"/>
      <c r="QRZ1" s="141"/>
      <c r="QSA1" s="141"/>
      <c r="QSB1" s="141"/>
      <c r="QSC1" s="141"/>
      <c r="QSD1" s="141"/>
      <c r="QSE1" s="141"/>
      <c r="QSF1" s="141"/>
      <c r="QSG1" s="141"/>
      <c r="QSH1" s="141"/>
      <c r="QSI1" s="141"/>
      <c r="QSJ1" s="141"/>
      <c r="QSK1" s="141"/>
      <c r="QSL1" s="141"/>
      <c r="QSM1" s="141"/>
      <c r="QSN1" s="141"/>
      <c r="QSO1" s="141"/>
      <c r="QSP1" s="141"/>
      <c r="QSQ1" s="141"/>
      <c r="QSR1" s="141"/>
      <c r="QSS1" s="141"/>
      <c r="QST1" s="141"/>
      <c r="QSU1" s="141"/>
      <c r="QSV1" s="141"/>
      <c r="QSW1" s="141"/>
      <c r="QSX1" s="141"/>
      <c r="QSY1" s="141"/>
      <c r="QSZ1" s="141"/>
      <c r="QTA1" s="141"/>
      <c r="QTB1" s="141"/>
      <c r="QTC1" s="141"/>
      <c r="QTD1" s="141"/>
      <c r="QTE1" s="141"/>
      <c r="QTF1" s="141"/>
      <c r="QTG1" s="141"/>
      <c r="QTH1" s="141"/>
      <c r="QTI1" s="141"/>
      <c r="QTJ1" s="141"/>
      <c r="QTK1" s="141"/>
      <c r="QTL1" s="141"/>
      <c r="QTM1" s="141"/>
      <c r="QTN1" s="141"/>
      <c r="QTO1" s="141"/>
      <c r="QTP1" s="141"/>
      <c r="QTQ1" s="141"/>
      <c r="QTR1" s="141"/>
      <c r="QTS1" s="141"/>
      <c r="QTT1" s="141"/>
      <c r="QTU1" s="141"/>
      <c r="QTV1" s="141"/>
      <c r="QTW1" s="141"/>
      <c r="QTX1" s="141"/>
      <c r="QTY1" s="141"/>
      <c r="QTZ1" s="141"/>
      <c r="QUA1" s="141"/>
      <c r="QUB1" s="141"/>
      <c r="QUC1" s="141"/>
      <c r="QUD1" s="141"/>
      <c r="QUE1" s="141"/>
      <c r="QUF1" s="141"/>
      <c r="QUG1" s="141"/>
      <c r="QUH1" s="141"/>
      <c r="QUI1" s="141"/>
      <c r="QUJ1" s="141"/>
      <c r="QUK1" s="141"/>
      <c r="QUL1" s="141"/>
      <c r="QUM1" s="141"/>
      <c r="QUN1" s="141"/>
      <c r="QUO1" s="141"/>
      <c r="QUP1" s="141"/>
      <c r="QUQ1" s="141"/>
      <c r="QUR1" s="141"/>
      <c r="QUS1" s="141"/>
      <c r="QUT1" s="141"/>
      <c r="QUU1" s="141"/>
      <c r="QUV1" s="141"/>
      <c r="QUW1" s="141"/>
      <c r="QUX1" s="141"/>
      <c r="QUY1" s="141"/>
      <c r="QUZ1" s="141"/>
      <c r="QVA1" s="141"/>
      <c r="QVB1" s="141"/>
      <c r="QVC1" s="141"/>
      <c r="QVD1" s="141"/>
      <c r="QVE1" s="141"/>
      <c r="QVF1" s="141"/>
      <c r="QVG1" s="141"/>
      <c r="QVH1" s="141"/>
      <c r="QVI1" s="141"/>
      <c r="QVJ1" s="141"/>
      <c r="QVK1" s="141"/>
      <c r="QVL1" s="141"/>
      <c r="QVM1" s="141"/>
      <c r="QVN1" s="141"/>
      <c r="QVO1" s="141"/>
      <c r="QVP1" s="141"/>
      <c r="QVQ1" s="141"/>
      <c r="QVR1" s="141"/>
      <c r="QVS1" s="141"/>
      <c r="QVT1" s="141"/>
      <c r="QVU1" s="141"/>
      <c r="QVV1" s="141"/>
      <c r="QVW1" s="141"/>
      <c r="QVX1" s="141"/>
      <c r="QVY1" s="141"/>
      <c r="QVZ1" s="141"/>
      <c r="QWA1" s="141"/>
      <c r="QWB1" s="141"/>
      <c r="QWC1" s="141"/>
      <c r="QWD1" s="141"/>
      <c r="QWE1" s="141"/>
      <c r="QWF1" s="141"/>
      <c r="QWG1" s="141"/>
      <c r="QWH1" s="141"/>
      <c r="QWI1" s="141"/>
      <c r="QWJ1" s="141"/>
      <c r="QWK1" s="141"/>
      <c r="QWL1" s="141"/>
      <c r="QWM1" s="141"/>
      <c r="QWN1" s="141"/>
      <c r="QWO1" s="141"/>
      <c r="QWP1" s="141"/>
      <c r="QWQ1" s="141"/>
      <c r="QWR1" s="141"/>
      <c r="QWS1" s="141"/>
      <c r="QWT1" s="141"/>
      <c r="QWU1" s="141"/>
      <c r="QWV1" s="141"/>
      <c r="QWW1" s="141"/>
      <c r="QWX1" s="141"/>
      <c r="QWY1" s="141"/>
      <c r="QWZ1" s="141"/>
      <c r="QXA1" s="141"/>
      <c r="QXB1" s="141"/>
      <c r="QXC1" s="141"/>
      <c r="QXD1" s="141"/>
      <c r="QXE1" s="141"/>
      <c r="QXF1" s="141"/>
      <c r="QXG1" s="141"/>
      <c r="QXH1" s="141"/>
      <c r="QXI1" s="141"/>
      <c r="QXJ1" s="141"/>
      <c r="QXK1" s="141"/>
      <c r="QXL1" s="141"/>
      <c r="QXM1" s="141"/>
      <c r="QXN1" s="141"/>
      <c r="QXO1" s="141"/>
      <c r="QXP1" s="141"/>
      <c r="QXQ1" s="141"/>
      <c r="QXR1" s="141"/>
      <c r="QXS1" s="141"/>
      <c r="QXT1" s="141"/>
      <c r="QXU1" s="141"/>
      <c r="QXV1" s="141"/>
      <c r="QXW1" s="141"/>
      <c r="QXX1" s="141"/>
      <c r="QXY1" s="141"/>
      <c r="QXZ1" s="141"/>
      <c r="QYA1" s="141"/>
      <c r="QYB1" s="141"/>
      <c r="QYC1" s="141"/>
      <c r="QYD1" s="141"/>
      <c r="QYE1" s="141"/>
      <c r="QYF1" s="141"/>
      <c r="QYG1" s="141"/>
      <c r="QYH1" s="141"/>
      <c r="QYI1" s="141"/>
      <c r="QYJ1" s="141"/>
      <c r="QYK1" s="141"/>
      <c r="QYL1" s="141"/>
      <c r="QYM1" s="141"/>
      <c r="QYN1" s="141"/>
      <c r="QYO1" s="141"/>
      <c r="QYP1" s="141"/>
      <c r="QYQ1" s="141"/>
      <c r="QYR1" s="141"/>
      <c r="QYS1" s="141"/>
      <c r="QYT1" s="141"/>
      <c r="QYU1" s="141"/>
      <c r="QYV1" s="141"/>
      <c r="QYW1" s="141"/>
      <c r="QYX1" s="141"/>
      <c r="QYY1" s="141"/>
      <c r="QYZ1" s="141"/>
      <c r="QZA1" s="141"/>
      <c r="QZB1" s="141"/>
      <c r="QZC1" s="141"/>
      <c r="QZD1" s="141"/>
      <c r="QZE1" s="141"/>
      <c r="QZF1" s="141"/>
      <c r="QZG1" s="141"/>
      <c r="QZH1" s="141"/>
      <c r="QZI1" s="141"/>
      <c r="QZJ1" s="141"/>
      <c r="QZK1" s="141"/>
      <c r="QZL1" s="141"/>
      <c r="QZM1" s="141"/>
      <c r="QZN1" s="141"/>
      <c r="QZO1" s="141"/>
      <c r="QZP1" s="141"/>
      <c r="QZQ1" s="141"/>
      <c r="QZR1" s="141"/>
      <c r="QZS1" s="141"/>
      <c r="QZT1" s="141"/>
      <c r="QZU1" s="141"/>
      <c r="QZV1" s="141"/>
      <c r="QZW1" s="141"/>
      <c r="QZX1" s="141"/>
      <c r="QZY1" s="141"/>
      <c r="QZZ1" s="141"/>
      <c r="RAA1" s="141"/>
      <c r="RAB1" s="141"/>
      <c r="RAC1" s="141"/>
      <c r="RAD1" s="141"/>
      <c r="RAE1" s="141"/>
      <c r="RAF1" s="141"/>
      <c r="RAG1" s="141"/>
      <c r="RAH1" s="141"/>
      <c r="RAI1" s="141"/>
      <c r="RAJ1" s="141"/>
      <c r="RAK1" s="141"/>
      <c r="RAL1" s="141"/>
      <c r="RAM1" s="141"/>
      <c r="RAN1" s="141"/>
      <c r="RAO1" s="141"/>
      <c r="RAP1" s="141"/>
      <c r="RAQ1" s="141"/>
      <c r="RAR1" s="141"/>
      <c r="RAS1" s="141"/>
      <c r="RAT1" s="141"/>
      <c r="RAU1" s="141"/>
      <c r="RAV1" s="141"/>
      <c r="RAW1" s="141"/>
      <c r="RAX1" s="141"/>
      <c r="RAY1" s="141"/>
      <c r="RAZ1" s="141"/>
      <c r="RBA1" s="141"/>
      <c r="RBB1" s="141"/>
      <c r="RBC1" s="141"/>
      <c r="RBD1" s="141"/>
      <c r="RBE1" s="141"/>
      <c r="RBF1" s="141"/>
      <c r="RBG1" s="141"/>
      <c r="RBH1" s="141"/>
      <c r="RBI1" s="141"/>
      <c r="RBJ1" s="141"/>
      <c r="RBK1" s="141"/>
      <c r="RBL1" s="141"/>
      <c r="RBM1" s="141"/>
      <c r="RBN1" s="141"/>
      <c r="RBO1" s="141"/>
      <c r="RBP1" s="141"/>
      <c r="RBQ1" s="141"/>
      <c r="RBR1" s="141"/>
      <c r="RBS1" s="141"/>
      <c r="RBT1" s="141"/>
      <c r="RBU1" s="141"/>
      <c r="RBV1" s="141"/>
      <c r="RBW1" s="141"/>
      <c r="RBX1" s="141"/>
      <c r="RBY1" s="141"/>
      <c r="RBZ1" s="141"/>
      <c r="RCA1" s="141"/>
      <c r="RCB1" s="141"/>
      <c r="RCC1" s="141"/>
      <c r="RCD1" s="141"/>
      <c r="RCE1" s="141"/>
      <c r="RCF1" s="141"/>
      <c r="RCG1" s="141"/>
      <c r="RCH1" s="141"/>
      <c r="RCI1" s="141"/>
      <c r="RCJ1" s="141"/>
      <c r="RCK1" s="141"/>
      <c r="RCL1" s="141"/>
      <c r="RCM1" s="141"/>
      <c r="RCN1" s="141"/>
      <c r="RCO1" s="141"/>
      <c r="RCP1" s="141"/>
      <c r="RCQ1" s="141"/>
      <c r="RCR1" s="141"/>
      <c r="RCS1" s="141"/>
      <c r="RCT1" s="141"/>
      <c r="RCU1" s="141"/>
      <c r="RCV1" s="141"/>
      <c r="RCW1" s="141"/>
      <c r="RCX1" s="141"/>
      <c r="RCY1" s="141"/>
      <c r="RCZ1" s="141"/>
      <c r="RDA1" s="141"/>
      <c r="RDB1" s="141"/>
      <c r="RDC1" s="141"/>
      <c r="RDD1" s="141"/>
      <c r="RDE1" s="141"/>
      <c r="RDF1" s="141"/>
      <c r="RDG1" s="141"/>
      <c r="RDH1" s="141"/>
      <c r="RDI1" s="141"/>
      <c r="RDJ1" s="141"/>
      <c r="RDK1" s="141"/>
      <c r="RDL1" s="141"/>
      <c r="RDM1" s="141"/>
      <c r="RDN1" s="141"/>
      <c r="RDO1" s="141"/>
      <c r="RDP1" s="141"/>
      <c r="RDQ1" s="141"/>
      <c r="RDR1" s="141"/>
      <c r="RDS1" s="141"/>
      <c r="RDT1" s="141"/>
      <c r="RDU1" s="141"/>
      <c r="RDV1" s="141"/>
      <c r="RDW1" s="141"/>
      <c r="RDX1" s="141"/>
      <c r="RDY1" s="141"/>
      <c r="RDZ1" s="141"/>
      <c r="REA1" s="141"/>
      <c r="REB1" s="141"/>
      <c r="REC1" s="141"/>
      <c r="RED1" s="141"/>
      <c r="REE1" s="141"/>
      <c r="REF1" s="141"/>
      <c r="REG1" s="141"/>
      <c r="REH1" s="141"/>
      <c r="REI1" s="141"/>
      <c r="REJ1" s="141"/>
      <c r="REK1" s="141"/>
      <c r="REL1" s="141"/>
      <c r="REM1" s="141"/>
      <c r="REN1" s="141"/>
      <c r="REO1" s="141"/>
      <c r="REP1" s="141"/>
      <c r="REQ1" s="141"/>
      <c r="RER1" s="141"/>
      <c r="RES1" s="141"/>
      <c r="RET1" s="141"/>
      <c r="REU1" s="141"/>
      <c r="REV1" s="141"/>
      <c r="REW1" s="141"/>
      <c r="REX1" s="141"/>
      <c r="REY1" s="141"/>
      <c r="REZ1" s="141"/>
      <c r="RFA1" s="141"/>
      <c r="RFB1" s="141"/>
      <c r="RFC1" s="141"/>
      <c r="RFD1" s="141"/>
      <c r="RFE1" s="141"/>
      <c r="RFF1" s="141"/>
      <c r="RFG1" s="141"/>
      <c r="RFH1" s="141"/>
      <c r="RFI1" s="141"/>
      <c r="RFJ1" s="141"/>
      <c r="RFK1" s="141"/>
      <c r="RFL1" s="141"/>
      <c r="RFM1" s="141"/>
      <c r="RFN1" s="141"/>
      <c r="RFO1" s="141"/>
      <c r="RFP1" s="141"/>
      <c r="RFQ1" s="141"/>
      <c r="RFR1" s="141"/>
      <c r="RFS1" s="141"/>
      <c r="RFT1" s="141"/>
      <c r="RFU1" s="141"/>
      <c r="RFV1" s="141"/>
      <c r="RFW1" s="141"/>
      <c r="RFX1" s="141"/>
      <c r="RFY1" s="141"/>
      <c r="RFZ1" s="141"/>
      <c r="RGA1" s="141"/>
      <c r="RGB1" s="141"/>
      <c r="RGC1" s="141"/>
      <c r="RGD1" s="141"/>
      <c r="RGE1" s="141"/>
      <c r="RGF1" s="141"/>
      <c r="RGG1" s="141"/>
      <c r="RGH1" s="141"/>
      <c r="RGI1" s="141"/>
      <c r="RGJ1" s="141"/>
      <c r="RGK1" s="141"/>
      <c r="RGL1" s="141"/>
      <c r="RGM1" s="141"/>
      <c r="RGN1" s="141"/>
      <c r="RGO1" s="141"/>
      <c r="RGP1" s="141"/>
      <c r="RGQ1" s="141"/>
      <c r="RGR1" s="141"/>
      <c r="RGS1" s="141"/>
      <c r="RGT1" s="141"/>
      <c r="RGU1" s="141"/>
      <c r="RGV1" s="141"/>
      <c r="RGW1" s="141"/>
      <c r="RGX1" s="141"/>
      <c r="RGY1" s="141"/>
      <c r="RGZ1" s="141"/>
      <c r="RHA1" s="141"/>
      <c r="RHB1" s="141"/>
      <c r="RHC1" s="141"/>
      <c r="RHD1" s="141"/>
      <c r="RHE1" s="141"/>
      <c r="RHF1" s="141"/>
      <c r="RHG1" s="141"/>
      <c r="RHH1" s="141"/>
      <c r="RHI1" s="141"/>
      <c r="RHJ1" s="141"/>
      <c r="RHK1" s="141"/>
      <c r="RHL1" s="141"/>
      <c r="RHM1" s="141"/>
      <c r="RHN1" s="141"/>
      <c r="RHO1" s="141"/>
      <c r="RHP1" s="141"/>
      <c r="RHQ1" s="141"/>
      <c r="RHR1" s="141"/>
      <c r="RHS1" s="141"/>
      <c r="RHT1" s="141"/>
      <c r="RHU1" s="141"/>
      <c r="RHV1" s="141"/>
      <c r="RHW1" s="141"/>
      <c r="RHX1" s="141"/>
      <c r="RHY1" s="141"/>
      <c r="RHZ1" s="141"/>
      <c r="RIA1" s="141"/>
      <c r="RIB1" s="141"/>
      <c r="RIC1" s="141"/>
      <c r="RID1" s="141"/>
      <c r="RIE1" s="141"/>
      <c r="RIF1" s="141"/>
      <c r="RIG1" s="141"/>
      <c r="RIH1" s="141"/>
      <c r="RII1" s="141"/>
      <c r="RIJ1" s="141"/>
      <c r="RIK1" s="141"/>
      <c r="RIL1" s="141"/>
      <c r="RIM1" s="141"/>
      <c r="RIN1" s="141"/>
      <c r="RIO1" s="141"/>
      <c r="RIP1" s="141"/>
      <c r="RIQ1" s="141"/>
      <c r="RIR1" s="141"/>
      <c r="RIS1" s="141"/>
      <c r="RIT1" s="141"/>
      <c r="RIU1" s="141"/>
      <c r="RIV1" s="141"/>
      <c r="RIW1" s="141"/>
      <c r="RIX1" s="141"/>
      <c r="RIY1" s="141"/>
      <c r="RIZ1" s="141"/>
      <c r="RJA1" s="141"/>
      <c r="RJB1" s="141"/>
      <c r="RJC1" s="141"/>
      <c r="RJD1" s="141"/>
      <c r="RJE1" s="141"/>
      <c r="RJF1" s="141"/>
      <c r="RJG1" s="141"/>
      <c r="RJH1" s="141"/>
      <c r="RJI1" s="141"/>
      <c r="RJJ1" s="141"/>
      <c r="RJK1" s="141"/>
      <c r="RJL1" s="141"/>
      <c r="RJM1" s="141"/>
      <c r="RJN1" s="141"/>
      <c r="RJO1" s="141"/>
      <c r="RJP1" s="141"/>
      <c r="RJQ1" s="141"/>
      <c r="RJR1" s="141"/>
      <c r="RJS1" s="141"/>
      <c r="RJT1" s="141"/>
      <c r="RJU1" s="141"/>
      <c r="RJV1" s="141"/>
      <c r="RJW1" s="141"/>
      <c r="RJX1" s="141"/>
      <c r="RJY1" s="141"/>
      <c r="RJZ1" s="141"/>
      <c r="RKA1" s="141"/>
      <c r="RKB1" s="141"/>
      <c r="RKC1" s="141"/>
      <c r="RKD1" s="141"/>
      <c r="RKE1" s="141"/>
      <c r="RKF1" s="141"/>
      <c r="RKG1" s="141"/>
      <c r="RKH1" s="141"/>
      <c r="RKI1" s="141"/>
      <c r="RKJ1" s="141"/>
      <c r="RKK1" s="141"/>
      <c r="RKL1" s="141"/>
      <c r="RKM1" s="141"/>
      <c r="RKN1" s="141"/>
      <c r="RKO1" s="141"/>
      <c r="RKP1" s="141"/>
      <c r="RKQ1" s="141"/>
      <c r="RKR1" s="141"/>
      <c r="RKS1" s="141"/>
      <c r="RKT1" s="141"/>
      <c r="RKU1" s="141"/>
      <c r="RKV1" s="141"/>
      <c r="RKW1" s="141"/>
      <c r="RKX1" s="141"/>
      <c r="RKY1" s="141"/>
      <c r="RKZ1" s="141"/>
      <c r="RLA1" s="141"/>
      <c r="RLB1" s="141"/>
      <c r="RLC1" s="141"/>
      <c r="RLD1" s="141"/>
      <c r="RLE1" s="141"/>
      <c r="RLF1" s="141"/>
      <c r="RLG1" s="141"/>
      <c r="RLH1" s="141"/>
      <c r="RLI1" s="141"/>
      <c r="RLJ1" s="141"/>
      <c r="RLK1" s="141"/>
      <c r="RLL1" s="141"/>
      <c r="RLM1" s="141"/>
      <c r="RLN1" s="141"/>
      <c r="RLO1" s="141"/>
      <c r="RLP1" s="141"/>
      <c r="RLQ1" s="141"/>
      <c r="RLR1" s="141"/>
      <c r="RLS1" s="141"/>
      <c r="RLT1" s="141"/>
      <c r="RLU1" s="141"/>
      <c r="RLV1" s="141"/>
      <c r="RLW1" s="141"/>
      <c r="RLX1" s="141"/>
      <c r="RLY1" s="141"/>
      <c r="RLZ1" s="141"/>
      <c r="RMA1" s="141"/>
      <c r="RMB1" s="141"/>
      <c r="RMC1" s="141"/>
      <c r="RMD1" s="141"/>
      <c r="RME1" s="141"/>
      <c r="RMF1" s="141"/>
      <c r="RMG1" s="141"/>
      <c r="RMH1" s="141"/>
      <c r="RMI1" s="141"/>
      <c r="RMJ1" s="141"/>
      <c r="RMK1" s="141"/>
      <c r="RML1" s="141"/>
      <c r="RMM1" s="141"/>
      <c r="RMN1" s="141"/>
      <c r="RMO1" s="141"/>
      <c r="RMP1" s="141"/>
      <c r="RMQ1" s="141"/>
      <c r="RMR1" s="141"/>
      <c r="RMS1" s="141"/>
      <c r="RMT1" s="141"/>
      <c r="RMU1" s="141"/>
      <c r="RMV1" s="141"/>
      <c r="RMW1" s="141"/>
      <c r="RMX1" s="141"/>
      <c r="RMY1" s="141"/>
      <c r="RMZ1" s="141"/>
      <c r="RNA1" s="141"/>
      <c r="RNB1" s="141"/>
      <c r="RNC1" s="141"/>
      <c r="RND1" s="141"/>
      <c r="RNE1" s="141"/>
      <c r="RNF1" s="141"/>
      <c r="RNG1" s="141"/>
      <c r="RNH1" s="141"/>
      <c r="RNI1" s="141"/>
      <c r="RNJ1" s="141"/>
      <c r="RNK1" s="141"/>
      <c r="RNL1" s="141"/>
      <c r="RNM1" s="141"/>
      <c r="RNN1" s="141"/>
      <c r="RNO1" s="141"/>
      <c r="RNP1" s="141"/>
      <c r="RNQ1" s="141"/>
      <c r="RNR1" s="141"/>
      <c r="RNS1" s="141"/>
      <c r="RNT1" s="141"/>
      <c r="RNU1" s="141"/>
      <c r="RNV1" s="141"/>
      <c r="RNW1" s="141"/>
      <c r="RNX1" s="141"/>
      <c r="RNY1" s="141"/>
      <c r="RNZ1" s="141"/>
      <c r="ROA1" s="141"/>
      <c r="ROB1" s="141"/>
      <c r="ROC1" s="141"/>
      <c r="ROD1" s="141"/>
      <c r="ROE1" s="141"/>
      <c r="ROF1" s="141"/>
      <c r="ROG1" s="141"/>
      <c r="ROH1" s="141"/>
      <c r="ROI1" s="141"/>
      <c r="ROJ1" s="141"/>
      <c r="ROK1" s="141"/>
      <c r="ROL1" s="141"/>
      <c r="ROM1" s="141"/>
      <c r="RON1" s="141"/>
      <c r="ROO1" s="141"/>
      <c r="ROP1" s="141"/>
      <c r="ROQ1" s="141"/>
      <c r="ROR1" s="141"/>
      <c r="ROS1" s="141"/>
      <c r="ROT1" s="141"/>
      <c r="ROU1" s="141"/>
      <c r="ROV1" s="141"/>
      <c r="ROW1" s="141"/>
      <c r="ROX1" s="141"/>
      <c r="ROY1" s="141"/>
      <c r="ROZ1" s="141"/>
      <c r="RPA1" s="141"/>
      <c r="RPB1" s="141"/>
      <c r="RPC1" s="141"/>
      <c r="RPD1" s="141"/>
      <c r="RPE1" s="141"/>
      <c r="RPF1" s="141"/>
      <c r="RPG1" s="141"/>
      <c r="RPH1" s="141"/>
      <c r="RPI1" s="141"/>
      <c r="RPJ1" s="141"/>
      <c r="RPK1" s="141"/>
      <c r="RPL1" s="141"/>
      <c r="RPM1" s="141"/>
      <c r="RPN1" s="141"/>
      <c r="RPO1" s="141"/>
      <c r="RPP1" s="141"/>
      <c r="RPQ1" s="141"/>
      <c r="RPR1" s="141"/>
      <c r="RPS1" s="141"/>
      <c r="RPT1" s="141"/>
      <c r="RPU1" s="141"/>
      <c r="RPV1" s="141"/>
      <c r="RPW1" s="141"/>
      <c r="RPX1" s="141"/>
      <c r="RPY1" s="141"/>
      <c r="RPZ1" s="141"/>
      <c r="RQA1" s="141"/>
      <c r="RQB1" s="141"/>
      <c r="RQC1" s="141"/>
      <c r="RQD1" s="141"/>
      <c r="RQE1" s="141"/>
      <c r="RQF1" s="141"/>
      <c r="RQG1" s="141"/>
      <c r="RQH1" s="141"/>
      <c r="RQI1" s="141"/>
      <c r="RQJ1" s="141"/>
      <c r="RQK1" s="141"/>
      <c r="RQL1" s="141"/>
      <c r="RQM1" s="141"/>
      <c r="RQN1" s="141"/>
      <c r="RQO1" s="141"/>
      <c r="RQP1" s="141"/>
      <c r="RQQ1" s="141"/>
      <c r="RQR1" s="141"/>
      <c r="RQS1" s="141"/>
      <c r="RQT1" s="141"/>
      <c r="RQU1" s="141"/>
      <c r="RQV1" s="141"/>
      <c r="RQW1" s="141"/>
      <c r="RQX1" s="141"/>
      <c r="RQY1" s="141"/>
      <c r="RQZ1" s="141"/>
      <c r="RRA1" s="141"/>
      <c r="RRB1" s="141"/>
      <c r="RRC1" s="141"/>
      <c r="RRD1" s="141"/>
      <c r="RRE1" s="141"/>
      <c r="RRF1" s="141"/>
      <c r="RRG1" s="141"/>
      <c r="RRH1" s="141"/>
      <c r="RRI1" s="141"/>
      <c r="RRJ1" s="141"/>
      <c r="RRK1" s="141"/>
      <c r="RRL1" s="141"/>
      <c r="RRM1" s="141"/>
      <c r="RRN1" s="141"/>
      <c r="RRO1" s="141"/>
      <c r="RRP1" s="141"/>
      <c r="RRQ1" s="141"/>
      <c r="RRR1" s="141"/>
      <c r="RRS1" s="141"/>
      <c r="RRT1" s="141"/>
      <c r="RRU1" s="141"/>
      <c r="RRV1" s="141"/>
      <c r="RRW1" s="141"/>
      <c r="RRX1" s="141"/>
      <c r="RRY1" s="141"/>
      <c r="RRZ1" s="141"/>
      <c r="RSA1" s="141"/>
      <c r="RSB1" s="141"/>
      <c r="RSC1" s="141"/>
      <c r="RSD1" s="141"/>
      <c r="RSE1" s="141"/>
      <c r="RSF1" s="141"/>
      <c r="RSG1" s="141"/>
      <c r="RSH1" s="141"/>
      <c r="RSI1" s="141"/>
      <c r="RSJ1" s="141"/>
      <c r="RSK1" s="141"/>
      <c r="RSL1" s="141"/>
      <c r="RSM1" s="141"/>
      <c r="RSN1" s="141"/>
      <c r="RSO1" s="141"/>
      <c r="RSP1" s="141"/>
      <c r="RSQ1" s="141"/>
      <c r="RSR1" s="141"/>
      <c r="RSS1" s="141"/>
      <c r="RST1" s="141"/>
      <c r="RSU1" s="141"/>
      <c r="RSV1" s="141"/>
      <c r="RSW1" s="141"/>
      <c r="RSX1" s="141"/>
      <c r="RSY1" s="141"/>
      <c r="RSZ1" s="141"/>
      <c r="RTA1" s="141"/>
      <c r="RTB1" s="141"/>
      <c r="RTC1" s="141"/>
      <c r="RTD1" s="141"/>
      <c r="RTE1" s="141"/>
      <c r="RTF1" s="141"/>
      <c r="RTG1" s="141"/>
      <c r="RTH1" s="141"/>
      <c r="RTI1" s="141"/>
      <c r="RTJ1" s="141"/>
      <c r="RTK1" s="141"/>
      <c r="RTL1" s="141"/>
      <c r="RTM1" s="141"/>
      <c r="RTN1" s="141"/>
      <c r="RTO1" s="141"/>
      <c r="RTP1" s="141"/>
      <c r="RTQ1" s="141"/>
      <c r="RTR1" s="141"/>
      <c r="RTS1" s="141"/>
      <c r="RTT1" s="141"/>
      <c r="RTU1" s="141"/>
      <c r="RTV1" s="141"/>
      <c r="RTW1" s="141"/>
      <c r="RTX1" s="141"/>
      <c r="RTY1" s="141"/>
      <c r="RTZ1" s="141"/>
      <c r="RUA1" s="141"/>
      <c r="RUB1" s="141"/>
      <c r="RUC1" s="141"/>
      <c r="RUD1" s="141"/>
      <c r="RUE1" s="141"/>
      <c r="RUF1" s="141"/>
      <c r="RUG1" s="141"/>
      <c r="RUH1" s="141"/>
      <c r="RUI1" s="141"/>
      <c r="RUJ1" s="141"/>
      <c r="RUK1" s="141"/>
      <c r="RUL1" s="141"/>
      <c r="RUM1" s="141"/>
      <c r="RUN1" s="141"/>
      <c r="RUO1" s="141"/>
      <c r="RUP1" s="141"/>
      <c r="RUQ1" s="141"/>
      <c r="RUR1" s="141"/>
      <c r="RUS1" s="141"/>
      <c r="RUT1" s="141"/>
      <c r="RUU1" s="141"/>
      <c r="RUV1" s="141"/>
      <c r="RUW1" s="141"/>
      <c r="RUX1" s="141"/>
      <c r="RUY1" s="141"/>
      <c r="RUZ1" s="141"/>
      <c r="RVA1" s="141"/>
      <c r="RVB1" s="141"/>
      <c r="RVC1" s="141"/>
      <c r="RVD1" s="141"/>
      <c r="RVE1" s="141"/>
      <c r="RVF1" s="141"/>
      <c r="RVG1" s="141"/>
      <c r="RVH1" s="141"/>
      <c r="RVI1" s="141"/>
      <c r="RVJ1" s="141"/>
      <c r="RVK1" s="141"/>
      <c r="RVL1" s="141"/>
      <c r="RVM1" s="141"/>
      <c r="RVN1" s="141"/>
      <c r="RVO1" s="141"/>
      <c r="RVP1" s="141"/>
      <c r="RVQ1" s="141"/>
      <c r="RVR1" s="141"/>
      <c r="RVS1" s="141"/>
      <c r="RVT1" s="141"/>
      <c r="RVU1" s="141"/>
      <c r="RVV1" s="141"/>
      <c r="RVW1" s="141"/>
      <c r="RVX1" s="141"/>
      <c r="RVY1" s="141"/>
      <c r="RVZ1" s="141"/>
      <c r="RWA1" s="141"/>
      <c r="RWB1" s="141"/>
      <c r="RWC1" s="141"/>
      <c r="RWD1" s="141"/>
      <c r="RWE1" s="141"/>
      <c r="RWF1" s="141"/>
      <c r="RWG1" s="141"/>
      <c r="RWH1" s="141"/>
      <c r="RWI1" s="141"/>
      <c r="RWJ1" s="141"/>
      <c r="RWK1" s="141"/>
      <c r="RWL1" s="141"/>
      <c r="RWM1" s="141"/>
      <c r="RWN1" s="141"/>
      <c r="RWO1" s="141"/>
      <c r="RWP1" s="141"/>
      <c r="RWQ1" s="141"/>
      <c r="RWR1" s="141"/>
      <c r="RWS1" s="141"/>
      <c r="RWT1" s="141"/>
      <c r="RWU1" s="141"/>
      <c r="RWV1" s="141"/>
      <c r="RWW1" s="141"/>
      <c r="RWX1" s="141"/>
      <c r="RWY1" s="141"/>
      <c r="RWZ1" s="141"/>
      <c r="RXA1" s="141"/>
      <c r="RXB1" s="141"/>
      <c r="RXC1" s="141"/>
      <c r="RXD1" s="141"/>
      <c r="RXE1" s="141"/>
      <c r="RXF1" s="141"/>
      <c r="RXG1" s="141"/>
      <c r="RXH1" s="141"/>
      <c r="RXI1" s="141"/>
      <c r="RXJ1" s="141"/>
      <c r="RXK1" s="141"/>
      <c r="RXL1" s="141"/>
      <c r="RXM1" s="141"/>
      <c r="RXN1" s="141"/>
      <c r="RXO1" s="141"/>
      <c r="RXP1" s="141"/>
      <c r="RXQ1" s="141"/>
      <c r="RXR1" s="141"/>
      <c r="RXS1" s="141"/>
      <c r="RXT1" s="141"/>
      <c r="RXU1" s="141"/>
      <c r="RXV1" s="141"/>
      <c r="RXW1" s="141"/>
      <c r="RXX1" s="141"/>
      <c r="RXY1" s="141"/>
      <c r="RXZ1" s="141"/>
      <c r="RYA1" s="141"/>
      <c r="RYB1" s="141"/>
      <c r="RYC1" s="141"/>
      <c r="RYD1" s="141"/>
      <c r="RYE1" s="141"/>
      <c r="RYF1" s="141"/>
      <c r="RYG1" s="141"/>
      <c r="RYH1" s="141"/>
      <c r="RYI1" s="141"/>
      <c r="RYJ1" s="141"/>
      <c r="RYK1" s="141"/>
      <c r="RYL1" s="141"/>
      <c r="RYM1" s="141"/>
      <c r="RYN1" s="141"/>
      <c r="RYO1" s="141"/>
      <c r="RYP1" s="141"/>
      <c r="RYQ1" s="141"/>
      <c r="RYR1" s="141"/>
      <c r="RYS1" s="141"/>
      <c r="RYT1" s="141"/>
      <c r="RYU1" s="141"/>
      <c r="RYV1" s="141"/>
      <c r="RYW1" s="141"/>
      <c r="RYX1" s="141"/>
      <c r="RYY1" s="141"/>
      <c r="RYZ1" s="141"/>
      <c r="RZA1" s="141"/>
      <c r="RZB1" s="141"/>
      <c r="RZC1" s="141"/>
      <c r="RZD1" s="141"/>
      <c r="RZE1" s="141"/>
      <c r="RZF1" s="141"/>
      <c r="RZG1" s="141"/>
      <c r="RZH1" s="141"/>
      <c r="RZI1" s="141"/>
      <c r="RZJ1" s="141"/>
      <c r="RZK1" s="141"/>
      <c r="RZL1" s="141"/>
      <c r="RZM1" s="141"/>
      <c r="RZN1" s="141"/>
      <c r="RZO1" s="141"/>
      <c r="RZP1" s="141"/>
      <c r="RZQ1" s="141"/>
      <c r="RZR1" s="141"/>
      <c r="RZS1" s="141"/>
      <c r="RZT1" s="141"/>
      <c r="RZU1" s="141"/>
      <c r="RZV1" s="141"/>
      <c r="RZW1" s="141"/>
      <c r="RZX1" s="141"/>
      <c r="RZY1" s="141"/>
      <c r="RZZ1" s="141"/>
      <c r="SAA1" s="141"/>
      <c r="SAB1" s="141"/>
      <c r="SAC1" s="141"/>
      <c r="SAD1" s="141"/>
      <c r="SAE1" s="141"/>
      <c r="SAF1" s="141"/>
      <c r="SAG1" s="141"/>
      <c r="SAH1" s="141"/>
      <c r="SAI1" s="141"/>
      <c r="SAJ1" s="141"/>
      <c r="SAK1" s="141"/>
      <c r="SAL1" s="141"/>
      <c r="SAM1" s="141"/>
      <c r="SAN1" s="141"/>
      <c r="SAO1" s="141"/>
      <c r="SAP1" s="141"/>
      <c r="SAQ1" s="141"/>
      <c r="SAR1" s="141"/>
      <c r="SAS1" s="141"/>
      <c r="SAT1" s="141"/>
      <c r="SAU1" s="141"/>
      <c r="SAV1" s="141"/>
      <c r="SAW1" s="141"/>
      <c r="SAX1" s="141"/>
      <c r="SAY1" s="141"/>
      <c r="SAZ1" s="141"/>
      <c r="SBA1" s="141"/>
      <c r="SBB1" s="141"/>
      <c r="SBC1" s="141"/>
      <c r="SBD1" s="141"/>
      <c r="SBE1" s="141"/>
      <c r="SBF1" s="141"/>
      <c r="SBG1" s="141"/>
      <c r="SBH1" s="141"/>
      <c r="SBI1" s="141"/>
      <c r="SBJ1" s="141"/>
      <c r="SBK1" s="141"/>
      <c r="SBL1" s="141"/>
      <c r="SBM1" s="141"/>
      <c r="SBN1" s="141"/>
      <c r="SBO1" s="141"/>
      <c r="SBP1" s="141"/>
      <c r="SBQ1" s="141"/>
      <c r="SBR1" s="141"/>
      <c r="SBS1" s="141"/>
      <c r="SBT1" s="141"/>
      <c r="SBU1" s="141"/>
      <c r="SBV1" s="141"/>
      <c r="SBW1" s="141"/>
      <c r="SBX1" s="141"/>
      <c r="SBY1" s="141"/>
      <c r="SBZ1" s="141"/>
      <c r="SCA1" s="141"/>
      <c r="SCB1" s="141"/>
      <c r="SCC1" s="141"/>
      <c r="SCD1" s="141"/>
      <c r="SCE1" s="141"/>
      <c r="SCF1" s="141"/>
      <c r="SCG1" s="141"/>
      <c r="SCH1" s="141"/>
      <c r="SCI1" s="141"/>
      <c r="SCJ1" s="141"/>
      <c r="SCK1" s="141"/>
      <c r="SCL1" s="141"/>
      <c r="SCM1" s="141"/>
      <c r="SCN1" s="141"/>
      <c r="SCO1" s="141"/>
      <c r="SCP1" s="141"/>
      <c r="SCQ1" s="141"/>
      <c r="SCR1" s="141"/>
      <c r="SCS1" s="141"/>
      <c r="SCT1" s="141"/>
      <c r="SCU1" s="141"/>
      <c r="SCV1" s="141"/>
      <c r="SCW1" s="141"/>
      <c r="SCX1" s="141"/>
      <c r="SCY1" s="141"/>
      <c r="SCZ1" s="141"/>
      <c r="SDA1" s="141"/>
      <c r="SDB1" s="141"/>
      <c r="SDC1" s="141"/>
      <c r="SDD1" s="141"/>
      <c r="SDE1" s="141"/>
      <c r="SDF1" s="141"/>
      <c r="SDG1" s="141"/>
      <c r="SDH1" s="141"/>
      <c r="SDI1" s="141"/>
      <c r="SDJ1" s="141"/>
      <c r="SDK1" s="141"/>
      <c r="SDL1" s="141"/>
      <c r="SDM1" s="141"/>
      <c r="SDN1" s="141"/>
      <c r="SDO1" s="141"/>
      <c r="SDP1" s="141"/>
      <c r="SDQ1" s="141"/>
      <c r="SDR1" s="141"/>
      <c r="SDS1" s="141"/>
      <c r="SDT1" s="141"/>
      <c r="SDU1" s="141"/>
      <c r="SDV1" s="141"/>
      <c r="SDW1" s="141"/>
      <c r="SDX1" s="141"/>
      <c r="SDY1" s="141"/>
      <c r="SDZ1" s="141"/>
      <c r="SEA1" s="141"/>
      <c r="SEB1" s="141"/>
      <c r="SEC1" s="141"/>
      <c r="SED1" s="141"/>
      <c r="SEE1" s="141"/>
      <c r="SEF1" s="141"/>
      <c r="SEG1" s="141"/>
      <c r="SEH1" s="141"/>
      <c r="SEI1" s="141"/>
      <c r="SEJ1" s="141"/>
      <c r="SEK1" s="141"/>
      <c r="SEL1" s="141"/>
      <c r="SEM1" s="141"/>
      <c r="SEN1" s="141"/>
      <c r="SEO1" s="141"/>
      <c r="SEP1" s="141"/>
      <c r="SEQ1" s="141"/>
      <c r="SER1" s="141"/>
      <c r="SES1" s="141"/>
      <c r="SET1" s="141"/>
      <c r="SEU1" s="141"/>
      <c r="SEV1" s="141"/>
      <c r="SEW1" s="141"/>
      <c r="SEX1" s="141"/>
      <c r="SEY1" s="141"/>
      <c r="SEZ1" s="141"/>
      <c r="SFA1" s="141"/>
      <c r="SFB1" s="141"/>
      <c r="SFC1" s="141"/>
      <c r="SFD1" s="141"/>
      <c r="SFE1" s="141"/>
      <c r="SFF1" s="141"/>
      <c r="SFG1" s="141"/>
      <c r="SFH1" s="141"/>
      <c r="SFI1" s="141"/>
      <c r="SFJ1" s="141"/>
      <c r="SFK1" s="141"/>
      <c r="SFL1" s="141"/>
      <c r="SFM1" s="141"/>
      <c r="SFN1" s="141"/>
      <c r="SFO1" s="141"/>
      <c r="SFP1" s="141"/>
      <c r="SFQ1" s="141"/>
      <c r="SFR1" s="141"/>
      <c r="SFS1" s="141"/>
      <c r="SFT1" s="141"/>
      <c r="SFU1" s="141"/>
      <c r="SFV1" s="141"/>
      <c r="SFW1" s="141"/>
      <c r="SFX1" s="141"/>
      <c r="SFY1" s="141"/>
      <c r="SFZ1" s="141"/>
      <c r="SGA1" s="141"/>
      <c r="SGB1" s="141"/>
      <c r="SGC1" s="141"/>
      <c r="SGD1" s="141"/>
      <c r="SGE1" s="141"/>
      <c r="SGF1" s="141"/>
      <c r="SGG1" s="141"/>
      <c r="SGH1" s="141"/>
      <c r="SGI1" s="141"/>
      <c r="SGJ1" s="141"/>
      <c r="SGK1" s="141"/>
      <c r="SGL1" s="141"/>
      <c r="SGM1" s="141"/>
      <c r="SGN1" s="141"/>
      <c r="SGO1" s="141"/>
      <c r="SGP1" s="141"/>
      <c r="SGQ1" s="141"/>
      <c r="SGR1" s="141"/>
      <c r="SGS1" s="141"/>
      <c r="SGT1" s="141"/>
      <c r="SGU1" s="141"/>
      <c r="SGV1" s="141"/>
      <c r="SGW1" s="141"/>
      <c r="SGX1" s="141"/>
      <c r="SGY1" s="141"/>
      <c r="SGZ1" s="141"/>
      <c r="SHA1" s="141"/>
      <c r="SHB1" s="141"/>
      <c r="SHC1" s="141"/>
      <c r="SHD1" s="141"/>
      <c r="SHE1" s="141"/>
      <c r="SHF1" s="141"/>
      <c r="SHG1" s="141"/>
      <c r="SHH1" s="141"/>
      <c r="SHI1" s="141"/>
      <c r="SHJ1" s="141"/>
      <c r="SHK1" s="141"/>
      <c r="SHL1" s="141"/>
      <c r="SHM1" s="141"/>
      <c r="SHN1" s="141"/>
      <c r="SHO1" s="141"/>
      <c r="SHP1" s="141"/>
      <c r="SHQ1" s="141"/>
      <c r="SHR1" s="141"/>
      <c r="SHS1" s="141"/>
      <c r="SHT1" s="141"/>
      <c r="SHU1" s="141"/>
      <c r="SHV1" s="141"/>
      <c r="SHW1" s="141"/>
      <c r="SHX1" s="141"/>
      <c r="SHY1" s="141"/>
      <c r="SHZ1" s="141"/>
      <c r="SIA1" s="141"/>
      <c r="SIB1" s="141"/>
      <c r="SIC1" s="141"/>
      <c r="SID1" s="141"/>
      <c r="SIE1" s="141"/>
      <c r="SIF1" s="141"/>
      <c r="SIG1" s="141"/>
      <c r="SIH1" s="141"/>
      <c r="SII1" s="141"/>
      <c r="SIJ1" s="141"/>
      <c r="SIK1" s="141"/>
      <c r="SIL1" s="141"/>
      <c r="SIM1" s="141"/>
      <c r="SIN1" s="141"/>
      <c r="SIO1" s="141"/>
      <c r="SIP1" s="141"/>
      <c r="SIQ1" s="141"/>
      <c r="SIR1" s="141"/>
      <c r="SIS1" s="141"/>
      <c r="SIT1" s="141"/>
      <c r="SIU1" s="141"/>
      <c r="SIV1" s="141"/>
      <c r="SIW1" s="141"/>
      <c r="SIX1" s="141"/>
      <c r="SIY1" s="141"/>
      <c r="SIZ1" s="141"/>
      <c r="SJA1" s="141"/>
      <c r="SJB1" s="141"/>
      <c r="SJC1" s="141"/>
      <c r="SJD1" s="141"/>
      <c r="SJE1" s="141"/>
      <c r="SJF1" s="141"/>
      <c r="SJG1" s="141"/>
      <c r="SJH1" s="141"/>
      <c r="SJI1" s="141"/>
      <c r="SJJ1" s="141"/>
      <c r="SJK1" s="141"/>
      <c r="SJL1" s="141"/>
      <c r="SJM1" s="141"/>
      <c r="SJN1" s="141"/>
      <c r="SJO1" s="141"/>
      <c r="SJP1" s="141"/>
      <c r="SJQ1" s="141"/>
      <c r="SJR1" s="141"/>
      <c r="SJS1" s="141"/>
      <c r="SJT1" s="141"/>
      <c r="SJU1" s="141"/>
      <c r="SJV1" s="141"/>
      <c r="SJW1" s="141"/>
      <c r="SJX1" s="141"/>
      <c r="SJY1" s="141"/>
      <c r="SJZ1" s="141"/>
      <c r="SKA1" s="141"/>
      <c r="SKB1" s="141"/>
      <c r="SKC1" s="141"/>
      <c r="SKD1" s="141"/>
      <c r="SKE1" s="141"/>
      <c r="SKF1" s="141"/>
      <c r="SKG1" s="141"/>
      <c r="SKH1" s="141"/>
      <c r="SKI1" s="141"/>
      <c r="SKJ1" s="141"/>
      <c r="SKK1" s="141"/>
      <c r="SKL1" s="141"/>
      <c r="SKM1" s="141"/>
      <c r="SKN1" s="141"/>
      <c r="SKO1" s="141"/>
      <c r="SKP1" s="141"/>
      <c r="SKQ1" s="141"/>
      <c r="SKR1" s="141"/>
      <c r="SKS1" s="141"/>
      <c r="SKT1" s="141"/>
      <c r="SKU1" s="141"/>
      <c r="SKV1" s="141"/>
      <c r="SKW1" s="141"/>
      <c r="SKX1" s="141"/>
      <c r="SKY1" s="141"/>
      <c r="SKZ1" s="141"/>
      <c r="SLA1" s="141"/>
      <c r="SLB1" s="141"/>
      <c r="SLC1" s="141"/>
      <c r="SLD1" s="141"/>
      <c r="SLE1" s="141"/>
      <c r="SLF1" s="141"/>
      <c r="SLG1" s="141"/>
      <c r="SLH1" s="141"/>
      <c r="SLI1" s="141"/>
      <c r="SLJ1" s="141"/>
      <c r="SLK1" s="141"/>
      <c r="SLL1" s="141"/>
      <c r="SLM1" s="141"/>
      <c r="SLN1" s="141"/>
      <c r="SLO1" s="141"/>
      <c r="SLP1" s="141"/>
      <c r="SLQ1" s="141"/>
      <c r="SLR1" s="141"/>
      <c r="SLS1" s="141"/>
      <c r="SLT1" s="141"/>
      <c r="SLU1" s="141"/>
      <c r="SLV1" s="141"/>
      <c r="SLW1" s="141"/>
      <c r="SLX1" s="141"/>
      <c r="SLY1" s="141"/>
      <c r="SLZ1" s="141"/>
      <c r="SMA1" s="141"/>
      <c r="SMB1" s="141"/>
      <c r="SMC1" s="141"/>
      <c r="SMD1" s="141"/>
      <c r="SME1" s="141"/>
      <c r="SMF1" s="141"/>
      <c r="SMG1" s="141"/>
      <c r="SMH1" s="141"/>
      <c r="SMI1" s="141"/>
      <c r="SMJ1" s="141"/>
      <c r="SMK1" s="141"/>
      <c r="SML1" s="141"/>
      <c r="SMM1" s="141"/>
      <c r="SMN1" s="141"/>
      <c r="SMO1" s="141"/>
      <c r="SMP1" s="141"/>
      <c r="SMQ1" s="141"/>
      <c r="SMR1" s="141"/>
      <c r="SMS1" s="141"/>
      <c r="SMT1" s="141"/>
      <c r="SMU1" s="141"/>
      <c r="SMV1" s="141"/>
      <c r="SMW1" s="141"/>
      <c r="SMX1" s="141"/>
      <c r="SMY1" s="141"/>
      <c r="SMZ1" s="141"/>
      <c r="SNA1" s="141"/>
      <c r="SNB1" s="141"/>
      <c r="SNC1" s="141"/>
      <c r="SND1" s="141"/>
      <c r="SNE1" s="141"/>
      <c r="SNF1" s="141"/>
      <c r="SNG1" s="141"/>
      <c r="SNH1" s="141"/>
      <c r="SNI1" s="141"/>
      <c r="SNJ1" s="141"/>
      <c r="SNK1" s="141"/>
      <c r="SNL1" s="141"/>
      <c r="SNM1" s="141"/>
      <c r="SNN1" s="141"/>
      <c r="SNO1" s="141"/>
      <c r="SNP1" s="141"/>
      <c r="SNQ1" s="141"/>
      <c r="SNR1" s="141"/>
      <c r="SNS1" s="141"/>
      <c r="SNT1" s="141"/>
      <c r="SNU1" s="141"/>
      <c r="SNV1" s="141"/>
      <c r="SNW1" s="141"/>
      <c r="SNX1" s="141"/>
      <c r="SNY1" s="141"/>
      <c r="SNZ1" s="141"/>
      <c r="SOA1" s="141"/>
      <c r="SOB1" s="141"/>
      <c r="SOC1" s="141"/>
      <c r="SOD1" s="141"/>
      <c r="SOE1" s="141"/>
      <c r="SOF1" s="141"/>
      <c r="SOG1" s="141"/>
      <c r="SOH1" s="141"/>
      <c r="SOI1" s="141"/>
      <c r="SOJ1" s="141"/>
      <c r="SOK1" s="141"/>
      <c r="SOL1" s="141"/>
      <c r="SOM1" s="141"/>
      <c r="SON1" s="141"/>
      <c r="SOO1" s="141"/>
      <c r="SOP1" s="141"/>
      <c r="SOQ1" s="141"/>
      <c r="SOR1" s="141"/>
      <c r="SOS1" s="141"/>
      <c r="SOT1" s="141"/>
      <c r="SOU1" s="141"/>
      <c r="SOV1" s="141"/>
      <c r="SOW1" s="141"/>
      <c r="SOX1" s="141"/>
      <c r="SOY1" s="141"/>
      <c r="SOZ1" s="141"/>
      <c r="SPA1" s="141"/>
      <c r="SPB1" s="141"/>
      <c r="SPC1" s="141"/>
      <c r="SPD1" s="141"/>
      <c r="SPE1" s="141"/>
      <c r="SPF1" s="141"/>
      <c r="SPG1" s="141"/>
      <c r="SPH1" s="141"/>
      <c r="SPI1" s="141"/>
      <c r="SPJ1" s="141"/>
      <c r="SPK1" s="141"/>
      <c r="SPL1" s="141"/>
      <c r="SPM1" s="141"/>
      <c r="SPN1" s="141"/>
      <c r="SPO1" s="141"/>
      <c r="SPP1" s="141"/>
      <c r="SPQ1" s="141"/>
      <c r="SPR1" s="141"/>
      <c r="SPS1" s="141"/>
      <c r="SPT1" s="141"/>
      <c r="SPU1" s="141"/>
      <c r="SPV1" s="141"/>
      <c r="SPW1" s="141"/>
      <c r="SPX1" s="141"/>
      <c r="SPY1" s="141"/>
      <c r="SPZ1" s="141"/>
      <c r="SQA1" s="141"/>
      <c r="SQB1" s="141"/>
      <c r="SQC1" s="141"/>
      <c r="SQD1" s="141"/>
      <c r="SQE1" s="141"/>
      <c r="SQF1" s="141"/>
      <c r="SQG1" s="141"/>
      <c r="SQH1" s="141"/>
      <c r="SQI1" s="141"/>
      <c r="SQJ1" s="141"/>
      <c r="SQK1" s="141"/>
      <c r="SQL1" s="141"/>
      <c r="SQM1" s="141"/>
      <c r="SQN1" s="141"/>
      <c r="SQO1" s="141"/>
      <c r="SQP1" s="141"/>
      <c r="SQQ1" s="141"/>
      <c r="SQR1" s="141"/>
      <c r="SQS1" s="141"/>
      <c r="SQT1" s="141"/>
      <c r="SQU1" s="141"/>
      <c r="SQV1" s="141"/>
      <c r="SQW1" s="141"/>
      <c r="SQX1" s="141"/>
      <c r="SQY1" s="141"/>
      <c r="SQZ1" s="141"/>
      <c r="SRA1" s="141"/>
      <c r="SRB1" s="141"/>
      <c r="SRC1" s="141"/>
      <c r="SRD1" s="141"/>
      <c r="SRE1" s="141"/>
      <c r="SRF1" s="141"/>
      <c r="SRG1" s="141"/>
      <c r="SRH1" s="141"/>
      <c r="SRI1" s="141"/>
      <c r="SRJ1" s="141"/>
      <c r="SRK1" s="141"/>
      <c r="SRL1" s="141"/>
      <c r="SRM1" s="141"/>
      <c r="SRN1" s="141"/>
      <c r="SRO1" s="141"/>
      <c r="SRP1" s="141"/>
      <c r="SRQ1" s="141"/>
      <c r="SRR1" s="141"/>
      <c r="SRS1" s="141"/>
      <c r="SRT1" s="141"/>
      <c r="SRU1" s="141"/>
      <c r="SRV1" s="141"/>
      <c r="SRW1" s="141"/>
      <c r="SRX1" s="141"/>
      <c r="SRY1" s="141"/>
      <c r="SRZ1" s="141"/>
      <c r="SSA1" s="141"/>
      <c r="SSB1" s="141"/>
      <c r="SSC1" s="141"/>
      <c r="SSD1" s="141"/>
      <c r="SSE1" s="141"/>
      <c r="SSF1" s="141"/>
      <c r="SSG1" s="141"/>
      <c r="SSH1" s="141"/>
      <c r="SSI1" s="141"/>
      <c r="SSJ1" s="141"/>
      <c r="SSK1" s="141"/>
      <c r="SSL1" s="141"/>
      <c r="SSM1" s="141"/>
      <c r="SSN1" s="141"/>
      <c r="SSO1" s="141"/>
      <c r="SSP1" s="141"/>
      <c r="SSQ1" s="141"/>
      <c r="SSR1" s="141"/>
      <c r="SSS1" s="141"/>
      <c r="SST1" s="141"/>
      <c r="SSU1" s="141"/>
      <c r="SSV1" s="141"/>
      <c r="SSW1" s="141"/>
      <c r="SSX1" s="141"/>
      <c r="SSY1" s="141"/>
      <c r="SSZ1" s="141"/>
      <c r="STA1" s="141"/>
      <c r="STB1" s="141"/>
      <c r="STC1" s="141"/>
      <c r="STD1" s="141"/>
      <c r="STE1" s="141"/>
      <c r="STF1" s="141"/>
      <c r="STG1" s="141"/>
      <c r="STH1" s="141"/>
      <c r="STI1" s="141"/>
      <c r="STJ1" s="141"/>
      <c r="STK1" s="141"/>
      <c r="STL1" s="141"/>
      <c r="STM1" s="141"/>
      <c r="STN1" s="141"/>
      <c r="STO1" s="141"/>
      <c r="STP1" s="141"/>
      <c r="STQ1" s="141"/>
      <c r="STR1" s="141"/>
      <c r="STS1" s="141"/>
      <c r="STT1" s="141"/>
      <c r="STU1" s="141"/>
      <c r="STV1" s="141"/>
      <c r="STW1" s="141"/>
      <c r="STX1" s="141"/>
      <c r="STY1" s="141"/>
      <c r="STZ1" s="141"/>
      <c r="SUA1" s="141"/>
      <c r="SUB1" s="141"/>
      <c r="SUC1" s="141"/>
      <c r="SUD1" s="141"/>
      <c r="SUE1" s="141"/>
      <c r="SUF1" s="141"/>
      <c r="SUG1" s="141"/>
      <c r="SUH1" s="141"/>
      <c r="SUI1" s="141"/>
      <c r="SUJ1" s="141"/>
      <c r="SUK1" s="141"/>
      <c r="SUL1" s="141"/>
      <c r="SUM1" s="141"/>
      <c r="SUN1" s="141"/>
      <c r="SUO1" s="141"/>
      <c r="SUP1" s="141"/>
      <c r="SUQ1" s="141"/>
      <c r="SUR1" s="141"/>
      <c r="SUS1" s="141"/>
      <c r="SUT1" s="141"/>
      <c r="SUU1" s="141"/>
      <c r="SUV1" s="141"/>
      <c r="SUW1" s="141"/>
      <c r="SUX1" s="141"/>
      <c r="SUY1" s="141"/>
      <c r="SUZ1" s="141"/>
      <c r="SVA1" s="141"/>
      <c r="SVB1" s="141"/>
      <c r="SVC1" s="141"/>
      <c r="SVD1" s="141"/>
      <c r="SVE1" s="141"/>
      <c r="SVF1" s="141"/>
      <c r="SVG1" s="141"/>
      <c r="SVH1" s="141"/>
      <c r="SVI1" s="141"/>
      <c r="SVJ1" s="141"/>
      <c r="SVK1" s="141"/>
      <c r="SVL1" s="141"/>
      <c r="SVM1" s="141"/>
      <c r="SVN1" s="141"/>
      <c r="SVO1" s="141"/>
      <c r="SVP1" s="141"/>
      <c r="SVQ1" s="141"/>
      <c r="SVR1" s="141"/>
      <c r="SVS1" s="141"/>
      <c r="SVT1" s="141"/>
      <c r="SVU1" s="141"/>
      <c r="SVV1" s="141"/>
      <c r="SVW1" s="141"/>
      <c r="SVX1" s="141"/>
      <c r="SVY1" s="141"/>
      <c r="SVZ1" s="141"/>
      <c r="SWA1" s="141"/>
      <c r="SWB1" s="141"/>
      <c r="SWC1" s="141"/>
      <c r="SWD1" s="141"/>
      <c r="SWE1" s="141"/>
      <c r="SWF1" s="141"/>
      <c r="SWG1" s="141"/>
      <c r="SWH1" s="141"/>
      <c r="SWI1" s="141"/>
      <c r="SWJ1" s="141"/>
      <c r="SWK1" s="141"/>
      <c r="SWL1" s="141"/>
      <c r="SWM1" s="141"/>
      <c r="SWN1" s="141"/>
      <c r="SWO1" s="141"/>
      <c r="SWP1" s="141"/>
      <c r="SWQ1" s="141"/>
      <c r="SWR1" s="141"/>
      <c r="SWS1" s="141"/>
      <c r="SWT1" s="141"/>
      <c r="SWU1" s="141"/>
      <c r="SWV1" s="141"/>
      <c r="SWW1" s="141"/>
      <c r="SWX1" s="141"/>
      <c r="SWY1" s="141"/>
      <c r="SWZ1" s="141"/>
      <c r="SXA1" s="141"/>
      <c r="SXB1" s="141"/>
      <c r="SXC1" s="141"/>
      <c r="SXD1" s="141"/>
      <c r="SXE1" s="141"/>
      <c r="SXF1" s="141"/>
      <c r="SXG1" s="141"/>
      <c r="SXH1" s="141"/>
      <c r="SXI1" s="141"/>
      <c r="SXJ1" s="141"/>
      <c r="SXK1" s="141"/>
      <c r="SXL1" s="141"/>
      <c r="SXM1" s="141"/>
      <c r="SXN1" s="141"/>
      <c r="SXO1" s="141"/>
      <c r="SXP1" s="141"/>
      <c r="SXQ1" s="141"/>
      <c r="SXR1" s="141"/>
      <c r="SXS1" s="141"/>
      <c r="SXT1" s="141"/>
      <c r="SXU1" s="141"/>
      <c r="SXV1" s="141"/>
      <c r="SXW1" s="141"/>
      <c r="SXX1" s="141"/>
      <c r="SXY1" s="141"/>
      <c r="SXZ1" s="141"/>
      <c r="SYA1" s="141"/>
      <c r="SYB1" s="141"/>
      <c r="SYC1" s="141"/>
      <c r="SYD1" s="141"/>
      <c r="SYE1" s="141"/>
      <c r="SYF1" s="141"/>
      <c r="SYG1" s="141"/>
      <c r="SYH1" s="141"/>
      <c r="SYI1" s="141"/>
      <c r="SYJ1" s="141"/>
      <c r="SYK1" s="141"/>
      <c r="SYL1" s="141"/>
      <c r="SYM1" s="141"/>
      <c r="SYN1" s="141"/>
      <c r="SYO1" s="141"/>
      <c r="SYP1" s="141"/>
      <c r="SYQ1" s="141"/>
      <c r="SYR1" s="141"/>
      <c r="SYS1" s="141"/>
      <c r="SYT1" s="141"/>
      <c r="SYU1" s="141"/>
      <c r="SYV1" s="141"/>
      <c r="SYW1" s="141"/>
      <c r="SYX1" s="141"/>
      <c r="SYY1" s="141"/>
      <c r="SYZ1" s="141"/>
      <c r="SZA1" s="141"/>
      <c r="SZB1" s="141"/>
      <c r="SZC1" s="141"/>
      <c r="SZD1" s="141"/>
      <c r="SZE1" s="141"/>
      <c r="SZF1" s="141"/>
      <c r="SZG1" s="141"/>
      <c r="SZH1" s="141"/>
      <c r="SZI1" s="141"/>
      <c r="SZJ1" s="141"/>
      <c r="SZK1" s="141"/>
      <c r="SZL1" s="141"/>
      <c r="SZM1" s="141"/>
      <c r="SZN1" s="141"/>
      <c r="SZO1" s="141"/>
      <c r="SZP1" s="141"/>
      <c r="SZQ1" s="141"/>
      <c r="SZR1" s="141"/>
      <c r="SZS1" s="141"/>
      <c r="SZT1" s="141"/>
      <c r="SZU1" s="141"/>
      <c r="SZV1" s="141"/>
      <c r="SZW1" s="141"/>
      <c r="SZX1" s="141"/>
      <c r="SZY1" s="141"/>
      <c r="SZZ1" s="141"/>
      <c r="TAA1" s="141"/>
      <c r="TAB1" s="141"/>
      <c r="TAC1" s="141"/>
      <c r="TAD1" s="141"/>
      <c r="TAE1" s="141"/>
      <c r="TAF1" s="141"/>
      <c r="TAG1" s="141"/>
      <c r="TAH1" s="141"/>
      <c r="TAI1" s="141"/>
      <c r="TAJ1" s="141"/>
      <c r="TAK1" s="141"/>
      <c r="TAL1" s="141"/>
      <c r="TAM1" s="141"/>
      <c r="TAN1" s="141"/>
      <c r="TAO1" s="141"/>
      <c r="TAP1" s="141"/>
      <c r="TAQ1" s="141"/>
      <c r="TAR1" s="141"/>
      <c r="TAS1" s="141"/>
      <c r="TAT1" s="141"/>
      <c r="TAU1" s="141"/>
      <c r="TAV1" s="141"/>
      <c r="TAW1" s="141"/>
      <c r="TAX1" s="141"/>
      <c r="TAY1" s="141"/>
      <c r="TAZ1" s="141"/>
      <c r="TBA1" s="141"/>
      <c r="TBB1" s="141"/>
      <c r="TBC1" s="141"/>
      <c r="TBD1" s="141"/>
      <c r="TBE1" s="141"/>
      <c r="TBF1" s="141"/>
      <c r="TBG1" s="141"/>
      <c r="TBH1" s="141"/>
      <c r="TBI1" s="141"/>
      <c r="TBJ1" s="141"/>
      <c r="TBK1" s="141"/>
      <c r="TBL1" s="141"/>
      <c r="TBM1" s="141"/>
      <c r="TBN1" s="141"/>
      <c r="TBO1" s="141"/>
      <c r="TBP1" s="141"/>
      <c r="TBQ1" s="141"/>
      <c r="TBR1" s="141"/>
      <c r="TBS1" s="141"/>
      <c r="TBT1" s="141"/>
      <c r="TBU1" s="141"/>
      <c r="TBV1" s="141"/>
      <c r="TBW1" s="141"/>
      <c r="TBX1" s="141"/>
      <c r="TBY1" s="141"/>
      <c r="TBZ1" s="141"/>
      <c r="TCA1" s="141"/>
      <c r="TCB1" s="141"/>
      <c r="TCC1" s="141"/>
      <c r="TCD1" s="141"/>
      <c r="TCE1" s="141"/>
      <c r="TCF1" s="141"/>
      <c r="TCG1" s="141"/>
      <c r="TCH1" s="141"/>
      <c r="TCI1" s="141"/>
      <c r="TCJ1" s="141"/>
      <c r="TCK1" s="141"/>
      <c r="TCL1" s="141"/>
      <c r="TCM1" s="141"/>
      <c r="TCN1" s="141"/>
      <c r="TCO1" s="141"/>
      <c r="TCP1" s="141"/>
      <c r="TCQ1" s="141"/>
      <c r="TCR1" s="141"/>
      <c r="TCS1" s="141"/>
      <c r="TCT1" s="141"/>
      <c r="TCU1" s="141"/>
      <c r="TCV1" s="141"/>
      <c r="TCW1" s="141"/>
      <c r="TCX1" s="141"/>
      <c r="TCY1" s="141"/>
      <c r="TCZ1" s="141"/>
      <c r="TDA1" s="141"/>
      <c r="TDB1" s="141"/>
      <c r="TDC1" s="141"/>
      <c r="TDD1" s="141"/>
      <c r="TDE1" s="141"/>
      <c r="TDF1" s="141"/>
      <c r="TDG1" s="141"/>
      <c r="TDH1" s="141"/>
      <c r="TDI1" s="141"/>
      <c r="TDJ1" s="141"/>
      <c r="TDK1" s="141"/>
      <c r="TDL1" s="141"/>
      <c r="TDM1" s="141"/>
      <c r="TDN1" s="141"/>
      <c r="TDO1" s="141"/>
      <c r="TDP1" s="141"/>
      <c r="TDQ1" s="141"/>
      <c r="TDR1" s="141"/>
      <c r="TDS1" s="141"/>
      <c r="TDT1" s="141"/>
      <c r="TDU1" s="141"/>
      <c r="TDV1" s="141"/>
      <c r="TDW1" s="141"/>
      <c r="TDX1" s="141"/>
      <c r="TDY1" s="141"/>
      <c r="TDZ1" s="141"/>
      <c r="TEA1" s="141"/>
      <c r="TEB1" s="141"/>
      <c r="TEC1" s="141"/>
      <c r="TED1" s="141"/>
      <c r="TEE1" s="141"/>
      <c r="TEF1" s="141"/>
      <c r="TEG1" s="141"/>
      <c r="TEH1" s="141"/>
      <c r="TEI1" s="141"/>
      <c r="TEJ1" s="141"/>
      <c r="TEK1" s="141"/>
      <c r="TEL1" s="141"/>
      <c r="TEM1" s="141"/>
      <c r="TEN1" s="141"/>
      <c r="TEO1" s="141"/>
      <c r="TEP1" s="141"/>
      <c r="TEQ1" s="141"/>
      <c r="TER1" s="141"/>
      <c r="TES1" s="141"/>
      <c r="TET1" s="141"/>
      <c r="TEU1" s="141"/>
      <c r="TEV1" s="141"/>
      <c r="TEW1" s="141"/>
      <c r="TEX1" s="141"/>
      <c r="TEY1" s="141"/>
      <c r="TEZ1" s="141"/>
      <c r="TFA1" s="141"/>
      <c r="TFB1" s="141"/>
      <c r="TFC1" s="141"/>
      <c r="TFD1" s="141"/>
      <c r="TFE1" s="141"/>
      <c r="TFF1" s="141"/>
      <c r="TFG1" s="141"/>
      <c r="TFH1" s="141"/>
      <c r="TFI1" s="141"/>
      <c r="TFJ1" s="141"/>
      <c r="TFK1" s="141"/>
      <c r="TFL1" s="141"/>
      <c r="TFM1" s="141"/>
      <c r="TFN1" s="141"/>
      <c r="TFO1" s="141"/>
      <c r="TFP1" s="141"/>
      <c r="TFQ1" s="141"/>
      <c r="TFR1" s="141"/>
      <c r="TFS1" s="141"/>
      <c r="TFT1" s="141"/>
      <c r="TFU1" s="141"/>
      <c r="TFV1" s="141"/>
      <c r="TFW1" s="141"/>
      <c r="TFX1" s="141"/>
      <c r="TFY1" s="141"/>
      <c r="TFZ1" s="141"/>
      <c r="TGA1" s="141"/>
      <c r="TGB1" s="141"/>
      <c r="TGC1" s="141"/>
      <c r="TGD1" s="141"/>
      <c r="TGE1" s="141"/>
      <c r="TGF1" s="141"/>
      <c r="TGG1" s="141"/>
      <c r="TGH1" s="141"/>
      <c r="TGI1" s="141"/>
      <c r="TGJ1" s="141"/>
      <c r="TGK1" s="141"/>
      <c r="TGL1" s="141"/>
      <c r="TGM1" s="141"/>
      <c r="TGN1" s="141"/>
      <c r="TGO1" s="141"/>
      <c r="TGP1" s="141"/>
      <c r="TGQ1" s="141"/>
      <c r="TGR1" s="141"/>
      <c r="TGS1" s="141"/>
      <c r="TGT1" s="141"/>
      <c r="TGU1" s="141"/>
      <c r="TGV1" s="141"/>
      <c r="TGW1" s="141"/>
      <c r="TGX1" s="141"/>
      <c r="TGY1" s="141"/>
      <c r="TGZ1" s="141"/>
      <c r="THA1" s="141"/>
      <c r="THB1" s="141"/>
      <c r="THC1" s="141"/>
      <c r="THD1" s="141"/>
      <c r="THE1" s="141"/>
      <c r="THF1" s="141"/>
      <c r="THG1" s="141"/>
      <c r="THH1" s="141"/>
      <c r="THI1" s="141"/>
      <c r="THJ1" s="141"/>
      <c r="THK1" s="141"/>
      <c r="THL1" s="141"/>
      <c r="THM1" s="141"/>
      <c r="THN1" s="141"/>
      <c r="THO1" s="141"/>
      <c r="THP1" s="141"/>
      <c r="THQ1" s="141"/>
      <c r="THR1" s="141"/>
      <c r="THS1" s="141"/>
      <c r="THT1" s="141"/>
      <c r="THU1" s="141"/>
      <c r="THV1" s="141"/>
      <c r="THW1" s="141"/>
      <c r="THX1" s="141"/>
      <c r="THY1" s="141"/>
      <c r="THZ1" s="141"/>
      <c r="TIA1" s="141"/>
      <c r="TIB1" s="141"/>
      <c r="TIC1" s="141"/>
      <c r="TID1" s="141"/>
      <c r="TIE1" s="141"/>
      <c r="TIF1" s="141"/>
      <c r="TIG1" s="141"/>
      <c r="TIH1" s="141"/>
      <c r="TII1" s="141"/>
      <c r="TIJ1" s="141"/>
      <c r="TIK1" s="141"/>
      <c r="TIL1" s="141"/>
      <c r="TIM1" s="141"/>
      <c r="TIN1" s="141"/>
      <c r="TIO1" s="141"/>
      <c r="TIP1" s="141"/>
      <c r="TIQ1" s="141"/>
      <c r="TIR1" s="141"/>
      <c r="TIS1" s="141"/>
      <c r="TIT1" s="141"/>
      <c r="TIU1" s="141"/>
      <c r="TIV1" s="141"/>
      <c r="TIW1" s="141"/>
      <c r="TIX1" s="141"/>
      <c r="TIY1" s="141"/>
      <c r="TIZ1" s="141"/>
      <c r="TJA1" s="141"/>
      <c r="TJB1" s="141"/>
      <c r="TJC1" s="141"/>
      <c r="TJD1" s="141"/>
      <c r="TJE1" s="141"/>
      <c r="TJF1" s="141"/>
      <c r="TJG1" s="141"/>
      <c r="TJH1" s="141"/>
      <c r="TJI1" s="141"/>
      <c r="TJJ1" s="141"/>
      <c r="TJK1" s="141"/>
      <c r="TJL1" s="141"/>
      <c r="TJM1" s="141"/>
      <c r="TJN1" s="141"/>
      <c r="TJO1" s="141"/>
      <c r="TJP1" s="141"/>
      <c r="TJQ1" s="141"/>
      <c r="TJR1" s="141"/>
      <c r="TJS1" s="141"/>
      <c r="TJT1" s="141"/>
      <c r="TJU1" s="141"/>
      <c r="TJV1" s="141"/>
      <c r="TJW1" s="141"/>
      <c r="TJX1" s="141"/>
      <c r="TJY1" s="141"/>
      <c r="TJZ1" s="141"/>
      <c r="TKA1" s="141"/>
      <c r="TKB1" s="141"/>
      <c r="TKC1" s="141"/>
      <c r="TKD1" s="141"/>
      <c r="TKE1" s="141"/>
      <c r="TKF1" s="141"/>
      <c r="TKG1" s="141"/>
      <c r="TKH1" s="141"/>
      <c r="TKI1" s="141"/>
      <c r="TKJ1" s="141"/>
      <c r="TKK1" s="141"/>
      <c r="TKL1" s="141"/>
      <c r="TKM1" s="141"/>
      <c r="TKN1" s="141"/>
      <c r="TKO1" s="141"/>
      <c r="TKP1" s="141"/>
      <c r="TKQ1" s="141"/>
      <c r="TKR1" s="141"/>
      <c r="TKS1" s="141"/>
      <c r="TKT1" s="141"/>
      <c r="TKU1" s="141"/>
      <c r="TKV1" s="141"/>
      <c r="TKW1" s="141"/>
      <c r="TKX1" s="141"/>
      <c r="TKY1" s="141"/>
      <c r="TKZ1" s="141"/>
      <c r="TLA1" s="141"/>
      <c r="TLB1" s="141"/>
      <c r="TLC1" s="141"/>
      <c r="TLD1" s="141"/>
      <c r="TLE1" s="141"/>
      <c r="TLF1" s="141"/>
      <c r="TLG1" s="141"/>
      <c r="TLH1" s="141"/>
      <c r="TLI1" s="141"/>
      <c r="TLJ1" s="141"/>
      <c r="TLK1" s="141"/>
      <c r="TLL1" s="141"/>
      <c r="TLM1" s="141"/>
      <c r="TLN1" s="141"/>
      <c r="TLO1" s="141"/>
      <c r="TLP1" s="141"/>
      <c r="TLQ1" s="141"/>
      <c r="TLR1" s="141"/>
      <c r="TLS1" s="141"/>
      <c r="TLT1" s="141"/>
      <c r="TLU1" s="141"/>
      <c r="TLV1" s="141"/>
      <c r="TLW1" s="141"/>
      <c r="TLX1" s="141"/>
      <c r="TLY1" s="141"/>
      <c r="TLZ1" s="141"/>
      <c r="TMA1" s="141"/>
      <c r="TMB1" s="141"/>
      <c r="TMC1" s="141"/>
      <c r="TMD1" s="141"/>
      <c r="TME1" s="141"/>
      <c r="TMF1" s="141"/>
      <c r="TMG1" s="141"/>
      <c r="TMH1" s="141"/>
      <c r="TMI1" s="141"/>
      <c r="TMJ1" s="141"/>
      <c r="TMK1" s="141"/>
      <c r="TML1" s="141"/>
      <c r="TMM1" s="141"/>
      <c r="TMN1" s="141"/>
      <c r="TMO1" s="141"/>
      <c r="TMP1" s="141"/>
      <c r="TMQ1" s="141"/>
      <c r="TMR1" s="141"/>
      <c r="TMS1" s="141"/>
      <c r="TMT1" s="141"/>
      <c r="TMU1" s="141"/>
      <c r="TMV1" s="141"/>
      <c r="TMW1" s="141"/>
      <c r="TMX1" s="141"/>
      <c r="TMY1" s="141"/>
      <c r="TMZ1" s="141"/>
      <c r="TNA1" s="141"/>
      <c r="TNB1" s="141"/>
      <c r="TNC1" s="141"/>
      <c r="TND1" s="141"/>
      <c r="TNE1" s="141"/>
      <c r="TNF1" s="141"/>
      <c r="TNG1" s="141"/>
      <c r="TNH1" s="141"/>
      <c r="TNI1" s="141"/>
      <c r="TNJ1" s="141"/>
      <c r="TNK1" s="141"/>
      <c r="TNL1" s="141"/>
      <c r="TNM1" s="141"/>
      <c r="TNN1" s="141"/>
      <c r="TNO1" s="141"/>
      <c r="TNP1" s="141"/>
      <c r="TNQ1" s="141"/>
      <c r="TNR1" s="141"/>
      <c r="TNS1" s="141"/>
      <c r="TNT1" s="141"/>
      <c r="TNU1" s="141"/>
      <c r="TNV1" s="141"/>
      <c r="TNW1" s="141"/>
      <c r="TNX1" s="141"/>
      <c r="TNY1" s="141"/>
      <c r="TNZ1" s="141"/>
      <c r="TOA1" s="141"/>
      <c r="TOB1" s="141"/>
      <c r="TOC1" s="141"/>
      <c r="TOD1" s="141"/>
      <c r="TOE1" s="141"/>
      <c r="TOF1" s="141"/>
      <c r="TOG1" s="141"/>
      <c r="TOH1" s="141"/>
      <c r="TOI1" s="141"/>
      <c r="TOJ1" s="141"/>
      <c r="TOK1" s="141"/>
      <c r="TOL1" s="141"/>
      <c r="TOM1" s="141"/>
      <c r="TON1" s="141"/>
      <c r="TOO1" s="141"/>
      <c r="TOP1" s="141"/>
      <c r="TOQ1" s="141"/>
      <c r="TOR1" s="141"/>
      <c r="TOS1" s="141"/>
      <c r="TOT1" s="141"/>
      <c r="TOU1" s="141"/>
      <c r="TOV1" s="141"/>
      <c r="TOW1" s="141"/>
      <c r="TOX1" s="141"/>
      <c r="TOY1" s="141"/>
      <c r="TOZ1" s="141"/>
      <c r="TPA1" s="141"/>
      <c r="TPB1" s="141"/>
      <c r="TPC1" s="141"/>
      <c r="TPD1" s="141"/>
      <c r="TPE1" s="141"/>
      <c r="TPF1" s="141"/>
      <c r="TPG1" s="141"/>
      <c r="TPH1" s="141"/>
      <c r="TPI1" s="141"/>
      <c r="TPJ1" s="141"/>
      <c r="TPK1" s="141"/>
      <c r="TPL1" s="141"/>
      <c r="TPM1" s="141"/>
      <c r="TPN1" s="141"/>
      <c r="TPO1" s="141"/>
      <c r="TPP1" s="141"/>
      <c r="TPQ1" s="141"/>
      <c r="TPR1" s="141"/>
      <c r="TPS1" s="141"/>
      <c r="TPT1" s="141"/>
      <c r="TPU1" s="141"/>
      <c r="TPV1" s="141"/>
      <c r="TPW1" s="141"/>
      <c r="TPX1" s="141"/>
      <c r="TPY1" s="141"/>
      <c r="TPZ1" s="141"/>
      <c r="TQA1" s="141"/>
      <c r="TQB1" s="141"/>
      <c r="TQC1" s="141"/>
      <c r="TQD1" s="141"/>
      <c r="TQE1" s="141"/>
      <c r="TQF1" s="141"/>
      <c r="TQG1" s="141"/>
      <c r="TQH1" s="141"/>
      <c r="TQI1" s="141"/>
      <c r="TQJ1" s="141"/>
      <c r="TQK1" s="141"/>
      <c r="TQL1" s="141"/>
      <c r="TQM1" s="141"/>
      <c r="TQN1" s="141"/>
      <c r="TQO1" s="141"/>
      <c r="TQP1" s="141"/>
      <c r="TQQ1" s="141"/>
      <c r="TQR1" s="141"/>
      <c r="TQS1" s="141"/>
      <c r="TQT1" s="141"/>
      <c r="TQU1" s="141"/>
      <c r="TQV1" s="141"/>
      <c r="TQW1" s="141"/>
      <c r="TQX1" s="141"/>
      <c r="TQY1" s="141"/>
      <c r="TQZ1" s="141"/>
      <c r="TRA1" s="141"/>
      <c r="TRB1" s="141"/>
      <c r="TRC1" s="141"/>
      <c r="TRD1" s="141"/>
      <c r="TRE1" s="141"/>
      <c r="TRF1" s="141"/>
      <c r="TRG1" s="141"/>
      <c r="TRH1" s="141"/>
      <c r="TRI1" s="141"/>
      <c r="TRJ1" s="141"/>
      <c r="TRK1" s="141"/>
      <c r="TRL1" s="141"/>
      <c r="TRM1" s="141"/>
      <c r="TRN1" s="141"/>
      <c r="TRO1" s="141"/>
      <c r="TRP1" s="141"/>
      <c r="TRQ1" s="141"/>
      <c r="TRR1" s="141"/>
      <c r="TRS1" s="141"/>
      <c r="TRT1" s="141"/>
      <c r="TRU1" s="141"/>
      <c r="TRV1" s="141"/>
      <c r="TRW1" s="141"/>
      <c r="TRX1" s="141"/>
      <c r="TRY1" s="141"/>
      <c r="TRZ1" s="141"/>
      <c r="TSA1" s="141"/>
      <c r="TSB1" s="141"/>
      <c r="TSC1" s="141"/>
      <c r="TSD1" s="141"/>
      <c r="TSE1" s="141"/>
      <c r="TSF1" s="141"/>
      <c r="TSG1" s="141"/>
      <c r="TSH1" s="141"/>
      <c r="TSI1" s="141"/>
      <c r="TSJ1" s="141"/>
      <c r="TSK1" s="141"/>
      <c r="TSL1" s="141"/>
      <c r="TSM1" s="141"/>
      <c r="TSN1" s="141"/>
      <c r="TSO1" s="141"/>
      <c r="TSP1" s="141"/>
      <c r="TSQ1" s="141"/>
      <c r="TSR1" s="141"/>
      <c r="TSS1" s="141"/>
      <c r="TST1" s="141"/>
      <c r="TSU1" s="141"/>
      <c r="TSV1" s="141"/>
      <c r="TSW1" s="141"/>
      <c r="TSX1" s="141"/>
      <c r="TSY1" s="141"/>
      <c r="TSZ1" s="141"/>
      <c r="TTA1" s="141"/>
      <c r="TTB1" s="141"/>
      <c r="TTC1" s="141"/>
      <c r="TTD1" s="141"/>
      <c r="TTE1" s="141"/>
      <c r="TTF1" s="141"/>
      <c r="TTG1" s="141"/>
      <c r="TTH1" s="141"/>
      <c r="TTI1" s="141"/>
      <c r="TTJ1" s="141"/>
      <c r="TTK1" s="141"/>
      <c r="TTL1" s="141"/>
      <c r="TTM1" s="141"/>
      <c r="TTN1" s="141"/>
      <c r="TTO1" s="141"/>
      <c r="TTP1" s="141"/>
      <c r="TTQ1" s="141"/>
      <c r="TTR1" s="141"/>
      <c r="TTS1" s="141"/>
      <c r="TTT1" s="141"/>
      <c r="TTU1" s="141"/>
      <c r="TTV1" s="141"/>
      <c r="TTW1" s="141"/>
      <c r="TTX1" s="141"/>
      <c r="TTY1" s="141"/>
      <c r="TTZ1" s="141"/>
      <c r="TUA1" s="141"/>
      <c r="TUB1" s="141"/>
      <c r="TUC1" s="141"/>
      <c r="TUD1" s="141"/>
      <c r="TUE1" s="141"/>
      <c r="TUF1" s="141"/>
      <c r="TUG1" s="141"/>
      <c r="TUH1" s="141"/>
      <c r="TUI1" s="141"/>
      <c r="TUJ1" s="141"/>
      <c r="TUK1" s="141"/>
      <c r="TUL1" s="141"/>
      <c r="TUM1" s="141"/>
      <c r="TUN1" s="141"/>
      <c r="TUO1" s="141"/>
      <c r="TUP1" s="141"/>
      <c r="TUQ1" s="141"/>
      <c r="TUR1" s="141"/>
      <c r="TUS1" s="141"/>
      <c r="TUT1" s="141"/>
      <c r="TUU1" s="141"/>
      <c r="TUV1" s="141"/>
      <c r="TUW1" s="141"/>
      <c r="TUX1" s="141"/>
      <c r="TUY1" s="141"/>
      <c r="TUZ1" s="141"/>
      <c r="TVA1" s="141"/>
      <c r="TVB1" s="141"/>
      <c r="TVC1" s="141"/>
      <c r="TVD1" s="141"/>
      <c r="TVE1" s="141"/>
      <c r="TVF1" s="141"/>
      <c r="TVG1" s="141"/>
      <c r="TVH1" s="141"/>
      <c r="TVI1" s="141"/>
      <c r="TVJ1" s="141"/>
      <c r="TVK1" s="141"/>
      <c r="TVL1" s="141"/>
      <c r="TVM1" s="141"/>
      <c r="TVN1" s="141"/>
      <c r="TVO1" s="141"/>
      <c r="TVP1" s="141"/>
      <c r="TVQ1" s="141"/>
      <c r="TVR1" s="141"/>
      <c r="TVS1" s="141"/>
      <c r="TVT1" s="141"/>
      <c r="TVU1" s="141"/>
      <c r="TVV1" s="141"/>
      <c r="TVW1" s="141"/>
      <c r="TVX1" s="141"/>
      <c r="TVY1" s="141"/>
      <c r="TVZ1" s="141"/>
      <c r="TWA1" s="141"/>
      <c r="TWB1" s="141"/>
      <c r="TWC1" s="141"/>
      <c r="TWD1" s="141"/>
      <c r="TWE1" s="141"/>
      <c r="TWF1" s="141"/>
      <c r="TWG1" s="141"/>
      <c r="TWH1" s="141"/>
      <c r="TWI1" s="141"/>
      <c r="TWJ1" s="141"/>
      <c r="TWK1" s="141"/>
      <c r="TWL1" s="141"/>
      <c r="TWM1" s="141"/>
      <c r="TWN1" s="141"/>
      <c r="TWO1" s="141"/>
      <c r="TWP1" s="141"/>
      <c r="TWQ1" s="141"/>
      <c r="TWR1" s="141"/>
      <c r="TWS1" s="141"/>
      <c r="TWT1" s="141"/>
      <c r="TWU1" s="141"/>
      <c r="TWV1" s="141"/>
      <c r="TWW1" s="141"/>
      <c r="TWX1" s="141"/>
      <c r="TWY1" s="141"/>
      <c r="TWZ1" s="141"/>
      <c r="TXA1" s="141"/>
      <c r="TXB1" s="141"/>
      <c r="TXC1" s="141"/>
      <c r="TXD1" s="141"/>
      <c r="TXE1" s="141"/>
      <c r="TXF1" s="141"/>
      <c r="TXG1" s="141"/>
      <c r="TXH1" s="141"/>
      <c r="TXI1" s="141"/>
      <c r="TXJ1" s="141"/>
      <c r="TXK1" s="141"/>
      <c r="TXL1" s="141"/>
      <c r="TXM1" s="141"/>
      <c r="TXN1" s="141"/>
      <c r="TXO1" s="141"/>
      <c r="TXP1" s="141"/>
      <c r="TXQ1" s="141"/>
      <c r="TXR1" s="141"/>
      <c r="TXS1" s="141"/>
      <c r="TXT1" s="141"/>
      <c r="TXU1" s="141"/>
      <c r="TXV1" s="141"/>
      <c r="TXW1" s="141"/>
      <c r="TXX1" s="141"/>
      <c r="TXY1" s="141"/>
      <c r="TXZ1" s="141"/>
      <c r="TYA1" s="141"/>
      <c r="TYB1" s="141"/>
      <c r="TYC1" s="141"/>
      <c r="TYD1" s="141"/>
      <c r="TYE1" s="141"/>
      <c r="TYF1" s="141"/>
      <c r="TYG1" s="141"/>
      <c r="TYH1" s="141"/>
      <c r="TYI1" s="141"/>
      <c r="TYJ1" s="141"/>
      <c r="TYK1" s="141"/>
      <c r="TYL1" s="141"/>
      <c r="TYM1" s="141"/>
      <c r="TYN1" s="141"/>
      <c r="TYO1" s="141"/>
      <c r="TYP1" s="141"/>
      <c r="TYQ1" s="141"/>
      <c r="TYR1" s="141"/>
      <c r="TYS1" s="141"/>
      <c r="TYT1" s="141"/>
      <c r="TYU1" s="141"/>
      <c r="TYV1" s="141"/>
      <c r="TYW1" s="141"/>
      <c r="TYX1" s="141"/>
      <c r="TYY1" s="141"/>
      <c r="TYZ1" s="141"/>
      <c r="TZA1" s="141"/>
      <c r="TZB1" s="141"/>
      <c r="TZC1" s="141"/>
      <c r="TZD1" s="141"/>
      <c r="TZE1" s="141"/>
      <c r="TZF1" s="141"/>
      <c r="TZG1" s="141"/>
      <c r="TZH1" s="141"/>
      <c r="TZI1" s="141"/>
      <c r="TZJ1" s="141"/>
      <c r="TZK1" s="141"/>
      <c r="TZL1" s="141"/>
      <c r="TZM1" s="141"/>
      <c r="TZN1" s="141"/>
      <c r="TZO1" s="141"/>
      <c r="TZP1" s="141"/>
      <c r="TZQ1" s="141"/>
      <c r="TZR1" s="141"/>
      <c r="TZS1" s="141"/>
      <c r="TZT1" s="141"/>
      <c r="TZU1" s="141"/>
      <c r="TZV1" s="141"/>
      <c r="TZW1" s="141"/>
      <c r="TZX1" s="141"/>
      <c r="TZY1" s="141"/>
      <c r="TZZ1" s="141"/>
      <c r="UAA1" s="141"/>
      <c r="UAB1" s="141"/>
      <c r="UAC1" s="141"/>
      <c r="UAD1" s="141"/>
      <c r="UAE1" s="141"/>
      <c r="UAF1" s="141"/>
      <c r="UAG1" s="141"/>
      <c r="UAH1" s="141"/>
      <c r="UAI1" s="141"/>
      <c r="UAJ1" s="141"/>
      <c r="UAK1" s="141"/>
      <c r="UAL1" s="141"/>
      <c r="UAM1" s="141"/>
      <c r="UAN1" s="141"/>
      <c r="UAO1" s="141"/>
      <c r="UAP1" s="141"/>
      <c r="UAQ1" s="141"/>
      <c r="UAR1" s="141"/>
      <c r="UAS1" s="141"/>
      <c r="UAT1" s="141"/>
      <c r="UAU1" s="141"/>
      <c r="UAV1" s="141"/>
      <c r="UAW1" s="141"/>
      <c r="UAX1" s="141"/>
      <c r="UAY1" s="141"/>
      <c r="UAZ1" s="141"/>
      <c r="UBA1" s="141"/>
      <c r="UBB1" s="141"/>
      <c r="UBC1" s="141"/>
      <c r="UBD1" s="141"/>
      <c r="UBE1" s="141"/>
      <c r="UBF1" s="141"/>
      <c r="UBG1" s="141"/>
      <c r="UBH1" s="141"/>
      <c r="UBI1" s="141"/>
      <c r="UBJ1" s="141"/>
      <c r="UBK1" s="141"/>
      <c r="UBL1" s="141"/>
      <c r="UBM1" s="141"/>
      <c r="UBN1" s="141"/>
      <c r="UBO1" s="141"/>
      <c r="UBP1" s="141"/>
      <c r="UBQ1" s="141"/>
      <c r="UBR1" s="141"/>
      <c r="UBS1" s="141"/>
      <c r="UBT1" s="141"/>
      <c r="UBU1" s="141"/>
      <c r="UBV1" s="141"/>
      <c r="UBW1" s="141"/>
      <c r="UBX1" s="141"/>
      <c r="UBY1" s="141"/>
      <c r="UBZ1" s="141"/>
      <c r="UCA1" s="141"/>
      <c r="UCB1" s="141"/>
      <c r="UCC1" s="141"/>
      <c r="UCD1" s="141"/>
      <c r="UCE1" s="141"/>
      <c r="UCF1" s="141"/>
      <c r="UCG1" s="141"/>
      <c r="UCH1" s="141"/>
      <c r="UCI1" s="141"/>
      <c r="UCJ1" s="141"/>
      <c r="UCK1" s="141"/>
      <c r="UCL1" s="141"/>
      <c r="UCM1" s="141"/>
      <c r="UCN1" s="141"/>
      <c r="UCO1" s="141"/>
      <c r="UCP1" s="141"/>
      <c r="UCQ1" s="141"/>
      <c r="UCR1" s="141"/>
      <c r="UCS1" s="141"/>
      <c r="UCT1" s="141"/>
      <c r="UCU1" s="141"/>
      <c r="UCV1" s="141"/>
      <c r="UCW1" s="141"/>
      <c r="UCX1" s="141"/>
      <c r="UCY1" s="141"/>
      <c r="UCZ1" s="141"/>
      <c r="UDA1" s="141"/>
      <c r="UDB1" s="141"/>
      <c r="UDC1" s="141"/>
      <c r="UDD1" s="141"/>
      <c r="UDE1" s="141"/>
      <c r="UDF1" s="141"/>
      <c r="UDG1" s="141"/>
      <c r="UDH1" s="141"/>
      <c r="UDI1" s="141"/>
      <c r="UDJ1" s="141"/>
      <c r="UDK1" s="141"/>
      <c r="UDL1" s="141"/>
      <c r="UDM1" s="141"/>
      <c r="UDN1" s="141"/>
      <c r="UDO1" s="141"/>
      <c r="UDP1" s="141"/>
      <c r="UDQ1" s="141"/>
      <c r="UDR1" s="141"/>
      <c r="UDS1" s="141"/>
      <c r="UDT1" s="141"/>
      <c r="UDU1" s="141"/>
      <c r="UDV1" s="141"/>
      <c r="UDW1" s="141"/>
      <c r="UDX1" s="141"/>
      <c r="UDY1" s="141"/>
      <c r="UDZ1" s="141"/>
      <c r="UEA1" s="141"/>
      <c r="UEB1" s="141"/>
      <c r="UEC1" s="141"/>
      <c r="UED1" s="141"/>
      <c r="UEE1" s="141"/>
      <c r="UEF1" s="141"/>
      <c r="UEG1" s="141"/>
      <c r="UEH1" s="141"/>
      <c r="UEI1" s="141"/>
      <c r="UEJ1" s="141"/>
      <c r="UEK1" s="141"/>
      <c r="UEL1" s="141"/>
      <c r="UEM1" s="141"/>
      <c r="UEN1" s="141"/>
      <c r="UEO1" s="141"/>
      <c r="UEP1" s="141"/>
      <c r="UEQ1" s="141"/>
      <c r="UER1" s="141"/>
      <c r="UES1" s="141"/>
      <c r="UET1" s="141"/>
      <c r="UEU1" s="141"/>
      <c r="UEV1" s="141"/>
      <c r="UEW1" s="141"/>
      <c r="UEX1" s="141"/>
      <c r="UEY1" s="141"/>
      <c r="UEZ1" s="141"/>
      <c r="UFA1" s="141"/>
      <c r="UFB1" s="141"/>
      <c r="UFC1" s="141"/>
      <c r="UFD1" s="141"/>
      <c r="UFE1" s="141"/>
      <c r="UFF1" s="141"/>
      <c r="UFG1" s="141"/>
      <c r="UFH1" s="141"/>
      <c r="UFI1" s="141"/>
      <c r="UFJ1" s="141"/>
      <c r="UFK1" s="141"/>
      <c r="UFL1" s="141"/>
      <c r="UFM1" s="141"/>
      <c r="UFN1" s="141"/>
      <c r="UFO1" s="141"/>
      <c r="UFP1" s="141"/>
      <c r="UFQ1" s="141"/>
      <c r="UFR1" s="141"/>
      <c r="UFS1" s="141"/>
      <c r="UFT1" s="141"/>
      <c r="UFU1" s="141"/>
      <c r="UFV1" s="141"/>
      <c r="UFW1" s="141"/>
      <c r="UFX1" s="141"/>
      <c r="UFY1" s="141"/>
      <c r="UFZ1" s="141"/>
      <c r="UGA1" s="141"/>
      <c r="UGB1" s="141"/>
      <c r="UGC1" s="141"/>
      <c r="UGD1" s="141"/>
      <c r="UGE1" s="141"/>
      <c r="UGF1" s="141"/>
      <c r="UGG1" s="141"/>
      <c r="UGH1" s="141"/>
      <c r="UGI1" s="141"/>
      <c r="UGJ1" s="141"/>
      <c r="UGK1" s="141"/>
      <c r="UGL1" s="141"/>
      <c r="UGM1" s="141"/>
      <c r="UGN1" s="141"/>
      <c r="UGO1" s="141"/>
      <c r="UGP1" s="141"/>
      <c r="UGQ1" s="141"/>
      <c r="UGR1" s="141"/>
      <c r="UGS1" s="141"/>
      <c r="UGT1" s="141"/>
      <c r="UGU1" s="141"/>
      <c r="UGV1" s="141"/>
      <c r="UGW1" s="141"/>
      <c r="UGX1" s="141"/>
      <c r="UGY1" s="141"/>
      <c r="UGZ1" s="141"/>
      <c r="UHA1" s="141"/>
      <c r="UHB1" s="141"/>
      <c r="UHC1" s="141"/>
      <c r="UHD1" s="141"/>
      <c r="UHE1" s="141"/>
      <c r="UHF1" s="141"/>
      <c r="UHG1" s="141"/>
      <c r="UHH1" s="141"/>
      <c r="UHI1" s="141"/>
      <c r="UHJ1" s="141"/>
      <c r="UHK1" s="141"/>
      <c r="UHL1" s="141"/>
      <c r="UHM1" s="141"/>
      <c r="UHN1" s="141"/>
      <c r="UHO1" s="141"/>
      <c r="UHP1" s="141"/>
      <c r="UHQ1" s="141"/>
      <c r="UHR1" s="141"/>
      <c r="UHS1" s="141"/>
      <c r="UHT1" s="141"/>
      <c r="UHU1" s="141"/>
      <c r="UHV1" s="141"/>
      <c r="UHW1" s="141"/>
      <c r="UHX1" s="141"/>
      <c r="UHY1" s="141"/>
      <c r="UHZ1" s="141"/>
      <c r="UIA1" s="141"/>
      <c r="UIB1" s="141"/>
      <c r="UIC1" s="141"/>
      <c r="UID1" s="141"/>
      <c r="UIE1" s="141"/>
      <c r="UIF1" s="141"/>
      <c r="UIG1" s="141"/>
      <c r="UIH1" s="141"/>
      <c r="UII1" s="141"/>
      <c r="UIJ1" s="141"/>
      <c r="UIK1" s="141"/>
      <c r="UIL1" s="141"/>
      <c r="UIM1" s="141"/>
      <c r="UIN1" s="141"/>
      <c r="UIO1" s="141"/>
      <c r="UIP1" s="141"/>
      <c r="UIQ1" s="141"/>
      <c r="UIR1" s="141"/>
      <c r="UIS1" s="141"/>
      <c r="UIT1" s="141"/>
      <c r="UIU1" s="141"/>
      <c r="UIV1" s="141"/>
      <c r="UIW1" s="141"/>
      <c r="UIX1" s="141"/>
      <c r="UIY1" s="141"/>
      <c r="UIZ1" s="141"/>
      <c r="UJA1" s="141"/>
      <c r="UJB1" s="141"/>
      <c r="UJC1" s="141"/>
      <c r="UJD1" s="141"/>
      <c r="UJE1" s="141"/>
      <c r="UJF1" s="141"/>
      <c r="UJG1" s="141"/>
      <c r="UJH1" s="141"/>
      <c r="UJI1" s="141"/>
      <c r="UJJ1" s="141"/>
      <c r="UJK1" s="141"/>
      <c r="UJL1" s="141"/>
      <c r="UJM1" s="141"/>
      <c r="UJN1" s="141"/>
      <c r="UJO1" s="141"/>
      <c r="UJP1" s="141"/>
      <c r="UJQ1" s="141"/>
      <c r="UJR1" s="141"/>
      <c r="UJS1" s="141"/>
      <c r="UJT1" s="141"/>
      <c r="UJU1" s="141"/>
      <c r="UJV1" s="141"/>
      <c r="UJW1" s="141"/>
      <c r="UJX1" s="141"/>
      <c r="UJY1" s="141"/>
      <c r="UJZ1" s="141"/>
      <c r="UKA1" s="141"/>
      <c r="UKB1" s="141"/>
      <c r="UKC1" s="141"/>
      <c r="UKD1" s="141"/>
      <c r="UKE1" s="141"/>
      <c r="UKF1" s="141"/>
      <c r="UKG1" s="141"/>
      <c r="UKH1" s="141"/>
      <c r="UKI1" s="141"/>
      <c r="UKJ1" s="141"/>
      <c r="UKK1" s="141"/>
      <c r="UKL1" s="141"/>
      <c r="UKM1" s="141"/>
      <c r="UKN1" s="141"/>
      <c r="UKO1" s="141"/>
      <c r="UKP1" s="141"/>
      <c r="UKQ1" s="141"/>
      <c r="UKR1" s="141"/>
      <c r="UKS1" s="141"/>
      <c r="UKT1" s="141"/>
      <c r="UKU1" s="141"/>
      <c r="UKV1" s="141"/>
      <c r="UKW1" s="141"/>
      <c r="UKX1" s="141"/>
      <c r="UKY1" s="141"/>
      <c r="UKZ1" s="141"/>
      <c r="ULA1" s="141"/>
      <c r="ULB1" s="141"/>
      <c r="ULC1" s="141"/>
      <c r="ULD1" s="141"/>
      <c r="ULE1" s="141"/>
      <c r="ULF1" s="141"/>
      <c r="ULG1" s="141"/>
      <c r="ULH1" s="141"/>
      <c r="ULI1" s="141"/>
      <c r="ULJ1" s="141"/>
      <c r="ULK1" s="141"/>
      <c r="ULL1" s="141"/>
      <c r="ULM1" s="141"/>
      <c r="ULN1" s="141"/>
      <c r="ULO1" s="141"/>
      <c r="ULP1" s="141"/>
      <c r="ULQ1" s="141"/>
      <c r="ULR1" s="141"/>
      <c r="ULS1" s="141"/>
      <c r="ULT1" s="141"/>
      <c r="ULU1" s="141"/>
      <c r="ULV1" s="141"/>
      <c r="ULW1" s="141"/>
      <c r="ULX1" s="141"/>
      <c r="ULY1" s="141"/>
      <c r="ULZ1" s="141"/>
      <c r="UMA1" s="141"/>
      <c r="UMB1" s="141"/>
      <c r="UMC1" s="141"/>
      <c r="UMD1" s="141"/>
      <c r="UME1" s="141"/>
      <c r="UMF1" s="141"/>
      <c r="UMG1" s="141"/>
      <c r="UMH1" s="141"/>
      <c r="UMI1" s="141"/>
      <c r="UMJ1" s="141"/>
      <c r="UMK1" s="141"/>
      <c r="UML1" s="141"/>
      <c r="UMM1" s="141"/>
      <c r="UMN1" s="141"/>
      <c r="UMO1" s="141"/>
      <c r="UMP1" s="141"/>
      <c r="UMQ1" s="141"/>
      <c r="UMR1" s="141"/>
      <c r="UMS1" s="141"/>
      <c r="UMT1" s="141"/>
      <c r="UMU1" s="141"/>
      <c r="UMV1" s="141"/>
      <c r="UMW1" s="141"/>
      <c r="UMX1" s="141"/>
      <c r="UMY1" s="141"/>
      <c r="UMZ1" s="141"/>
      <c r="UNA1" s="141"/>
      <c r="UNB1" s="141"/>
      <c r="UNC1" s="141"/>
      <c r="UND1" s="141"/>
      <c r="UNE1" s="141"/>
      <c r="UNF1" s="141"/>
      <c r="UNG1" s="141"/>
      <c r="UNH1" s="141"/>
      <c r="UNI1" s="141"/>
      <c r="UNJ1" s="141"/>
      <c r="UNK1" s="141"/>
      <c r="UNL1" s="141"/>
      <c r="UNM1" s="141"/>
      <c r="UNN1" s="141"/>
      <c r="UNO1" s="141"/>
      <c r="UNP1" s="141"/>
      <c r="UNQ1" s="141"/>
      <c r="UNR1" s="141"/>
      <c r="UNS1" s="141"/>
      <c r="UNT1" s="141"/>
      <c r="UNU1" s="141"/>
      <c r="UNV1" s="141"/>
      <c r="UNW1" s="141"/>
      <c r="UNX1" s="141"/>
      <c r="UNY1" s="141"/>
      <c r="UNZ1" s="141"/>
      <c r="UOA1" s="141"/>
      <c r="UOB1" s="141"/>
      <c r="UOC1" s="141"/>
      <c r="UOD1" s="141"/>
      <c r="UOE1" s="141"/>
      <c r="UOF1" s="141"/>
      <c r="UOG1" s="141"/>
      <c r="UOH1" s="141"/>
      <c r="UOI1" s="141"/>
      <c r="UOJ1" s="141"/>
      <c r="UOK1" s="141"/>
      <c r="UOL1" s="141"/>
      <c r="UOM1" s="141"/>
      <c r="UON1" s="141"/>
      <c r="UOO1" s="141"/>
      <c r="UOP1" s="141"/>
      <c r="UOQ1" s="141"/>
      <c r="UOR1" s="141"/>
      <c r="UOS1" s="141"/>
      <c r="UOT1" s="141"/>
      <c r="UOU1" s="141"/>
      <c r="UOV1" s="141"/>
      <c r="UOW1" s="141"/>
      <c r="UOX1" s="141"/>
      <c r="UOY1" s="141"/>
      <c r="UOZ1" s="141"/>
      <c r="UPA1" s="141"/>
      <c r="UPB1" s="141"/>
      <c r="UPC1" s="141"/>
      <c r="UPD1" s="141"/>
      <c r="UPE1" s="141"/>
      <c r="UPF1" s="141"/>
      <c r="UPG1" s="141"/>
      <c r="UPH1" s="141"/>
      <c r="UPI1" s="141"/>
      <c r="UPJ1" s="141"/>
      <c r="UPK1" s="141"/>
      <c r="UPL1" s="141"/>
      <c r="UPM1" s="141"/>
      <c r="UPN1" s="141"/>
      <c r="UPO1" s="141"/>
      <c r="UPP1" s="141"/>
      <c r="UPQ1" s="141"/>
      <c r="UPR1" s="141"/>
      <c r="UPS1" s="141"/>
      <c r="UPT1" s="141"/>
      <c r="UPU1" s="141"/>
      <c r="UPV1" s="141"/>
      <c r="UPW1" s="141"/>
      <c r="UPX1" s="141"/>
      <c r="UPY1" s="141"/>
      <c r="UPZ1" s="141"/>
      <c r="UQA1" s="141"/>
      <c r="UQB1" s="141"/>
      <c r="UQC1" s="141"/>
      <c r="UQD1" s="141"/>
      <c r="UQE1" s="141"/>
      <c r="UQF1" s="141"/>
      <c r="UQG1" s="141"/>
      <c r="UQH1" s="141"/>
      <c r="UQI1" s="141"/>
      <c r="UQJ1" s="141"/>
      <c r="UQK1" s="141"/>
      <c r="UQL1" s="141"/>
      <c r="UQM1" s="141"/>
      <c r="UQN1" s="141"/>
      <c r="UQO1" s="141"/>
      <c r="UQP1" s="141"/>
      <c r="UQQ1" s="141"/>
      <c r="UQR1" s="141"/>
      <c r="UQS1" s="141"/>
      <c r="UQT1" s="141"/>
      <c r="UQU1" s="141"/>
      <c r="UQV1" s="141"/>
      <c r="UQW1" s="141"/>
      <c r="UQX1" s="141"/>
      <c r="UQY1" s="141"/>
      <c r="UQZ1" s="141"/>
      <c r="URA1" s="141"/>
      <c r="URB1" s="141"/>
      <c r="URC1" s="141"/>
      <c r="URD1" s="141"/>
      <c r="URE1" s="141"/>
      <c r="URF1" s="141"/>
      <c r="URG1" s="141"/>
      <c r="URH1" s="141"/>
      <c r="URI1" s="141"/>
      <c r="URJ1" s="141"/>
      <c r="URK1" s="141"/>
      <c r="URL1" s="141"/>
      <c r="URM1" s="141"/>
      <c r="URN1" s="141"/>
      <c r="URO1" s="141"/>
      <c r="URP1" s="141"/>
      <c r="URQ1" s="141"/>
      <c r="URR1" s="141"/>
      <c r="URS1" s="141"/>
      <c r="URT1" s="141"/>
      <c r="URU1" s="141"/>
      <c r="URV1" s="141"/>
      <c r="URW1" s="141"/>
      <c r="URX1" s="141"/>
      <c r="URY1" s="141"/>
      <c r="URZ1" s="141"/>
      <c r="USA1" s="141"/>
      <c r="USB1" s="141"/>
      <c r="USC1" s="141"/>
      <c r="USD1" s="141"/>
      <c r="USE1" s="141"/>
      <c r="USF1" s="141"/>
      <c r="USG1" s="141"/>
      <c r="USH1" s="141"/>
      <c r="USI1" s="141"/>
      <c r="USJ1" s="141"/>
      <c r="USK1" s="141"/>
      <c r="USL1" s="141"/>
      <c r="USM1" s="141"/>
      <c r="USN1" s="141"/>
      <c r="USO1" s="141"/>
      <c r="USP1" s="141"/>
      <c r="USQ1" s="141"/>
      <c r="USR1" s="141"/>
      <c r="USS1" s="141"/>
      <c r="UST1" s="141"/>
      <c r="USU1" s="141"/>
      <c r="USV1" s="141"/>
      <c r="USW1" s="141"/>
      <c r="USX1" s="141"/>
      <c r="USY1" s="141"/>
      <c r="USZ1" s="141"/>
      <c r="UTA1" s="141"/>
      <c r="UTB1" s="141"/>
      <c r="UTC1" s="141"/>
      <c r="UTD1" s="141"/>
      <c r="UTE1" s="141"/>
      <c r="UTF1" s="141"/>
      <c r="UTG1" s="141"/>
      <c r="UTH1" s="141"/>
      <c r="UTI1" s="141"/>
      <c r="UTJ1" s="141"/>
      <c r="UTK1" s="141"/>
      <c r="UTL1" s="141"/>
      <c r="UTM1" s="141"/>
      <c r="UTN1" s="141"/>
      <c r="UTO1" s="141"/>
      <c r="UTP1" s="141"/>
      <c r="UTQ1" s="141"/>
      <c r="UTR1" s="141"/>
      <c r="UTS1" s="141"/>
      <c r="UTT1" s="141"/>
      <c r="UTU1" s="141"/>
      <c r="UTV1" s="141"/>
      <c r="UTW1" s="141"/>
      <c r="UTX1" s="141"/>
      <c r="UTY1" s="141"/>
      <c r="UTZ1" s="141"/>
      <c r="UUA1" s="141"/>
      <c r="UUB1" s="141"/>
      <c r="UUC1" s="141"/>
      <c r="UUD1" s="141"/>
      <c r="UUE1" s="141"/>
      <c r="UUF1" s="141"/>
      <c r="UUG1" s="141"/>
      <c r="UUH1" s="141"/>
      <c r="UUI1" s="141"/>
      <c r="UUJ1" s="141"/>
      <c r="UUK1" s="141"/>
      <c r="UUL1" s="141"/>
      <c r="UUM1" s="141"/>
      <c r="UUN1" s="141"/>
      <c r="UUO1" s="141"/>
      <c r="UUP1" s="141"/>
      <c r="UUQ1" s="141"/>
      <c r="UUR1" s="141"/>
      <c r="UUS1" s="141"/>
      <c r="UUT1" s="141"/>
      <c r="UUU1" s="141"/>
      <c r="UUV1" s="141"/>
      <c r="UUW1" s="141"/>
      <c r="UUX1" s="141"/>
      <c r="UUY1" s="141"/>
      <c r="UUZ1" s="141"/>
      <c r="UVA1" s="141"/>
      <c r="UVB1" s="141"/>
      <c r="UVC1" s="141"/>
      <c r="UVD1" s="141"/>
      <c r="UVE1" s="141"/>
      <c r="UVF1" s="141"/>
      <c r="UVG1" s="141"/>
      <c r="UVH1" s="141"/>
      <c r="UVI1" s="141"/>
      <c r="UVJ1" s="141"/>
      <c r="UVK1" s="141"/>
      <c r="UVL1" s="141"/>
      <c r="UVM1" s="141"/>
      <c r="UVN1" s="141"/>
      <c r="UVO1" s="141"/>
      <c r="UVP1" s="141"/>
      <c r="UVQ1" s="141"/>
      <c r="UVR1" s="141"/>
      <c r="UVS1" s="141"/>
      <c r="UVT1" s="141"/>
      <c r="UVU1" s="141"/>
      <c r="UVV1" s="141"/>
      <c r="UVW1" s="141"/>
      <c r="UVX1" s="141"/>
      <c r="UVY1" s="141"/>
      <c r="UVZ1" s="141"/>
      <c r="UWA1" s="141"/>
      <c r="UWB1" s="141"/>
      <c r="UWC1" s="141"/>
      <c r="UWD1" s="141"/>
      <c r="UWE1" s="141"/>
      <c r="UWF1" s="141"/>
      <c r="UWG1" s="141"/>
      <c r="UWH1" s="141"/>
      <c r="UWI1" s="141"/>
      <c r="UWJ1" s="141"/>
      <c r="UWK1" s="141"/>
      <c r="UWL1" s="141"/>
      <c r="UWM1" s="141"/>
      <c r="UWN1" s="141"/>
      <c r="UWO1" s="141"/>
      <c r="UWP1" s="141"/>
      <c r="UWQ1" s="141"/>
      <c r="UWR1" s="141"/>
      <c r="UWS1" s="141"/>
      <c r="UWT1" s="141"/>
      <c r="UWU1" s="141"/>
      <c r="UWV1" s="141"/>
      <c r="UWW1" s="141"/>
      <c r="UWX1" s="141"/>
      <c r="UWY1" s="141"/>
      <c r="UWZ1" s="141"/>
      <c r="UXA1" s="141"/>
      <c r="UXB1" s="141"/>
      <c r="UXC1" s="141"/>
      <c r="UXD1" s="141"/>
      <c r="UXE1" s="141"/>
      <c r="UXF1" s="141"/>
      <c r="UXG1" s="141"/>
      <c r="UXH1" s="141"/>
      <c r="UXI1" s="141"/>
      <c r="UXJ1" s="141"/>
      <c r="UXK1" s="141"/>
      <c r="UXL1" s="141"/>
      <c r="UXM1" s="141"/>
      <c r="UXN1" s="141"/>
      <c r="UXO1" s="141"/>
      <c r="UXP1" s="141"/>
      <c r="UXQ1" s="141"/>
      <c r="UXR1" s="141"/>
      <c r="UXS1" s="141"/>
      <c r="UXT1" s="141"/>
      <c r="UXU1" s="141"/>
      <c r="UXV1" s="141"/>
      <c r="UXW1" s="141"/>
      <c r="UXX1" s="141"/>
      <c r="UXY1" s="141"/>
      <c r="UXZ1" s="141"/>
      <c r="UYA1" s="141"/>
      <c r="UYB1" s="141"/>
      <c r="UYC1" s="141"/>
      <c r="UYD1" s="141"/>
      <c r="UYE1" s="141"/>
      <c r="UYF1" s="141"/>
      <c r="UYG1" s="141"/>
      <c r="UYH1" s="141"/>
      <c r="UYI1" s="141"/>
      <c r="UYJ1" s="141"/>
      <c r="UYK1" s="141"/>
      <c r="UYL1" s="141"/>
      <c r="UYM1" s="141"/>
      <c r="UYN1" s="141"/>
      <c r="UYO1" s="141"/>
      <c r="UYP1" s="141"/>
      <c r="UYQ1" s="141"/>
      <c r="UYR1" s="141"/>
      <c r="UYS1" s="141"/>
      <c r="UYT1" s="141"/>
      <c r="UYU1" s="141"/>
      <c r="UYV1" s="141"/>
      <c r="UYW1" s="141"/>
      <c r="UYX1" s="141"/>
      <c r="UYY1" s="141"/>
      <c r="UYZ1" s="141"/>
      <c r="UZA1" s="141"/>
      <c r="UZB1" s="141"/>
      <c r="UZC1" s="141"/>
      <c r="UZD1" s="141"/>
      <c r="UZE1" s="141"/>
      <c r="UZF1" s="141"/>
      <c r="UZG1" s="141"/>
      <c r="UZH1" s="141"/>
      <c r="UZI1" s="141"/>
      <c r="UZJ1" s="141"/>
      <c r="UZK1" s="141"/>
      <c r="UZL1" s="141"/>
      <c r="UZM1" s="141"/>
      <c r="UZN1" s="141"/>
      <c r="UZO1" s="141"/>
      <c r="UZP1" s="141"/>
      <c r="UZQ1" s="141"/>
      <c r="UZR1" s="141"/>
      <c r="UZS1" s="141"/>
      <c r="UZT1" s="141"/>
      <c r="UZU1" s="141"/>
      <c r="UZV1" s="141"/>
      <c r="UZW1" s="141"/>
      <c r="UZX1" s="141"/>
      <c r="UZY1" s="141"/>
      <c r="UZZ1" s="141"/>
      <c r="VAA1" s="141"/>
      <c r="VAB1" s="141"/>
      <c r="VAC1" s="141"/>
      <c r="VAD1" s="141"/>
      <c r="VAE1" s="141"/>
      <c r="VAF1" s="141"/>
      <c r="VAG1" s="141"/>
      <c r="VAH1" s="141"/>
      <c r="VAI1" s="141"/>
      <c r="VAJ1" s="141"/>
      <c r="VAK1" s="141"/>
      <c r="VAL1" s="141"/>
      <c r="VAM1" s="141"/>
      <c r="VAN1" s="141"/>
      <c r="VAO1" s="141"/>
      <c r="VAP1" s="141"/>
      <c r="VAQ1" s="141"/>
      <c r="VAR1" s="141"/>
      <c r="VAS1" s="141"/>
      <c r="VAT1" s="141"/>
      <c r="VAU1" s="141"/>
      <c r="VAV1" s="141"/>
      <c r="VAW1" s="141"/>
      <c r="VAX1" s="141"/>
      <c r="VAY1" s="141"/>
      <c r="VAZ1" s="141"/>
      <c r="VBA1" s="141"/>
      <c r="VBB1" s="141"/>
      <c r="VBC1" s="141"/>
      <c r="VBD1" s="141"/>
      <c r="VBE1" s="141"/>
      <c r="VBF1" s="141"/>
      <c r="VBG1" s="141"/>
      <c r="VBH1" s="141"/>
      <c r="VBI1" s="141"/>
      <c r="VBJ1" s="141"/>
      <c r="VBK1" s="141"/>
      <c r="VBL1" s="141"/>
      <c r="VBM1" s="141"/>
      <c r="VBN1" s="141"/>
      <c r="VBO1" s="141"/>
      <c r="VBP1" s="141"/>
      <c r="VBQ1" s="141"/>
      <c r="VBR1" s="141"/>
      <c r="VBS1" s="141"/>
      <c r="VBT1" s="141"/>
      <c r="VBU1" s="141"/>
      <c r="VBV1" s="141"/>
      <c r="VBW1" s="141"/>
      <c r="VBX1" s="141"/>
      <c r="VBY1" s="141"/>
      <c r="VBZ1" s="141"/>
      <c r="VCA1" s="141"/>
      <c r="VCB1" s="141"/>
      <c r="VCC1" s="141"/>
      <c r="VCD1" s="141"/>
      <c r="VCE1" s="141"/>
      <c r="VCF1" s="141"/>
      <c r="VCG1" s="141"/>
      <c r="VCH1" s="141"/>
      <c r="VCI1" s="141"/>
      <c r="VCJ1" s="141"/>
      <c r="VCK1" s="141"/>
      <c r="VCL1" s="141"/>
      <c r="VCM1" s="141"/>
      <c r="VCN1" s="141"/>
      <c r="VCO1" s="141"/>
      <c r="VCP1" s="141"/>
      <c r="VCQ1" s="141"/>
      <c r="VCR1" s="141"/>
      <c r="VCS1" s="141"/>
      <c r="VCT1" s="141"/>
      <c r="VCU1" s="141"/>
      <c r="VCV1" s="141"/>
      <c r="VCW1" s="141"/>
      <c r="VCX1" s="141"/>
      <c r="VCY1" s="141"/>
      <c r="VCZ1" s="141"/>
      <c r="VDA1" s="141"/>
      <c r="VDB1" s="141"/>
      <c r="VDC1" s="141"/>
      <c r="VDD1" s="141"/>
      <c r="VDE1" s="141"/>
      <c r="VDF1" s="141"/>
      <c r="VDG1" s="141"/>
      <c r="VDH1" s="141"/>
      <c r="VDI1" s="141"/>
      <c r="VDJ1" s="141"/>
      <c r="VDK1" s="141"/>
      <c r="VDL1" s="141"/>
      <c r="VDM1" s="141"/>
      <c r="VDN1" s="141"/>
      <c r="VDO1" s="141"/>
      <c r="VDP1" s="141"/>
      <c r="VDQ1" s="141"/>
      <c r="VDR1" s="141"/>
      <c r="VDS1" s="141"/>
      <c r="VDT1" s="141"/>
      <c r="VDU1" s="141"/>
      <c r="VDV1" s="141"/>
      <c r="VDW1" s="141"/>
      <c r="VDX1" s="141"/>
      <c r="VDY1" s="141"/>
      <c r="VDZ1" s="141"/>
      <c r="VEA1" s="141"/>
      <c r="VEB1" s="141"/>
      <c r="VEC1" s="141"/>
      <c r="VED1" s="141"/>
      <c r="VEE1" s="141"/>
      <c r="VEF1" s="141"/>
      <c r="VEG1" s="141"/>
      <c r="VEH1" s="141"/>
      <c r="VEI1" s="141"/>
      <c r="VEJ1" s="141"/>
      <c r="VEK1" s="141"/>
      <c r="VEL1" s="141"/>
      <c r="VEM1" s="141"/>
      <c r="VEN1" s="141"/>
      <c r="VEO1" s="141"/>
      <c r="VEP1" s="141"/>
      <c r="VEQ1" s="141"/>
      <c r="VER1" s="141"/>
      <c r="VES1" s="141"/>
      <c r="VET1" s="141"/>
      <c r="VEU1" s="141"/>
      <c r="VEV1" s="141"/>
      <c r="VEW1" s="141"/>
      <c r="VEX1" s="141"/>
      <c r="VEY1" s="141"/>
      <c r="VEZ1" s="141"/>
      <c r="VFA1" s="141"/>
      <c r="VFB1" s="141"/>
      <c r="VFC1" s="141"/>
      <c r="VFD1" s="141"/>
      <c r="VFE1" s="141"/>
      <c r="VFF1" s="141"/>
      <c r="VFG1" s="141"/>
      <c r="VFH1" s="141"/>
      <c r="VFI1" s="141"/>
      <c r="VFJ1" s="141"/>
      <c r="VFK1" s="141"/>
      <c r="VFL1" s="141"/>
      <c r="VFM1" s="141"/>
      <c r="VFN1" s="141"/>
      <c r="VFO1" s="141"/>
      <c r="VFP1" s="141"/>
      <c r="VFQ1" s="141"/>
      <c r="VFR1" s="141"/>
      <c r="VFS1" s="141"/>
      <c r="VFT1" s="141"/>
      <c r="VFU1" s="141"/>
      <c r="VFV1" s="141"/>
      <c r="VFW1" s="141"/>
      <c r="VFX1" s="141"/>
      <c r="VFY1" s="141"/>
      <c r="VFZ1" s="141"/>
      <c r="VGA1" s="141"/>
      <c r="VGB1" s="141"/>
      <c r="VGC1" s="141"/>
      <c r="VGD1" s="141"/>
      <c r="VGE1" s="141"/>
      <c r="VGF1" s="141"/>
      <c r="VGG1" s="141"/>
      <c r="VGH1" s="141"/>
      <c r="VGI1" s="141"/>
      <c r="VGJ1" s="141"/>
      <c r="VGK1" s="141"/>
      <c r="VGL1" s="141"/>
      <c r="VGM1" s="141"/>
      <c r="VGN1" s="141"/>
      <c r="VGO1" s="141"/>
      <c r="VGP1" s="141"/>
      <c r="VGQ1" s="141"/>
      <c r="VGR1" s="141"/>
      <c r="VGS1" s="141"/>
      <c r="VGT1" s="141"/>
      <c r="VGU1" s="141"/>
      <c r="VGV1" s="141"/>
      <c r="VGW1" s="141"/>
      <c r="VGX1" s="141"/>
      <c r="VGY1" s="141"/>
      <c r="VGZ1" s="141"/>
      <c r="VHA1" s="141"/>
      <c r="VHB1" s="141"/>
      <c r="VHC1" s="141"/>
      <c r="VHD1" s="141"/>
      <c r="VHE1" s="141"/>
      <c r="VHF1" s="141"/>
      <c r="VHG1" s="141"/>
      <c r="VHH1" s="141"/>
      <c r="VHI1" s="141"/>
      <c r="VHJ1" s="141"/>
      <c r="VHK1" s="141"/>
      <c r="VHL1" s="141"/>
      <c r="VHM1" s="141"/>
      <c r="VHN1" s="141"/>
      <c r="VHO1" s="141"/>
      <c r="VHP1" s="141"/>
      <c r="VHQ1" s="141"/>
      <c r="VHR1" s="141"/>
      <c r="VHS1" s="141"/>
      <c r="VHT1" s="141"/>
      <c r="VHU1" s="141"/>
      <c r="VHV1" s="141"/>
      <c r="VHW1" s="141"/>
      <c r="VHX1" s="141"/>
      <c r="VHY1" s="141"/>
      <c r="VHZ1" s="141"/>
      <c r="VIA1" s="141"/>
      <c r="VIB1" s="141"/>
      <c r="VIC1" s="141"/>
      <c r="VID1" s="141"/>
      <c r="VIE1" s="141"/>
      <c r="VIF1" s="141"/>
      <c r="VIG1" s="141"/>
      <c r="VIH1" s="141"/>
      <c r="VII1" s="141"/>
      <c r="VIJ1" s="141"/>
      <c r="VIK1" s="141"/>
      <c r="VIL1" s="141"/>
      <c r="VIM1" s="141"/>
      <c r="VIN1" s="141"/>
      <c r="VIO1" s="141"/>
      <c r="VIP1" s="141"/>
      <c r="VIQ1" s="141"/>
      <c r="VIR1" s="141"/>
      <c r="VIS1" s="141"/>
      <c r="VIT1" s="141"/>
      <c r="VIU1" s="141"/>
      <c r="VIV1" s="141"/>
      <c r="VIW1" s="141"/>
      <c r="VIX1" s="141"/>
      <c r="VIY1" s="141"/>
      <c r="VIZ1" s="141"/>
      <c r="VJA1" s="141"/>
      <c r="VJB1" s="141"/>
      <c r="VJC1" s="141"/>
      <c r="VJD1" s="141"/>
      <c r="VJE1" s="141"/>
      <c r="VJF1" s="141"/>
      <c r="VJG1" s="141"/>
      <c r="VJH1" s="141"/>
      <c r="VJI1" s="141"/>
      <c r="VJJ1" s="141"/>
      <c r="VJK1" s="141"/>
      <c r="VJL1" s="141"/>
      <c r="VJM1" s="141"/>
      <c r="VJN1" s="141"/>
      <c r="VJO1" s="141"/>
      <c r="VJP1" s="141"/>
      <c r="VJQ1" s="141"/>
      <c r="VJR1" s="141"/>
      <c r="VJS1" s="141"/>
      <c r="VJT1" s="141"/>
      <c r="VJU1" s="141"/>
      <c r="VJV1" s="141"/>
      <c r="VJW1" s="141"/>
      <c r="VJX1" s="141"/>
      <c r="VJY1" s="141"/>
      <c r="VJZ1" s="141"/>
      <c r="VKA1" s="141"/>
      <c r="VKB1" s="141"/>
      <c r="VKC1" s="141"/>
      <c r="VKD1" s="141"/>
      <c r="VKE1" s="141"/>
      <c r="VKF1" s="141"/>
      <c r="VKG1" s="141"/>
      <c r="VKH1" s="141"/>
      <c r="VKI1" s="141"/>
      <c r="VKJ1" s="141"/>
      <c r="VKK1" s="141"/>
      <c r="VKL1" s="141"/>
      <c r="VKM1" s="141"/>
      <c r="VKN1" s="141"/>
      <c r="VKO1" s="141"/>
      <c r="VKP1" s="141"/>
      <c r="VKQ1" s="141"/>
      <c r="VKR1" s="141"/>
      <c r="VKS1" s="141"/>
      <c r="VKT1" s="141"/>
      <c r="VKU1" s="141"/>
      <c r="VKV1" s="141"/>
      <c r="VKW1" s="141"/>
      <c r="VKX1" s="141"/>
      <c r="VKY1" s="141"/>
      <c r="VKZ1" s="141"/>
      <c r="VLA1" s="141"/>
      <c r="VLB1" s="141"/>
      <c r="VLC1" s="141"/>
      <c r="VLD1" s="141"/>
      <c r="VLE1" s="141"/>
      <c r="VLF1" s="141"/>
      <c r="VLG1" s="141"/>
      <c r="VLH1" s="141"/>
      <c r="VLI1" s="141"/>
      <c r="VLJ1" s="141"/>
      <c r="VLK1" s="141"/>
      <c r="VLL1" s="141"/>
      <c r="VLM1" s="141"/>
      <c r="VLN1" s="141"/>
      <c r="VLO1" s="141"/>
      <c r="VLP1" s="141"/>
      <c r="VLQ1" s="141"/>
      <c r="VLR1" s="141"/>
      <c r="VLS1" s="141"/>
      <c r="VLT1" s="141"/>
      <c r="VLU1" s="141"/>
      <c r="VLV1" s="141"/>
      <c r="VLW1" s="141"/>
      <c r="VLX1" s="141"/>
      <c r="VLY1" s="141"/>
      <c r="VLZ1" s="141"/>
      <c r="VMA1" s="141"/>
      <c r="VMB1" s="141"/>
      <c r="VMC1" s="141"/>
      <c r="VMD1" s="141"/>
      <c r="VME1" s="141"/>
      <c r="VMF1" s="141"/>
      <c r="VMG1" s="141"/>
      <c r="VMH1" s="141"/>
      <c r="VMI1" s="141"/>
      <c r="VMJ1" s="141"/>
      <c r="VMK1" s="141"/>
      <c r="VML1" s="141"/>
      <c r="VMM1" s="141"/>
      <c r="VMN1" s="141"/>
      <c r="VMO1" s="141"/>
      <c r="VMP1" s="141"/>
      <c r="VMQ1" s="141"/>
      <c r="VMR1" s="141"/>
      <c r="VMS1" s="141"/>
      <c r="VMT1" s="141"/>
      <c r="VMU1" s="141"/>
      <c r="VMV1" s="141"/>
      <c r="VMW1" s="141"/>
      <c r="VMX1" s="141"/>
      <c r="VMY1" s="141"/>
      <c r="VMZ1" s="141"/>
      <c r="VNA1" s="141"/>
      <c r="VNB1" s="141"/>
      <c r="VNC1" s="141"/>
      <c r="VND1" s="141"/>
      <c r="VNE1" s="141"/>
      <c r="VNF1" s="141"/>
      <c r="VNG1" s="141"/>
      <c r="VNH1" s="141"/>
      <c r="VNI1" s="141"/>
      <c r="VNJ1" s="141"/>
      <c r="VNK1" s="141"/>
      <c r="VNL1" s="141"/>
      <c r="VNM1" s="141"/>
      <c r="VNN1" s="141"/>
      <c r="VNO1" s="141"/>
      <c r="VNP1" s="141"/>
      <c r="VNQ1" s="141"/>
      <c r="VNR1" s="141"/>
      <c r="VNS1" s="141"/>
      <c r="VNT1" s="141"/>
      <c r="VNU1" s="141"/>
      <c r="VNV1" s="141"/>
      <c r="VNW1" s="141"/>
      <c r="VNX1" s="141"/>
      <c r="VNY1" s="141"/>
      <c r="VNZ1" s="141"/>
      <c r="VOA1" s="141"/>
      <c r="VOB1" s="141"/>
      <c r="VOC1" s="141"/>
      <c r="VOD1" s="141"/>
      <c r="VOE1" s="141"/>
      <c r="VOF1" s="141"/>
      <c r="VOG1" s="141"/>
      <c r="VOH1" s="141"/>
      <c r="VOI1" s="141"/>
      <c r="VOJ1" s="141"/>
      <c r="VOK1" s="141"/>
      <c r="VOL1" s="141"/>
      <c r="VOM1" s="141"/>
      <c r="VON1" s="141"/>
      <c r="VOO1" s="141"/>
      <c r="VOP1" s="141"/>
      <c r="VOQ1" s="141"/>
      <c r="VOR1" s="141"/>
      <c r="VOS1" s="141"/>
      <c r="VOT1" s="141"/>
      <c r="VOU1" s="141"/>
      <c r="VOV1" s="141"/>
      <c r="VOW1" s="141"/>
      <c r="VOX1" s="141"/>
      <c r="VOY1" s="141"/>
      <c r="VOZ1" s="141"/>
      <c r="VPA1" s="141"/>
      <c r="VPB1" s="141"/>
      <c r="VPC1" s="141"/>
      <c r="VPD1" s="141"/>
      <c r="VPE1" s="141"/>
      <c r="VPF1" s="141"/>
      <c r="VPG1" s="141"/>
      <c r="VPH1" s="141"/>
      <c r="VPI1" s="141"/>
      <c r="VPJ1" s="141"/>
      <c r="VPK1" s="141"/>
      <c r="VPL1" s="141"/>
      <c r="VPM1" s="141"/>
      <c r="VPN1" s="141"/>
      <c r="VPO1" s="141"/>
      <c r="VPP1" s="141"/>
      <c r="VPQ1" s="141"/>
      <c r="VPR1" s="141"/>
      <c r="VPS1" s="141"/>
      <c r="VPT1" s="141"/>
      <c r="VPU1" s="141"/>
      <c r="VPV1" s="141"/>
      <c r="VPW1" s="141"/>
      <c r="VPX1" s="141"/>
      <c r="VPY1" s="141"/>
      <c r="VPZ1" s="141"/>
      <c r="VQA1" s="141"/>
      <c r="VQB1" s="141"/>
      <c r="VQC1" s="141"/>
      <c r="VQD1" s="141"/>
      <c r="VQE1" s="141"/>
      <c r="VQF1" s="141"/>
      <c r="VQG1" s="141"/>
      <c r="VQH1" s="141"/>
      <c r="VQI1" s="141"/>
      <c r="VQJ1" s="141"/>
      <c r="VQK1" s="141"/>
      <c r="VQL1" s="141"/>
      <c r="VQM1" s="141"/>
      <c r="VQN1" s="141"/>
      <c r="VQO1" s="141"/>
      <c r="VQP1" s="141"/>
      <c r="VQQ1" s="141"/>
      <c r="VQR1" s="141"/>
      <c r="VQS1" s="141"/>
      <c r="VQT1" s="141"/>
      <c r="VQU1" s="141"/>
      <c r="VQV1" s="141"/>
      <c r="VQW1" s="141"/>
      <c r="VQX1" s="141"/>
      <c r="VQY1" s="141"/>
      <c r="VQZ1" s="141"/>
      <c r="VRA1" s="141"/>
      <c r="VRB1" s="141"/>
      <c r="VRC1" s="141"/>
      <c r="VRD1" s="141"/>
      <c r="VRE1" s="141"/>
      <c r="VRF1" s="141"/>
      <c r="VRG1" s="141"/>
      <c r="VRH1" s="141"/>
      <c r="VRI1" s="141"/>
      <c r="VRJ1" s="141"/>
      <c r="VRK1" s="141"/>
      <c r="VRL1" s="141"/>
      <c r="VRM1" s="141"/>
      <c r="VRN1" s="141"/>
      <c r="VRO1" s="141"/>
      <c r="VRP1" s="141"/>
      <c r="VRQ1" s="141"/>
      <c r="VRR1" s="141"/>
      <c r="VRS1" s="141"/>
      <c r="VRT1" s="141"/>
      <c r="VRU1" s="141"/>
      <c r="VRV1" s="141"/>
      <c r="VRW1" s="141"/>
      <c r="VRX1" s="141"/>
      <c r="VRY1" s="141"/>
      <c r="VRZ1" s="141"/>
      <c r="VSA1" s="141"/>
      <c r="VSB1" s="141"/>
      <c r="VSC1" s="141"/>
      <c r="VSD1" s="141"/>
      <c r="VSE1" s="141"/>
      <c r="VSF1" s="141"/>
      <c r="VSG1" s="141"/>
      <c r="VSH1" s="141"/>
      <c r="VSI1" s="141"/>
      <c r="VSJ1" s="141"/>
      <c r="VSK1" s="141"/>
      <c r="VSL1" s="141"/>
      <c r="VSM1" s="141"/>
      <c r="VSN1" s="141"/>
      <c r="VSO1" s="141"/>
      <c r="VSP1" s="141"/>
      <c r="VSQ1" s="141"/>
      <c r="VSR1" s="141"/>
      <c r="VSS1" s="141"/>
      <c r="VST1" s="141"/>
      <c r="VSU1" s="141"/>
      <c r="VSV1" s="141"/>
      <c r="VSW1" s="141"/>
      <c r="VSX1" s="141"/>
      <c r="VSY1" s="141"/>
      <c r="VSZ1" s="141"/>
      <c r="VTA1" s="141"/>
      <c r="VTB1" s="141"/>
      <c r="VTC1" s="141"/>
      <c r="VTD1" s="141"/>
      <c r="VTE1" s="141"/>
      <c r="VTF1" s="141"/>
      <c r="VTG1" s="141"/>
      <c r="VTH1" s="141"/>
      <c r="VTI1" s="141"/>
      <c r="VTJ1" s="141"/>
      <c r="VTK1" s="141"/>
      <c r="VTL1" s="141"/>
      <c r="VTM1" s="141"/>
      <c r="VTN1" s="141"/>
      <c r="VTO1" s="141"/>
      <c r="VTP1" s="141"/>
      <c r="VTQ1" s="141"/>
      <c r="VTR1" s="141"/>
      <c r="VTS1" s="141"/>
      <c r="VTT1" s="141"/>
      <c r="VTU1" s="141"/>
      <c r="VTV1" s="141"/>
      <c r="VTW1" s="141"/>
      <c r="VTX1" s="141"/>
      <c r="VTY1" s="141"/>
      <c r="VTZ1" s="141"/>
      <c r="VUA1" s="141"/>
      <c r="VUB1" s="141"/>
      <c r="VUC1" s="141"/>
      <c r="VUD1" s="141"/>
      <c r="VUE1" s="141"/>
      <c r="VUF1" s="141"/>
      <c r="VUG1" s="141"/>
      <c r="VUH1" s="141"/>
      <c r="VUI1" s="141"/>
      <c r="VUJ1" s="141"/>
      <c r="VUK1" s="141"/>
      <c r="VUL1" s="141"/>
      <c r="VUM1" s="141"/>
      <c r="VUN1" s="141"/>
      <c r="VUO1" s="141"/>
      <c r="VUP1" s="141"/>
      <c r="VUQ1" s="141"/>
      <c r="VUR1" s="141"/>
      <c r="VUS1" s="141"/>
      <c r="VUT1" s="141"/>
      <c r="VUU1" s="141"/>
      <c r="VUV1" s="141"/>
      <c r="VUW1" s="141"/>
      <c r="VUX1" s="141"/>
      <c r="VUY1" s="141"/>
      <c r="VUZ1" s="141"/>
      <c r="VVA1" s="141"/>
      <c r="VVB1" s="141"/>
      <c r="VVC1" s="141"/>
      <c r="VVD1" s="141"/>
      <c r="VVE1" s="141"/>
      <c r="VVF1" s="141"/>
      <c r="VVG1" s="141"/>
      <c r="VVH1" s="141"/>
      <c r="VVI1" s="141"/>
      <c r="VVJ1" s="141"/>
      <c r="VVK1" s="141"/>
      <c r="VVL1" s="141"/>
      <c r="VVM1" s="141"/>
      <c r="VVN1" s="141"/>
      <c r="VVO1" s="141"/>
      <c r="VVP1" s="141"/>
      <c r="VVQ1" s="141"/>
      <c r="VVR1" s="141"/>
      <c r="VVS1" s="141"/>
      <c r="VVT1" s="141"/>
      <c r="VVU1" s="141"/>
      <c r="VVV1" s="141"/>
      <c r="VVW1" s="141"/>
      <c r="VVX1" s="141"/>
      <c r="VVY1" s="141"/>
      <c r="VVZ1" s="141"/>
      <c r="VWA1" s="141"/>
      <c r="VWB1" s="141"/>
      <c r="VWC1" s="141"/>
      <c r="VWD1" s="141"/>
      <c r="VWE1" s="141"/>
      <c r="VWF1" s="141"/>
      <c r="VWG1" s="141"/>
      <c r="VWH1" s="141"/>
      <c r="VWI1" s="141"/>
      <c r="VWJ1" s="141"/>
      <c r="VWK1" s="141"/>
      <c r="VWL1" s="141"/>
      <c r="VWM1" s="141"/>
      <c r="VWN1" s="141"/>
      <c r="VWO1" s="141"/>
      <c r="VWP1" s="141"/>
      <c r="VWQ1" s="141"/>
      <c r="VWR1" s="141"/>
      <c r="VWS1" s="141"/>
      <c r="VWT1" s="141"/>
      <c r="VWU1" s="141"/>
      <c r="VWV1" s="141"/>
      <c r="VWW1" s="141"/>
      <c r="VWX1" s="141"/>
      <c r="VWY1" s="141"/>
      <c r="VWZ1" s="141"/>
      <c r="VXA1" s="141"/>
      <c r="VXB1" s="141"/>
      <c r="VXC1" s="141"/>
      <c r="VXD1" s="141"/>
      <c r="VXE1" s="141"/>
      <c r="VXF1" s="141"/>
      <c r="VXG1" s="141"/>
      <c r="VXH1" s="141"/>
      <c r="VXI1" s="141"/>
      <c r="VXJ1" s="141"/>
      <c r="VXK1" s="141"/>
      <c r="VXL1" s="141"/>
      <c r="VXM1" s="141"/>
      <c r="VXN1" s="141"/>
      <c r="VXO1" s="141"/>
      <c r="VXP1" s="141"/>
      <c r="VXQ1" s="141"/>
      <c r="VXR1" s="141"/>
      <c r="VXS1" s="141"/>
      <c r="VXT1" s="141"/>
      <c r="VXU1" s="141"/>
      <c r="VXV1" s="141"/>
      <c r="VXW1" s="141"/>
      <c r="VXX1" s="141"/>
      <c r="VXY1" s="141"/>
      <c r="VXZ1" s="141"/>
      <c r="VYA1" s="141"/>
      <c r="VYB1" s="141"/>
      <c r="VYC1" s="141"/>
      <c r="VYD1" s="141"/>
      <c r="VYE1" s="141"/>
      <c r="VYF1" s="141"/>
      <c r="VYG1" s="141"/>
      <c r="VYH1" s="141"/>
      <c r="VYI1" s="141"/>
      <c r="VYJ1" s="141"/>
      <c r="VYK1" s="141"/>
      <c r="VYL1" s="141"/>
      <c r="VYM1" s="141"/>
      <c r="VYN1" s="141"/>
      <c r="VYO1" s="141"/>
      <c r="VYP1" s="141"/>
      <c r="VYQ1" s="141"/>
      <c r="VYR1" s="141"/>
      <c r="VYS1" s="141"/>
      <c r="VYT1" s="141"/>
      <c r="VYU1" s="141"/>
      <c r="VYV1" s="141"/>
      <c r="VYW1" s="141"/>
      <c r="VYX1" s="141"/>
      <c r="VYY1" s="141"/>
      <c r="VYZ1" s="141"/>
      <c r="VZA1" s="141"/>
      <c r="VZB1" s="141"/>
      <c r="VZC1" s="141"/>
      <c r="VZD1" s="141"/>
      <c r="VZE1" s="141"/>
      <c r="VZF1" s="141"/>
      <c r="VZG1" s="141"/>
      <c r="VZH1" s="141"/>
      <c r="VZI1" s="141"/>
      <c r="VZJ1" s="141"/>
      <c r="VZK1" s="141"/>
      <c r="VZL1" s="141"/>
      <c r="VZM1" s="141"/>
      <c r="VZN1" s="141"/>
      <c r="VZO1" s="141"/>
      <c r="VZP1" s="141"/>
      <c r="VZQ1" s="141"/>
      <c r="VZR1" s="141"/>
      <c r="VZS1" s="141"/>
      <c r="VZT1" s="141"/>
      <c r="VZU1" s="141"/>
      <c r="VZV1" s="141"/>
      <c r="VZW1" s="141"/>
      <c r="VZX1" s="141"/>
      <c r="VZY1" s="141"/>
      <c r="VZZ1" s="141"/>
      <c r="WAA1" s="141"/>
      <c r="WAB1" s="141"/>
      <c r="WAC1" s="141"/>
      <c r="WAD1" s="141"/>
      <c r="WAE1" s="141"/>
      <c r="WAF1" s="141"/>
      <c r="WAG1" s="141"/>
      <c r="WAH1" s="141"/>
      <c r="WAI1" s="141"/>
      <c r="WAJ1" s="141"/>
      <c r="WAK1" s="141"/>
      <c r="WAL1" s="141"/>
      <c r="WAM1" s="141"/>
      <c r="WAN1" s="141"/>
      <c r="WAO1" s="141"/>
      <c r="WAP1" s="141"/>
      <c r="WAQ1" s="141"/>
      <c r="WAR1" s="141"/>
      <c r="WAS1" s="141"/>
      <c r="WAT1" s="141"/>
      <c r="WAU1" s="141"/>
      <c r="WAV1" s="141"/>
      <c r="WAW1" s="141"/>
      <c r="WAX1" s="141"/>
      <c r="WAY1" s="141"/>
      <c r="WAZ1" s="141"/>
      <c r="WBA1" s="141"/>
      <c r="WBB1" s="141"/>
      <c r="WBC1" s="141"/>
      <c r="WBD1" s="141"/>
      <c r="WBE1" s="141"/>
      <c r="WBF1" s="141"/>
      <c r="WBG1" s="141"/>
      <c r="WBH1" s="141"/>
      <c r="WBI1" s="141"/>
      <c r="WBJ1" s="141"/>
      <c r="WBK1" s="141"/>
      <c r="WBL1" s="141"/>
      <c r="WBM1" s="141"/>
      <c r="WBN1" s="141"/>
      <c r="WBO1" s="141"/>
      <c r="WBP1" s="141"/>
      <c r="WBQ1" s="141"/>
      <c r="WBR1" s="141"/>
      <c r="WBS1" s="141"/>
      <c r="WBT1" s="141"/>
      <c r="WBU1" s="141"/>
      <c r="WBV1" s="141"/>
      <c r="WBW1" s="141"/>
      <c r="WBX1" s="141"/>
      <c r="WBY1" s="141"/>
      <c r="WBZ1" s="141"/>
      <c r="WCA1" s="141"/>
      <c r="WCB1" s="141"/>
      <c r="WCC1" s="141"/>
      <c r="WCD1" s="141"/>
      <c r="WCE1" s="141"/>
      <c r="WCF1" s="141"/>
      <c r="WCG1" s="141"/>
      <c r="WCH1" s="141"/>
      <c r="WCI1" s="141"/>
      <c r="WCJ1" s="141"/>
      <c r="WCK1" s="141"/>
      <c r="WCL1" s="141"/>
      <c r="WCM1" s="141"/>
      <c r="WCN1" s="141"/>
      <c r="WCO1" s="141"/>
      <c r="WCP1" s="141"/>
      <c r="WCQ1" s="141"/>
      <c r="WCR1" s="141"/>
      <c r="WCS1" s="141"/>
      <c r="WCT1" s="141"/>
      <c r="WCU1" s="141"/>
      <c r="WCV1" s="141"/>
      <c r="WCW1" s="141"/>
      <c r="WCX1" s="141"/>
      <c r="WCY1" s="141"/>
      <c r="WCZ1" s="141"/>
      <c r="WDA1" s="141"/>
      <c r="WDB1" s="141"/>
      <c r="WDC1" s="141"/>
      <c r="WDD1" s="141"/>
      <c r="WDE1" s="141"/>
      <c r="WDF1" s="141"/>
      <c r="WDG1" s="141"/>
      <c r="WDH1" s="141"/>
      <c r="WDI1" s="141"/>
      <c r="WDJ1" s="141"/>
      <c r="WDK1" s="141"/>
      <c r="WDL1" s="141"/>
      <c r="WDM1" s="141"/>
      <c r="WDN1" s="141"/>
      <c r="WDO1" s="141"/>
      <c r="WDP1" s="141"/>
      <c r="WDQ1" s="141"/>
      <c r="WDR1" s="141"/>
      <c r="WDS1" s="141"/>
      <c r="WDT1" s="141"/>
      <c r="WDU1" s="141"/>
      <c r="WDV1" s="141"/>
      <c r="WDW1" s="141"/>
      <c r="WDX1" s="141"/>
      <c r="WDY1" s="141"/>
      <c r="WDZ1" s="141"/>
      <c r="WEA1" s="141"/>
      <c r="WEB1" s="141"/>
      <c r="WEC1" s="141"/>
      <c r="WED1" s="141"/>
      <c r="WEE1" s="141"/>
      <c r="WEF1" s="141"/>
      <c r="WEG1" s="141"/>
      <c r="WEH1" s="141"/>
      <c r="WEI1" s="141"/>
      <c r="WEJ1" s="141"/>
      <c r="WEK1" s="141"/>
      <c r="WEL1" s="141"/>
      <c r="WEM1" s="141"/>
      <c r="WEN1" s="141"/>
      <c r="WEO1" s="141"/>
      <c r="WEP1" s="141"/>
      <c r="WEQ1" s="141"/>
      <c r="WER1" s="141"/>
      <c r="WES1" s="141"/>
      <c r="WET1" s="141"/>
      <c r="WEU1" s="141"/>
      <c r="WEV1" s="141"/>
      <c r="WEW1" s="141"/>
      <c r="WEX1" s="141"/>
      <c r="WEY1" s="141"/>
      <c r="WEZ1" s="141"/>
      <c r="WFA1" s="141"/>
      <c r="WFB1" s="141"/>
      <c r="WFC1" s="141"/>
      <c r="WFD1" s="141"/>
      <c r="WFE1" s="141"/>
      <c r="WFF1" s="141"/>
      <c r="WFG1" s="141"/>
      <c r="WFH1" s="141"/>
      <c r="WFI1" s="141"/>
      <c r="WFJ1" s="141"/>
      <c r="WFK1" s="141"/>
      <c r="WFL1" s="141"/>
      <c r="WFM1" s="141"/>
      <c r="WFN1" s="141"/>
      <c r="WFO1" s="141"/>
      <c r="WFP1" s="141"/>
      <c r="WFQ1" s="141"/>
      <c r="WFR1" s="141"/>
      <c r="WFS1" s="141"/>
      <c r="WFT1" s="141"/>
      <c r="WFU1" s="141"/>
      <c r="WFV1" s="141"/>
      <c r="WFW1" s="141"/>
      <c r="WFX1" s="141"/>
      <c r="WFY1" s="141"/>
      <c r="WFZ1" s="141"/>
      <c r="WGA1" s="141"/>
      <c r="WGB1" s="141"/>
      <c r="WGC1" s="141"/>
      <c r="WGD1" s="141"/>
      <c r="WGE1" s="141"/>
      <c r="WGF1" s="141"/>
      <c r="WGG1" s="141"/>
      <c r="WGH1" s="141"/>
      <c r="WGI1" s="141"/>
      <c r="WGJ1" s="141"/>
      <c r="WGK1" s="141"/>
      <c r="WGL1" s="141"/>
      <c r="WGM1" s="141"/>
      <c r="WGN1" s="141"/>
      <c r="WGO1" s="141"/>
      <c r="WGP1" s="141"/>
      <c r="WGQ1" s="141"/>
      <c r="WGR1" s="141"/>
      <c r="WGS1" s="141"/>
      <c r="WGT1" s="141"/>
      <c r="WGU1" s="141"/>
      <c r="WGV1" s="141"/>
      <c r="WGW1" s="141"/>
      <c r="WGX1" s="141"/>
      <c r="WGY1" s="141"/>
      <c r="WGZ1" s="141"/>
      <c r="WHA1" s="141"/>
      <c r="WHB1" s="141"/>
      <c r="WHC1" s="141"/>
      <c r="WHD1" s="141"/>
      <c r="WHE1" s="141"/>
      <c r="WHF1" s="141"/>
      <c r="WHG1" s="141"/>
      <c r="WHH1" s="141"/>
      <c r="WHI1" s="141"/>
      <c r="WHJ1" s="141"/>
      <c r="WHK1" s="141"/>
      <c r="WHL1" s="141"/>
      <c r="WHM1" s="141"/>
      <c r="WHN1" s="141"/>
      <c r="WHO1" s="141"/>
      <c r="WHP1" s="141"/>
      <c r="WHQ1" s="141"/>
      <c r="WHR1" s="141"/>
      <c r="WHS1" s="141"/>
      <c r="WHT1" s="141"/>
      <c r="WHU1" s="141"/>
      <c r="WHV1" s="141"/>
      <c r="WHW1" s="141"/>
      <c r="WHX1" s="141"/>
      <c r="WHY1" s="141"/>
      <c r="WHZ1" s="141"/>
      <c r="WIA1" s="141"/>
      <c r="WIB1" s="141"/>
      <c r="WIC1" s="141"/>
      <c r="WID1" s="141"/>
      <c r="WIE1" s="141"/>
      <c r="WIF1" s="141"/>
      <c r="WIG1" s="141"/>
      <c r="WIH1" s="141"/>
      <c r="WII1" s="141"/>
      <c r="WIJ1" s="141"/>
      <c r="WIK1" s="141"/>
      <c r="WIL1" s="141"/>
      <c r="WIM1" s="141"/>
      <c r="WIN1" s="141"/>
      <c r="WIO1" s="141"/>
      <c r="WIP1" s="141"/>
      <c r="WIQ1" s="141"/>
      <c r="WIR1" s="141"/>
      <c r="WIS1" s="141"/>
      <c r="WIT1" s="141"/>
      <c r="WIU1" s="141"/>
      <c r="WIV1" s="141"/>
      <c r="WIW1" s="141"/>
      <c r="WIX1" s="141"/>
      <c r="WIY1" s="141"/>
      <c r="WIZ1" s="141"/>
      <c r="WJA1" s="141"/>
      <c r="WJB1" s="141"/>
      <c r="WJC1" s="141"/>
      <c r="WJD1" s="141"/>
      <c r="WJE1" s="141"/>
      <c r="WJF1" s="141"/>
      <c r="WJG1" s="141"/>
      <c r="WJH1" s="141"/>
      <c r="WJI1" s="141"/>
      <c r="WJJ1" s="141"/>
      <c r="WJK1" s="141"/>
      <c r="WJL1" s="141"/>
      <c r="WJM1" s="141"/>
      <c r="WJN1" s="141"/>
      <c r="WJO1" s="141"/>
      <c r="WJP1" s="141"/>
      <c r="WJQ1" s="141"/>
      <c r="WJR1" s="141"/>
      <c r="WJS1" s="141"/>
      <c r="WJT1" s="141"/>
      <c r="WJU1" s="141"/>
      <c r="WJV1" s="141"/>
      <c r="WJW1" s="141"/>
      <c r="WJX1" s="141"/>
      <c r="WJY1" s="141"/>
      <c r="WJZ1" s="141"/>
      <c r="WKA1" s="141"/>
      <c r="WKB1" s="141"/>
      <c r="WKC1" s="141"/>
      <c r="WKD1" s="141"/>
      <c r="WKE1" s="141"/>
      <c r="WKF1" s="141"/>
      <c r="WKG1" s="141"/>
      <c r="WKH1" s="141"/>
      <c r="WKI1" s="141"/>
      <c r="WKJ1" s="141"/>
      <c r="WKK1" s="141"/>
      <c r="WKL1" s="141"/>
      <c r="WKM1" s="141"/>
      <c r="WKN1" s="141"/>
      <c r="WKO1" s="141"/>
      <c r="WKP1" s="141"/>
      <c r="WKQ1" s="141"/>
      <c r="WKR1" s="141"/>
      <c r="WKS1" s="141"/>
      <c r="WKT1" s="141"/>
      <c r="WKU1" s="141"/>
      <c r="WKV1" s="141"/>
      <c r="WKW1" s="141"/>
      <c r="WKX1" s="141"/>
      <c r="WKY1" s="141"/>
      <c r="WKZ1" s="141"/>
      <c r="WLA1" s="141"/>
      <c r="WLB1" s="141"/>
      <c r="WLC1" s="141"/>
      <c r="WLD1" s="141"/>
      <c r="WLE1" s="141"/>
      <c r="WLF1" s="141"/>
      <c r="WLG1" s="141"/>
      <c r="WLH1" s="141"/>
      <c r="WLI1" s="141"/>
      <c r="WLJ1" s="141"/>
      <c r="WLK1" s="141"/>
      <c r="WLL1" s="141"/>
      <c r="WLM1" s="141"/>
      <c r="WLN1" s="141"/>
      <c r="WLO1" s="141"/>
      <c r="WLP1" s="141"/>
      <c r="WLQ1" s="141"/>
      <c r="WLR1" s="141"/>
      <c r="WLS1" s="141"/>
      <c r="WLT1" s="141"/>
      <c r="WLU1" s="141"/>
      <c r="WLV1" s="141"/>
      <c r="WLW1" s="141"/>
      <c r="WLX1" s="141"/>
      <c r="WLY1" s="141"/>
      <c r="WLZ1" s="141"/>
      <c r="WMA1" s="141"/>
      <c r="WMB1" s="141"/>
      <c r="WMC1" s="141"/>
      <c r="WMD1" s="141"/>
      <c r="WME1" s="141"/>
      <c r="WMF1" s="141"/>
      <c r="WMG1" s="141"/>
      <c r="WMH1" s="141"/>
      <c r="WMI1" s="141"/>
      <c r="WMJ1" s="141"/>
      <c r="WMK1" s="141"/>
      <c r="WML1" s="141"/>
      <c r="WMM1" s="141"/>
      <c r="WMN1" s="141"/>
      <c r="WMO1" s="141"/>
      <c r="WMP1" s="141"/>
      <c r="WMQ1" s="141"/>
      <c r="WMR1" s="141"/>
      <c r="WMS1" s="141"/>
      <c r="WMT1" s="141"/>
      <c r="WMU1" s="141"/>
      <c r="WMV1" s="141"/>
      <c r="WMW1" s="141"/>
      <c r="WMX1" s="141"/>
      <c r="WMY1" s="141"/>
      <c r="WMZ1" s="141"/>
      <c r="WNA1" s="141"/>
      <c r="WNB1" s="141"/>
      <c r="WNC1" s="141"/>
      <c r="WND1" s="141"/>
      <c r="WNE1" s="141"/>
      <c r="WNF1" s="141"/>
      <c r="WNG1" s="141"/>
      <c r="WNH1" s="141"/>
      <c r="WNI1" s="141"/>
      <c r="WNJ1" s="141"/>
      <c r="WNK1" s="141"/>
      <c r="WNL1" s="141"/>
      <c r="WNM1" s="141"/>
      <c r="WNN1" s="141"/>
      <c r="WNO1" s="141"/>
      <c r="WNP1" s="141"/>
      <c r="WNQ1" s="141"/>
      <c r="WNR1" s="141"/>
      <c r="WNS1" s="141"/>
      <c r="WNT1" s="141"/>
      <c r="WNU1" s="141"/>
      <c r="WNV1" s="141"/>
      <c r="WNW1" s="141"/>
      <c r="WNX1" s="141"/>
      <c r="WNY1" s="141"/>
      <c r="WNZ1" s="141"/>
      <c r="WOA1" s="141"/>
      <c r="WOB1" s="141"/>
      <c r="WOC1" s="141"/>
      <c r="WOD1" s="141"/>
      <c r="WOE1" s="141"/>
      <c r="WOF1" s="141"/>
      <c r="WOG1" s="141"/>
      <c r="WOH1" s="141"/>
      <c r="WOI1" s="141"/>
      <c r="WOJ1" s="141"/>
      <c r="WOK1" s="141"/>
      <c r="WOL1" s="141"/>
      <c r="WOM1" s="141"/>
      <c r="WON1" s="141"/>
      <c r="WOO1" s="141"/>
      <c r="WOP1" s="141"/>
      <c r="WOQ1" s="141"/>
      <c r="WOR1" s="141"/>
      <c r="WOS1" s="141"/>
      <c r="WOT1" s="141"/>
      <c r="WOU1" s="141"/>
      <c r="WOV1" s="141"/>
      <c r="WOW1" s="141"/>
      <c r="WOX1" s="141"/>
      <c r="WOY1" s="141"/>
      <c r="WOZ1" s="141"/>
      <c r="WPA1" s="141"/>
      <c r="WPB1" s="141"/>
      <c r="WPC1" s="141"/>
      <c r="WPD1" s="141"/>
      <c r="WPE1" s="141"/>
      <c r="WPF1" s="141"/>
      <c r="WPG1" s="141"/>
      <c r="WPH1" s="141"/>
      <c r="WPI1" s="141"/>
      <c r="WPJ1" s="141"/>
      <c r="WPK1" s="141"/>
      <c r="WPL1" s="141"/>
      <c r="WPM1" s="141"/>
      <c r="WPN1" s="141"/>
      <c r="WPO1" s="141"/>
      <c r="WPP1" s="141"/>
      <c r="WPQ1" s="141"/>
      <c r="WPR1" s="141"/>
      <c r="WPS1" s="141"/>
      <c r="WPT1" s="141"/>
      <c r="WPU1" s="141"/>
      <c r="WPV1" s="141"/>
      <c r="WPW1" s="141"/>
      <c r="WPX1" s="141"/>
      <c r="WPY1" s="141"/>
      <c r="WPZ1" s="141"/>
      <c r="WQA1" s="141"/>
      <c r="WQB1" s="141"/>
      <c r="WQC1" s="141"/>
      <c r="WQD1" s="141"/>
      <c r="WQE1" s="141"/>
      <c r="WQF1" s="141"/>
      <c r="WQG1" s="141"/>
      <c r="WQH1" s="141"/>
      <c r="WQI1" s="141"/>
      <c r="WQJ1" s="141"/>
      <c r="WQK1" s="141"/>
      <c r="WQL1" s="141"/>
      <c r="WQM1" s="141"/>
      <c r="WQN1" s="141"/>
      <c r="WQO1" s="141"/>
      <c r="WQP1" s="141"/>
      <c r="WQQ1" s="141"/>
      <c r="WQR1" s="141"/>
      <c r="WQS1" s="141"/>
      <c r="WQT1" s="141"/>
      <c r="WQU1" s="141"/>
      <c r="WQV1" s="141"/>
      <c r="WQW1" s="141"/>
      <c r="WQX1" s="141"/>
      <c r="WQY1" s="141"/>
      <c r="WQZ1" s="141"/>
      <c r="WRA1" s="141"/>
      <c r="WRB1" s="141"/>
      <c r="WRC1" s="141"/>
      <c r="WRD1" s="141"/>
      <c r="WRE1" s="141"/>
      <c r="WRF1" s="141"/>
      <c r="WRG1" s="141"/>
      <c r="WRH1" s="141"/>
      <c r="WRI1" s="141"/>
      <c r="WRJ1" s="141"/>
      <c r="WRK1" s="141"/>
      <c r="WRL1" s="141"/>
      <c r="WRM1" s="141"/>
      <c r="WRN1" s="141"/>
      <c r="WRO1" s="141"/>
      <c r="WRP1" s="141"/>
      <c r="WRQ1" s="141"/>
      <c r="WRR1" s="141"/>
      <c r="WRS1" s="141"/>
      <c r="WRT1" s="141"/>
      <c r="WRU1" s="141"/>
      <c r="WRV1" s="141"/>
      <c r="WRW1" s="141"/>
      <c r="WRX1" s="141"/>
      <c r="WRY1" s="141"/>
      <c r="WRZ1" s="141"/>
      <c r="WSA1" s="141"/>
      <c r="WSB1" s="141"/>
      <c r="WSC1" s="141"/>
      <c r="WSD1" s="141"/>
      <c r="WSE1" s="141"/>
      <c r="WSF1" s="141"/>
      <c r="WSG1" s="141"/>
      <c r="WSH1" s="141"/>
      <c r="WSI1" s="141"/>
      <c r="WSJ1" s="141"/>
      <c r="WSK1" s="141"/>
      <c r="WSL1" s="141"/>
      <c r="WSM1" s="141"/>
      <c r="WSN1" s="141"/>
      <c r="WSO1" s="141"/>
      <c r="WSP1" s="141"/>
      <c r="WSQ1" s="141"/>
      <c r="WSR1" s="141"/>
      <c r="WSS1" s="141"/>
      <c r="WST1" s="141"/>
      <c r="WSU1" s="141"/>
      <c r="WSV1" s="141"/>
      <c r="WSW1" s="141"/>
      <c r="WSX1" s="141"/>
      <c r="WSY1" s="141"/>
      <c r="WSZ1" s="141"/>
      <c r="WTA1" s="141"/>
      <c r="WTB1" s="141"/>
      <c r="WTC1" s="141"/>
      <c r="WTD1" s="141"/>
      <c r="WTE1" s="141"/>
      <c r="WTF1" s="141"/>
      <c r="WTG1" s="141"/>
      <c r="WTH1" s="141"/>
      <c r="WTI1" s="141"/>
      <c r="WTJ1" s="141"/>
      <c r="WTK1" s="141"/>
      <c r="WTL1" s="141"/>
      <c r="WTM1" s="141"/>
      <c r="WTN1" s="141"/>
      <c r="WTO1" s="141"/>
      <c r="WTP1" s="141"/>
      <c r="WTQ1" s="141"/>
      <c r="WTR1" s="141"/>
      <c r="WTS1" s="141"/>
      <c r="WTT1" s="141"/>
      <c r="WTU1" s="141"/>
      <c r="WTV1" s="141"/>
      <c r="WTW1" s="141"/>
      <c r="WTX1" s="141"/>
      <c r="WTY1" s="141"/>
      <c r="WTZ1" s="141"/>
      <c r="WUA1" s="141"/>
      <c r="WUB1" s="141"/>
      <c r="WUC1" s="141"/>
      <c r="WUD1" s="141"/>
      <c r="WUE1" s="141"/>
      <c r="WUF1" s="141"/>
      <c r="WUG1" s="141"/>
      <c r="WUH1" s="141"/>
      <c r="WUI1" s="141"/>
      <c r="WUJ1" s="141"/>
      <c r="WUK1" s="141"/>
      <c r="WUL1" s="141"/>
      <c r="WUM1" s="141"/>
      <c r="WUN1" s="141"/>
      <c r="WUO1" s="141"/>
      <c r="WUP1" s="141"/>
      <c r="WUQ1" s="141"/>
      <c r="WUR1" s="141"/>
      <c r="WUS1" s="141"/>
      <c r="WUT1" s="141"/>
      <c r="WUU1" s="141"/>
      <c r="WUV1" s="141"/>
      <c r="WUW1" s="141"/>
      <c r="WUX1" s="141"/>
      <c r="WUY1" s="141"/>
      <c r="WUZ1" s="141"/>
      <c r="WVA1" s="141"/>
      <c r="WVB1" s="141"/>
      <c r="WVC1" s="141"/>
      <c r="WVD1" s="141"/>
      <c r="WVE1" s="141"/>
      <c r="WVF1" s="141"/>
      <c r="WVG1" s="141"/>
      <c r="WVH1" s="141"/>
      <c r="WVI1" s="141"/>
      <c r="WVJ1" s="141"/>
      <c r="WVK1" s="141"/>
      <c r="WVL1" s="141"/>
      <c r="WVM1" s="141"/>
      <c r="WVN1" s="141"/>
      <c r="WVO1" s="141"/>
      <c r="WVP1" s="141"/>
      <c r="WVQ1" s="141"/>
      <c r="WVR1" s="141"/>
      <c r="WVS1" s="141"/>
      <c r="WVT1" s="141"/>
      <c r="WVU1" s="141"/>
      <c r="WVV1" s="141"/>
      <c r="WVW1" s="141"/>
      <c r="WVX1" s="141"/>
      <c r="WVY1" s="141"/>
      <c r="WVZ1" s="141"/>
      <c r="WWA1" s="141"/>
      <c r="WWB1" s="141"/>
      <c r="WWC1" s="141"/>
      <c r="WWD1" s="141"/>
      <c r="WWE1" s="141"/>
      <c r="WWF1" s="141"/>
      <c r="WWG1" s="141"/>
      <c r="WWH1" s="141"/>
      <c r="WWI1" s="141"/>
      <c r="WWJ1" s="141"/>
      <c r="WWK1" s="141"/>
      <c r="WWL1" s="141"/>
      <c r="WWM1" s="141"/>
      <c r="WWN1" s="141"/>
      <c r="WWO1" s="141"/>
      <c r="WWP1" s="141"/>
      <c r="WWQ1" s="141"/>
      <c r="WWR1" s="141"/>
      <c r="WWS1" s="141"/>
      <c r="WWT1" s="141"/>
      <c r="WWU1" s="141"/>
      <c r="WWV1" s="141"/>
      <c r="WWW1" s="141"/>
      <c r="WWX1" s="141"/>
      <c r="WWY1" s="141"/>
      <c r="WWZ1" s="141"/>
      <c r="WXA1" s="141"/>
      <c r="WXB1" s="141"/>
      <c r="WXC1" s="141"/>
      <c r="WXD1" s="141"/>
      <c r="WXE1" s="141"/>
      <c r="WXF1" s="141"/>
      <c r="WXG1" s="141"/>
      <c r="WXH1" s="141"/>
      <c r="WXI1" s="141"/>
      <c r="WXJ1" s="141"/>
      <c r="WXK1" s="141"/>
      <c r="WXL1" s="141"/>
      <c r="WXM1" s="141"/>
      <c r="WXN1" s="141"/>
      <c r="WXO1" s="141"/>
      <c r="WXP1" s="141"/>
      <c r="WXQ1" s="141"/>
      <c r="WXR1" s="141"/>
      <c r="WXS1" s="141"/>
      <c r="WXT1" s="141"/>
      <c r="WXU1" s="141"/>
      <c r="WXV1" s="141"/>
      <c r="WXW1" s="141"/>
      <c r="WXX1" s="141"/>
      <c r="WXY1" s="141"/>
      <c r="WXZ1" s="141"/>
      <c r="WYA1" s="141"/>
      <c r="WYB1" s="141"/>
      <c r="WYC1" s="141"/>
      <c r="WYD1" s="141"/>
      <c r="WYE1" s="141"/>
      <c r="WYF1" s="141"/>
      <c r="WYG1" s="141"/>
      <c r="WYH1" s="141"/>
      <c r="WYI1" s="141"/>
      <c r="WYJ1" s="141"/>
      <c r="WYK1" s="141"/>
      <c r="WYL1" s="141"/>
      <c r="WYM1" s="141"/>
      <c r="WYN1" s="141"/>
      <c r="WYO1" s="141"/>
      <c r="WYP1" s="141"/>
      <c r="WYQ1" s="141"/>
      <c r="WYR1" s="141"/>
      <c r="WYS1" s="141"/>
      <c r="WYT1" s="141"/>
      <c r="WYU1" s="141"/>
      <c r="WYV1" s="141"/>
      <c r="WYW1" s="141"/>
      <c r="WYX1" s="141"/>
      <c r="WYY1" s="141"/>
      <c r="WYZ1" s="141"/>
      <c r="WZA1" s="141"/>
      <c r="WZB1" s="141"/>
      <c r="WZC1" s="141"/>
      <c r="WZD1" s="141"/>
      <c r="WZE1" s="141"/>
      <c r="WZF1" s="141"/>
      <c r="WZG1" s="141"/>
      <c r="WZH1" s="141"/>
      <c r="WZI1" s="141"/>
      <c r="WZJ1" s="141"/>
      <c r="WZK1" s="141"/>
      <c r="WZL1" s="141"/>
      <c r="WZM1" s="141"/>
      <c r="WZN1" s="141"/>
      <c r="WZO1" s="141"/>
      <c r="WZP1" s="141"/>
      <c r="WZQ1" s="141"/>
      <c r="WZR1" s="141"/>
      <c r="WZS1" s="141"/>
      <c r="WZT1" s="141"/>
      <c r="WZU1" s="141"/>
      <c r="WZV1" s="141"/>
      <c r="WZW1" s="141"/>
      <c r="WZX1" s="141"/>
      <c r="WZY1" s="141"/>
      <c r="WZZ1" s="141"/>
      <c r="XAA1" s="141"/>
      <c r="XAB1" s="141"/>
      <c r="XAC1" s="141"/>
      <c r="XAD1" s="141"/>
      <c r="XAE1" s="141"/>
      <c r="XAF1" s="141"/>
      <c r="XAG1" s="141"/>
      <c r="XAH1" s="141"/>
      <c r="XAI1" s="141"/>
      <c r="XAJ1" s="141"/>
      <c r="XAK1" s="141"/>
      <c r="XAL1" s="141"/>
      <c r="XAM1" s="141"/>
      <c r="XAN1" s="141"/>
      <c r="XAO1" s="141"/>
      <c r="XAP1" s="141"/>
      <c r="XAQ1" s="141"/>
      <c r="XAR1" s="141"/>
      <c r="XAS1" s="141"/>
      <c r="XAT1" s="141"/>
      <c r="XAU1" s="141"/>
      <c r="XAV1" s="141"/>
      <c r="XAW1" s="141"/>
      <c r="XAX1" s="141"/>
      <c r="XAY1" s="141"/>
      <c r="XAZ1" s="141"/>
      <c r="XBA1" s="141"/>
      <c r="XBB1" s="141"/>
      <c r="XBC1" s="141"/>
      <c r="XBD1" s="141"/>
      <c r="XBE1" s="141"/>
      <c r="XBF1" s="141"/>
      <c r="XBG1" s="141"/>
      <c r="XBH1" s="141"/>
      <c r="XBI1" s="141"/>
      <c r="XBJ1" s="141"/>
      <c r="XBK1" s="141"/>
      <c r="XBL1" s="141"/>
      <c r="XBM1" s="141"/>
      <c r="XBN1" s="141"/>
      <c r="XBO1" s="141"/>
      <c r="XBP1" s="141"/>
      <c r="XBQ1" s="141"/>
      <c r="XBR1" s="141"/>
      <c r="XBS1" s="141"/>
      <c r="XBT1" s="141"/>
      <c r="XBU1" s="141"/>
      <c r="XBV1" s="141"/>
      <c r="XBW1" s="141"/>
      <c r="XBX1" s="141"/>
      <c r="XBY1" s="141"/>
      <c r="XBZ1" s="141"/>
      <c r="XCA1" s="141"/>
      <c r="XCB1" s="141"/>
      <c r="XCC1" s="141"/>
      <c r="XCD1" s="141"/>
      <c r="XCE1" s="141"/>
      <c r="XCF1" s="141"/>
      <c r="XCG1" s="141"/>
      <c r="XCH1" s="141"/>
      <c r="XCI1" s="141"/>
      <c r="XCJ1" s="141"/>
      <c r="XCK1" s="141"/>
      <c r="XCL1" s="141"/>
      <c r="XCM1" s="141"/>
      <c r="XCN1" s="141"/>
      <c r="XCO1" s="141"/>
      <c r="XCP1" s="141"/>
      <c r="XCQ1" s="141"/>
      <c r="XCR1" s="141"/>
      <c r="XCS1" s="141"/>
      <c r="XCT1" s="141"/>
      <c r="XCU1" s="141"/>
      <c r="XCV1" s="141"/>
      <c r="XCW1" s="141"/>
      <c r="XCX1" s="141"/>
      <c r="XCY1" s="141"/>
      <c r="XCZ1" s="141"/>
      <c r="XDA1" s="141"/>
      <c r="XDB1" s="141"/>
      <c r="XDC1" s="141"/>
      <c r="XDD1" s="141"/>
      <c r="XDE1" s="141"/>
      <c r="XDF1" s="141"/>
      <c r="XDG1" s="141"/>
      <c r="XDH1" s="141"/>
      <c r="XDI1" s="141"/>
      <c r="XDJ1" s="141"/>
      <c r="XDK1" s="141"/>
      <c r="XDL1" s="141"/>
      <c r="XDM1" s="141"/>
      <c r="XDN1" s="141"/>
      <c r="XDO1" s="141"/>
      <c r="XDP1" s="141"/>
      <c r="XDQ1" s="141"/>
      <c r="XDR1" s="141"/>
      <c r="XDS1" s="141"/>
      <c r="XDT1" s="141"/>
      <c r="XDU1" s="141"/>
      <c r="XDV1" s="141"/>
      <c r="XDW1" s="141"/>
      <c r="XDX1" s="141"/>
      <c r="XDY1" s="141"/>
      <c r="XDZ1" s="141"/>
      <c r="XEA1" s="141"/>
      <c r="XEB1" s="141"/>
      <c r="XEC1" s="141"/>
      <c r="XED1" s="141"/>
      <c r="XEE1" s="141"/>
      <c r="XEF1" s="141"/>
      <c r="XEG1" s="141"/>
      <c r="XEH1" s="141"/>
      <c r="XEI1" s="141"/>
      <c r="XEJ1" s="141"/>
      <c r="XEK1" s="141"/>
      <c r="XEL1" s="141"/>
      <c r="XEM1" s="141"/>
      <c r="XEN1" s="141"/>
      <c r="XEO1" s="141"/>
      <c r="XEP1" s="141"/>
      <c r="XEQ1" s="141"/>
      <c r="XER1" s="141"/>
      <c r="XES1" s="141"/>
      <c r="XET1" s="141"/>
      <c r="XEU1" s="141"/>
      <c r="XEV1" s="141"/>
      <c r="XEW1" s="141"/>
      <c r="XEX1" s="141"/>
      <c r="XEY1" s="141"/>
      <c r="XEZ1" s="141"/>
      <c r="XFA1" s="141"/>
      <c r="XFB1" s="141"/>
      <c r="XFC1" s="141"/>
    </row>
    <row r="2" spans="1:16383" s="87" customFormat="1" ht="20.45" customHeight="1" thickTop="1" x14ac:dyDescent="0.3">
      <c r="A2" s="158">
        <v>1</v>
      </c>
      <c r="B2" s="181" t="s">
        <v>3582</v>
      </c>
      <c r="C2" s="181" t="s">
        <v>1380</v>
      </c>
      <c r="D2" s="159">
        <v>23</v>
      </c>
      <c r="E2" s="182" t="s">
        <v>3584</v>
      </c>
      <c r="F2" s="182" t="s">
        <v>3585</v>
      </c>
      <c r="G2" s="181" t="s">
        <v>3571</v>
      </c>
      <c r="H2" s="160">
        <v>2</v>
      </c>
      <c r="I2" s="161">
        <v>249</v>
      </c>
      <c r="J2" s="162">
        <v>0</v>
      </c>
      <c r="K2" s="160" t="s">
        <v>3571</v>
      </c>
      <c r="L2" s="160">
        <v>0</v>
      </c>
      <c r="M2" s="160" t="s">
        <v>2373</v>
      </c>
      <c r="N2" s="160" t="s">
        <v>3586</v>
      </c>
      <c r="O2" s="99" t="s">
        <v>3587</v>
      </c>
      <c r="P2" s="99" t="s">
        <v>3588</v>
      </c>
      <c r="Q2" s="163">
        <v>45183</v>
      </c>
      <c r="R2" s="182" t="s">
        <v>3589</v>
      </c>
    </row>
    <row r="3" spans="1:16383" s="145" customFormat="1" ht="20.45" customHeight="1" x14ac:dyDescent="0.3">
      <c r="A3" s="117">
        <v>2</v>
      </c>
      <c r="B3" s="99" t="s">
        <v>3536</v>
      </c>
      <c r="C3" s="99" t="s">
        <v>3537</v>
      </c>
      <c r="D3" s="99">
        <v>35</v>
      </c>
      <c r="E3" s="56" t="s">
        <v>3538</v>
      </c>
      <c r="F3" s="56" t="s">
        <v>3539</v>
      </c>
      <c r="G3" s="99" t="s">
        <v>3540</v>
      </c>
      <c r="H3" s="88">
        <v>6</v>
      </c>
      <c r="I3" s="102">
        <v>676</v>
      </c>
      <c r="J3" s="71">
        <v>6</v>
      </c>
      <c r="K3" s="88" t="s">
        <v>3541</v>
      </c>
      <c r="L3" s="88">
        <v>0</v>
      </c>
      <c r="M3" s="88" t="s">
        <v>820</v>
      </c>
      <c r="N3" s="88" t="s">
        <v>884</v>
      </c>
      <c r="O3" s="8" t="s">
        <v>155</v>
      </c>
      <c r="P3" s="8" t="s">
        <v>156</v>
      </c>
      <c r="Q3" s="45">
        <v>45289</v>
      </c>
      <c r="R3" s="30"/>
    </row>
    <row r="4" spans="1:16383" s="145" customFormat="1" ht="20.45" customHeight="1" x14ac:dyDescent="0.3">
      <c r="A4" s="117">
        <v>3</v>
      </c>
      <c r="B4" s="99" t="s">
        <v>3065</v>
      </c>
      <c r="C4" s="99" t="s">
        <v>3066</v>
      </c>
      <c r="D4" s="99">
        <v>48</v>
      </c>
      <c r="E4" s="30" t="s">
        <v>3063</v>
      </c>
      <c r="F4" s="30" t="s">
        <v>3064</v>
      </c>
      <c r="G4" s="99" t="s">
        <v>3067</v>
      </c>
      <c r="H4" s="88">
        <v>7</v>
      </c>
      <c r="I4" s="102">
        <v>852</v>
      </c>
      <c r="J4" s="71">
        <v>1</v>
      </c>
      <c r="K4" s="88" t="s">
        <v>3068</v>
      </c>
      <c r="L4" s="88">
        <v>0</v>
      </c>
      <c r="M4" s="88" t="s">
        <v>820</v>
      </c>
      <c r="N4" s="88" t="s">
        <v>884</v>
      </c>
      <c r="O4" s="10" t="s">
        <v>151</v>
      </c>
      <c r="P4" s="8" t="s">
        <v>152</v>
      </c>
      <c r="Q4" s="45">
        <v>45119</v>
      </c>
      <c r="R4" s="93"/>
    </row>
    <row r="5" spans="1:16383" s="37" customFormat="1" ht="20.45" customHeight="1" x14ac:dyDescent="0.3">
      <c r="A5" s="117">
        <v>4</v>
      </c>
      <c r="B5" s="63" t="s">
        <v>3083</v>
      </c>
      <c r="C5" s="63" t="s">
        <v>3086</v>
      </c>
      <c r="D5" s="99">
        <v>52</v>
      </c>
      <c r="E5" s="3" t="s">
        <v>3082</v>
      </c>
      <c r="F5" s="3" t="s">
        <v>3084</v>
      </c>
      <c r="G5" s="63" t="s">
        <v>3085</v>
      </c>
      <c r="H5" s="88">
        <v>5</v>
      </c>
      <c r="I5" s="102">
        <v>373</v>
      </c>
      <c r="J5" s="71">
        <v>0</v>
      </c>
      <c r="K5" s="88" t="s">
        <v>820</v>
      </c>
      <c r="L5" s="88">
        <v>0</v>
      </c>
      <c r="M5" s="88" t="s">
        <v>820</v>
      </c>
      <c r="N5" s="88" t="s">
        <v>884</v>
      </c>
      <c r="O5" s="10" t="s">
        <v>151</v>
      </c>
      <c r="P5" s="8" t="s">
        <v>152</v>
      </c>
      <c r="Q5" s="45">
        <v>44946</v>
      </c>
      <c r="R5" s="30"/>
    </row>
    <row r="6" spans="1:16383" s="87" customFormat="1" ht="20.45" customHeight="1" x14ac:dyDescent="0.3">
      <c r="A6" s="117">
        <v>5</v>
      </c>
      <c r="B6" s="99" t="s">
        <v>3083</v>
      </c>
      <c r="C6" s="99" t="s">
        <v>3094</v>
      </c>
      <c r="D6" s="99">
        <v>57</v>
      </c>
      <c r="E6" s="56" t="s">
        <v>3093</v>
      </c>
      <c r="F6" s="56" t="s">
        <v>3095</v>
      </c>
      <c r="G6" s="99" t="s">
        <v>3096</v>
      </c>
      <c r="H6" s="88">
        <v>4</v>
      </c>
      <c r="I6" s="102">
        <v>515</v>
      </c>
      <c r="J6" s="71">
        <v>0</v>
      </c>
      <c r="K6" s="88" t="s">
        <v>820</v>
      </c>
      <c r="L6" s="88">
        <v>0</v>
      </c>
      <c r="M6" s="88" t="s">
        <v>820</v>
      </c>
      <c r="N6" s="88" t="s">
        <v>884</v>
      </c>
      <c r="O6" s="10" t="s">
        <v>151</v>
      </c>
      <c r="P6" s="8" t="s">
        <v>152</v>
      </c>
      <c r="Q6" s="45">
        <v>45044</v>
      </c>
      <c r="R6" s="30"/>
    </row>
    <row r="7" spans="1:16383" s="87" customFormat="1" ht="20.45" customHeight="1" x14ac:dyDescent="0.3">
      <c r="A7" s="117">
        <v>6</v>
      </c>
      <c r="B7" s="99" t="s">
        <v>3185</v>
      </c>
      <c r="C7" s="99" t="s">
        <v>3186</v>
      </c>
      <c r="D7" s="99">
        <v>57</v>
      </c>
      <c r="E7" s="56" t="s">
        <v>3184</v>
      </c>
      <c r="F7" s="56" t="s">
        <v>3187</v>
      </c>
      <c r="G7" s="99" t="s">
        <v>3157</v>
      </c>
      <c r="H7" s="88">
        <v>7</v>
      </c>
      <c r="I7" s="102">
        <v>506</v>
      </c>
      <c r="J7" s="179">
        <v>7</v>
      </c>
      <c r="K7" s="180" t="s">
        <v>3192</v>
      </c>
      <c r="L7" s="180">
        <v>0</v>
      </c>
      <c r="M7" s="180" t="s">
        <v>820</v>
      </c>
      <c r="N7" s="88" t="s">
        <v>884</v>
      </c>
      <c r="O7" s="8" t="s">
        <v>185</v>
      </c>
      <c r="P7" s="24" t="s">
        <v>186</v>
      </c>
      <c r="Q7" s="45">
        <v>44938</v>
      </c>
      <c r="R7" s="56"/>
    </row>
    <row r="8" spans="1:16383" s="86" customFormat="1" ht="20.45" customHeight="1" x14ac:dyDescent="0.3">
      <c r="A8" s="117">
        <v>7</v>
      </c>
      <c r="B8" s="99" t="s">
        <v>3575</v>
      </c>
      <c r="C8" s="99" t="s">
        <v>3576</v>
      </c>
      <c r="D8" s="99">
        <v>69</v>
      </c>
      <c r="E8" s="30" t="s">
        <v>3577</v>
      </c>
      <c r="F8" s="30" t="s">
        <v>3578</v>
      </c>
      <c r="G8" s="99" t="s">
        <v>2373</v>
      </c>
      <c r="H8" s="88">
        <v>1</v>
      </c>
      <c r="I8" s="102">
        <v>58</v>
      </c>
      <c r="J8" s="71">
        <v>0</v>
      </c>
      <c r="K8" s="88" t="s">
        <v>2373</v>
      </c>
      <c r="L8" s="180">
        <v>0</v>
      </c>
      <c r="M8" s="180" t="s">
        <v>2373</v>
      </c>
      <c r="N8" s="88" t="s">
        <v>2372</v>
      </c>
      <c r="O8" s="99" t="s">
        <v>3579</v>
      </c>
      <c r="P8" s="99" t="s">
        <v>3580</v>
      </c>
      <c r="Q8" s="45">
        <v>45077</v>
      </c>
      <c r="R8" s="30" t="s">
        <v>3581</v>
      </c>
    </row>
    <row r="9" spans="1:16383" s="87" customFormat="1" ht="20.45" customHeight="1" x14ac:dyDescent="0.3">
      <c r="A9" s="117">
        <v>8</v>
      </c>
      <c r="B9" s="99" t="s">
        <v>3121</v>
      </c>
      <c r="C9" s="99" t="s">
        <v>3122</v>
      </c>
      <c r="D9" s="99">
        <v>76</v>
      </c>
      <c r="E9" s="56" t="s">
        <v>3116</v>
      </c>
      <c r="F9" s="56" t="s">
        <v>3124</v>
      </c>
      <c r="G9" s="99" t="s">
        <v>3117</v>
      </c>
      <c r="H9" s="88">
        <v>7</v>
      </c>
      <c r="I9" s="102">
        <v>577</v>
      </c>
      <c r="J9" s="71">
        <v>0</v>
      </c>
      <c r="K9" s="88" t="s">
        <v>820</v>
      </c>
      <c r="L9" s="88">
        <v>0</v>
      </c>
      <c r="M9" s="88" t="s">
        <v>820</v>
      </c>
      <c r="N9" s="88" t="s">
        <v>884</v>
      </c>
      <c r="O9" s="8" t="s">
        <v>157</v>
      </c>
      <c r="P9" s="8" t="s">
        <v>158</v>
      </c>
      <c r="Q9" s="45">
        <v>45247</v>
      </c>
      <c r="R9" s="90"/>
    </row>
    <row r="10" spans="1:16383" s="87" customFormat="1" ht="20.45" customHeight="1" x14ac:dyDescent="0.3">
      <c r="A10" s="117">
        <v>9</v>
      </c>
      <c r="B10" s="99" t="s">
        <v>3020</v>
      </c>
      <c r="C10" s="99" t="s">
        <v>3030</v>
      </c>
      <c r="D10" s="99">
        <v>92</v>
      </c>
      <c r="E10" s="56" t="s">
        <v>3028</v>
      </c>
      <c r="F10" s="56" t="s">
        <v>3029</v>
      </c>
      <c r="G10" s="99" t="s">
        <v>3031</v>
      </c>
      <c r="H10" s="88">
        <v>4</v>
      </c>
      <c r="I10" s="102">
        <v>346</v>
      </c>
      <c r="J10" s="71">
        <v>0</v>
      </c>
      <c r="K10" s="88" t="s">
        <v>3004</v>
      </c>
      <c r="L10" s="88">
        <v>0</v>
      </c>
      <c r="M10" s="88" t="s">
        <v>2993</v>
      </c>
      <c r="N10" s="88" t="s">
        <v>3005</v>
      </c>
      <c r="O10" s="10" t="s">
        <v>151</v>
      </c>
      <c r="P10" s="8" t="s">
        <v>152</v>
      </c>
      <c r="Q10" s="45">
        <v>45147</v>
      </c>
      <c r="R10" s="3"/>
    </row>
    <row r="11" spans="1:16383" s="87" customFormat="1" ht="20.45" customHeight="1" x14ac:dyDescent="0.3">
      <c r="A11" s="117">
        <v>10</v>
      </c>
      <c r="B11" s="99" t="s">
        <v>3011</v>
      </c>
      <c r="C11" s="99" t="s">
        <v>3012</v>
      </c>
      <c r="D11" s="99">
        <v>101</v>
      </c>
      <c r="E11" s="56" t="s">
        <v>3013</v>
      </c>
      <c r="F11" s="56" t="s">
        <v>3015</v>
      </c>
      <c r="G11" s="99" t="s">
        <v>3014</v>
      </c>
      <c r="H11" s="88">
        <v>6</v>
      </c>
      <c r="I11" s="102">
        <v>492</v>
      </c>
      <c r="J11" s="71">
        <v>0</v>
      </c>
      <c r="K11" s="88" t="s">
        <v>3004</v>
      </c>
      <c r="L11" s="88">
        <v>0</v>
      </c>
      <c r="M11" s="88" t="s">
        <v>2993</v>
      </c>
      <c r="N11" s="88" t="s">
        <v>3005</v>
      </c>
      <c r="O11" s="10" t="s">
        <v>151</v>
      </c>
      <c r="P11" s="8" t="s">
        <v>152</v>
      </c>
      <c r="Q11" s="45">
        <v>45121</v>
      </c>
      <c r="R11" s="30"/>
    </row>
    <row r="12" spans="1:16383" s="87" customFormat="1" ht="20.45" customHeight="1" x14ac:dyDescent="0.3">
      <c r="A12" s="117">
        <v>11</v>
      </c>
      <c r="B12" s="8" t="s">
        <v>3712</v>
      </c>
      <c r="C12" s="8" t="s">
        <v>3713</v>
      </c>
      <c r="D12" s="8">
        <v>102</v>
      </c>
      <c r="E12" s="600" t="s">
        <v>3714</v>
      </c>
      <c r="F12" s="16" t="s">
        <v>3715</v>
      </c>
      <c r="G12" s="601" t="s">
        <v>3716</v>
      </c>
      <c r="H12" s="602">
        <v>6</v>
      </c>
      <c r="I12" s="603">
        <v>348</v>
      </c>
      <c r="J12" s="604">
        <v>6</v>
      </c>
      <c r="K12" s="605" t="s">
        <v>3717</v>
      </c>
      <c r="L12" s="13">
        <v>0</v>
      </c>
      <c r="M12" s="13" t="s">
        <v>820</v>
      </c>
      <c r="N12" s="88" t="s">
        <v>884</v>
      </c>
      <c r="O12" s="8" t="s">
        <v>185</v>
      </c>
      <c r="P12" s="24" t="s">
        <v>186</v>
      </c>
      <c r="Q12" s="14">
        <v>45289</v>
      </c>
      <c r="R12" s="30"/>
    </row>
    <row r="13" spans="1:16383" s="87" customFormat="1" ht="20.45" customHeight="1" x14ac:dyDescent="0.3">
      <c r="A13" s="117">
        <v>12</v>
      </c>
      <c r="B13" s="99" t="s">
        <v>3020</v>
      </c>
      <c r="C13" s="99" t="s">
        <v>3021</v>
      </c>
      <c r="D13" s="99">
        <v>102</v>
      </c>
      <c r="E13" s="30" t="s">
        <v>3019</v>
      </c>
      <c r="F13" s="30" t="s">
        <v>3022</v>
      </c>
      <c r="G13" s="99" t="s">
        <v>2991</v>
      </c>
      <c r="H13" s="88">
        <v>7</v>
      </c>
      <c r="I13" s="102">
        <v>538</v>
      </c>
      <c r="J13" s="71">
        <v>0</v>
      </c>
      <c r="K13" s="88" t="s">
        <v>3004</v>
      </c>
      <c r="L13" s="88">
        <v>0</v>
      </c>
      <c r="M13" s="88" t="s">
        <v>2993</v>
      </c>
      <c r="N13" s="88" t="s">
        <v>3005</v>
      </c>
      <c r="O13" s="10" t="s">
        <v>151</v>
      </c>
      <c r="P13" s="8" t="s">
        <v>152</v>
      </c>
      <c r="Q13" s="45">
        <v>45049</v>
      </c>
      <c r="R13" s="30"/>
    </row>
    <row r="14" spans="1:16383" s="87" customFormat="1" ht="20.45" customHeight="1" x14ac:dyDescent="0.3">
      <c r="A14" s="117">
        <v>13</v>
      </c>
      <c r="B14" s="142" t="s">
        <v>3155</v>
      </c>
      <c r="C14" s="142" t="s">
        <v>3156</v>
      </c>
      <c r="D14" s="142">
        <v>112</v>
      </c>
      <c r="E14" s="164" t="s">
        <v>3154</v>
      </c>
      <c r="F14" s="164" t="s">
        <v>3158</v>
      </c>
      <c r="G14" s="117" t="s">
        <v>3157</v>
      </c>
      <c r="H14" s="88">
        <v>7</v>
      </c>
      <c r="I14" s="88">
        <v>924</v>
      </c>
      <c r="J14" s="178">
        <v>4</v>
      </c>
      <c r="K14" s="178" t="s">
        <v>3169</v>
      </c>
      <c r="L14" s="88">
        <v>0</v>
      </c>
      <c r="M14" s="88" t="s">
        <v>820</v>
      </c>
      <c r="N14" s="88" t="s">
        <v>884</v>
      </c>
      <c r="O14" s="8" t="s">
        <v>155</v>
      </c>
      <c r="P14" s="8" t="s">
        <v>156</v>
      </c>
      <c r="Q14" s="45">
        <v>45136</v>
      </c>
      <c r="R14" s="164"/>
    </row>
    <row r="15" spans="1:16383" ht="20.45" customHeight="1" x14ac:dyDescent="0.3">
      <c r="A15" s="117">
        <v>14</v>
      </c>
      <c r="B15" s="99" t="s">
        <v>3557</v>
      </c>
      <c r="C15" s="99" t="s">
        <v>3558</v>
      </c>
      <c r="D15" s="99">
        <v>115</v>
      </c>
      <c r="E15" s="56" t="s">
        <v>3559</v>
      </c>
      <c r="F15" s="56" t="s">
        <v>3560</v>
      </c>
      <c r="G15" s="99" t="s">
        <v>2373</v>
      </c>
      <c r="H15" s="88">
        <v>2</v>
      </c>
      <c r="I15" s="102">
        <v>110</v>
      </c>
      <c r="J15" s="71">
        <v>0</v>
      </c>
      <c r="K15" s="88" t="s">
        <v>2373</v>
      </c>
      <c r="L15" s="88">
        <v>0</v>
      </c>
      <c r="M15" s="88" t="s">
        <v>3561</v>
      </c>
      <c r="N15" s="88" t="s">
        <v>3562</v>
      </c>
      <c r="O15" s="99" t="s">
        <v>3563</v>
      </c>
      <c r="P15" s="99" t="s">
        <v>3564</v>
      </c>
      <c r="Q15" s="45">
        <v>45233</v>
      </c>
      <c r="R15" s="30"/>
    </row>
    <row r="16" spans="1:16383" s="87" customFormat="1" ht="20.45" customHeight="1" x14ac:dyDescent="0.3">
      <c r="A16" s="117">
        <v>15</v>
      </c>
      <c r="B16" s="99" t="s">
        <v>3054</v>
      </c>
      <c r="C16" s="99" t="s">
        <v>3055</v>
      </c>
      <c r="D16" s="99">
        <v>116</v>
      </c>
      <c r="E16" s="56" t="s">
        <v>3051</v>
      </c>
      <c r="F16" s="56" t="s">
        <v>3053</v>
      </c>
      <c r="G16" s="99" t="s">
        <v>3052</v>
      </c>
      <c r="H16" s="88">
        <v>7</v>
      </c>
      <c r="I16" s="102">
        <v>517</v>
      </c>
      <c r="J16" s="71">
        <v>0</v>
      </c>
      <c r="K16" s="88" t="s">
        <v>820</v>
      </c>
      <c r="L16" s="88">
        <v>0</v>
      </c>
      <c r="M16" s="88" t="s">
        <v>820</v>
      </c>
      <c r="N16" s="88" t="s">
        <v>884</v>
      </c>
      <c r="O16" s="10" t="s">
        <v>151</v>
      </c>
      <c r="P16" s="8" t="s">
        <v>152</v>
      </c>
      <c r="Q16" s="45">
        <v>45066</v>
      </c>
      <c r="R16" s="89"/>
    </row>
    <row r="17" spans="1:18" ht="20.45" customHeight="1" x14ac:dyDescent="0.3">
      <c r="A17" s="117">
        <v>16</v>
      </c>
      <c r="B17" s="142" t="s">
        <v>3177</v>
      </c>
      <c r="C17" s="142" t="s">
        <v>3178</v>
      </c>
      <c r="D17" s="142">
        <v>116</v>
      </c>
      <c r="E17" s="164" t="s">
        <v>3176</v>
      </c>
      <c r="F17" s="164" t="s">
        <v>3683</v>
      </c>
      <c r="G17" s="117" t="s">
        <v>3157</v>
      </c>
      <c r="H17" s="88">
        <v>5</v>
      </c>
      <c r="I17" s="88">
        <v>270</v>
      </c>
      <c r="J17" s="179">
        <v>4</v>
      </c>
      <c r="K17" s="180" t="s">
        <v>3183</v>
      </c>
      <c r="L17" s="180">
        <v>0</v>
      </c>
      <c r="M17" s="180" t="s">
        <v>820</v>
      </c>
      <c r="N17" s="88" t="s">
        <v>884</v>
      </c>
      <c r="O17" s="8" t="s">
        <v>185</v>
      </c>
      <c r="P17" s="24" t="s">
        <v>186</v>
      </c>
      <c r="Q17" s="45">
        <v>45247</v>
      </c>
      <c r="R17" s="117"/>
    </row>
    <row r="18" spans="1:18" ht="20.45" customHeight="1" x14ac:dyDescent="0.3">
      <c r="A18" s="117">
        <v>17</v>
      </c>
      <c r="B18" s="99" t="s">
        <v>2987</v>
      </c>
      <c r="C18" s="99" t="s">
        <v>2988</v>
      </c>
      <c r="D18" s="99">
        <v>139</v>
      </c>
      <c r="E18" s="56" t="s">
        <v>2989</v>
      </c>
      <c r="F18" s="56" t="s">
        <v>2990</v>
      </c>
      <c r="G18" s="99" t="s">
        <v>2991</v>
      </c>
      <c r="H18" s="88">
        <v>2</v>
      </c>
      <c r="I18" s="102">
        <v>95</v>
      </c>
      <c r="J18" s="71">
        <v>0</v>
      </c>
      <c r="K18" s="88" t="s">
        <v>2992</v>
      </c>
      <c r="L18" s="88">
        <v>0</v>
      </c>
      <c r="M18" s="88" t="s">
        <v>2993</v>
      </c>
      <c r="N18" s="88" t="s">
        <v>2994</v>
      </c>
      <c r="O18" s="10" t="s">
        <v>151</v>
      </c>
      <c r="P18" s="39" t="s">
        <v>152</v>
      </c>
      <c r="Q18" s="45">
        <v>44991</v>
      </c>
      <c r="R18" s="30"/>
    </row>
    <row r="19" spans="1:18" ht="20.45" customHeight="1" x14ac:dyDescent="0.3">
      <c r="A19" s="117">
        <v>18</v>
      </c>
      <c r="B19" s="99" t="s">
        <v>3100</v>
      </c>
      <c r="C19" s="99" t="s">
        <v>3101</v>
      </c>
      <c r="D19" s="99">
        <v>162</v>
      </c>
      <c r="E19" s="30" t="s">
        <v>3099</v>
      </c>
      <c r="F19" s="30" t="s">
        <v>3102</v>
      </c>
      <c r="G19" s="99" t="s">
        <v>3085</v>
      </c>
      <c r="H19" s="88">
        <v>6</v>
      </c>
      <c r="I19" s="495">
        <v>634</v>
      </c>
      <c r="J19" s="71">
        <v>0</v>
      </c>
      <c r="K19" s="88" t="s">
        <v>820</v>
      </c>
      <c r="L19" s="88">
        <v>0</v>
      </c>
      <c r="M19" s="88" t="s">
        <v>820</v>
      </c>
      <c r="N19" s="88" t="s">
        <v>884</v>
      </c>
      <c r="O19" s="10" t="s">
        <v>151</v>
      </c>
      <c r="P19" s="8" t="s">
        <v>152</v>
      </c>
      <c r="Q19" s="45">
        <v>44937</v>
      </c>
      <c r="R19" s="3"/>
    </row>
    <row r="20" spans="1:18" ht="20.45" customHeight="1" x14ac:dyDescent="0.3">
      <c r="A20" s="117">
        <v>19</v>
      </c>
      <c r="B20" s="99" t="s">
        <v>3565</v>
      </c>
      <c r="C20" s="99" t="s">
        <v>3566</v>
      </c>
      <c r="D20" s="99">
        <v>250</v>
      </c>
      <c r="E20" s="56" t="s">
        <v>3568</v>
      </c>
      <c r="F20" s="56" t="s">
        <v>3570</v>
      </c>
      <c r="G20" s="99" t="s">
        <v>3571</v>
      </c>
      <c r="H20" s="88">
        <v>2</v>
      </c>
      <c r="I20" s="102">
        <v>100</v>
      </c>
      <c r="J20" s="71">
        <v>0</v>
      </c>
      <c r="K20" s="88" t="s">
        <v>2373</v>
      </c>
      <c r="L20" s="88">
        <v>0</v>
      </c>
      <c r="M20" s="88" t="s">
        <v>2373</v>
      </c>
      <c r="N20" s="88" t="s">
        <v>3572</v>
      </c>
      <c r="O20" s="99" t="s">
        <v>3573</v>
      </c>
      <c r="P20" s="138" t="s">
        <v>3574</v>
      </c>
      <c r="Q20" s="45">
        <v>45133</v>
      </c>
      <c r="R20" s="30"/>
    </row>
    <row r="21" spans="1:18" ht="20.45" customHeight="1" x14ac:dyDescent="0.3">
      <c r="A21" s="117">
        <v>20</v>
      </c>
      <c r="B21" s="63" t="s">
        <v>3590</v>
      </c>
      <c r="C21" s="99" t="s">
        <v>3591</v>
      </c>
      <c r="D21" s="99">
        <v>261</v>
      </c>
      <c r="E21" s="56" t="s">
        <v>3593</v>
      </c>
      <c r="F21" s="56" t="s">
        <v>3594</v>
      </c>
      <c r="G21" s="99" t="s">
        <v>2373</v>
      </c>
      <c r="H21" s="88">
        <v>2</v>
      </c>
      <c r="I21" s="102">
        <v>36</v>
      </c>
      <c r="J21" s="71">
        <v>0</v>
      </c>
      <c r="K21" s="88" t="s">
        <v>3571</v>
      </c>
      <c r="L21" s="88">
        <v>0</v>
      </c>
      <c r="M21" s="88" t="s">
        <v>2373</v>
      </c>
      <c r="N21" s="88" t="s">
        <v>2372</v>
      </c>
      <c r="O21" s="99" t="s">
        <v>3595</v>
      </c>
      <c r="P21" s="99" t="s">
        <v>3596</v>
      </c>
      <c r="Q21" s="45">
        <v>45144</v>
      </c>
      <c r="R21" s="56"/>
    </row>
    <row r="22" spans="1:18" ht="20.45" customHeight="1" x14ac:dyDescent="0.3">
      <c r="A22" s="117">
        <v>21</v>
      </c>
      <c r="B22" s="99" t="s">
        <v>3143</v>
      </c>
      <c r="C22" s="99" t="s">
        <v>3144</v>
      </c>
      <c r="D22" s="99">
        <v>261</v>
      </c>
      <c r="E22" s="56" t="s">
        <v>3140</v>
      </c>
      <c r="F22" s="56" t="s">
        <v>3141</v>
      </c>
      <c r="G22" s="99" t="s">
        <v>3142</v>
      </c>
      <c r="H22" s="88">
        <v>3</v>
      </c>
      <c r="I22" s="102">
        <v>95</v>
      </c>
      <c r="J22" s="71">
        <v>0</v>
      </c>
      <c r="K22" s="88" t="s">
        <v>820</v>
      </c>
      <c r="L22" s="88">
        <v>0</v>
      </c>
      <c r="M22" s="88" t="s">
        <v>820</v>
      </c>
      <c r="N22" s="88" t="s">
        <v>884</v>
      </c>
      <c r="O22" s="8" t="s">
        <v>157</v>
      </c>
      <c r="P22" s="8" t="s">
        <v>158</v>
      </c>
      <c r="Q22" s="45">
        <v>45189</v>
      </c>
      <c r="R22" s="30"/>
    </row>
    <row r="23" spans="1:18" s="168" customFormat="1" ht="20.45" customHeight="1" x14ac:dyDescent="0.3">
      <c r="A23" s="142"/>
      <c r="B23" s="142"/>
      <c r="C23" s="142"/>
      <c r="D23" s="142"/>
      <c r="E23" s="165" t="s">
        <v>2367</v>
      </c>
      <c r="F23" s="166"/>
      <c r="G23" s="142"/>
      <c r="H23" s="115">
        <f>SUM(H2:H22)</f>
        <v>98</v>
      </c>
      <c r="I23" s="115">
        <f>SUM(I2:I22)</f>
        <v>8311</v>
      </c>
      <c r="J23" s="115">
        <f>SUM(J2:J22)</f>
        <v>28</v>
      </c>
      <c r="K23" s="120"/>
      <c r="L23" s="115">
        <f>SUM(L2:L22)</f>
        <v>0</v>
      </c>
      <c r="M23" s="120"/>
      <c r="N23" s="118">
        <f>+COUNTIF(N2:N22,"Y")</f>
        <v>1</v>
      </c>
      <c r="O23" s="120"/>
      <c r="P23" s="142"/>
      <c r="Q23" s="167"/>
      <c r="R23" s="142"/>
    </row>
    <row r="25" spans="1:18" s="110" customFormat="1" ht="18.600000000000001" customHeight="1" x14ac:dyDescent="0.3">
      <c r="A25" s="110" t="s">
        <v>2752</v>
      </c>
    </row>
    <row r="26" spans="1:18" s="110" customFormat="1" ht="18.600000000000001" customHeight="1" x14ac:dyDescent="0.3">
      <c r="A26" s="110" t="s">
        <v>2751</v>
      </c>
    </row>
    <row r="27" spans="1:18" s="110" customFormat="1" ht="18.600000000000001" customHeight="1" x14ac:dyDescent="0.3">
      <c r="A27" s="110" t="s">
        <v>3725</v>
      </c>
    </row>
  </sheetData>
  <autoFilter ref="A1:R23"/>
  <sortState ref="A2:R22">
    <sortCondition ref="D2:D22"/>
    <sortCondition ref="F2:F22"/>
  </sortState>
  <phoneticPr fontId="2" type="noConversion"/>
  <pageMargins left="0.7" right="0.7" top="0.75" bottom="0.75" header="0.3" footer="0.3"/>
  <pageSetup paperSize="9" orientation="portrait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</sheetPr>
  <dimension ref="A1:S37"/>
  <sheetViews>
    <sheetView zoomScaleNormal="100" workbookViewId="0">
      <selection activeCell="A3" sqref="A3:A4"/>
    </sheetView>
  </sheetViews>
  <sheetFormatPr defaultRowHeight="16.5" x14ac:dyDescent="0.3"/>
  <cols>
    <col min="1" max="11" width="9.625" customWidth="1"/>
    <col min="12" max="12" width="5.625" customWidth="1"/>
    <col min="13" max="19" width="9.625" customWidth="1"/>
  </cols>
  <sheetData>
    <row r="1" spans="1:19" ht="26.25" x14ac:dyDescent="0.3">
      <c r="A1" s="714" t="s">
        <v>3747</v>
      </c>
      <c r="B1" s="714"/>
      <c r="C1" s="714"/>
      <c r="D1" s="714"/>
      <c r="E1" s="714"/>
      <c r="F1" s="714"/>
      <c r="G1" s="714"/>
      <c r="H1" s="714"/>
      <c r="I1" s="714"/>
      <c r="J1" s="714"/>
      <c r="K1" s="714"/>
      <c r="L1" s="714"/>
      <c r="M1" s="714"/>
      <c r="N1" s="714"/>
      <c r="O1" s="714"/>
      <c r="P1" s="714"/>
      <c r="Q1" s="714"/>
      <c r="R1" s="714"/>
      <c r="S1" s="714"/>
    </row>
    <row r="2" spans="1:19" s="346" customFormat="1" ht="27" customHeight="1" thickBot="1" x14ac:dyDescent="0.35">
      <c r="A2" s="717" t="s">
        <v>3746</v>
      </c>
      <c r="B2" s="717"/>
      <c r="C2" s="717"/>
      <c r="D2" s="717"/>
      <c r="E2" s="717"/>
      <c r="F2" s="717"/>
      <c r="G2" s="717"/>
      <c r="H2" s="717"/>
      <c r="I2" s="717"/>
      <c r="J2" s="717"/>
      <c r="K2" s="717"/>
      <c r="M2" s="716" t="s">
        <v>3745</v>
      </c>
      <c r="N2" s="716"/>
      <c r="O2" s="716"/>
      <c r="P2" s="716"/>
      <c r="Q2" s="716"/>
      <c r="R2" s="716"/>
      <c r="S2" s="716"/>
    </row>
    <row r="3" spans="1:19" s="346" customFormat="1" ht="16.5" customHeight="1" x14ac:dyDescent="0.3">
      <c r="A3" s="712" t="s">
        <v>2724</v>
      </c>
      <c r="B3" s="715" t="s">
        <v>3729</v>
      </c>
      <c r="C3" s="715"/>
      <c r="D3" s="715"/>
      <c r="E3" s="715" t="s">
        <v>3730</v>
      </c>
      <c r="F3" s="715"/>
      <c r="G3" s="715"/>
      <c r="H3" s="715"/>
      <c r="I3" s="715" t="s">
        <v>3731</v>
      </c>
      <c r="J3" s="715"/>
      <c r="K3" s="707"/>
      <c r="M3" s="698" t="s">
        <v>2724</v>
      </c>
      <c r="N3" s="702" t="s">
        <v>3393</v>
      </c>
      <c r="O3" s="704"/>
      <c r="P3" s="702" t="s">
        <v>3726</v>
      </c>
      <c r="Q3" s="704"/>
      <c r="R3" s="702" t="s">
        <v>3727</v>
      </c>
      <c r="S3" s="713"/>
    </row>
    <row r="4" spans="1:19" s="346" customFormat="1" ht="24" x14ac:dyDescent="0.3">
      <c r="A4" s="686"/>
      <c r="B4" s="622" t="s">
        <v>3369</v>
      </c>
      <c r="C4" s="622" t="s">
        <v>3743</v>
      </c>
      <c r="D4" s="622" t="s">
        <v>3742</v>
      </c>
      <c r="E4" s="622" t="s">
        <v>3744</v>
      </c>
      <c r="F4" s="622" t="s">
        <v>3743</v>
      </c>
      <c r="G4" s="622" t="s">
        <v>3742</v>
      </c>
      <c r="H4" s="661" t="s">
        <v>3741</v>
      </c>
      <c r="I4" s="622" t="s">
        <v>3740</v>
      </c>
      <c r="J4" s="622" t="s">
        <v>3739</v>
      </c>
      <c r="K4" s="623" t="s">
        <v>3738</v>
      </c>
      <c r="M4" s="699"/>
      <c r="N4" s="660" t="s">
        <v>3737</v>
      </c>
      <c r="O4" s="660" t="s">
        <v>3736</v>
      </c>
      <c r="P4" s="660" t="s">
        <v>3737</v>
      </c>
      <c r="Q4" s="660" t="s">
        <v>3736</v>
      </c>
      <c r="R4" s="660" t="s">
        <v>3737</v>
      </c>
      <c r="S4" s="659" t="s">
        <v>3736</v>
      </c>
    </row>
    <row r="5" spans="1:19" s="346" customFormat="1" ht="17.25" customHeight="1" x14ac:dyDescent="0.3">
      <c r="A5" s="658" t="s">
        <v>3385</v>
      </c>
      <c r="B5" s="657">
        <v>199</v>
      </c>
      <c r="C5" s="656">
        <v>1389</v>
      </c>
      <c r="D5" s="656">
        <v>197387</v>
      </c>
      <c r="E5" s="656">
        <v>192</v>
      </c>
      <c r="F5" s="656">
        <v>1208</v>
      </c>
      <c r="G5" s="656">
        <v>2674</v>
      </c>
      <c r="H5" s="655">
        <f>G5/D5</f>
        <v>1.3546991443205479E-2</v>
      </c>
      <c r="I5" s="654">
        <v>1894</v>
      </c>
      <c r="J5" s="653">
        <v>46</v>
      </c>
      <c r="K5" s="652">
        <v>734</v>
      </c>
      <c r="M5" s="633" t="s">
        <v>3735</v>
      </c>
      <c r="N5" s="450">
        <v>30</v>
      </c>
      <c r="O5" s="450">
        <v>29</v>
      </c>
      <c r="P5" s="450">
        <v>24</v>
      </c>
      <c r="Q5" s="450">
        <v>23</v>
      </c>
      <c r="R5" s="632">
        <v>20</v>
      </c>
      <c r="S5" s="631">
        <v>19</v>
      </c>
    </row>
    <row r="6" spans="1:19" s="346" customFormat="1" x14ac:dyDescent="0.3">
      <c r="A6" s="658" t="s">
        <v>3386</v>
      </c>
      <c r="B6" s="657">
        <v>143</v>
      </c>
      <c r="C6" s="657">
        <v>985</v>
      </c>
      <c r="D6" s="656">
        <v>146495</v>
      </c>
      <c r="E6" s="657">
        <v>134</v>
      </c>
      <c r="F6" s="657">
        <v>829</v>
      </c>
      <c r="G6" s="656">
        <v>2332</v>
      </c>
      <c r="H6" s="655">
        <f>G6/D6</f>
        <v>1.5918632035223045E-2</v>
      </c>
      <c r="I6" s="654">
        <v>1670</v>
      </c>
      <c r="J6" s="653">
        <v>71</v>
      </c>
      <c r="K6" s="652">
        <v>591</v>
      </c>
      <c r="M6" s="633" t="s">
        <v>3224</v>
      </c>
      <c r="N6" s="450">
        <v>13</v>
      </c>
      <c r="O6" s="450">
        <v>12</v>
      </c>
      <c r="P6" s="450">
        <v>11</v>
      </c>
      <c r="Q6" s="450">
        <v>11</v>
      </c>
      <c r="R6" s="632">
        <v>6</v>
      </c>
      <c r="S6" s="631">
        <v>6</v>
      </c>
    </row>
    <row r="7" spans="1:19" s="346" customFormat="1" ht="17.25" thickBot="1" x14ac:dyDescent="0.35">
      <c r="A7" s="651" t="s">
        <v>3387</v>
      </c>
      <c r="B7" s="650">
        <v>114</v>
      </c>
      <c r="C7" s="650">
        <v>769</v>
      </c>
      <c r="D7" s="649">
        <v>100557</v>
      </c>
      <c r="E7" s="650">
        <v>112</v>
      </c>
      <c r="F7" s="650">
        <v>764</v>
      </c>
      <c r="G7" s="649">
        <v>1408</v>
      </c>
      <c r="H7" s="648">
        <f>G7/D7</f>
        <v>1.4002008810923158E-2</v>
      </c>
      <c r="I7" s="647">
        <v>1063</v>
      </c>
      <c r="J7" s="646">
        <v>20</v>
      </c>
      <c r="K7" s="645">
        <v>325</v>
      </c>
      <c r="M7" s="633" t="s">
        <v>3225</v>
      </c>
      <c r="N7" s="450">
        <v>14</v>
      </c>
      <c r="O7" s="450">
        <v>14</v>
      </c>
      <c r="P7" s="450">
        <v>6</v>
      </c>
      <c r="Q7" s="450">
        <v>5</v>
      </c>
      <c r="R7" s="632">
        <v>5</v>
      </c>
      <c r="S7" s="631">
        <v>5</v>
      </c>
    </row>
    <row r="8" spans="1:19" s="346" customFormat="1" ht="18" thickTop="1" thickBot="1" x14ac:dyDescent="0.35">
      <c r="A8" s="644" t="s">
        <v>3728</v>
      </c>
      <c r="B8" s="643">
        <f t="shared" ref="B8:G8" si="0">SUM(B5:B7)</f>
        <v>456</v>
      </c>
      <c r="C8" s="642">
        <f t="shared" si="0"/>
        <v>3143</v>
      </c>
      <c r="D8" s="642">
        <f t="shared" si="0"/>
        <v>444439</v>
      </c>
      <c r="E8" s="641">
        <f t="shared" si="0"/>
        <v>438</v>
      </c>
      <c r="F8" s="640">
        <f t="shared" si="0"/>
        <v>2801</v>
      </c>
      <c r="G8" s="640">
        <f t="shared" si="0"/>
        <v>6414</v>
      </c>
      <c r="H8" s="639" t="s">
        <v>3734</v>
      </c>
      <c r="I8" s="638">
        <f>SUM(I5:I7)</f>
        <v>4627</v>
      </c>
      <c r="J8" s="637">
        <f>SUM(J5:J7)</f>
        <v>137</v>
      </c>
      <c r="K8" s="636">
        <f>SUM(K5:K7)</f>
        <v>1650</v>
      </c>
      <c r="M8" s="633" t="s">
        <v>3226</v>
      </c>
      <c r="N8" s="450">
        <v>9</v>
      </c>
      <c r="O8" s="450">
        <v>9</v>
      </c>
      <c r="P8" s="450">
        <v>8</v>
      </c>
      <c r="Q8" s="450">
        <v>7</v>
      </c>
      <c r="R8" s="632">
        <v>2</v>
      </c>
      <c r="S8" s="631">
        <v>2</v>
      </c>
    </row>
    <row r="9" spans="1:19" s="346" customFormat="1" x14ac:dyDescent="0.3">
      <c r="M9" s="633" t="s">
        <v>3227</v>
      </c>
      <c r="N9" s="450">
        <v>6</v>
      </c>
      <c r="O9" s="450">
        <v>5</v>
      </c>
      <c r="P9" s="450">
        <v>4</v>
      </c>
      <c r="Q9" s="450">
        <v>4</v>
      </c>
      <c r="R9" s="632">
        <v>5</v>
      </c>
      <c r="S9" s="631">
        <v>5</v>
      </c>
    </row>
    <row r="10" spans="1:19" s="346" customFormat="1" x14ac:dyDescent="0.3">
      <c r="A10" s="380" t="s">
        <v>3733</v>
      </c>
      <c r="M10" s="633" t="s">
        <v>3228</v>
      </c>
      <c r="N10" s="450">
        <v>7</v>
      </c>
      <c r="O10" s="450">
        <v>7</v>
      </c>
      <c r="P10" s="450">
        <v>4</v>
      </c>
      <c r="Q10" s="450">
        <v>3</v>
      </c>
      <c r="R10" s="632">
        <v>4</v>
      </c>
      <c r="S10" s="631">
        <v>4</v>
      </c>
    </row>
    <row r="11" spans="1:19" s="346" customFormat="1" x14ac:dyDescent="0.3">
      <c r="A11" s="380" t="s">
        <v>3732</v>
      </c>
      <c r="M11" s="633" t="s">
        <v>3229</v>
      </c>
      <c r="N11" s="450">
        <v>4</v>
      </c>
      <c r="O11" s="450">
        <v>4</v>
      </c>
      <c r="P11" s="450">
        <v>2</v>
      </c>
      <c r="Q11" s="450">
        <v>2</v>
      </c>
      <c r="R11" s="632">
        <v>1</v>
      </c>
      <c r="S11" s="631">
        <v>1</v>
      </c>
    </row>
    <row r="12" spans="1:19" s="346" customFormat="1" x14ac:dyDescent="0.3">
      <c r="A12" s="87" t="s">
        <v>3647</v>
      </c>
      <c r="M12" s="633" t="s">
        <v>3418</v>
      </c>
      <c r="N12" s="450">
        <v>1</v>
      </c>
      <c r="O12" s="450">
        <v>1</v>
      </c>
      <c r="P12" s="450">
        <v>0</v>
      </c>
      <c r="Q12" s="450">
        <v>0</v>
      </c>
      <c r="R12" s="632">
        <v>3</v>
      </c>
      <c r="S12" s="631">
        <v>3</v>
      </c>
    </row>
    <row r="13" spans="1:19" s="346" customFormat="1" x14ac:dyDescent="0.3">
      <c r="M13" s="633" t="s">
        <v>3231</v>
      </c>
      <c r="N13" s="450">
        <v>60</v>
      </c>
      <c r="O13" s="450">
        <v>58</v>
      </c>
      <c r="P13" s="450">
        <v>42</v>
      </c>
      <c r="Q13" s="450">
        <v>41</v>
      </c>
      <c r="R13" s="632">
        <v>32</v>
      </c>
      <c r="S13" s="631">
        <v>32</v>
      </c>
    </row>
    <row r="14" spans="1:19" x14ac:dyDescent="0.3">
      <c r="M14" s="633" t="s">
        <v>3232</v>
      </c>
      <c r="N14" s="450">
        <v>6</v>
      </c>
      <c r="O14" s="450">
        <v>6</v>
      </c>
      <c r="P14" s="450">
        <v>4</v>
      </c>
      <c r="Q14" s="450">
        <v>4</v>
      </c>
      <c r="R14" s="632">
        <v>5</v>
      </c>
      <c r="S14" s="631">
        <v>5</v>
      </c>
    </row>
    <row r="15" spans="1:19" x14ac:dyDescent="0.3">
      <c r="M15" s="633" t="s">
        <v>3233</v>
      </c>
      <c r="N15" s="450">
        <v>8</v>
      </c>
      <c r="O15" s="450">
        <v>7</v>
      </c>
      <c r="P15" s="450">
        <v>3</v>
      </c>
      <c r="Q15" s="450">
        <v>3</v>
      </c>
      <c r="R15" s="632">
        <v>4</v>
      </c>
      <c r="S15" s="631">
        <v>4</v>
      </c>
    </row>
    <row r="16" spans="1:19" x14ac:dyDescent="0.3">
      <c r="M16" s="633" t="s">
        <v>3234</v>
      </c>
      <c r="N16" s="450">
        <v>9</v>
      </c>
      <c r="O16" s="450">
        <v>9</v>
      </c>
      <c r="P16" s="450">
        <v>5</v>
      </c>
      <c r="Q16" s="450">
        <v>5</v>
      </c>
      <c r="R16" s="632">
        <v>3</v>
      </c>
      <c r="S16" s="631">
        <v>3</v>
      </c>
    </row>
    <row r="17" spans="13:19" x14ac:dyDescent="0.3">
      <c r="M17" s="633" t="s">
        <v>3235</v>
      </c>
      <c r="N17" s="635">
        <v>6</v>
      </c>
      <c r="O17" s="635">
        <v>6</v>
      </c>
      <c r="P17" s="635">
        <v>6</v>
      </c>
      <c r="Q17" s="450">
        <v>6</v>
      </c>
      <c r="R17" s="632">
        <v>3</v>
      </c>
      <c r="S17" s="634">
        <v>3</v>
      </c>
    </row>
    <row r="18" spans="13:19" x14ac:dyDescent="0.3">
      <c r="M18" s="633" t="s">
        <v>3425</v>
      </c>
      <c r="N18" s="450">
        <v>8</v>
      </c>
      <c r="O18" s="450">
        <v>8</v>
      </c>
      <c r="P18" s="450">
        <v>0</v>
      </c>
      <c r="Q18" s="450">
        <v>0</v>
      </c>
      <c r="R18" s="632">
        <v>3</v>
      </c>
      <c r="S18" s="631">
        <v>3</v>
      </c>
    </row>
    <row r="19" spans="13:19" x14ac:dyDescent="0.3">
      <c r="M19" s="633" t="s">
        <v>3237</v>
      </c>
      <c r="N19" s="450">
        <v>5</v>
      </c>
      <c r="O19" s="450">
        <v>4</v>
      </c>
      <c r="P19" s="450">
        <v>9</v>
      </c>
      <c r="Q19" s="450">
        <v>8</v>
      </c>
      <c r="R19" s="632">
        <v>9</v>
      </c>
      <c r="S19" s="631">
        <v>9</v>
      </c>
    </row>
    <row r="20" spans="13:19" x14ac:dyDescent="0.3">
      <c r="M20" s="633" t="s">
        <v>3428</v>
      </c>
      <c r="N20" s="450">
        <v>11</v>
      </c>
      <c r="O20" s="450">
        <v>11</v>
      </c>
      <c r="P20" s="450">
        <v>12</v>
      </c>
      <c r="Q20" s="450">
        <v>10</v>
      </c>
      <c r="R20" s="632">
        <v>7</v>
      </c>
      <c r="S20" s="631">
        <v>6</v>
      </c>
    </row>
    <row r="21" spans="13:19" ht="17.25" thickBot="1" x14ac:dyDescent="0.35">
      <c r="M21" s="630" t="s">
        <v>3239</v>
      </c>
      <c r="N21" s="440">
        <v>2</v>
      </c>
      <c r="O21" s="440">
        <v>2</v>
      </c>
      <c r="P21" s="440">
        <v>3</v>
      </c>
      <c r="Q21" s="440">
        <v>2</v>
      </c>
      <c r="R21" s="629">
        <v>2</v>
      </c>
      <c r="S21" s="628">
        <v>2</v>
      </c>
    </row>
    <row r="22" spans="13:19" ht="18" thickTop="1" thickBot="1" x14ac:dyDescent="0.35">
      <c r="M22" s="627" t="s">
        <v>3728</v>
      </c>
      <c r="N22" s="476">
        <f t="shared" ref="N22:S22" si="1">SUM(N5:N21)</f>
        <v>199</v>
      </c>
      <c r="O22" s="626">
        <f t="shared" si="1"/>
        <v>192</v>
      </c>
      <c r="P22" s="476">
        <f t="shared" si="1"/>
        <v>143</v>
      </c>
      <c r="Q22" s="626">
        <f t="shared" si="1"/>
        <v>134</v>
      </c>
      <c r="R22" s="625">
        <f t="shared" si="1"/>
        <v>114</v>
      </c>
      <c r="S22" s="624">
        <f t="shared" si="1"/>
        <v>112</v>
      </c>
    </row>
    <row r="23" spans="13:19" x14ac:dyDescent="0.3">
      <c r="M23" s="480"/>
      <c r="N23" s="481"/>
      <c r="O23" s="481"/>
      <c r="P23" s="481"/>
      <c r="Q23" s="482"/>
      <c r="R23" s="483"/>
      <c r="S23" s="484"/>
    </row>
    <row r="24" spans="13:19" x14ac:dyDescent="0.3">
      <c r="M24" s="480"/>
      <c r="N24" s="481"/>
      <c r="O24" s="481"/>
      <c r="P24" s="481"/>
      <c r="Q24" s="482"/>
      <c r="R24" s="483"/>
      <c r="S24" s="484"/>
    </row>
    <row r="25" spans="13:19" x14ac:dyDescent="0.3">
      <c r="M25" s="480"/>
      <c r="N25" s="481"/>
      <c r="O25" s="481"/>
      <c r="P25" s="481"/>
      <c r="Q25" s="482"/>
      <c r="R25" s="483"/>
      <c r="S25" s="484"/>
    </row>
    <row r="26" spans="13:19" x14ac:dyDescent="0.3">
      <c r="M26" s="480"/>
      <c r="N26" s="481"/>
      <c r="O26" s="481"/>
      <c r="P26" s="481"/>
      <c r="Q26" s="482"/>
      <c r="R26" s="483"/>
      <c r="S26" s="484"/>
    </row>
    <row r="27" spans="13:19" x14ac:dyDescent="0.3">
      <c r="M27" s="480"/>
      <c r="N27" s="481"/>
      <c r="O27" s="481"/>
      <c r="P27" s="481"/>
      <c r="Q27" s="482"/>
      <c r="R27" s="483"/>
      <c r="S27" s="484"/>
    </row>
    <row r="28" spans="13:19" x14ac:dyDescent="0.3">
      <c r="M28" s="480"/>
      <c r="N28" s="481"/>
      <c r="O28" s="481"/>
      <c r="P28" s="481"/>
      <c r="Q28" s="482"/>
      <c r="R28" s="483"/>
      <c r="S28" s="484"/>
    </row>
    <row r="31" spans="13:19" x14ac:dyDescent="0.3">
      <c r="M31" s="109"/>
      <c r="N31" s="109"/>
      <c r="O31" s="109"/>
      <c r="P31" s="109"/>
      <c r="Q31" s="109"/>
      <c r="R31" s="109"/>
      <c r="S31" s="109"/>
    </row>
    <row r="32" spans="13:19" x14ac:dyDescent="0.3">
      <c r="M32" s="109"/>
      <c r="N32" s="109"/>
      <c r="O32" s="109"/>
      <c r="P32" s="109"/>
      <c r="Q32" s="109"/>
      <c r="R32" s="109"/>
      <c r="S32" s="109"/>
    </row>
    <row r="33" spans="13:19" x14ac:dyDescent="0.3">
      <c r="M33" s="109"/>
      <c r="N33" s="109"/>
      <c r="O33" s="109"/>
      <c r="P33" s="109"/>
      <c r="Q33" s="109"/>
      <c r="R33" s="109"/>
      <c r="S33" s="109"/>
    </row>
    <row r="34" spans="13:19" x14ac:dyDescent="0.3">
      <c r="M34" s="109"/>
      <c r="N34" s="109"/>
      <c r="O34" s="109"/>
      <c r="P34" s="109"/>
      <c r="Q34" s="109"/>
      <c r="R34" s="109"/>
      <c r="S34" s="109"/>
    </row>
    <row r="35" spans="13:19" x14ac:dyDescent="0.3">
      <c r="M35" s="109"/>
      <c r="N35" s="109"/>
      <c r="O35" s="109"/>
      <c r="P35" s="109"/>
      <c r="Q35" s="109"/>
      <c r="R35" s="109"/>
      <c r="S35" s="109"/>
    </row>
    <row r="36" spans="13:19" x14ac:dyDescent="0.3">
      <c r="M36" s="109"/>
      <c r="N36" s="109"/>
      <c r="O36" s="109"/>
      <c r="P36" s="109"/>
      <c r="Q36" s="109"/>
      <c r="R36" s="109"/>
      <c r="S36" s="109"/>
    </row>
    <row r="37" spans="13:19" x14ac:dyDescent="0.3">
      <c r="M37" s="109"/>
      <c r="N37" s="109"/>
      <c r="O37" s="109"/>
      <c r="P37" s="109"/>
      <c r="Q37" s="109"/>
      <c r="R37" s="109"/>
      <c r="S37" s="109"/>
    </row>
  </sheetData>
  <mergeCells count="11">
    <mergeCell ref="A3:A4"/>
    <mergeCell ref="N3:O3"/>
    <mergeCell ref="P3:Q3"/>
    <mergeCell ref="R3:S3"/>
    <mergeCell ref="A1:S1"/>
    <mergeCell ref="B3:D3"/>
    <mergeCell ref="I3:K3"/>
    <mergeCell ref="E3:H3"/>
    <mergeCell ref="M2:S2"/>
    <mergeCell ref="M3:M4"/>
    <mergeCell ref="A2:K2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A1:XFD33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L20" sqref="L20"/>
    </sheetView>
  </sheetViews>
  <sheetFormatPr defaultColWidth="9" defaultRowHeight="18.600000000000001" customHeight="1" x14ac:dyDescent="0.3"/>
  <cols>
    <col min="1" max="1" width="8.75" style="140"/>
    <col min="2" max="2" width="8.75" style="152"/>
    <col min="3" max="4" width="8.75" style="140"/>
    <col min="5" max="5" width="13.125" style="140" hidden="1" customWidth="1"/>
    <col min="6" max="6" width="23.25" style="109" customWidth="1"/>
    <col min="7" max="7" width="32.125" style="109" bestFit="1" customWidth="1"/>
    <col min="8" max="8" width="9" style="109"/>
    <col min="9" max="9" width="8.75" style="140"/>
    <col min="10" max="10" width="8.75" style="153"/>
    <col min="11" max="11" width="9" style="109"/>
    <col min="12" max="12" width="17.375" style="109" bestFit="1" customWidth="1"/>
    <col min="13" max="13" width="12.5" style="109" customWidth="1"/>
    <col min="14" max="14" width="23.125" style="109" bestFit="1" customWidth="1"/>
    <col min="15" max="15" width="9" style="109"/>
    <col min="16" max="16" width="12.25" style="109" bestFit="1" customWidth="1"/>
    <col min="17" max="17" width="25.75" style="109" bestFit="1" customWidth="1"/>
    <col min="18" max="18" width="10.5" style="109" bestFit="1" customWidth="1"/>
    <col min="19" max="19" width="42.25" style="109" customWidth="1"/>
    <col min="20" max="16384" width="9" style="109"/>
  </cols>
  <sheetData>
    <row r="1" spans="1:19" s="141" customFormat="1" ht="29.45" customHeight="1" x14ac:dyDescent="0.3">
      <c r="A1" s="185" t="s">
        <v>301</v>
      </c>
      <c r="B1" s="185" t="s">
        <v>2724</v>
      </c>
      <c r="C1" s="185" t="s">
        <v>189</v>
      </c>
      <c r="D1" s="185" t="s">
        <v>190</v>
      </c>
      <c r="E1" s="185" t="s">
        <v>2725</v>
      </c>
      <c r="F1" s="185" t="s">
        <v>1</v>
      </c>
      <c r="G1" s="185" t="s">
        <v>0</v>
      </c>
      <c r="H1" s="186" t="s">
        <v>1209</v>
      </c>
      <c r="I1" s="187" t="s">
        <v>2979</v>
      </c>
      <c r="J1" s="188" t="s">
        <v>302</v>
      </c>
      <c r="K1" s="187" t="s">
        <v>2985</v>
      </c>
      <c r="L1" s="189" t="s">
        <v>2726</v>
      </c>
      <c r="M1" s="190" t="s">
        <v>1210</v>
      </c>
      <c r="N1" s="190" t="s">
        <v>2370</v>
      </c>
      <c r="O1" s="190" t="s">
        <v>1211</v>
      </c>
      <c r="P1" s="185" t="s">
        <v>2727</v>
      </c>
      <c r="Q1" s="185" t="s">
        <v>2</v>
      </c>
      <c r="R1" s="185" t="s">
        <v>191</v>
      </c>
      <c r="S1" s="185" t="s">
        <v>192</v>
      </c>
    </row>
    <row r="2" spans="1:19" s="139" customFormat="1" ht="19.149999999999999" customHeight="1" x14ac:dyDescent="0.3">
      <c r="A2" s="99">
        <v>1</v>
      </c>
      <c r="B2" s="99" t="s">
        <v>3670</v>
      </c>
      <c r="C2" s="10" t="s">
        <v>1223</v>
      </c>
      <c r="D2" s="10" t="s">
        <v>1388</v>
      </c>
      <c r="E2" s="8">
        <v>23</v>
      </c>
      <c r="F2" s="506" t="s">
        <v>1389</v>
      </c>
      <c r="G2" s="11" t="s">
        <v>1390</v>
      </c>
      <c r="H2" s="10" t="s">
        <v>1228</v>
      </c>
      <c r="I2" s="13">
        <v>1</v>
      </c>
      <c r="J2" s="96">
        <v>59</v>
      </c>
      <c r="K2" s="62">
        <v>0</v>
      </c>
      <c r="L2" s="13" t="s">
        <v>1228</v>
      </c>
      <c r="M2" s="13">
        <v>0</v>
      </c>
      <c r="N2" s="13" t="s">
        <v>1239</v>
      </c>
      <c r="O2" s="13" t="s">
        <v>1221</v>
      </c>
      <c r="P2" s="10" t="s">
        <v>1391</v>
      </c>
      <c r="Q2" s="8" t="s">
        <v>830</v>
      </c>
      <c r="R2" s="14">
        <v>41915</v>
      </c>
      <c r="S2" s="578" t="s">
        <v>3686</v>
      </c>
    </row>
    <row r="3" spans="1:19" s="184" customFormat="1" ht="18" customHeight="1" x14ac:dyDescent="0.3">
      <c r="A3" s="24">
        <v>2</v>
      </c>
      <c r="B3" s="10" t="s">
        <v>3493</v>
      </c>
      <c r="C3" s="8" t="s">
        <v>196</v>
      </c>
      <c r="D3" s="8" t="s">
        <v>34</v>
      </c>
      <c r="E3" s="8">
        <v>34</v>
      </c>
      <c r="F3" s="16" t="s">
        <v>289</v>
      </c>
      <c r="G3" s="27" t="s">
        <v>1101</v>
      </c>
      <c r="H3" s="499" t="s">
        <v>3134</v>
      </c>
      <c r="I3" s="13">
        <v>7</v>
      </c>
      <c r="J3" s="500">
        <v>652</v>
      </c>
      <c r="K3" s="177">
        <v>0</v>
      </c>
      <c r="L3" s="174" t="s">
        <v>3688</v>
      </c>
      <c r="M3" s="13">
        <v>0</v>
      </c>
      <c r="N3" s="13" t="s">
        <v>1239</v>
      </c>
      <c r="O3" s="13" t="s">
        <v>1221</v>
      </c>
      <c r="P3" s="8" t="s">
        <v>157</v>
      </c>
      <c r="Q3" s="8" t="s">
        <v>158</v>
      </c>
      <c r="R3" s="14">
        <v>40910</v>
      </c>
      <c r="S3" s="114" t="s">
        <v>3687</v>
      </c>
    </row>
    <row r="4" spans="1:19" s="184" customFormat="1" ht="18" customHeight="1" x14ac:dyDescent="0.3">
      <c r="A4" s="24">
        <v>3</v>
      </c>
      <c r="B4" s="10" t="s">
        <v>3495</v>
      </c>
      <c r="C4" s="8" t="s">
        <v>1590</v>
      </c>
      <c r="D4" s="8" t="s">
        <v>1590</v>
      </c>
      <c r="E4" s="8">
        <v>75</v>
      </c>
      <c r="F4" s="19" t="s">
        <v>1594</v>
      </c>
      <c r="G4" s="19" t="s">
        <v>1595</v>
      </c>
      <c r="H4" s="8" t="s">
        <v>1264</v>
      </c>
      <c r="I4" s="13">
        <v>6</v>
      </c>
      <c r="J4" s="96">
        <v>682</v>
      </c>
      <c r="K4" s="62">
        <v>6</v>
      </c>
      <c r="L4" s="13" t="s">
        <v>1596</v>
      </c>
      <c r="M4" s="13">
        <v>0</v>
      </c>
      <c r="N4" s="13" t="s">
        <v>1239</v>
      </c>
      <c r="O4" s="13" t="s">
        <v>1216</v>
      </c>
      <c r="P4" s="8" t="s">
        <v>157</v>
      </c>
      <c r="Q4" s="8" t="s">
        <v>158</v>
      </c>
      <c r="R4" s="14">
        <v>43983</v>
      </c>
      <c r="S4" s="31" t="s">
        <v>3496</v>
      </c>
    </row>
    <row r="5" spans="1:19" s="60" customFormat="1" ht="18" customHeight="1" x14ac:dyDescent="0.3">
      <c r="A5" s="99">
        <v>4</v>
      </c>
      <c r="B5" s="10" t="s">
        <v>3495</v>
      </c>
      <c r="C5" s="63" t="s">
        <v>51</v>
      </c>
      <c r="D5" s="63" t="s">
        <v>57</v>
      </c>
      <c r="E5" s="99">
        <v>90</v>
      </c>
      <c r="F5" s="578" t="s">
        <v>1664</v>
      </c>
      <c r="G5" s="3" t="s">
        <v>563</v>
      </c>
      <c r="H5" s="63" t="s">
        <v>1239</v>
      </c>
      <c r="I5" s="88">
        <v>2</v>
      </c>
      <c r="J5" s="102">
        <v>113</v>
      </c>
      <c r="K5" s="71">
        <v>0</v>
      </c>
      <c r="L5" s="88" t="s">
        <v>310</v>
      </c>
      <c r="M5" s="88">
        <v>0</v>
      </c>
      <c r="N5" s="88" t="s">
        <v>1239</v>
      </c>
      <c r="O5" s="88" t="s">
        <v>1221</v>
      </c>
      <c r="P5" s="63" t="s">
        <v>1665</v>
      </c>
      <c r="Q5" s="100" t="s">
        <v>1666</v>
      </c>
      <c r="R5" s="45">
        <v>44321</v>
      </c>
      <c r="S5" s="502" t="s">
        <v>3711</v>
      </c>
    </row>
    <row r="6" spans="1:19" s="60" customFormat="1" ht="18" customHeight="1" x14ac:dyDescent="0.3">
      <c r="A6" s="24">
        <v>5</v>
      </c>
      <c r="B6" s="10" t="s">
        <v>3153</v>
      </c>
      <c r="C6" s="8" t="s">
        <v>51</v>
      </c>
      <c r="D6" s="8" t="s">
        <v>61</v>
      </c>
      <c r="E6" s="8">
        <v>96</v>
      </c>
      <c r="F6" s="27" t="s">
        <v>278</v>
      </c>
      <c r="G6" s="16" t="s">
        <v>560</v>
      </c>
      <c r="H6" s="23" t="s">
        <v>160</v>
      </c>
      <c r="I6" s="13">
        <v>8</v>
      </c>
      <c r="J6" s="96">
        <v>950</v>
      </c>
      <c r="K6" s="62">
        <v>0</v>
      </c>
      <c r="L6" s="13" t="s">
        <v>310</v>
      </c>
      <c r="M6" s="13">
        <v>0</v>
      </c>
      <c r="N6" s="13" t="s">
        <v>1239</v>
      </c>
      <c r="O6" s="13" t="s">
        <v>1221</v>
      </c>
      <c r="P6" s="8" t="s">
        <v>157</v>
      </c>
      <c r="Q6" s="8" t="s">
        <v>158</v>
      </c>
      <c r="R6" s="14">
        <v>39274</v>
      </c>
      <c r="S6" s="11" t="s">
        <v>3494</v>
      </c>
    </row>
    <row r="7" spans="1:19" s="60" customFormat="1" ht="18" customHeight="1" x14ac:dyDescent="0.3">
      <c r="A7" s="24">
        <v>6</v>
      </c>
      <c r="B7" s="10" t="s">
        <v>3153</v>
      </c>
      <c r="C7" s="8" t="s">
        <v>77</v>
      </c>
      <c r="D7" s="8" t="s">
        <v>79</v>
      </c>
      <c r="E7" s="8">
        <v>125</v>
      </c>
      <c r="F7" s="497" t="s">
        <v>277</v>
      </c>
      <c r="G7" s="16" t="s">
        <v>677</v>
      </c>
      <c r="H7" s="8" t="s">
        <v>160</v>
      </c>
      <c r="I7" s="13">
        <v>8</v>
      </c>
      <c r="J7" s="96">
        <v>797</v>
      </c>
      <c r="K7" s="62">
        <v>0</v>
      </c>
      <c r="L7" s="13" t="s">
        <v>310</v>
      </c>
      <c r="M7" s="13">
        <v>0</v>
      </c>
      <c r="N7" s="13" t="s">
        <v>1239</v>
      </c>
      <c r="O7" s="13" t="s">
        <v>1221</v>
      </c>
      <c r="P7" s="8" t="s">
        <v>157</v>
      </c>
      <c r="Q7" s="8" t="s">
        <v>158</v>
      </c>
      <c r="R7" s="14">
        <v>39394</v>
      </c>
      <c r="S7" s="114" t="s">
        <v>3685</v>
      </c>
    </row>
    <row r="8" spans="1:19" s="184" customFormat="1" ht="18" customHeight="1" x14ac:dyDescent="0.3">
      <c r="A8" s="99">
        <v>7</v>
      </c>
      <c r="B8" s="10" t="s">
        <v>3631</v>
      </c>
      <c r="C8" s="8" t="s">
        <v>2068</v>
      </c>
      <c r="D8" s="8" t="s">
        <v>2096</v>
      </c>
      <c r="E8" s="8">
        <v>182</v>
      </c>
      <c r="F8" s="502" t="s">
        <v>2097</v>
      </c>
      <c r="G8" s="19" t="s">
        <v>2098</v>
      </c>
      <c r="H8" s="8" t="s">
        <v>1228</v>
      </c>
      <c r="I8" s="13">
        <v>2</v>
      </c>
      <c r="J8" s="96">
        <v>90</v>
      </c>
      <c r="K8" s="62">
        <v>0</v>
      </c>
      <c r="L8" s="13" t="s">
        <v>1228</v>
      </c>
      <c r="M8" s="13">
        <v>0</v>
      </c>
      <c r="N8" s="13" t="s">
        <v>1239</v>
      </c>
      <c r="O8" s="13" t="s">
        <v>1521</v>
      </c>
      <c r="P8" s="10" t="s">
        <v>2099</v>
      </c>
      <c r="Q8" s="8" t="s">
        <v>723</v>
      </c>
      <c r="R8" s="14">
        <v>41920</v>
      </c>
      <c r="S8" s="502" t="s">
        <v>3656</v>
      </c>
    </row>
    <row r="9" spans="1:19" s="184" customFormat="1" ht="18" customHeight="1" x14ac:dyDescent="0.3">
      <c r="A9" s="718">
        <v>1</v>
      </c>
      <c r="B9" s="719" t="s">
        <v>2739</v>
      </c>
      <c r="C9" s="719" t="s">
        <v>2204</v>
      </c>
      <c r="D9" s="720" t="s">
        <v>2230</v>
      </c>
      <c r="E9" s="720">
        <v>220</v>
      </c>
      <c r="F9" s="721" t="s">
        <v>2231</v>
      </c>
      <c r="G9" s="722" t="s">
        <v>2232</v>
      </c>
      <c r="H9" s="720" t="s">
        <v>2233</v>
      </c>
      <c r="I9" s="723">
        <v>1</v>
      </c>
      <c r="J9" s="724">
        <v>76</v>
      </c>
      <c r="K9" s="725">
        <v>0</v>
      </c>
      <c r="L9" s="723" t="s">
        <v>317</v>
      </c>
      <c r="M9" s="723">
        <v>0</v>
      </c>
      <c r="N9" s="723" t="s">
        <v>820</v>
      </c>
      <c r="O9" s="723" t="s">
        <v>860</v>
      </c>
      <c r="P9" s="720" t="s">
        <v>185</v>
      </c>
      <c r="Q9" s="718" t="s">
        <v>186</v>
      </c>
      <c r="R9" s="726">
        <v>43020</v>
      </c>
      <c r="S9" s="508" t="s">
        <v>3748</v>
      </c>
    </row>
    <row r="10" spans="1:19" s="184" customFormat="1" ht="18" customHeight="1" x14ac:dyDescent="0.3">
      <c r="A10" s="718">
        <v>2</v>
      </c>
      <c r="B10" s="191" t="s">
        <v>2739</v>
      </c>
      <c r="C10" s="191" t="s">
        <v>197</v>
      </c>
      <c r="D10" s="191" t="s">
        <v>33</v>
      </c>
      <c r="E10" s="551">
        <v>46</v>
      </c>
      <c r="F10" s="552" t="s">
        <v>1457</v>
      </c>
      <c r="G10" s="552" t="s">
        <v>459</v>
      </c>
      <c r="H10" s="551" t="s">
        <v>160</v>
      </c>
      <c r="I10" s="553">
        <v>7</v>
      </c>
      <c r="J10" s="554">
        <v>1099</v>
      </c>
      <c r="K10" s="555">
        <v>0</v>
      </c>
      <c r="L10" s="553" t="s">
        <v>310</v>
      </c>
      <c r="M10" s="553">
        <v>0</v>
      </c>
      <c r="N10" s="553" t="s">
        <v>820</v>
      </c>
      <c r="O10" s="553" t="s">
        <v>884</v>
      </c>
      <c r="P10" s="191" t="s">
        <v>151</v>
      </c>
      <c r="Q10" s="551" t="s">
        <v>152</v>
      </c>
      <c r="R10" s="556">
        <v>39386</v>
      </c>
      <c r="S10" s="507" t="s">
        <v>3515</v>
      </c>
    </row>
    <row r="11" spans="1:19" s="60" customFormat="1" ht="18" customHeight="1" x14ac:dyDescent="0.3">
      <c r="A11" s="718">
        <v>3</v>
      </c>
      <c r="B11" s="191" t="s">
        <v>2739</v>
      </c>
      <c r="C11" s="551" t="s">
        <v>51</v>
      </c>
      <c r="D11" s="551" t="s">
        <v>52</v>
      </c>
      <c r="E11" s="551">
        <v>76</v>
      </c>
      <c r="F11" s="552" t="s">
        <v>1617</v>
      </c>
      <c r="G11" s="552" t="s">
        <v>1120</v>
      </c>
      <c r="H11" s="551" t="s">
        <v>150</v>
      </c>
      <c r="I11" s="553">
        <v>8</v>
      </c>
      <c r="J11" s="554">
        <v>2189</v>
      </c>
      <c r="K11" s="555">
        <v>3</v>
      </c>
      <c r="L11" s="553" t="s">
        <v>1171</v>
      </c>
      <c r="M11" s="553">
        <v>0</v>
      </c>
      <c r="N11" s="553" t="s">
        <v>820</v>
      </c>
      <c r="O11" s="553" t="s">
        <v>884</v>
      </c>
      <c r="P11" s="191" t="s">
        <v>151</v>
      </c>
      <c r="Q11" s="551" t="s">
        <v>152</v>
      </c>
      <c r="R11" s="556">
        <v>37300</v>
      </c>
      <c r="S11" s="19" t="s">
        <v>3108</v>
      </c>
    </row>
    <row r="12" spans="1:19" s="184" customFormat="1" ht="18" customHeight="1" x14ac:dyDescent="0.3">
      <c r="A12" s="718">
        <v>4</v>
      </c>
      <c r="B12" s="191" t="s">
        <v>2739</v>
      </c>
      <c r="C12" s="557" t="s">
        <v>1848</v>
      </c>
      <c r="D12" s="557" t="s">
        <v>1849</v>
      </c>
      <c r="E12" s="557">
        <v>129</v>
      </c>
      <c r="F12" s="558" t="s">
        <v>1850</v>
      </c>
      <c r="G12" s="558" t="s">
        <v>1851</v>
      </c>
      <c r="H12" s="557" t="s">
        <v>1277</v>
      </c>
      <c r="I12" s="553">
        <v>5</v>
      </c>
      <c r="J12" s="553">
        <v>516</v>
      </c>
      <c r="K12" s="555">
        <v>0</v>
      </c>
      <c r="L12" s="553" t="s">
        <v>310</v>
      </c>
      <c r="M12" s="553">
        <v>0</v>
      </c>
      <c r="N12" s="553" t="s">
        <v>820</v>
      </c>
      <c r="O12" s="553" t="s">
        <v>884</v>
      </c>
      <c r="P12" s="551" t="s">
        <v>155</v>
      </c>
      <c r="Q12" s="551" t="s">
        <v>156</v>
      </c>
      <c r="R12" s="556">
        <v>44316</v>
      </c>
      <c r="S12" s="501" t="s">
        <v>3498</v>
      </c>
    </row>
    <row r="13" spans="1:19" s="60" customFormat="1" ht="18" customHeight="1" x14ac:dyDescent="0.3">
      <c r="A13" s="718">
        <v>5</v>
      </c>
      <c r="B13" s="191" t="s">
        <v>2739</v>
      </c>
      <c r="C13" s="551" t="s">
        <v>87</v>
      </c>
      <c r="D13" s="551" t="s">
        <v>90</v>
      </c>
      <c r="E13" s="551">
        <v>148</v>
      </c>
      <c r="F13" s="559" t="s">
        <v>281</v>
      </c>
      <c r="G13" s="559" t="s">
        <v>687</v>
      </c>
      <c r="H13" s="551" t="s">
        <v>160</v>
      </c>
      <c r="I13" s="553">
        <v>7</v>
      </c>
      <c r="J13" s="554">
        <v>1200</v>
      </c>
      <c r="K13" s="555">
        <v>0</v>
      </c>
      <c r="L13" s="553" t="s">
        <v>310</v>
      </c>
      <c r="M13" s="553">
        <v>0</v>
      </c>
      <c r="N13" s="553" t="s">
        <v>820</v>
      </c>
      <c r="O13" s="553" t="s">
        <v>884</v>
      </c>
      <c r="P13" s="551" t="s">
        <v>157</v>
      </c>
      <c r="Q13" s="551" t="s">
        <v>158</v>
      </c>
      <c r="R13" s="556">
        <v>40848</v>
      </c>
      <c r="S13" s="30" t="s">
        <v>3151</v>
      </c>
    </row>
    <row r="14" spans="1:19" s="184" customFormat="1" ht="18" customHeight="1" x14ac:dyDescent="0.3">
      <c r="A14" s="718">
        <v>6</v>
      </c>
      <c r="B14" s="527" t="s">
        <v>2739</v>
      </c>
      <c r="C14" s="560" t="s">
        <v>94</v>
      </c>
      <c r="D14" s="560" t="s">
        <v>707</v>
      </c>
      <c r="E14" s="560">
        <v>161</v>
      </c>
      <c r="F14" s="561" t="s">
        <v>2003</v>
      </c>
      <c r="G14" s="561" t="s">
        <v>708</v>
      </c>
      <c r="H14" s="560" t="s">
        <v>160</v>
      </c>
      <c r="I14" s="562">
        <v>5</v>
      </c>
      <c r="J14" s="563">
        <v>763</v>
      </c>
      <c r="K14" s="564">
        <v>0</v>
      </c>
      <c r="L14" s="562" t="s">
        <v>310</v>
      </c>
      <c r="M14" s="562">
        <v>0</v>
      </c>
      <c r="N14" s="562" t="s">
        <v>820</v>
      </c>
      <c r="O14" s="562" t="s">
        <v>884</v>
      </c>
      <c r="P14" s="527" t="s">
        <v>151</v>
      </c>
      <c r="Q14" s="560" t="s">
        <v>152</v>
      </c>
      <c r="R14" s="565">
        <v>43105</v>
      </c>
      <c r="S14" s="517" t="s">
        <v>3517</v>
      </c>
    </row>
    <row r="15" spans="1:19" s="184" customFormat="1" ht="18" customHeight="1" x14ac:dyDescent="0.3">
      <c r="A15" s="718">
        <v>7</v>
      </c>
      <c r="B15" s="191" t="s">
        <v>2739</v>
      </c>
      <c r="C15" s="551" t="s">
        <v>105</v>
      </c>
      <c r="D15" s="551" t="s">
        <v>107</v>
      </c>
      <c r="E15" s="551">
        <v>177</v>
      </c>
      <c r="F15" s="552" t="s">
        <v>2078</v>
      </c>
      <c r="G15" s="552" t="s">
        <v>720</v>
      </c>
      <c r="H15" s="551" t="s">
        <v>160</v>
      </c>
      <c r="I15" s="553">
        <v>5</v>
      </c>
      <c r="J15" s="554">
        <v>975</v>
      </c>
      <c r="K15" s="555">
        <v>0</v>
      </c>
      <c r="L15" s="553" t="s">
        <v>310</v>
      </c>
      <c r="M15" s="553">
        <v>0</v>
      </c>
      <c r="N15" s="553" t="s">
        <v>820</v>
      </c>
      <c r="O15" s="566" t="s">
        <v>884</v>
      </c>
      <c r="P15" s="191" t="s">
        <v>151</v>
      </c>
      <c r="Q15" s="551" t="s">
        <v>152</v>
      </c>
      <c r="R15" s="556">
        <v>43195</v>
      </c>
      <c r="S15" s="502" t="s">
        <v>3516</v>
      </c>
    </row>
    <row r="16" spans="1:19" s="143" customFormat="1" ht="18.600000000000001" customHeight="1" x14ac:dyDescent="0.3">
      <c r="A16" s="110" t="s">
        <v>3513</v>
      </c>
      <c r="B16" s="136"/>
      <c r="C16" s="139"/>
      <c r="D16" s="139"/>
      <c r="E16" s="139"/>
      <c r="F16" s="145"/>
      <c r="G16" s="145"/>
      <c r="H16" s="139"/>
      <c r="I16" s="146"/>
      <c r="J16" s="147"/>
      <c r="K16" s="146"/>
      <c r="L16" s="148"/>
      <c r="M16" s="148"/>
      <c r="N16" s="148"/>
      <c r="O16" s="148"/>
      <c r="P16" s="149"/>
      <c r="Q16" s="139"/>
      <c r="R16" s="150"/>
      <c r="S16" s="145"/>
    </row>
    <row r="17" spans="1:16384" s="143" customFormat="1" ht="18.600000000000001" customHeight="1" x14ac:dyDescent="0.3">
      <c r="A17" s="111" t="s">
        <v>2741</v>
      </c>
      <c r="B17" s="136"/>
      <c r="C17" s="139"/>
      <c r="D17" s="139"/>
      <c r="E17" s="139"/>
      <c r="F17" s="145"/>
      <c r="G17" s="145"/>
      <c r="H17" s="139"/>
      <c r="I17" s="146"/>
      <c r="J17" s="147"/>
      <c r="K17" s="146"/>
      <c r="L17" s="148"/>
      <c r="M17" s="148"/>
      <c r="N17" s="148"/>
      <c r="O17" s="148"/>
      <c r="P17" s="149"/>
      <c r="Q17" s="139"/>
      <c r="R17" s="150"/>
      <c r="S17" s="145"/>
    </row>
    <row r="18" spans="1:16384" s="143" customFormat="1" ht="18.600000000000001" customHeight="1" x14ac:dyDescent="0.3">
      <c r="A18" s="87" t="s">
        <v>1207</v>
      </c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87"/>
      <c r="BK18" s="87"/>
      <c r="BL18" s="87"/>
      <c r="BM18" s="87"/>
      <c r="BN18" s="87"/>
      <c r="BO18" s="87"/>
      <c r="BP18" s="87"/>
      <c r="BQ18" s="87"/>
      <c r="BR18" s="87"/>
      <c r="BS18" s="87"/>
      <c r="BT18" s="87"/>
      <c r="BU18" s="87"/>
      <c r="BV18" s="87"/>
      <c r="BW18" s="87"/>
      <c r="BX18" s="87"/>
      <c r="BY18" s="87"/>
      <c r="BZ18" s="87"/>
      <c r="CA18" s="87"/>
      <c r="CB18" s="87"/>
      <c r="CC18" s="87"/>
      <c r="CD18" s="87"/>
      <c r="CE18" s="87"/>
      <c r="CF18" s="87"/>
      <c r="CG18" s="87"/>
      <c r="CH18" s="87"/>
      <c r="CI18" s="87"/>
      <c r="CJ18" s="87"/>
      <c r="CK18" s="87"/>
      <c r="CL18" s="87"/>
      <c r="CM18" s="87"/>
      <c r="CN18" s="87"/>
      <c r="CO18" s="87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87"/>
      <c r="DA18" s="87"/>
      <c r="DB18" s="87"/>
      <c r="DC18" s="87"/>
      <c r="DD18" s="87"/>
      <c r="DE18" s="87"/>
      <c r="DF18" s="87"/>
      <c r="DG18" s="87"/>
      <c r="DH18" s="87"/>
      <c r="DI18" s="87"/>
      <c r="DJ18" s="87"/>
      <c r="DK18" s="87"/>
      <c r="DL18" s="87"/>
      <c r="DM18" s="87"/>
      <c r="DN18" s="87"/>
      <c r="DO18" s="87"/>
      <c r="DP18" s="87"/>
      <c r="DQ18" s="87"/>
      <c r="DR18" s="87"/>
      <c r="DS18" s="87"/>
      <c r="DT18" s="87"/>
      <c r="DU18" s="87"/>
      <c r="DV18" s="87"/>
      <c r="DW18" s="87"/>
      <c r="DX18" s="87"/>
      <c r="DY18" s="87"/>
      <c r="DZ18" s="87"/>
      <c r="EA18" s="87"/>
      <c r="EB18" s="87"/>
      <c r="EC18" s="87"/>
      <c r="ED18" s="87"/>
      <c r="EE18" s="87"/>
      <c r="EF18" s="87"/>
      <c r="EG18" s="87"/>
      <c r="EH18" s="87"/>
      <c r="EI18" s="87"/>
      <c r="EJ18" s="87"/>
      <c r="EK18" s="87"/>
      <c r="EL18" s="87"/>
      <c r="EM18" s="87"/>
      <c r="EN18" s="87"/>
      <c r="EO18" s="87"/>
      <c r="EP18" s="87"/>
      <c r="EQ18" s="87"/>
      <c r="ER18" s="87"/>
      <c r="ES18" s="87"/>
      <c r="ET18" s="87"/>
      <c r="EU18" s="87"/>
      <c r="EV18" s="87"/>
      <c r="EW18" s="87"/>
      <c r="EX18" s="87"/>
      <c r="EY18" s="87"/>
      <c r="EZ18" s="87"/>
      <c r="FA18" s="87"/>
      <c r="FB18" s="87"/>
      <c r="FC18" s="87"/>
      <c r="FD18" s="87"/>
      <c r="FE18" s="87"/>
      <c r="FF18" s="87"/>
      <c r="FG18" s="87"/>
      <c r="FH18" s="87"/>
      <c r="FI18" s="87"/>
      <c r="FJ18" s="87"/>
      <c r="FK18" s="87"/>
      <c r="FL18" s="87"/>
      <c r="FM18" s="87"/>
      <c r="FN18" s="87"/>
      <c r="FO18" s="87"/>
      <c r="FP18" s="87"/>
      <c r="FQ18" s="87"/>
      <c r="FR18" s="87"/>
      <c r="FS18" s="87"/>
      <c r="FT18" s="87"/>
      <c r="FU18" s="87"/>
      <c r="FV18" s="87"/>
      <c r="FW18" s="87"/>
      <c r="FX18" s="87"/>
      <c r="FY18" s="87"/>
      <c r="FZ18" s="87"/>
      <c r="GA18" s="87"/>
      <c r="GB18" s="87"/>
      <c r="GC18" s="87"/>
      <c r="GD18" s="87"/>
      <c r="GE18" s="87"/>
      <c r="GF18" s="87"/>
      <c r="GG18" s="87"/>
      <c r="GH18" s="87"/>
      <c r="GI18" s="87"/>
      <c r="GJ18" s="87"/>
      <c r="GK18" s="87"/>
      <c r="GL18" s="87"/>
      <c r="GM18" s="87"/>
      <c r="GN18" s="87"/>
      <c r="GO18" s="87"/>
      <c r="GP18" s="87"/>
      <c r="GQ18" s="87"/>
      <c r="GR18" s="87"/>
      <c r="GS18" s="87"/>
      <c r="GT18" s="87"/>
      <c r="GU18" s="87"/>
      <c r="GV18" s="87"/>
      <c r="GW18" s="87"/>
      <c r="GX18" s="87"/>
      <c r="GY18" s="87"/>
      <c r="GZ18" s="87"/>
      <c r="HA18" s="87"/>
      <c r="HB18" s="87"/>
      <c r="HC18" s="87"/>
      <c r="HD18" s="87"/>
      <c r="HE18" s="87"/>
      <c r="HF18" s="87"/>
      <c r="HG18" s="87"/>
      <c r="HH18" s="87"/>
      <c r="HI18" s="87"/>
      <c r="HJ18" s="87"/>
      <c r="HK18" s="87"/>
      <c r="HL18" s="87"/>
      <c r="HM18" s="87"/>
      <c r="HN18" s="87"/>
      <c r="HO18" s="87"/>
      <c r="HP18" s="87"/>
      <c r="HQ18" s="87"/>
      <c r="HR18" s="87"/>
      <c r="HS18" s="87"/>
      <c r="HT18" s="87"/>
      <c r="HU18" s="87"/>
      <c r="HV18" s="87"/>
      <c r="HW18" s="87"/>
      <c r="HX18" s="87"/>
      <c r="HY18" s="87"/>
      <c r="HZ18" s="87"/>
      <c r="IA18" s="87"/>
      <c r="IB18" s="87"/>
      <c r="IC18" s="87"/>
      <c r="ID18" s="87"/>
      <c r="IE18" s="87"/>
      <c r="IF18" s="87"/>
      <c r="IG18" s="87"/>
      <c r="IH18" s="87"/>
      <c r="II18" s="87"/>
      <c r="IJ18" s="87"/>
      <c r="IK18" s="87"/>
      <c r="IL18" s="87"/>
      <c r="IM18" s="87"/>
      <c r="IN18" s="87"/>
      <c r="IO18" s="87"/>
      <c r="IP18" s="87"/>
      <c r="IQ18" s="87"/>
      <c r="IR18" s="87"/>
      <c r="IS18" s="87"/>
      <c r="IT18" s="87"/>
      <c r="IU18" s="87"/>
      <c r="IV18" s="87"/>
      <c r="IW18" s="87"/>
      <c r="IX18" s="87"/>
      <c r="IY18" s="87"/>
      <c r="IZ18" s="87"/>
      <c r="JA18" s="87"/>
      <c r="JB18" s="87"/>
      <c r="JC18" s="87"/>
      <c r="JD18" s="87"/>
      <c r="JE18" s="87"/>
      <c r="JF18" s="87"/>
      <c r="JG18" s="87"/>
      <c r="JH18" s="87"/>
      <c r="JI18" s="87"/>
      <c r="JJ18" s="87"/>
      <c r="JK18" s="87"/>
      <c r="JL18" s="87"/>
      <c r="JM18" s="87"/>
      <c r="JN18" s="87"/>
      <c r="JO18" s="87"/>
      <c r="JP18" s="87"/>
      <c r="JQ18" s="87"/>
      <c r="JR18" s="87"/>
      <c r="JS18" s="87"/>
      <c r="JT18" s="87"/>
      <c r="JU18" s="87"/>
      <c r="JV18" s="87"/>
      <c r="JW18" s="87"/>
      <c r="JX18" s="87"/>
      <c r="JY18" s="87"/>
      <c r="JZ18" s="87"/>
      <c r="KA18" s="87"/>
      <c r="KB18" s="87"/>
      <c r="KC18" s="87"/>
      <c r="KD18" s="87"/>
      <c r="KE18" s="87"/>
      <c r="KF18" s="87"/>
      <c r="KG18" s="87"/>
      <c r="KH18" s="87"/>
      <c r="KI18" s="87"/>
      <c r="KJ18" s="87"/>
      <c r="KK18" s="87"/>
      <c r="KL18" s="87"/>
      <c r="KM18" s="87"/>
      <c r="KN18" s="87"/>
      <c r="KO18" s="87"/>
      <c r="KP18" s="87"/>
      <c r="KQ18" s="87"/>
      <c r="KR18" s="87"/>
      <c r="KS18" s="87"/>
      <c r="KT18" s="87"/>
      <c r="KU18" s="87"/>
      <c r="KV18" s="87"/>
      <c r="KW18" s="87"/>
      <c r="KX18" s="87"/>
      <c r="KY18" s="87"/>
      <c r="KZ18" s="87"/>
      <c r="LA18" s="87"/>
      <c r="LB18" s="87"/>
      <c r="LC18" s="87"/>
      <c r="LD18" s="87"/>
      <c r="LE18" s="87"/>
      <c r="LF18" s="87"/>
      <c r="LG18" s="87"/>
      <c r="LH18" s="87"/>
      <c r="LI18" s="87"/>
      <c r="LJ18" s="87"/>
      <c r="LK18" s="87"/>
      <c r="LL18" s="87"/>
      <c r="LM18" s="87"/>
      <c r="LN18" s="87"/>
      <c r="LO18" s="87"/>
      <c r="LP18" s="87"/>
      <c r="LQ18" s="87"/>
      <c r="LR18" s="87"/>
      <c r="LS18" s="87"/>
      <c r="LT18" s="87"/>
      <c r="LU18" s="87"/>
      <c r="LV18" s="87"/>
      <c r="LW18" s="87"/>
      <c r="LX18" s="87"/>
      <c r="LY18" s="87"/>
      <c r="LZ18" s="87"/>
      <c r="MA18" s="87"/>
      <c r="MB18" s="87"/>
      <c r="MC18" s="87"/>
      <c r="MD18" s="87"/>
      <c r="ME18" s="87"/>
      <c r="MF18" s="87"/>
      <c r="MG18" s="87"/>
      <c r="MH18" s="87"/>
      <c r="MI18" s="87"/>
      <c r="MJ18" s="87"/>
      <c r="MK18" s="87"/>
      <c r="ML18" s="87"/>
      <c r="MM18" s="87"/>
      <c r="MN18" s="87"/>
      <c r="MO18" s="87"/>
      <c r="MP18" s="87"/>
      <c r="MQ18" s="87"/>
      <c r="MR18" s="87"/>
      <c r="MS18" s="87"/>
      <c r="MT18" s="87"/>
      <c r="MU18" s="87"/>
      <c r="MV18" s="87"/>
      <c r="MW18" s="87"/>
      <c r="MX18" s="87"/>
      <c r="MY18" s="87"/>
      <c r="MZ18" s="87"/>
      <c r="NA18" s="87"/>
      <c r="NB18" s="87"/>
      <c r="NC18" s="87"/>
      <c r="ND18" s="87"/>
      <c r="NE18" s="87"/>
      <c r="NF18" s="87"/>
      <c r="NG18" s="87"/>
      <c r="NH18" s="87"/>
      <c r="NI18" s="87"/>
      <c r="NJ18" s="87"/>
      <c r="NK18" s="87"/>
      <c r="NL18" s="87"/>
      <c r="NM18" s="87"/>
      <c r="NN18" s="87"/>
      <c r="NO18" s="87"/>
      <c r="NP18" s="87"/>
      <c r="NQ18" s="87"/>
      <c r="NR18" s="87"/>
      <c r="NS18" s="87"/>
      <c r="NT18" s="87"/>
      <c r="NU18" s="87"/>
      <c r="NV18" s="87"/>
      <c r="NW18" s="87"/>
      <c r="NX18" s="87"/>
      <c r="NY18" s="87"/>
      <c r="NZ18" s="87"/>
      <c r="OA18" s="87"/>
      <c r="OB18" s="87"/>
      <c r="OC18" s="87"/>
      <c r="OD18" s="87"/>
      <c r="OE18" s="87"/>
      <c r="OF18" s="87"/>
      <c r="OG18" s="87"/>
      <c r="OH18" s="87"/>
      <c r="OI18" s="87"/>
      <c r="OJ18" s="87"/>
      <c r="OK18" s="87"/>
      <c r="OL18" s="87"/>
      <c r="OM18" s="87"/>
      <c r="ON18" s="87"/>
      <c r="OO18" s="87"/>
      <c r="OP18" s="87"/>
      <c r="OQ18" s="87"/>
      <c r="OR18" s="87"/>
      <c r="OS18" s="87"/>
      <c r="OT18" s="87"/>
      <c r="OU18" s="87"/>
      <c r="OV18" s="87"/>
      <c r="OW18" s="87"/>
      <c r="OX18" s="87"/>
      <c r="OY18" s="87"/>
      <c r="OZ18" s="87"/>
      <c r="PA18" s="87"/>
      <c r="PB18" s="87"/>
      <c r="PC18" s="87"/>
      <c r="PD18" s="87"/>
      <c r="PE18" s="87"/>
      <c r="PF18" s="87"/>
      <c r="PG18" s="87"/>
      <c r="PH18" s="87"/>
      <c r="PI18" s="87"/>
      <c r="PJ18" s="87"/>
      <c r="PK18" s="87"/>
      <c r="PL18" s="87"/>
      <c r="PM18" s="87"/>
      <c r="PN18" s="87"/>
      <c r="PO18" s="87"/>
      <c r="PP18" s="87"/>
      <c r="PQ18" s="87"/>
      <c r="PR18" s="87"/>
      <c r="PS18" s="87"/>
      <c r="PT18" s="87"/>
      <c r="PU18" s="87"/>
      <c r="PV18" s="87"/>
      <c r="PW18" s="87"/>
      <c r="PX18" s="87"/>
      <c r="PY18" s="87"/>
      <c r="PZ18" s="87"/>
      <c r="QA18" s="87"/>
      <c r="QB18" s="87"/>
      <c r="QC18" s="87"/>
      <c r="QD18" s="87"/>
      <c r="QE18" s="87"/>
      <c r="QF18" s="87"/>
      <c r="QG18" s="87"/>
      <c r="QH18" s="87"/>
      <c r="QI18" s="87"/>
      <c r="QJ18" s="87"/>
      <c r="QK18" s="87"/>
      <c r="QL18" s="87"/>
      <c r="QM18" s="87"/>
      <c r="QN18" s="87"/>
      <c r="QO18" s="87"/>
      <c r="QP18" s="87"/>
      <c r="QQ18" s="87"/>
      <c r="QR18" s="87"/>
      <c r="QS18" s="87"/>
      <c r="QT18" s="87"/>
      <c r="QU18" s="87"/>
      <c r="QV18" s="87"/>
      <c r="QW18" s="87"/>
      <c r="QX18" s="87"/>
      <c r="QY18" s="87"/>
      <c r="QZ18" s="87"/>
      <c r="RA18" s="87"/>
      <c r="RB18" s="87"/>
      <c r="RC18" s="87"/>
      <c r="RD18" s="87"/>
      <c r="RE18" s="87"/>
      <c r="RF18" s="87"/>
      <c r="RG18" s="87"/>
      <c r="RH18" s="87"/>
      <c r="RI18" s="87"/>
      <c r="RJ18" s="87"/>
      <c r="RK18" s="87"/>
      <c r="RL18" s="87"/>
      <c r="RM18" s="87"/>
      <c r="RN18" s="87"/>
      <c r="RO18" s="87"/>
      <c r="RP18" s="87"/>
      <c r="RQ18" s="87"/>
      <c r="RR18" s="87"/>
      <c r="RS18" s="87"/>
      <c r="RT18" s="87"/>
      <c r="RU18" s="87"/>
      <c r="RV18" s="87"/>
      <c r="RW18" s="87"/>
      <c r="RX18" s="87"/>
      <c r="RY18" s="87"/>
      <c r="RZ18" s="87"/>
      <c r="SA18" s="87"/>
      <c r="SB18" s="87"/>
      <c r="SC18" s="87"/>
      <c r="SD18" s="87"/>
      <c r="SE18" s="87"/>
      <c r="SF18" s="87"/>
      <c r="SG18" s="87"/>
      <c r="SH18" s="87"/>
      <c r="SI18" s="87"/>
      <c r="SJ18" s="87"/>
      <c r="SK18" s="87"/>
      <c r="SL18" s="87"/>
      <c r="SM18" s="87"/>
      <c r="SN18" s="87"/>
      <c r="SO18" s="87"/>
      <c r="SP18" s="87"/>
      <c r="SQ18" s="87"/>
      <c r="SR18" s="87"/>
      <c r="SS18" s="87"/>
      <c r="ST18" s="87"/>
      <c r="SU18" s="87"/>
      <c r="SV18" s="87"/>
      <c r="SW18" s="87"/>
      <c r="SX18" s="87"/>
      <c r="SY18" s="87"/>
      <c r="SZ18" s="87"/>
      <c r="TA18" s="87"/>
      <c r="TB18" s="87"/>
      <c r="TC18" s="87"/>
      <c r="TD18" s="87"/>
      <c r="TE18" s="87"/>
      <c r="TF18" s="87"/>
      <c r="TG18" s="87"/>
      <c r="TH18" s="87"/>
      <c r="TI18" s="87"/>
      <c r="TJ18" s="87"/>
      <c r="TK18" s="87"/>
      <c r="TL18" s="87"/>
      <c r="TM18" s="87"/>
      <c r="TN18" s="87"/>
      <c r="TO18" s="87"/>
      <c r="TP18" s="87"/>
      <c r="TQ18" s="87"/>
      <c r="TR18" s="87"/>
      <c r="TS18" s="87"/>
      <c r="TT18" s="87"/>
      <c r="TU18" s="87"/>
      <c r="TV18" s="87"/>
      <c r="TW18" s="87"/>
      <c r="TX18" s="87"/>
      <c r="TY18" s="87"/>
      <c r="TZ18" s="87"/>
      <c r="UA18" s="87"/>
      <c r="UB18" s="87"/>
      <c r="UC18" s="87"/>
      <c r="UD18" s="87"/>
      <c r="UE18" s="87"/>
      <c r="UF18" s="87"/>
      <c r="UG18" s="87"/>
      <c r="UH18" s="87"/>
      <c r="UI18" s="87"/>
      <c r="UJ18" s="87"/>
      <c r="UK18" s="87"/>
      <c r="UL18" s="87"/>
      <c r="UM18" s="87"/>
      <c r="UN18" s="87"/>
      <c r="UO18" s="87"/>
      <c r="UP18" s="87"/>
      <c r="UQ18" s="87"/>
      <c r="UR18" s="87"/>
      <c r="US18" s="87"/>
      <c r="UT18" s="87"/>
      <c r="UU18" s="87"/>
      <c r="UV18" s="87"/>
      <c r="UW18" s="87"/>
      <c r="UX18" s="87"/>
      <c r="UY18" s="87"/>
      <c r="UZ18" s="87"/>
      <c r="VA18" s="87"/>
      <c r="VB18" s="87"/>
      <c r="VC18" s="87"/>
      <c r="VD18" s="87"/>
      <c r="VE18" s="87"/>
      <c r="VF18" s="87"/>
      <c r="VG18" s="87"/>
      <c r="VH18" s="87"/>
      <c r="VI18" s="87"/>
      <c r="VJ18" s="87"/>
      <c r="VK18" s="87"/>
      <c r="VL18" s="87"/>
      <c r="VM18" s="87"/>
      <c r="VN18" s="87"/>
      <c r="VO18" s="87"/>
      <c r="VP18" s="87"/>
      <c r="VQ18" s="87"/>
      <c r="VR18" s="87"/>
      <c r="VS18" s="87"/>
      <c r="VT18" s="87"/>
      <c r="VU18" s="87"/>
      <c r="VV18" s="87"/>
      <c r="VW18" s="87"/>
      <c r="VX18" s="87"/>
      <c r="VY18" s="87"/>
      <c r="VZ18" s="87"/>
      <c r="WA18" s="87"/>
      <c r="WB18" s="87"/>
      <c r="WC18" s="87"/>
      <c r="WD18" s="87"/>
      <c r="WE18" s="87"/>
      <c r="WF18" s="87"/>
      <c r="WG18" s="87"/>
      <c r="WH18" s="87"/>
      <c r="WI18" s="87"/>
      <c r="WJ18" s="87"/>
      <c r="WK18" s="87"/>
      <c r="WL18" s="87"/>
      <c r="WM18" s="87"/>
      <c r="WN18" s="87"/>
      <c r="WO18" s="87"/>
      <c r="WP18" s="87"/>
      <c r="WQ18" s="87"/>
      <c r="WR18" s="87"/>
      <c r="WS18" s="87"/>
      <c r="WT18" s="87"/>
      <c r="WU18" s="87"/>
      <c r="WV18" s="87"/>
      <c r="WW18" s="87"/>
      <c r="WX18" s="87"/>
      <c r="WY18" s="87"/>
      <c r="WZ18" s="87"/>
      <c r="XA18" s="87"/>
      <c r="XB18" s="87"/>
      <c r="XC18" s="87"/>
      <c r="XD18" s="87"/>
      <c r="XE18" s="87"/>
      <c r="XF18" s="87"/>
      <c r="XG18" s="87"/>
      <c r="XH18" s="87"/>
      <c r="XI18" s="87"/>
      <c r="XJ18" s="87"/>
      <c r="XK18" s="87"/>
      <c r="XL18" s="87"/>
      <c r="XM18" s="87"/>
      <c r="XN18" s="87"/>
      <c r="XO18" s="87"/>
      <c r="XP18" s="87"/>
      <c r="XQ18" s="87"/>
      <c r="XR18" s="87"/>
      <c r="XS18" s="87"/>
      <c r="XT18" s="87"/>
      <c r="XU18" s="87"/>
      <c r="XV18" s="87"/>
      <c r="XW18" s="87"/>
      <c r="XX18" s="87"/>
      <c r="XY18" s="87"/>
      <c r="XZ18" s="87"/>
      <c r="YA18" s="87"/>
      <c r="YB18" s="87"/>
      <c r="YC18" s="87"/>
      <c r="YD18" s="87"/>
      <c r="YE18" s="87"/>
      <c r="YF18" s="87"/>
      <c r="YG18" s="87"/>
      <c r="YH18" s="87"/>
      <c r="YI18" s="87"/>
      <c r="YJ18" s="87"/>
      <c r="YK18" s="87"/>
      <c r="YL18" s="87"/>
      <c r="YM18" s="87"/>
      <c r="YN18" s="87"/>
      <c r="YO18" s="87"/>
      <c r="YP18" s="87"/>
      <c r="YQ18" s="87"/>
      <c r="YR18" s="87"/>
      <c r="YS18" s="87"/>
      <c r="YT18" s="87"/>
      <c r="YU18" s="87"/>
      <c r="YV18" s="87"/>
      <c r="YW18" s="87"/>
      <c r="YX18" s="87"/>
      <c r="YY18" s="87"/>
      <c r="YZ18" s="87"/>
      <c r="ZA18" s="87"/>
      <c r="ZB18" s="87"/>
      <c r="ZC18" s="87"/>
      <c r="ZD18" s="87"/>
      <c r="ZE18" s="87"/>
      <c r="ZF18" s="87"/>
      <c r="ZG18" s="87"/>
      <c r="ZH18" s="87"/>
      <c r="ZI18" s="87"/>
      <c r="ZJ18" s="87"/>
      <c r="ZK18" s="87"/>
      <c r="ZL18" s="87"/>
      <c r="ZM18" s="87"/>
      <c r="ZN18" s="87"/>
      <c r="ZO18" s="87"/>
      <c r="ZP18" s="87"/>
      <c r="ZQ18" s="87"/>
      <c r="ZR18" s="87"/>
      <c r="ZS18" s="87"/>
      <c r="ZT18" s="87"/>
      <c r="ZU18" s="87"/>
      <c r="ZV18" s="87"/>
      <c r="ZW18" s="87"/>
      <c r="ZX18" s="87"/>
      <c r="ZY18" s="87"/>
      <c r="ZZ18" s="87"/>
      <c r="AAA18" s="87"/>
      <c r="AAB18" s="87"/>
      <c r="AAC18" s="87"/>
      <c r="AAD18" s="87"/>
      <c r="AAE18" s="87"/>
      <c r="AAF18" s="87"/>
      <c r="AAG18" s="87"/>
      <c r="AAH18" s="87"/>
      <c r="AAI18" s="87"/>
      <c r="AAJ18" s="87"/>
      <c r="AAK18" s="87"/>
      <c r="AAL18" s="87"/>
      <c r="AAM18" s="87"/>
      <c r="AAN18" s="87"/>
      <c r="AAO18" s="87"/>
      <c r="AAP18" s="87"/>
      <c r="AAQ18" s="87"/>
      <c r="AAR18" s="87"/>
      <c r="AAS18" s="87"/>
      <c r="AAT18" s="87"/>
      <c r="AAU18" s="87"/>
      <c r="AAV18" s="87"/>
      <c r="AAW18" s="87"/>
      <c r="AAX18" s="87"/>
      <c r="AAY18" s="87"/>
      <c r="AAZ18" s="87"/>
      <c r="ABA18" s="87"/>
      <c r="ABB18" s="87"/>
      <c r="ABC18" s="87"/>
      <c r="ABD18" s="87"/>
      <c r="ABE18" s="87"/>
      <c r="ABF18" s="87"/>
      <c r="ABG18" s="87"/>
      <c r="ABH18" s="87"/>
      <c r="ABI18" s="87"/>
      <c r="ABJ18" s="87"/>
      <c r="ABK18" s="87"/>
      <c r="ABL18" s="87"/>
      <c r="ABM18" s="87"/>
      <c r="ABN18" s="87"/>
      <c r="ABO18" s="87"/>
      <c r="ABP18" s="87"/>
      <c r="ABQ18" s="87"/>
      <c r="ABR18" s="87"/>
      <c r="ABS18" s="87"/>
      <c r="ABT18" s="87"/>
      <c r="ABU18" s="87"/>
      <c r="ABV18" s="87"/>
      <c r="ABW18" s="87"/>
      <c r="ABX18" s="87"/>
      <c r="ABY18" s="87"/>
      <c r="ABZ18" s="87"/>
      <c r="ACA18" s="87"/>
      <c r="ACB18" s="87"/>
      <c r="ACC18" s="87"/>
      <c r="ACD18" s="87"/>
      <c r="ACE18" s="87"/>
      <c r="ACF18" s="87"/>
      <c r="ACG18" s="87"/>
      <c r="ACH18" s="87"/>
      <c r="ACI18" s="87"/>
      <c r="ACJ18" s="87"/>
      <c r="ACK18" s="87"/>
      <c r="ACL18" s="87"/>
      <c r="ACM18" s="87"/>
      <c r="ACN18" s="87"/>
      <c r="ACO18" s="87"/>
      <c r="ACP18" s="87"/>
      <c r="ACQ18" s="87"/>
      <c r="ACR18" s="87"/>
      <c r="ACS18" s="87"/>
      <c r="ACT18" s="87"/>
      <c r="ACU18" s="87"/>
      <c r="ACV18" s="87"/>
      <c r="ACW18" s="87"/>
      <c r="ACX18" s="87"/>
      <c r="ACY18" s="87"/>
      <c r="ACZ18" s="87"/>
      <c r="ADA18" s="87"/>
      <c r="ADB18" s="87"/>
      <c r="ADC18" s="87"/>
      <c r="ADD18" s="87"/>
      <c r="ADE18" s="87"/>
      <c r="ADF18" s="87"/>
      <c r="ADG18" s="87"/>
      <c r="ADH18" s="87"/>
      <c r="ADI18" s="87"/>
      <c r="ADJ18" s="87"/>
      <c r="ADK18" s="87"/>
      <c r="ADL18" s="87"/>
      <c r="ADM18" s="87"/>
      <c r="ADN18" s="87"/>
      <c r="ADO18" s="87"/>
      <c r="ADP18" s="87"/>
      <c r="ADQ18" s="87"/>
      <c r="ADR18" s="87"/>
      <c r="ADS18" s="87"/>
      <c r="ADT18" s="87"/>
      <c r="ADU18" s="87"/>
      <c r="ADV18" s="87"/>
      <c r="ADW18" s="87"/>
      <c r="ADX18" s="87"/>
      <c r="ADY18" s="87"/>
      <c r="ADZ18" s="87"/>
      <c r="AEA18" s="87"/>
      <c r="AEB18" s="87"/>
      <c r="AEC18" s="87"/>
      <c r="AED18" s="87"/>
      <c r="AEE18" s="87"/>
      <c r="AEF18" s="87"/>
      <c r="AEG18" s="87"/>
      <c r="AEH18" s="87"/>
      <c r="AEI18" s="87"/>
      <c r="AEJ18" s="87"/>
      <c r="AEK18" s="87"/>
      <c r="AEL18" s="87"/>
      <c r="AEM18" s="87"/>
      <c r="AEN18" s="87"/>
      <c r="AEO18" s="87"/>
      <c r="AEP18" s="87"/>
      <c r="AEQ18" s="87"/>
      <c r="AER18" s="87"/>
      <c r="AES18" s="87"/>
      <c r="AET18" s="87"/>
      <c r="AEU18" s="87"/>
      <c r="AEV18" s="87"/>
      <c r="AEW18" s="87"/>
      <c r="AEX18" s="87"/>
      <c r="AEY18" s="87"/>
      <c r="AEZ18" s="87"/>
      <c r="AFA18" s="87"/>
      <c r="AFB18" s="87"/>
      <c r="AFC18" s="87"/>
      <c r="AFD18" s="87"/>
      <c r="AFE18" s="87"/>
      <c r="AFF18" s="87"/>
      <c r="AFG18" s="87"/>
      <c r="AFH18" s="87"/>
      <c r="AFI18" s="87"/>
      <c r="AFJ18" s="87"/>
      <c r="AFK18" s="87"/>
      <c r="AFL18" s="87"/>
      <c r="AFM18" s="87"/>
      <c r="AFN18" s="87"/>
      <c r="AFO18" s="87"/>
      <c r="AFP18" s="87"/>
      <c r="AFQ18" s="87"/>
      <c r="AFR18" s="87"/>
      <c r="AFS18" s="87"/>
      <c r="AFT18" s="87"/>
      <c r="AFU18" s="87"/>
      <c r="AFV18" s="87"/>
      <c r="AFW18" s="87"/>
      <c r="AFX18" s="87"/>
      <c r="AFY18" s="87"/>
      <c r="AFZ18" s="87"/>
      <c r="AGA18" s="87"/>
      <c r="AGB18" s="87"/>
      <c r="AGC18" s="87"/>
      <c r="AGD18" s="87"/>
      <c r="AGE18" s="87"/>
      <c r="AGF18" s="87"/>
      <c r="AGG18" s="87"/>
      <c r="AGH18" s="87"/>
      <c r="AGI18" s="87"/>
      <c r="AGJ18" s="87"/>
      <c r="AGK18" s="87"/>
      <c r="AGL18" s="87"/>
      <c r="AGM18" s="87"/>
      <c r="AGN18" s="87"/>
      <c r="AGO18" s="87"/>
      <c r="AGP18" s="87"/>
      <c r="AGQ18" s="87"/>
      <c r="AGR18" s="87"/>
      <c r="AGS18" s="87"/>
      <c r="AGT18" s="87"/>
      <c r="AGU18" s="87"/>
      <c r="AGV18" s="87"/>
      <c r="AGW18" s="87"/>
      <c r="AGX18" s="87"/>
      <c r="AGY18" s="87"/>
      <c r="AGZ18" s="87"/>
      <c r="AHA18" s="87"/>
      <c r="AHB18" s="87"/>
      <c r="AHC18" s="87"/>
      <c r="AHD18" s="87"/>
      <c r="AHE18" s="87"/>
      <c r="AHF18" s="87"/>
      <c r="AHG18" s="87"/>
      <c r="AHH18" s="87"/>
      <c r="AHI18" s="87"/>
      <c r="AHJ18" s="87"/>
      <c r="AHK18" s="87"/>
      <c r="AHL18" s="87"/>
      <c r="AHM18" s="87"/>
      <c r="AHN18" s="87"/>
      <c r="AHO18" s="87"/>
      <c r="AHP18" s="87"/>
      <c r="AHQ18" s="87"/>
      <c r="AHR18" s="87"/>
      <c r="AHS18" s="87"/>
      <c r="AHT18" s="87"/>
      <c r="AHU18" s="87"/>
      <c r="AHV18" s="87"/>
      <c r="AHW18" s="87"/>
      <c r="AHX18" s="87"/>
      <c r="AHY18" s="87"/>
      <c r="AHZ18" s="87"/>
      <c r="AIA18" s="87"/>
      <c r="AIB18" s="87"/>
      <c r="AIC18" s="87"/>
      <c r="AID18" s="87"/>
      <c r="AIE18" s="87"/>
      <c r="AIF18" s="87"/>
      <c r="AIG18" s="87"/>
      <c r="AIH18" s="87"/>
      <c r="AII18" s="87"/>
      <c r="AIJ18" s="87"/>
      <c r="AIK18" s="87"/>
      <c r="AIL18" s="87"/>
      <c r="AIM18" s="87"/>
      <c r="AIN18" s="87"/>
      <c r="AIO18" s="87"/>
      <c r="AIP18" s="87"/>
      <c r="AIQ18" s="87"/>
      <c r="AIR18" s="87"/>
      <c r="AIS18" s="87"/>
      <c r="AIT18" s="87"/>
      <c r="AIU18" s="87"/>
      <c r="AIV18" s="87"/>
      <c r="AIW18" s="87"/>
      <c r="AIX18" s="87"/>
      <c r="AIY18" s="87"/>
      <c r="AIZ18" s="87"/>
      <c r="AJA18" s="87"/>
      <c r="AJB18" s="87"/>
      <c r="AJC18" s="87"/>
      <c r="AJD18" s="87"/>
      <c r="AJE18" s="87"/>
      <c r="AJF18" s="87"/>
      <c r="AJG18" s="87"/>
      <c r="AJH18" s="87"/>
      <c r="AJI18" s="87"/>
      <c r="AJJ18" s="87"/>
      <c r="AJK18" s="87"/>
      <c r="AJL18" s="87"/>
      <c r="AJM18" s="87"/>
      <c r="AJN18" s="87"/>
      <c r="AJO18" s="87"/>
      <c r="AJP18" s="87"/>
      <c r="AJQ18" s="87"/>
      <c r="AJR18" s="87"/>
      <c r="AJS18" s="87"/>
      <c r="AJT18" s="87"/>
      <c r="AJU18" s="87"/>
      <c r="AJV18" s="87"/>
      <c r="AJW18" s="87"/>
      <c r="AJX18" s="87"/>
      <c r="AJY18" s="87"/>
      <c r="AJZ18" s="87"/>
      <c r="AKA18" s="87"/>
      <c r="AKB18" s="87"/>
      <c r="AKC18" s="87"/>
      <c r="AKD18" s="87"/>
      <c r="AKE18" s="87"/>
      <c r="AKF18" s="87"/>
      <c r="AKG18" s="87"/>
      <c r="AKH18" s="87"/>
      <c r="AKI18" s="87"/>
      <c r="AKJ18" s="87"/>
      <c r="AKK18" s="87"/>
      <c r="AKL18" s="87"/>
      <c r="AKM18" s="87"/>
      <c r="AKN18" s="87"/>
      <c r="AKO18" s="87"/>
      <c r="AKP18" s="87"/>
      <c r="AKQ18" s="87"/>
      <c r="AKR18" s="87"/>
      <c r="AKS18" s="87"/>
      <c r="AKT18" s="87"/>
      <c r="AKU18" s="87"/>
      <c r="AKV18" s="87"/>
      <c r="AKW18" s="87"/>
      <c r="AKX18" s="87"/>
      <c r="AKY18" s="87"/>
      <c r="AKZ18" s="87"/>
      <c r="ALA18" s="87"/>
      <c r="ALB18" s="87"/>
      <c r="ALC18" s="87"/>
      <c r="ALD18" s="87"/>
      <c r="ALE18" s="87"/>
      <c r="ALF18" s="87"/>
      <c r="ALG18" s="87"/>
      <c r="ALH18" s="87"/>
      <c r="ALI18" s="87"/>
      <c r="ALJ18" s="87"/>
      <c r="ALK18" s="87"/>
      <c r="ALL18" s="87"/>
      <c r="ALM18" s="87"/>
      <c r="ALN18" s="87"/>
      <c r="ALO18" s="87"/>
      <c r="ALP18" s="87"/>
      <c r="ALQ18" s="87"/>
      <c r="ALR18" s="87"/>
      <c r="ALS18" s="87"/>
      <c r="ALT18" s="87"/>
      <c r="ALU18" s="87"/>
      <c r="ALV18" s="87"/>
      <c r="ALW18" s="87"/>
      <c r="ALX18" s="87"/>
      <c r="ALY18" s="87"/>
      <c r="ALZ18" s="87"/>
      <c r="AMA18" s="87"/>
      <c r="AMB18" s="87"/>
      <c r="AMC18" s="87"/>
      <c r="AMD18" s="87"/>
      <c r="AME18" s="87"/>
      <c r="AMF18" s="87"/>
      <c r="AMG18" s="87"/>
      <c r="AMH18" s="87"/>
      <c r="AMI18" s="87"/>
      <c r="AMJ18" s="87"/>
      <c r="AMK18" s="87"/>
      <c r="AML18" s="87"/>
      <c r="AMM18" s="87"/>
      <c r="AMN18" s="87"/>
      <c r="AMO18" s="87"/>
      <c r="AMP18" s="87"/>
      <c r="AMQ18" s="87"/>
      <c r="AMR18" s="87"/>
      <c r="AMS18" s="87"/>
      <c r="AMT18" s="87"/>
      <c r="AMU18" s="87"/>
      <c r="AMV18" s="87"/>
      <c r="AMW18" s="87"/>
      <c r="AMX18" s="87"/>
      <c r="AMY18" s="87"/>
      <c r="AMZ18" s="87"/>
      <c r="ANA18" s="87"/>
      <c r="ANB18" s="87"/>
      <c r="ANC18" s="87"/>
      <c r="AND18" s="87"/>
      <c r="ANE18" s="87"/>
      <c r="ANF18" s="87"/>
      <c r="ANG18" s="87"/>
      <c r="ANH18" s="87"/>
      <c r="ANI18" s="87"/>
      <c r="ANJ18" s="87"/>
      <c r="ANK18" s="87"/>
      <c r="ANL18" s="87"/>
      <c r="ANM18" s="87"/>
      <c r="ANN18" s="87"/>
      <c r="ANO18" s="87"/>
      <c r="ANP18" s="87"/>
      <c r="ANQ18" s="87"/>
      <c r="ANR18" s="87"/>
      <c r="ANS18" s="87"/>
      <c r="ANT18" s="87"/>
      <c r="ANU18" s="87"/>
      <c r="ANV18" s="87"/>
      <c r="ANW18" s="87"/>
      <c r="ANX18" s="87"/>
      <c r="ANY18" s="87"/>
      <c r="ANZ18" s="87"/>
      <c r="AOA18" s="87"/>
      <c r="AOB18" s="87"/>
      <c r="AOC18" s="87"/>
      <c r="AOD18" s="87"/>
      <c r="AOE18" s="87"/>
      <c r="AOF18" s="87"/>
      <c r="AOG18" s="87"/>
      <c r="AOH18" s="87"/>
      <c r="AOI18" s="87"/>
      <c r="AOJ18" s="87"/>
      <c r="AOK18" s="87"/>
      <c r="AOL18" s="87"/>
      <c r="AOM18" s="87"/>
      <c r="AON18" s="87"/>
      <c r="AOO18" s="87"/>
      <c r="AOP18" s="87"/>
      <c r="AOQ18" s="87"/>
      <c r="AOR18" s="87"/>
      <c r="AOS18" s="87"/>
      <c r="AOT18" s="87"/>
      <c r="AOU18" s="87"/>
      <c r="AOV18" s="87"/>
      <c r="AOW18" s="87"/>
      <c r="AOX18" s="87"/>
      <c r="AOY18" s="87"/>
      <c r="AOZ18" s="87"/>
      <c r="APA18" s="87"/>
      <c r="APB18" s="87"/>
      <c r="APC18" s="87"/>
      <c r="APD18" s="87"/>
      <c r="APE18" s="87"/>
      <c r="APF18" s="87"/>
      <c r="APG18" s="87"/>
      <c r="APH18" s="87"/>
      <c r="API18" s="87"/>
      <c r="APJ18" s="87"/>
      <c r="APK18" s="87"/>
      <c r="APL18" s="87"/>
      <c r="APM18" s="87"/>
      <c r="APN18" s="87"/>
      <c r="APO18" s="87"/>
      <c r="APP18" s="87"/>
      <c r="APQ18" s="87"/>
      <c r="APR18" s="87"/>
      <c r="APS18" s="87"/>
      <c r="APT18" s="87"/>
      <c r="APU18" s="87"/>
      <c r="APV18" s="87"/>
      <c r="APW18" s="87"/>
      <c r="APX18" s="87"/>
      <c r="APY18" s="87"/>
      <c r="APZ18" s="87"/>
      <c r="AQA18" s="87"/>
      <c r="AQB18" s="87"/>
      <c r="AQC18" s="87"/>
      <c r="AQD18" s="87"/>
      <c r="AQE18" s="87"/>
      <c r="AQF18" s="87"/>
      <c r="AQG18" s="87"/>
      <c r="AQH18" s="87"/>
      <c r="AQI18" s="87"/>
      <c r="AQJ18" s="87"/>
      <c r="AQK18" s="87"/>
      <c r="AQL18" s="87"/>
      <c r="AQM18" s="87"/>
      <c r="AQN18" s="87"/>
      <c r="AQO18" s="87"/>
      <c r="AQP18" s="87"/>
      <c r="AQQ18" s="87"/>
      <c r="AQR18" s="87"/>
      <c r="AQS18" s="87"/>
      <c r="AQT18" s="87"/>
      <c r="AQU18" s="87"/>
      <c r="AQV18" s="87"/>
      <c r="AQW18" s="87"/>
      <c r="AQX18" s="87"/>
      <c r="AQY18" s="87"/>
      <c r="AQZ18" s="87"/>
      <c r="ARA18" s="87"/>
      <c r="ARB18" s="87"/>
      <c r="ARC18" s="87"/>
      <c r="ARD18" s="87"/>
      <c r="ARE18" s="87"/>
      <c r="ARF18" s="87"/>
      <c r="ARG18" s="87"/>
      <c r="ARH18" s="87"/>
      <c r="ARI18" s="87"/>
      <c r="ARJ18" s="87"/>
      <c r="ARK18" s="87"/>
      <c r="ARL18" s="87"/>
      <c r="ARM18" s="87"/>
      <c r="ARN18" s="87"/>
      <c r="ARO18" s="87"/>
      <c r="ARP18" s="87"/>
      <c r="ARQ18" s="87"/>
      <c r="ARR18" s="87"/>
      <c r="ARS18" s="87"/>
      <c r="ART18" s="87"/>
      <c r="ARU18" s="87"/>
      <c r="ARV18" s="87"/>
      <c r="ARW18" s="87"/>
      <c r="ARX18" s="87"/>
      <c r="ARY18" s="87"/>
      <c r="ARZ18" s="87"/>
      <c r="ASA18" s="87"/>
      <c r="ASB18" s="87"/>
      <c r="ASC18" s="87"/>
      <c r="ASD18" s="87"/>
      <c r="ASE18" s="87"/>
      <c r="ASF18" s="87"/>
      <c r="ASG18" s="87"/>
      <c r="ASH18" s="87"/>
      <c r="ASI18" s="87"/>
      <c r="ASJ18" s="87"/>
      <c r="ASK18" s="87"/>
      <c r="ASL18" s="87"/>
      <c r="ASM18" s="87"/>
      <c r="ASN18" s="87"/>
      <c r="ASO18" s="87"/>
      <c r="ASP18" s="87"/>
      <c r="ASQ18" s="87"/>
      <c r="ASR18" s="87"/>
      <c r="ASS18" s="87"/>
      <c r="AST18" s="87"/>
      <c r="ASU18" s="87"/>
      <c r="ASV18" s="87"/>
      <c r="ASW18" s="87"/>
      <c r="ASX18" s="87"/>
      <c r="ASY18" s="87"/>
      <c r="ASZ18" s="87"/>
      <c r="ATA18" s="87"/>
      <c r="ATB18" s="87"/>
      <c r="ATC18" s="87"/>
      <c r="ATD18" s="87"/>
      <c r="ATE18" s="87"/>
      <c r="ATF18" s="87"/>
      <c r="ATG18" s="87"/>
      <c r="ATH18" s="87"/>
      <c r="ATI18" s="87"/>
      <c r="ATJ18" s="87"/>
      <c r="ATK18" s="87"/>
      <c r="ATL18" s="87"/>
      <c r="ATM18" s="87"/>
      <c r="ATN18" s="87"/>
      <c r="ATO18" s="87"/>
      <c r="ATP18" s="87"/>
      <c r="ATQ18" s="87"/>
      <c r="ATR18" s="87"/>
      <c r="ATS18" s="87"/>
      <c r="ATT18" s="87"/>
      <c r="ATU18" s="87"/>
      <c r="ATV18" s="87"/>
      <c r="ATW18" s="87"/>
      <c r="ATX18" s="87"/>
      <c r="ATY18" s="87"/>
      <c r="ATZ18" s="87"/>
      <c r="AUA18" s="87"/>
      <c r="AUB18" s="87"/>
      <c r="AUC18" s="87"/>
      <c r="AUD18" s="87"/>
      <c r="AUE18" s="87"/>
      <c r="AUF18" s="87"/>
      <c r="AUG18" s="87"/>
      <c r="AUH18" s="87"/>
      <c r="AUI18" s="87"/>
      <c r="AUJ18" s="87"/>
      <c r="AUK18" s="87"/>
      <c r="AUL18" s="87"/>
      <c r="AUM18" s="87"/>
      <c r="AUN18" s="87"/>
      <c r="AUO18" s="87"/>
      <c r="AUP18" s="87"/>
      <c r="AUQ18" s="87"/>
      <c r="AUR18" s="87"/>
      <c r="AUS18" s="87"/>
      <c r="AUT18" s="87"/>
      <c r="AUU18" s="87"/>
      <c r="AUV18" s="87"/>
      <c r="AUW18" s="87"/>
      <c r="AUX18" s="87"/>
      <c r="AUY18" s="87"/>
      <c r="AUZ18" s="87"/>
      <c r="AVA18" s="87"/>
      <c r="AVB18" s="87"/>
      <c r="AVC18" s="87"/>
      <c r="AVD18" s="87"/>
      <c r="AVE18" s="87"/>
      <c r="AVF18" s="87"/>
      <c r="AVG18" s="87"/>
      <c r="AVH18" s="87"/>
      <c r="AVI18" s="87"/>
      <c r="AVJ18" s="87"/>
      <c r="AVK18" s="87"/>
      <c r="AVL18" s="87"/>
      <c r="AVM18" s="87"/>
      <c r="AVN18" s="87"/>
      <c r="AVO18" s="87"/>
      <c r="AVP18" s="87"/>
      <c r="AVQ18" s="87"/>
      <c r="AVR18" s="87"/>
      <c r="AVS18" s="87"/>
      <c r="AVT18" s="87"/>
      <c r="AVU18" s="87"/>
      <c r="AVV18" s="87"/>
      <c r="AVW18" s="87"/>
      <c r="AVX18" s="87"/>
      <c r="AVY18" s="87"/>
      <c r="AVZ18" s="87"/>
      <c r="AWA18" s="87"/>
      <c r="AWB18" s="87"/>
      <c r="AWC18" s="87"/>
      <c r="AWD18" s="87"/>
      <c r="AWE18" s="87"/>
      <c r="AWF18" s="87"/>
      <c r="AWG18" s="87"/>
      <c r="AWH18" s="87"/>
      <c r="AWI18" s="87"/>
      <c r="AWJ18" s="87"/>
      <c r="AWK18" s="87"/>
      <c r="AWL18" s="87"/>
      <c r="AWM18" s="87"/>
      <c r="AWN18" s="87"/>
      <c r="AWO18" s="87"/>
      <c r="AWP18" s="87"/>
      <c r="AWQ18" s="87"/>
      <c r="AWR18" s="87"/>
      <c r="AWS18" s="87"/>
      <c r="AWT18" s="87"/>
      <c r="AWU18" s="87"/>
      <c r="AWV18" s="87"/>
      <c r="AWW18" s="87"/>
      <c r="AWX18" s="87"/>
      <c r="AWY18" s="87"/>
      <c r="AWZ18" s="87"/>
      <c r="AXA18" s="87"/>
      <c r="AXB18" s="87"/>
      <c r="AXC18" s="87"/>
      <c r="AXD18" s="87"/>
      <c r="AXE18" s="87"/>
      <c r="AXF18" s="87"/>
      <c r="AXG18" s="87"/>
      <c r="AXH18" s="87"/>
      <c r="AXI18" s="87"/>
      <c r="AXJ18" s="87"/>
      <c r="AXK18" s="87"/>
      <c r="AXL18" s="87"/>
      <c r="AXM18" s="87"/>
      <c r="AXN18" s="87"/>
      <c r="AXO18" s="87"/>
      <c r="AXP18" s="87"/>
      <c r="AXQ18" s="87"/>
      <c r="AXR18" s="87"/>
      <c r="AXS18" s="87"/>
      <c r="AXT18" s="87"/>
      <c r="AXU18" s="87"/>
      <c r="AXV18" s="87"/>
      <c r="AXW18" s="87"/>
      <c r="AXX18" s="87"/>
      <c r="AXY18" s="87"/>
      <c r="AXZ18" s="87"/>
      <c r="AYA18" s="87"/>
      <c r="AYB18" s="87"/>
      <c r="AYC18" s="87"/>
      <c r="AYD18" s="87"/>
      <c r="AYE18" s="87"/>
      <c r="AYF18" s="87"/>
      <c r="AYG18" s="87"/>
      <c r="AYH18" s="87"/>
      <c r="AYI18" s="87"/>
      <c r="AYJ18" s="87"/>
      <c r="AYK18" s="87"/>
      <c r="AYL18" s="87"/>
      <c r="AYM18" s="87"/>
      <c r="AYN18" s="87"/>
      <c r="AYO18" s="87"/>
      <c r="AYP18" s="87"/>
      <c r="AYQ18" s="87"/>
      <c r="AYR18" s="87"/>
      <c r="AYS18" s="87"/>
      <c r="AYT18" s="87"/>
      <c r="AYU18" s="87"/>
      <c r="AYV18" s="87"/>
      <c r="AYW18" s="87"/>
      <c r="AYX18" s="87"/>
      <c r="AYY18" s="87"/>
      <c r="AYZ18" s="87"/>
      <c r="AZA18" s="87"/>
      <c r="AZB18" s="87"/>
      <c r="AZC18" s="87"/>
      <c r="AZD18" s="87"/>
      <c r="AZE18" s="87"/>
      <c r="AZF18" s="87"/>
      <c r="AZG18" s="87"/>
      <c r="AZH18" s="87"/>
      <c r="AZI18" s="87"/>
      <c r="AZJ18" s="87"/>
      <c r="AZK18" s="87"/>
      <c r="AZL18" s="87"/>
      <c r="AZM18" s="87"/>
      <c r="AZN18" s="87"/>
      <c r="AZO18" s="87"/>
      <c r="AZP18" s="87"/>
      <c r="AZQ18" s="87"/>
      <c r="AZR18" s="87"/>
      <c r="AZS18" s="87"/>
      <c r="AZT18" s="87"/>
      <c r="AZU18" s="87"/>
      <c r="AZV18" s="87"/>
      <c r="AZW18" s="87"/>
      <c r="AZX18" s="87"/>
      <c r="AZY18" s="87"/>
      <c r="AZZ18" s="87"/>
      <c r="BAA18" s="87"/>
      <c r="BAB18" s="87"/>
      <c r="BAC18" s="87"/>
      <c r="BAD18" s="87"/>
      <c r="BAE18" s="87"/>
      <c r="BAF18" s="87"/>
      <c r="BAG18" s="87"/>
      <c r="BAH18" s="87"/>
      <c r="BAI18" s="87"/>
      <c r="BAJ18" s="87"/>
      <c r="BAK18" s="87"/>
      <c r="BAL18" s="87"/>
      <c r="BAM18" s="87"/>
      <c r="BAN18" s="87"/>
      <c r="BAO18" s="87"/>
      <c r="BAP18" s="87"/>
      <c r="BAQ18" s="87"/>
      <c r="BAR18" s="87"/>
      <c r="BAS18" s="87"/>
      <c r="BAT18" s="87"/>
      <c r="BAU18" s="87"/>
      <c r="BAV18" s="87"/>
      <c r="BAW18" s="87"/>
      <c r="BAX18" s="87"/>
      <c r="BAY18" s="87"/>
      <c r="BAZ18" s="87"/>
      <c r="BBA18" s="87"/>
      <c r="BBB18" s="87"/>
      <c r="BBC18" s="87"/>
      <c r="BBD18" s="87"/>
      <c r="BBE18" s="87"/>
      <c r="BBF18" s="87"/>
      <c r="BBG18" s="87"/>
      <c r="BBH18" s="87"/>
      <c r="BBI18" s="87"/>
      <c r="BBJ18" s="87"/>
      <c r="BBK18" s="87"/>
      <c r="BBL18" s="87"/>
      <c r="BBM18" s="87"/>
      <c r="BBN18" s="87"/>
      <c r="BBO18" s="87"/>
      <c r="BBP18" s="87"/>
      <c r="BBQ18" s="87"/>
      <c r="BBR18" s="87"/>
      <c r="BBS18" s="87"/>
      <c r="BBT18" s="87"/>
      <c r="BBU18" s="87"/>
      <c r="BBV18" s="87"/>
      <c r="BBW18" s="87"/>
      <c r="BBX18" s="87"/>
      <c r="BBY18" s="87"/>
      <c r="BBZ18" s="87"/>
      <c r="BCA18" s="87"/>
      <c r="BCB18" s="87"/>
      <c r="BCC18" s="87"/>
      <c r="BCD18" s="87"/>
      <c r="BCE18" s="87"/>
      <c r="BCF18" s="87"/>
      <c r="BCG18" s="87"/>
      <c r="BCH18" s="87"/>
      <c r="BCI18" s="87"/>
      <c r="BCJ18" s="87"/>
      <c r="BCK18" s="87"/>
      <c r="BCL18" s="87"/>
      <c r="BCM18" s="87"/>
      <c r="BCN18" s="87"/>
      <c r="BCO18" s="87"/>
      <c r="BCP18" s="87"/>
      <c r="BCQ18" s="87"/>
      <c r="BCR18" s="87"/>
      <c r="BCS18" s="87"/>
      <c r="BCT18" s="87"/>
      <c r="BCU18" s="87"/>
      <c r="BCV18" s="87"/>
      <c r="BCW18" s="87"/>
      <c r="BCX18" s="87"/>
      <c r="BCY18" s="87"/>
      <c r="BCZ18" s="87"/>
      <c r="BDA18" s="87"/>
      <c r="BDB18" s="87"/>
      <c r="BDC18" s="87"/>
      <c r="BDD18" s="87"/>
      <c r="BDE18" s="87"/>
      <c r="BDF18" s="87"/>
      <c r="BDG18" s="87"/>
      <c r="BDH18" s="87"/>
      <c r="BDI18" s="87"/>
      <c r="BDJ18" s="87"/>
      <c r="BDK18" s="87"/>
      <c r="BDL18" s="87"/>
      <c r="BDM18" s="87"/>
      <c r="BDN18" s="87"/>
      <c r="BDO18" s="87"/>
      <c r="BDP18" s="87"/>
      <c r="BDQ18" s="87"/>
      <c r="BDR18" s="87"/>
      <c r="BDS18" s="87"/>
      <c r="BDT18" s="87"/>
      <c r="BDU18" s="87"/>
      <c r="BDV18" s="87"/>
      <c r="BDW18" s="87"/>
      <c r="BDX18" s="87"/>
      <c r="BDY18" s="87"/>
      <c r="BDZ18" s="87"/>
      <c r="BEA18" s="87"/>
      <c r="BEB18" s="87"/>
      <c r="BEC18" s="87"/>
      <c r="BED18" s="87"/>
      <c r="BEE18" s="87"/>
      <c r="BEF18" s="87"/>
      <c r="BEG18" s="87"/>
      <c r="BEH18" s="87"/>
      <c r="BEI18" s="87"/>
      <c r="BEJ18" s="87"/>
      <c r="BEK18" s="87"/>
      <c r="BEL18" s="87"/>
      <c r="BEM18" s="87"/>
      <c r="BEN18" s="87"/>
      <c r="BEO18" s="87"/>
      <c r="BEP18" s="87"/>
      <c r="BEQ18" s="87"/>
      <c r="BER18" s="87"/>
      <c r="BES18" s="87"/>
      <c r="BET18" s="87"/>
      <c r="BEU18" s="87"/>
      <c r="BEV18" s="87"/>
      <c r="BEW18" s="87"/>
      <c r="BEX18" s="87"/>
      <c r="BEY18" s="87"/>
      <c r="BEZ18" s="87"/>
      <c r="BFA18" s="87"/>
      <c r="BFB18" s="87"/>
      <c r="BFC18" s="87"/>
      <c r="BFD18" s="87"/>
      <c r="BFE18" s="87"/>
      <c r="BFF18" s="87"/>
      <c r="BFG18" s="87"/>
      <c r="BFH18" s="87"/>
      <c r="BFI18" s="87"/>
      <c r="BFJ18" s="87"/>
      <c r="BFK18" s="87"/>
      <c r="BFL18" s="87"/>
      <c r="BFM18" s="87"/>
      <c r="BFN18" s="87"/>
      <c r="BFO18" s="87"/>
      <c r="BFP18" s="87"/>
      <c r="BFQ18" s="87"/>
      <c r="BFR18" s="87"/>
      <c r="BFS18" s="87"/>
      <c r="BFT18" s="87"/>
      <c r="BFU18" s="87"/>
      <c r="BFV18" s="87"/>
      <c r="BFW18" s="87"/>
      <c r="BFX18" s="87"/>
      <c r="BFY18" s="87"/>
      <c r="BFZ18" s="87"/>
      <c r="BGA18" s="87"/>
      <c r="BGB18" s="87"/>
      <c r="BGC18" s="87"/>
      <c r="BGD18" s="87"/>
      <c r="BGE18" s="87"/>
      <c r="BGF18" s="87"/>
      <c r="BGG18" s="87"/>
      <c r="BGH18" s="87"/>
      <c r="BGI18" s="87"/>
      <c r="BGJ18" s="87"/>
      <c r="BGK18" s="87"/>
      <c r="BGL18" s="87"/>
      <c r="BGM18" s="87"/>
      <c r="BGN18" s="87"/>
      <c r="BGO18" s="87"/>
      <c r="BGP18" s="87"/>
      <c r="BGQ18" s="87"/>
      <c r="BGR18" s="87"/>
      <c r="BGS18" s="87"/>
      <c r="BGT18" s="87"/>
      <c r="BGU18" s="87"/>
      <c r="BGV18" s="87"/>
      <c r="BGW18" s="87"/>
      <c r="BGX18" s="87"/>
      <c r="BGY18" s="87"/>
      <c r="BGZ18" s="87"/>
      <c r="BHA18" s="87"/>
      <c r="BHB18" s="87"/>
      <c r="BHC18" s="87"/>
      <c r="BHD18" s="87"/>
      <c r="BHE18" s="87"/>
      <c r="BHF18" s="87"/>
      <c r="BHG18" s="87"/>
      <c r="BHH18" s="87"/>
      <c r="BHI18" s="87"/>
      <c r="BHJ18" s="87"/>
      <c r="BHK18" s="87"/>
      <c r="BHL18" s="87"/>
      <c r="BHM18" s="87"/>
      <c r="BHN18" s="87"/>
      <c r="BHO18" s="87"/>
      <c r="BHP18" s="87"/>
      <c r="BHQ18" s="87"/>
      <c r="BHR18" s="87"/>
      <c r="BHS18" s="87"/>
      <c r="BHT18" s="87"/>
      <c r="BHU18" s="87"/>
      <c r="BHV18" s="87"/>
      <c r="BHW18" s="87"/>
      <c r="BHX18" s="87"/>
      <c r="BHY18" s="87"/>
      <c r="BHZ18" s="87"/>
      <c r="BIA18" s="87"/>
      <c r="BIB18" s="87"/>
      <c r="BIC18" s="87"/>
      <c r="BID18" s="87"/>
      <c r="BIE18" s="87"/>
      <c r="BIF18" s="87"/>
      <c r="BIG18" s="87"/>
      <c r="BIH18" s="87"/>
      <c r="BII18" s="87"/>
      <c r="BIJ18" s="87"/>
      <c r="BIK18" s="87"/>
      <c r="BIL18" s="87"/>
      <c r="BIM18" s="87"/>
      <c r="BIN18" s="87"/>
      <c r="BIO18" s="87"/>
      <c r="BIP18" s="87"/>
      <c r="BIQ18" s="87"/>
      <c r="BIR18" s="87"/>
      <c r="BIS18" s="87"/>
      <c r="BIT18" s="87"/>
      <c r="BIU18" s="87"/>
      <c r="BIV18" s="87"/>
      <c r="BIW18" s="87"/>
      <c r="BIX18" s="87"/>
      <c r="BIY18" s="87"/>
      <c r="BIZ18" s="87"/>
      <c r="BJA18" s="87"/>
      <c r="BJB18" s="87"/>
      <c r="BJC18" s="87"/>
      <c r="BJD18" s="87"/>
      <c r="BJE18" s="87"/>
      <c r="BJF18" s="87"/>
      <c r="BJG18" s="87"/>
      <c r="BJH18" s="87"/>
      <c r="BJI18" s="87"/>
      <c r="BJJ18" s="87"/>
      <c r="BJK18" s="87"/>
      <c r="BJL18" s="87"/>
      <c r="BJM18" s="87"/>
      <c r="BJN18" s="87"/>
      <c r="BJO18" s="87"/>
      <c r="BJP18" s="87"/>
      <c r="BJQ18" s="87"/>
      <c r="BJR18" s="87"/>
      <c r="BJS18" s="87"/>
      <c r="BJT18" s="87"/>
      <c r="BJU18" s="87"/>
      <c r="BJV18" s="87"/>
      <c r="BJW18" s="87"/>
      <c r="BJX18" s="87"/>
      <c r="BJY18" s="87"/>
      <c r="BJZ18" s="87"/>
      <c r="BKA18" s="87"/>
      <c r="BKB18" s="87"/>
      <c r="BKC18" s="87"/>
      <c r="BKD18" s="87"/>
      <c r="BKE18" s="87"/>
      <c r="BKF18" s="87"/>
      <c r="BKG18" s="87"/>
      <c r="BKH18" s="87"/>
      <c r="BKI18" s="87"/>
      <c r="BKJ18" s="87"/>
      <c r="BKK18" s="87"/>
      <c r="BKL18" s="87"/>
      <c r="BKM18" s="87"/>
      <c r="BKN18" s="87"/>
      <c r="BKO18" s="87"/>
      <c r="BKP18" s="87"/>
      <c r="BKQ18" s="87"/>
      <c r="BKR18" s="87"/>
      <c r="BKS18" s="87"/>
      <c r="BKT18" s="87"/>
      <c r="BKU18" s="87"/>
      <c r="BKV18" s="87"/>
      <c r="BKW18" s="87"/>
      <c r="BKX18" s="87"/>
      <c r="BKY18" s="87"/>
      <c r="BKZ18" s="87"/>
      <c r="BLA18" s="87"/>
      <c r="BLB18" s="87"/>
      <c r="BLC18" s="87"/>
      <c r="BLD18" s="87"/>
      <c r="BLE18" s="87"/>
      <c r="BLF18" s="87"/>
      <c r="BLG18" s="87"/>
      <c r="BLH18" s="87"/>
      <c r="BLI18" s="87"/>
      <c r="BLJ18" s="87"/>
      <c r="BLK18" s="87"/>
      <c r="BLL18" s="87"/>
      <c r="BLM18" s="87"/>
      <c r="BLN18" s="87"/>
      <c r="BLO18" s="87"/>
      <c r="BLP18" s="87"/>
      <c r="BLQ18" s="87"/>
      <c r="BLR18" s="87"/>
      <c r="BLS18" s="87"/>
      <c r="BLT18" s="87"/>
      <c r="BLU18" s="87"/>
      <c r="BLV18" s="87"/>
      <c r="BLW18" s="87"/>
      <c r="BLX18" s="87"/>
      <c r="BLY18" s="87"/>
      <c r="BLZ18" s="87"/>
      <c r="BMA18" s="87"/>
      <c r="BMB18" s="87"/>
      <c r="BMC18" s="87"/>
      <c r="BMD18" s="87"/>
      <c r="BME18" s="87"/>
      <c r="BMF18" s="87"/>
      <c r="BMG18" s="87"/>
      <c r="BMH18" s="87"/>
      <c r="BMI18" s="87"/>
      <c r="BMJ18" s="87"/>
      <c r="BMK18" s="87"/>
      <c r="BML18" s="87"/>
      <c r="BMM18" s="87"/>
      <c r="BMN18" s="87"/>
      <c r="BMO18" s="87"/>
      <c r="BMP18" s="87"/>
      <c r="BMQ18" s="87"/>
      <c r="BMR18" s="87"/>
      <c r="BMS18" s="87"/>
      <c r="BMT18" s="87"/>
      <c r="BMU18" s="87"/>
      <c r="BMV18" s="87"/>
      <c r="BMW18" s="87"/>
      <c r="BMX18" s="87"/>
      <c r="BMY18" s="87"/>
      <c r="BMZ18" s="87"/>
      <c r="BNA18" s="87"/>
      <c r="BNB18" s="87"/>
      <c r="BNC18" s="87"/>
      <c r="BND18" s="87"/>
      <c r="BNE18" s="87"/>
      <c r="BNF18" s="87"/>
      <c r="BNG18" s="87"/>
      <c r="BNH18" s="87"/>
      <c r="BNI18" s="87"/>
      <c r="BNJ18" s="87"/>
      <c r="BNK18" s="87"/>
      <c r="BNL18" s="87"/>
      <c r="BNM18" s="87"/>
      <c r="BNN18" s="87"/>
      <c r="BNO18" s="87"/>
      <c r="BNP18" s="87"/>
      <c r="BNQ18" s="87"/>
      <c r="BNR18" s="87"/>
      <c r="BNS18" s="87"/>
      <c r="BNT18" s="87"/>
      <c r="BNU18" s="87"/>
      <c r="BNV18" s="87"/>
      <c r="BNW18" s="87"/>
      <c r="BNX18" s="87"/>
      <c r="BNY18" s="87"/>
      <c r="BNZ18" s="87"/>
      <c r="BOA18" s="87"/>
      <c r="BOB18" s="87"/>
      <c r="BOC18" s="87"/>
      <c r="BOD18" s="87"/>
      <c r="BOE18" s="87"/>
      <c r="BOF18" s="87"/>
      <c r="BOG18" s="87"/>
      <c r="BOH18" s="87"/>
      <c r="BOI18" s="87"/>
      <c r="BOJ18" s="87"/>
      <c r="BOK18" s="87"/>
      <c r="BOL18" s="87"/>
      <c r="BOM18" s="87"/>
      <c r="BON18" s="87"/>
      <c r="BOO18" s="87"/>
      <c r="BOP18" s="87"/>
      <c r="BOQ18" s="87"/>
      <c r="BOR18" s="87"/>
      <c r="BOS18" s="87"/>
      <c r="BOT18" s="87"/>
      <c r="BOU18" s="87"/>
      <c r="BOV18" s="87"/>
      <c r="BOW18" s="87"/>
      <c r="BOX18" s="87"/>
      <c r="BOY18" s="87"/>
      <c r="BOZ18" s="87"/>
      <c r="BPA18" s="87"/>
      <c r="BPB18" s="87"/>
      <c r="BPC18" s="87"/>
      <c r="BPD18" s="87"/>
      <c r="BPE18" s="87"/>
      <c r="BPF18" s="87"/>
      <c r="BPG18" s="87"/>
      <c r="BPH18" s="87"/>
      <c r="BPI18" s="87"/>
      <c r="BPJ18" s="87"/>
      <c r="BPK18" s="87"/>
      <c r="BPL18" s="87"/>
      <c r="BPM18" s="87"/>
      <c r="BPN18" s="87"/>
      <c r="BPO18" s="87"/>
      <c r="BPP18" s="87"/>
      <c r="BPQ18" s="87"/>
      <c r="BPR18" s="87"/>
      <c r="BPS18" s="87"/>
      <c r="BPT18" s="87"/>
      <c r="BPU18" s="87"/>
      <c r="BPV18" s="87"/>
      <c r="BPW18" s="87"/>
      <c r="BPX18" s="87"/>
      <c r="BPY18" s="87"/>
      <c r="BPZ18" s="87"/>
      <c r="BQA18" s="87"/>
      <c r="BQB18" s="87"/>
      <c r="BQC18" s="87"/>
      <c r="BQD18" s="87"/>
      <c r="BQE18" s="87"/>
      <c r="BQF18" s="87"/>
      <c r="BQG18" s="87"/>
      <c r="BQH18" s="87"/>
      <c r="BQI18" s="87"/>
      <c r="BQJ18" s="87"/>
      <c r="BQK18" s="87"/>
      <c r="BQL18" s="87"/>
      <c r="BQM18" s="87"/>
      <c r="BQN18" s="87"/>
      <c r="BQO18" s="87"/>
      <c r="BQP18" s="87"/>
      <c r="BQQ18" s="87"/>
      <c r="BQR18" s="87"/>
      <c r="BQS18" s="87"/>
      <c r="BQT18" s="87"/>
      <c r="BQU18" s="87"/>
      <c r="BQV18" s="87"/>
      <c r="BQW18" s="87"/>
      <c r="BQX18" s="87"/>
      <c r="BQY18" s="87"/>
      <c r="BQZ18" s="87"/>
      <c r="BRA18" s="87"/>
      <c r="BRB18" s="87"/>
      <c r="BRC18" s="87"/>
      <c r="BRD18" s="87"/>
      <c r="BRE18" s="87"/>
      <c r="BRF18" s="87"/>
      <c r="BRG18" s="87"/>
      <c r="BRH18" s="87"/>
      <c r="BRI18" s="87"/>
      <c r="BRJ18" s="87"/>
      <c r="BRK18" s="87"/>
      <c r="BRL18" s="87"/>
      <c r="BRM18" s="87"/>
      <c r="BRN18" s="87"/>
      <c r="BRO18" s="87"/>
      <c r="BRP18" s="87"/>
      <c r="BRQ18" s="87"/>
      <c r="BRR18" s="87"/>
      <c r="BRS18" s="87"/>
      <c r="BRT18" s="87"/>
      <c r="BRU18" s="87"/>
      <c r="BRV18" s="87"/>
      <c r="BRW18" s="87"/>
      <c r="BRX18" s="87"/>
      <c r="BRY18" s="87"/>
      <c r="BRZ18" s="87"/>
      <c r="BSA18" s="87"/>
      <c r="BSB18" s="87"/>
      <c r="BSC18" s="87"/>
      <c r="BSD18" s="87"/>
      <c r="BSE18" s="87"/>
      <c r="BSF18" s="87"/>
      <c r="BSG18" s="87"/>
      <c r="BSH18" s="87"/>
      <c r="BSI18" s="87"/>
      <c r="BSJ18" s="87"/>
      <c r="BSK18" s="87"/>
      <c r="BSL18" s="87"/>
      <c r="BSM18" s="87"/>
      <c r="BSN18" s="87"/>
      <c r="BSO18" s="87"/>
      <c r="BSP18" s="87"/>
      <c r="BSQ18" s="87"/>
      <c r="BSR18" s="87"/>
      <c r="BSS18" s="87"/>
      <c r="BST18" s="87"/>
      <c r="BSU18" s="87"/>
      <c r="BSV18" s="87"/>
      <c r="BSW18" s="87"/>
      <c r="BSX18" s="87"/>
      <c r="BSY18" s="87"/>
      <c r="BSZ18" s="87"/>
      <c r="BTA18" s="87"/>
      <c r="BTB18" s="87"/>
      <c r="BTC18" s="87"/>
      <c r="BTD18" s="87"/>
      <c r="BTE18" s="87"/>
      <c r="BTF18" s="87"/>
      <c r="BTG18" s="87"/>
      <c r="BTH18" s="87"/>
      <c r="BTI18" s="87"/>
      <c r="BTJ18" s="87"/>
      <c r="BTK18" s="87"/>
      <c r="BTL18" s="87"/>
      <c r="BTM18" s="87"/>
      <c r="BTN18" s="87"/>
      <c r="BTO18" s="87"/>
      <c r="BTP18" s="87"/>
      <c r="BTQ18" s="87"/>
      <c r="BTR18" s="87"/>
      <c r="BTS18" s="87"/>
      <c r="BTT18" s="87"/>
      <c r="BTU18" s="87"/>
      <c r="BTV18" s="87"/>
      <c r="BTW18" s="87"/>
      <c r="BTX18" s="87"/>
      <c r="BTY18" s="87"/>
      <c r="BTZ18" s="87"/>
      <c r="BUA18" s="87"/>
      <c r="BUB18" s="87"/>
      <c r="BUC18" s="87"/>
      <c r="BUD18" s="87"/>
      <c r="BUE18" s="87"/>
      <c r="BUF18" s="87"/>
      <c r="BUG18" s="87"/>
      <c r="BUH18" s="87"/>
      <c r="BUI18" s="87"/>
      <c r="BUJ18" s="87"/>
      <c r="BUK18" s="87"/>
      <c r="BUL18" s="87"/>
      <c r="BUM18" s="87"/>
      <c r="BUN18" s="87"/>
      <c r="BUO18" s="87"/>
      <c r="BUP18" s="87"/>
      <c r="BUQ18" s="87"/>
      <c r="BUR18" s="87"/>
      <c r="BUS18" s="87"/>
      <c r="BUT18" s="87"/>
      <c r="BUU18" s="87"/>
      <c r="BUV18" s="87"/>
      <c r="BUW18" s="87"/>
      <c r="BUX18" s="87"/>
      <c r="BUY18" s="87"/>
      <c r="BUZ18" s="87"/>
      <c r="BVA18" s="87"/>
      <c r="BVB18" s="87"/>
      <c r="BVC18" s="87"/>
      <c r="BVD18" s="87"/>
      <c r="BVE18" s="87"/>
      <c r="BVF18" s="87"/>
      <c r="BVG18" s="87"/>
      <c r="BVH18" s="87"/>
      <c r="BVI18" s="87"/>
      <c r="BVJ18" s="87"/>
      <c r="BVK18" s="87"/>
      <c r="BVL18" s="87"/>
      <c r="BVM18" s="87"/>
      <c r="BVN18" s="87"/>
      <c r="BVO18" s="87"/>
      <c r="BVP18" s="87"/>
      <c r="BVQ18" s="87"/>
      <c r="BVR18" s="87"/>
      <c r="BVS18" s="87"/>
      <c r="BVT18" s="87"/>
      <c r="BVU18" s="87"/>
      <c r="BVV18" s="87"/>
      <c r="BVW18" s="87"/>
      <c r="BVX18" s="87"/>
      <c r="BVY18" s="87"/>
      <c r="BVZ18" s="87"/>
      <c r="BWA18" s="87"/>
      <c r="BWB18" s="87"/>
      <c r="BWC18" s="87"/>
      <c r="BWD18" s="87"/>
      <c r="BWE18" s="87"/>
      <c r="BWF18" s="87"/>
      <c r="BWG18" s="87"/>
      <c r="BWH18" s="87"/>
      <c r="BWI18" s="87"/>
      <c r="BWJ18" s="87"/>
      <c r="BWK18" s="87"/>
      <c r="BWL18" s="87"/>
      <c r="BWM18" s="87"/>
      <c r="BWN18" s="87"/>
      <c r="BWO18" s="87"/>
      <c r="BWP18" s="87"/>
      <c r="BWQ18" s="87"/>
      <c r="BWR18" s="87"/>
      <c r="BWS18" s="87"/>
      <c r="BWT18" s="87"/>
      <c r="BWU18" s="87"/>
      <c r="BWV18" s="87"/>
      <c r="BWW18" s="87"/>
      <c r="BWX18" s="87"/>
      <c r="BWY18" s="87"/>
      <c r="BWZ18" s="87"/>
      <c r="BXA18" s="87"/>
      <c r="BXB18" s="87"/>
      <c r="BXC18" s="87"/>
      <c r="BXD18" s="87"/>
      <c r="BXE18" s="87"/>
      <c r="BXF18" s="87"/>
      <c r="BXG18" s="87"/>
      <c r="BXH18" s="87"/>
      <c r="BXI18" s="87"/>
      <c r="BXJ18" s="87"/>
      <c r="BXK18" s="87"/>
      <c r="BXL18" s="87"/>
      <c r="BXM18" s="87"/>
      <c r="BXN18" s="87"/>
      <c r="BXO18" s="87"/>
      <c r="BXP18" s="87"/>
      <c r="BXQ18" s="87"/>
      <c r="BXR18" s="87"/>
      <c r="BXS18" s="87"/>
      <c r="BXT18" s="87"/>
      <c r="BXU18" s="87"/>
      <c r="BXV18" s="87"/>
      <c r="BXW18" s="87"/>
      <c r="BXX18" s="87"/>
      <c r="BXY18" s="87"/>
      <c r="BXZ18" s="87"/>
      <c r="BYA18" s="87"/>
      <c r="BYB18" s="87"/>
      <c r="BYC18" s="87"/>
      <c r="BYD18" s="87"/>
      <c r="BYE18" s="87"/>
      <c r="BYF18" s="87"/>
      <c r="BYG18" s="87"/>
      <c r="BYH18" s="87"/>
      <c r="BYI18" s="87"/>
      <c r="BYJ18" s="87"/>
      <c r="BYK18" s="87"/>
      <c r="BYL18" s="87"/>
      <c r="BYM18" s="87"/>
      <c r="BYN18" s="87"/>
      <c r="BYO18" s="87"/>
      <c r="BYP18" s="87"/>
      <c r="BYQ18" s="87"/>
      <c r="BYR18" s="87"/>
      <c r="BYS18" s="87"/>
      <c r="BYT18" s="87"/>
      <c r="BYU18" s="87"/>
      <c r="BYV18" s="87"/>
      <c r="BYW18" s="87"/>
      <c r="BYX18" s="87"/>
      <c r="BYY18" s="87"/>
      <c r="BYZ18" s="87"/>
      <c r="BZA18" s="87"/>
      <c r="BZB18" s="87"/>
      <c r="BZC18" s="87"/>
      <c r="BZD18" s="87"/>
      <c r="BZE18" s="87"/>
      <c r="BZF18" s="87"/>
      <c r="BZG18" s="87"/>
      <c r="BZH18" s="87"/>
      <c r="BZI18" s="87"/>
      <c r="BZJ18" s="87"/>
      <c r="BZK18" s="87"/>
      <c r="BZL18" s="87"/>
      <c r="BZM18" s="87"/>
      <c r="BZN18" s="87"/>
      <c r="BZO18" s="87"/>
      <c r="BZP18" s="87"/>
      <c r="BZQ18" s="87"/>
      <c r="BZR18" s="87"/>
      <c r="BZS18" s="87"/>
      <c r="BZT18" s="87"/>
      <c r="BZU18" s="87"/>
      <c r="BZV18" s="87"/>
      <c r="BZW18" s="87"/>
      <c r="BZX18" s="87"/>
      <c r="BZY18" s="87"/>
      <c r="BZZ18" s="87"/>
      <c r="CAA18" s="87"/>
      <c r="CAB18" s="87"/>
      <c r="CAC18" s="87"/>
      <c r="CAD18" s="87"/>
      <c r="CAE18" s="87"/>
      <c r="CAF18" s="87"/>
      <c r="CAG18" s="87"/>
      <c r="CAH18" s="87"/>
      <c r="CAI18" s="87"/>
      <c r="CAJ18" s="87"/>
      <c r="CAK18" s="87"/>
      <c r="CAL18" s="87"/>
      <c r="CAM18" s="87"/>
      <c r="CAN18" s="87"/>
      <c r="CAO18" s="87"/>
      <c r="CAP18" s="87"/>
      <c r="CAQ18" s="87"/>
      <c r="CAR18" s="87"/>
      <c r="CAS18" s="87"/>
      <c r="CAT18" s="87"/>
      <c r="CAU18" s="87"/>
      <c r="CAV18" s="87"/>
      <c r="CAW18" s="87"/>
      <c r="CAX18" s="87"/>
      <c r="CAY18" s="87"/>
      <c r="CAZ18" s="87"/>
      <c r="CBA18" s="87"/>
      <c r="CBB18" s="87"/>
      <c r="CBC18" s="87"/>
      <c r="CBD18" s="87"/>
      <c r="CBE18" s="87"/>
      <c r="CBF18" s="87"/>
      <c r="CBG18" s="87"/>
      <c r="CBH18" s="87"/>
      <c r="CBI18" s="87"/>
      <c r="CBJ18" s="87"/>
      <c r="CBK18" s="87"/>
      <c r="CBL18" s="87"/>
      <c r="CBM18" s="87"/>
      <c r="CBN18" s="87"/>
      <c r="CBO18" s="87"/>
      <c r="CBP18" s="87"/>
      <c r="CBQ18" s="87"/>
      <c r="CBR18" s="87"/>
      <c r="CBS18" s="87"/>
      <c r="CBT18" s="87"/>
      <c r="CBU18" s="87"/>
      <c r="CBV18" s="87"/>
      <c r="CBW18" s="87"/>
      <c r="CBX18" s="87"/>
      <c r="CBY18" s="87"/>
      <c r="CBZ18" s="87"/>
      <c r="CCA18" s="87"/>
      <c r="CCB18" s="87"/>
      <c r="CCC18" s="87"/>
      <c r="CCD18" s="87"/>
      <c r="CCE18" s="87"/>
      <c r="CCF18" s="87"/>
      <c r="CCG18" s="87"/>
      <c r="CCH18" s="87"/>
      <c r="CCI18" s="87"/>
      <c r="CCJ18" s="87"/>
      <c r="CCK18" s="87"/>
      <c r="CCL18" s="87"/>
      <c r="CCM18" s="87"/>
      <c r="CCN18" s="87"/>
      <c r="CCO18" s="87"/>
      <c r="CCP18" s="87"/>
      <c r="CCQ18" s="87"/>
      <c r="CCR18" s="87"/>
      <c r="CCS18" s="87"/>
      <c r="CCT18" s="87"/>
      <c r="CCU18" s="87"/>
      <c r="CCV18" s="87"/>
      <c r="CCW18" s="87"/>
      <c r="CCX18" s="87"/>
      <c r="CCY18" s="87"/>
      <c r="CCZ18" s="87"/>
      <c r="CDA18" s="87"/>
      <c r="CDB18" s="87"/>
      <c r="CDC18" s="87"/>
      <c r="CDD18" s="87"/>
      <c r="CDE18" s="87"/>
      <c r="CDF18" s="87"/>
      <c r="CDG18" s="87"/>
      <c r="CDH18" s="87"/>
      <c r="CDI18" s="87"/>
      <c r="CDJ18" s="87"/>
      <c r="CDK18" s="87"/>
      <c r="CDL18" s="87"/>
      <c r="CDM18" s="87"/>
      <c r="CDN18" s="87"/>
      <c r="CDO18" s="87"/>
      <c r="CDP18" s="87"/>
      <c r="CDQ18" s="87"/>
      <c r="CDR18" s="87"/>
      <c r="CDS18" s="87"/>
      <c r="CDT18" s="87"/>
      <c r="CDU18" s="87"/>
      <c r="CDV18" s="87"/>
      <c r="CDW18" s="87"/>
      <c r="CDX18" s="87"/>
      <c r="CDY18" s="87"/>
      <c r="CDZ18" s="87"/>
      <c r="CEA18" s="87"/>
      <c r="CEB18" s="87"/>
      <c r="CEC18" s="87"/>
      <c r="CED18" s="87"/>
      <c r="CEE18" s="87"/>
      <c r="CEF18" s="87"/>
      <c r="CEG18" s="87"/>
      <c r="CEH18" s="87"/>
      <c r="CEI18" s="87"/>
      <c r="CEJ18" s="87"/>
      <c r="CEK18" s="87"/>
      <c r="CEL18" s="87"/>
      <c r="CEM18" s="87"/>
      <c r="CEN18" s="87"/>
      <c r="CEO18" s="87"/>
      <c r="CEP18" s="87"/>
      <c r="CEQ18" s="87"/>
      <c r="CER18" s="87"/>
      <c r="CES18" s="87"/>
      <c r="CET18" s="87"/>
      <c r="CEU18" s="87"/>
      <c r="CEV18" s="87"/>
      <c r="CEW18" s="87"/>
      <c r="CEX18" s="87"/>
      <c r="CEY18" s="87"/>
      <c r="CEZ18" s="87"/>
      <c r="CFA18" s="87"/>
      <c r="CFB18" s="87"/>
      <c r="CFC18" s="87"/>
      <c r="CFD18" s="87"/>
      <c r="CFE18" s="87"/>
      <c r="CFF18" s="87"/>
      <c r="CFG18" s="87"/>
      <c r="CFH18" s="87"/>
      <c r="CFI18" s="87"/>
      <c r="CFJ18" s="87"/>
      <c r="CFK18" s="87"/>
      <c r="CFL18" s="87"/>
      <c r="CFM18" s="87"/>
      <c r="CFN18" s="87"/>
      <c r="CFO18" s="87"/>
      <c r="CFP18" s="87"/>
      <c r="CFQ18" s="87"/>
      <c r="CFR18" s="87"/>
      <c r="CFS18" s="87"/>
      <c r="CFT18" s="87"/>
      <c r="CFU18" s="87"/>
      <c r="CFV18" s="87"/>
      <c r="CFW18" s="87"/>
      <c r="CFX18" s="87"/>
      <c r="CFY18" s="87"/>
      <c r="CFZ18" s="87"/>
      <c r="CGA18" s="87"/>
      <c r="CGB18" s="87"/>
      <c r="CGC18" s="87"/>
      <c r="CGD18" s="87"/>
      <c r="CGE18" s="87"/>
      <c r="CGF18" s="87"/>
      <c r="CGG18" s="87"/>
      <c r="CGH18" s="87"/>
      <c r="CGI18" s="87"/>
      <c r="CGJ18" s="87"/>
      <c r="CGK18" s="87"/>
      <c r="CGL18" s="87"/>
      <c r="CGM18" s="87"/>
      <c r="CGN18" s="87"/>
      <c r="CGO18" s="87"/>
      <c r="CGP18" s="87"/>
      <c r="CGQ18" s="87"/>
      <c r="CGR18" s="87"/>
      <c r="CGS18" s="87"/>
      <c r="CGT18" s="87"/>
      <c r="CGU18" s="87"/>
      <c r="CGV18" s="87"/>
      <c r="CGW18" s="87"/>
      <c r="CGX18" s="87"/>
      <c r="CGY18" s="87"/>
      <c r="CGZ18" s="87"/>
      <c r="CHA18" s="87"/>
      <c r="CHB18" s="87"/>
      <c r="CHC18" s="87"/>
      <c r="CHD18" s="87"/>
      <c r="CHE18" s="87"/>
      <c r="CHF18" s="87"/>
      <c r="CHG18" s="87"/>
      <c r="CHH18" s="87"/>
      <c r="CHI18" s="87"/>
      <c r="CHJ18" s="87"/>
      <c r="CHK18" s="87"/>
      <c r="CHL18" s="87"/>
      <c r="CHM18" s="87"/>
      <c r="CHN18" s="87"/>
      <c r="CHO18" s="87"/>
      <c r="CHP18" s="87"/>
      <c r="CHQ18" s="87"/>
      <c r="CHR18" s="87"/>
      <c r="CHS18" s="87"/>
      <c r="CHT18" s="87"/>
      <c r="CHU18" s="87"/>
      <c r="CHV18" s="87"/>
      <c r="CHW18" s="87"/>
      <c r="CHX18" s="87"/>
      <c r="CHY18" s="87"/>
      <c r="CHZ18" s="87"/>
      <c r="CIA18" s="87"/>
      <c r="CIB18" s="87"/>
      <c r="CIC18" s="87"/>
      <c r="CID18" s="87"/>
      <c r="CIE18" s="87"/>
      <c r="CIF18" s="87"/>
      <c r="CIG18" s="87"/>
      <c r="CIH18" s="87"/>
      <c r="CII18" s="87"/>
      <c r="CIJ18" s="87"/>
      <c r="CIK18" s="87"/>
      <c r="CIL18" s="87"/>
      <c r="CIM18" s="87"/>
      <c r="CIN18" s="87"/>
      <c r="CIO18" s="87"/>
      <c r="CIP18" s="87"/>
      <c r="CIQ18" s="87"/>
      <c r="CIR18" s="87"/>
      <c r="CIS18" s="87"/>
      <c r="CIT18" s="87"/>
      <c r="CIU18" s="87"/>
      <c r="CIV18" s="87"/>
      <c r="CIW18" s="87"/>
      <c r="CIX18" s="87"/>
      <c r="CIY18" s="87"/>
      <c r="CIZ18" s="87"/>
      <c r="CJA18" s="87"/>
      <c r="CJB18" s="87"/>
      <c r="CJC18" s="87"/>
      <c r="CJD18" s="87"/>
      <c r="CJE18" s="87"/>
      <c r="CJF18" s="87"/>
      <c r="CJG18" s="87"/>
      <c r="CJH18" s="87"/>
      <c r="CJI18" s="87"/>
      <c r="CJJ18" s="87"/>
      <c r="CJK18" s="87"/>
      <c r="CJL18" s="87"/>
      <c r="CJM18" s="87"/>
      <c r="CJN18" s="87"/>
      <c r="CJO18" s="87"/>
      <c r="CJP18" s="87"/>
      <c r="CJQ18" s="87"/>
      <c r="CJR18" s="87"/>
      <c r="CJS18" s="87"/>
      <c r="CJT18" s="87"/>
      <c r="CJU18" s="87"/>
      <c r="CJV18" s="87"/>
      <c r="CJW18" s="87"/>
      <c r="CJX18" s="87"/>
      <c r="CJY18" s="87"/>
      <c r="CJZ18" s="87"/>
      <c r="CKA18" s="87"/>
      <c r="CKB18" s="87"/>
      <c r="CKC18" s="87"/>
      <c r="CKD18" s="87"/>
      <c r="CKE18" s="87"/>
      <c r="CKF18" s="87"/>
      <c r="CKG18" s="87"/>
      <c r="CKH18" s="87"/>
      <c r="CKI18" s="87"/>
      <c r="CKJ18" s="87"/>
      <c r="CKK18" s="87"/>
      <c r="CKL18" s="87"/>
      <c r="CKM18" s="87"/>
      <c r="CKN18" s="87"/>
      <c r="CKO18" s="87"/>
      <c r="CKP18" s="87"/>
      <c r="CKQ18" s="87"/>
      <c r="CKR18" s="87"/>
      <c r="CKS18" s="87"/>
      <c r="CKT18" s="87"/>
      <c r="CKU18" s="87"/>
      <c r="CKV18" s="87"/>
      <c r="CKW18" s="87"/>
      <c r="CKX18" s="87"/>
      <c r="CKY18" s="87"/>
      <c r="CKZ18" s="87"/>
      <c r="CLA18" s="87"/>
      <c r="CLB18" s="87"/>
      <c r="CLC18" s="87"/>
      <c r="CLD18" s="87"/>
      <c r="CLE18" s="87"/>
      <c r="CLF18" s="87"/>
      <c r="CLG18" s="87"/>
      <c r="CLH18" s="87"/>
      <c r="CLI18" s="87"/>
      <c r="CLJ18" s="87"/>
      <c r="CLK18" s="87"/>
      <c r="CLL18" s="87"/>
      <c r="CLM18" s="87"/>
      <c r="CLN18" s="87"/>
      <c r="CLO18" s="87"/>
      <c r="CLP18" s="87"/>
      <c r="CLQ18" s="87"/>
      <c r="CLR18" s="87"/>
      <c r="CLS18" s="87"/>
      <c r="CLT18" s="87"/>
      <c r="CLU18" s="87"/>
      <c r="CLV18" s="87"/>
      <c r="CLW18" s="87"/>
      <c r="CLX18" s="87"/>
      <c r="CLY18" s="87"/>
      <c r="CLZ18" s="87"/>
      <c r="CMA18" s="87"/>
      <c r="CMB18" s="87"/>
      <c r="CMC18" s="87"/>
      <c r="CMD18" s="87"/>
      <c r="CME18" s="87"/>
      <c r="CMF18" s="87"/>
      <c r="CMG18" s="87"/>
      <c r="CMH18" s="87"/>
      <c r="CMI18" s="87"/>
      <c r="CMJ18" s="87"/>
      <c r="CMK18" s="87"/>
      <c r="CML18" s="87"/>
      <c r="CMM18" s="87"/>
      <c r="CMN18" s="87"/>
      <c r="CMO18" s="87"/>
      <c r="CMP18" s="87"/>
      <c r="CMQ18" s="87"/>
      <c r="CMR18" s="87"/>
      <c r="CMS18" s="87"/>
      <c r="CMT18" s="87"/>
      <c r="CMU18" s="87"/>
      <c r="CMV18" s="87"/>
      <c r="CMW18" s="87"/>
      <c r="CMX18" s="87"/>
      <c r="CMY18" s="87"/>
      <c r="CMZ18" s="87"/>
      <c r="CNA18" s="87"/>
      <c r="CNB18" s="87"/>
      <c r="CNC18" s="87"/>
      <c r="CND18" s="87"/>
      <c r="CNE18" s="87"/>
      <c r="CNF18" s="87"/>
      <c r="CNG18" s="87"/>
      <c r="CNH18" s="87"/>
      <c r="CNI18" s="87"/>
      <c r="CNJ18" s="87"/>
      <c r="CNK18" s="87"/>
      <c r="CNL18" s="87"/>
      <c r="CNM18" s="87"/>
      <c r="CNN18" s="87"/>
      <c r="CNO18" s="87"/>
      <c r="CNP18" s="87"/>
      <c r="CNQ18" s="87"/>
      <c r="CNR18" s="87"/>
      <c r="CNS18" s="87"/>
      <c r="CNT18" s="87"/>
      <c r="CNU18" s="87"/>
      <c r="CNV18" s="87"/>
      <c r="CNW18" s="87"/>
      <c r="CNX18" s="87"/>
      <c r="CNY18" s="87"/>
      <c r="CNZ18" s="87"/>
      <c r="COA18" s="87"/>
      <c r="COB18" s="87"/>
      <c r="COC18" s="87"/>
      <c r="COD18" s="87"/>
      <c r="COE18" s="87"/>
      <c r="COF18" s="87"/>
      <c r="COG18" s="87"/>
      <c r="COH18" s="87"/>
      <c r="COI18" s="87"/>
      <c r="COJ18" s="87"/>
      <c r="COK18" s="87"/>
      <c r="COL18" s="87"/>
      <c r="COM18" s="87"/>
      <c r="CON18" s="87"/>
      <c r="COO18" s="87"/>
      <c r="COP18" s="87"/>
      <c r="COQ18" s="87"/>
      <c r="COR18" s="87"/>
      <c r="COS18" s="87"/>
      <c r="COT18" s="87"/>
      <c r="COU18" s="87"/>
      <c r="COV18" s="87"/>
      <c r="COW18" s="87"/>
      <c r="COX18" s="87"/>
      <c r="COY18" s="87"/>
      <c r="COZ18" s="87"/>
      <c r="CPA18" s="87"/>
      <c r="CPB18" s="87"/>
      <c r="CPC18" s="87"/>
      <c r="CPD18" s="87"/>
      <c r="CPE18" s="87"/>
      <c r="CPF18" s="87"/>
      <c r="CPG18" s="87"/>
      <c r="CPH18" s="87"/>
      <c r="CPI18" s="87"/>
      <c r="CPJ18" s="87"/>
      <c r="CPK18" s="87"/>
      <c r="CPL18" s="87"/>
      <c r="CPM18" s="87"/>
      <c r="CPN18" s="87"/>
      <c r="CPO18" s="87"/>
      <c r="CPP18" s="87"/>
      <c r="CPQ18" s="87"/>
      <c r="CPR18" s="87"/>
      <c r="CPS18" s="87"/>
      <c r="CPT18" s="87"/>
      <c r="CPU18" s="87"/>
      <c r="CPV18" s="87"/>
      <c r="CPW18" s="87"/>
      <c r="CPX18" s="87"/>
      <c r="CPY18" s="87"/>
      <c r="CPZ18" s="87"/>
      <c r="CQA18" s="87"/>
      <c r="CQB18" s="87"/>
      <c r="CQC18" s="87"/>
      <c r="CQD18" s="87"/>
      <c r="CQE18" s="87"/>
      <c r="CQF18" s="87"/>
      <c r="CQG18" s="87"/>
      <c r="CQH18" s="87"/>
      <c r="CQI18" s="87"/>
      <c r="CQJ18" s="87"/>
      <c r="CQK18" s="87"/>
      <c r="CQL18" s="87"/>
      <c r="CQM18" s="87"/>
      <c r="CQN18" s="87"/>
      <c r="CQO18" s="87"/>
      <c r="CQP18" s="87"/>
      <c r="CQQ18" s="87"/>
      <c r="CQR18" s="87"/>
      <c r="CQS18" s="87"/>
      <c r="CQT18" s="87"/>
      <c r="CQU18" s="87"/>
      <c r="CQV18" s="87"/>
      <c r="CQW18" s="87"/>
      <c r="CQX18" s="87"/>
      <c r="CQY18" s="87"/>
      <c r="CQZ18" s="87"/>
      <c r="CRA18" s="87"/>
      <c r="CRB18" s="87"/>
      <c r="CRC18" s="87"/>
      <c r="CRD18" s="87"/>
      <c r="CRE18" s="87"/>
      <c r="CRF18" s="87"/>
      <c r="CRG18" s="87"/>
      <c r="CRH18" s="87"/>
      <c r="CRI18" s="87"/>
      <c r="CRJ18" s="87"/>
      <c r="CRK18" s="87"/>
      <c r="CRL18" s="87"/>
      <c r="CRM18" s="87"/>
      <c r="CRN18" s="87"/>
      <c r="CRO18" s="87"/>
      <c r="CRP18" s="87"/>
      <c r="CRQ18" s="87"/>
      <c r="CRR18" s="87"/>
      <c r="CRS18" s="87"/>
      <c r="CRT18" s="87"/>
      <c r="CRU18" s="87"/>
      <c r="CRV18" s="87"/>
      <c r="CRW18" s="87"/>
      <c r="CRX18" s="87"/>
      <c r="CRY18" s="87"/>
      <c r="CRZ18" s="87"/>
      <c r="CSA18" s="87"/>
      <c r="CSB18" s="87"/>
      <c r="CSC18" s="87"/>
      <c r="CSD18" s="87"/>
      <c r="CSE18" s="87"/>
      <c r="CSF18" s="87"/>
      <c r="CSG18" s="87"/>
      <c r="CSH18" s="87"/>
      <c r="CSI18" s="87"/>
      <c r="CSJ18" s="87"/>
      <c r="CSK18" s="87"/>
      <c r="CSL18" s="87"/>
      <c r="CSM18" s="87"/>
      <c r="CSN18" s="87"/>
      <c r="CSO18" s="87"/>
      <c r="CSP18" s="87"/>
      <c r="CSQ18" s="87"/>
      <c r="CSR18" s="87"/>
      <c r="CSS18" s="87"/>
      <c r="CST18" s="87"/>
      <c r="CSU18" s="87"/>
      <c r="CSV18" s="87"/>
      <c r="CSW18" s="87"/>
      <c r="CSX18" s="87"/>
      <c r="CSY18" s="87"/>
      <c r="CSZ18" s="87"/>
      <c r="CTA18" s="87"/>
      <c r="CTB18" s="87"/>
      <c r="CTC18" s="87"/>
      <c r="CTD18" s="87"/>
      <c r="CTE18" s="87"/>
      <c r="CTF18" s="87"/>
      <c r="CTG18" s="87"/>
      <c r="CTH18" s="87"/>
      <c r="CTI18" s="87"/>
      <c r="CTJ18" s="87"/>
      <c r="CTK18" s="87"/>
      <c r="CTL18" s="87"/>
      <c r="CTM18" s="87"/>
      <c r="CTN18" s="87"/>
      <c r="CTO18" s="87"/>
      <c r="CTP18" s="87"/>
      <c r="CTQ18" s="87"/>
      <c r="CTR18" s="87"/>
      <c r="CTS18" s="87"/>
      <c r="CTT18" s="87"/>
      <c r="CTU18" s="87"/>
      <c r="CTV18" s="87"/>
      <c r="CTW18" s="87"/>
      <c r="CTX18" s="87"/>
      <c r="CTY18" s="87"/>
      <c r="CTZ18" s="87"/>
      <c r="CUA18" s="87"/>
      <c r="CUB18" s="87"/>
      <c r="CUC18" s="87"/>
      <c r="CUD18" s="87"/>
      <c r="CUE18" s="87"/>
      <c r="CUF18" s="87"/>
      <c r="CUG18" s="87"/>
      <c r="CUH18" s="87"/>
      <c r="CUI18" s="87"/>
      <c r="CUJ18" s="87"/>
      <c r="CUK18" s="87"/>
      <c r="CUL18" s="87"/>
      <c r="CUM18" s="87"/>
      <c r="CUN18" s="87"/>
      <c r="CUO18" s="87"/>
      <c r="CUP18" s="87"/>
      <c r="CUQ18" s="87"/>
      <c r="CUR18" s="87"/>
      <c r="CUS18" s="87"/>
      <c r="CUT18" s="87"/>
      <c r="CUU18" s="87"/>
      <c r="CUV18" s="87"/>
      <c r="CUW18" s="87"/>
      <c r="CUX18" s="87"/>
      <c r="CUY18" s="87"/>
      <c r="CUZ18" s="87"/>
      <c r="CVA18" s="87"/>
      <c r="CVB18" s="87"/>
      <c r="CVC18" s="87"/>
      <c r="CVD18" s="87"/>
      <c r="CVE18" s="87"/>
      <c r="CVF18" s="87"/>
      <c r="CVG18" s="87"/>
      <c r="CVH18" s="87"/>
      <c r="CVI18" s="87"/>
      <c r="CVJ18" s="87"/>
      <c r="CVK18" s="87"/>
      <c r="CVL18" s="87"/>
      <c r="CVM18" s="87"/>
      <c r="CVN18" s="87"/>
      <c r="CVO18" s="87"/>
      <c r="CVP18" s="87"/>
      <c r="CVQ18" s="87"/>
      <c r="CVR18" s="87"/>
      <c r="CVS18" s="87"/>
      <c r="CVT18" s="87"/>
      <c r="CVU18" s="87"/>
      <c r="CVV18" s="87"/>
      <c r="CVW18" s="87"/>
      <c r="CVX18" s="87"/>
      <c r="CVY18" s="87"/>
      <c r="CVZ18" s="87"/>
      <c r="CWA18" s="87"/>
      <c r="CWB18" s="87"/>
      <c r="CWC18" s="87"/>
      <c r="CWD18" s="87"/>
      <c r="CWE18" s="87"/>
      <c r="CWF18" s="87"/>
      <c r="CWG18" s="87"/>
      <c r="CWH18" s="87"/>
      <c r="CWI18" s="87"/>
      <c r="CWJ18" s="87"/>
      <c r="CWK18" s="87"/>
      <c r="CWL18" s="87"/>
      <c r="CWM18" s="87"/>
      <c r="CWN18" s="87"/>
      <c r="CWO18" s="87"/>
      <c r="CWP18" s="87"/>
      <c r="CWQ18" s="87"/>
      <c r="CWR18" s="87"/>
      <c r="CWS18" s="87"/>
      <c r="CWT18" s="87"/>
      <c r="CWU18" s="87"/>
      <c r="CWV18" s="87"/>
      <c r="CWW18" s="87"/>
      <c r="CWX18" s="87"/>
      <c r="CWY18" s="87"/>
      <c r="CWZ18" s="87"/>
      <c r="CXA18" s="87"/>
      <c r="CXB18" s="87"/>
      <c r="CXC18" s="87"/>
      <c r="CXD18" s="87"/>
      <c r="CXE18" s="87"/>
      <c r="CXF18" s="87"/>
      <c r="CXG18" s="87"/>
      <c r="CXH18" s="87"/>
      <c r="CXI18" s="87"/>
      <c r="CXJ18" s="87"/>
      <c r="CXK18" s="87"/>
      <c r="CXL18" s="87"/>
      <c r="CXM18" s="87"/>
      <c r="CXN18" s="87"/>
      <c r="CXO18" s="87"/>
      <c r="CXP18" s="87"/>
      <c r="CXQ18" s="87"/>
      <c r="CXR18" s="87"/>
      <c r="CXS18" s="87"/>
      <c r="CXT18" s="87"/>
      <c r="CXU18" s="87"/>
      <c r="CXV18" s="87"/>
      <c r="CXW18" s="87"/>
      <c r="CXX18" s="87"/>
      <c r="CXY18" s="87"/>
      <c r="CXZ18" s="87"/>
      <c r="CYA18" s="87"/>
      <c r="CYB18" s="87"/>
      <c r="CYC18" s="87"/>
      <c r="CYD18" s="87"/>
      <c r="CYE18" s="87"/>
      <c r="CYF18" s="87"/>
      <c r="CYG18" s="87"/>
      <c r="CYH18" s="87"/>
      <c r="CYI18" s="87"/>
      <c r="CYJ18" s="87"/>
      <c r="CYK18" s="87"/>
      <c r="CYL18" s="87"/>
      <c r="CYM18" s="87"/>
      <c r="CYN18" s="87"/>
      <c r="CYO18" s="87"/>
      <c r="CYP18" s="87"/>
      <c r="CYQ18" s="87"/>
      <c r="CYR18" s="87"/>
      <c r="CYS18" s="87"/>
      <c r="CYT18" s="87"/>
      <c r="CYU18" s="87"/>
      <c r="CYV18" s="87"/>
      <c r="CYW18" s="87"/>
      <c r="CYX18" s="87"/>
      <c r="CYY18" s="87"/>
      <c r="CYZ18" s="87"/>
      <c r="CZA18" s="87"/>
      <c r="CZB18" s="87"/>
      <c r="CZC18" s="87"/>
      <c r="CZD18" s="87"/>
      <c r="CZE18" s="87"/>
      <c r="CZF18" s="87"/>
      <c r="CZG18" s="87"/>
      <c r="CZH18" s="87"/>
      <c r="CZI18" s="87"/>
      <c r="CZJ18" s="87"/>
      <c r="CZK18" s="87"/>
      <c r="CZL18" s="87"/>
      <c r="CZM18" s="87"/>
      <c r="CZN18" s="87"/>
      <c r="CZO18" s="87"/>
      <c r="CZP18" s="87"/>
      <c r="CZQ18" s="87"/>
      <c r="CZR18" s="87"/>
      <c r="CZS18" s="87"/>
      <c r="CZT18" s="87"/>
      <c r="CZU18" s="87"/>
      <c r="CZV18" s="87"/>
      <c r="CZW18" s="87"/>
      <c r="CZX18" s="87"/>
      <c r="CZY18" s="87"/>
      <c r="CZZ18" s="87"/>
      <c r="DAA18" s="87"/>
      <c r="DAB18" s="87"/>
      <c r="DAC18" s="87"/>
      <c r="DAD18" s="87"/>
      <c r="DAE18" s="87"/>
      <c r="DAF18" s="87"/>
      <c r="DAG18" s="87"/>
      <c r="DAH18" s="87"/>
      <c r="DAI18" s="87"/>
      <c r="DAJ18" s="87"/>
      <c r="DAK18" s="87"/>
      <c r="DAL18" s="87"/>
      <c r="DAM18" s="87"/>
      <c r="DAN18" s="87"/>
      <c r="DAO18" s="87"/>
      <c r="DAP18" s="87"/>
      <c r="DAQ18" s="87"/>
      <c r="DAR18" s="87"/>
      <c r="DAS18" s="87"/>
      <c r="DAT18" s="87"/>
      <c r="DAU18" s="87"/>
      <c r="DAV18" s="87"/>
      <c r="DAW18" s="87"/>
      <c r="DAX18" s="87"/>
      <c r="DAY18" s="87"/>
      <c r="DAZ18" s="87"/>
      <c r="DBA18" s="87"/>
      <c r="DBB18" s="87"/>
      <c r="DBC18" s="87"/>
      <c r="DBD18" s="87"/>
      <c r="DBE18" s="87"/>
      <c r="DBF18" s="87"/>
      <c r="DBG18" s="87"/>
      <c r="DBH18" s="87"/>
      <c r="DBI18" s="87"/>
      <c r="DBJ18" s="87"/>
      <c r="DBK18" s="87"/>
      <c r="DBL18" s="87"/>
      <c r="DBM18" s="87"/>
      <c r="DBN18" s="87"/>
      <c r="DBO18" s="87"/>
      <c r="DBP18" s="87"/>
      <c r="DBQ18" s="87"/>
      <c r="DBR18" s="87"/>
      <c r="DBS18" s="87"/>
      <c r="DBT18" s="87"/>
      <c r="DBU18" s="87"/>
      <c r="DBV18" s="87"/>
      <c r="DBW18" s="87"/>
      <c r="DBX18" s="87"/>
      <c r="DBY18" s="87"/>
      <c r="DBZ18" s="87"/>
      <c r="DCA18" s="87"/>
      <c r="DCB18" s="87"/>
      <c r="DCC18" s="87"/>
      <c r="DCD18" s="87"/>
      <c r="DCE18" s="87"/>
      <c r="DCF18" s="87"/>
      <c r="DCG18" s="87"/>
      <c r="DCH18" s="87"/>
      <c r="DCI18" s="87"/>
      <c r="DCJ18" s="87"/>
      <c r="DCK18" s="87"/>
      <c r="DCL18" s="87"/>
      <c r="DCM18" s="87"/>
      <c r="DCN18" s="87"/>
      <c r="DCO18" s="87"/>
      <c r="DCP18" s="87"/>
      <c r="DCQ18" s="87"/>
      <c r="DCR18" s="87"/>
      <c r="DCS18" s="87"/>
      <c r="DCT18" s="87"/>
      <c r="DCU18" s="87"/>
      <c r="DCV18" s="87"/>
      <c r="DCW18" s="87"/>
      <c r="DCX18" s="87"/>
      <c r="DCY18" s="87"/>
      <c r="DCZ18" s="87"/>
      <c r="DDA18" s="87"/>
      <c r="DDB18" s="87"/>
      <c r="DDC18" s="87"/>
      <c r="DDD18" s="87"/>
      <c r="DDE18" s="87"/>
      <c r="DDF18" s="87"/>
      <c r="DDG18" s="87"/>
      <c r="DDH18" s="87"/>
      <c r="DDI18" s="87"/>
      <c r="DDJ18" s="87"/>
      <c r="DDK18" s="87"/>
      <c r="DDL18" s="87"/>
      <c r="DDM18" s="87"/>
      <c r="DDN18" s="87"/>
      <c r="DDO18" s="87"/>
      <c r="DDP18" s="87"/>
      <c r="DDQ18" s="87"/>
      <c r="DDR18" s="87"/>
      <c r="DDS18" s="87"/>
      <c r="DDT18" s="87"/>
      <c r="DDU18" s="87"/>
      <c r="DDV18" s="87"/>
      <c r="DDW18" s="87"/>
      <c r="DDX18" s="87"/>
      <c r="DDY18" s="87"/>
      <c r="DDZ18" s="87"/>
      <c r="DEA18" s="87"/>
      <c r="DEB18" s="87"/>
      <c r="DEC18" s="87"/>
      <c r="DED18" s="87"/>
      <c r="DEE18" s="87"/>
      <c r="DEF18" s="87"/>
      <c r="DEG18" s="87"/>
      <c r="DEH18" s="87"/>
      <c r="DEI18" s="87"/>
      <c r="DEJ18" s="87"/>
      <c r="DEK18" s="87"/>
      <c r="DEL18" s="87"/>
      <c r="DEM18" s="87"/>
      <c r="DEN18" s="87"/>
      <c r="DEO18" s="87"/>
      <c r="DEP18" s="87"/>
      <c r="DEQ18" s="87"/>
      <c r="DER18" s="87"/>
      <c r="DES18" s="87"/>
      <c r="DET18" s="87"/>
      <c r="DEU18" s="87"/>
      <c r="DEV18" s="87"/>
      <c r="DEW18" s="87"/>
      <c r="DEX18" s="87"/>
      <c r="DEY18" s="87"/>
      <c r="DEZ18" s="87"/>
      <c r="DFA18" s="87"/>
      <c r="DFB18" s="87"/>
      <c r="DFC18" s="87"/>
      <c r="DFD18" s="87"/>
      <c r="DFE18" s="87"/>
      <c r="DFF18" s="87"/>
      <c r="DFG18" s="87"/>
      <c r="DFH18" s="87"/>
      <c r="DFI18" s="87"/>
      <c r="DFJ18" s="87"/>
      <c r="DFK18" s="87"/>
      <c r="DFL18" s="87"/>
      <c r="DFM18" s="87"/>
      <c r="DFN18" s="87"/>
      <c r="DFO18" s="87"/>
      <c r="DFP18" s="87"/>
      <c r="DFQ18" s="87"/>
      <c r="DFR18" s="87"/>
      <c r="DFS18" s="87"/>
      <c r="DFT18" s="87"/>
      <c r="DFU18" s="87"/>
      <c r="DFV18" s="87"/>
      <c r="DFW18" s="87"/>
      <c r="DFX18" s="87"/>
      <c r="DFY18" s="87"/>
      <c r="DFZ18" s="87"/>
      <c r="DGA18" s="87"/>
      <c r="DGB18" s="87"/>
      <c r="DGC18" s="87"/>
      <c r="DGD18" s="87"/>
      <c r="DGE18" s="87"/>
      <c r="DGF18" s="87"/>
      <c r="DGG18" s="87"/>
      <c r="DGH18" s="87"/>
      <c r="DGI18" s="87"/>
      <c r="DGJ18" s="87"/>
      <c r="DGK18" s="87"/>
      <c r="DGL18" s="87"/>
      <c r="DGM18" s="87"/>
      <c r="DGN18" s="87"/>
      <c r="DGO18" s="87"/>
      <c r="DGP18" s="87"/>
      <c r="DGQ18" s="87"/>
      <c r="DGR18" s="87"/>
      <c r="DGS18" s="87"/>
      <c r="DGT18" s="87"/>
      <c r="DGU18" s="87"/>
      <c r="DGV18" s="87"/>
      <c r="DGW18" s="87"/>
      <c r="DGX18" s="87"/>
      <c r="DGY18" s="87"/>
      <c r="DGZ18" s="87"/>
      <c r="DHA18" s="87"/>
      <c r="DHB18" s="87"/>
      <c r="DHC18" s="87"/>
      <c r="DHD18" s="87"/>
      <c r="DHE18" s="87"/>
      <c r="DHF18" s="87"/>
      <c r="DHG18" s="87"/>
      <c r="DHH18" s="87"/>
      <c r="DHI18" s="87"/>
      <c r="DHJ18" s="87"/>
      <c r="DHK18" s="87"/>
      <c r="DHL18" s="87"/>
      <c r="DHM18" s="87"/>
      <c r="DHN18" s="87"/>
      <c r="DHO18" s="87"/>
      <c r="DHP18" s="87"/>
      <c r="DHQ18" s="87"/>
      <c r="DHR18" s="87"/>
      <c r="DHS18" s="87"/>
      <c r="DHT18" s="87"/>
      <c r="DHU18" s="87"/>
      <c r="DHV18" s="87"/>
      <c r="DHW18" s="87"/>
      <c r="DHX18" s="87"/>
      <c r="DHY18" s="87"/>
      <c r="DHZ18" s="87"/>
      <c r="DIA18" s="87"/>
      <c r="DIB18" s="87"/>
      <c r="DIC18" s="87"/>
      <c r="DID18" s="87"/>
      <c r="DIE18" s="87"/>
      <c r="DIF18" s="87"/>
      <c r="DIG18" s="87"/>
      <c r="DIH18" s="87"/>
      <c r="DII18" s="87"/>
      <c r="DIJ18" s="87"/>
      <c r="DIK18" s="87"/>
      <c r="DIL18" s="87"/>
      <c r="DIM18" s="87"/>
      <c r="DIN18" s="87"/>
      <c r="DIO18" s="87"/>
      <c r="DIP18" s="87"/>
      <c r="DIQ18" s="87"/>
      <c r="DIR18" s="87"/>
      <c r="DIS18" s="87"/>
      <c r="DIT18" s="87"/>
      <c r="DIU18" s="87"/>
      <c r="DIV18" s="87"/>
      <c r="DIW18" s="87"/>
      <c r="DIX18" s="87"/>
      <c r="DIY18" s="87"/>
      <c r="DIZ18" s="87"/>
      <c r="DJA18" s="87"/>
      <c r="DJB18" s="87"/>
      <c r="DJC18" s="87"/>
      <c r="DJD18" s="87"/>
      <c r="DJE18" s="87"/>
      <c r="DJF18" s="87"/>
      <c r="DJG18" s="87"/>
      <c r="DJH18" s="87"/>
      <c r="DJI18" s="87"/>
      <c r="DJJ18" s="87"/>
      <c r="DJK18" s="87"/>
      <c r="DJL18" s="87"/>
      <c r="DJM18" s="87"/>
      <c r="DJN18" s="87"/>
      <c r="DJO18" s="87"/>
      <c r="DJP18" s="87"/>
      <c r="DJQ18" s="87"/>
      <c r="DJR18" s="87"/>
      <c r="DJS18" s="87"/>
      <c r="DJT18" s="87"/>
      <c r="DJU18" s="87"/>
      <c r="DJV18" s="87"/>
      <c r="DJW18" s="87"/>
      <c r="DJX18" s="87"/>
      <c r="DJY18" s="87"/>
      <c r="DJZ18" s="87"/>
      <c r="DKA18" s="87"/>
      <c r="DKB18" s="87"/>
      <c r="DKC18" s="87"/>
      <c r="DKD18" s="87"/>
      <c r="DKE18" s="87"/>
      <c r="DKF18" s="87"/>
      <c r="DKG18" s="87"/>
      <c r="DKH18" s="87"/>
      <c r="DKI18" s="87"/>
      <c r="DKJ18" s="87"/>
      <c r="DKK18" s="87"/>
      <c r="DKL18" s="87"/>
      <c r="DKM18" s="87"/>
      <c r="DKN18" s="87"/>
      <c r="DKO18" s="87"/>
      <c r="DKP18" s="87"/>
      <c r="DKQ18" s="87"/>
      <c r="DKR18" s="87"/>
      <c r="DKS18" s="87"/>
      <c r="DKT18" s="87"/>
      <c r="DKU18" s="87"/>
      <c r="DKV18" s="87"/>
      <c r="DKW18" s="87"/>
      <c r="DKX18" s="87"/>
      <c r="DKY18" s="87"/>
      <c r="DKZ18" s="87"/>
      <c r="DLA18" s="87"/>
      <c r="DLB18" s="87"/>
      <c r="DLC18" s="87"/>
      <c r="DLD18" s="87"/>
      <c r="DLE18" s="87"/>
      <c r="DLF18" s="87"/>
      <c r="DLG18" s="87"/>
      <c r="DLH18" s="87"/>
      <c r="DLI18" s="87"/>
      <c r="DLJ18" s="87"/>
      <c r="DLK18" s="87"/>
      <c r="DLL18" s="87"/>
      <c r="DLM18" s="87"/>
      <c r="DLN18" s="87"/>
      <c r="DLO18" s="87"/>
      <c r="DLP18" s="87"/>
      <c r="DLQ18" s="87"/>
      <c r="DLR18" s="87"/>
      <c r="DLS18" s="87"/>
      <c r="DLT18" s="87"/>
      <c r="DLU18" s="87"/>
      <c r="DLV18" s="87"/>
      <c r="DLW18" s="87"/>
      <c r="DLX18" s="87"/>
      <c r="DLY18" s="87"/>
      <c r="DLZ18" s="87"/>
      <c r="DMA18" s="87"/>
      <c r="DMB18" s="87"/>
      <c r="DMC18" s="87"/>
      <c r="DMD18" s="87"/>
      <c r="DME18" s="87"/>
      <c r="DMF18" s="87"/>
      <c r="DMG18" s="87"/>
      <c r="DMH18" s="87"/>
      <c r="DMI18" s="87"/>
      <c r="DMJ18" s="87"/>
      <c r="DMK18" s="87"/>
      <c r="DML18" s="87"/>
      <c r="DMM18" s="87"/>
      <c r="DMN18" s="87"/>
      <c r="DMO18" s="87"/>
      <c r="DMP18" s="87"/>
      <c r="DMQ18" s="87"/>
      <c r="DMR18" s="87"/>
      <c r="DMS18" s="87"/>
      <c r="DMT18" s="87"/>
      <c r="DMU18" s="87"/>
      <c r="DMV18" s="87"/>
      <c r="DMW18" s="87"/>
      <c r="DMX18" s="87"/>
      <c r="DMY18" s="87"/>
      <c r="DMZ18" s="87"/>
      <c r="DNA18" s="87"/>
      <c r="DNB18" s="87"/>
      <c r="DNC18" s="87"/>
      <c r="DND18" s="87"/>
      <c r="DNE18" s="87"/>
      <c r="DNF18" s="87"/>
      <c r="DNG18" s="87"/>
      <c r="DNH18" s="87"/>
      <c r="DNI18" s="87"/>
      <c r="DNJ18" s="87"/>
      <c r="DNK18" s="87"/>
      <c r="DNL18" s="87"/>
      <c r="DNM18" s="87"/>
      <c r="DNN18" s="87"/>
      <c r="DNO18" s="87"/>
      <c r="DNP18" s="87"/>
      <c r="DNQ18" s="87"/>
      <c r="DNR18" s="87"/>
      <c r="DNS18" s="87"/>
      <c r="DNT18" s="87"/>
      <c r="DNU18" s="87"/>
      <c r="DNV18" s="87"/>
      <c r="DNW18" s="87"/>
      <c r="DNX18" s="87"/>
      <c r="DNY18" s="87"/>
      <c r="DNZ18" s="87"/>
      <c r="DOA18" s="87"/>
      <c r="DOB18" s="87"/>
      <c r="DOC18" s="87"/>
      <c r="DOD18" s="87"/>
      <c r="DOE18" s="87"/>
      <c r="DOF18" s="87"/>
      <c r="DOG18" s="87"/>
      <c r="DOH18" s="87"/>
      <c r="DOI18" s="87"/>
      <c r="DOJ18" s="87"/>
      <c r="DOK18" s="87"/>
      <c r="DOL18" s="87"/>
      <c r="DOM18" s="87"/>
      <c r="DON18" s="87"/>
      <c r="DOO18" s="87"/>
      <c r="DOP18" s="87"/>
      <c r="DOQ18" s="87"/>
      <c r="DOR18" s="87"/>
      <c r="DOS18" s="87"/>
      <c r="DOT18" s="87"/>
      <c r="DOU18" s="87"/>
      <c r="DOV18" s="87"/>
      <c r="DOW18" s="87"/>
      <c r="DOX18" s="87"/>
      <c r="DOY18" s="87"/>
      <c r="DOZ18" s="87"/>
      <c r="DPA18" s="87"/>
      <c r="DPB18" s="87"/>
      <c r="DPC18" s="87"/>
      <c r="DPD18" s="87"/>
      <c r="DPE18" s="87"/>
      <c r="DPF18" s="87"/>
      <c r="DPG18" s="87"/>
      <c r="DPH18" s="87"/>
      <c r="DPI18" s="87"/>
      <c r="DPJ18" s="87"/>
      <c r="DPK18" s="87"/>
      <c r="DPL18" s="87"/>
      <c r="DPM18" s="87"/>
      <c r="DPN18" s="87"/>
      <c r="DPO18" s="87"/>
      <c r="DPP18" s="87"/>
      <c r="DPQ18" s="87"/>
      <c r="DPR18" s="87"/>
      <c r="DPS18" s="87"/>
      <c r="DPT18" s="87"/>
      <c r="DPU18" s="87"/>
      <c r="DPV18" s="87"/>
      <c r="DPW18" s="87"/>
      <c r="DPX18" s="87"/>
      <c r="DPY18" s="87"/>
      <c r="DPZ18" s="87"/>
      <c r="DQA18" s="87"/>
      <c r="DQB18" s="87"/>
      <c r="DQC18" s="87"/>
      <c r="DQD18" s="87"/>
      <c r="DQE18" s="87"/>
      <c r="DQF18" s="87"/>
      <c r="DQG18" s="87"/>
      <c r="DQH18" s="87"/>
      <c r="DQI18" s="87"/>
      <c r="DQJ18" s="87"/>
      <c r="DQK18" s="87"/>
      <c r="DQL18" s="87"/>
      <c r="DQM18" s="87"/>
      <c r="DQN18" s="87"/>
      <c r="DQO18" s="87"/>
      <c r="DQP18" s="87"/>
      <c r="DQQ18" s="87"/>
      <c r="DQR18" s="87"/>
      <c r="DQS18" s="87"/>
      <c r="DQT18" s="87"/>
      <c r="DQU18" s="87"/>
      <c r="DQV18" s="87"/>
      <c r="DQW18" s="87"/>
      <c r="DQX18" s="87"/>
      <c r="DQY18" s="87"/>
      <c r="DQZ18" s="87"/>
      <c r="DRA18" s="87"/>
      <c r="DRB18" s="87"/>
      <c r="DRC18" s="87"/>
      <c r="DRD18" s="87"/>
      <c r="DRE18" s="87"/>
      <c r="DRF18" s="87"/>
      <c r="DRG18" s="87"/>
      <c r="DRH18" s="87"/>
      <c r="DRI18" s="87"/>
      <c r="DRJ18" s="87"/>
      <c r="DRK18" s="87"/>
      <c r="DRL18" s="87"/>
      <c r="DRM18" s="87"/>
      <c r="DRN18" s="87"/>
      <c r="DRO18" s="87"/>
      <c r="DRP18" s="87"/>
      <c r="DRQ18" s="87"/>
      <c r="DRR18" s="87"/>
      <c r="DRS18" s="87"/>
      <c r="DRT18" s="87"/>
      <c r="DRU18" s="87"/>
      <c r="DRV18" s="87"/>
      <c r="DRW18" s="87"/>
      <c r="DRX18" s="87"/>
      <c r="DRY18" s="87"/>
      <c r="DRZ18" s="87"/>
      <c r="DSA18" s="87"/>
      <c r="DSB18" s="87"/>
      <c r="DSC18" s="87"/>
      <c r="DSD18" s="87"/>
      <c r="DSE18" s="87"/>
      <c r="DSF18" s="87"/>
      <c r="DSG18" s="87"/>
      <c r="DSH18" s="87"/>
      <c r="DSI18" s="87"/>
      <c r="DSJ18" s="87"/>
      <c r="DSK18" s="87"/>
      <c r="DSL18" s="87"/>
      <c r="DSM18" s="87"/>
      <c r="DSN18" s="87"/>
      <c r="DSO18" s="87"/>
      <c r="DSP18" s="87"/>
      <c r="DSQ18" s="87"/>
      <c r="DSR18" s="87"/>
      <c r="DSS18" s="87"/>
      <c r="DST18" s="87"/>
      <c r="DSU18" s="87"/>
      <c r="DSV18" s="87"/>
      <c r="DSW18" s="87"/>
      <c r="DSX18" s="87"/>
      <c r="DSY18" s="87"/>
      <c r="DSZ18" s="87"/>
      <c r="DTA18" s="87"/>
      <c r="DTB18" s="87"/>
      <c r="DTC18" s="87"/>
      <c r="DTD18" s="87"/>
      <c r="DTE18" s="87"/>
      <c r="DTF18" s="87"/>
      <c r="DTG18" s="87"/>
      <c r="DTH18" s="87"/>
      <c r="DTI18" s="87"/>
      <c r="DTJ18" s="87"/>
      <c r="DTK18" s="87"/>
      <c r="DTL18" s="87"/>
      <c r="DTM18" s="87"/>
      <c r="DTN18" s="87"/>
      <c r="DTO18" s="87"/>
      <c r="DTP18" s="87"/>
      <c r="DTQ18" s="87"/>
      <c r="DTR18" s="87"/>
      <c r="DTS18" s="87"/>
      <c r="DTT18" s="87"/>
      <c r="DTU18" s="87"/>
      <c r="DTV18" s="87"/>
      <c r="DTW18" s="87"/>
      <c r="DTX18" s="87"/>
      <c r="DTY18" s="87"/>
      <c r="DTZ18" s="87"/>
      <c r="DUA18" s="87"/>
      <c r="DUB18" s="87"/>
      <c r="DUC18" s="87"/>
      <c r="DUD18" s="87"/>
      <c r="DUE18" s="87"/>
      <c r="DUF18" s="87"/>
      <c r="DUG18" s="87"/>
      <c r="DUH18" s="87"/>
      <c r="DUI18" s="87"/>
      <c r="DUJ18" s="87"/>
      <c r="DUK18" s="87"/>
      <c r="DUL18" s="87"/>
      <c r="DUM18" s="87"/>
      <c r="DUN18" s="87"/>
      <c r="DUO18" s="87"/>
      <c r="DUP18" s="87"/>
      <c r="DUQ18" s="87"/>
      <c r="DUR18" s="87"/>
      <c r="DUS18" s="87"/>
      <c r="DUT18" s="87"/>
      <c r="DUU18" s="87"/>
      <c r="DUV18" s="87"/>
      <c r="DUW18" s="87"/>
      <c r="DUX18" s="87"/>
      <c r="DUY18" s="87"/>
      <c r="DUZ18" s="87"/>
      <c r="DVA18" s="87"/>
      <c r="DVB18" s="87"/>
      <c r="DVC18" s="87"/>
      <c r="DVD18" s="87"/>
      <c r="DVE18" s="87"/>
      <c r="DVF18" s="87"/>
      <c r="DVG18" s="87"/>
      <c r="DVH18" s="87"/>
      <c r="DVI18" s="87"/>
      <c r="DVJ18" s="87"/>
      <c r="DVK18" s="87"/>
      <c r="DVL18" s="87"/>
      <c r="DVM18" s="87"/>
      <c r="DVN18" s="87"/>
      <c r="DVO18" s="87"/>
      <c r="DVP18" s="87"/>
      <c r="DVQ18" s="87"/>
      <c r="DVR18" s="87"/>
      <c r="DVS18" s="87"/>
      <c r="DVT18" s="87"/>
      <c r="DVU18" s="87"/>
      <c r="DVV18" s="87"/>
      <c r="DVW18" s="87"/>
      <c r="DVX18" s="87"/>
      <c r="DVY18" s="87"/>
      <c r="DVZ18" s="87"/>
      <c r="DWA18" s="87"/>
      <c r="DWB18" s="87"/>
      <c r="DWC18" s="87"/>
      <c r="DWD18" s="87"/>
      <c r="DWE18" s="87"/>
      <c r="DWF18" s="87"/>
      <c r="DWG18" s="87"/>
      <c r="DWH18" s="87"/>
      <c r="DWI18" s="87"/>
      <c r="DWJ18" s="87"/>
      <c r="DWK18" s="87"/>
      <c r="DWL18" s="87"/>
      <c r="DWM18" s="87"/>
      <c r="DWN18" s="87"/>
      <c r="DWO18" s="87"/>
      <c r="DWP18" s="87"/>
      <c r="DWQ18" s="87"/>
      <c r="DWR18" s="87"/>
      <c r="DWS18" s="87"/>
      <c r="DWT18" s="87"/>
      <c r="DWU18" s="87"/>
      <c r="DWV18" s="87"/>
      <c r="DWW18" s="87"/>
      <c r="DWX18" s="87"/>
      <c r="DWY18" s="87"/>
      <c r="DWZ18" s="87"/>
      <c r="DXA18" s="87"/>
      <c r="DXB18" s="87"/>
      <c r="DXC18" s="87"/>
      <c r="DXD18" s="87"/>
      <c r="DXE18" s="87"/>
      <c r="DXF18" s="87"/>
      <c r="DXG18" s="87"/>
      <c r="DXH18" s="87"/>
      <c r="DXI18" s="87"/>
      <c r="DXJ18" s="87"/>
      <c r="DXK18" s="87"/>
      <c r="DXL18" s="87"/>
      <c r="DXM18" s="87"/>
      <c r="DXN18" s="87"/>
      <c r="DXO18" s="87"/>
      <c r="DXP18" s="87"/>
      <c r="DXQ18" s="87"/>
      <c r="DXR18" s="87"/>
      <c r="DXS18" s="87"/>
      <c r="DXT18" s="87"/>
      <c r="DXU18" s="87"/>
      <c r="DXV18" s="87"/>
      <c r="DXW18" s="87"/>
      <c r="DXX18" s="87"/>
      <c r="DXY18" s="87"/>
      <c r="DXZ18" s="87"/>
      <c r="DYA18" s="87"/>
      <c r="DYB18" s="87"/>
      <c r="DYC18" s="87"/>
      <c r="DYD18" s="87"/>
      <c r="DYE18" s="87"/>
      <c r="DYF18" s="87"/>
      <c r="DYG18" s="87"/>
      <c r="DYH18" s="87"/>
      <c r="DYI18" s="87"/>
      <c r="DYJ18" s="87"/>
      <c r="DYK18" s="87"/>
      <c r="DYL18" s="87"/>
      <c r="DYM18" s="87"/>
      <c r="DYN18" s="87"/>
      <c r="DYO18" s="87"/>
      <c r="DYP18" s="87"/>
      <c r="DYQ18" s="87"/>
      <c r="DYR18" s="87"/>
      <c r="DYS18" s="87"/>
      <c r="DYT18" s="87"/>
      <c r="DYU18" s="87"/>
      <c r="DYV18" s="87"/>
      <c r="DYW18" s="87"/>
      <c r="DYX18" s="87"/>
      <c r="DYY18" s="87"/>
      <c r="DYZ18" s="87"/>
      <c r="DZA18" s="87"/>
      <c r="DZB18" s="87"/>
      <c r="DZC18" s="87"/>
      <c r="DZD18" s="87"/>
      <c r="DZE18" s="87"/>
      <c r="DZF18" s="87"/>
      <c r="DZG18" s="87"/>
      <c r="DZH18" s="87"/>
      <c r="DZI18" s="87"/>
      <c r="DZJ18" s="87"/>
      <c r="DZK18" s="87"/>
      <c r="DZL18" s="87"/>
      <c r="DZM18" s="87"/>
      <c r="DZN18" s="87"/>
      <c r="DZO18" s="87"/>
      <c r="DZP18" s="87"/>
      <c r="DZQ18" s="87"/>
      <c r="DZR18" s="87"/>
      <c r="DZS18" s="87"/>
      <c r="DZT18" s="87"/>
      <c r="DZU18" s="87"/>
      <c r="DZV18" s="87"/>
      <c r="DZW18" s="87"/>
      <c r="DZX18" s="87"/>
      <c r="DZY18" s="87"/>
      <c r="DZZ18" s="87"/>
      <c r="EAA18" s="87"/>
      <c r="EAB18" s="87"/>
      <c r="EAC18" s="87"/>
      <c r="EAD18" s="87"/>
      <c r="EAE18" s="87"/>
      <c r="EAF18" s="87"/>
      <c r="EAG18" s="87"/>
      <c r="EAH18" s="87"/>
      <c r="EAI18" s="87"/>
      <c r="EAJ18" s="87"/>
      <c r="EAK18" s="87"/>
      <c r="EAL18" s="87"/>
      <c r="EAM18" s="87"/>
      <c r="EAN18" s="87"/>
      <c r="EAO18" s="87"/>
      <c r="EAP18" s="87"/>
      <c r="EAQ18" s="87"/>
      <c r="EAR18" s="87"/>
      <c r="EAS18" s="87"/>
      <c r="EAT18" s="87"/>
      <c r="EAU18" s="87"/>
      <c r="EAV18" s="87"/>
      <c r="EAW18" s="87"/>
      <c r="EAX18" s="87"/>
      <c r="EAY18" s="87"/>
      <c r="EAZ18" s="87"/>
      <c r="EBA18" s="87"/>
      <c r="EBB18" s="87"/>
      <c r="EBC18" s="87"/>
      <c r="EBD18" s="87"/>
      <c r="EBE18" s="87"/>
      <c r="EBF18" s="87"/>
      <c r="EBG18" s="87"/>
      <c r="EBH18" s="87"/>
      <c r="EBI18" s="87"/>
      <c r="EBJ18" s="87"/>
      <c r="EBK18" s="87"/>
      <c r="EBL18" s="87"/>
      <c r="EBM18" s="87"/>
      <c r="EBN18" s="87"/>
      <c r="EBO18" s="87"/>
      <c r="EBP18" s="87"/>
      <c r="EBQ18" s="87"/>
      <c r="EBR18" s="87"/>
      <c r="EBS18" s="87"/>
      <c r="EBT18" s="87"/>
      <c r="EBU18" s="87"/>
      <c r="EBV18" s="87"/>
      <c r="EBW18" s="87"/>
      <c r="EBX18" s="87"/>
      <c r="EBY18" s="87"/>
      <c r="EBZ18" s="87"/>
      <c r="ECA18" s="87"/>
      <c r="ECB18" s="87"/>
      <c r="ECC18" s="87"/>
      <c r="ECD18" s="87"/>
      <c r="ECE18" s="87"/>
      <c r="ECF18" s="87"/>
      <c r="ECG18" s="87"/>
      <c r="ECH18" s="87"/>
      <c r="ECI18" s="87"/>
      <c r="ECJ18" s="87"/>
      <c r="ECK18" s="87"/>
      <c r="ECL18" s="87"/>
      <c r="ECM18" s="87"/>
      <c r="ECN18" s="87"/>
      <c r="ECO18" s="87"/>
      <c r="ECP18" s="87"/>
      <c r="ECQ18" s="87"/>
      <c r="ECR18" s="87"/>
      <c r="ECS18" s="87"/>
      <c r="ECT18" s="87"/>
      <c r="ECU18" s="87"/>
      <c r="ECV18" s="87"/>
      <c r="ECW18" s="87"/>
      <c r="ECX18" s="87"/>
      <c r="ECY18" s="87"/>
      <c r="ECZ18" s="87"/>
      <c r="EDA18" s="87"/>
      <c r="EDB18" s="87"/>
      <c r="EDC18" s="87"/>
      <c r="EDD18" s="87"/>
      <c r="EDE18" s="87"/>
      <c r="EDF18" s="87"/>
      <c r="EDG18" s="87"/>
      <c r="EDH18" s="87"/>
      <c r="EDI18" s="87"/>
      <c r="EDJ18" s="87"/>
      <c r="EDK18" s="87"/>
      <c r="EDL18" s="87"/>
      <c r="EDM18" s="87"/>
      <c r="EDN18" s="87"/>
      <c r="EDO18" s="87"/>
      <c r="EDP18" s="87"/>
      <c r="EDQ18" s="87"/>
      <c r="EDR18" s="87"/>
      <c r="EDS18" s="87"/>
      <c r="EDT18" s="87"/>
      <c r="EDU18" s="87"/>
      <c r="EDV18" s="87"/>
      <c r="EDW18" s="87"/>
      <c r="EDX18" s="87"/>
      <c r="EDY18" s="87"/>
      <c r="EDZ18" s="87"/>
      <c r="EEA18" s="87"/>
      <c r="EEB18" s="87"/>
      <c r="EEC18" s="87"/>
      <c r="EED18" s="87"/>
      <c r="EEE18" s="87"/>
      <c r="EEF18" s="87"/>
      <c r="EEG18" s="87"/>
      <c r="EEH18" s="87"/>
      <c r="EEI18" s="87"/>
      <c r="EEJ18" s="87"/>
      <c r="EEK18" s="87"/>
      <c r="EEL18" s="87"/>
      <c r="EEM18" s="87"/>
      <c r="EEN18" s="87"/>
      <c r="EEO18" s="87"/>
      <c r="EEP18" s="87"/>
      <c r="EEQ18" s="87"/>
      <c r="EER18" s="87"/>
      <c r="EES18" s="87"/>
      <c r="EET18" s="87"/>
      <c r="EEU18" s="87"/>
      <c r="EEV18" s="87"/>
      <c r="EEW18" s="87"/>
      <c r="EEX18" s="87"/>
      <c r="EEY18" s="87"/>
      <c r="EEZ18" s="87"/>
      <c r="EFA18" s="87"/>
      <c r="EFB18" s="87"/>
      <c r="EFC18" s="87"/>
      <c r="EFD18" s="87"/>
      <c r="EFE18" s="87"/>
      <c r="EFF18" s="87"/>
      <c r="EFG18" s="87"/>
      <c r="EFH18" s="87"/>
      <c r="EFI18" s="87"/>
      <c r="EFJ18" s="87"/>
      <c r="EFK18" s="87"/>
      <c r="EFL18" s="87"/>
      <c r="EFM18" s="87"/>
      <c r="EFN18" s="87"/>
      <c r="EFO18" s="87"/>
      <c r="EFP18" s="87"/>
      <c r="EFQ18" s="87"/>
      <c r="EFR18" s="87"/>
      <c r="EFS18" s="87"/>
      <c r="EFT18" s="87"/>
      <c r="EFU18" s="87"/>
      <c r="EFV18" s="87"/>
      <c r="EFW18" s="87"/>
      <c r="EFX18" s="87"/>
      <c r="EFY18" s="87"/>
      <c r="EFZ18" s="87"/>
      <c r="EGA18" s="87"/>
      <c r="EGB18" s="87"/>
      <c r="EGC18" s="87"/>
      <c r="EGD18" s="87"/>
      <c r="EGE18" s="87"/>
      <c r="EGF18" s="87"/>
      <c r="EGG18" s="87"/>
      <c r="EGH18" s="87"/>
      <c r="EGI18" s="87"/>
      <c r="EGJ18" s="87"/>
      <c r="EGK18" s="87"/>
      <c r="EGL18" s="87"/>
      <c r="EGM18" s="87"/>
      <c r="EGN18" s="87"/>
      <c r="EGO18" s="87"/>
      <c r="EGP18" s="87"/>
      <c r="EGQ18" s="87"/>
      <c r="EGR18" s="87"/>
      <c r="EGS18" s="87"/>
      <c r="EGT18" s="87"/>
      <c r="EGU18" s="87"/>
      <c r="EGV18" s="87"/>
      <c r="EGW18" s="87"/>
      <c r="EGX18" s="87"/>
      <c r="EGY18" s="87"/>
      <c r="EGZ18" s="87"/>
      <c r="EHA18" s="87"/>
      <c r="EHB18" s="87"/>
      <c r="EHC18" s="87"/>
      <c r="EHD18" s="87"/>
      <c r="EHE18" s="87"/>
      <c r="EHF18" s="87"/>
      <c r="EHG18" s="87"/>
      <c r="EHH18" s="87"/>
      <c r="EHI18" s="87"/>
      <c r="EHJ18" s="87"/>
      <c r="EHK18" s="87"/>
      <c r="EHL18" s="87"/>
      <c r="EHM18" s="87"/>
      <c r="EHN18" s="87"/>
      <c r="EHO18" s="87"/>
      <c r="EHP18" s="87"/>
      <c r="EHQ18" s="87"/>
      <c r="EHR18" s="87"/>
      <c r="EHS18" s="87"/>
      <c r="EHT18" s="87"/>
      <c r="EHU18" s="87"/>
      <c r="EHV18" s="87"/>
      <c r="EHW18" s="87"/>
      <c r="EHX18" s="87"/>
      <c r="EHY18" s="87"/>
      <c r="EHZ18" s="87"/>
      <c r="EIA18" s="87"/>
      <c r="EIB18" s="87"/>
      <c r="EIC18" s="87"/>
      <c r="EID18" s="87"/>
      <c r="EIE18" s="87"/>
      <c r="EIF18" s="87"/>
      <c r="EIG18" s="87"/>
      <c r="EIH18" s="87"/>
      <c r="EII18" s="87"/>
      <c r="EIJ18" s="87"/>
      <c r="EIK18" s="87"/>
      <c r="EIL18" s="87"/>
      <c r="EIM18" s="87"/>
      <c r="EIN18" s="87"/>
      <c r="EIO18" s="87"/>
      <c r="EIP18" s="87"/>
      <c r="EIQ18" s="87"/>
      <c r="EIR18" s="87"/>
      <c r="EIS18" s="87"/>
      <c r="EIT18" s="87"/>
      <c r="EIU18" s="87"/>
      <c r="EIV18" s="87"/>
      <c r="EIW18" s="87"/>
      <c r="EIX18" s="87"/>
      <c r="EIY18" s="87"/>
      <c r="EIZ18" s="87"/>
      <c r="EJA18" s="87"/>
      <c r="EJB18" s="87"/>
      <c r="EJC18" s="87"/>
      <c r="EJD18" s="87"/>
      <c r="EJE18" s="87"/>
      <c r="EJF18" s="87"/>
      <c r="EJG18" s="87"/>
      <c r="EJH18" s="87"/>
      <c r="EJI18" s="87"/>
      <c r="EJJ18" s="87"/>
      <c r="EJK18" s="87"/>
      <c r="EJL18" s="87"/>
      <c r="EJM18" s="87"/>
      <c r="EJN18" s="87"/>
      <c r="EJO18" s="87"/>
      <c r="EJP18" s="87"/>
      <c r="EJQ18" s="87"/>
      <c r="EJR18" s="87"/>
      <c r="EJS18" s="87"/>
      <c r="EJT18" s="87"/>
      <c r="EJU18" s="87"/>
      <c r="EJV18" s="87"/>
      <c r="EJW18" s="87"/>
      <c r="EJX18" s="87"/>
      <c r="EJY18" s="87"/>
      <c r="EJZ18" s="87"/>
      <c r="EKA18" s="87"/>
      <c r="EKB18" s="87"/>
      <c r="EKC18" s="87"/>
      <c r="EKD18" s="87"/>
      <c r="EKE18" s="87"/>
      <c r="EKF18" s="87"/>
      <c r="EKG18" s="87"/>
      <c r="EKH18" s="87"/>
      <c r="EKI18" s="87"/>
      <c r="EKJ18" s="87"/>
      <c r="EKK18" s="87"/>
      <c r="EKL18" s="87"/>
      <c r="EKM18" s="87"/>
      <c r="EKN18" s="87"/>
      <c r="EKO18" s="87"/>
      <c r="EKP18" s="87"/>
      <c r="EKQ18" s="87"/>
      <c r="EKR18" s="87"/>
      <c r="EKS18" s="87"/>
      <c r="EKT18" s="87"/>
      <c r="EKU18" s="87"/>
      <c r="EKV18" s="87"/>
      <c r="EKW18" s="87"/>
      <c r="EKX18" s="87"/>
      <c r="EKY18" s="87"/>
      <c r="EKZ18" s="87"/>
      <c r="ELA18" s="87"/>
      <c r="ELB18" s="87"/>
      <c r="ELC18" s="87"/>
      <c r="ELD18" s="87"/>
      <c r="ELE18" s="87"/>
      <c r="ELF18" s="87"/>
      <c r="ELG18" s="87"/>
      <c r="ELH18" s="87"/>
      <c r="ELI18" s="87"/>
      <c r="ELJ18" s="87"/>
      <c r="ELK18" s="87"/>
      <c r="ELL18" s="87"/>
      <c r="ELM18" s="87"/>
      <c r="ELN18" s="87"/>
      <c r="ELO18" s="87"/>
      <c r="ELP18" s="87"/>
      <c r="ELQ18" s="87"/>
      <c r="ELR18" s="87"/>
      <c r="ELS18" s="87"/>
      <c r="ELT18" s="87"/>
      <c r="ELU18" s="87"/>
      <c r="ELV18" s="87"/>
      <c r="ELW18" s="87"/>
      <c r="ELX18" s="87"/>
      <c r="ELY18" s="87"/>
      <c r="ELZ18" s="87"/>
      <c r="EMA18" s="87"/>
      <c r="EMB18" s="87"/>
      <c r="EMC18" s="87"/>
      <c r="EMD18" s="87"/>
      <c r="EME18" s="87"/>
      <c r="EMF18" s="87"/>
      <c r="EMG18" s="87"/>
      <c r="EMH18" s="87"/>
      <c r="EMI18" s="87"/>
      <c r="EMJ18" s="87"/>
      <c r="EMK18" s="87"/>
      <c r="EML18" s="87"/>
      <c r="EMM18" s="87"/>
      <c r="EMN18" s="87"/>
      <c r="EMO18" s="87"/>
      <c r="EMP18" s="87"/>
      <c r="EMQ18" s="87"/>
      <c r="EMR18" s="87"/>
      <c r="EMS18" s="87"/>
      <c r="EMT18" s="87"/>
      <c r="EMU18" s="87"/>
      <c r="EMV18" s="87"/>
      <c r="EMW18" s="87"/>
      <c r="EMX18" s="87"/>
      <c r="EMY18" s="87"/>
      <c r="EMZ18" s="87"/>
      <c r="ENA18" s="87"/>
      <c r="ENB18" s="87"/>
      <c r="ENC18" s="87"/>
      <c r="END18" s="87"/>
      <c r="ENE18" s="87"/>
      <c r="ENF18" s="87"/>
      <c r="ENG18" s="87"/>
      <c r="ENH18" s="87"/>
      <c r="ENI18" s="87"/>
      <c r="ENJ18" s="87"/>
      <c r="ENK18" s="87"/>
      <c r="ENL18" s="87"/>
      <c r="ENM18" s="87"/>
      <c r="ENN18" s="87"/>
      <c r="ENO18" s="87"/>
      <c r="ENP18" s="87"/>
      <c r="ENQ18" s="87"/>
      <c r="ENR18" s="87"/>
      <c r="ENS18" s="87"/>
      <c r="ENT18" s="87"/>
      <c r="ENU18" s="87"/>
      <c r="ENV18" s="87"/>
      <c r="ENW18" s="87"/>
      <c r="ENX18" s="87"/>
      <c r="ENY18" s="87"/>
      <c r="ENZ18" s="87"/>
      <c r="EOA18" s="87"/>
      <c r="EOB18" s="87"/>
      <c r="EOC18" s="87"/>
      <c r="EOD18" s="87"/>
      <c r="EOE18" s="87"/>
      <c r="EOF18" s="87"/>
      <c r="EOG18" s="87"/>
      <c r="EOH18" s="87"/>
      <c r="EOI18" s="87"/>
      <c r="EOJ18" s="87"/>
      <c r="EOK18" s="87"/>
      <c r="EOL18" s="87"/>
      <c r="EOM18" s="87"/>
      <c r="EON18" s="87"/>
      <c r="EOO18" s="87"/>
      <c r="EOP18" s="87"/>
      <c r="EOQ18" s="87"/>
      <c r="EOR18" s="87"/>
      <c r="EOS18" s="87"/>
      <c r="EOT18" s="87"/>
      <c r="EOU18" s="87"/>
      <c r="EOV18" s="87"/>
      <c r="EOW18" s="87"/>
      <c r="EOX18" s="87"/>
      <c r="EOY18" s="87"/>
      <c r="EOZ18" s="87"/>
      <c r="EPA18" s="87"/>
      <c r="EPB18" s="87"/>
      <c r="EPC18" s="87"/>
      <c r="EPD18" s="87"/>
      <c r="EPE18" s="87"/>
      <c r="EPF18" s="87"/>
      <c r="EPG18" s="87"/>
      <c r="EPH18" s="87"/>
      <c r="EPI18" s="87"/>
      <c r="EPJ18" s="87"/>
      <c r="EPK18" s="87"/>
      <c r="EPL18" s="87"/>
      <c r="EPM18" s="87"/>
      <c r="EPN18" s="87"/>
      <c r="EPO18" s="87"/>
      <c r="EPP18" s="87"/>
      <c r="EPQ18" s="87"/>
      <c r="EPR18" s="87"/>
      <c r="EPS18" s="87"/>
      <c r="EPT18" s="87"/>
      <c r="EPU18" s="87"/>
      <c r="EPV18" s="87"/>
      <c r="EPW18" s="87"/>
      <c r="EPX18" s="87"/>
      <c r="EPY18" s="87"/>
      <c r="EPZ18" s="87"/>
      <c r="EQA18" s="87"/>
      <c r="EQB18" s="87"/>
      <c r="EQC18" s="87"/>
      <c r="EQD18" s="87"/>
      <c r="EQE18" s="87"/>
      <c r="EQF18" s="87"/>
      <c r="EQG18" s="87"/>
      <c r="EQH18" s="87"/>
      <c r="EQI18" s="87"/>
      <c r="EQJ18" s="87"/>
      <c r="EQK18" s="87"/>
      <c r="EQL18" s="87"/>
      <c r="EQM18" s="87"/>
      <c r="EQN18" s="87"/>
      <c r="EQO18" s="87"/>
      <c r="EQP18" s="87"/>
      <c r="EQQ18" s="87"/>
      <c r="EQR18" s="87"/>
      <c r="EQS18" s="87"/>
      <c r="EQT18" s="87"/>
      <c r="EQU18" s="87"/>
      <c r="EQV18" s="87"/>
      <c r="EQW18" s="87"/>
      <c r="EQX18" s="87"/>
      <c r="EQY18" s="87"/>
      <c r="EQZ18" s="87"/>
      <c r="ERA18" s="87"/>
      <c r="ERB18" s="87"/>
      <c r="ERC18" s="87"/>
      <c r="ERD18" s="87"/>
      <c r="ERE18" s="87"/>
      <c r="ERF18" s="87"/>
      <c r="ERG18" s="87"/>
      <c r="ERH18" s="87"/>
      <c r="ERI18" s="87"/>
      <c r="ERJ18" s="87"/>
      <c r="ERK18" s="87"/>
      <c r="ERL18" s="87"/>
      <c r="ERM18" s="87"/>
      <c r="ERN18" s="87"/>
      <c r="ERO18" s="87"/>
      <c r="ERP18" s="87"/>
      <c r="ERQ18" s="87"/>
      <c r="ERR18" s="87"/>
      <c r="ERS18" s="87"/>
      <c r="ERT18" s="87"/>
      <c r="ERU18" s="87"/>
      <c r="ERV18" s="87"/>
      <c r="ERW18" s="87"/>
      <c r="ERX18" s="87"/>
      <c r="ERY18" s="87"/>
      <c r="ERZ18" s="87"/>
      <c r="ESA18" s="87"/>
      <c r="ESB18" s="87"/>
      <c r="ESC18" s="87"/>
      <c r="ESD18" s="87"/>
      <c r="ESE18" s="87"/>
      <c r="ESF18" s="87"/>
      <c r="ESG18" s="87"/>
      <c r="ESH18" s="87"/>
      <c r="ESI18" s="87"/>
      <c r="ESJ18" s="87"/>
      <c r="ESK18" s="87"/>
      <c r="ESL18" s="87"/>
      <c r="ESM18" s="87"/>
      <c r="ESN18" s="87"/>
      <c r="ESO18" s="87"/>
      <c r="ESP18" s="87"/>
      <c r="ESQ18" s="87"/>
      <c r="ESR18" s="87"/>
      <c r="ESS18" s="87"/>
      <c r="EST18" s="87"/>
      <c r="ESU18" s="87"/>
      <c r="ESV18" s="87"/>
      <c r="ESW18" s="87"/>
      <c r="ESX18" s="87"/>
      <c r="ESY18" s="87"/>
      <c r="ESZ18" s="87"/>
      <c r="ETA18" s="87"/>
      <c r="ETB18" s="87"/>
      <c r="ETC18" s="87"/>
      <c r="ETD18" s="87"/>
      <c r="ETE18" s="87"/>
      <c r="ETF18" s="87"/>
      <c r="ETG18" s="87"/>
      <c r="ETH18" s="87"/>
      <c r="ETI18" s="87"/>
      <c r="ETJ18" s="87"/>
      <c r="ETK18" s="87"/>
      <c r="ETL18" s="87"/>
      <c r="ETM18" s="87"/>
      <c r="ETN18" s="87"/>
      <c r="ETO18" s="87"/>
      <c r="ETP18" s="87"/>
      <c r="ETQ18" s="87"/>
      <c r="ETR18" s="87"/>
      <c r="ETS18" s="87"/>
      <c r="ETT18" s="87"/>
      <c r="ETU18" s="87"/>
      <c r="ETV18" s="87"/>
      <c r="ETW18" s="87"/>
      <c r="ETX18" s="87"/>
      <c r="ETY18" s="87"/>
      <c r="ETZ18" s="87"/>
      <c r="EUA18" s="87"/>
      <c r="EUB18" s="87"/>
      <c r="EUC18" s="87"/>
      <c r="EUD18" s="87"/>
      <c r="EUE18" s="87"/>
      <c r="EUF18" s="87"/>
      <c r="EUG18" s="87"/>
      <c r="EUH18" s="87"/>
      <c r="EUI18" s="87"/>
      <c r="EUJ18" s="87"/>
      <c r="EUK18" s="87"/>
      <c r="EUL18" s="87"/>
      <c r="EUM18" s="87"/>
      <c r="EUN18" s="87"/>
      <c r="EUO18" s="87"/>
      <c r="EUP18" s="87"/>
      <c r="EUQ18" s="87"/>
      <c r="EUR18" s="87"/>
      <c r="EUS18" s="87"/>
      <c r="EUT18" s="87"/>
      <c r="EUU18" s="87"/>
      <c r="EUV18" s="87"/>
      <c r="EUW18" s="87"/>
      <c r="EUX18" s="87"/>
      <c r="EUY18" s="87"/>
      <c r="EUZ18" s="87"/>
      <c r="EVA18" s="87"/>
      <c r="EVB18" s="87"/>
      <c r="EVC18" s="87"/>
      <c r="EVD18" s="87"/>
      <c r="EVE18" s="87"/>
      <c r="EVF18" s="87"/>
      <c r="EVG18" s="87"/>
      <c r="EVH18" s="87"/>
      <c r="EVI18" s="87"/>
      <c r="EVJ18" s="87"/>
      <c r="EVK18" s="87"/>
      <c r="EVL18" s="87"/>
      <c r="EVM18" s="87"/>
      <c r="EVN18" s="87"/>
      <c r="EVO18" s="87"/>
      <c r="EVP18" s="87"/>
      <c r="EVQ18" s="87"/>
      <c r="EVR18" s="87"/>
      <c r="EVS18" s="87"/>
      <c r="EVT18" s="87"/>
      <c r="EVU18" s="87"/>
      <c r="EVV18" s="87"/>
      <c r="EVW18" s="87"/>
      <c r="EVX18" s="87"/>
      <c r="EVY18" s="87"/>
      <c r="EVZ18" s="87"/>
      <c r="EWA18" s="87"/>
      <c r="EWB18" s="87"/>
      <c r="EWC18" s="87"/>
      <c r="EWD18" s="87"/>
      <c r="EWE18" s="87"/>
      <c r="EWF18" s="87"/>
      <c r="EWG18" s="87"/>
      <c r="EWH18" s="87"/>
      <c r="EWI18" s="87"/>
      <c r="EWJ18" s="87"/>
      <c r="EWK18" s="87"/>
      <c r="EWL18" s="87"/>
      <c r="EWM18" s="87"/>
      <c r="EWN18" s="87"/>
      <c r="EWO18" s="87"/>
      <c r="EWP18" s="87"/>
      <c r="EWQ18" s="87"/>
      <c r="EWR18" s="87"/>
      <c r="EWS18" s="87"/>
      <c r="EWT18" s="87"/>
      <c r="EWU18" s="87"/>
      <c r="EWV18" s="87"/>
      <c r="EWW18" s="87"/>
      <c r="EWX18" s="87"/>
      <c r="EWY18" s="87"/>
      <c r="EWZ18" s="87"/>
      <c r="EXA18" s="87"/>
      <c r="EXB18" s="87"/>
      <c r="EXC18" s="87"/>
      <c r="EXD18" s="87"/>
      <c r="EXE18" s="87"/>
      <c r="EXF18" s="87"/>
      <c r="EXG18" s="87"/>
      <c r="EXH18" s="87"/>
      <c r="EXI18" s="87"/>
      <c r="EXJ18" s="87"/>
      <c r="EXK18" s="87"/>
      <c r="EXL18" s="87"/>
      <c r="EXM18" s="87"/>
      <c r="EXN18" s="87"/>
      <c r="EXO18" s="87"/>
      <c r="EXP18" s="87"/>
      <c r="EXQ18" s="87"/>
      <c r="EXR18" s="87"/>
      <c r="EXS18" s="87"/>
      <c r="EXT18" s="87"/>
      <c r="EXU18" s="87"/>
      <c r="EXV18" s="87"/>
      <c r="EXW18" s="87"/>
      <c r="EXX18" s="87"/>
      <c r="EXY18" s="87"/>
      <c r="EXZ18" s="87"/>
      <c r="EYA18" s="87"/>
      <c r="EYB18" s="87"/>
      <c r="EYC18" s="87"/>
      <c r="EYD18" s="87"/>
      <c r="EYE18" s="87"/>
      <c r="EYF18" s="87"/>
      <c r="EYG18" s="87"/>
      <c r="EYH18" s="87"/>
      <c r="EYI18" s="87"/>
      <c r="EYJ18" s="87"/>
      <c r="EYK18" s="87"/>
      <c r="EYL18" s="87"/>
      <c r="EYM18" s="87"/>
      <c r="EYN18" s="87"/>
      <c r="EYO18" s="87"/>
      <c r="EYP18" s="87"/>
      <c r="EYQ18" s="87"/>
      <c r="EYR18" s="87"/>
      <c r="EYS18" s="87"/>
      <c r="EYT18" s="87"/>
      <c r="EYU18" s="87"/>
      <c r="EYV18" s="87"/>
      <c r="EYW18" s="87"/>
      <c r="EYX18" s="87"/>
      <c r="EYY18" s="87"/>
      <c r="EYZ18" s="87"/>
      <c r="EZA18" s="87"/>
      <c r="EZB18" s="87"/>
      <c r="EZC18" s="87"/>
      <c r="EZD18" s="87"/>
      <c r="EZE18" s="87"/>
      <c r="EZF18" s="87"/>
      <c r="EZG18" s="87"/>
      <c r="EZH18" s="87"/>
      <c r="EZI18" s="87"/>
      <c r="EZJ18" s="87"/>
      <c r="EZK18" s="87"/>
      <c r="EZL18" s="87"/>
      <c r="EZM18" s="87"/>
      <c r="EZN18" s="87"/>
      <c r="EZO18" s="87"/>
      <c r="EZP18" s="87"/>
      <c r="EZQ18" s="87"/>
      <c r="EZR18" s="87"/>
      <c r="EZS18" s="87"/>
      <c r="EZT18" s="87"/>
      <c r="EZU18" s="87"/>
      <c r="EZV18" s="87"/>
      <c r="EZW18" s="87"/>
      <c r="EZX18" s="87"/>
      <c r="EZY18" s="87"/>
      <c r="EZZ18" s="87"/>
      <c r="FAA18" s="87"/>
      <c r="FAB18" s="87"/>
      <c r="FAC18" s="87"/>
      <c r="FAD18" s="87"/>
      <c r="FAE18" s="87"/>
      <c r="FAF18" s="87"/>
      <c r="FAG18" s="87"/>
      <c r="FAH18" s="87"/>
      <c r="FAI18" s="87"/>
      <c r="FAJ18" s="87"/>
      <c r="FAK18" s="87"/>
      <c r="FAL18" s="87"/>
      <c r="FAM18" s="87"/>
      <c r="FAN18" s="87"/>
      <c r="FAO18" s="87"/>
      <c r="FAP18" s="87"/>
      <c r="FAQ18" s="87"/>
      <c r="FAR18" s="87"/>
      <c r="FAS18" s="87"/>
      <c r="FAT18" s="87"/>
      <c r="FAU18" s="87"/>
      <c r="FAV18" s="87"/>
      <c r="FAW18" s="87"/>
      <c r="FAX18" s="87"/>
      <c r="FAY18" s="87"/>
      <c r="FAZ18" s="87"/>
      <c r="FBA18" s="87"/>
      <c r="FBB18" s="87"/>
      <c r="FBC18" s="87"/>
      <c r="FBD18" s="87"/>
      <c r="FBE18" s="87"/>
      <c r="FBF18" s="87"/>
      <c r="FBG18" s="87"/>
      <c r="FBH18" s="87"/>
      <c r="FBI18" s="87"/>
      <c r="FBJ18" s="87"/>
      <c r="FBK18" s="87"/>
      <c r="FBL18" s="87"/>
      <c r="FBM18" s="87"/>
      <c r="FBN18" s="87"/>
      <c r="FBO18" s="87"/>
      <c r="FBP18" s="87"/>
      <c r="FBQ18" s="87"/>
      <c r="FBR18" s="87"/>
      <c r="FBS18" s="87"/>
      <c r="FBT18" s="87"/>
      <c r="FBU18" s="87"/>
      <c r="FBV18" s="87"/>
      <c r="FBW18" s="87"/>
      <c r="FBX18" s="87"/>
      <c r="FBY18" s="87"/>
      <c r="FBZ18" s="87"/>
      <c r="FCA18" s="87"/>
      <c r="FCB18" s="87"/>
      <c r="FCC18" s="87"/>
      <c r="FCD18" s="87"/>
      <c r="FCE18" s="87"/>
      <c r="FCF18" s="87"/>
      <c r="FCG18" s="87"/>
      <c r="FCH18" s="87"/>
      <c r="FCI18" s="87"/>
      <c r="FCJ18" s="87"/>
      <c r="FCK18" s="87"/>
      <c r="FCL18" s="87"/>
      <c r="FCM18" s="87"/>
      <c r="FCN18" s="87"/>
      <c r="FCO18" s="87"/>
      <c r="FCP18" s="87"/>
      <c r="FCQ18" s="87"/>
      <c r="FCR18" s="87"/>
      <c r="FCS18" s="87"/>
      <c r="FCT18" s="87"/>
      <c r="FCU18" s="87"/>
      <c r="FCV18" s="87"/>
      <c r="FCW18" s="87"/>
      <c r="FCX18" s="87"/>
      <c r="FCY18" s="87"/>
      <c r="FCZ18" s="87"/>
      <c r="FDA18" s="87"/>
      <c r="FDB18" s="87"/>
      <c r="FDC18" s="87"/>
      <c r="FDD18" s="87"/>
      <c r="FDE18" s="87"/>
      <c r="FDF18" s="87"/>
      <c r="FDG18" s="87"/>
      <c r="FDH18" s="87"/>
      <c r="FDI18" s="87"/>
      <c r="FDJ18" s="87"/>
      <c r="FDK18" s="87"/>
      <c r="FDL18" s="87"/>
      <c r="FDM18" s="87"/>
      <c r="FDN18" s="87"/>
      <c r="FDO18" s="87"/>
      <c r="FDP18" s="87"/>
      <c r="FDQ18" s="87"/>
      <c r="FDR18" s="87"/>
      <c r="FDS18" s="87"/>
      <c r="FDT18" s="87"/>
      <c r="FDU18" s="87"/>
      <c r="FDV18" s="87"/>
      <c r="FDW18" s="87"/>
      <c r="FDX18" s="87"/>
      <c r="FDY18" s="87"/>
      <c r="FDZ18" s="87"/>
      <c r="FEA18" s="87"/>
      <c r="FEB18" s="87"/>
      <c r="FEC18" s="87"/>
      <c r="FED18" s="87"/>
      <c r="FEE18" s="87"/>
      <c r="FEF18" s="87"/>
      <c r="FEG18" s="87"/>
      <c r="FEH18" s="87"/>
      <c r="FEI18" s="87"/>
      <c r="FEJ18" s="87"/>
      <c r="FEK18" s="87"/>
      <c r="FEL18" s="87"/>
      <c r="FEM18" s="87"/>
      <c r="FEN18" s="87"/>
      <c r="FEO18" s="87"/>
      <c r="FEP18" s="87"/>
      <c r="FEQ18" s="87"/>
      <c r="FER18" s="87"/>
      <c r="FES18" s="87"/>
      <c r="FET18" s="87"/>
      <c r="FEU18" s="87"/>
      <c r="FEV18" s="87"/>
      <c r="FEW18" s="87"/>
      <c r="FEX18" s="87"/>
      <c r="FEY18" s="87"/>
      <c r="FEZ18" s="87"/>
      <c r="FFA18" s="87"/>
      <c r="FFB18" s="87"/>
      <c r="FFC18" s="87"/>
      <c r="FFD18" s="87"/>
      <c r="FFE18" s="87"/>
      <c r="FFF18" s="87"/>
      <c r="FFG18" s="87"/>
      <c r="FFH18" s="87"/>
      <c r="FFI18" s="87"/>
      <c r="FFJ18" s="87"/>
      <c r="FFK18" s="87"/>
      <c r="FFL18" s="87"/>
      <c r="FFM18" s="87"/>
      <c r="FFN18" s="87"/>
      <c r="FFO18" s="87"/>
      <c r="FFP18" s="87"/>
      <c r="FFQ18" s="87"/>
      <c r="FFR18" s="87"/>
      <c r="FFS18" s="87"/>
      <c r="FFT18" s="87"/>
      <c r="FFU18" s="87"/>
      <c r="FFV18" s="87"/>
      <c r="FFW18" s="87"/>
      <c r="FFX18" s="87"/>
      <c r="FFY18" s="87"/>
      <c r="FFZ18" s="87"/>
      <c r="FGA18" s="87"/>
      <c r="FGB18" s="87"/>
      <c r="FGC18" s="87"/>
      <c r="FGD18" s="87"/>
      <c r="FGE18" s="87"/>
      <c r="FGF18" s="87"/>
      <c r="FGG18" s="87"/>
      <c r="FGH18" s="87"/>
      <c r="FGI18" s="87"/>
      <c r="FGJ18" s="87"/>
      <c r="FGK18" s="87"/>
      <c r="FGL18" s="87"/>
      <c r="FGM18" s="87"/>
      <c r="FGN18" s="87"/>
      <c r="FGO18" s="87"/>
      <c r="FGP18" s="87"/>
      <c r="FGQ18" s="87"/>
      <c r="FGR18" s="87"/>
      <c r="FGS18" s="87"/>
      <c r="FGT18" s="87"/>
      <c r="FGU18" s="87"/>
      <c r="FGV18" s="87"/>
      <c r="FGW18" s="87"/>
      <c r="FGX18" s="87"/>
      <c r="FGY18" s="87"/>
      <c r="FGZ18" s="87"/>
      <c r="FHA18" s="87"/>
      <c r="FHB18" s="87"/>
      <c r="FHC18" s="87"/>
      <c r="FHD18" s="87"/>
      <c r="FHE18" s="87"/>
      <c r="FHF18" s="87"/>
      <c r="FHG18" s="87"/>
      <c r="FHH18" s="87"/>
      <c r="FHI18" s="87"/>
      <c r="FHJ18" s="87"/>
      <c r="FHK18" s="87"/>
      <c r="FHL18" s="87"/>
      <c r="FHM18" s="87"/>
      <c r="FHN18" s="87"/>
      <c r="FHO18" s="87"/>
      <c r="FHP18" s="87"/>
      <c r="FHQ18" s="87"/>
      <c r="FHR18" s="87"/>
      <c r="FHS18" s="87"/>
      <c r="FHT18" s="87"/>
      <c r="FHU18" s="87"/>
      <c r="FHV18" s="87"/>
      <c r="FHW18" s="87"/>
      <c r="FHX18" s="87"/>
      <c r="FHY18" s="87"/>
      <c r="FHZ18" s="87"/>
      <c r="FIA18" s="87"/>
      <c r="FIB18" s="87"/>
      <c r="FIC18" s="87"/>
      <c r="FID18" s="87"/>
      <c r="FIE18" s="87"/>
      <c r="FIF18" s="87"/>
      <c r="FIG18" s="87"/>
      <c r="FIH18" s="87"/>
      <c r="FII18" s="87"/>
      <c r="FIJ18" s="87"/>
      <c r="FIK18" s="87"/>
      <c r="FIL18" s="87"/>
      <c r="FIM18" s="87"/>
      <c r="FIN18" s="87"/>
      <c r="FIO18" s="87"/>
      <c r="FIP18" s="87"/>
      <c r="FIQ18" s="87"/>
      <c r="FIR18" s="87"/>
      <c r="FIS18" s="87"/>
      <c r="FIT18" s="87"/>
      <c r="FIU18" s="87"/>
      <c r="FIV18" s="87"/>
      <c r="FIW18" s="87"/>
      <c r="FIX18" s="87"/>
      <c r="FIY18" s="87"/>
      <c r="FIZ18" s="87"/>
      <c r="FJA18" s="87"/>
      <c r="FJB18" s="87"/>
      <c r="FJC18" s="87"/>
      <c r="FJD18" s="87"/>
      <c r="FJE18" s="87"/>
      <c r="FJF18" s="87"/>
      <c r="FJG18" s="87"/>
      <c r="FJH18" s="87"/>
      <c r="FJI18" s="87"/>
      <c r="FJJ18" s="87"/>
      <c r="FJK18" s="87"/>
      <c r="FJL18" s="87"/>
      <c r="FJM18" s="87"/>
      <c r="FJN18" s="87"/>
      <c r="FJO18" s="87"/>
      <c r="FJP18" s="87"/>
      <c r="FJQ18" s="87"/>
      <c r="FJR18" s="87"/>
      <c r="FJS18" s="87"/>
      <c r="FJT18" s="87"/>
      <c r="FJU18" s="87"/>
      <c r="FJV18" s="87"/>
      <c r="FJW18" s="87"/>
      <c r="FJX18" s="87"/>
      <c r="FJY18" s="87"/>
      <c r="FJZ18" s="87"/>
      <c r="FKA18" s="87"/>
      <c r="FKB18" s="87"/>
      <c r="FKC18" s="87"/>
      <c r="FKD18" s="87"/>
      <c r="FKE18" s="87"/>
      <c r="FKF18" s="87"/>
      <c r="FKG18" s="87"/>
      <c r="FKH18" s="87"/>
      <c r="FKI18" s="87"/>
      <c r="FKJ18" s="87"/>
      <c r="FKK18" s="87"/>
      <c r="FKL18" s="87"/>
      <c r="FKM18" s="87"/>
      <c r="FKN18" s="87"/>
      <c r="FKO18" s="87"/>
      <c r="FKP18" s="87"/>
      <c r="FKQ18" s="87"/>
      <c r="FKR18" s="87"/>
      <c r="FKS18" s="87"/>
      <c r="FKT18" s="87"/>
      <c r="FKU18" s="87"/>
      <c r="FKV18" s="87"/>
      <c r="FKW18" s="87"/>
      <c r="FKX18" s="87"/>
      <c r="FKY18" s="87"/>
      <c r="FKZ18" s="87"/>
      <c r="FLA18" s="87"/>
      <c r="FLB18" s="87"/>
      <c r="FLC18" s="87"/>
      <c r="FLD18" s="87"/>
      <c r="FLE18" s="87"/>
      <c r="FLF18" s="87"/>
      <c r="FLG18" s="87"/>
      <c r="FLH18" s="87"/>
      <c r="FLI18" s="87"/>
      <c r="FLJ18" s="87"/>
      <c r="FLK18" s="87"/>
      <c r="FLL18" s="87"/>
      <c r="FLM18" s="87"/>
      <c r="FLN18" s="87"/>
      <c r="FLO18" s="87"/>
      <c r="FLP18" s="87"/>
      <c r="FLQ18" s="87"/>
      <c r="FLR18" s="87"/>
      <c r="FLS18" s="87"/>
      <c r="FLT18" s="87"/>
      <c r="FLU18" s="87"/>
      <c r="FLV18" s="87"/>
      <c r="FLW18" s="87"/>
      <c r="FLX18" s="87"/>
      <c r="FLY18" s="87"/>
      <c r="FLZ18" s="87"/>
      <c r="FMA18" s="87"/>
      <c r="FMB18" s="87"/>
      <c r="FMC18" s="87"/>
      <c r="FMD18" s="87"/>
      <c r="FME18" s="87"/>
      <c r="FMF18" s="87"/>
      <c r="FMG18" s="87"/>
      <c r="FMH18" s="87"/>
      <c r="FMI18" s="87"/>
      <c r="FMJ18" s="87"/>
      <c r="FMK18" s="87"/>
      <c r="FML18" s="87"/>
      <c r="FMM18" s="87"/>
      <c r="FMN18" s="87"/>
      <c r="FMO18" s="87"/>
      <c r="FMP18" s="87"/>
      <c r="FMQ18" s="87"/>
      <c r="FMR18" s="87"/>
      <c r="FMS18" s="87"/>
      <c r="FMT18" s="87"/>
      <c r="FMU18" s="87"/>
      <c r="FMV18" s="87"/>
      <c r="FMW18" s="87"/>
      <c r="FMX18" s="87"/>
      <c r="FMY18" s="87"/>
      <c r="FMZ18" s="87"/>
      <c r="FNA18" s="87"/>
      <c r="FNB18" s="87"/>
      <c r="FNC18" s="87"/>
      <c r="FND18" s="87"/>
      <c r="FNE18" s="87"/>
      <c r="FNF18" s="87"/>
      <c r="FNG18" s="87"/>
      <c r="FNH18" s="87"/>
      <c r="FNI18" s="87"/>
      <c r="FNJ18" s="87"/>
      <c r="FNK18" s="87"/>
      <c r="FNL18" s="87"/>
      <c r="FNM18" s="87"/>
      <c r="FNN18" s="87"/>
      <c r="FNO18" s="87"/>
      <c r="FNP18" s="87"/>
      <c r="FNQ18" s="87"/>
      <c r="FNR18" s="87"/>
      <c r="FNS18" s="87"/>
      <c r="FNT18" s="87"/>
      <c r="FNU18" s="87"/>
      <c r="FNV18" s="87"/>
      <c r="FNW18" s="87"/>
      <c r="FNX18" s="87"/>
      <c r="FNY18" s="87"/>
      <c r="FNZ18" s="87"/>
      <c r="FOA18" s="87"/>
      <c r="FOB18" s="87"/>
      <c r="FOC18" s="87"/>
      <c r="FOD18" s="87"/>
      <c r="FOE18" s="87"/>
      <c r="FOF18" s="87"/>
      <c r="FOG18" s="87"/>
      <c r="FOH18" s="87"/>
      <c r="FOI18" s="87"/>
      <c r="FOJ18" s="87"/>
      <c r="FOK18" s="87"/>
      <c r="FOL18" s="87"/>
      <c r="FOM18" s="87"/>
      <c r="FON18" s="87"/>
      <c r="FOO18" s="87"/>
      <c r="FOP18" s="87"/>
      <c r="FOQ18" s="87"/>
      <c r="FOR18" s="87"/>
      <c r="FOS18" s="87"/>
      <c r="FOT18" s="87"/>
      <c r="FOU18" s="87"/>
      <c r="FOV18" s="87"/>
      <c r="FOW18" s="87"/>
      <c r="FOX18" s="87"/>
      <c r="FOY18" s="87"/>
      <c r="FOZ18" s="87"/>
      <c r="FPA18" s="87"/>
      <c r="FPB18" s="87"/>
      <c r="FPC18" s="87"/>
      <c r="FPD18" s="87"/>
      <c r="FPE18" s="87"/>
      <c r="FPF18" s="87"/>
      <c r="FPG18" s="87"/>
      <c r="FPH18" s="87"/>
      <c r="FPI18" s="87"/>
      <c r="FPJ18" s="87"/>
      <c r="FPK18" s="87"/>
      <c r="FPL18" s="87"/>
      <c r="FPM18" s="87"/>
      <c r="FPN18" s="87"/>
      <c r="FPO18" s="87"/>
      <c r="FPP18" s="87"/>
      <c r="FPQ18" s="87"/>
      <c r="FPR18" s="87"/>
      <c r="FPS18" s="87"/>
      <c r="FPT18" s="87"/>
      <c r="FPU18" s="87"/>
      <c r="FPV18" s="87"/>
      <c r="FPW18" s="87"/>
      <c r="FPX18" s="87"/>
      <c r="FPY18" s="87"/>
      <c r="FPZ18" s="87"/>
      <c r="FQA18" s="87"/>
      <c r="FQB18" s="87"/>
      <c r="FQC18" s="87"/>
      <c r="FQD18" s="87"/>
      <c r="FQE18" s="87"/>
      <c r="FQF18" s="87"/>
      <c r="FQG18" s="87"/>
      <c r="FQH18" s="87"/>
      <c r="FQI18" s="87"/>
      <c r="FQJ18" s="87"/>
      <c r="FQK18" s="87"/>
      <c r="FQL18" s="87"/>
      <c r="FQM18" s="87"/>
      <c r="FQN18" s="87"/>
      <c r="FQO18" s="87"/>
      <c r="FQP18" s="87"/>
      <c r="FQQ18" s="87"/>
      <c r="FQR18" s="87"/>
      <c r="FQS18" s="87"/>
      <c r="FQT18" s="87"/>
      <c r="FQU18" s="87"/>
      <c r="FQV18" s="87"/>
      <c r="FQW18" s="87"/>
      <c r="FQX18" s="87"/>
      <c r="FQY18" s="87"/>
      <c r="FQZ18" s="87"/>
      <c r="FRA18" s="87"/>
      <c r="FRB18" s="87"/>
      <c r="FRC18" s="87"/>
      <c r="FRD18" s="87"/>
      <c r="FRE18" s="87"/>
      <c r="FRF18" s="87"/>
      <c r="FRG18" s="87"/>
      <c r="FRH18" s="87"/>
      <c r="FRI18" s="87"/>
      <c r="FRJ18" s="87"/>
      <c r="FRK18" s="87"/>
      <c r="FRL18" s="87"/>
      <c r="FRM18" s="87"/>
      <c r="FRN18" s="87"/>
      <c r="FRO18" s="87"/>
      <c r="FRP18" s="87"/>
      <c r="FRQ18" s="87"/>
      <c r="FRR18" s="87"/>
      <c r="FRS18" s="87"/>
      <c r="FRT18" s="87"/>
      <c r="FRU18" s="87"/>
      <c r="FRV18" s="87"/>
      <c r="FRW18" s="87"/>
      <c r="FRX18" s="87"/>
      <c r="FRY18" s="87"/>
      <c r="FRZ18" s="87"/>
      <c r="FSA18" s="87"/>
      <c r="FSB18" s="87"/>
      <c r="FSC18" s="87"/>
      <c r="FSD18" s="87"/>
      <c r="FSE18" s="87"/>
      <c r="FSF18" s="87"/>
      <c r="FSG18" s="87"/>
      <c r="FSH18" s="87"/>
      <c r="FSI18" s="87"/>
      <c r="FSJ18" s="87"/>
      <c r="FSK18" s="87"/>
      <c r="FSL18" s="87"/>
      <c r="FSM18" s="87"/>
      <c r="FSN18" s="87"/>
      <c r="FSO18" s="87"/>
      <c r="FSP18" s="87"/>
      <c r="FSQ18" s="87"/>
      <c r="FSR18" s="87"/>
      <c r="FSS18" s="87"/>
      <c r="FST18" s="87"/>
      <c r="FSU18" s="87"/>
      <c r="FSV18" s="87"/>
      <c r="FSW18" s="87"/>
      <c r="FSX18" s="87"/>
      <c r="FSY18" s="87"/>
      <c r="FSZ18" s="87"/>
      <c r="FTA18" s="87"/>
      <c r="FTB18" s="87"/>
      <c r="FTC18" s="87"/>
      <c r="FTD18" s="87"/>
      <c r="FTE18" s="87"/>
      <c r="FTF18" s="87"/>
      <c r="FTG18" s="87"/>
      <c r="FTH18" s="87"/>
      <c r="FTI18" s="87"/>
      <c r="FTJ18" s="87"/>
      <c r="FTK18" s="87"/>
      <c r="FTL18" s="87"/>
      <c r="FTM18" s="87"/>
      <c r="FTN18" s="87"/>
      <c r="FTO18" s="87"/>
      <c r="FTP18" s="87"/>
      <c r="FTQ18" s="87"/>
      <c r="FTR18" s="87"/>
      <c r="FTS18" s="87"/>
      <c r="FTT18" s="87"/>
      <c r="FTU18" s="87"/>
      <c r="FTV18" s="87"/>
      <c r="FTW18" s="87"/>
      <c r="FTX18" s="87"/>
      <c r="FTY18" s="87"/>
      <c r="FTZ18" s="87"/>
      <c r="FUA18" s="87"/>
      <c r="FUB18" s="87"/>
      <c r="FUC18" s="87"/>
      <c r="FUD18" s="87"/>
      <c r="FUE18" s="87"/>
      <c r="FUF18" s="87"/>
      <c r="FUG18" s="87"/>
      <c r="FUH18" s="87"/>
      <c r="FUI18" s="87"/>
      <c r="FUJ18" s="87"/>
      <c r="FUK18" s="87"/>
      <c r="FUL18" s="87"/>
      <c r="FUM18" s="87"/>
      <c r="FUN18" s="87"/>
      <c r="FUO18" s="87"/>
      <c r="FUP18" s="87"/>
      <c r="FUQ18" s="87"/>
      <c r="FUR18" s="87"/>
      <c r="FUS18" s="87"/>
      <c r="FUT18" s="87"/>
      <c r="FUU18" s="87"/>
      <c r="FUV18" s="87"/>
      <c r="FUW18" s="87"/>
      <c r="FUX18" s="87"/>
      <c r="FUY18" s="87"/>
      <c r="FUZ18" s="87"/>
      <c r="FVA18" s="87"/>
      <c r="FVB18" s="87"/>
      <c r="FVC18" s="87"/>
      <c r="FVD18" s="87"/>
      <c r="FVE18" s="87"/>
      <c r="FVF18" s="87"/>
      <c r="FVG18" s="87"/>
      <c r="FVH18" s="87"/>
      <c r="FVI18" s="87"/>
      <c r="FVJ18" s="87"/>
      <c r="FVK18" s="87"/>
      <c r="FVL18" s="87"/>
      <c r="FVM18" s="87"/>
      <c r="FVN18" s="87"/>
      <c r="FVO18" s="87"/>
      <c r="FVP18" s="87"/>
      <c r="FVQ18" s="87"/>
      <c r="FVR18" s="87"/>
      <c r="FVS18" s="87"/>
      <c r="FVT18" s="87"/>
      <c r="FVU18" s="87"/>
      <c r="FVV18" s="87"/>
      <c r="FVW18" s="87"/>
      <c r="FVX18" s="87"/>
      <c r="FVY18" s="87"/>
      <c r="FVZ18" s="87"/>
      <c r="FWA18" s="87"/>
      <c r="FWB18" s="87"/>
      <c r="FWC18" s="87"/>
      <c r="FWD18" s="87"/>
      <c r="FWE18" s="87"/>
      <c r="FWF18" s="87"/>
      <c r="FWG18" s="87"/>
      <c r="FWH18" s="87"/>
      <c r="FWI18" s="87"/>
      <c r="FWJ18" s="87"/>
      <c r="FWK18" s="87"/>
      <c r="FWL18" s="87"/>
      <c r="FWM18" s="87"/>
      <c r="FWN18" s="87"/>
      <c r="FWO18" s="87"/>
      <c r="FWP18" s="87"/>
      <c r="FWQ18" s="87"/>
      <c r="FWR18" s="87"/>
      <c r="FWS18" s="87"/>
      <c r="FWT18" s="87"/>
      <c r="FWU18" s="87"/>
      <c r="FWV18" s="87"/>
      <c r="FWW18" s="87"/>
      <c r="FWX18" s="87"/>
      <c r="FWY18" s="87"/>
      <c r="FWZ18" s="87"/>
      <c r="FXA18" s="87"/>
      <c r="FXB18" s="87"/>
      <c r="FXC18" s="87"/>
      <c r="FXD18" s="87"/>
      <c r="FXE18" s="87"/>
      <c r="FXF18" s="87"/>
      <c r="FXG18" s="87"/>
      <c r="FXH18" s="87"/>
      <c r="FXI18" s="87"/>
      <c r="FXJ18" s="87"/>
      <c r="FXK18" s="87"/>
      <c r="FXL18" s="87"/>
      <c r="FXM18" s="87"/>
      <c r="FXN18" s="87"/>
      <c r="FXO18" s="87"/>
      <c r="FXP18" s="87"/>
      <c r="FXQ18" s="87"/>
      <c r="FXR18" s="87"/>
      <c r="FXS18" s="87"/>
      <c r="FXT18" s="87"/>
      <c r="FXU18" s="87"/>
      <c r="FXV18" s="87"/>
      <c r="FXW18" s="87"/>
      <c r="FXX18" s="87"/>
      <c r="FXY18" s="87"/>
      <c r="FXZ18" s="87"/>
      <c r="FYA18" s="87"/>
      <c r="FYB18" s="87"/>
      <c r="FYC18" s="87"/>
      <c r="FYD18" s="87"/>
      <c r="FYE18" s="87"/>
      <c r="FYF18" s="87"/>
      <c r="FYG18" s="87"/>
      <c r="FYH18" s="87"/>
      <c r="FYI18" s="87"/>
      <c r="FYJ18" s="87"/>
      <c r="FYK18" s="87"/>
      <c r="FYL18" s="87"/>
      <c r="FYM18" s="87"/>
      <c r="FYN18" s="87"/>
      <c r="FYO18" s="87"/>
      <c r="FYP18" s="87"/>
      <c r="FYQ18" s="87"/>
      <c r="FYR18" s="87"/>
      <c r="FYS18" s="87"/>
      <c r="FYT18" s="87"/>
      <c r="FYU18" s="87"/>
      <c r="FYV18" s="87"/>
      <c r="FYW18" s="87"/>
      <c r="FYX18" s="87"/>
      <c r="FYY18" s="87"/>
      <c r="FYZ18" s="87"/>
      <c r="FZA18" s="87"/>
      <c r="FZB18" s="87"/>
      <c r="FZC18" s="87"/>
      <c r="FZD18" s="87"/>
      <c r="FZE18" s="87"/>
      <c r="FZF18" s="87"/>
      <c r="FZG18" s="87"/>
      <c r="FZH18" s="87"/>
      <c r="FZI18" s="87"/>
      <c r="FZJ18" s="87"/>
      <c r="FZK18" s="87"/>
      <c r="FZL18" s="87"/>
      <c r="FZM18" s="87"/>
      <c r="FZN18" s="87"/>
      <c r="FZO18" s="87"/>
      <c r="FZP18" s="87"/>
      <c r="FZQ18" s="87"/>
      <c r="FZR18" s="87"/>
      <c r="FZS18" s="87"/>
      <c r="FZT18" s="87"/>
      <c r="FZU18" s="87"/>
      <c r="FZV18" s="87"/>
      <c r="FZW18" s="87"/>
      <c r="FZX18" s="87"/>
      <c r="FZY18" s="87"/>
      <c r="FZZ18" s="87"/>
      <c r="GAA18" s="87"/>
      <c r="GAB18" s="87"/>
      <c r="GAC18" s="87"/>
      <c r="GAD18" s="87"/>
      <c r="GAE18" s="87"/>
      <c r="GAF18" s="87"/>
      <c r="GAG18" s="87"/>
      <c r="GAH18" s="87"/>
      <c r="GAI18" s="87"/>
      <c r="GAJ18" s="87"/>
      <c r="GAK18" s="87"/>
      <c r="GAL18" s="87"/>
      <c r="GAM18" s="87"/>
      <c r="GAN18" s="87"/>
      <c r="GAO18" s="87"/>
      <c r="GAP18" s="87"/>
      <c r="GAQ18" s="87"/>
      <c r="GAR18" s="87"/>
      <c r="GAS18" s="87"/>
      <c r="GAT18" s="87"/>
      <c r="GAU18" s="87"/>
      <c r="GAV18" s="87"/>
      <c r="GAW18" s="87"/>
      <c r="GAX18" s="87"/>
      <c r="GAY18" s="87"/>
      <c r="GAZ18" s="87"/>
      <c r="GBA18" s="87"/>
      <c r="GBB18" s="87"/>
      <c r="GBC18" s="87"/>
      <c r="GBD18" s="87"/>
      <c r="GBE18" s="87"/>
      <c r="GBF18" s="87"/>
      <c r="GBG18" s="87"/>
      <c r="GBH18" s="87"/>
      <c r="GBI18" s="87"/>
      <c r="GBJ18" s="87"/>
      <c r="GBK18" s="87"/>
      <c r="GBL18" s="87"/>
      <c r="GBM18" s="87"/>
      <c r="GBN18" s="87"/>
      <c r="GBO18" s="87"/>
      <c r="GBP18" s="87"/>
      <c r="GBQ18" s="87"/>
      <c r="GBR18" s="87"/>
      <c r="GBS18" s="87"/>
      <c r="GBT18" s="87"/>
      <c r="GBU18" s="87"/>
      <c r="GBV18" s="87"/>
      <c r="GBW18" s="87"/>
      <c r="GBX18" s="87"/>
      <c r="GBY18" s="87"/>
      <c r="GBZ18" s="87"/>
      <c r="GCA18" s="87"/>
      <c r="GCB18" s="87"/>
      <c r="GCC18" s="87"/>
      <c r="GCD18" s="87"/>
      <c r="GCE18" s="87"/>
      <c r="GCF18" s="87"/>
      <c r="GCG18" s="87"/>
      <c r="GCH18" s="87"/>
      <c r="GCI18" s="87"/>
      <c r="GCJ18" s="87"/>
      <c r="GCK18" s="87"/>
      <c r="GCL18" s="87"/>
      <c r="GCM18" s="87"/>
      <c r="GCN18" s="87"/>
      <c r="GCO18" s="87"/>
      <c r="GCP18" s="87"/>
      <c r="GCQ18" s="87"/>
      <c r="GCR18" s="87"/>
      <c r="GCS18" s="87"/>
      <c r="GCT18" s="87"/>
      <c r="GCU18" s="87"/>
      <c r="GCV18" s="87"/>
      <c r="GCW18" s="87"/>
      <c r="GCX18" s="87"/>
      <c r="GCY18" s="87"/>
      <c r="GCZ18" s="87"/>
      <c r="GDA18" s="87"/>
      <c r="GDB18" s="87"/>
      <c r="GDC18" s="87"/>
      <c r="GDD18" s="87"/>
      <c r="GDE18" s="87"/>
      <c r="GDF18" s="87"/>
      <c r="GDG18" s="87"/>
      <c r="GDH18" s="87"/>
      <c r="GDI18" s="87"/>
      <c r="GDJ18" s="87"/>
      <c r="GDK18" s="87"/>
      <c r="GDL18" s="87"/>
      <c r="GDM18" s="87"/>
      <c r="GDN18" s="87"/>
      <c r="GDO18" s="87"/>
      <c r="GDP18" s="87"/>
      <c r="GDQ18" s="87"/>
      <c r="GDR18" s="87"/>
      <c r="GDS18" s="87"/>
      <c r="GDT18" s="87"/>
      <c r="GDU18" s="87"/>
      <c r="GDV18" s="87"/>
      <c r="GDW18" s="87"/>
      <c r="GDX18" s="87"/>
      <c r="GDY18" s="87"/>
      <c r="GDZ18" s="87"/>
      <c r="GEA18" s="87"/>
      <c r="GEB18" s="87"/>
      <c r="GEC18" s="87"/>
      <c r="GED18" s="87"/>
      <c r="GEE18" s="87"/>
      <c r="GEF18" s="87"/>
      <c r="GEG18" s="87"/>
      <c r="GEH18" s="87"/>
      <c r="GEI18" s="87"/>
      <c r="GEJ18" s="87"/>
      <c r="GEK18" s="87"/>
      <c r="GEL18" s="87"/>
      <c r="GEM18" s="87"/>
      <c r="GEN18" s="87"/>
      <c r="GEO18" s="87"/>
      <c r="GEP18" s="87"/>
      <c r="GEQ18" s="87"/>
      <c r="GER18" s="87"/>
      <c r="GES18" s="87"/>
      <c r="GET18" s="87"/>
      <c r="GEU18" s="87"/>
      <c r="GEV18" s="87"/>
      <c r="GEW18" s="87"/>
      <c r="GEX18" s="87"/>
      <c r="GEY18" s="87"/>
      <c r="GEZ18" s="87"/>
      <c r="GFA18" s="87"/>
      <c r="GFB18" s="87"/>
      <c r="GFC18" s="87"/>
      <c r="GFD18" s="87"/>
      <c r="GFE18" s="87"/>
      <c r="GFF18" s="87"/>
      <c r="GFG18" s="87"/>
      <c r="GFH18" s="87"/>
      <c r="GFI18" s="87"/>
      <c r="GFJ18" s="87"/>
      <c r="GFK18" s="87"/>
      <c r="GFL18" s="87"/>
      <c r="GFM18" s="87"/>
      <c r="GFN18" s="87"/>
      <c r="GFO18" s="87"/>
      <c r="GFP18" s="87"/>
      <c r="GFQ18" s="87"/>
      <c r="GFR18" s="87"/>
      <c r="GFS18" s="87"/>
      <c r="GFT18" s="87"/>
      <c r="GFU18" s="87"/>
      <c r="GFV18" s="87"/>
      <c r="GFW18" s="87"/>
      <c r="GFX18" s="87"/>
      <c r="GFY18" s="87"/>
      <c r="GFZ18" s="87"/>
      <c r="GGA18" s="87"/>
      <c r="GGB18" s="87"/>
      <c r="GGC18" s="87"/>
      <c r="GGD18" s="87"/>
      <c r="GGE18" s="87"/>
      <c r="GGF18" s="87"/>
      <c r="GGG18" s="87"/>
      <c r="GGH18" s="87"/>
      <c r="GGI18" s="87"/>
      <c r="GGJ18" s="87"/>
      <c r="GGK18" s="87"/>
      <c r="GGL18" s="87"/>
      <c r="GGM18" s="87"/>
      <c r="GGN18" s="87"/>
      <c r="GGO18" s="87"/>
      <c r="GGP18" s="87"/>
      <c r="GGQ18" s="87"/>
      <c r="GGR18" s="87"/>
      <c r="GGS18" s="87"/>
      <c r="GGT18" s="87"/>
      <c r="GGU18" s="87"/>
      <c r="GGV18" s="87"/>
      <c r="GGW18" s="87"/>
      <c r="GGX18" s="87"/>
      <c r="GGY18" s="87"/>
      <c r="GGZ18" s="87"/>
      <c r="GHA18" s="87"/>
      <c r="GHB18" s="87"/>
      <c r="GHC18" s="87"/>
      <c r="GHD18" s="87"/>
      <c r="GHE18" s="87"/>
      <c r="GHF18" s="87"/>
      <c r="GHG18" s="87"/>
      <c r="GHH18" s="87"/>
      <c r="GHI18" s="87"/>
      <c r="GHJ18" s="87"/>
      <c r="GHK18" s="87"/>
      <c r="GHL18" s="87"/>
      <c r="GHM18" s="87"/>
      <c r="GHN18" s="87"/>
      <c r="GHO18" s="87"/>
      <c r="GHP18" s="87"/>
      <c r="GHQ18" s="87"/>
      <c r="GHR18" s="87"/>
      <c r="GHS18" s="87"/>
      <c r="GHT18" s="87"/>
      <c r="GHU18" s="87"/>
      <c r="GHV18" s="87"/>
      <c r="GHW18" s="87"/>
      <c r="GHX18" s="87"/>
      <c r="GHY18" s="87"/>
      <c r="GHZ18" s="87"/>
      <c r="GIA18" s="87"/>
      <c r="GIB18" s="87"/>
      <c r="GIC18" s="87"/>
      <c r="GID18" s="87"/>
      <c r="GIE18" s="87"/>
      <c r="GIF18" s="87"/>
      <c r="GIG18" s="87"/>
      <c r="GIH18" s="87"/>
      <c r="GII18" s="87"/>
      <c r="GIJ18" s="87"/>
      <c r="GIK18" s="87"/>
      <c r="GIL18" s="87"/>
      <c r="GIM18" s="87"/>
      <c r="GIN18" s="87"/>
      <c r="GIO18" s="87"/>
      <c r="GIP18" s="87"/>
      <c r="GIQ18" s="87"/>
      <c r="GIR18" s="87"/>
      <c r="GIS18" s="87"/>
      <c r="GIT18" s="87"/>
      <c r="GIU18" s="87"/>
      <c r="GIV18" s="87"/>
      <c r="GIW18" s="87"/>
      <c r="GIX18" s="87"/>
      <c r="GIY18" s="87"/>
      <c r="GIZ18" s="87"/>
      <c r="GJA18" s="87"/>
      <c r="GJB18" s="87"/>
      <c r="GJC18" s="87"/>
      <c r="GJD18" s="87"/>
      <c r="GJE18" s="87"/>
      <c r="GJF18" s="87"/>
      <c r="GJG18" s="87"/>
      <c r="GJH18" s="87"/>
      <c r="GJI18" s="87"/>
      <c r="GJJ18" s="87"/>
      <c r="GJK18" s="87"/>
      <c r="GJL18" s="87"/>
      <c r="GJM18" s="87"/>
      <c r="GJN18" s="87"/>
      <c r="GJO18" s="87"/>
      <c r="GJP18" s="87"/>
      <c r="GJQ18" s="87"/>
      <c r="GJR18" s="87"/>
      <c r="GJS18" s="87"/>
      <c r="GJT18" s="87"/>
      <c r="GJU18" s="87"/>
      <c r="GJV18" s="87"/>
      <c r="GJW18" s="87"/>
      <c r="GJX18" s="87"/>
      <c r="GJY18" s="87"/>
      <c r="GJZ18" s="87"/>
      <c r="GKA18" s="87"/>
      <c r="GKB18" s="87"/>
      <c r="GKC18" s="87"/>
      <c r="GKD18" s="87"/>
      <c r="GKE18" s="87"/>
      <c r="GKF18" s="87"/>
      <c r="GKG18" s="87"/>
      <c r="GKH18" s="87"/>
      <c r="GKI18" s="87"/>
      <c r="GKJ18" s="87"/>
      <c r="GKK18" s="87"/>
      <c r="GKL18" s="87"/>
      <c r="GKM18" s="87"/>
      <c r="GKN18" s="87"/>
      <c r="GKO18" s="87"/>
      <c r="GKP18" s="87"/>
      <c r="GKQ18" s="87"/>
      <c r="GKR18" s="87"/>
      <c r="GKS18" s="87"/>
      <c r="GKT18" s="87"/>
      <c r="GKU18" s="87"/>
      <c r="GKV18" s="87"/>
      <c r="GKW18" s="87"/>
      <c r="GKX18" s="87"/>
      <c r="GKY18" s="87"/>
      <c r="GKZ18" s="87"/>
      <c r="GLA18" s="87"/>
      <c r="GLB18" s="87"/>
      <c r="GLC18" s="87"/>
      <c r="GLD18" s="87"/>
      <c r="GLE18" s="87"/>
      <c r="GLF18" s="87"/>
      <c r="GLG18" s="87"/>
      <c r="GLH18" s="87"/>
      <c r="GLI18" s="87"/>
      <c r="GLJ18" s="87"/>
      <c r="GLK18" s="87"/>
      <c r="GLL18" s="87"/>
      <c r="GLM18" s="87"/>
      <c r="GLN18" s="87"/>
      <c r="GLO18" s="87"/>
      <c r="GLP18" s="87"/>
      <c r="GLQ18" s="87"/>
      <c r="GLR18" s="87"/>
      <c r="GLS18" s="87"/>
      <c r="GLT18" s="87"/>
      <c r="GLU18" s="87"/>
      <c r="GLV18" s="87"/>
      <c r="GLW18" s="87"/>
      <c r="GLX18" s="87"/>
      <c r="GLY18" s="87"/>
      <c r="GLZ18" s="87"/>
      <c r="GMA18" s="87"/>
      <c r="GMB18" s="87"/>
      <c r="GMC18" s="87"/>
      <c r="GMD18" s="87"/>
      <c r="GME18" s="87"/>
      <c r="GMF18" s="87"/>
      <c r="GMG18" s="87"/>
      <c r="GMH18" s="87"/>
      <c r="GMI18" s="87"/>
      <c r="GMJ18" s="87"/>
      <c r="GMK18" s="87"/>
      <c r="GML18" s="87"/>
      <c r="GMM18" s="87"/>
      <c r="GMN18" s="87"/>
      <c r="GMO18" s="87"/>
      <c r="GMP18" s="87"/>
      <c r="GMQ18" s="87"/>
      <c r="GMR18" s="87"/>
      <c r="GMS18" s="87"/>
      <c r="GMT18" s="87"/>
      <c r="GMU18" s="87"/>
      <c r="GMV18" s="87"/>
      <c r="GMW18" s="87"/>
      <c r="GMX18" s="87"/>
      <c r="GMY18" s="87"/>
      <c r="GMZ18" s="87"/>
      <c r="GNA18" s="87"/>
      <c r="GNB18" s="87"/>
      <c r="GNC18" s="87"/>
      <c r="GND18" s="87"/>
      <c r="GNE18" s="87"/>
      <c r="GNF18" s="87"/>
      <c r="GNG18" s="87"/>
      <c r="GNH18" s="87"/>
      <c r="GNI18" s="87"/>
      <c r="GNJ18" s="87"/>
      <c r="GNK18" s="87"/>
      <c r="GNL18" s="87"/>
      <c r="GNM18" s="87"/>
      <c r="GNN18" s="87"/>
      <c r="GNO18" s="87"/>
      <c r="GNP18" s="87"/>
      <c r="GNQ18" s="87"/>
      <c r="GNR18" s="87"/>
      <c r="GNS18" s="87"/>
      <c r="GNT18" s="87"/>
      <c r="GNU18" s="87"/>
      <c r="GNV18" s="87"/>
      <c r="GNW18" s="87"/>
      <c r="GNX18" s="87"/>
      <c r="GNY18" s="87"/>
      <c r="GNZ18" s="87"/>
      <c r="GOA18" s="87"/>
      <c r="GOB18" s="87"/>
      <c r="GOC18" s="87"/>
      <c r="GOD18" s="87"/>
      <c r="GOE18" s="87"/>
      <c r="GOF18" s="87"/>
      <c r="GOG18" s="87"/>
      <c r="GOH18" s="87"/>
      <c r="GOI18" s="87"/>
      <c r="GOJ18" s="87"/>
      <c r="GOK18" s="87"/>
      <c r="GOL18" s="87"/>
      <c r="GOM18" s="87"/>
      <c r="GON18" s="87"/>
      <c r="GOO18" s="87"/>
      <c r="GOP18" s="87"/>
      <c r="GOQ18" s="87"/>
      <c r="GOR18" s="87"/>
      <c r="GOS18" s="87"/>
      <c r="GOT18" s="87"/>
      <c r="GOU18" s="87"/>
      <c r="GOV18" s="87"/>
      <c r="GOW18" s="87"/>
      <c r="GOX18" s="87"/>
      <c r="GOY18" s="87"/>
      <c r="GOZ18" s="87"/>
      <c r="GPA18" s="87"/>
      <c r="GPB18" s="87"/>
      <c r="GPC18" s="87"/>
      <c r="GPD18" s="87"/>
      <c r="GPE18" s="87"/>
      <c r="GPF18" s="87"/>
      <c r="GPG18" s="87"/>
      <c r="GPH18" s="87"/>
      <c r="GPI18" s="87"/>
      <c r="GPJ18" s="87"/>
      <c r="GPK18" s="87"/>
      <c r="GPL18" s="87"/>
      <c r="GPM18" s="87"/>
      <c r="GPN18" s="87"/>
      <c r="GPO18" s="87"/>
      <c r="GPP18" s="87"/>
      <c r="GPQ18" s="87"/>
      <c r="GPR18" s="87"/>
      <c r="GPS18" s="87"/>
      <c r="GPT18" s="87"/>
      <c r="GPU18" s="87"/>
      <c r="GPV18" s="87"/>
      <c r="GPW18" s="87"/>
      <c r="GPX18" s="87"/>
      <c r="GPY18" s="87"/>
      <c r="GPZ18" s="87"/>
      <c r="GQA18" s="87"/>
      <c r="GQB18" s="87"/>
      <c r="GQC18" s="87"/>
      <c r="GQD18" s="87"/>
      <c r="GQE18" s="87"/>
      <c r="GQF18" s="87"/>
      <c r="GQG18" s="87"/>
      <c r="GQH18" s="87"/>
      <c r="GQI18" s="87"/>
      <c r="GQJ18" s="87"/>
      <c r="GQK18" s="87"/>
      <c r="GQL18" s="87"/>
      <c r="GQM18" s="87"/>
      <c r="GQN18" s="87"/>
      <c r="GQO18" s="87"/>
      <c r="GQP18" s="87"/>
      <c r="GQQ18" s="87"/>
      <c r="GQR18" s="87"/>
      <c r="GQS18" s="87"/>
      <c r="GQT18" s="87"/>
      <c r="GQU18" s="87"/>
      <c r="GQV18" s="87"/>
      <c r="GQW18" s="87"/>
      <c r="GQX18" s="87"/>
      <c r="GQY18" s="87"/>
      <c r="GQZ18" s="87"/>
      <c r="GRA18" s="87"/>
      <c r="GRB18" s="87"/>
      <c r="GRC18" s="87"/>
      <c r="GRD18" s="87"/>
      <c r="GRE18" s="87"/>
      <c r="GRF18" s="87"/>
      <c r="GRG18" s="87"/>
      <c r="GRH18" s="87"/>
      <c r="GRI18" s="87"/>
      <c r="GRJ18" s="87"/>
      <c r="GRK18" s="87"/>
      <c r="GRL18" s="87"/>
      <c r="GRM18" s="87"/>
      <c r="GRN18" s="87"/>
      <c r="GRO18" s="87"/>
      <c r="GRP18" s="87"/>
      <c r="GRQ18" s="87"/>
      <c r="GRR18" s="87"/>
      <c r="GRS18" s="87"/>
      <c r="GRT18" s="87"/>
      <c r="GRU18" s="87"/>
      <c r="GRV18" s="87"/>
      <c r="GRW18" s="87"/>
      <c r="GRX18" s="87"/>
      <c r="GRY18" s="87"/>
      <c r="GRZ18" s="87"/>
      <c r="GSA18" s="87"/>
      <c r="GSB18" s="87"/>
      <c r="GSC18" s="87"/>
      <c r="GSD18" s="87"/>
      <c r="GSE18" s="87"/>
      <c r="GSF18" s="87"/>
      <c r="GSG18" s="87"/>
      <c r="GSH18" s="87"/>
      <c r="GSI18" s="87"/>
      <c r="GSJ18" s="87"/>
      <c r="GSK18" s="87"/>
      <c r="GSL18" s="87"/>
      <c r="GSM18" s="87"/>
      <c r="GSN18" s="87"/>
      <c r="GSO18" s="87"/>
      <c r="GSP18" s="87"/>
      <c r="GSQ18" s="87"/>
      <c r="GSR18" s="87"/>
      <c r="GSS18" s="87"/>
      <c r="GST18" s="87"/>
      <c r="GSU18" s="87"/>
      <c r="GSV18" s="87"/>
      <c r="GSW18" s="87"/>
      <c r="GSX18" s="87"/>
      <c r="GSY18" s="87"/>
      <c r="GSZ18" s="87"/>
      <c r="GTA18" s="87"/>
      <c r="GTB18" s="87"/>
      <c r="GTC18" s="87"/>
      <c r="GTD18" s="87"/>
      <c r="GTE18" s="87"/>
      <c r="GTF18" s="87"/>
      <c r="GTG18" s="87"/>
      <c r="GTH18" s="87"/>
      <c r="GTI18" s="87"/>
      <c r="GTJ18" s="87"/>
      <c r="GTK18" s="87"/>
      <c r="GTL18" s="87"/>
      <c r="GTM18" s="87"/>
      <c r="GTN18" s="87"/>
      <c r="GTO18" s="87"/>
      <c r="GTP18" s="87"/>
      <c r="GTQ18" s="87"/>
      <c r="GTR18" s="87"/>
      <c r="GTS18" s="87"/>
      <c r="GTT18" s="87"/>
      <c r="GTU18" s="87"/>
      <c r="GTV18" s="87"/>
      <c r="GTW18" s="87"/>
      <c r="GTX18" s="87"/>
      <c r="GTY18" s="87"/>
      <c r="GTZ18" s="87"/>
      <c r="GUA18" s="87"/>
      <c r="GUB18" s="87"/>
      <c r="GUC18" s="87"/>
      <c r="GUD18" s="87"/>
      <c r="GUE18" s="87"/>
      <c r="GUF18" s="87"/>
      <c r="GUG18" s="87"/>
      <c r="GUH18" s="87"/>
      <c r="GUI18" s="87"/>
      <c r="GUJ18" s="87"/>
      <c r="GUK18" s="87"/>
      <c r="GUL18" s="87"/>
      <c r="GUM18" s="87"/>
      <c r="GUN18" s="87"/>
      <c r="GUO18" s="87"/>
      <c r="GUP18" s="87"/>
      <c r="GUQ18" s="87"/>
      <c r="GUR18" s="87"/>
      <c r="GUS18" s="87"/>
      <c r="GUT18" s="87"/>
      <c r="GUU18" s="87"/>
      <c r="GUV18" s="87"/>
      <c r="GUW18" s="87"/>
      <c r="GUX18" s="87"/>
      <c r="GUY18" s="87"/>
      <c r="GUZ18" s="87"/>
      <c r="GVA18" s="87"/>
      <c r="GVB18" s="87"/>
      <c r="GVC18" s="87"/>
      <c r="GVD18" s="87"/>
      <c r="GVE18" s="87"/>
      <c r="GVF18" s="87"/>
      <c r="GVG18" s="87"/>
      <c r="GVH18" s="87"/>
      <c r="GVI18" s="87"/>
      <c r="GVJ18" s="87"/>
      <c r="GVK18" s="87"/>
      <c r="GVL18" s="87"/>
      <c r="GVM18" s="87"/>
      <c r="GVN18" s="87"/>
      <c r="GVO18" s="87"/>
      <c r="GVP18" s="87"/>
      <c r="GVQ18" s="87"/>
      <c r="GVR18" s="87"/>
      <c r="GVS18" s="87"/>
      <c r="GVT18" s="87"/>
      <c r="GVU18" s="87"/>
      <c r="GVV18" s="87"/>
      <c r="GVW18" s="87"/>
      <c r="GVX18" s="87"/>
      <c r="GVY18" s="87"/>
      <c r="GVZ18" s="87"/>
      <c r="GWA18" s="87"/>
      <c r="GWB18" s="87"/>
      <c r="GWC18" s="87"/>
      <c r="GWD18" s="87"/>
      <c r="GWE18" s="87"/>
      <c r="GWF18" s="87"/>
      <c r="GWG18" s="87"/>
      <c r="GWH18" s="87"/>
      <c r="GWI18" s="87"/>
      <c r="GWJ18" s="87"/>
      <c r="GWK18" s="87"/>
      <c r="GWL18" s="87"/>
      <c r="GWM18" s="87"/>
      <c r="GWN18" s="87"/>
      <c r="GWO18" s="87"/>
      <c r="GWP18" s="87"/>
      <c r="GWQ18" s="87"/>
      <c r="GWR18" s="87"/>
      <c r="GWS18" s="87"/>
      <c r="GWT18" s="87"/>
      <c r="GWU18" s="87"/>
      <c r="GWV18" s="87"/>
      <c r="GWW18" s="87"/>
      <c r="GWX18" s="87"/>
      <c r="GWY18" s="87"/>
      <c r="GWZ18" s="87"/>
      <c r="GXA18" s="87"/>
      <c r="GXB18" s="87"/>
      <c r="GXC18" s="87"/>
      <c r="GXD18" s="87"/>
      <c r="GXE18" s="87"/>
      <c r="GXF18" s="87"/>
      <c r="GXG18" s="87"/>
      <c r="GXH18" s="87"/>
      <c r="GXI18" s="87"/>
      <c r="GXJ18" s="87"/>
      <c r="GXK18" s="87"/>
      <c r="GXL18" s="87"/>
      <c r="GXM18" s="87"/>
      <c r="GXN18" s="87"/>
      <c r="GXO18" s="87"/>
      <c r="GXP18" s="87"/>
      <c r="GXQ18" s="87"/>
      <c r="GXR18" s="87"/>
      <c r="GXS18" s="87"/>
      <c r="GXT18" s="87"/>
      <c r="GXU18" s="87"/>
      <c r="GXV18" s="87"/>
      <c r="GXW18" s="87"/>
      <c r="GXX18" s="87"/>
      <c r="GXY18" s="87"/>
      <c r="GXZ18" s="87"/>
      <c r="GYA18" s="87"/>
      <c r="GYB18" s="87"/>
      <c r="GYC18" s="87"/>
      <c r="GYD18" s="87"/>
      <c r="GYE18" s="87"/>
      <c r="GYF18" s="87"/>
      <c r="GYG18" s="87"/>
      <c r="GYH18" s="87"/>
      <c r="GYI18" s="87"/>
      <c r="GYJ18" s="87"/>
      <c r="GYK18" s="87"/>
      <c r="GYL18" s="87"/>
      <c r="GYM18" s="87"/>
      <c r="GYN18" s="87"/>
      <c r="GYO18" s="87"/>
      <c r="GYP18" s="87"/>
      <c r="GYQ18" s="87"/>
      <c r="GYR18" s="87"/>
      <c r="GYS18" s="87"/>
      <c r="GYT18" s="87"/>
      <c r="GYU18" s="87"/>
      <c r="GYV18" s="87"/>
      <c r="GYW18" s="87"/>
      <c r="GYX18" s="87"/>
      <c r="GYY18" s="87"/>
      <c r="GYZ18" s="87"/>
      <c r="GZA18" s="87"/>
      <c r="GZB18" s="87"/>
      <c r="GZC18" s="87"/>
      <c r="GZD18" s="87"/>
      <c r="GZE18" s="87"/>
      <c r="GZF18" s="87"/>
      <c r="GZG18" s="87"/>
      <c r="GZH18" s="87"/>
      <c r="GZI18" s="87"/>
      <c r="GZJ18" s="87"/>
      <c r="GZK18" s="87"/>
      <c r="GZL18" s="87"/>
      <c r="GZM18" s="87"/>
      <c r="GZN18" s="87"/>
      <c r="GZO18" s="87"/>
      <c r="GZP18" s="87"/>
      <c r="GZQ18" s="87"/>
      <c r="GZR18" s="87"/>
      <c r="GZS18" s="87"/>
      <c r="GZT18" s="87"/>
      <c r="GZU18" s="87"/>
      <c r="GZV18" s="87"/>
      <c r="GZW18" s="87"/>
      <c r="GZX18" s="87"/>
      <c r="GZY18" s="87"/>
      <c r="GZZ18" s="87"/>
      <c r="HAA18" s="87"/>
      <c r="HAB18" s="87"/>
      <c r="HAC18" s="87"/>
      <c r="HAD18" s="87"/>
      <c r="HAE18" s="87"/>
      <c r="HAF18" s="87"/>
      <c r="HAG18" s="87"/>
      <c r="HAH18" s="87"/>
      <c r="HAI18" s="87"/>
      <c r="HAJ18" s="87"/>
      <c r="HAK18" s="87"/>
      <c r="HAL18" s="87"/>
      <c r="HAM18" s="87"/>
      <c r="HAN18" s="87"/>
      <c r="HAO18" s="87"/>
      <c r="HAP18" s="87"/>
      <c r="HAQ18" s="87"/>
      <c r="HAR18" s="87"/>
      <c r="HAS18" s="87"/>
      <c r="HAT18" s="87"/>
      <c r="HAU18" s="87"/>
      <c r="HAV18" s="87"/>
      <c r="HAW18" s="87"/>
      <c r="HAX18" s="87"/>
      <c r="HAY18" s="87"/>
      <c r="HAZ18" s="87"/>
      <c r="HBA18" s="87"/>
      <c r="HBB18" s="87"/>
      <c r="HBC18" s="87"/>
      <c r="HBD18" s="87"/>
      <c r="HBE18" s="87"/>
      <c r="HBF18" s="87"/>
      <c r="HBG18" s="87"/>
      <c r="HBH18" s="87"/>
      <c r="HBI18" s="87"/>
      <c r="HBJ18" s="87"/>
      <c r="HBK18" s="87"/>
      <c r="HBL18" s="87"/>
      <c r="HBM18" s="87"/>
      <c r="HBN18" s="87"/>
      <c r="HBO18" s="87"/>
      <c r="HBP18" s="87"/>
      <c r="HBQ18" s="87"/>
      <c r="HBR18" s="87"/>
      <c r="HBS18" s="87"/>
      <c r="HBT18" s="87"/>
      <c r="HBU18" s="87"/>
      <c r="HBV18" s="87"/>
      <c r="HBW18" s="87"/>
      <c r="HBX18" s="87"/>
      <c r="HBY18" s="87"/>
      <c r="HBZ18" s="87"/>
      <c r="HCA18" s="87"/>
      <c r="HCB18" s="87"/>
      <c r="HCC18" s="87"/>
      <c r="HCD18" s="87"/>
      <c r="HCE18" s="87"/>
      <c r="HCF18" s="87"/>
      <c r="HCG18" s="87"/>
      <c r="HCH18" s="87"/>
      <c r="HCI18" s="87"/>
      <c r="HCJ18" s="87"/>
      <c r="HCK18" s="87"/>
      <c r="HCL18" s="87"/>
      <c r="HCM18" s="87"/>
      <c r="HCN18" s="87"/>
      <c r="HCO18" s="87"/>
      <c r="HCP18" s="87"/>
      <c r="HCQ18" s="87"/>
      <c r="HCR18" s="87"/>
      <c r="HCS18" s="87"/>
      <c r="HCT18" s="87"/>
      <c r="HCU18" s="87"/>
      <c r="HCV18" s="87"/>
      <c r="HCW18" s="87"/>
      <c r="HCX18" s="87"/>
      <c r="HCY18" s="87"/>
      <c r="HCZ18" s="87"/>
      <c r="HDA18" s="87"/>
      <c r="HDB18" s="87"/>
      <c r="HDC18" s="87"/>
      <c r="HDD18" s="87"/>
      <c r="HDE18" s="87"/>
      <c r="HDF18" s="87"/>
      <c r="HDG18" s="87"/>
      <c r="HDH18" s="87"/>
      <c r="HDI18" s="87"/>
      <c r="HDJ18" s="87"/>
      <c r="HDK18" s="87"/>
      <c r="HDL18" s="87"/>
      <c r="HDM18" s="87"/>
      <c r="HDN18" s="87"/>
      <c r="HDO18" s="87"/>
      <c r="HDP18" s="87"/>
      <c r="HDQ18" s="87"/>
      <c r="HDR18" s="87"/>
      <c r="HDS18" s="87"/>
      <c r="HDT18" s="87"/>
      <c r="HDU18" s="87"/>
      <c r="HDV18" s="87"/>
      <c r="HDW18" s="87"/>
      <c r="HDX18" s="87"/>
      <c r="HDY18" s="87"/>
      <c r="HDZ18" s="87"/>
      <c r="HEA18" s="87"/>
      <c r="HEB18" s="87"/>
      <c r="HEC18" s="87"/>
      <c r="HED18" s="87"/>
      <c r="HEE18" s="87"/>
      <c r="HEF18" s="87"/>
      <c r="HEG18" s="87"/>
      <c r="HEH18" s="87"/>
      <c r="HEI18" s="87"/>
      <c r="HEJ18" s="87"/>
      <c r="HEK18" s="87"/>
      <c r="HEL18" s="87"/>
      <c r="HEM18" s="87"/>
      <c r="HEN18" s="87"/>
      <c r="HEO18" s="87"/>
      <c r="HEP18" s="87"/>
      <c r="HEQ18" s="87"/>
      <c r="HER18" s="87"/>
      <c r="HES18" s="87"/>
      <c r="HET18" s="87"/>
      <c r="HEU18" s="87"/>
      <c r="HEV18" s="87"/>
      <c r="HEW18" s="87"/>
      <c r="HEX18" s="87"/>
      <c r="HEY18" s="87"/>
      <c r="HEZ18" s="87"/>
      <c r="HFA18" s="87"/>
      <c r="HFB18" s="87"/>
      <c r="HFC18" s="87"/>
      <c r="HFD18" s="87"/>
      <c r="HFE18" s="87"/>
      <c r="HFF18" s="87"/>
      <c r="HFG18" s="87"/>
      <c r="HFH18" s="87"/>
      <c r="HFI18" s="87"/>
      <c r="HFJ18" s="87"/>
      <c r="HFK18" s="87"/>
      <c r="HFL18" s="87"/>
      <c r="HFM18" s="87"/>
      <c r="HFN18" s="87"/>
      <c r="HFO18" s="87"/>
      <c r="HFP18" s="87"/>
      <c r="HFQ18" s="87"/>
      <c r="HFR18" s="87"/>
      <c r="HFS18" s="87"/>
      <c r="HFT18" s="87"/>
      <c r="HFU18" s="87"/>
      <c r="HFV18" s="87"/>
      <c r="HFW18" s="87"/>
      <c r="HFX18" s="87"/>
      <c r="HFY18" s="87"/>
      <c r="HFZ18" s="87"/>
      <c r="HGA18" s="87"/>
      <c r="HGB18" s="87"/>
      <c r="HGC18" s="87"/>
      <c r="HGD18" s="87"/>
      <c r="HGE18" s="87"/>
      <c r="HGF18" s="87"/>
      <c r="HGG18" s="87"/>
      <c r="HGH18" s="87"/>
      <c r="HGI18" s="87"/>
      <c r="HGJ18" s="87"/>
      <c r="HGK18" s="87"/>
      <c r="HGL18" s="87"/>
      <c r="HGM18" s="87"/>
      <c r="HGN18" s="87"/>
      <c r="HGO18" s="87"/>
      <c r="HGP18" s="87"/>
      <c r="HGQ18" s="87"/>
      <c r="HGR18" s="87"/>
      <c r="HGS18" s="87"/>
      <c r="HGT18" s="87"/>
      <c r="HGU18" s="87"/>
      <c r="HGV18" s="87"/>
      <c r="HGW18" s="87"/>
      <c r="HGX18" s="87"/>
      <c r="HGY18" s="87"/>
      <c r="HGZ18" s="87"/>
      <c r="HHA18" s="87"/>
      <c r="HHB18" s="87"/>
      <c r="HHC18" s="87"/>
      <c r="HHD18" s="87"/>
      <c r="HHE18" s="87"/>
      <c r="HHF18" s="87"/>
      <c r="HHG18" s="87"/>
      <c r="HHH18" s="87"/>
      <c r="HHI18" s="87"/>
      <c r="HHJ18" s="87"/>
      <c r="HHK18" s="87"/>
      <c r="HHL18" s="87"/>
      <c r="HHM18" s="87"/>
      <c r="HHN18" s="87"/>
      <c r="HHO18" s="87"/>
      <c r="HHP18" s="87"/>
      <c r="HHQ18" s="87"/>
      <c r="HHR18" s="87"/>
      <c r="HHS18" s="87"/>
      <c r="HHT18" s="87"/>
      <c r="HHU18" s="87"/>
      <c r="HHV18" s="87"/>
      <c r="HHW18" s="87"/>
      <c r="HHX18" s="87"/>
      <c r="HHY18" s="87"/>
      <c r="HHZ18" s="87"/>
      <c r="HIA18" s="87"/>
      <c r="HIB18" s="87"/>
      <c r="HIC18" s="87"/>
      <c r="HID18" s="87"/>
      <c r="HIE18" s="87"/>
      <c r="HIF18" s="87"/>
      <c r="HIG18" s="87"/>
      <c r="HIH18" s="87"/>
      <c r="HII18" s="87"/>
      <c r="HIJ18" s="87"/>
      <c r="HIK18" s="87"/>
      <c r="HIL18" s="87"/>
      <c r="HIM18" s="87"/>
      <c r="HIN18" s="87"/>
      <c r="HIO18" s="87"/>
      <c r="HIP18" s="87"/>
      <c r="HIQ18" s="87"/>
      <c r="HIR18" s="87"/>
      <c r="HIS18" s="87"/>
      <c r="HIT18" s="87"/>
      <c r="HIU18" s="87"/>
      <c r="HIV18" s="87"/>
      <c r="HIW18" s="87"/>
      <c r="HIX18" s="87"/>
      <c r="HIY18" s="87"/>
      <c r="HIZ18" s="87"/>
      <c r="HJA18" s="87"/>
      <c r="HJB18" s="87"/>
      <c r="HJC18" s="87"/>
      <c r="HJD18" s="87"/>
      <c r="HJE18" s="87"/>
      <c r="HJF18" s="87"/>
      <c r="HJG18" s="87"/>
      <c r="HJH18" s="87"/>
      <c r="HJI18" s="87"/>
      <c r="HJJ18" s="87"/>
      <c r="HJK18" s="87"/>
      <c r="HJL18" s="87"/>
      <c r="HJM18" s="87"/>
      <c r="HJN18" s="87"/>
      <c r="HJO18" s="87"/>
      <c r="HJP18" s="87"/>
      <c r="HJQ18" s="87"/>
      <c r="HJR18" s="87"/>
      <c r="HJS18" s="87"/>
      <c r="HJT18" s="87"/>
      <c r="HJU18" s="87"/>
      <c r="HJV18" s="87"/>
      <c r="HJW18" s="87"/>
      <c r="HJX18" s="87"/>
      <c r="HJY18" s="87"/>
      <c r="HJZ18" s="87"/>
      <c r="HKA18" s="87"/>
      <c r="HKB18" s="87"/>
      <c r="HKC18" s="87"/>
      <c r="HKD18" s="87"/>
      <c r="HKE18" s="87"/>
      <c r="HKF18" s="87"/>
      <c r="HKG18" s="87"/>
      <c r="HKH18" s="87"/>
      <c r="HKI18" s="87"/>
      <c r="HKJ18" s="87"/>
      <c r="HKK18" s="87"/>
      <c r="HKL18" s="87"/>
      <c r="HKM18" s="87"/>
      <c r="HKN18" s="87"/>
      <c r="HKO18" s="87"/>
      <c r="HKP18" s="87"/>
      <c r="HKQ18" s="87"/>
      <c r="HKR18" s="87"/>
      <c r="HKS18" s="87"/>
      <c r="HKT18" s="87"/>
      <c r="HKU18" s="87"/>
      <c r="HKV18" s="87"/>
      <c r="HKW18" s="87"/>
      <c r="HKX18" s="87"/>
      <c r="HKY18" s="87"/>
      <c r="HKZ18" s="87"/>
      <c r="HLA18" s="87"/>
      <c r="HLB18" s="87"/>
      <c r="HLC18" s="87"/>
      <c r="HLD18" s="87"/>
      <c r="HLE18" s="87"/>
      <c r="HLF18" s="87"/>
      <c r="HLG18" s="87"/>
      <c r="HLH18" s="87"/>
      <c r="HLI18" s="87"/>
      <c r="HLJ18" s="87"/>
      <c r="HLK18" s="87"/>
      <c r="HLL18" s="87"/>
      <c r="HLM18" s="87"/>
      <c r="HLN18" s="87"/>
      <c r="HLO18" s="87"/>
      <c r="HLP18" s="87"/>
      <c r="HLQ18" s="87"/>
      <c r="HLR18" s="87"/>
      <c r="HLS18" s="87"/>
      <c r="HLT18" s="87"/>
      <c r="HLU18" s="87"/>
      <c r="HLV18" s="87"/>
      <c r="HLW18" s="87"/>
      <c r="HLX18" s="87"/>
      <c r="HLY18" s="87"/>
      <c r="HLZ18" s="87"/>
      <c r="HMA18" s="87"/>
      <c r="HMB18" s="87"/>
      <c r="HMC18" s="87"/>
      <c r="HMD18" s="87"/>
      <c r="HME18" s="87"/>
      <c r="HMF18" s="87"/>
      <c r="HMG18" s="87"/>
      <c r="HMH18" s="87"/>
      <c r="HMI18" s="87"/>
      <c r="HMJ18" s="87"/>
      <c r="HMK18" s="87"/>
      <c r="HML18" s="87"/>
      <c r="HMM18" s="87"/>
      <c r="HMN18" s="87"/>
      <c r="HMO18" s="87"/>
      <c r="HMP18" s="87"/>
      <c r="HMQ18" s="87"/>
      <c r="HMR18" s="87"/>
      <c r="HMS18" s="87"/>
      <c r="HMT18" s="87"/>
      <c r="HMU18" s="87"/>
      <c r="HMV18" s="87"/>
      <c r="HMW18" s="87"/>
      <c r="HMX18" s="87"/>
      <c r="HMY18" s="87"/>
      <c r="HMZ18" s="87"/>
      <c r="HNA18" s="87"/>
      <c r="HNB18" s="87"/>
      <c r="HNC18" s="87"/>
      <c r="HND18" s="87"/>
      <c r="HNE18" s="87"/>
      <c r="HNF18" s="87"/>
      <c r="HNG18" s="87"/>
      <c r="HNH18" s="87"/>
      <c r="HNI18" s="87"/>
      <c r="HNJ18" s="87"/>
      <c r="HNK18" s="87"/>
      <c r="HNL18" s="87"/>
      <c r="HNM18" s="87"/>
      <c r="HNN18" s="87"/>
      <c r="HNO18" s="87"/>
      <c r="HNP18" s="87"/>
      <c r="HNQ18" s="87"/>
      <c r="HNR18" s="87"/>
      <c r="HNS18" s="87"/>
      <c r="HNT18" s="87"/>
      <c r="HNU18" s="87"/>
      <c r="HNV18" s="87"/>
      <c r="HNW18" s="87"/>
      <c r="HNX18" s="87"/>
      <c r="HNY18" s="87"/>
      <c r="HNZ18" s="87"/>
      <c r="HOA18" s="87"/>
      <c r="HOB18" s="87"/>
      <c r="HOC18" s="87"/>
      <c r="HOD18" s="87"/>
      <c r="HOE18" s="87"/>
      <c r="HOF18" s="87"/>
      <c r="HOG18" s="87"/>
      <c r="HOH18" s="87"/>
      <c r="HOI18" s="87"/>
      <c r="HOJ18" s="87"/>
      <c r="HOK18" s="87"/>
      <c r="HOL18" s="87"/>
      <c r="HOM18" s="87"/>
      <c r="HON18" s="87"/>
      <c r="HOO18" s="87"/>
      <c r="HOP18" s="87"/>
      <c r="HOQ18" s="87"/>
      <c r="HOR18" s="87"/>
      <c r="HOS18" s="87"/>
      <c r="HOT18" s="87"/>
      <c r="HOU18" s="87"/>
      <c r="HOV18" s="87"/>
      <c r="HOW18" s="87"/>
      <c r="HOX18" s="87"/>
      <c r="HOY18" s="87"/>
      <c r="HOZ18" s="87"/>
      <c r="HPA18" s="87"/>
      <c r="HPB18" s="87"/>
      <c r="HPC18" s="87"/>
      <c r="HPD18" s="87"/>
      <c r="HPE18" s="87"/>
      <c r="HPF18" s="87"/>
      <c r="HPG18" s="87"/>
      <c r="HPH18" s="87"/>
      <c r="HPI18" s="87"/>
      <c r="HPJ18" s="87"/>
      <c r="HPK18" s="87"/>
      <c r="HPL18" s="87"/>
      <c r="HPM18" s="87"/>
      <c r="HPN18" s="87"/>
      <c r="HPO18" s="87"/>
      <c r="HPP18" s="87"/>
      <c r="HPQ18" s="87"/>
      <c r="HPR18" s="87"/>
      <c r="HPS18" s="87"/>
      <c r="HPT18" s="87"/>
      <c r="HPU18" s="87"/>
      <c r="HPV18" s="87"/>
      <c r="HPW18" s="87"/>
      <c r="HPX18" s="87"/>
      <c r="HPY18" s="87"/>
      <c r="HPZ18" s="87"/>
      <c r="HQA18" s="87"/>
      <c r="HQB18" s="87"/>
      <c r="HQC18" s="87"/>
      <c r="HQD18" s="87"/>
      <c r="HQE18" s="87"/>
      <c r="HQF18" s="87"/>
      <c r="HQG18" s="87"/>
      <c r="HQH18" s="87"/>
      <c r="HQI18" s="87"/>
      <c r="HQJ18" s="87"/>
      <c r="HQK18" s="87"/>
      <c r="HQL18" s="87"/>
      <c r="HQM18" s="87"/>
      <c r="HQN18" s="87"/>
      <c r="HQO18" s="87"/>
      <c r="HQP18" s="87"/>
      <c r="HQQ18" s="87"/>
      <c r="HQR18" s="87"/>
      <c r="HQS18" s="87"/>
      <c r="HQT18" s="87"/>
      <c r="HQU18" s="87"/>
      <c r="HQV18" s="87"/>
      <c r="HQW18" s="87"/>
      <c r="HQX18" s="87"/>
      <c r="HQY18" s="87"/>
      <c r="HQZ18" s="87"/>
      <c r="HRA18" s="87"/>
      <c r="HRB18" s="87"/>
      <c r="HRC18" s="87"/>
      <c r="HRD18" s="87"/>
      <c r="HRE18" s="87"/>
      <c r="HRF18" s="87"/>
      <c r="HRG18" s="87"/>
      <c r="HRH18" s="87"/>
      <c r="HRI18" s="87"/>
      <c r="HRJ18" s="87"/>
      <c r="HRK18" s="87"/>
      <c r="HRL18" s="87"/>
      <c r="HRM18" s="87"/>
      <c r="HRN18" s="87"/>
      <c r="HRO18" s="87"/>
      <c r="HRP18" s="87"/>
      <c r="HRQ18" s="87"/>
      <c r="HRR18" s="87"/>
      <c r="HRS18" s="87"/>
      <c r="HRT18" s="87"/>
      <c r="HRU18" s="87"/>
      <c r="HRV18" s="87"/>
      <c r="HRW18" s="87"/>
      <c r="HRX18" s="87"/>
      <c r="HRY18" s="87"/>
      <c r="HRZ18" s="87"/>
      <c r="HSA18" s="87"/>
      <c r="HSB18" s="87"/>
      <c r="HSC18" s="87"/>
      <c r="HSD18" s="87"/>
      <c r="HSE18" s="87"/>
      <c r="HSF18" s="87"/>
      <c r="HSG18" s="87"/>
      <c r="HSH18" s="87"/>
      <c r="HSI18" s="87"/>
      <c r="HSJ18" s="87"/>
      <c r="HSK18" s="87"/>
      <c r="HSL18" s="87"/>
      <c r="HSM18" s="87"/>
      <c r="HSN18" s="87"/>
      <c r="HSO18" s="87"/>
      <c r="HSP18" s="87"/>
      <c r="HSQ18" s="87"/>
      <c r="HSR18" s="87"/>
      <c r="HSS18" s="87"/>
      <c r="HST18" s="87"/>
      <c r="HSU18" s="87"/>
      <c r="HSV18" s="87"/>
      <c r="HSW18" s="87"/>
      <c r="HSX18" s="87"/>
      <c r="HSY18" s="87"/>
      <c r="HSZ18" s="87"/>
      <c r="HTA18" s="87"/>
      <c r="HTB18" s="87"/>
      <c r="HTC18" s="87"/>
      <c r="HTD18" s="87"/>
      <c r="HTE18" s="87"/>
      <c r="HTF18" s="87"/>
      <c r="HTG18" s="87"/>
      <c r="HTH18" s="87"/>
      <c r="HTI18" s="87"/>
      <c r="HTJ18" s="87"/>
      <c r="HTK18" s="87"/>
      <c r="HTL18" s="87"/>
      <c r="HTM18" s="87"/>
      <c r="HTN18" s="87"/>
      <c r="HTO18" s="87"/>
      <c r="HTP18" s="87"/>
      <c r="HTQ18" s="87"/>
      <c r="HTR18" s="87"/>
      <c r="HTS18" s="87"/>
      <c r="HTT18" s="87"/>
      <c r="HTU18" s="87"/>
      <c r="HTV18" s="87"/>
      <c r="HTW18" s="87"/>
      <c r="HTX18" s="87"/>
      <c r="HTY18" s="87"/>
      <c r="HTZ18" s="87"/>
      <c r="HUA18" s="87"/>
      <c r="HUB18" s="87"/>
      <c r="HUC18" s="87"/>
      <c r="HUD18" s="87"/>
      <c r="HUE18" s="87"/>
      <c r="HUF18" s="87"/>
      <c r="HUG18" s="87"/>
      <c r="HUH18" s="87"/>
      <c r="HUI18" s="87"/>
      <c r="HUJ18" s="87"/>
      <c r="HUK18" s="87"/>
      <c r="HUL18" s="87"/>
      <c r="HUM18" s="87"/>
      <c r="HUN18" s="87"/>
      <c r="HUO18" s="87"/>
      <c r="HUP18" s="87"/>
      <c r="HUQ18" s="87"/>
      <c r="HUR18" s="87"/>
      <c r="HUS18" s="87"/>
      <c r="HUT18" s="87"/>
      <c r="HUU18" s="87"/>
      <c r="HUV18" s="87"/>
      <c r="HUW18" s="87"/>
      <c r="HUX18" s="87"/>
      <c r="HUY18" s="87"/>
      <c r="HUZ18" s="87"/>
      <c r="HVA18" s="87"/>
      <c r="HVB18" s="87"/>
      <c r="HVC18" s="87"/>
      <c r="HVD18" s="87"/>
      <c r="HVE18" s="87"/>
      <c r="HVF18" s="87"/>
      <c r="HVG18" s="87"/>
      <c r="HVH18" s="87"/>
      <c r="HVI18" s="87"/>
      <c r="HVJ18" s="87"/>
      <c r="HVK18" s="87"/>
      <c r="HVL18" s="87"/>
      <c r="HVM18" s="87"/>
      <c r="HVN18" s="87"/>
      <c r="HVO18" s="87"/>
      <c r="HVP18" s="87"/>
      <c r="HVQ18" s="87"/>
      <c r="HVR18" s="87"/>
      <c r="HVS18" s="87"/>
      <c r="HVT18" s="87"/>
      <c r="HVU18" s="87"/>
      <c r="HVV18" s="87"/>
      <c r="HVW18" s="87"/>
      <c r="HVX18" s="87"/>
      <c r="HVY18" s="87"/>
      <c r="HVZ18" s="87"/>
      <c r="HWA18" s="87"/>
      <c r="HWB18" s="87"/>
      <c r="HWC18" s="87"/>
      <c r="HWD18" s="87"/>
      <c r="HWE18" s="87"/>
      <c r="HWF18" s="87"/>
      <c r="HWG18" s="87"/>
      <c r="HWH18" s="87"/>
      <c r="HWI18" s="87"/>
      <c r="HWJ18" s="87"/>
      <c r="HWK18" s="87"/>
      <c r="HWL18" s="87"/>
      <c r="HWM18" s="87"/>
      <c r="HWN18" s="87"/>
      <c r="HWO18" s="87"/>
      <c r="HWP18" s="87"/>
      <c r="HWQ18" s="87"/>
      <c r="HWR18" s="87"/>
      <c r="HWS18" s="87"/>
      <c r="HWT18" s="87"/>
      <c r="HWU18" s="87"/>
      <c r="HWV18" s="87"/>
      <c r="HWW18" s="87"/>
      <c r="HWX18" s="87"/>
      <c r="HWY18" s="87"/>
      <c r="HWZ18" s="87"/>
      <c r="HXA18" s="87"/>
      <c r="HXB18" s="87"/>
      <c r="HXC18" s="87"/>
      <c r="HXD18" s="87"/>
      <c r="HXE18" s="87"/>
      <c r="HXF18" s="87"/>
      <c r="HXG18" s="87"/>
      <c r="HXH18" s="87"/>
      <c r="HXI18" s="87"/>
      <c r="HXJ18" s="87"/>
      <c r="HXK18" s="87"/>
      <c r="HXL18" s="87"/>
      <c r="HXM18" s="87"/>
      <c r="HXN18" s="87"/>
      <c r="HXO18" s="87"/>
      <c r="HXP18" s="87"/>
      <c r="HXQ18" s="87"/>
      <c r="HXR18" s="87"/>
      <c r="HXS18" s="87"/>
      <c r="HXT18" s="87"/>
      <c r="HXU18" s="87"/>
      <c r="HXV18" s="87"/>
      <c r="HXW18" s="87"/>
      <c r="HXX18" s="87"/>
      <c r="HXY18" s="87"/>
      <c r="HXZ18" s="87"/>
      <c r="HYA18" s="87"/>
      <c r="HYB18" s="87"/>
      <c r="HYC18" s="87"/>
      <c r="HYD18" s="87"/>
      <c r="HYE18" s="87"/>
      <c r="HYF18" s="87"/>
      <c r="HYG18" s="87"/>
      <c r="HYH18" s="87"/>
      <c r="HYI18" s="87"/>
      <c r="HYJ18" s="87"/>
      <c r="HYK18" s="87"/>
      <c r="HYL18" s="87"/>
      <c r="HYM18" s="87"/>
      <c r="HYN18" s="87"/>
      <c r="HYO18" s="87"/>
      <c r="HYP18" s="87"/>
      <c r="HYQ18" s="87"/>
      <c r="HYR18" s="87"/>
      <c r="HYS18" s="87"/>
      <c r="HYT18" s="87"/>
      <c r="HYU18" s="87"/>
      <c r="HYV18" s="87"/>
      <c r="HYW18" s="87"/>
      <c r="HYX18" s="87"/>
      <c r="HYY18" s="87"/>
      <c r="HYZ18" s="87"/>
      <c r="HZA18" s="87"/>
      <c r="HZB18" s="87"/>
      <c r="HZC18" s="87"/>
      <c r="HZD18" s="87"/>
      <c r="HZE18" s="87"/>
      <c r="HZF18" s="87"/>
      <c r="HZG18" s="87"/>
      <c r="HZH18" s="87"/>
      <c r="HZI18" s="87"/>
      <c r="HZJ18" s="87"/>
      <c r="HZK18" s="87"/>
      <c r="HZL18" s="87"/>
      <c r="HZM18" s="87"/>
      <c r="HZN18" s="87"/>
      <c r="HZO18" s="87"/>
      <c r="HZP18" s="87"/>
      <c r="HZQ18" s="87"/>
      <c r="HZR18" s="87"/>
      <c r="HZS18" s="87"/>
      <c r="HZT18" s="87"/>
      <c r="HZU18" s="87"/>
      <c r="HZV18" s="87"/>
      <c r="HZW18" s="87"/>
      <c r="HZX18" s="87"/>
      <c r="HZY18" s="87"/>
      <c r="HZZ18" s="87"/>
      <c r="IAA18" s="87"/>
      <c r="IAB18" s="87"/>
      <c r="IAC18" s="87"/>
      <c r="IAD18" s="87"/>
      <c r="IAE18" s="87"/>
      <c r="IAF18" s="87"/>
      <c r="IAG18" s="87"/>
      <c r="IAH18" s="87"/>
      <c r="IAI18" s="87"/>
      <c r="IAJ18" s="87"/>
      <c r="IAK18" s="87"/>
      <c r="IAL18" s="87"/>
      <c r="IAM18" s="87"/>
      <c r="IAN18" s="87"/>
      <c r="IAO18" s="87"/>
      <c r="IAP18" s="87"/>
      <c r="IAQ18" s="87"/>
      <c r="IAR18" s="87"/>
      <c r="IAS18" s="87"/>
      <c r="IAT18" s="87"/>
      <c r="IAU18" s="87"/>
      <c r="IAV18" s="87"/>
      <c r="IAW18" s="87"/>
      <c r="IAX18" s="87"/>
      <c r="IAY18" s="87"/>
      <c r="IAZ18" s="87"/>
      <c r="IBA18" s="87"/>
      <c r="IBB18" s="87"/>
      <c r="IBC18" s="87"/>
      <c r="IBD18" s="87"/>
      <c r="IBE18" s="87"/>
      <c r="IBF18" s="87"/>
      <c r="IBG18" s="87"/>
      <c r="IBH18" s="87"/>
      <c r="IBI18" s="87"/>
      <c r="IBJ18" s="87"/>
      <c r="IBK18" s="87"/>
      <c r="IBL18" s="87"/>
      <c r="IBM18" s="87"/>
      <c r="IBN18" s="87"/>
      <c r="IBO18" s="87"/>
      <c r="IBP18" s="87"/>
      <c r="IBQ18" s="87"/>
      <c r="IBR18" s="87"/>
      <c r="IBS18" s="87"/>
      <c r="IBT18" s="87"/>
      <c r="IBU18" s="87"/>
      <c r="IBV18" s="87"/>
      <c r="IBW18" s="87"/>
      <c r="IBX18" s="87"/>
      <c r="IBY18" s="87"/>
      <c r="IBZ18" s="87"/>
      <c r="ICA18" s="87"/>
      <c r="ICB18" s="87"/>
      <c r="ICC18" s="87"/>
      <c r="ICD18" s="87"/>
      <c r="ICE18" s="87"/>
      <c r="ICF18" s="87"/>
      <c r="ICG18" s="87"/>
      <c r="ICH18" s="87"/>
      <c r="ICI18" s="87"/>
      <c r="ICJ18" s="87"/>
      <c r="ICK18" s="87"/>
      <c r="ICL18" s="87"/>
      <c r="ICM18" s="87"/>
      <c r="ICN18" s="87"/>
      <c r="ICO18" s="87"/>
      <c r="ICP18" s="87"/>
      <c r="ICQ18" s="87"/>
      <c r="ICR18" s="87"/>
      <c r="ICS18" s="87"/>
      <c r="ICT18" s="87"/>
      <c r="ICU18" s="87"/>
      <c r="ICV18" s="87"/>
      <c r="ICW18" s="87"/>
      <c r="ICX18" s="87"/>
      <c r="ICY18" s="87"/>
      <c r="ICZ18" s="87"/>
      <c r="IDA18" s="87"/>
      <c r="IDB18" s="87"/>
      <c r="IDC18" s="87"/>
      <c r="IDD18" s="87"/>
      <c r="IDE18" s="87"/>
      <c r="IDF18" s="87"/>
      <c r="IDG18" s="87"/>
      <c r="IDH18" s="87"/>
      <c r="IDI18" s="87"/>
      <c r="IDJ18" s="87"/>
      <c r="IDK18" s="87"/>
      <c r="IDL18" s="87"/>
      <c r="IDM18" s="87"/>
      <c r="IDN18" s="87"/>
      <c r="IDO18" s="87"/>
      <c r="IDP18" s="87"/>
      <c r="IDQ18" s="87"/>
      <c r="IDR18" s="87"/>
      <c r="IDS18" s="87"/>
      <c r="IDT18" s="87"/>
      <c r="IDU18" s="87"/>
      <c r="IDV18" s="87"/>
      <c r="IDW18" s="87"/>
      <c r="IDX18" s="87"/>
      <c r="IDY18" s="87"/>
      <c r="IDZ18" s="87"/>
      <c r="IEA18" s="87"/>
      <c r="IEB18" s="87"/>
      <c r="IEC18" s="87"/>
      <c r="IED18" s="87"/>
      <c r="IEE18" s="87"/>
      <c r="IEF18" s="87"/>
      <c r="IEG18" s="87"/>
      <c r="IEH18" s="87"/>
      <c r="IEI18" s="87"/>
      <c r="IEJ18" s="87"/>
      <c r="IEK18" s="87"/>
      <c r="IEL18" s="87"/>
      <c r="IEM18" s="87"/>
      <c r="IEN18" s="87"/>
      <c r="IEO18" s="87"/>
      <c r="IEP18" s="87"/>
      <c r="IEQ18" s="87"/>
      <c r="IER18" s="87"/>
      <c r="IES18" s="87"/>
      <c r="IET18" s="87"/>
      <c r="IEU18" s="87"/>
      <c r="IEV18" s="87"/>
      <c r="IEW18" s="87"/>
      <c r="IEX18" s="87"/>
      <c r="IEY18" s="87"/>
      <c r="IEZ18" s="87"/>
      <c r="IFA18" s="87"/>
      <c r="IFB18" s="87"/>
      <c r="IFC18" s="87"/>
      <c r="IFD18" s="87"/>
      <c r="IFE18" s="87"/>
      <c r="IFF18" s="87"/>
      <c r="IFG18" s="87"/>
      <c r="IFH18" s="87"/>
      <c r="IFI18" s="87"/>
      <c r="IFJ18" s="87"/>
      <c r="IFK18" s="87"/>
      <c r="IFL18" s="87"/>
      <c r="IFM18" s="87"/>
      <c r="IFN18" s="87"/>
      <c r="IFO18" s="87"/>
      <c r="IFP18" s="87"/>
      <c r="IFQ18" s="87"/>
      <c r="IFR18" s="87"/>
      <c r="IFS18" s="87"/>
      <c r="IFT18" s="87"/>
      <c r="IFU18" s="87"/>
      <c r="IFV18" s="87"/>
      <c r="IFW18" s="87"/>
      <c r="IFX18" s="87"/>
      <c r="IFY18" s="87"/>
      <c r="IFZ18" s="87"/>
      <c r="IGA18" s="87"/>
      <c r="IGB18" s="87"/>
      <c r="IGC18" s="87"/>
      <c r="IGD18" s="87"/>
      <c r="IGE18" s="87"/>
      <c r="IGF18" s="87"/>
      <c r="IGG18" s="87"/>
      <c r="IGH18" s="87"/>
      <c r="IGI18" s="87"/>
      <c r="IGJ18" s="87"/>
      <c r="IGK18" s="87"/>
      <c r="IGL18" s="87"/>
      <c r="IGM18" s="87"/>
      <c r="IGN18" s="87"/>
      <c r="IGO18" s="87"/>
      <c r="IGP18" s="87"/>
      <c r="IGQ18" s="87"/>
      <c r="IGR18" s="87"/>
      <c r="IGS18" s="87"/>
      <c r="IGT18" s="87"/>
      <c r="IGU18" s="87"/>
      <c r="IGV18" s="87"/>
      <c r="IGW18" s="87"/>
      <c r="IGX18" s="87"/>
      <c r="IGY18" s="87"/>
      <c r="IGZ18" s="87"/>
      <c r="IHA18" s="87"/>
      <c r="IHB18" s="87"/>
      <c r="IHC18" s="87"/>
      <c r="IHD18" s="87"/>
      <c r="IHE18" s="87"/>
      <c r="IHF18" s="87"/>
      <c r="IHG18" s="87"/>
      <c r="IHH18" s="87"/>
      <c r="IHI18" s="87"/>
      <c r="IHJ18" s="87"/>
      <c r="IHK18" s="87"/>
      <c r="IHL18" s="87"/>
      <c r="IHM18" s="87"/>
      <c r="IHN18" s="87"/>
      <c r="IHO18" s="87"/>
      <c r="IHP18" s="87"/>
      <c r="IHQ18" s="87"/>
      <c r="IHR18" s="87"/>
      <c r="IHS18" s="87"/>
      <c r="IHT18" s="87"/>
      <c r="IHU18" s="87"/>
      <c r="IHV18" s="87"/>
      <c r="IHW18" s="87"/>
      <c r="IHX18" s="87"/>
      <c r="IHY18" s="87"/>
      <c r="IHZ18" s="87"/>
      <c r="IIA18" s="87"/>
      <c r="IIB18" s="87"/>
      <c r="IIC18" s="87"/>
      <c r="IID18" s="87"/>
      <c r="IIE18" s="87"/>
      <c r="IIF18" s="87"/>
      <c r="IIG18" s="87"/>
      <c r="IIH18" s="87"/>
      <c r="III18" s="87"/>
      <c r="IIJ18" s="87"/>
      <c r="IIK18" s="87"/>
      <c r="IIL18" s="87"/>
      <c r="IIM18" s="87"/>
      <c r="IIN18" s="87"/>
      <c r="IIO18" s="87"/>
      <c r="IIP18" s="87"/>
      <c r="IIQ18" s="87"/>
      <c r="IIR18" s="87"/>
      <c r="IIS18" s="87"/>
      <c r="IIT18" s="87"/>
      <c r="IIU18" s="87"/>
      <c r="IIV18" s="87"/>
      <c r="IIW18" s="87"/>
      <c r="IIX18" s="87"/>
      <c r="IIY18" s="87"/>
      <c r="IIZ18" s="87"/>
      <c r="IJA18" s="87"/>
      <c r="IJB18" s="87"/>
      <c r="IJC18" s="87"/>
      <c r="IJD18" s="87"/>
      <c r="IJE18" s="87"/>
      <c r="IJF18" s="87"/>
      <c r="IJG18" s="87"/>
      <c r="IJH18" s="87"/>
      <c r="IJI18" s="87"/>
      <c r="IJJ18" s="87"/>
      <c r="IJK18" s="87"/>
      <c r="IJL18" s="87"/>
      <c r="IJM18" s="87"/>
      <c r="IJN18" s="87"/>
      <c r="IJO18" s="87"/>
      <c r="IJP18" s="87"/>
      <c r="IJQ18" s="87"/>
      <c r="IJR18" s="87"/>
      <c r="IJS18" s="87"/>
      <c r="IJT18" s="87"/>
      <c r="IJU18" s="87"/>
      <c r="IJV18" s="87"/>
      <c r="IJW18" s="87"/>
      <c r="IJX18" s="87"/>
      <c r="IJY18" s="87"/>
      <c r="IJZ18" s="87"/>
      <c r="IKA18" s="87"/>
      <c r="IKB18" s="87"/>
      <c r="IKC18" s="87"/>
      <c r="IKD18" s="87"/>
      <c r="IKE18" s="87"/>
      <c r="IKF18" s="87"/>
      <c r="IKG18" s="87"/>
      <c r="IKH18" s="87"/>
      <c r="IKI18" s="87"/>
      <c r="IKJ18" s="87"/>
      <c r="IKK18" s="87"/>
      <c r="IKL18" s="87"/>
      <c r="IKM18" s="87"/>
      <c r="IKN18" s="87"/>
      <c r="IKO18" s="87"/>
      <c r="IKP18" s="87"/>
      <c r="IKQ18" s="87"/>
      <c r="IKR18" s="87"/>
      <c r="IKS18" s="87"/>
      <c r="IKT18" s="87"/>
      <c r="IKU18" s="87"/>
      <c r="IKV18" s="87"/>
      <c r="IKW18" s="87"/>
      <c r="IKX18" s="87"/>
      <c r="IKY18" s="87"/>
      <c r="IKZ18" s="87"/>
      <c r="ILA18" s="87"/>
      <c r="ILB18" s="87"/>
      <c r="ILC18" s="87"/>
      <c r="ILD18" s="87"/>
      <c r="ILE18" s="87"/>
      <c r="ILF18" s="87"/>
      <c r="ILG18" s="87"/>
      <c r="ILH18" s="87"/>
      <c r="ILI18" s="87"/>
      <c r="ILJ18" s="87"/>
      <c r="ILK18" s="87"/>
      <c r="ILL18" s="87"/>
      <c r="ILM18" s="87"/>
      <c r="ILN18" s="87"/>
      <c r="ILO18" s="87"/>
      <c r="ILP18" s="87"/>
      <c r="ILQ18" s="87"/>
      <c r="ILR18" s="87"/>
      <c r="ILS18" s="87"/>
      <c r="ILT18" s="87"/>
      <c r="ILU18" s="87"/>
      <c r="ILV18" s="87"/>
      <c r="ILW18" s="87"/>
      <c r="ILX18" s="87"/>
      <c r="ILY18" s="87"/>
      <c r="ILZ18" s="87"/>
      <c r="IMA18" s="87"/>
      <c r="IMB18" s="87"/>
      <c r="IMC18" s="87"/>
      <c r="IMD18" s="87"/>
      <c r="IME18" s="87"/>
      <c r="IMF18" s="87"/>
      <c r="IMG18" s="87"/>
      <c r="IMH18" s="87"/>
      <c r="IMI18" s="87"/>
      <c r="IMJ18" s="87"/>
      <c r="IMK18" s="87"/>
      <c r="IML18" s="87"/>
      <c r="IMM18" s="87"/>
      <c r="IMN18" s="87"/>
      <c r="IMO18" s="87"/>
      <c r="IMP18" s="87"/>
      <c r="IMQ18" s="87"/>
      <c r="IMR18" s="87"/>
      <c r="IMS18" s="87"/>
      <c r="IMT18" s="87"/>
      <c r="IMU18" s="87"/>
      <c r="IMV18" s="87"/>
      <c r="IMW18" s="87"/>
      <c r="IMX18" s="87"/>
      <c r="IMY18" s="87"/>
      <c r="IMZ18" s="87"/>
      <c r="INA18" s="87"/>
      <c r="INB18" s="87"/>
      <c r="INC18" s="87"/>
      <c r="IND18" s="87"/>
      <c r="INE18" s="87"/>
      <c r="INF18" s="87"/>
      <c r="ING18" s="87"/>
      <c r="INH18" s="87"/>
      <c r="INI18" s="87"/>
      <c r="INJ18" s="87"/>
      <c r="INK18" s="87"/>
      <c r="INL18" s="87"/>
      <c r="INM18" s="87"/>
      <c r="INN18" s="87"/>
      <c r="INO18" s="87"/>
      <c r="INP18" s="87"/>
      <c r="INQ18" s="87"/>
      <c r="INR18" s="87"/>
      <c r="INS18" s="87"/>
      <c r="INT18" s="87"/>
      <c r="INU18" s="87"/>
      <c r="INV18" s="87"/>
      <c r="INW18" s="87"/>
      <c r="INX18" s="87"/>
      <c r="INY18" s="87"/>
      <c r="INZ18" s="87"/>
      <c r="IOA18" s="87"/>
      <c r="IOB18" s="87"/>
      <c r="IOC18" s="87"/>
      <c r="IOD18" s="87"/>
      <c r="IOE18" s="87"/>
      <c r="IOF18" s="87"/>
      <c r="IOG18" s="87"/>
      <c r="IOH18" s="87"/>
      <c r="IOI18" s="87"/>
      <c r="IOJ18" s="87"/>
      <c r="IOK18" s="87"/>
      <c r="IOL18" s="87"/>
      <c r="IOM18" s="87"/>
      <c r="ION18" s="87"/>
      <c r="IOO18" s="87"/>
      <c r="IOP18" s="87"/>
      <c r="IOQ18" s="87"/>
      <c r="IOR18" s="87"/>
      <c r="IOS18" s="87"/>
      <c r="IOT18" s="87"/>
      <c r="IOU18" s="87"/>
      <c r="IOV18" s="87"/>
      <c r="IOW18" s="87"/>
      <c r="IOX18" s="87"/>
      <c r="IOY18" s="87"/>
      <c r="IOZ18" s="87"/>
      <c r="IPA18" s="87"/>
      <c r="IPB18" s="87"/>
      <c r="IPC18" s="87"/>
      <c r="IPD18" s="87"/>
      <c r="IPE18" s="87"/>
      <c r="IPF18" s="87"/>
      <c r="IPG18" s="87"/>
      <c r="IPH18" s="87"/>
      <c r="IPI18" s="87"/>
      <c r="IPJ18" s="87"/>
      <c r="IPK18" s="87"/>
      <c r="IPL18" s="87"/>
      <c r="IPM18" s="87"/>
      <c r="IPN18" s="87"/>
      <c r="IPO18" s="87"/>
      <c r="IPP18" s="87"/>
      <c r="IPQ18" s="87"/>
      <c r="IPR18" s="87"/>
      <c r="IPS18" s="87"/>
      <c r="IPT18" s="87"/>
      <c r="IPU18" s="87"/>
      <c r="IPV18" s="87"/>
      <c r="IPW18" s="87"/>
      <c r="IPX18" s="87"/>
      <c r="IPY18" s="87"/>
      <c r="IPZ18" s="87"/>
      <c r="IQA18" s="87"/>
      <c r="IQB18" s="87"/>
      <c r="IQC18" s="87"/>
      <c r="IQD18" s="87"/>
      <c r="IQE18" s="87"/>
      <c r="IQF18" s="87"/>
      <c r="IQG18" s="87"/>
      <c r="IQH18" s="87"/>
      <c r="IQI18" s="87"/>
      <c r="IQJ18" s="87"/>
      <c r="IQK18" s="87"/>
      <c r="IQL18" s="87"/>
      <c r="IQM18" s="87"/>
      <c r="IQN18" s="87"/>
      <c r="IQO18" s="87"/>
      <c r="IQP18" s="87"/>
      <c r="IQQ18" s="87"/>
      <c r="IQR18" s="87"/>
      <c r="IQS18" s="87"/>
      <c r="IQT18" s="87"/>
      <c r="IQU18" s="87"/>
      <c r="IQV18" s="87"/>
      <c r="IQW18" s="87"/>
      <c r="IQX18" s="87"/>
      <c r="IQY18" s="87"/>
      <c r="IQZ18" s="87"/>
      <c r="IRA18" s="87"/>
      <c r="IRB18" s="87"/>
      <c r="IRC18" s="87"/>
      <c r="IRD18" s="87"/>
      <c r="IRE18" s="87"/>
      <c r="IRF18" s="87"/>
      <c r="IRG18" s="87"/>
      <c r="IRH18" s="87"/>
      <c r="IRI18" s="87"/>
      <c r="IRJ18" s="87"/>
      <c r="IRK18" s="87"/>
      <c r="IRL18" s="87"/>
      <c r="IRM18" s="87"/>
      <c r="IRN18" s="87"/>
      <c r="IRO18" s="87"/>
      <c r="IRP18" s="87"/>
      <c r="IRQ18" s="87"/>
      <c r="IRR18" s="87"/>
      <c r="IRS18" s="87"/>
      <c r="IRT18" s="87"/>
      <c r="IRU18" s="87"/>
      <c r="IRV18" s="87"/>
      <c r="IRW18" s="87"/>
      <c r="IRX18" s="87"/>
      <c r="IRY18" s="87"/>
      <c r="IRZ18" s="87"/>
      <c r="ISA18" s="87"/>
      <c r="ISB18" s="87"/>
      <c r="ISC18" s="87"/>
      <c r="ISD18" s="87"/>
      <c r="ISE18" s="87"/>
      <c r="ISF18" s="87"/>
      <c r="ISG18" s="87"/>
      <c r="ISH18" s="87"/>
      <c r="ISI18" s="87"/>
      <c r="ISJ18" s="87"/>
      <c r="ISK18" s="87"/>
      <c r="ISL18" s="87"/>
      <c r="ISM18" s="87"/>
      <c r="ISN18" s="87"/>
      <c r="ISO18" s="87"/>
      <c r="ISP18" s="87"/>
      <c r="ISQ18" s="87"/>
      <c r="ISR18" s="87"/>
      <c r="ISS18" s="87"/>
      <c r="IST18" s="87"/>
      <c r="ISU18" s="87"/>
      <c r="ISV18" s="87"/>
      <c r="ISW18" s="87"/>
      <c r="ISX18" s="87"/>
      <c r="ISY18" s="87"/>
      <c r="ISZ18" s="87"/>
      <c r="ITA18" s="87"/>
      <c r="ITB18" s="87"/>
      <c r="ITC18" s="87"/>
      <c r="ITD18" s="87"/>
      <c r="ITE18" s="87"/>
      <c r="ITF18" s="87"/>
      <c r="ITG18" s="87"/>
      <c r="ITH18" s="87"/>
      <c r="ITI18" s="87"/>
      <c r="ITJ18" s="87"/>
      <c r="ITK18" s="87"/>
      <c r="ITL18" s="87"/>
      <c r="ITM18" s="87"/>
      <c r="ITN18" s="87"/>
      <c r="ITO18" s="87"/>
      <c r="ITP18" s="87"/>
      <c r="ITQ18" s="87"/>
      <c r="ITR18" s="87"/>
      <c r="ITS18" s="87"/>
      <c r="ITT18" s="87"/>
      <c r="ITU18" s="87"/>
      <c r="ITV18" s="87"/>
      <c r="ITW18" s="87"/>
      <c r="ITX18" s="87"/>
      <c r="ITY18" s="87"/>
      <c r="ITZ18" s="87"/>
      <c r="IUA18" s="87"/>
      <c r="IUB18" s="87"/>
      <c r="IUC18" s="87"/>
      <c r="IUD18" s="87"/>
      <c r="IUE18" s="87"/>
      <c r="IUF18" s="87"/>
      <c r="IUG18" s="87"/>
      <c r="IUH18" s="87"/>
      <c r="IUI18" s="87"/>
      <c r="IUJ18" s="87"/>
      <c r="IUK18" s="87"/>
      <c r="IUL18" s="87"/>
      <c r="IUM18" s="87"/>
      <c r="IUN18" s="87"/>
      <c r="IUO18" s="87"/>
      <c r="IUP18" s="87"/>
      <c r="IUQ18" s="87"/>
      <c r="IUR18" s="87"/>
      <c r="IUS18" s="87"/>
      <c r="IUT18" s="87"/>
      <c r="IUU18" s="87"/>
      <c r="IUV18" s="87"/>
      <c r="IUW18" s="87"/>
      <c r="IUX18" s="87"/>
      <c r="IUY18" s="87"/>
      <c r="IUZ18" s="87"/>
      <c r="IVA18" s="87"/>
      <c r="IVB18" s="87"/>
      <c r="IVC18" s="87"/>
      <c r="IVD18" s="87"/>
      <c r="IVE18" s="87"/>
      <c r="IVF18" s="87"/>
      <c r="IVG18" s="87"/>
      <c r="IVH18" s="87"/>
      <c r="IVI18" s="87"/>
      <c r="IVJ18" s="87"/>
      <c r="IVK18" s="87"/>
      <c r="IVL18" s="87"/>
      <c r="IVM18" s="87"/>
      <c r="IVN18" s="87"/>
      <c r="IVO18" s="87"/>
      <c r="IVP18" s="87"/>
      <c r="IVQ18" s="87"/>
      <c r="IVR18" s="87"/>
      <c r="IVS18" s="87"/>
      <c r="IVT18" s="87"/>
      <c r="IVU18" s="87"/>
      <c r="IVV18" s="87"/>
      <c r="IVW18" s="87"/>
      <c r="IVX18" s="87"/>
      <c r="IVY18" s="87"/>
      <c r="IVZ18" s="87"/>
      <c r="IWA18" s="87"/>
      <c r="IWB18" s="87"/>
      <c r="IWC18" s="87"/>
      <c r="IWD18" s="87"/>
      <c r="IWE18" s="87"/>
      <c r="IWF18" s="87"/>
      <c r="IWG18" s="87"/>
      <c r="IWH18" s="87"/>
      <c r="IWI18" s="87"/>
      <c r="IWJ18" s="87"/>
      <c r="IWK18" s="87"/>
      <c r="IWL18" s="87"/>
      <c r="IWM18" s="87"/>
      <c r="IWN18" s="87"/>
      <c r="IWO18" s="87"/>
      <c r="IWP18" s="87"/>
      <c r="IWQ18" s="87"/>
      <c r="IWR18" s="87"/>
      <c r="IWS18" s="87"/>
      <c r="IWT18" s="87"/>
      <c r="IWU18" s="87"/>
      <c r="IWV18" s="87"/>
      <c r="IWW18" s="87"/>
      <c r="IWX18" s="87"/>
      <c r="IWY18" s="87"/>
      <c r="IWZ18" s="87"/>
      <c r="IXA18" s="87"/>
      <c r="IXB18" s="87"/>
      <c r="IXC18" s="87"/>
      <c r="IXD18" s="87"/>
      <c r="IXE18" s="87"/>
      <c r="IXF18" s="87"/>
      <c r="IXG18" s="87"/>
      <c r="IXH18" s="87"/>
      <c r="IXI18" s="87"/>
      <c r="IXJ18" s="87"/>
      <c r="IXK18" s="87"/>
      <c r="IXL18" s="87"/>
      <c r="IXM18" s="87"/>
      <c r="IXN18" s="87"/>
      <c r="IXO18" s="87"/>
      <c r="IXP18" s="87"/>
      <c r="IXQ18" s="87"/>
      <c r="IXR18" s="87"/>
      <c r="IXS18" s="87"/>
      <c r="IXT18" s="87"/>
      <c r="IXU18" s="87"/>
      <c r="IXV18" s="87"/>
      <c r="IXW18" s="87"/>
      <c r="IXX18" s="87"/>
      <c r="IXY18" s="87"/>
      <c r="IXZ18" s="87"/>
      <c r="IYA18" s="87"/>
      <c r="IYB18" s="87"/>
      <c r="IYC18" s="87"/>
      <c r="IYD18" s="87"/>
      <c r="IYE18" s="87"/>
      <c r="IYF18" s="87"/>
      <c r="IYG18" s="87"/>
      <c r="IYH18" s="87"/>
      <c r="IYI18" s="87"/>
      <c r="IYJ18" s="87"/>
      <c r="IYK18" s="87"/>
      <c r="IYL18" s="87"/>
      <c r="IYM18" s="87"/>
      <c r="IYN18" s="87"/>
      <c r="IYO18" s="87"/>
      <c r="IYP18" s="87"/>
      <c r="IYQ18" s="87"/>
      <c r="IYR18" s="87"/>
      <c r="IYS18" s="87"/>
      <c r="IYT18" s="87"/>
      <c r="IYU18" s="87"/>
      <c r="IYV18" s="87"/>
      <c r="IYW18" s="87"/>
      <c r="IYX18" s="87"/>
      <c r="IYY18" s="87"/>
      <c r="IYZ18" s="87"/>
      <c r="IZA18" s="87"/>
      <c r="IZB18" s="87"/>
      <c r="IZC18" s="87"/>
      <c r="IZD18" s="87"/>
      <c r="IZE18" s="87"/>
      <c r="IZF18" s="87"/>
      <c r="IZG18" s="87"/>
      <c r="IZH18" s="87"/>
      <c r="IZI18" s="87"/>
      <c r="IZJ18" s="87"/>
      <c r="IZK18" s="87"/>
      <c r="IZL18" s="87"/>
      <c r="IZM18" s="87"/>
      <c r="IZN18" s="87"/>
      <c r="IZO18" s="87"/>
      <c r="IZP18" s="87"/>
      <c r="IZQ18" s="87"/>
      <c r="IZR18" s="87"/>
      <c r="IZS18" s="87"/>
      <c r="IZT18" s="87"/>
      <c r="IZU18" s="87"/>
      <c r="IZV18" s="87"/>
      <c r="IZW18" s="87"/>
      <c r="IZX18" s="87"/>
      <c r="IZY18" s="87"/>
      <c r="IZZ18" s="87"/>
      <c r="JAA18" s="87"/>
      <c r="JAB18" s="87"/>
      <c r="JAC18" s="87"/>
      <c r="JAD18" s="87"/>
      <c r="JAE18" s="87"/>
      <c r="JAF18" s="87"/>
      <c r="JAG18" s="87"/>
      <c r="JAH18" s="87"/>
      <c r="JAI18" s="87"/>
      <c r="JAJ18" s="87"/>
      <c r="JAK18" s="87"/>
      <c r="JAL18" s="87"/>
      <c r="JAM18" s="87"/>
      <c r="JAN18" s="87"/>
      <c r="JAO18" s="87"/>
      <c r="JAP18" s="87"/>
      <c r="JAQ18" s="87"/>
      <c r="JAR18" s="87"/>
      <c r="JAS18" s="87"/>
      <c r="JAT18" s="87"/>
      <c r="JAU18" s="87"/>
      <c r="JAV18" s="87"/>
      <c r="JAW18" s="87"/>
      <c r="JAX18" s="87"/>
      <c r="JAY18" s="87"/>
      <c r="JAZ18" s="87"/>
      <c r="JBA18" s="87"/>
      <c r="JBB18" s="87"/>
      <c r="JBC18" s="87"/>
      <c r="JBD18" s="87"/>
      <c r="JBE18" s="87"/>
      <c r="JBF18" s="87"/>
      <c r="JBG18" s="87"/>
      <c r="JBH18" s="87"/>
      <c r="JBI18" s="87"/>
      <c r="JBJ18" s="87"/>
      <c r="JBK18" s="87"/>
      <c r="JBL18" s="87"/>
      <c r="JBM18" s="87"/>
      <c r="JBN18" s="87"/>
      <c r="JBO18" s="87"/>
      <c r="JBP18" s="87"/>
      <c r="JBQ18" s="87"/>
      <c r="JBR18" s="87"/>
      <c r="JBS18" s="87"/>
      <c r="JBT18" s="87"/>
      <c r="JBU18" s="87"/>
      <c r="JBV18" s="87"/>
      <c r="JBW18" s="87"/>
      <c r="JBX18" s="87"/>
      <c r="JBY18" s="87"/>
      <c r="JBZ18" s="87"/>
      <c r="JCA18" s="87"/>
      <c r="JCB18" s="87"/>
      <c r="JCC18" s="87"/>
      <c r="JCD18" s="87"/>
      <c r="JCE18" s="87"/>
      <c r="JCF18" s="87"/>
      <c r="JCG18" s="87"/>
      <c r="JCH18" s="87"/>
      <c r="JCI18" s="87"/>
      <c r="JCJ18" s="87"/>
      <c r="JCK18" s="87"/>
      <c r="JCL18" s="87"/>
      <c r="JCM18" s="87"/>
      <c r="JCN18" s="87"/>
      <c r="JCO18" s="87"/>
      <c r="JCP18" s="87"/>
      <c r="JCQ18" s="87"/>
      <c r="JCR18" s="87"/>
      <c r="JCS18" s="87"/>
      <c r="JCT18" s="87"/>
      <c r="JCU18" s="87"/>
      <c r="JCV18" s="87"/>
      <c r="JCW18" s="87"/>
      <c r="JCX18" s="87"/>
      <c r="JCY18" s="87"/>
      <c r="JCZ18" s="87"/>
      <c r="JDA18" s="87"/>
      <c r="JDB18" s="87"/>
      <c r="JDC18" s="87"/>
      <c r="JDD18" s="87"/>
      <c r="JDE18" s="87"/>
      <c r="JDF18" s="87"/>
      <c r="JDG18" s="87"/>
      <c r="JDH18" s="87"/>
      <c r="JDI18" s="87"/>
      <c r="JDJ18" s="87"/>
      <c r="JDK18" s="87"/>
      <c r="JDL18" s="87"/>
      <c r="JDM18" s="87"/>
      <c r="JDN18" s="87"/>
      <c r="JDO18" s="87"/>
      <c r="JDP18" s="87"/>
      <c r="JDQ18" s="87"/>
      <c r="JDR18" s="87"/>
      <c r="JDS18" s="87"/>
      <c r="JDT18" s="87"/>
      <c r="JDU18" s="87"/>
      <c r="JDV18" s="87"/>
      <c r="JDW18" s="87"/>
      <c r="JDX18" s="87"/>
      <c r="JDY18" s="87"/>
      <c r="JDZ18" s="87"/>
      <c r="JEA18" s="87"/>
      <c r="JEB18" s="87"/>
      <c r="JEC18" s="87"/>
      <c r="JED18" s="87"/>
      <c r="JEE18" s="87"/>
      <c r="JEF18" s="87"/>
      <c r="JEG18" s="87"/>
      <c r="JEH18" s="87"/>
      <c r="JEI18" s="87"/>
      <c r="JEJ18" s="87"/>
      <c r="JEK18" s="87"/>
      <c r="JEL18" s="87"/>
      <c r="JEM18" s="87"/>
      <c r="JEN18" s="87"/>
      <c r="JEO18" s="87"/>
      <c r="JEP18" s="87"/>
      <c r="JEQ18" s="87"/>
      <c r="JER18" s="87"/>
      <c r="JES18" s="87"/>
      <c r="JET18" s="87"/>
      <c r="JEU18" s="87"/>
      <c r="JEV18" s="87"/>
      <c r="JEW18" s="87"/>
      <c r="JEX18" s="87"/>
      <c r="JEY18" s="87"/>
      <c r="JEZ18" s="87"/>
      <c r="JFA18" s="87"/>
      <c r="JFB18" s="87"/>
      <c r="JFC18" s="87"/>
      <c r="JFD18" s="87"/>
      <c r="JFE18" s="87"/>
      <c r="JFF18" s="87"/>
      <c r="JFG18" s="87"/>
      <c r="JFH18" s="87"/>
      <c r="JFI18" s="87"/>
      <c r="JFJ18" s="87"/>
      <c r="JFK18" s="87"/>
      <c r="JFL18" s="87"/>
      <c r="JFM18" s="87"/>
      <c r="JFN18" s="87"/>
      <c r="JFO18" s="87"/>
      <c r="JFP18" s="87"/>
      <c r="JFQ18" s="87"/>
      <c r="JFR18" s="87"/>
      <c r="JFS18" s="87"/>
      <c r="JFT18" s="87"/>
      <c r="JFU18" s="87"/>
      <c r="JFV18" s="87"/>
      <c r="JFW18" s="87"/>
      <c r="JFX18" s="87"/>
      <c r="JFY18" s="87"/>
      <c r="JFZ18" s="87"/>
      <c r="JGA18" s="87"/>
      <c r="JGB18" s="87"/>
      <c r="JGC18" s="87"/>
      <c r="JGD18" s="87"/>
      <c r="JGE18" s="87"/>
      <c r="JGF18" s="87"/>
      <c r="JGG18" s="87"/>
      <c r="JGH18" s="87"/>
      <c r="JGI18" s="87"/>
      <c r="JGJ18" s="87"/>
      <c r="JGK18" s="87"/>
      <c r="JGL18" s="87"/>
      <c r="JGM18" s="87"/>
      <c r="JGN18" s="87"/>
      <c r="JGO18" s="87"/>
      <c r="JGP18" s="87"/>
      <c r="JGQ18" s="87"/>
      <c r="JGR18" s="87"/>
      <c r="JGS18" s="87"/>
      <c r="JGT18" s="87"/>
      <c r="JGU18" s="87"/>
      <c r="JGV18" s="87"/>
      <c r="JGW18" s="87"/>
      <c r="JGX18" s="87"/>
      <c r="JGY18" s="87"/>
      <c r="JGZ18" s="87"/>
      <c r="JHA18" s="87"/>
      <c r="JHB18" s="87"/>
      <c r="JHC18" s="87"/>
      <c r="JHD18" s="87"/>
      <c r="JHE18" s="87"/>
      <c r="JHF18" s="87"/>
      <c r="JHG18" s="87"/>
      <c r="JHH18" s="87"/>
      <c r="JHI18" s="87"/>
      <c r="JHJ18" s="87"/>
      <c r="JHK18" s="87"/>
      <c r="JHL18" s="87"/>
      <c r="JHM18" s="87"/>
      <c r="JHN18" s="87"/>
      <c r="JHO18" s="87"/>
      <c r="JHP18" s="87"/>
      <c r="JHQ18" s="87"/>
      <c r="JHR18" s="87"/>
      <c r="JHS18" s="87"/>
      <c r="JHT18" s="87"/>
      <c r="JHU18" s="87"/>
      <c r="JHV18" s="87"/>
      <c r="JHW18" s="87"/>
      <c r="JHX18" s="87"/>
      <c r="JHY18" s="87"/>
      <c r="JHZ18" s="87"/>
      <c r="JIA18" s="87"/>
      <c r="JIB18" s="87"/>
      <c r="JIC18" s="87"/>
      <c r="JID18" s="87"/>
      <c r="JIE18" s="87"/>
      <c r="JIF18" s="87"/>
      <c r="JIG18" s="87"/>
      <c r="JIH18" s="87"/>
      <c r="JII18" s="87"/>
      <c r="JIJ18" s="87"/>
      <c r="JIK18" s="87"/>
      <c r="JIL18" s="87"/>
      <c r="JIM18" s="87"/>
      <c r="JIN18" s="87"/>
      <c r="JIO18" s="87"/>
      <c r="JIP18" s="87"/>
      <c r="JIQ18" s="87"/>
      <c r="JIR18" s="87"/>
      <c r="JIS18" s="87"/>
      <c r="JIT18" s="87"/>
      <c r="JIU18" s="87"/>
      <c r="JIV18" s="87"/>
      <c r="JIW18" s="87"/>
      <c r="JIX18" s="87"/>
      <c r="JIY18" s="87"/>
      <c r="JIZ18" s="87"/>
      <c r="JJA18" s="87"/>
      <c r="JJB18" s="87"/>
      <c r="JJC18" s="87"/>
      <c r="JJD18" s="87"/>
      <c r="JJE18" s="87"/>
      <c r="JJF18" s="87"/>
      <c r="JJG18" s="87"/>
      <c r="JJH18" s="87"/>
      <c r="JJI18" s="87"/>
      <c r="JJJ18" s="87"/>
      <c r="JJK18" s="87"/>
      <c r="JJL18" s="87"/>
      <c r="JJM18" s="87"/>
      <c r="JJN18" s="87"/>
      <c r="JJO18" s="87"/>
      <c r="JJP18" s="87"/>
      <c r="JJQ18" s="87"/>
      <c r="JJR18" s="87"/>
      <c r="JJS18" s="87"/>
      <c r="JJT18" s="87"/>
      <c r="JJU18" s="87"/>
      <c r="JJV18" s="87"/>
      <c r="JJW18" s="87"/>
      <c r="JJX18" s="87"/>
      <c r="JJY18" s="87"/>
      <c r="JJZ18" s="87"/>
      <c r="JKA18" s="87"/>
      <c r="JKB18" s="87"/>
      <c r="JKC18" s="87"/>
      <c r="JKD18" s="87"/>
      <c r="JKE18" s="87"/>
      <c r="JKF18" s="87"/>
      <c r="JKG18" s="87"/>
      <c r="JKH18" s="87"/>
      <c r="JKI18" s="87"/>
      <c r="JKJ18" s="87"/>
      <c r="JKK18" s="87"/>
      <c r="JKL18" s="87"/>
      <c r="JKM18" s="87"/>
      <c r="JKN18" s="87"/>
      <c r="JKO18" s="87"/>
      <c r="JKP18" s="87"/>
      <c r="JKQ18" s="87"/>
      <c r="JKR18" s="87"/>
      <c r="JKS18" s="87"/>
      <c r="JKT18" s="87"/>
      <c r="JKU18" s="87"/>
      <c r="JKV18" s="87"/>
      <c r="JKW18" s="87"/>
      <c r="JKX18" s="87"/>
      <c r="JKY18" s="87"/>
      <c r="JKZ18" s="87"/>
      <c r="JLA18" s="87"/>
      <c r="JLB18" s="87"/>
      <c r="JLC18" s="87"/>
      <c r="JLD18" s="87"/>
      <c r="JLE18" s="87"/>
      <c r="JLF18" s="87"/>
      <c r="JLG18" s="87"/>
      <c r="JLH18" s="87"/>
      <c r="JLI18" s="87"/>
      <c r="JLJ18" s="87"/>
      <c r="JLK18" s="87"/>
      <c r="JLL18" s="87"/>
      <c r="JLM18" s="87"/>
      <c r="JLN18" s="87"/>
      <c r="JLO18" s="87"/>
      <c r="JLP18" s="87"/>
      <c r="JLQ18" s="87"/>
      <c r="JLR18" s="87"/>
      <c r="JLS18" s="87"/>
      <c r="JLT18" s="87"/>
      <c r="JLU18" s="87"/>
      <c r="JLV18" s="87"/>
      <c r="JLW18" s="87"/>
      <c r="JLX18" s="87"/>
      <c r="JLY18" s="87"/>
      <c r="JLZ18" s="87"/>
      <c r="JMA18" s="87"/>
      <c r="JMB18" s="87"/>
      <c r="JMC18" s="87"/>
      <c r="JMD18" s="87"/>
      <c r="JME18" s="87"/>
      <c r="JMF18" s="87"/>
      <c r="JMG18" s="87"/>
      <c r="JMH18" s="87"/>
      <c r="JMI18" s="87"/>
      <c r="JMJ18" s="87"/>
      <c r="JMK18" s="87"/>
      <c r="JML18" s="87"/>
      <c r="JMM18" s="87"/>
      <c r="JMN18" s="87"/>
      <c r="JMO18" s="87"/>
      <c r="JMP18" s="87"/>
      <c r="JMQ18" s="87"/>
      <c r="JMR18" s="87"/>
      <c r="JMS18" s="87"/>
      <c r="JMT18" s="87"/>
      <c r="JMU18" s="87"/>
      <c r="JMV18" s="87"/>
      <c r="JMW18" s="87"/>
      <c r="JMX18" s="87"/>
      <c r="JMY18" s="87"/>
      <c r="JMZ18" s="87"/>
      <c r="JNA18" s="87"/>
      <c r="JNB18" s="87"/>
      <c r="JNC18" s="87"/>
      <c r="JND18" s="87"/>
      <c r="JNE18" s="87"/>
      <c r="JNF18" s="87"/>
      <c r="JNG18" s="87"/>
      <c r="JNH18" s="87"/>
      <c r="JNI18" s="87"/>
      <c r="JNJ18" s="87"/>
      <c r="JNK18" s="87"/>
      <c r="JNL18" s="87"/>
      <c r="JNM18" s="87"/>
      <c r="JNN18" s="87"/>
      <c r="JNO18" s="87"/>
      <c r="JNP18" s="87"/>
      <c r="JNQ18" s="87"/>
      <c r="JNR18" s="87"/>
      <c r="JNS18" s="87"/>
      <c r="JNT18" s="87"/>
      <c r="JNU18" s="87"/>
      <c r="JNV18" s="87"/>
      <c r="JNW18" s="87"/>
      <c r="JNX18" s="87"/>
      <c r="JNY18" s="87"/>
      <c r="JNZ18" s="87"/>
      <c r="JOA18" s="87"/>
      <c r="JOB18" s="87"/>
      <c r="JOC18" s="87"/>
      <c r="JOD18" s="87"/>
      <c r="JOE18" s="87"/>
      <c r="JOF18" s="87"/>
      <c r="JOG18" s="87"/>
      <c r="JOH18" s="87"/>
      <c r="JOI18" s="87"/>
      <c r="JOJ18" s="87"/>
      <c r="JOK18" s="87"/>
      <c r="JOL18" s="87"/>
      <c r="JOM18" s="87"/>
      <c r="JON18" s="87"/>
      <c r="JOO18" s="87"/>
      <c r="JOP18" s="87"/>
      <c r="JOQ18" s="87"/>
      <c r="JOR18" s="87"/>
      <c r="JOS18" s="87"/>
      <c r="JOT18" s="87"/>
      <c r="JOU18" s="87"/>
      <c r="JOV18" s="87"/>
      <c r="JOW18" s="87"/>
      <c r="JOX18" s="87"/>
      <c r="JOY18" s="87"/>
      <c r="JOZ18" s="87"/>
      <c r="JPA18" s="87"/>
      <c r="JPB18" s="87"/>
      <c r="JPC18" s="87"/>
      <c r="JPD18" s="87"/>
      <c r="JPE18" s="87"/>
      <c r="JPF18" s="87"/>
      <c r="JPG18" s="87"/>
      <c r="JPH18" s="87"/>
      <c r="JPI18" s="87"/>
      <c r="JPJ18" s="87"/>
      <c r="JPK18" s="87"/>
      <c r="JPL18" s="87"/>
      <c r="JPM18" s="87"/>
      <c r="JPN18" s="87"/>
      <c r="JPO18" s="87"/>
      <c r="JPP18" s="87"/>
      <c r="JPQ18" s="87"/>
      <c r="JPR18" s="87"/>
      <c r="JPS18" s="87"/>
      <c r="JPT18" s="87"/>
      <c r="JPU18" s="87"/>
      <c r="JPV18" s="87"/>
      <c r="JPW18" s="87"/>
      <c r="JPX18" s="87"/>
      <c r="JPY18" s="87"/>
      <c r="JPZ18" s="87"/>
      <c r="JQA18" s="87"/>
      <c r="JQB18" s="87"/>
      <c r="JQC18" s="87"/>
      <c r="JQD18" s="87"/>
      <c r="JQE18" s="87"/>
      <c r="JQF18" s="87"/>
      <c r="JQG18" s="87"/>
      <c r="JQH18" s="87"/>
      <c r="JQI18" s="87"/>
      <c r="JQJ18" s="87"/>
      <c r="JQK18" s="87"/>
      <c r="JQL18" s="87"/>
      <c r="JQM18" s="87"/>
      <c r="JQN18" s="87"/>
      <c r="JQO18" s="87"/>
      <c r="JQP18" s="87"/>
      <c r="JQQ18" s="87"/>
      <c r="JQR18" s="87"/>
      <c r="JQS18" s="87"/>
      <c r="JQT18" s="87"/>
      <c r="JQU18" s="87"/>
      <c r="JQV18" s="87"/>
      <c r="JQW18" s="87"/>
      <c r="JQX18" s="87"/>
      <c r="JQY18" s="87"/>
      <c r="JQZ18" s="87"/>
      <c r="JRA18" s="87"/>
      <c r="JRB18" s="87"/>
      <c r="JRC18" s="87"/>
      <c r="JRD18" s="87"/>
      <c r="JRE18" s="87"/>
      <c r="JRF18" s="87"/>
      <c r="JRG18" s="87"/>
      <c r="JRH18" s="87"/>
      <c r="JRI18" s="87"/>
      <c r="JRJ18" s="87"/>
      <c r="JRK18" s="87"/>
      <c r="JRL18" s="87"/>
      <c r="JRM18" s="87"/>
      <c r="JRN18" s="87"/>
      <c r="JRO18" s="87"/>
      <c r="JRP18" s="87"/>
      <c r="JRQ18" s="87"/>
      <c r="JRR18" s="87"/>
      <c r="JRS18" s="87"/>
      <c r="JRT18" s="87"/>
      <c r="JRU18" s="87"/>
      <c r="JRV18" s="87"/>
      <c r="JRW18" s="87"/>
      <c r="JRX18" s="87"/>
      <c r="JRY18" s="87"/>
      <c r="JRZ18" s="87"/>
      <c r="JSA18" s="87"/>
      <c r="JSB18" s="87"/>
      <c r="JSC18" s="87"/>
      <c r="JSD18" s="87"/>
      <c r="JSE18" s="87"/>
      <c r="JSF18" s="87"/>
      <c r="JSG18" s="87"/>
      <c r="JSH18" s="87"/>
      <c r="JSI18" s="87"/>
      <c r="JSJ18" s="87"/>
      <c r="JSK18" s="87"/>
      <c r="JSL18" s="87"/>
      <c r="JSM18" s="87"/>
      <c r="JSN18" s="87"/>
      <c r="JSO18" s="87"/>
      <c r="JSP18" s="87"/>
      <c r="JSQ18" s="87"/>
      <c r="JSR18" s="87"/>
      <c r="JSS18" s="87"/>
      <c r="JST18" s="87"/>
      <c r="JSU18" s="87"/>
      <c r="JSV18" s="87"/>
      <c r="JSW18" s="87"/>
      <c r="JSX18" s="87"/>
      <c r="JSY18" s="87"/>
      <c r="JSZ18" s="87"/>
      <c r="JTA18" s="87"/>
      <c r="JTB18" s="87"/>
      <c r="JTC18" s="87"/>
      <c r="JTD18" s="87"/>
      <c r="JTE18" s="87"/>
      <c r="JTF18" s="87"/>
      <c r="JTG18" s="87"/>
      <c r="JTH18" s="87"/>
      <c r="JTI18" s="87"/>
      <c r="JTJ18" s="87"/>
      <c r="JTK18" s="87"/>
      <c r="JTL18" s="87"/>
      <c r="JTM18" s="87"/>
      <c r="JTN18" s="87"/>
      <c r="JTO18" s="87"/>
      <c r="JTP18" s="87"/>
      <c r="JTQ18" s="87"/>
      <c r="JTR18" s="87"/>
      <c r="JTS18" s="87"/>
      <c r="JTT18" s="87"/>
      <c r="JTU18" s="87"/>
      <c r="JTV18" s="87"/>
      <c r="JTW18" s="87"/>
      <c r="JTX18" s="87"/>
      <c r="JTY18" s="87"/>
      <c r="JTZ18" s="87"/>
      <c r="JUA18" s="87"/>
      <c r="JUB18" s="87"/>
      <c r="JUC18" s="87"/>
      <c r="JUD18" s="87"/>
      <c r="JUE18" s="87"/>
      <c r="JUF18" s="87"/>
      <c r="JUG18" s="87"/>
      <c r="JUH18" s="87"/>
      <c r="JUI18" s="87"/>
      <c r="JUJ18" s="87"/>
      <c r="JUK18" s="87"/>
      <c r="JUL18" s="87"/>
      <c r="JUM18" s="87"/>
      <c r="JUN18" s="87"/>
      <c r="JUO18" s="87"/>
      <c r="JUP18" s="87"/>
      <c r="JUQ18" s="87"/>
      <c r="JUR18" s="87"/>
      <c r="JUS18" s="87"/>
      <c r="JUT18" s="87"/>
      <c r="JUU18" s="87"/>
      <c r="JUV18" s="87"/>
      <c r="JUW18" s="87"/>
      <c r="JUX18" s="87"/>
      <c r="JUY18" s="87"/>
      <c r="JUZ18" s="87"/>
      <c r="JVA18" s="87"/>
      <c r="JVB18" s="87"/>
      <c r="JVC18" s="87"/>
      <c r="JVD18" s="87"/>
      <c r="JVE18" s="87"/>
      <c r="JVF18" s="87"/>
      <c r="JVG18" s="87"/>
      <c r="JVH18" s="87"/>
      <c r="JVI18" s="87"/>
      <c r="JVJ18" s="87"/>
      <c r="JVK18" s="87"/>
      <c r="JVL18" s="87"/>
      <c r="JVM18" s="87"/>
      <c r="JVN18" s="87"/>
      <c r="JVO18" s="87"/>
      <c r="JVP18" s="87"/>
      <c r="JVQ18" s="87"/>
      <c r="JVR18" s="87"/>
      <c r="JVS18" s="87"/>
      <c r="JVT18" s="87"/>
      <c r="JVU18" s="87"/>
      <c r="JVV18" s="87"/>
      <c r="JVW18" s="87"/>
      <c r="JVX18" s="87"/>
      <c r="JVY18" s="87"/>
      <c r="JVZ18" s="87"/>
      <c r="JWA18" s="87"/>
      <c r="JWB18" s="87"/>
      <c r="JWC18" s="87"/>
      <c r="JWD18" s="87"/>
      <c r="JWE18" s="87"/>
      <c r="JWF18" s="87"/>
      <c r="JWG18" s="87"/>
      <c r="JWH18" s="87"/>
      <c r="JWI18" s="87"/>
      <c r="JWJ18" s="87"/>
      <c r="JWK18" s="87"/>
      <c r="JWL18" s="87"/>
      <c r="JWM18" s="87"/>
      <c r="JWN18" s="87"/>
      <c r="JWO18" s="87"/>
      <c r="JWP18" s="87"/>
      <c r="JWQ18" s="87"/>
      <c r="JWR18" s="87"/>
      <c r="JWS18" s="87"/>
      <c r="JWT18" s="87"/>
      <c r="JWU18" s="87"/>
      <c r="JWV18" s="87"/>
      <c r="JWW18" s="87"/>
      <c r="JWX18" s="87"/>
      <c r="JWY18" s="87"/>
      <c r="JWZ18" s="87"/>
      <c r="JXA18" s="87"/>
      <c r="JXB18" s="87"/>
      <c r="JXC18" s="87"/>
      <c r="JXD18" s="87"/>
      <c r="JXE18" s="87"/>
      <c r="JXF18" s="87"/>
      <c r="JXG18" s="87"/>
      <c r="JXH18" s="87"/>
      <c r="JXI18" s="87"/>
      <c r="JXJ18" s="87"/>
      <c r="JXK18" s="87"/>
      <c r="JXL18" s="87"/>
      <c r="JXM18" s="87"/>
      <c r="JXN18" s="87"/>
      <c r="JXO18" s="87"/>
      <c r="JXP18" s="87"/>
      <c r="JXQ18" s="87"/>
      <c r="JXR18" s="87"/>
      <c r="JXS18" s="87"/>
      <c r="JXT18" s="87"/>
      <c r="JXU18" s="87"/>
      <c r="JXV18" s="87"/>
      <c r="JXW18" s="87"/>
      <c r="JXX18" s="87"/>
      <c r="JXY18" s="87"/>
      <c r="JXZ18" s="87"/>
      <c r="JYA18" s="87"/>
      <c r="JYB18" s="87"/>
      <c r="JYC18" s="87"/>
      <c r="JYD18" s="87"/>
      <c r="JYE18" s="87"/>
      <c r="JYF18" s="87"/>
      <c r="JYG18" s="87"/>
      <c r="JYH18" s="87"/>
      <c r="JYI18" s="87"/>
      <c r="JYJ18" s="87"/>
      <c r="JYK18" s="87"/>
      <c r="JYL18" s="87"/>
      <c r="JYM18" s="87"/>
      <c r="JYN18" s="87"/>
      <c r="JYO18" s="87"/>
      <c r="JYP18" s="87"/>
      <c r="JYQ18" s="87"/>
      <c r="JYR18" s="87"/>
      <c r="JYS18" s="87"/>
      <c r="JYT18" s="87"/>
      <c r="JYU18" s="87"/>
      <c r="JYV18" s="87"/>
      <c r="JYW18" s="87"/>
      <c r="JYX18" s="87"/>
      <c r="JYY18" s="87"/>
      <c r="JYZ18" s="87"/>
      <c r="JZA18" s="87"/>
      <c r="JZB18" s="87"/>
      <c r="JZC18" s="87"/>
      <c r="JZD18" s="87"/>
      <c r="JZE18" s="87"/>
      <c r="JZF18" s="87"/>
      <c r="JZG18" s="87"/>
      <c r="JZH18" s="87"/>
      <c r="JZI18" s="87"/>
      <c r="JZJ18" s="87"/>
      <c r="JZK18" s="87"/>
      <c r="JZL18" s="87"/>
      <c r="JZM18" s="87"/>
      <c r="JZN18" s="87"/>
      <c r="JZO18" s="87"/>
      <c r="JZP18" s="87"/>
      <c r="JZQ18" s="87"/>
      <c r="JZR18" s="87"/>
      <c r="JZS18" s="87"/>
      <c r="JZT18" s="87"/>
      <c r="JZU18" s="87"/>
      <c r="JZV18" s="87"/>
      <c r="JZW18" s="87"/>
      <c r="JZX18" s="87"/>
      <c r="JZY18" s="87"/>
      <c r="JZZ18" s="87"/>
      <c r="KAA18" s="87"/>
      <c r="KAB18" s="87"/>
      <c r="KAC18" s="87"/>
      <c r="KAD18" s="87"/>
      <c r="KAE18" s="87"/>
      <c r="KAF18" s="87"/>
      <c r="KAG18" s="87"/>
      <c r="KAH18" s="87"/>
      <c r="KAI18" s="87"/>
      <c r="KAJ18" s="87"/>
      <c r="KAK18" s="87"/>
      <c r="KAL18" s="87"/>
      <c r="KAM18" s="87"/>
      <c r="KAN18" s="87"/>
      <c r="KAO18" s="87"/>
      <c r="KAP18" s="87"/>
      <c r="KAQ18" s="87"/>
      <c r="KAR18" s="87"/>
      <c r="KAS18" s="87"/>
      <c r="KAT18" s="87"/>
      <c r="KAU18" s="87"/>
      <c r="KAV18" s="87"/>
      <c r="KAW18" s="87"/>
      <c r="KAX18" s="87"/>
      <c r="KAY18" s="87"/>
      <c r="KAZ18" s="87"/>
      <c r="KBA18" s="87"/>
      <c r="KBB18" s="87"/>
      <c r="KBC18" s="87"/>
      <c r="KBD18" s="87"/>
      <c r="KBE18" s="87"/>
      <c r="KBF18" s="87"/>
      <c r="KBG18" s="87"/>
      <c r="KBH18" s="87"/>
      <c r="KBI18" s="87"/>
      <c r="KBJ18" s="87"/>
      <c r="KBK18" s="87"/>
      <c r="KBL18" s="87"/>
      <c r="KBM18" s="87"/>
      <c r="KBN18" s="87"/>
      <c r="KBO18" s="87"/>
      <c r="KBP18" s="87"/>
      <c r="KBQ18" s="87"/>
      <c r="KBR18" s="87"/>
      <c r="KBS18" s="87"/>
      <c r="KBT18" s="87"/>
      <c r="KBU18" s="87"/>
      <c r="KBV18" s="87"/>
      <c r="KBW18" s="87"/>
      <c r="KBX18" s="87"/>
      <c r="KBY18" s="87"/>
      <c r="KBZ18" s="87"/>
      <c r="KCA18" s="87"/>
      <c r="KCB18" s="87"/>
      <c r="KCC18" s="87"/>
      <c r="KCD18" s="87"/>
      <c r="KCE18" s="87"/>
      <c r="KCF18" s="87"/>
      <c r="KCG18" s="87"/>
      <c r="KCH18" s="87"/>
      <c r="KCI18" s="87"/>
      <c r="KCJ18" s="87"/>
      <c r="KCK18" s="87"/>
      <c r="KCL18" s="87"/>
      <c r="KCM18" s="87"/>
      <c r="KCN18" s="87"/>
      <c r="KCO18" s="87"/>
      <c r="KCP18" s="87"/>
      <c r="KCQ18" s="87"/>
      <c r="KCR18" s="87"/>
      <c r="KCS18" s="87"/>
      <c r="KCT18" s="87"/>
      <c r="KCU18" s="87"/>
      <c r="KCV18" s="87"/>
      <c r="KCW18" s="87"/>
      <c r="KCX18" s="87"/>
      <c r="KCY18" s="87"/>
      <c r="KCZ18" s="87"/>
      <c r="KDA18" s="87"/>
      <c r="KDB18" s="87"/>
      <c r="KDC18" s="87"/>
      <c r="KDD18" s="87"/>
      <c r="KDE18" s="87"/>
      <c r="KDF18" s="87"/>
      <c r="KDG18" s="87"/>
      <c r="KDH18" s="87"/>
      <c r="KDI18" s="87"/>
      <c r="KDJ18" s="87"/>
      <c r="KDK18" s="87"/>
      <c r="KDL18" s="87"/>
      <c r="KDM18" s="87"/>
      <c r="KDN18" s="87"/>
      <c r="KDO18" s="87"/>
      <c r="KDP18" s="87"/>
      <c r="KDQ18" s="87"/>
      <c r="KDR18" s="87"/>
      <c r="KDS18" s="87"/>
      <c r="KDT18" s="87"/>
      <c r="KDU18" s="87"/>
      <c r="KDV18" s="87"/>
      <c r="KDW18" s="87"/>
      <c r="KDX18" s="87"/>
      <c r="KDY18" s="87"/>
      <c r="KDZ18" s="87"/>
      <c r="KEA18" s="87"/>
      <c r="KEB18" s="87"/>
      <c r="KEC18" s="87"/>
      <c r="KED18" s="87"/>
      <c r="KEE18" s="87"/>
      <c r="KEF18" s="87"/>
      <c r="KEG18" s="87"/>
      <c r="KEH18" s="87"/>
      <c r="KEI18" s="87"/>
      <c r="KEJ18" s="87"/>
      <c r="KEK18" s="87"/>
      <c r="KEL18" s="87"/>
      <c r="KEM18" s="87"/>
      <c r="KEN18" s="87"/>
      <c r="KEO18" s="87"/>
      <c r="KEP18" s="87"/>
      <c r="KEQ18" s="87"/>
      <c r="KER18" s="87"/>
      <c r="KES18" s="87"/>
      <c r="KET18" s="87"/>
      <c r="KEU18" s="87"/>
      <c r="KEV18" s="87"/>
      <c r="KEW18" s="87"/>
      <c r="KEX18" s="87"/>
      <c r="KEY18" s="87"/>
      <c r="KEZ18" s="87"/>
      <c r="KFA18" s="87"/>
      <c r="KFB18" s="87"/>
      <c r="KFC18" s="87"/>
      <c r="KFD18" s="87"/>
      <c r="KFE18" s="87"/>
      <c r="KFF18" s="87"/>
      <c r="KFG18" s="87"/>
      <c r="KFH18" s="87"/>
      <c r="KFI18" s="87"/>
      <c r="KFJ18" s="87"/>
      <c r="KFK18" s="87"/>
      <c r="KFL18" s="87"/>
      <c r="KFM18" s="87"/>
      <c r="KFN18" s="87"/>
      <c r="KFO18" s="87"/>
      <c r="KFP18" s="87"/>
      <c r="KFQ18" s="87"/>
      <c r="KFR18" s="87"/>
      <c r="KFS18" s="87"/>
      <c r="KFT18" s="87"/>
      <c r="KFU18" s="87"/>
      <c r="KFV18" s="87"/>
      <c r="KFW18" s="87"/>
      <c r="KFX18" s="87"/>
      <c r="KFY18" s="87"/>
      <c r="KFZ18" s="87"/>
      <c r="KGA18" s="87"/>
      <c r="KGB18" s="87"/>
      <c r="KGC18" s="87"/>
      <c r="KGD18" s="87"/>
      <c r="KGE18" s="87"/>
      <c r="KGF18" s="87"/>
      <c r="KGG18" s="87"/>
      <c r="KGH18" s="87"/>
      <c r="KGI18" s="87"/>
      <c r="KGJ18" s="87"/>
      <c r="KGK18" s="87"/>
      <c r="KGL18" s="87"/>
      <c r="KGM18" s="87"/>
      <c r="KGN18" s="87"/>
      <c r="KGO18" s="87"/>
      <c r="KGP18" s="87"/>
      <c r="KGQ18" s="87"/>
      <c r="KGR18" s="87"/>
      <c r="KGS18" s="87"/>
      <c r="KGT18" s="87"/>
      <c r="KGU18" s="87"/>
      <c r="KGV18" s="87"/>
      <c r="KGW18" s="87"/>
      <c r="KGX18" s="87"/>
      <c r="KGY18" s="87"/>
      <c r="KGZ18" s="87"/>
      <c r="KHA18" s="87"/>
      <c r="KHB18" s="87"/>
      <c r="KHC18" s="87"/>
      <c r="KHD18" s="87"/>
      <c r="KHE18" s="87"/>
      <c r="KHF18" s="87"/>
      <c r="KHG18" s="87"/>
      <c r="KHH18" s="87"/>
      <c r="KHI18" s="87"/>
      <c r="KHJ18" s="87"/>
      <c r="KHK18" s="87"/>
      <c r="KHL18" s="87"/>
      <c r="KHM18" s="87"/>
      <c r="KHN18" s="87"/>
      <c r="KHO18" s="87"/>
      <c r="KHP18" s="87"/>
      <c r="KHQ18" s="87"/>
      <c r="KHR18" s="87"/>
      <c r="KHS18" s="87"/>
      <c r="KHT18" s="87"/>
      <c r="KHU18" s="87"/>
      <c r="KHV18" s="87"/>
      <c r="KHW18" s="87"/>
      <c r="KHX18" s="87"/>
      <c r="KHY18" s="87"/>
      <c r="KHZ18" s="87"/>
      <c r="KIA18" s="87"/>
      <c r="KIB18" s="87"/>
      <c r="KIC18" s="87"/>
      <c r="KID18" s="87"/>
      <c r="KIE18" s="87"/>
      <c r="KIF18" s="87"/>
      <c r="KIG18" s="87"/>
      <c r="KIH18" s="87"/>
      <c r="KII18" s="87"/>
      <c r="KIJ18" s="87"/>
      <c r="KIK18" s="87"/>
      <c r="KIL18" s="87"/>
      <c r="KIM18" s="87"/>
      <c r="KIN18" s="87"/>
      <c r="KIO18" s="87"/>
      <c r="KIP18" s="87"/>
      <c r="KIQ18" s="87"/>
      <c r="KIR18" s="87"/>
      <c r="KIS18" s="87"/>
      <c r="KIT18" s="87"/>
      <c r="KIU18" s="87"/>
      <c r="KIV18" s="87"/>
      <c r="KIW18" s="87"/>
      <c r="KIX18" s="87"/>
      <c r="KIY18" s="87"/>
      <c r="KIZ18" s="87"/>
      <c r="KJA18" s="87"/>
      <c r="KJB18" s="87"/>
      <c r="KJC18" s="87"/>
      <c r="KJD18" s="87"/>
      <c r="KJE18" s="87"/>
      <c r="KJF18" s="87"/>
      <c r="KJG18" s="87"/>
      <c r="KJH18" s="87"/>
      <c r="KJI18" s="87"/>
      <c r="KJJ18" s="87"/>
      <c r="KJK18" s="87"/>
      <c r="KJL18" s="87"/>
      <c r="KJM18" s="87"/>
      <c r="KJN18" s="87"/>
      <c r="KJO18" s="87"/>
      <c r="KJP18" s="87"/>
      <c r="KJQ18" s="87"/>
      <c r="KJR18" s="87"/>
      <c r="KJS18" s="87"/>
      <c r="KJT18" s="87"/>
      <c r="KJU18" s="87"/>
      <c r="KJV18" s="87"/>
      <c r="KJW18" s="87"/>
      <c r="KJX18" s="87"/>
      <c r="KJY18" s="87"/>
      <c r="KJZ18" s="87"/>
      <c r="KKA18" s="87"/>
      <c r="KKB18" s="87"/>
      <c r="KKC18" s="87"/>
      <c r="KKD18" s="87"/>
      <c r="KKE18" s="87"/>
      <c r="KKF18" s="87"/>
      <c r="KKG18" s="87"/>
      <c r="KKH18" s="87"/>
      <c r="KKI18" s="87"/>
      <c r="KKJ18" s="87"/>
      <c r="KKK18" s="87"/>
      <c r="KKL18" s="87"/>
      <c r="KKM18" s="87"/>
      <c r="KKN18" s="87"/>
      <c r="KKO18" s="87"/>
      <c r="KKP18" s="87"/>
      <c r="KKQ18" s="87"/>
      <c r="KKR18" s="87"/>
      <c r="KKS18" s="87"/>
      <c r="KKT18" s="87"/>
      <c r="KKU18" s="87"/>
      <c r="KKV18" s="87"/>
      <c r="KKW18" s="87"/>
      <c r="KKX18" s="87"/>
      <c r="KKY18" s="87"/>
      <c r="KKZ18" s="87"/>
      <c r="KLA18" s="87"/>
      <c r="KLB18" s="87"/>
      <c r="KLC18" s="87"/>
      <c r="KLD18" s="87"/>
      <c r="KLE18" s="87"/>
      <c r="KLF18" s="87"/>
      <c r="KLG18" s="87"/>
      <c r="KLH18" s="87"/>
      <c r="KLI18" s="87"/>
      <c r="KLJ18" s="87"/>
      <c r="KLK18" s="87"/>
      <c r="KLL18" s="87"/>
      <c r="KLM18" s="87"/>
      <c r="KLN18" s="87"/>
      <c r="KLO18" s="87"/>
      <c r="KLP18" s="87"/>
      <c r="KLQ18" s="87"/>
      <c r="KLR18" s="87"/>
      <c r="KLS18" s="87"/>
      <c r="KLT18" s="87"/>
      <c r="KLU18" s="87"/>
      <c r="KLV18" s="87"/>
      <c r="KLW18" s="87"/>
      <c r="KLX18" s="87"/>
      <c r="KLY18" s="87"/>
      <c r="KLZ18" s="87"/>
      <c r="KMA18" s="87"/>
      <c r="KMB18" s="87"/>
      <c r="KMC18" s="87"/>
      <c r="KMD18" s="87"/>
      <c r="KME18" s="87"/>
      <c r="KMF18" s="87"/>
      <c r="KMG18" s="87"/>
      <c r="KMH18" s="87"/>
      <c r="KMI18" s="87"/>
      <c r="KMJ18" s="87"/>
      <c r="KMK18" s="87"/>
      <c r="KML18" s="87"/>
      <c r="KMM18" s="87"/>
      <c r="KMN18" s="87"/>
      <c r="KMO18" s="87"/>
      <c r="KMP18" s="87"/>
      <c r="KMQ18" s="87"/>
      <c r="KMR18" s="87"/>
      <c r="KMS18" s="87"/>
      <c r="KMT18" s="87"/>
      <c r="KMU18" s="87"/>
      <c r="KMV18" s="87"/>
      <c r="KMW18" s="87"/>
      <c r="KMX18" s="87"/>
      <c r="KMY18" s="87"/>
      <c r="KMZ18" s="87"/>
      <c r="KNA18" s="87"/>
      <c r="KNB18" s="87"/>
      <c r="KNC18" s="87"/>
      <c r="KND18" s="87"/>
      <c r="KNE18" s="87"/>
      <c r="KNF18" s="87"/>
      <c r="KNG18" s="87"/>
      <c r="KNH18" s="87"/>
      <c r="KNI18" s="87"/>
      <c r="KNJ18" s="87"/>
      <c r="KNK18" s="87"/>
      <c r="KNL18" s="87"/>
      <c r="KNM18" s="87"/>
      <c r="KNN18" s="87"/>
      <c r="KNO18" s="87"/>
      <c r="KNP18" s="87"/>
      <c r="KNQ18" s="87"/>
      <c r="KNR18" s="87"/>
      <c r="KNS18" s="87"/>
      <c r="KNT18" s="87"/>
      <c r="KNU18" s="87"/>
      <c r="KNV18" s="87"/>
      <c r="KNW18" s="87"/>
      <c r="KNX18" s="87"/>
      <c r="KNY18" s="87"/>
      <c r="KNZ18" s="87"/>
      <c r="KOA18" s="87"/>
      <c r="KOB18" s="87"/>
      <c r="KOC18" s="87"/>
      <c r="KOD18" s="87"/>
      <c r="KOE18" s="87"/>
      <c r="KOF18" s="87"/>
      <c r="KOG18" s="87"/>
      <c r="KOH18" s="87"/>
      <c r="KOI18" s="87"/>
      <c r="KOJ18" s="87"/>
      <c r="KOK18" s="87"/>
      <c r="KOL18" s="87"/>
      <c r="KOM18" s="87"/>
      <c r="KON18" s="87"/>
      <c r="KOO18" s="87"/>
      <c r="KOP18" s="87"/>
      <c r="KOQ18" s="87"/>
      <c r="KOR18" s="87"/>
      <c r="KOS18" s="87"/>
      <c r="KOT18" s="87"/>
      <c r="KOU18" s="87"/>
      <c r="KOV18" s="87"/>
      <c r="KOW18" s="87"/>
      <c r="KOX18" s="87"/>
      <c r="KOY18" s="87"/>
      <c r="KOZ18" s="87"/>
      <c r="KPA18" s="87"/>
      <c r="KPB18" s="87"/>
      <c r="KPC18" s="87"/>
      <c r="KPD18" s="87"/>
      <c r="KPE18" s="87"/>
      <c r="KPF18" s="87"/>
      <c r="KPG18" s="87"/>
      <c r="KPH18" s="87"/>
      <c r="KPI18" s="87"/>
      <c r="KPJ18" s="87"/>
      <c r="KPK18" s="87"/>
      <c r="KPL18" s="87"/>
      <c r="KPM18" s="87"/>
      <c r="KPN18" s="87"/>
      <c r="KPO18" s="87"/>
      <c r="KPP18" s="87"/>
      <c r="KPQ18" s="87"/>
      <c r="KPR18" s="87"/>
      <c r="KPS18" s="87"/>
      <c r="KPT18" s="87"/>
      <c r="KPU18" s="87"/>
      <c r="KPV18" s="87"/>
      <c r="KPW18" s="87"/>
      <c r="KPX18" s="87"/>
      <c r="KPY18" s="87"/>
      <c r="KPZ18" s="87"/>
      <c r="KQA18" s="87"/>
      <c r="KQB18" s="87"/>
      <c r="KQC18" s="87"/>
      <c r="KQD18" s="87"/>
      <c r="KQE18" s="87"/>
      <c r="KQF18" s="87"/>
      <c r="KQG18" s="87"/>
      <c r="KQH18" s="87"/>
      <c r="KQI18" s="87"/>
      <c r="KQJ18" s="87"/>
      <c r="KQK18" s="87"/>
      <c r="KQL18" s="87"/>
      <c r="KQM18" s="87"/>
      <c r="KQN18" s="87"/>
      <c r="KQO18" s="87"/>
      <c r="KQP18" s="87"/>
      <c r="KQQ18" s="87"/>
      <c r="KQR18" s="87"/>
      <c r="KQS18" s="87"/>
      <c r="KQT18" s="87"/>
      <c r="KQU18" s="87"/>
      <c r="KQV18" s="87"/>
      <c r="KQW18" s="87"/>
      <c r="KQX18" s="87"/>
      <c r="KQY18" s="87"/>
      <c r="KQZ18" s="87"/>
      <c r="KRA18" s="87"/>
      <c r="KRB18" s="87"/>
      <c r="KRC18" s="87"/>
      <c r="KRD18" s="87"/>
      <c r="KRE18" s="87"/>
      <c r="KRF18" s="87"/>
      <c r="KRG18" s="87"/>
      <c r="KRH18" s="87"/>
      <c r="KRI18" s="87"/>
      <c r="KRJ18" s="87"/>
      <c r="KRK18" s="87"/>
      <c r="KRL18" s="87"/>
      <c r="KRM18" s="87"/>
      <c r="KRN18" s="87"/>
      <c r="KRO18" s="87"/>
      <c r="KRP18" s="87"/>
      <c r="KRQ18" s="87"/>
      <c r="KRR18" s="87"/>
      <c r="KRS18" s="87"/>
      <c r="KRT18" s="87"/>
      <c r="KRU18" s="87"/>
      <c r="KRV18" s="87"/>
      <c r="KRW18" s="87"/>
      <c r="KRX18" s="87"/>
      <c r="KRY18" s="87"/>
      <c r="KRZ18" s="87"/>
      <c r="KSA18" s="87"/>
      <c r="KSB18" s="87"/>
      <c r="KSC18" s="87"/>
      <c r="KSD18" s="87"/>
      <c r="KSE18" s="87"/>
      <c r="KSF18" s="87"/>
      <c r="KSG18" s="87"/>
      <c r="KSH18" s="87"/>
      <c r="KSI18" s="87"/>
      <c r="KSJ18" s="87"/>
      <c r="KSK18" s="87"/>
      <c r="KSL18" s="87"/>
      <c r="KSM18" s="87"/>
      <c r="KSN18" s="87"/>
      <c r="KSO18" s="87"/>
      <c r="KSP18" s="87"/>
      <c r="KSQ18" s="87"/>
      <c r="KSR18" s="87"/>
      <c r="KSS18" s="87"/>
      <c r="KST18" s="87"/>
      <c r="KSU18" s="87"/>
      <c r="KSV18" s="87"/>
      <c r="KSW18" s="87"/>
      <c r="KSX18" s="87"/>
      <c r="KSY18" s="87"/>
      <c r="KSZ18" s="87"/>
      <c r="KTA18" s="87"/>
      <c r="KTB18" s="87"/>
      <c r="KTC18" s="87"/>
      <c r="KTD18" s="87"/>
      <c r="KTE18" s="87"/>
      <c r="KTF18" s="87"/>
      <c r="KTG18" s="87"/>
      <c r="KTH18" s="87"/>
      <c r="KTI18" s="87"/>
      <c r="KTJ18" s="87"/>
      <c r="KTK18" s="87"/>
      <c r="KTL18" s="87"/>
      <c r="KTM18" s="87"/>
      <c r="KTN18" s="87"/>
      <c r="KTO18" s="87"/>
      <c r="KTP18" s="87"/>
      <c r="KTQ18" s="87"/>
      <c r="KTR18" s="87"/>
      <c r="KTS18" s="87"/>
      <c r="KTT18" s="87"/>
      <c r="KTU18" s="87"/>
      <c r="KTV18" s="87"/>
      <c r="KTW18" s="87"/>
      <c r="KTX18" s="87"/>
      <c r="KTY18" s="87"/>
      <c r="KTZ18" s="87"/>
      <c r="KUA18" s="87"/>
      <c r="KUB18" s="87"/>
      <c r="KUC18" s="87"/>
      <c r="KUD18" s="87"/>
      <c r="KUE18" s="87"/>
      <c r="KUF18" s="87"/>
      <c r="KUG18" s="87"/>
      <c r="KUH18" s="87"/>
      <c r="KUI18" s="87"/>
      <c r="KUJ18" s="87"/>
      <c r="KUK18" s="87"/>
      <c r="KUL18" s="87"/>
      <c r="KUM18" s="87"/>
      <c r="KUN18" s="87"/>
      <c r="KUO18" s="87"/>
      <c r="KUP18" s="87"/>
      <c r="KUQ18" s="87"/>
      <c r="KUR18" s="87"/>
      <c r="KUS18" s="87"/>
      <c r="KUT18" s="87"/>
      <c r="KUU18" s="87"/>
      <c r="KUV18" s="87"/>
      <c r="KUW18" s="87"/>
      <c r="KUX18" s="87"/>
      <c r="KUY18" s="87"/>
      <c r="KUZ18" s="87"/>
      <c r="KVA18" s="87"/>
      <c r="KVB18" s="87"/>
      <c r="KVC18" s="87"/>
      <c r="KVD18" s="87"/>
      <c r="KVE18" s="87"/>
      <c r="KVF18" s="87"/>
      <c r="KVG18" s="87"/>
      <c r="KVH18" s="87"/>
      <c r="KVI18" s="87"/>
      <c r="KVJ18" s="87"/>
      <c r="KVK18" s="87"/>
      <c r="KVL18" s="87"/>
      <c r="KVM18" s="87"/>
      <c r="KVN18" s="87"/>
      <c r="KVO18" s="87"/>
      <c r="KVP18" s="87"/>
      <c r="KVQ18" s="87"/>
      <c r="KVR18" s="87"/>
      <c r="KVS18" s="87"/>
      <c r="KVT18" s="87"/>
      <c r="KVU18" s="87"/>
      <c r="KVV18" s="87"/>
      <c r="KVW18" s="87"/>
      <c r="KVX18" s="87"/>
      <c r="KVY18" s="87"/>
      <c r="KVZ18" s="87"/>
      <c r="KWA18" s="87"/>
      <c r="KWB18" s="87"/>
      <c r="KWC18" s="87"/>
      <c r="KWD18" s="87"/>
      <c r="KWE18" s="87"/>
      <c r="KWF18" s="87"/>
      <c r="KWG18" s="87"/>
      <c r="KWH18" s="87"/>
      <c r="KWI18" s="87"/>
      <c r="KWJ18" s="87"/>
      <c r="KWK18" s="87"/>
      <c r="KWL18" s="87"/>
      <c r="KWM18" s="87"/>
      <c r="KWN18" s="87"/>
      <c r="KWO18" s="87"/>
      <c r="KWP18" s="87"/>
      <c r="KWQ18" s="87"/>
      <c r="KWR18" s="87"/>
      <c r="KWS18" s="87"/>
      <c r="KWT18" s="87"/>
      <c r="KWU18" s="87"/>
      <c r="KWV18" s="87"/>
      <c r="KWW18" s="87"/>
      <c r="KWX18" s="87"/>
      <c r="KWY18" s="87"/>
      <c r="KWZ18" s="87"/>
      <c r="KXA18" s="87"/>
      <c r="KXB18" s="87"/>
      <c r="KXC18" s="87"/>
      <c r="KXD18" s="87"/>
      <c r="KXE18" s="87"/>
      <c r="KXF18" s="87"/>
      <c r="KXG18" s="87"/>
      <c r="KXH18" s="87"/>
      <c r="KXI18" s="87"/>
      <c r="KXJ18" s="87"/>
      <c r="KXK18" s="87"/>
      <c r="KXL18" s="87"/>
      <c r="KXM18" s="87"/>
      <c r="KXN18" s="87"/>
      <c r="KXO18" s="87"/>
      <c r="KXP18" s="87"/>
      <c r="KXQ18" s="87"/>
      <c r="KXR18" s="87"/>
      <c r="KXS18" s="87"/>
      <c r="KXT18" s="87"/>
      <c r="KXU18" s="87"/>
      <c r="KXV18" s="87"/>
      <c r="KXW18" s="87"/>
      <c r="KXX18" s="87"/>
      <c r="KXY18" s="87"/>
      <c r="KXZ18" s="87"/>
      <c r="KYA18" s="87"/>
      <c r="KYB18" s="87"/>
      <c r="KYC18" s="87"/>
      <c r="KYD18" s="87"/>
      <c r="KYE18" s="87"/>
      <c r="KYF18" s="87"/>
      <c r="KYG18" s="87"/>
      <c r="KYH18" s="87"/>
      <c r="KYI18" s="87"/>
      <c r="KYJ18" s="87"/>
      <c r="KYK18" s="87"/>
      <c r="KYL18" s="87"/>
      <c r="KYM18" s="87"/>
      <c r="KYN18" s="87"/>
      <c r="KYO18" s="87"/>
      <c r="KYP18" s="87"/>
      <c r="KYQ18" s="87"/>
      <c r="KYR18" s="87"/>
      <c r="KYS18" s="87"/>
      <c r="KYT18" s="87"/>
      <c r="KYU18" s="87"/>
      <c r="KYV18" s="87"/>
      <c r="KYW18" s="87"/>
      <c r="KYX18" s="87"/>
      <c r="KYY18" s="87"/>
      <c r="KYZ18" s="87"/>
      <c r="KZA18" s="87"/>
      <c r="KZB18" s="87"/>
      <c r="KZC18" s="87"/>
      <c r="KZD18" s="87"/>
      <c r="KZE18" s="87"/>
      <c r="KZF18" s="87"/>
      <c r="KZG18" s="87"/>
      <c r="KZH18" s="87"/>
      <c r="KZI18" s="87"/>
      <c r="KZJ18" s="87"/>
      <c r="KZK18" s="87"/>
      <c r="KZL18" s="87"/>
      <c r="KZM18" s="87"/>
      <c r="KZN18" s="87"/>
      <c r="KZO18" s="87"/>
      <c r="KZP18" s="87"/>
      <c r="KZQ18" s="87"/>
      <c r="KZR18" s="87"/>
      <c r="KZS18" s="87"/>
      <c r="KZT18" s="87"/>
      <c r="KZU18" s="87"/>
      <c r="KZV18" s="87"/>
      <c r="KZW18" s="87"/>
      <c r="KZX18" s="87"/>
      <c r="KZY18" s="87"/>
      <c r="KZZ18" s="87"/>
      <c r="LAA18" s="87"/>
      <c r="LAB18" s="87"/>
      <c r="LAC18" s="87"/>
      <c r="LAD18" s="87"/>
      <c r="LAE18" s="87"/>
      <c r="LAF18" s="87"/>
      <c r="LAG18" s="87"/>
      <c r="LAH18" s="87"/>
      <c r="LAI18" s="87"/>
      <c r="LAJ18" s="87"/>
      <c r="LAK18" s="87"/>
      <c r="LAL18" s="87"/>
      <c r="LAM18" s="87"/>
      <c r="LAN18" s="87"/>
      <c r="LAO18" s="87"/>
      <c r="LAP18" s="87"/>
      <c r="LAQ18" s="87"/>
      <c r="LAR18" s="87"/>
      <c r="LAS18" s="87"/>
      <c r="LAT18" s="87"/>
      <c r="LAU18" s="87"/>
      <c r="LAV18" s="87"/>
      <c r="LAW18" s="87"/>
      <c r="LAX18" s="87"/>
      <c r="LAY18" s="87"/>
      <c r="LAZ18" s="87"/>
      <c r="LBA18" s="87"/>
      <c r="LBB18" s="87"/>
      <c r="LBC18" s="87"/>
      <c r="LBD18" s="87"/>
      <c r="LBE18" s="87"/>
      <c r="LBF18" s="87"/>
      <c r="LBG18" s="87"/>
      <c r="LBH18" s="87"/>
      <c r="LBI18" s="87"/>
      <c r="LBJ18" s="87"/>
      <c r="LBK18" s="87"/>
      <c r="LBL18" s="87"/>
      <c r="LBM18" s="87"/>
      <c r="LBN18" s="87"/>
      <c r="LBO18" s="87"/>
      <c r="LBP18" s="87"/>
      <c r="LBQ18" s="87"/>
      <c r="LBR18" s="87"/>
      <c r="LBS18" s="87"/>
      <c r="LBT18" s="87"/>
      <c r="LBU18" s="87"/>
      <c r="LBV18" s="87"/>
      <c r="LBW18" s="87"/>
      <c r="LBX18" s="87"/>
      <c r="LBY18" s="87"/>
      <c r="LBZ18" s="87"/>
      <c r="LCA18" s="87"/>
      <c r="LCB18" s="87"/>
      <c r="LCC18" s="87"/>
      <c r="LCD18" s="87"/>
      <c r="LCE18" s="87"/>
      <c r="LCF18" s="87"/>
      <c r="LCG18" s="87"/>
      <c r="LCH18" s="87"/>
      <c r="LCI18" s="87"/>
      <c r="LCJ18" s="87"/>
      <c r="LCK18" s="87"/>
      <c r="LCL18" s="87"/>
      <c r="LCM18" s="87"/>
      <c r="LCN18" s="87"/>
      <c r="LCO18" s="87"/>
      <c r="LCP18" s="87"/>
      <c r="LCQ18" s="87"/>
      <c r="LCR18" s="87"/>
      <c r="LCS18" s="87"/>
      <c r="LCT18" s="87"/>
      <c r="LCU18" s="87"/>
      <c r="LCV18" s="87"/>
      <c r="LCW18" s="87"/>
      <c r="LCX18" s="87"/>
      <c r="LCY18" s="87"/>
      <c r="LCZ18" s="87"/>
      <c r="LDA18" s="87"/>
      <c r="LDB18" s="87"/>
      <c r="LDC18" s="87"/>
      <c r="LDD18" s="87"/>
      <c r="LDE18" s="87"/>
      <c r="LDF18" s="87"/>
      <c r="LDG18" s="87"/>
      <c r="LDH18" s="87"/>
      <c r="LDI18" s="87"/>
      <c r="LDJ18" s="87"/>
      <c r="LDK18" s="87"/>
      <c r="LDL18" s="87"/>
      <c r="LDM18" s="87"/>
      <c r="LDN18" s="87"/>
      <c r="LDO18" s="87"/>
      <c r="LDP18" s="87"/>
      <c r="LDQ18" s="87"/>
      <c r="LDR18" s="87"/>
      <c r="LDS18" s="87"/>
      <c r="LDT18" s="87"/>
      <c r="LDU18" s="87"/>
      <c r="LDV18" s="87"/>
      <c r="LDW18" s="87"/>
      <c r="LDX18" s="87"/>
      <c r="LDY18" s="87"/>
      <c r="LDZ18" s="87"/>
      <c r="LEA18" s="87"/>
      <c r="LEB18" s="87"/>
      <c r="LEC18" s="87"/>
      <c r="LED18" s="87"/>
      <c r="LEE18" s="87"/>
      <c r="LEF18" s="87"/>
      <c r="LEG18" s="87"/>
      <c r="LEH18" s="87"/>
      <c r="LEI18" s="87"/>
      <c r="LEJ18" s="87"/>
      <c r="LEK18" s="87"/>
      <c r="LEL18" s="87"/>
      <c r="LEM18" s="87"/>
      <c r="LEN18" s="87"/>
      <c r="LEO18" s="87"/>
      <c r="LEP18" s="87"/>
      <c r="LEQ18" s="87"/>
      <c r="LER18" s="87"/>
      <c r="LES18" s="87"/>
      <c r="LET18" s="87"/>
      <c r="LEU18" s="87"/>
      <c r="LEV18" s="87"/>
      <c r="LEW18" s="87"/>
      <c r="LEX18" s="87"/>
      <c r="LEY18" s="87"/>
      <c r="LEZ18" s="87"/>
      <c r="LFA18" s="87"/>
      <c r="LFB18" s="87"/>
      <c r="LFC18" s="87"/>
      <c r="LFD18" s="87"/>
      <c r="LFE18" s="87"/>
      <c r="LFF18" s="87"/>
      <c r="LFG18" s="87"/>
      <c r="LFH18" s="87"/>
      <c r="LFI18" s="87"/>
      <c r="LFJ18" s="87"/>
      <c r="LFK18" s="87"/>
      <c r="LFL18" s="87"/>
      <c r="LFM18" s="87"/>
      <c r="LFN18" s="87"/>
      <c r="LFO18" s="87"/>
      <c r="LFP18" s="87"/>
      <c r="LFQ18" s="87"/>
      <c r="LFR18" s="87"/>
      <c r="LFS18" s="87"/>
      <c r="LFT18" s="87"/>
      <c r="LFU18" s="87"/>
      <c r="LFV18" s="87"/>
      <c r="LFW18" s="87"/>
      <c r="LFX18" s="87"/>
      <c r="LFY18" s="87"/>
      <c r="LFZ18" s="87"/>
      <c r="LGA18" s="87"/>
      <c r="LGB18" s="87"/>
      <c r="LGC18" s="87"/>
      <c r="LGD18" s="87"/>
      <c r="LGE18" s="87"/>
      <c r="LGF18" s="87"/>
      <c r="LGG18" s="87"/>
      <c r="LGH18" s="87"/>
      <c r="LGI18" s="87"/>
      <c r="LGJ18" s="87"/>
      <c r="LGK18" s="87"/>
      <c r="LGL18" s="87"/>
      <c r="LGM18" s="87"/>
      <c r="LGN18" s="87"/>
      <c r="LGO18" s="87"/>
      <c r="LGP18" s="87"/>
      <c r="LGQ18" s="87"/>
      <c r="LGR18" s="87"/>
      <c r="LGS18" s="87"/>
      <c r="LGT18" s="87"/>
      <c r="LGU18" s="87"/>
      <c r="LGV18" s="87"/>
      <c r="LGW18" s="87"/>
      <c r="LGX18" s="87"/>
      <c r="LGY18" s="87"/>
      <c r="LGZ18" s="87"/>
      <c r="LHA18" s="87"/>
      <c r="LHB18" s="87"/>
      <c r="LHC18" s="87"/>
      <c r="LHD18" s="87"/>
      <c r="LHE18" s="87"/>
      <c r="LHF18" s="87"/>
      <c r="LHG18" s="87"/>
      <c r="LHH18" s="87"/>
      <c r="LHI18" s="87"/>
      <c r="LHJ18" s="87"/>
      <c r="LHK18" s="87"/>
      <c r="LHL18" s="87"/>
      <c r="LHM18" s="87"/>
      <c r="LHN18" s="87"/>
      <c r="LHO18" s="87"/>
      <c r="LHP18" s="87"/>
      <c r="LHQ18" s="87"/>
      <c r="LHR18" s="87"/>
      <c r="LHS18" s="87"/>
      <c r="LHT18" s="87"/>
      <c r="LHU18" s="87"/>
      <c r="LHV18" s="87"/>
      <c r="LHW18" s="87"/>
      <c r="LHX18" s="87"/>
      <c r="LHY18" s="87"/>
      <c r="LHZ18" s="87"/>
      <c r="LIA18" s="87"/>
      <c r="LIB18" s="87"/>
      <c r="LIC18" s="87"/>
      <c r="LID18" s="87"/>
      <c r="LIE18" s="87"/>
      <c r="LIF18" s="87"/>
      <c r="LIG18" s="87"/>
      <c r="LIH18" s="87"/>
      <c r="LII18" s="87"/>
      <c r="LIJ18" s="87"/>
      <c r="LIK18" s="87"/>
      <c r="LIL18" s="87"/>
      <c r="LIM18" s="87"/>
      <c r="LIN18" s="87"/>
      <c r="LIO18" s="87"/>
      <c r="LIP18" s="87"/>
      <c r="LIQ18" s="87"/>
      <c r="LIR18" s="87"/>
      <c r="LIS18" s="87"/>
      <c r="LIT18" s="87"/>
      <c r="LIU18" s="87"/>
      <c r="LIV18" s="87"/>
      <c r="LIW18" s="87"/>
      <c r="LIX18" s="87"/>
      <c r="LIY18" s="87"/>
      <c r="LIZ18" s="87"/>
      <c r="LJA18" s="87"/>
      <c r="LJB18" s="87"/>
      <c r="LJC18" s="87"/>
      <c r="LJD18" s="87"/>
      <c r="LJE18" s="87"/>
      <c r="LJF18" s="87"/>
      <c r="LJG18" s="87"/>
      <c r="LJH18" s="87"/>
      <c r="LJI18" s="87"/>
      <c r="LJJ18" s="87"/>
      <c r="LJK18" s="87"/>
      <c r="LJL18" s="87"/>
      <c r="LJM18" s="87"/>
      <c r="LJN18" s="87"/>
      <c r="LJO18" s="87"/>
      <c r="LJP18" s="87"/>
      <c r="LJQ18" s="87"/>
      <c r="LJR18" s="87"/>
      <c r="LJS18" s="87"/>
      <c r="LJT18" s="87"/>
      <c r="LJU18" s="87"/>
      <c r="LJV18" s="87"/>
      <c r="LJW18" s="87"/>
      <c r="LJX18" s="87"/>
      <c r="LJY18" s="87"/>
      <c r="LJZ18" s="87"/>
      <c r="LKA18" s="87"/>
      <c r="LKB18" s="87"/>
      <c r="LKC18" s="87"/>
      <c r="LKD18" s="87"/>
      <c r="LKE18" s="87"/>
      <c r="LKF18" s="87"/>
      <c r="LKG18" s="87"/>
      <c r="LKH18" s="87"/>
      <c r="LKI18" s="87"/>
      <c r="LKJ18" s="87"/>
      <c r="LKK18" s="87"/>
      <c r="LKL18" s="87"/>
      <c r="LKM18" s="87"/>
      <c r="LKN18" s="87"/>
      <c r="LKO18" s="87"/>
      <c r="LKP18" s="87"/>
      <c r="LKQ18" s="87"/>
      <c r="LKR18" s="87"/>
      <c r="LKS18" s="87"/>
      <c r="LKT18" s="87"/>
      <c r="LKU18" s="87"/>
      <c r="LKV18" s="87"/>
      <c r="LKW18" s="87"/>
      <c r="LKX18" s="87"/>
      <c r="LKY18" s="87"/>
      <c r="LKZ18" s="87"/>
      <c r="LLA18" s="87"/>
      <c r="LLB18" s="87"/>
      <c r="LLC18" s="87"/>
      <c r="LLD18" s="87"/>
      <c r="LLE18" s="87"/>
      <c r="LLF18" s="87"/>
      <c r="LLG18" s="87"/>
      <c r="LLH18" s="87"/>
      <c r="LLI18" s="87"/>
      <c r="LLJ18" s="87"/>
      <c r="LLK18" s="87"/>
      <c r="LLL18" s="87"/>
      <c r="LLM18" s="87"/>
      <c r="LLN18" s="87"/>
      <c r="LLO18" s="87"/>
      <c r="LLP18" s="87"/>
      <c r="LLQ18" s="87"/>
      <c r="LLR18" s="87"/>
      <c r="LLS18" s="87"/>
      <c r="LLT18" s="87"/>
      <c r="LLU18" s="87"/>
      <c r="LLV18" s="87"/>
      <c r="LLW18" s="87"/>
      <c r="LLX18" s="87"/>
      <c r="LLY18" s="87"/>
      <c r="LLZ18" s="87"/>
      <c r="LMA18" s="87"/>
      <c r="LMB18" s="87"/>
      <c r="LMC18" s="87"/>
      <c r="LMD18" s="87"/>
      <c r="LME18" s="87"/>
      <c r="LMF18" s="87"/>
      <c r="LMG18" s="87"/>
      <c r="LMH18" s="87"/>
      <c r="LMI18" s="87"/>
      <c r="LMJ18" s="87"/>
      <c r="LMK18" s="87"/>
      <c r="LML18" s="87"/>
      <c r="LMM18" s="87"/>
      <c r="LMN18" s="87"/>
      <c r="LMO18" s="87"/>
      <c r="LMP18" s="87"/>
      <c r="LMQ18" s="87"/>
      <c r="LMR18" s="87"/>
      <c r="LMS18" s="87"/>
      <c r="LMT18" s="87"/>
      <c r="LMU18" s="87"/>
      <c r="LMV18" s="87"/>
      <c r="LMW18" s="87"/>
      <c r="LMX18" s="87"/>
      <c r="LMY18" s="87"/>
      <c r="LMZ18" s="87"/>
      <c r="LNA18" s="87"/>
      <c r="LNB18" s="87"/>
      <c r="LNC18" s="87"/>
      <c r="LND18" s="87"/>
      <c r="LNE18" s="87"/>
      <c r="LNF18" s="87"/>
      <c r="LNG18" s="87"/>
      <c r="LNH18" s="87"/>
      <c r="LNI18" s="87"/>
      <c r="LNJ18" s="87"/>
      <c r="LNK18" s="87"/>
      <c r="LNL18" s="87"/>
      <c r="LNM18" s="87"/>
      <c r="LNN18" s="87"/>
      <c r="LNO18" s="87"/>
      <c r="LNP18" s="87"/>
      <c r="LNQ18" s="87"/>
      <c r="LNR18" s="87"/>
      <c r="LNS18" s="87"/>
      <c r="LNT18" s="87"/>
      <c r="LNU18" s="87"/>
      <c r="LNV18" s="87"/>
      <c r="LNW18" s="87"/>
      <c r="LNX18" s="87"/>
      <c r="LNY18" s="87"/>
      <c r="LNZ18" s="87"/>
      <c r="LOA18" s="87"/>
      <c r="LOB18" s="87"/>
      <c r="LOC18" s="87"/>
      <c r="LOD18" s="87"/>
      <c r="LOE18" s="87"/>
      <c r="LOF18" s="87"/>
      <c r="LOG18" s="87"/>
      <c r="LOH18" s="87"/>
      <c r="LOI18" s="87"/>
      <c r="LOJ18" s="87"/>
      <c r="LOK18" s="87"/>
      <c r="LOL18" s="87"/>
      <c r="LOM18" s="87"/>
      <c r="LON18" s="87"/>
      <c r="LOO18" s="87"/>
      <c r="LOP18" s="87"/>
      <c r="LOQ18" s="87"/>
      <c r="LOR18" s="87"/>
      <c r="LOS18" s="87"/>
      <c r="LOT18" s="87"/>
      <c r="LOU18" s="87"/>
      <c r="LOV18" s="87"/>
      <c r="LOW18" s="87"/>
      <c r="LOX18" s="87"/>
      <c r="LOY18" s="87"/>
      <c r="LOZ18" s="87"/>
      <c r="LPA18" s="87"/>
      <c r="LPB18" s="87"/>
      <c r="LPC18" s="87"/>
      <c r="LPD18" s="87"/>
      <c r="LPE18" s="87"/>
      <c r="LPF18" s="87"/>
      <c r="LPG18" s="87"/>
      <c r="LPH18" s="87"/>
      <c r="LPI18" s="87"/>
      <c r="LPJ18" s="87"/>
      <c r="LPK18" s="87"/>
      <c r="LPL18" s="87"/>
      <c r="LPM18" s="87"/>
      <c r="LPN18" s="87"/>
      <c r="LPO18" s="87"/>
      <c r="LPP18" s="87"/>
      <c r="LPQ18" s="87"/>
      <c r="LPR18" s="87"/>
      <c r="LPS18" s="87"/>
      <c r="LPT18" s="87"/>
      <c r="LPU18" s="87"/>
      <c r="LPV18" s="87"/>
      <c r="LPW18" s="87"/>
      <c r="LPX18" s="87"/>
      <c r="LPY18" s="87"/>
      <c r="LPZ18" s="87"/>
      <c r="LQA18" s="87"/>
      <c r="LQB18" s="87"/>
      <c r="LQC18" s="87"/>
      <c r="LQD18" s="87"/>
      <c r="LQE18" s="87"/>
      <c r="LQF18" s="87"/>
      <c r="LQG18" s="87"/>
      <c r="LQH18" s="87"/>
      <c r="LQI18" s="87"/>
      <c r="LQJ18" s="87"/>
      <c r="LQK18" s="87"/>
      <c r="LQL18" s="87"/>
      <c r="LQM18" s="87"/>
      <c r="LQN18" s="87"/>
      <c r="LQO18" s="87"/>
      <c r="LQP18" s="87"/>
      <c r="LQQ18" s="87"/>
      <c r="LQR18" s="87"/>
      <c r="LQS18" s="87"/>
      <c r="LQT18" s="87"/>
      <c r="LQU18" s="87"/>
      <c r="LQV18" s="87"/>
      <c r="LQW18" s="87"/>
      <c r="LQX18" s="87"/>
      <c r="LQY18" s="87"/>
      <c r="LQZ18" s="87"/>
      <c r="LRA18" s="87"/>
      <c r="LRB18" s="87"/>
      <c r="LRC18" s="87"/>
      <c r="LRD18" s="87"/>
      <c r="LRE18" s="87"/>
      <c r="LRF18" s="87"/>
      <c r="LRG18" s="87"/>
      <c r="LRH18" s="87"/>
      <c r="LRI18" s="87"/>
      <c r="LRJ18" s="87"/>
      <c r="LRK18" s="87"/>
      <c r="LRL18" s="87"/>
      <c r="LRM18" s="87"/>
      <c r="LRN18" s="87"/>
      <c r="LRO18" s="87"/>
      <c r="LRP18" s="87"/>
      <c r="LRQ18" s="87"/>
      <c r="LRR18" s="87"/>
      <c r="LRS18" s="87"/>
      <c r="LRT18" s="87"/>
      <c r="LRU18" s="87"/>
      <c r="LRV18" s="87"/>
      <c r="LRW18" s="87"/>
      <c r="LRX18" s="87"/>
      <c r="LRY18" s="87"/>
      <c r="LRZ18" s="87"/>
      <c r="LSA18" s="87"/>
      <c r="LSB18" s="87"/>
      <c r="LSC18" s="87"/>
      <c r="LSD18" s="87"/>
      <c r="LSE18" s="87"/>
      <c r="LSF18" s="87"/>
      <c r="LSG18" s="87"/>
      <c r="LSH18" s="87"/>
      <c r="LSI18" s="87"/>
      <c r="LSJ18" s="87"/>
      <c r="LSK18" s="87"/>
      <c r="LSL18" s="87"/>
      <c r="LSM18" s="87"/>
      <c r="LSN18" s="87"/>
      <c r="LSO18" s="87"/>
      <c r="LSP18" s="87"/>
      <c r="LSQ18" s="87"/>
      <c r="LSR18" s="87"/>
      <c r="LSS18" s="87"/>
      <c r="LST18" s="87"/>
      <c r="LSU18" s="87"/>
      <c r="LSV18" s="87"/>
      <c r="LSW18" s="87"/>
      <c r="LSX18" s="87"/>
      <c r="LSY18" s="87"/>
      <c r="LSZ18" s="87"/>
      <c r="LTA18" s="87"/>
      <c r="LTB18" s="87"/>
      <c r="LTC18" s="87"/>
      <c r="LTD18" s="87"/>
      <c r="LTE18" s="87"/>
      <c r="LTF18" s="87"/>
      <c r="LTG18" s="87"/>
      <c r="LTH18" s="87"/>
      <c r="LTI18" s="87"/>
      <c r="LTJ18" s="87"/>
      <c r="LTK18" s="87"/>
      <c r="LTL18" s="87"/>
      <c r="LTM18" s="87"/>
      <c r="LTN18" s="87"/>
      <c r="LTO18" s="87"/>
      <c r="LTP18" s="87"/>
      <c r="LTQ18" s="87"/>
      <c r="LTR18" s="87"/>
      <c r="LTS18" s="87"/>
      <c r="LTT18" s="87"/>
      <c r="LTU18" s="87"/>
      <c r="LTV18" s="87"/>
      <c r="LTW18" s="87"/>
      <c r="LTX18" s="87"/>
      <c r="LTY18" s="87"/>
      <c r="LTZ18" s="87"/>
      <c r="LUA18" s="87"/>
      <c r="LUB18" s="87"/>
      <c r="LUC18" s="87"/>
      <c r="LUD18" s="87"/>
      <c r="LUE18" s="87"/>
      <c r="LUF18" s="87"/>
      <c r="LUG18" s="87"/>
      <c r="LUH18" s="87"/>
      <c r="LUI18" s="87"/>
      <c r="LUJ18" s="87"/>
      <c r="LUK18" s="87"/>
      <c r="LUL18" s="87"/>
      <c r="LUM18" s="87"/>
      <c r="LUN18" s="87"/>
      <c r="LUO18" s="87"/>
      <c r="LUP18" s="87"/>
      <c r="LUQ18" s="87"/>
      <c r="LUR18" s="87"/>
      <c r="LUS18" s="87"/>
      <c r="LUT18" s="87"/>
      <c r="LUU18" s="87"/>
      <c r="LUV18" s="87"/>
      <c r="LUW18" s="87"/>
      <c r="LUX18" s="87"/>
      <c r="LUY18" s="87"/>
      <c r="LUZ18" s="87"/>
      <c r="LVA18" s="87"/>
      <c r="LVB18" s="87"/>
      <c r="LVC18" s="87"/>
      <c r="LVD18" s="87"/>
      <c r="LVE18" s="87"/>
      <c r="LVF18" s="87"/>
      <c r="LVG18" s="87"/>
      <c r="LVH18" s="87"/>
      <c r="LVI18" s="87"/>
      <c r="LVJ18" s="87"/>
      <c r="LVK18" s="87"/>
      <c r="LVL18" s="87"/>
      <c r="LVM18" s="87"/>
      <c r="LVN18" s="87"/>
      <c r="LVO18" s="87"/>
      <c r="LVP18" s="87"/>
      <c r="LVQ18" s="87"/>
      <c r="LVR18" s="87"/>
      <c r="LVS18" s="87"/>
      <c r="LVT18" s="87"/>
      <c r="LVU18" s="87"/>
      <c r="LVV18" s="87"/>
      <c r="LVW18" s="87"/>
      <c r="LVX18" s="87"/>
      <c r="LVY18" s="87"/>
      <c r="LVZ18" s="87"/>
      <c r="LWA18" s="87"/>
      <c r="LWB18" s="87"/>
      <c r="LWC18" s="87"/>
      <c r="LWD18" s="87"/>
      <c r="LWE18" s="87"/>
      <c r="LWF18" s="87"/>
      <c r="LWG18" s="87"/>
      <c r="LWH18" s="87"/>
      <c r="LWI18" s="87"/>
      <c r="LWJ18" s="87"/>
      <c r="LWK18" s="87"/>
      <c r="LWL18" s="87"/>
      <c r="LWM18" s="87"/>
      <c r="LWN18" s="87"/>
      <c r="LWO18" s="87"/>
      <c r="LWP18" s="87"/>
      <c r="LWQ18" s="87"/>
      <c r="LWR18" s="87"/>
      <c r="LWS18" s="87"/>
      <c r="LWT18" s="87"/>
      <c r="LWU18" s="87"/>
      <c r="LWV18" s="87"/>
      <c r="LWW18" s="87"/>
      <c r="LWX18" s="87"/>
      <c r="LWY18" s="87"/>
      <c r="LWZ18" s="87"/>
      <c r="LXA18" s="87"/>
      <c r="LXB18" s="87"/>
      <c r="LXC18" s="87"/>
      <c r="LXD18" s="87"/>
      <c r="LXE18" s="87"/>
      <c r="LXF18" s="87"/>
      <c r="LXG18" s="87"/>
      <c r="LXH18" s="87"/>
      <c r="LXI18" s="87"/>
      <c r="LXJ18" s="87"/>
      <c r="LXK18" s="87"/>
      <c r="LXL18" s="87"/>
      <c r="LXM18" s="87"/>
      <c r="LXN18" s="87"/>
      <c r="LXO18" s="87"/>
      <c r="LXP18" s="87"/>
      <c r="LXQ18" s="87"/>
      <c r="LXR18" s="87"/>
      <c r="LXS18" s="87"/>
      <c r="LXT18" s="87"/>
      <c r="LXU18" s="87"/>
      <c r="LXV18" s="87"/>
      <c r="LXW18" s="87"/>
      <c r="LXX18" s="87"/>
      <c r="LXY18" s="87"/>
      <c r="LXZ18" s="87"/>
      <c r="LYA18" s="87"/>
      <c r="LYB18" s="87"/>
      <c r="LYC18" s="87"/>
      <c r="LYD18" s="87"/>
      <c r="LYE18" s="87"/>
      <c r="LYF18" s="87"/>
      <c r="LYG18" s="87"/>
      <c r="LYH18" s="87"/>
      <c r="LYI18" s="87"/>
      <c r="LYJ18" s="87"/>
      <c r="LYK18" s="87"/>
      <c r="LYL18" s="87"/>
      <c r="LYM18" s="87"/>
      <c r="LYN18" s="87"/>
      <c r="LYO18" s="87"/>
      <c r="LYP18" s="87"/>
      <c r="LYQ18" s="87"/>
      <c r="LYR18" s="87"/>
      <c r="LYS18" s="87"/>
      <c r="LYT18" s="87"/>
      <c r="LYU18" s="87"/>
      <c r="LYV18" s="87"/>
      <c r="LYW18" s="87"/>
      <c r="LYX18" s="87"/>
      <c r="LYY18" s="87"/>
      <c r="LYZ18" s="87"/>
      <c r="LZA18" s="87"/>
      <c r="LZB18" s="87"/>
      <c r="LZC18" s="87"/>
      <c r="LZD18" s="87"/>
      <c r="LZE18" s="87"/>
      <c r="LZF18" s="87"/>
      <c r="LZG18" s="87"/>
      <c r="LZH18" s="87"/>
      <c r="LZI18" s="87"/>
      <c r="LZJ18" s="87"/>
      <c r="LZK18" s="87"/>
      <c r="LZL18" s="87"/>
      <c r="LZM18" s="87"/>
      <c r="LZN18" s="87"/>
      <c r="LZO18" s="87"/>
      <c r="LZP18" s="87"/>
      <c r="LZQ18" s="87"/>
      <c r="LZR18" s="87"/>
      <c r="LZS18" s="87"/>
      <c r="LZT18" s="87"/>
      <c r="LZU18" s="87"/>
      <c r="LZV18" s="87"/>
      <c r="LZW18" s="87"/>
      <c r="LZX18" s="87"/>
      <c r="LZY18" s="87"/>
      <c r="LZZ18" s="87"/>
      <c r="MAA18" s="87"/>
      <c r="MAB18" s="87"/>
      <c r="MAC18" s="87"/>
      <c r="MAD18" s="87"/>
      <c r="MAE18" s="87"/>
      <c r="MAF18" s="87"/>
      <c r="MAG18" s="87"/>
      <c r="MAH18" s="87"/>
      <c r="MAI18" s="87"/>
      <c r="MAJ18" s="87"/>
      <c r="MAK18" s="87"/>
      <c r="MAL18" s="87"/>
      <c r="MAM18" s="87"/>
      <c r="MAN18" s="87"/>
      <c r="MAO18" s="87"/>
      <c r="MAP18" s="87"/>
      <c r="MAQ18" s="87"/>
      <c r="MAR18" s="87"/>
      <c r="MAS18" s="87"/>
      <c r="MAT18" s="87"/>
      <c r="MAU18" s="87"/>
      <c r="MAV18" s="87"/>
      <c r="MAW18" s="87"/>
      <c r="MAX18" s="87"/>
      <c r="MAY18" s="87"/>
      <c r="MAZ18" s="87"/>
      <c r="MBA18" s="87"/>
      <c r="MBB18" s="87"/>
      <c r="MBC18" s="87"/>
      <c r="MBD18" s="87"/>
      <c r="MBE18" s="87"/>
      <c r="MBF18" s="87"/>
      <c r="MBG18" s="87"/>
      <c r="MBH18" s="87"/>
      <c r="MBI18" s="87"/>
      <c r="MBJ18" s="87"/>
      <c r="MBK18" s="87"/>
      <c r="MBL18" s="87"/>
      <c r="MBM18" s="87"/>
      <c r="MBN18" s="87"/>
      <c r="MBO18" s="87"/>
      <c r="MBP18" s="87"/>
      <c r="MBQ18" s="87"/>
      <c r="MBR18" s="87"/>
      <c r="MBS18" s="87"/>
      <c r="MBT18" s="87"/>
      <c r="MBU18" s="87"/>
      <c r="MBV18" s="87"/>
      <c r="MBW18" s="87"/>
      <c r="MBX18" s="87"/>
      <c r="MBY18" s="87"/>
      <c r="MBZ18" s="87"/>
      <c r="MCA18" s="87"/>
      <c r="MCB18" s="87"/>
      <c r="MCC18" s="87"/>
      <c r="MCD18" s="87"/>
      <c r="MCE18" s="87"/>
      <c r="MCF18" s="87"/>
      <c r="MCG18" s="87"/>
      <c r="MCH18" s="87"/>
      <c r="MCI18" s="87"/>
      <c r="MCJ18" s="87"/>
      <c r="MCK18" s="87"/>
      <c r="MCL18" s="87"/>
      <c r="MCM18" s="87"/>
      <c r="MCN18" s="87"/>
      <c r="MCO18" s="87"/>
      <c r="MCP18" s="87"/>
      <c r="MCQ18" s="87"/>
      <c r="MCR18" s="87"/>
      <c r="MCS18" s="87"/>
      <c r="MCT18" s="87"/>
      <c r="MCU18" s="87"/>
      <c r="MCV18" s="87"/>
      <c r="MCW18" s="87"/>
      <c r="MCX18" s="87"/>
      <c r="MCY18" s="87"/>
      <c r="MCZ18" s="87"/>
      <c r="MDA18" s="87"/>
      <c r="MDB18" s="87"/>
      <c r="MDC18" s="87"/>
      <c r="MDD18" s="87"/>
      <c r="MDE18" s="87"/>
      <c r="MDF18" s="87"/>
      <c r="MDG18" s="87"/>
      <c r="MDH18" s="87"/>
      <c r="MDI18" s="87"/>
      <c r="MDJ18" s="87"/>
      <c r="MDK18" s="87"/>
      <c r="MDL18" s="87"/>
      <c r="MDM18" s="87"/>
      <c r="MDN18" s="87"/>
      <c r="MDO18" s="87"/>
      <c r="MDP18" s="87"/>
      <c r="MDQ18" s="87"/>
      <c r="MDR18" s="87"/>
      <c r="MDS18" s="87"/>
      <c r="MDT18" s="87"/>
      <c r="MDU18" s="87"/>
      <c r="MDV18" s="87"/>
      <c r="MDW18" s="87"/>
      <c r="MDX18" s="87"/>
      <c r="MDY18" s="87"/>
      <c r="MDZ18" s="87"/>
      <c r="MEA18" s="87"/>
      <c r="MEB18" s="87"/>
      <c r="MEC18" s="87"/>
      <c r="MED18" s="87"/>
      <c r="MEE18" s="87"/>
      <c r="MEF18" s="87"/>
      <c r="MEG18" s="87"/>
      <c r="MEH18" s="87"/>
      <c r="MEI18" s="87"/>
      <c r="MEJ18" s="87"/>
      <c r="MEK18" s="87"/>
      <c r="MEL18" s="87"/>
      <c r="MEM18" s="87"/>
      <c r="MEN18" s="87"/>
      <c r="MEO18" s="87"/>
      <c r="MEP18" s="87"/>
      <c r="MEQ18" s="87"/>
      <c r="MER18" s="87"/>
      <c r="MES18" s="87"/>
      <c r="MET18" s="87"/>
      <c r="MEU18" s="87"/>
      <c r="MEV18" s="87"/>
      <c r="MEW18" s="87"/>
      <c r="MEX18" s="87"/>
      <c r="MEY18" s="87"/>
      <c r="MEZ18" s="87"/>
      <c r="MFA18" s="87"/>
      <c r="MFB18" s="87"/>
      <c r="MFC18" s="87"/>
      <c r="MFD18" s="87"/>
      <c r="MFE18" s="87"/>
      <c r="MFF18" s="87"/>
      <c r="MFG18" s="87"/>
      <c r="MFH18" s="87"/>
      <c r="MFI18" s="87"/>
      <c r="MFJ18" s="87"/>
      <c r="MFK18" s="87"/>
      <c r="MFL18" s="87"/>
      <c r="MFM18" s="87"/>
      <c r="MFN18" s="87"/>
      <c r="MFO18" s="87"/>
      <c r="MFP18" s="87"/>
      <c r="MFQ18" s="87"/>
      <c r="MFR18" s="87"/>
      <c r="MFS18" s="87"/>
      <c r="MFT18" s="87"/>
      <c r="MFU18" s="87"/>
      <c r="MFV18" s="87"/>
      <c r="MFW18" s="87"/>
      <c r="MFX18" s="87"/>
      <c r="MFY18" s="87"/>
      <c r="MFZ18" s="87"/>
      <c r="MGA18" s="87"/>
      <c r="MGB18" s="87"/>
      <c r="MGC18" s="87"/>
      <c r="MGD18" s="87"/>
      <c r="MGE18" s="87"/>
      <c r="MGF18" s="87"/>
      <c r="MGG18" s="87"/>
      <c r="MGH18" s="87"/>
      <c r="MGI18" s="87"/>
      <c r="MGJ18" s="87"/>
      <c r="MGK18" s="87"/>
      <c r="MGL18" s="87"/>
      <c r="MGM18" s="87"/>
      <c r="MGN18" s="87"/>
      <c r="MGO18" s="87"/>
      <c r="MGP18" s="87"/>
      <c r="MGQ18" s="87"/>
      <c r="MGR18" s="87"/>
      <c r="MGS18" s="87"/>
      <c r="MGT18" s="87"/>
      <c r="MGU18" s="87"/>
      <c r="MGV18" s="87"/>
      <c r="MGW18" s="87"/>
      <c r="MGX18" s="87"/>
      <c r="MGY18" s="87"/>
      <c r="MGZ18" s="87"/>
      <c r="MHA18" s="87"/>
      <c r="MHB18" s="87"/>
      <c r="MHC18" s="87"/>
      <c r="MHD18" s="87"/>
      <c r="MHE18" s="87"/>
      <c r="MHF18" s="87"/>
      <c r="MHG18" s="87"/>
      <c r="MHH18" s="87"/>
      <c r="MHI18" s="87"/>
      <c r="MHJ18" s="87"/>
      <c r="MHK18" s="87"/>
      <c r="MHL18" s="87"/>
      <c r="MHM18" s="87"/>
      <c r="MHN18" s="87"/>
      <c r="MHO18" s="87"/>
      <c r="MHP18" s="87"/>
      <c r="MHQ18" s="87"/>
      <c r="MHR18" s="87"/>
      <c r="MHS18" s="87"/>
      <c r="MHT18" s="87"/>
      <c r="MHU18" s="87"/>
      <c r="MHV18" s="87"/>
      <c r="MHW18" s="87"/>
      <c r="MHX18" s="87"/>
      <c r="MHY18" s="87"/>
      <c r="MHZ18" s="87"/>
      <c r="MIA18" s="87"/>
      <c r="MIB18" s="87"/>
      <c r="MIC18" s="87"/>
      <c r="MID18" s="87"/>
      <c r="MIE18" s="87"/>
      <c r="MIF18" s="87"/>
      <c r="MIG18" s="87"/>
      <c r="MIH18" s="87"/>
      <c r="MII18" s="87"/>
      <c r="MIJ18" s="87"/>
      <c r="MIK18" s="87"/>
      <c r="MIL18" s="87"/>
      <c r="MIM18" s="87"/>
      <c r="MIN18" s="87"/>
      <c r="MIO18" s="87"/>
      <c r="MIP18" s="87"/>
      <c r="MIQ18" s="87"/>
      <c r="MIR18" s="87"/>
      <c r="MIS18" s="87"/>
      <c r="MIT18" s="87"/>
      <c r="MIU18" s="87"/>
      <c r="MIV18" s="87"/>
      <c r="MIW18" s="87"/>
      <c r="MIX18" s="87"/>
      <c r="MIY18" s="87"/>
      <c r="MIZ18" s="87"/>
      <c r="MJA18" s="87"/>
      <c r="MJB18" s="87"/>
      <c r="MJC18" s="87"/>
      <c r="MJD18" s="87"/>
      <c r="MJE18" s="87"/>
      <c r="MJF18" s="87"/>
      <c r="MJG18" s="87"/>
      <c r="MJH18" s="87"/>
      <c r="MJI18" s="87"/>
      <c r="MJJ18" s="87"/>
      <c r="MJK18" s="87"/>
      <c r="MJL18" s="87"/>
      <c r="MJM18" s="87"/>
      <c r="MJN18" s="87"/>
      <c r="MJO18" s="87"/>
      <c r="MJP18" s="87"/>
      <c r="MJQ18" s="87"/>
      <c r="MJR18" s="87"/>
      <c r="MJS18" s="87"/>
      <c r="MJT18" s="87"/>
      <c r="MJU18" s="87"/>
      <c r="MJV18" s="87"/>
      <c r="MJW18" s="87"/>
      <c r="MJX18" s="87"/>
      <c r="MJY18" s="87"/>
      <c r="MJZ18" s="87"/>
      <c r="MKA18" s="87"/>
      <c r="MKB18" s="87"/>
      <c r="MKC18" s="87"/>
      <c r="MKD18" s="87"/>
      <c r="MKE18" s="87"/>
      <c r="MKF18" s="87"/>
      <c r="MKG18" s="87"/>
      <c r="MKH18" s="87"/>
      <c r="MKI18" s="87"/>
      <c r="MKJ18" s="87"/>
      <c r="MKK18" s="87"/>
      <c r="MKL18" s="87"/>
      <c r="MKM18" s="87"/>
      <c r="MKN18" s="87"/>
      <c r="MKO18" s="87"/>
      <c r="MKP18" s="87"/>
      <c r="MKQ18" s="87"/>
      <c r="MKR18" s="87"/>
      <c r="MKS18" s="87"/>
      <c r="MKT18" s="87"/>
      <c r="MKU18" s="87"/>
      <c r="MKV18" s="87"/>
      <c r="MKW18" s="87"/>
      <c r="MKX18" s="87"/>
      <c r="MKY18" s="87"/>
      <c r="MKZ18" s="87"/>
      <c r="MLA18" s="87"/>
      <c r="MLB18" s="87"/>
      <c r="MLC18" s="87"/>
      <c r="MLD18" s="87"/>
      <c r="MLE18" s="87"/>
      <c r="MLF18" s="87"/>
      <c r="MLG18" s="87"/>
      <c r="MLH18" s="87"/>
      <c r="MLI18" s="87"/>
      <c r="MLJ18" s="87"/>
      <c r="MLK18" s="87"/>
      <c r="MLL18" s="87"/>
      <c r="MLM18" s="87"/>
      <c r="MLN18" s="87"/>
      <c r="MLO18" s="87"/>
      <c r="MLP18" s="87"/>
      <c r="MLQ18" s="87"/>
      <c r="MLR18" s="87"/>
      <c r="MLS18" s="87"/>
      <c r="MLT18" s="87"/>
      <c r="MLU18" s="87"/>
      <c r="MLV18" s="87"/>
      <c r="MLW18" s="87"/>
      <c r="MLX18" s="87"/>
      <c r="MLY18" s="87"/>
      <c r="MLZ18" s="87"/>
      <c r="MMA18" s="87"/>
      <c r="MMB18" s="87"/>
      <c r="MMC18" s="87"/>
      <c r="MMD18" s="87"/>
      <c r="MME18" s="87"/>
      <c r="MMF18" s="87"/>
      <c r="MMG18" s="87"/>
      <c r="MMH18" s="87"/>
      <c r="MMI18" s="87"/>
      <c r="MMJ18" s="87"/>
      <c r="MMK18" s="87"/>
      <c r="MML18" s="87"/>
      <c r="MMM18" s="87"/>
      <c r="MMN18" s="87"/>
      <c r="MMO18" s="87"/>
      <c r="MMP18" s="87"/>
      <c r="MMQ18" s="87"/>
      <c r="MMR18" s="87"/>
      <c r="MMS18" s="87"/>
      <c r="MMT18" s="87"/>
      <c r="MMU18" s="87"/>
      <c r="MMV18" s="87"/>
      <c r="MMW18" s="87"/>
      <c r="MMX18" s="87"/>
      <c r="MMY18" s="87"/>
      <c r="MMZ18" s="87"/>
      <c r="MNA18" s="87"/>
      <c r="MNB18" s="87"/>
      <c r="MNC18" s="87"/>
      <c r="MND18" s="87"/>
      <c r="MNE18" s="87"/>
      <c r="MNF18" s="87"/>
      <c r="MNG18" s="87"/>
      <c r="MNH18" s="87"/>
      <c r="MNI18" s="87"/>
      <c r="MNJ18" s="87"/>
      <c r="MNK18" s="87"/>
      <c r="MNL18" s="87"/>
      <c r="MNM18" s="87"/>
      <c r="MNN18" s="87"/>
      <c r="MNO18" s="87"/>
      <c r="MNP18" s="87"/>
      <c r="MNQ18" s="87"/>
      <c r="MNR18" s="87"/>
      <c r="MNS18" s="87"/>
      <c r="MNT18" s="87"/>
      <c r="MNU18" s="87"/>
      <c r="MNV18" s="87"/>
      <c r="MNW18" s="87"/>
      <c r="MNX18" s="87"/>
      <c r="MNY18" s="87"/>
      <c r="MNZ18" s="87"/>
      <c r="MOA18" s="87"/>
      <c r="MOB18" s="87"/>
      <c r="MOC18" s="87"/>
      <c r="MOD18" s="87"/>
      <c r="MOE18" s="87"/>
      <c r="MOF18" s="87"/>
      <c r="MOG18" s="87"/>
      <c r="MOH18" s="87"/>
      <c r="MOI18" s="87"/>
      <c r="MOJ18" s="87"/>
      <c r="MOK18" s="87"/>
      <c r="MOL18" s="87"/>
      <c r="MOM18" s="87"/>
      <c r="MON18" s="87"/>
      <c r="MOO18" s="87"/>
      <c r="MOP18" s="87"/>
      <c r="MOQ18" s="87"/>
      <c r="MOR18" s="87"/>
      <c r="MOS18" s="87"/>
      <c r="MOT18" s="87"/>
      <c r="MOU18" s="87"/>
      <c r="MOV18" s="87"/>
      <c r="MOW18" s="87"/>
      <c r="MOX18" s="87"/>
      <c r="MOY18" s="87"/>
      <c r="MOZ18" s="87"/>
      <c r="MPA18" s="87"/>
      <c r="MPB18" s="87"/>
      <c r="MPC18" s="87"/>
      <c r="MPD18" s="87"/>
      <c r="MPE18" s="87"/>
      <c r="MPF18" s="87"/>
      <c r="MPG18" s="87"/>
      <c r="MPH18" s="87"/>
      <c r="MPI18" s="87"/>
      <c r="MPJ18" s="87"/>
      <c r="MPK18" s="87"/>
      <c r="MPL18" s="87"/>
      <c r="MPM18" s="87"/>
      <c r="MPN18" s="87"/>
      <c r="MPO18" s="87"/>
      <c r="MPP18" s="87"/>
      <c r="MPQ18" s="87"/>
      <c r="MPR18" s="87"/>
      <c r="MPS18" s="87"/>
      <c r="MPT18" s="87"/>
      <c r="MPU18" s="87"/>
      <c r="MPV18" s="87"/>
      <c r="MPW18" s="87"/>
      <c r="MPX18" s="87"/>
      <c r="MPY18" s="87"/>
      <c r="MPZ18" s="87"/>
      <c r="MQA18" s="87"/>
      <c r="MQB18" s="87"/>
      <c r="MQC18" s="87"/>
      <c r="MQD18" s="87"/>
      <c r="MQE18" s="87"/>
      <c r="MQF18" s="87"/>
      <c r="MQG18" s="87"/>
      <c r="MQH18" s="87"/>
      <c r="MQI18" s="87"/>
      <c r="MQJ18" s="87"/>
      <c r="MQK18" s="87"/>
      <c r="MQL18" s="87"/>
      <c r="MQM18" s="87"/>
      <c r="MQN18" s="87"/>
      <c r="MQO18" s="87"/>
      <c r="MQP18" s="87"/>
      <c r="MQQ18" s="87"/>
      <c r="MQR18" s="87"/>
      <c r="MQS18" s="87"/>
      <c r="MQT18" s="87"/>
      <c r="MQU18" s="87"/>
      <c r="MQV18" s="87"/>
      <c r="MQW18" s="87"/>
      <c r="MQX18" s="87"/>
      <c r="MQY18" s="87"/>
      <c r="MQZ18" s="87"/>
      <c r="MRA18" s="87"/>
      <c r="MRB18" s="87"/>
      <c r="MRC18" s="87"/>
      <c r="MRD18" s="87"/>
      <c r="MRE18" s="87"/>
      <c r="MRF18" s="87"/>
      <c r="MRG18" s="87"/>
      <c r="MRH18" s="87"/>
      <c r="MRI18" s="87"/>
      <c r="MRJ18" s="87"/>
      <c r="MRK18" s="87"/>
      <c r="MRL18" s="87"/>
      <c r="MRM18" s="87"/>
      <c r="MRN18" s="87"/>
      <c r="MRO18" s="87"/>
      <c r="MRP18" s="87"/>
      <c r="MRQ18" s="87"/>
      <c r="MRR18" s="87"/>
      <c r="MRS18" s="87"/>
      <c r="MRT18" s="87"/>
      <c r="MRU18" s="87"/>
      <c r="MRV18" s="87"/>
      <c r="MRW18" s="87"/>
      <c r="MRX18" s="87"/>
      <c r="MRY18" s="87"/>
      <c r="MRZ18" s="87"/>
      <c r="MSA18" s="87"/>
      <c r="MSB18" s="87"/>
      <c r="MSC18" s="87"/>
      <c r="MSD18" s="87"/>
      <c r="MSE18" s="87"/>
      <c r="MSF18" s="87"/>
      <c r="MSG18" s="87"/>
      <c r="MSH18" s="87"/>
      <c r="MSI18" s="87"/>
      <c r="MSJ18" s="87"/>
      <c r="MSK18" s="87"/>
      <c r="MSL18" s="87"/>
      <c r="MSM18" s="87"/>
      <c r="MSN18" s="87"/>
      <c r="MSO18" s="87"/>
      <c r="MSP18" s="87"/>
      <c r="MSQ18" s="87"/>
      <c r="MSR18" s="87"/>
      <c r="MSS18" s="87"/>
      <c r="MST18" s="87"/>
      <c r="MSU18" s="87"/>
      <c r="MSV18" s="87"/>
      <c r="MSW18" s="87"/>
      <c r="MSX18" s="87"/>
      <c r="MSY18" s="87"/>
      <c r="MSZ18" s="87"/>
      <c r="MTA18" s="87"/>
      <c r="MTB18" s="87"/>
      <c r="MTC18" s="87"/>
      <c r="MTD18" s="87"/>
      <c r="MTE18" s="87"/>
      <c r="MTF18" s="87"/>
      <c r="MTG18" s="87"/>
      <c r="MTH18" s="87"/>
      <c r="MTI18" s="87"/>
      <c r="MTJ18" s="87"/>
      <c r="MTK18" s="87"/>
      <c r="MTL18" s="87"/>
      <c r="MTM18" s="87"/>
      <c r="MTN18" s="87"/>
      <c r="MTO18" s="87"/>
      <c r="MTP18" s="87"/>
      <c r="MTQ18" s="87"/>
      <c r="MTR18" s="87"/>
      <c r="MTS18" s="87"/>
      <c r="MTT18" s="87"/>
      <c r="MTU18" s="87"/>
      <c r="MTV18" s="87"/>
      <c r="MTW18" s="87"/>
      <c r="MTX18" s="87"/>
      <c r="MTY18" s="87"/>
      <c r="MTZ18" s="87"/>
      <c r="MUA18" s="87"/>
      <c r="MUB18" s="87"/>
      <c r="MUC18" s="87"/>
      <c r="MUD18" s="87"/>
      <c r="MUE18" s="87"/>
      <c r="MUF18" s="87"/>
      <c r="MUG18" s="87"/>
      <c r="MUH18" s="87"/>
      <c r="MUI18" s="87"/>
      <c r="MUJ18" s="87"/>
      <c r="MUK18" s="87"/>
      <c r="MUL18" s="87"/>
      <c r="MUM18" s="87"/>
      <c r="MUN18" s="87"/>
      <c r="MUO18" s="87"/>
      <c r="MUP18" s="87"/>
      <c r="MUQ18" s="87"/>
      <c r="MUR18" s="87"/>
      <c r="MUS18" s="87"/>
      <c r="MUT18" s="87"/>
      <c r="MUU18" s="87"/>
      <c r="MUV18" s="87"/>
      <c r="MUW18" s="87"/>
      <c r="MUX18" s="87"/>
      <c r="MUY18" s="87"/>
      <c r="MUZ18" s="87"/>
      <c r="MVA18" s="87"/>
      <c r="MVB18" s="87"/>
      <c r="MVC18" s="87"/>
      <c r="MVD18" s="87"/>
      <c r="MVE18" s="87"/>
      <c r="MVF18" s="87"/>
      <c r="MVG18" s="87"/>
      <c r="MVH18" s="87"/>
      <c r="MVI18" s="87"/>
      <c r="MVJ18" s="87"/>
      <c r="MVK18" s="87"/>
      <c r="MVL18" s="87"/>
      <c r="MVM18" s="87"/>
      <c r="MVN18" s="87"/>
      <c r="MVO18" s="87"/>
      <c r="MVP18" s="87"/>
      <c r="MVQ18" s="87"/>
      <c r="MVR18" s="87"/>
      <c r="MVS18" s="87"/>
      <c r="MVT18" s="87"/>
      <c r="MVU18" s="87"/>
      <c r="MVV18" s="87"/>
      <c r="MVW18" s="87"/>
      <c r="MVX18" s="87"/>
      <c r="MVY18" s="87"/>
      <c r="MVZ18" s="87"/>
      <c r="MWA18" s="87"/>
      <c r="MWB18" s="87"/>
      <c r="MWC18" s="87"/>
      <c r="MWD18" s="87"/>
      <c r="MWE18" s="87"/>
      <c r="MWF18" s="87"/>
      <c r="MWG18" s="87"/>
      <c r="MWH18" s="87"/>
      <c r="MWI18" s="87"/>
      <c r="MWJ18" s="87"/>
      <c r="MWK18" s="87"/>
      <c r="MWL18" s="87"/>
      <c r="MWM18" s="87"/>
      <c r="MWN18" s="87"/>
      <c r="MWO18" s="87"/>
      <c r="MWP18" s="87"/>
      <c r="MWQ18" s="87"/>
      <c r="MWR18" s="87"/>
      <c r="MWS18" s="87"/>
      <c r="MWT18" s="87"/>
      <c r="MWU18" s="87"/>
      <c r="MWV18" s="87"/>
      <c r="MWW18" s="87"/>
      <c r="MWX18" s="87"/>
      <c r="MWY18" s="87"/>
      <c r="MWZ18" s="87"/>
      <c r="MXA18" s="87"/>
      <c r="MXB18" s="87"/>
      <c r="MXC18" s="87"/>
      <c r="MXD18" s="87"/>
      <c r="MXE18" s="87"/>
      <c r="MXF18" s="87"/>
      <c r="MXG18" s="87"/>
      <c r="MXH18" s="87"/>
      <c r="MXI18" s="87"/>
      <c r="MXJ18" s="87"/>
      <c r="MXK18" s="87"/>
      <c r="MXL18" s="87"/>
      <c r="MXM18" s="87"/>
      <c r="MXN18" s="87"/>
      <c r="MXO18" s="87"/>
      <c r="MXP18" s="87"/>
      <c r="MXQ18" s="87"/>
      <c r="MXR18" s="87"/>
      <c r="MXS18" s="87"/>
      <c r="MXT18" s="87"/>
      <c r="MXU18" s="87"/>
      <c r="MXV18" s="87"/>
      <c r="MXW18" s="87"/>
      <c r="MXX18" s="87"/>
      <c r="MXY18" s="87"/>
      <c r="MXZ18" s="87"/>
      <c r="MYA18" s="87"/>
      <c r="MYB18" s="87"/>
      <c r="MYC18" s="87"/>
      <c r="MYD18" s="87"/>
      <c r="MYE18" s="87"/>
      <c r="MYF18" s="87"/>
      <c r="MYG18" s="87"/>
      <c r="MYH18" s="87"/>
      <c r="MYI18" s="87"/>
      <c r="MYJ18" s="87"/>
      <c r="MYK18" s="87"/>
      <c r="MYL18" s="87"/>
      <c r="MYM18" s="87"/>
      <c r="MYN18" s="87"/>
      <c r="MYO18" s="87"/>
      <c r="MYP18" s="87"/>
      <c r="MYQ18" s="87"/>
      <c r="MYR18" s="87"/>
      <c r="MYS18" s="87"/>
      <c r="MYT18" s="87"/>
      <c r="MYU18" s="87"/>
      <c r="MYV18" s="87"/>
      <c r="MYW18" s="87"/>
      <c r="MYX18" s="87"/>
      <c r="MYY18" s="87"/>
      <c r="MYZ18" s="87"/>
      <c r="MZA18" s="87"/>
      <c r="MZB18" s="87"/>
      <c r="MZC18" s="87"/>
      <c r="MZD18" s="87"/>
      <c r="MZE18" s="87"/>
      <c r="MZF18" s="87"/>
      <c r="MZG18" s="87"/>
      <c r="MZH18" s="87"/>
      <c r="MZI18" s="87"/>
      <c r="MZJ18" s="87"/>
      <c r="MZK18" s="87"/>
      <c r="MZL18" s="87"/>
      <c r="MZM18" s="87"/>
      <c r="MZN18" s="87"/>
      <c r="MZO18" s="87"/>
      <c r="MZP18" s="87"/>
      <c r="MZQ18" s="87"/>
      <c r="MZR18" s="87"/>
      <c r="MZS18" s="87"/>
      <c r="MZT18" s="87"/>
      <c r="MZU18" s="87"/>
      <c r="MZV18" s="87"/>
      <c r="MZW18" s="87"/>
      <c r="MZX18" s="87"/>
      <c r="MZY18" s="87"/>
      <c r="MZZ18" s="87"/>
      <c r="NAA18" s="87"/>
      <c r="NAB18" s="87"/>
      <c r="NAC18" s="87"/>
      <c r="NAD18" s="87"/>
      <c r="NAE18" s="87"/>
      <c r="NAF18" s="87"/>
      <c r="NAG18" s="87"/>
      <c r="NAH18" s="87"/>
      <c r="NAI18" s="87"/>
      <c r="NAJ18" s="87"/>
      <c r="NAK18" s="87"/>
      <c r="NAL18" s="87"/>
      <c r="NAM18" s="87"/>
      <c r="NAN18" s="87"/>
      <c r="NAO18" s="87"/>
      <c r="NAP18" s="87"/>
      <c r="NAQ18" s="87"/>
      <c r="NAR18" s="87"/>
      <c r="NAS18" s="87"/>
      <c r="NAT18" s="87"/>
      <c r="NAU18" s="87"/>
      <c r="NAV18" s="87"/>
      <c r="NAW18" s="87"/>
      <c r="NAX18" s="87"/>
      <c r="NAY18" s="87"/>
      <c r="NAZ18" s="87"/>
      <c r="NBA18" s="87"/>
      <c r="NBB18" s="87"/>
      <c r="NBC18" s="87"/>
      <c r="NBD18" s="87"/>
      <c r="NBE18" s="87"/>
      <c r="NBF18" s="87"/>
      <c r="NBG18" s="87"/>
      <c r="NBH18" s="87"/>
      <c r="NBI18" s="87"/>
      <c r="NBJ18" s="87"/>
      <c r="NBK18" s="87"/>
      <c r="NBL18" s="87"/>
      <c r="NBM18" s="87"/>
      <c r="NBN18" s="87"/>
      <c r="NBO18" s="87"/>
      <c r="NBP18" s="87"/>
      <c r="NBQ18" s="87"/>
      <c r="NBR18" s="87"/>
      <c r="NBS18" s="87"/>
      <c r="NBT18" s="87"/>
      <c r="NBU18" s="87"/>
      <c r="NBV18" s="87"/>
      <c r="NBW18" s="87"/>
      <c r="NBX18" s="87"/>
      <c r="NBY18" s="87"/>
      <c r="NBZ18" s="87"/>
      <c r="NCA18" s="87"/>
      <c r="NCB18" s="87"/>
      <c r="NCC18" s="87"/>
      <c r="NCD18" s="87"/>
      <c r="NCE18" s="87"/>
      <c r="NCF18" s="87"/>
      <c r="NCG18" s="87"/>
      <c r="NCH18" s="87"/>
      <c r="NCI18" s="87"/>
      <c r="NCJ18" s="87"/>
      <c r="NCK18" s="87"/>
      <c r="NCL18" s="87"/>
      <c r="NCM18" s="87"/>
      <c r="NCN18" s="87"/>
      <c r="NCO18" s="87"/>
      <c r="NCP18" s="87"/>
      <c r="NCQ18" s="87"/>
      <c r="NCR18" s="87"/>
      <c r="NCS18" s="87"/>
      <c r="NCT18" s="87"/>
      <c r="NCU18" s="87"/>
      <c r="NCV18" s="87"/>
      <c r="NCW18" s="87"/>
      <c r="NCX18" s="87"/>
      <c r="NCY18" s="87"/>
      <c r="NCZ18" s="87"/>
      <c r="NDA18" s="87"/>
      <c r="NDB18" s="87"/>
      <c r="NDC18" s="87"/>
      <c r="NDD18" s="87"/>
      <c r="NDE18" s="87"/>
      <c r="NDF18" s="87"/>
      <c r="NDG18" s="87"/>
      <c r="NDH18" s="87"/>
      <c r="NDI18" s="87"/>
      <c r="NDJ18" s="87"/>
      <c r="NDK18" s="87"/>
      <c r="NDL18" s="87"/>
      <c r="NDM18" s="87"/>
      <c r="NDN18" s="87"/>
      <c r="NDO18" s="87"/>
      <c r="NDP18" s="87"/>
      <c r="NDQ18" s="87"/>
      <c r="NDR18" s="87"/>
      <c r="NDS18" s="87"/>
      <c r="NDT18" s="87"/>
      <c r="NDU18" s="87"/>
      <c r="NDV18" s="87"/>
      <c r="NDW18" s="87"/>
      <c r="NDX18" s="87"/>
      <c r="NDY18" s="87"/>
      <c r="NDZ18" s="87"/>
      <c r="NEA18" s="87"/>
      <c r="NEB18" s="87"/>
      <c r="NEC18" s="87"/>
      <c r="NED18" s="87"/>
      <c r="NEE18" s="87"/>
      <c r="NEF18" s="87"/>
      <c r="NEG18" s="87"/>
      <c r="NEH18" s="87"/>
      <c r="NEI18" s="87"/>
      <c r="NEJ18" s="87"/>
      <c r="NEK18" s="87"/>
      <c r="NEL18" s="87"/>
      <c r="NEM18" s="87"/>
      <c r="NEN18" s="87"/>
      <c r="NEO18" s="87"/>
      <c r="NEP18" s="87"/>
      <c r="NEQ18" s="87"/>
      <c r="NER18" s="87"/>
      <c r="NES18" s="87"/>
      <c r="NET18" s="87"/>
      <c r="NEU18" s="87"/>
      <c r="NEV18" s="87"/>
      <c r="NEW18" s="87"/>
      <c r="NEX18" s="87"/>
      <c r="NEY18" s="87"/>
      <c r="NEZ18" s="87"/>
      <c r="NFA18" s="87"/>
      <c r="NFB18" s="87"/>
      <c r="NFC18" s="87"/>
      <c r="NFD18" s="87"/>
      <c r="NFE18" s="87"/>
      <c r="NFF18" s="87"/>
      <c r="NFG18" s="87"/>
      <c r="NFH18" s="87"/>
      <c r="NFI18" s="87"/>
      <c r="NFJ18" s="87"/>
      <c r="NFK18" s="87"/>
      <c r="NFL18" s="87"/>
      <c r="NFM18" s="87"/>
      <c r="NFN18" s="87"/>
      <c r="NFO18" s="87"/>
      <c r="NFP18" s="87"/>
      <c r="NFQ18" s="87"/>
      <c r="NFR18" s="87"/>
      <c r="NFS18" s="87"/>
      <c r="NFT18" s="87"/>
      <c r="NFU18" s="87"/>
      <c r="NFV18" s="87"/>
      <c r="NFW18" s="87"/>
      <c r="NFX18" s="87"/>
      <c r="NFY18" s="87"/>
      <c r="NFZ18" s="87"/>
      <c r="NGA18" s="87"/>
      <c r="NGB18" s="87"/>
      <c r="NGC18" s="87"/>
      <c r="NGD18" s="87"/>
      <c r="NGE18" s="87"/>
      <c r="NGF18" s="87"/>
      <c r="NGG18" s="87"/>
      <c r="NGH18" s="87"/>
      <c r="NGI18" s="87"/>
      <c r="NGJ18" s="87"/>
      <c r="NGK18" s="87"/>
      <c r="NGL18" s="87"/>
      <c r="NGM18" s="87"/>
      <c r="NGN18" s="87"/>
      <c r="NGO18" s="87"/>
      <c r="NGP18" s="87"/>
      <c r="NGQ18" s="87"/>
      <c r="NGR18" s="87"/>
      <c r="NGS18" s="87"/>
      <c r="NGT18" s="87"/>
      <c r="NGU18" s="87"/>
      <c r="NGV18" s="87"/>
      <c r="NGW18" s="87"/>
      <c r="NGX18" s="87"/>
      <c r="NGY18" s="87"/>
      <c r="NGZ18" s="87"/>
      <c r="NHA18" s="87"/>
      <c r="NHB18" s="87"/>
      <c r="NHC18" s="87"/>
      <c r="NHD18" s="87"/>
      <c r="NHE18" s="87"/>
      <c r="NHF18" s="87"/>
      <c r="NHG18" s="87"/>
      <c r="NHH18" s="87"/>
      <c r="NHI18" s="87"/>
      <c r="NHJ18" s="87"/>
      <c r="NHK18" s="87"/>
      <c r="NHL18" s="87"/>
      <c r="NHM18" s="87"/>
      <c r="NHN18" s="87"/>
      <c r="NHO18" s="87"/>
      <c r="NHP18" s="87"/>
      <c r="NHQ18" s="87"/>
      <c r="NHR18" s="87"/>
      <c r="NHS18" s="87"/>
      <c r="NHT18" s="87"/>
      <c r="NHU18" s="87"/>
      <c r="NHV18" s="87"/>
      <c r="NHW18" s="87"/>
      <c r="NHX18" s="87"/>
      <c r="NHY18" s="87"/>
      <c r="NHZ18" s="87"/>
      <c r="NIA18" s="87"/>
      <c r="NIB18" s="87"/>
      <c r="NIC18" s="87"/>
      <c r="NID18" s="87"/>
      <c r="NIE18" s="87"/>
      <c r="NIF18" s="87"/>
      <c r="NIG18" s="87"/>
      <c r="NIH18" s="87"/>
      <c r="NII18" s="87"/>
      <c r="NIJ18" s="87"/>
      <c r="NIK18" s="87"/>
      <c r="NIL18" s="87"/>
      <c r="NIM18" s="87"/>
      <c r="NIN18" s="87"/>
      <c r="NIO18" s="87"/>
      <c r="NIP18" s="87"/>
      <c r="NIQ18" s="87"/>
      <c r="NIR18" s="87"/>
      <c r="NIS18" s="87"/>
      <c r="NIT18" s="87"/>
      <c r="NIU18" s="87"/>
      <c r="NIV18" s="87"/>
      <c r="NIW18" s="87"/>
      <c r="NIX18" s="87"/>
      <c r="NIY18" s="87"/>
      <c r="NIZ18" s="87"/>
      <c r="NJA18" s="87"/>
      <c r="NJB18" s="87"/>
      <c r="NJC18" s="87"/>
      <c r="NJD18" s="87"/>
      <c r="NJE18" s="87"/>
      <c r="NJF18" s="87"/>
      <c r="NJG18" s="87"/>
      <c r="NJH18" s="87"/>
      <c r="NJI18" s="87"/>
      <c r="NJJ18" s="87"/>
      <c r="NJK18" s="87"/>
      <c r="NJL18" s="87"/>
      <c r="NJM18" s="87"/>
      <c r="NJN18" s="87"/>
      <c r="NJO18" s="87"/>
      <c r="NJP18" s="87"/>
      <c r="NJQ18" s="87"/>
      <c r="NJR18" s="87"/>
      <c r="NJS18" s="87"/>
      <c r="NJT18" s="87"/>
      <c r="NJU18" s="87"/>
      <c r="NJV18" s="87"/>
      <c r="NJW18" s="87"/>
      <c r="NJX18" s="87"/>
      <c r="NJY18" s="87"/>
      <c r="NJZ18" s="87"/>
      <c r="NKA18" s="87"/>
      <c r="NKB18" s="87"/>
      <c r="NKC18" s="87"/>
      <c r="NKD18" s="87"/>
      <c r="NKE18" s="87"/>
      <c r="NKF18" s="87"/>
      <c r="NKG18" s="87"/>
      <c r="NKH18" s="87"/>
      <c r="NKI18" s="87"/>
      <c r="NKJ18" s="87"/>
      <c r="NKK18" s="87"/>
      <c r="NKL18" s="87"/>
      <c r="NKM18" s="87"/>
      <c r="NKN18" s="87"/>
      <c r="NKO18" s="87"/>
      <c r="NKP18" s="87"/>
      <c r="NKQ18" s="87"/>
      <c r="NKR18" s="87"/>
      <c r="NKS18" s="87"/>
      <c r="NKT18" s="87"/>
      <c r="NKU18" s="87"/>
      <c r="NKV18" s="87"/>
      <c r="NKW18" s="87"/>
      <c r="NKX18" s="87"/>
      <c r="NKY18" s="87"/>
      <c r="NKZ18" s="87"/>
      <c r="NLA18" s="87"/>
      <c r="NLB18" s="87"/>
      <c r="NLC18" s="87"/>
      <c r="NLD18" s="87"/>
      <c r="NLE18" s="87"/>
      <c r="NLF18" s="87"/>
      <c r="NLG18" s="87"/>
      <c r="NLH18" s="87"/>
      <c r="NLI18" s="87"/>
      <c r="NLJ18" s="87"/>
      <c r="NLK18" s="87"/>
      <c r="NLL18" s="87"/>
      <c r="NLM18" s="87"/>
      <c r="NLN18" s="87"/>
      <c r="NLO18" s="87"/>
      <c r="NLP18" s="87"/>
      <c r="NLQ18" s="87"/>
      <c r="NLR18" s="87"/>
      <c r="NLS18" s="87"/>
      <c r="NLT18" s="87"/>
      <c r="NLU18" s="87"/>
      <c r="NLV18" s="87"/>
      <c r="NLW18" s="87"/>
      <c r="NLX18" s="87"/>
      <c r="NLY18" s="87"/>
      <c r="NLZ18" s="87"/>
      <c r="NMA18" s="87"/>
      <c r="NMB18" s="87"/>
      <c r="NMC18" s="87"/>
      <c r="NMD18" s="87"/>
      <c r="NME18" s="87"/>
      <c r="NMF18" s="87"/>
      <c r="NMG18" s="87"/>
      <c r="NMH18" s="87"/>
      <c r="NMI18" s="87"/>
      <c r="NMJ18" s="87"/>
      <c r="NMK18" s="87"/>
      <c r="NML18" s="87"/>
      <c r="NMM18" s="87"/>
      <c r="NMN18" s="87"/>
      <c r="NMO18" s="87"/>
      <c r="NMP18" s="87"/>
      <c r="NMQ18" s="87"/>
      <c r="NMR18" s="87"/>
      <c r="NMS18" s="87"/>
      <c r="NMT18" s="87"/>
      <c r="NMU18" s="87"/>
      <c r="NMV18" s="87"/>
      <c r="NMW18" s="87"/>
      <c r="NMX18" s="87"/>
      <c r="NMY18" s="87"/>
      <c r="NMZ18" s="87"/>
      <c r="NNA18" s="87"/>
      <c r="NNB18" s="87"/>
      <c r="NNC18" s="87"/>
      <c r="NND18" s="87"/>
      <c r="NNE18" s="87"/>
      <c r="NNF18" s="87"/>
      <c r="NNG18" s="87"/>
      <c r="NNH18" s="87"/>
      <c r="NNI18" s="87"/>
      <c r="NNJ18" s="87"/>
      <c r="NNK18" s="87"/>
      <c r="NNL18" s="87"/>
      <c r="NNM18" s="87"/>
      <c r="NNN18" s="87"/>
      <c r="NNO18" s="87"/>
      <c r="NNP18" s="87"/>
      <c r="NNQ18" s="87"/>
      <c r="NNR18" s="87"/>
      <c r="NNS18" s="87"/>
      <c r="NNT18" s="87"/>
      <c r="NNU18" s="87"/>
      <c r="NNV18" s="87"/>
      <c r="NNW18" s="87"/>
      <c r="NNX18" s="87"/>
      <c r="NNY18" s="87"/>
      <c r="NNZ18" s="87"/>
      <c r="NOA18" s="87"/>
      <c r="NOB18" s="87"/>
      <c r="NOC18" s="87"/>
      <c r="NOD18" s="87"/>
      <c r="NOE18" s="87"/>
      <c r="NOF18" s="87"/>
      <c r="NOG18" s="87"/>
      <c r="NOH18" s="87"/>
      <c r="NOI18" s="87"/>
      <c r="NOJ18" s="87"/>
      <c r="NOK18" s="87"/>
      <c r="NOL18" s="87"/>
      <c r="NOM18" s="87"/>
      <c r="NON18" s="87"/>
      <c r="NOO18" s="87"/>
      <c r="NOP18" s="87"/>
      <c r="NOQ18" s="87"/>
      <c r="NOR18" s="87"/>
      <c r="NOS18" s="87"/>
      <c r="NOT18" s="87"/>
      <c r="NOU18" s="87"/>
      <c r="NOV18" s="87"/>
      <c r="NOW18" s="87"/>
      <c r="NOX18" s="87"/>
      <c r="NOY18" s="87"/>
      <c r="NOZ18" s="87"/>
      <c r="NPA18" s="87"/>
      <c r="NPB18" s="87"/>
      <c r="NPC18" s="87"/>
      <c r="NPD18" s="87"/>
      <c r="NPE18" s="87"/>
      <c r="NPF18" s="87"/>
      <c r="NPG18" s="87"/>
      <c r="NPH18" s="87"/>
      <c r="NPI18" s="87"/>
      <c r="NPJ18" s="87"/>
      <c r="NPK18" s="87"/>
      <c r="NPL18" s="87"/>
      <c r="NPM18" s="87"/>
      <c r="NPN18" s="87"/>
      <c r="NPO18" s="87"/>
      <c r="NPP18" s="87"/>
      <c r="NPQ18" s="87"/>
      <c r="NPR18" s="87"/>
      <c r="NPS18" s="87"/>
      <c r="NPT18" s="87"/>
      <c r="NPU18" s="87"/>
      <c r="NPV18" s="87"/>
      <c r="NPW18" s="87"/>
      <c r="NPX18" s="87"/>
      <c r="NPY18" s="87"/>
      <c r="NPZ18" s="87"/>
      <c r="NQA18" s="87"/>
      <c r="NQB18" s="87"/>
      <c r="NQC18" s="87"/>
      <c r="NQD18" s="87"/>
      <c r="NQE18" s="87"/>
      <c r="NQF18" s="87"/>
      <c r="NQG18" s="87"/>
      <c r="NQH18" s="87"/>
      <c r="NQI18" s="87"/>
      <c r="NQJ18" s="87"/>
      <c r="NQK18" s="87"/>
      <c r="NQL18" s="87"/>
      <c r="NQM18" s="87"/>
      <c r="NQN18" s="87"/>
      <c r="NQO18" s="87"/>
      <c r="NQP18" s="87"/>
      <c r="NQQ18" s="87"/>
      <c r="NQR18" s="87"/>
      <c r="NQS18" s="87"/>
      <c r="NQT18" s="87"/>
      <c r="NQU18" s="87"/>
      <c r="NQV18" s="87"/>
      <c r="NQW18" s="87"/>
      <c r="NQX18" s="87"/>
      <c r="NQY18" s="87"/>
      <c r="NQZ18" s="87"/>
      <c r="NRA18" s="87"/>
      <c r="NRB18" s="87"/>
      <c r="NRC18" s="87"/>
      <c r="NRD18" s="87"/>
      <c r="NRE18" s="87"/>
      <c r="NRF18" s="87"/>
      <c r="NRG18" s="87"/>
      <c r="NRH18" s="87"/>
      <c r="NRI18" s="87"/>
      <c r="NRJ18" s="87"/>
      <c r="NRK18" s="87"/>
      <c r="NRL18" s="87"/>
      <c r="NRM18" s="87"/>
      <c r="NRN18" s="87"/>
      <c r="NRO18" s="87"/>
      <c r="NRP18" s="87"/>
      <c r="NRQ18" s="87"/>
      <c r="NRR18" s="87"/>
      <c r="NRS18" s="87"/>
      <c r="NRT18" s="87"/>
      <c r="NRU18" s="87"/>
      <c r="NRV18" s="87"/>
      <c r="NRW18" s="87"/>
      <c r="NRX18" s="87"/>
      <c r="NRY18" s="87"/>
      <c r="NRZ18" s="87"/>
      <c r="NSA18" s="87"/>
      <c r="NSB18" s="87"/>
      <c r="NSC18" s="87"/>
      <c r="NSD18" s="87"/>
      <c r="NSE18" s="87"/>
      <c r="NSF18" s="87"/>
      <c r="NSG18" s="87"/>
      <c r="NSH18" s="87"/>
      <c r="NSI18" s="87"/>
      <c r="NSJ18" s="87"/>
      <c r="NSK18" s="87"/>
      <c r="NSL18" s="87"/>
      <c r="NSM18" s="87"/>
      <c r="NSN18" s="87"/>
      <c r="NSO18" s="87"/>
      <c r="NSP18" s="87"/>
      <c r="NSQ18" s="87"/>
      <c r="NSR18" s="87"/>
      <c r="NSS18" s="87"/>
      <c r="NST18" s="87"/>
      <c r="NSU18" s="87"/>
      <c r="NSV18" s="87"/>
      <c r="NSW18" s="87"/>
      <c r="NSX18" s="87"/>
      <c r="NSY18" s="87"/>
      <c r="NSZ18" s="87"/>
      <c r="NTA18" s="87"/>
      <c r="NTB18" s="87"/>
      <c r="NTC18" s="87"/>
      <c r="NTD18" s="87"/>
      <c r="NTE18" s="87"/>
      <c r="NTF18" s="87"/>
      <c r="NTG18" s="87"/>
      <c r="NTH18" s="87"/>
      <c r="NTI18" s="87"/>
      <c r="NTJ18" s="87"/>
      <c r="NTK18" s="87"/>
      <c r="NTL18" s="87"/>
      <c r="NTM18" s="87"/>
      <c r="NTN18" s="87"/>
      <c r="NTO18" s="87"/>
      <c r="NTP18" s="87"/>
      <c r="NTQ18" s="87"/>
      <c r="NTR18" s="87"/>
      <c r="NTS18" s="87"/>
      <c r="NTT18" s="87"/>
      <c r="NTU18" s="87"/>
      <c r="NTV18" s="87"/>
      <c r="NTW18" s="87"/>
      <c r="NTX18" s="87"/>
      <c r="NTY18" s="87"/>
      <c r="NTZ18" s="87"/>
      <c r="NUA18" s="87"/>
      <c r="NUB18" s="87"/>
      <c r="NUC18" s="87"/>
      <c r="NUD18" s="87"/>
      <c r="NUE18" s="87"/>
      <c r="NUF18" s="87"/>
      <c r="NUG18" s="87"/>
      <c r="NUH18" s="87"/>
      <c r="NUI18" s="87"/>
      <c r="NUJ18" s="87"/>
      <c r="NUK18" s="87"/>
      <c r="NUL18" s="87"/>
      <c r="NUM18" s="87"/>
      <c r="NUN18" s="87"/>
      <c r="NUO18" s="87"/>
      <c r="NUP18" s="87"/>
      <c r="NUQ18" s="87"/>
      <c r="NUR18" s="87"/>
      <c r="NUS18" s="87"/>
      <c r="NUT18" s="87"/>
      <c r="NUU18" s="87"/>
      <c r="NUV18" s="87"/>
      <c r="NUW18" s="87"/>
      <c r="NUX18" s="87"/>
      <c r="NUY18" s="87"/>
      <c r="NUZ18" s="87"/>
      <c r="NVA18" s="87"/>
      <c r="NVB18" s="87"/>
      <c r="NVC18" s="87"/>
      <c r="NVD18" s="87"/>
      <c r="NVE18" s="87"/>
      <c r="NVF18" s="87"/>
      <c r="NVG18" s="87"/>
      <c r="NVH18" s="87"/>
      <c r="NVI18" s="87"/>
      <c r="NVJ18" s="87"/>
      <c r="NVK18" s="87"/>
      <c r="NVL18" s="87"/>
      <c r="NVM18" s="87"/>
      <c r="NVN18" s="87"/>
      <c r="NVO18" s="87"/>
      <c r="NVP18" s="87"/>
      <c r="NVQ18" s="87"/>
      <c r="NVR18" s="87"/>
      <c r="NVS18" s="87"/>
      <c r="NVT18" s="87"/>
      <c r="NVU18" s="87"/>
      <c r="NVV18" s="87"/>
      <c r="NVW18" s="87"/>
      <c r="NVX18" s="87"/>
      <c r="NVY18" s="87"/>
      <c r="NVZ18" s="87"/>
      <c r="NWA18" s="87"/>
      <c r="NWB18" s="87"/>
      <c r="NWC18" s="87"/>
      <c r="NWD18" s="87"/>
      <c r="NWE18" s="87"/>
      <c r="NWF18" s="87"/>
      <c r="NWG18" s="87"/>
      <c r="NWH18" s="87"/>
      <c r="NWI18" s="87"/>
      <c r="NWJ18" s="87"/>
      <c r="NWK18" s="87"/>
      <c r="NWL18" s="87"/>
      <c r="NWM18" s="87"/>
      <c r="NWN18" s="87"/>
      <c r="NWO18" s="87"/>
      <c r="NWP18" s="87"/>
      <c r="NWQ18" s="87"/>
      <c r="NWR18" s="87"/>
      <c r="NWS18" s="87"/>
      <c r="NWT18" s="87"/>
      <c r="NWU18" s="87"/>
      <c r="NWV18" s="87"/>
      <c r="NWW18" s="87"/>
      <c r="NWX18" s="87"/>
      <c r="NWY18" s="87"/>
      <c r="NWZ18" s="87"/>
      <c r="NXA18" s="87"/>
      <c r="NXB18" s="87"/>
      <c r="NXC18" s="87"/>
      <c r="NXD18" s="87"/>
      <c r="NXE18" s="87"/>
      <c r="NXF18" s="87"/>
      <c r="NXG18" s="87"/>
      <c r="NXH18" s="87"/>
      <c r="NXI18" s="87"/>
      <c r="NXJ18" s="87"/>
      <c r="NXK18" s="87"/>
      <c r="NXL18" s="87"/>
      <c r="NXM18" s="87"/>
      <c r="NXN18" s="87"/>
      <c r="NXO18" s="87"/>
      <c r="NXP18" s="87"/>
      <c r="NXQ18" s="87"/>
      <c r="NXR18" s="87"/>
      <c r="NXS18" s="87"/>
      <c r="NXT18" s="87"/>
      <c r="NXU18" s="87"/>
      <c r="NXV18" s="87"/>
      <c r="NXW18" s="87"/>
      <c r="NXX18" s="87"/>
      <c r="NXY18" s="87"/>
      <c r="NXZ18" s="87"/>
      <c r="NYA18" s="87"/>
      <c r="NYB18" s="87"/>
      <c r="NYC18" s="87"/>
      <c r="NYD18" s="87"/>
      <c r="NYE18" s="87"/>
      <c r="NYF18" s="87"/>
      <c r="NYG18" s="87"/>
      <c r="NYH18" s="87"/>
      <c r="NYI18" s="87"/>
      <c r="NYJ18" s="87"/>
      <c r="NYK18" s="87"/>
      <c r="NYL18" s="87"/>
      <c r="NYM18" s="87"/>
      <c r="NYN18" s="87"/>
      <c r="NYO18" s="87"/>
      <c r="NYP18" s="87"/>
      <c r="NYQ18" s="87"/>
      <c r="NYR18" s="87"/>
      <c r="NYS18" s="87"/>
      <c r="NYT18" s="87"/>
      <c r="NYU18" s="87"/>
      <c r="NYV18" s="87"/>
      <c r="NYW18" s="87"/>
      <c r="NYX18" s="87"/>
      <c r="NYY18" s="87"/>
      <c r="NYZ18" s="87"/>
      <c r="NZA18" s="87"/>
      <c r="NZB18" s="87"/>
      <c r="NZC18" s="87"/>
      <c r="NZD18" s="87"/>
      <c r="NZE18" s="87"/>
      <c r="NZF18" s="87"/>
      <c r="NZG18" s="87"/>
      <c r="NZH18" s="87"/>
      <c r="NZI18" s="87"/>
      <c r="NZJ18" s="87"/>
      <c r="NZK18" s="87"/>
      <c r="NZL18" s="87"/>
      <c r="NZM18" s="87"/>
      <c r="NZN18" s="87"/>
      <c r="NZO18" s="87"/>
      <c r="NZP18" s="87"/>
      <c r="NZQ18" s="87"/>
      <c r="NZR18" s="87"/>
      <c r="NZS18" s="87"/>
      <c r="NZT18" s="87"/>
      <c r="NZU18" s="87"/>
      <c r="NZV18" s="87"/>
      <c r="NZW18" s="87"/>
      <c r="NZX18" s="87"/>
      <c r="NZY18" s="87"/>
      <c r="NZZ18" s="87"/>
      <c r="OAA18" s="87"/>
      <c r="OAB18" s="87"/>
      <c r="OAC18" s="87"/>
      <c r="OAD18" s="87"/>
      <c r="OAE18" s="87"/>
      <c r="OAF18" s="87"/>
      <c r="OAG18" s="87"/>
      <c r="OAH18" s="87"/>
      <c r="OAI18" s="87"/>
      <c r="OAJ18" s="87"/>
      <c r="OAK18" s="87"/>
      <c r="OAL18" s="87"/>
      <c r="OAM18" s="87"/>
      <c r="OAN18" s="87"/>
      <c r="OAO18" s="87"/>
      <c r="OAP18" s="87"/>
      <c r="OAQ18" s="87"/>
      <c r="OAR18" s="87"/>
      <c r="OAS18" s="87"/>
      <c r="OAT18" s="87"/>
      <c r="OAU18" s="87"/>
      <c r="OAV18" s="87"/>
      <c r="OAW18" s="87"/>
      <c r="OAX18" s="87"/>
      <c r="OAY18" s="87"/>
      <c r="OAZ18" s="87"/>
      <c r="OBA18" s="87"/>
      <c r="OBB18" s="87"/>
      <c r="OBC18" s="87"/>
      <c r="OBD18" s="87"/>
      <c r="OBE18" s="87"/>
      <c r="OBF18" s="87"/>
      <c r="OBG18" s="87"/>
      <c r="OBH18" s="87"/>
      <c r="OBI18" s="87"/>
      <c r="OBJ18" s="87"/>
      <c r="OBK18" s="87"/>
      <c r="OBL18" s="87"/>
      <c r="OBM18" s="87"/>
      <c r="OBN18" s="87"/>
      <c r="OBO18" s="87"/>
      <c r="OBP18" s="87"/>
      <c r="OBQ18" s="87"/>
      <c r="OBR18" s="87"/>
      <c r="OBS18" s="87"/>
      <c r="OBT18" s="87"/>
      <c r="OBU18" s="87"/>
      <c r="OBV18" s="87"/>
      <c r="OBW18" s="87"/>
      <c r="OBX18" s="87"/>
      <c r="OBY18" s="87"/>
      <c r="OBZ18" s="87"/>
      <c r="OCA18" s="87"/>
      <c r="OCB18" s="87"/>
      <c r="OCC18" s="87"/>
      <c r="OCD18" s="87"/>
      <c r="OCE18" s="87"/>
      <c r="OCF18" s="87"/>
      <c r="OCG18" s="87"/>
      <c r="OCH18" s="87"/>
      <c r="OCI18" s="87"/>
      <c r="OCJ18" s="87"/>
      <c r="OCK18" s="87"/>
      <c r="OCL18" s="87"/>
      <c r="OCM18" s="87"/>
      <c r="OCN18" s="87"/>
      <c r="OCO18" s="87"/>
      <c r="OCP18" s="87"/>
      <c r="OCQ18" s="87"/>
      <c r="OCR18" s="87"/>
      <c r="OCS18" s="87"/>
      <c r="OCT18" s="87"/>
      <c r="OCU18" s="87"/>
      <c r="OCV18" s="87"/>
      <c r="OCW18" s="87"/>
      <c r="OCX18" s="87"/>
      <c r="OCY18" s="87"/>
      <c r="OCZ18" s="87"/>
      <c r="ODA18" s="87"/>
      <c r="ODB18" s="87"/>
      <c r="ODC18" s="87"/>
      <c r="ODD18" s="87"/>
      <c r="ODE18" s="87"/>
      <c r="ODF18" s="87"/>
      <c r="ODG18" s="87"/>
      <c r="ODH18" s="87"/>
      <c r="ODI18" s="87"/>
      <c r="ODJ18" s="87"/>
      <c r="ODK18" s="87"/>
      <c r="ODL18" s="87"/>
      <c r="ODM18" s="87"/>
      <c r="ODN18" s="87"/>
      <c r="ODO18" s="87"/>
      <c r="ODP18" s="87"/>
      <c r="ODQ18" s="87"/>
      <c r="ODR18" s="87"/>
      <c r="ODS18" s="87"/>
      <c r="ODT18" s="87"/>
      <c r="ODU18" s="87"/>
      <c r="ODV18" s="87"/>
      <c r="ODW18" s="87"/>
      <c r="ODX18" s="87"/>
      <c r="ODY18" s="87"/>
      <c r="ODZ18" s="87"/>
      <c r="OEA18" s="87"/>
      <c r="OEB18" s="87"/>
      <c r="OEC18" s="87"/>
      <c r="OED18" s="87"/>
      <c r="OEE18" s="87"/>
      <c r="OEF18" s="87"/>
      <c r="OEG18" s="87"/>
      <c r="OEH18" s="87"/>
      <c r="OEI18" s="87"/>
      <c r="OEJ18" s="87"/>
      <c r="OEK18" s="87"/>
      <c r="OEL18" s="87"/>
      <c r="OEM18" s="87"/>
      <c r="OEN18" s="87"/>
      <c r="OEO18" s="87"/>
      <c r="OEP18" s="87"/>
      <c r="OEQ18" s="87"/>
      <c r="OER18" s="87"/>
      <c r="OES18" s="87"/>
      <c r="OET18" s="87"/>
      <c r="OEU18" s="87"/>
      <c r="OEV18" s="87"/>
      <c r="OEW18" s="87"/>
      <c r="OEX18" s="87"/>
      <c r="OEY18" s="87"/>
      <c r="OEZ18" s="87"/>
      <c r="OFA18" s="87"/>
      <c r="OFB18" s="87"/>
      <c r="OFC18" s="87"/>
      <c r="OFD18" s="87"/>
      <c r="OFE18" s="87"/>
      <c r="OFF18" s="87"/>
      <c r="OFG18" s="87"/>
      <c r="OFH18" s="87"/>
      <c r="OFI18" s="87"/>
      <c r="OFJ18" s="87"/>
      <c r="OFK18" s="87"/>
      <c r="OFL18" s="87"/>
      <c r="OFM18" s="87"/>
      <c r="OFN18" s="87"/>
      <c r="OFO18" s="87"/>
      <c r="OFP18" s="87"/>
      <c r="OFQ18" s="87"/>
      <c r="OFR18" s="87"/>
      <c r="OFS18" s="87"/>
      <c r="OFT18" s="87"/>
      <c r="OFU18" s="87"/>
      <c r="OFV18" s="87"/>
      <c r="OFW18" s="87"/>
      <c r="OFX18" s="87"/>
      <c r="OFY18" s="87"/>
      <c r="OFZ18" s="87"/>
      <c r="OGA18" s="87"/>
      <c r="OGB18" s="87"/>
      <c r="OGC18" s="87"/>
      <c r="OGD18" s="87"/>
      <c r="OGE18" s="87"/>
      <c r="OGF18" s="87"/>
      <c r="OGG18" s="87"/>
      <c r="OGH18" s="87"/>
      <c r="OGI18" s="87"/>
      <c r="OGJ18" s="87"/>
      <c r="OGK18" s="87"/>
      <c r="OGL18" s="87"/>
      <c r="OGM18" s="87"/>
      <c r="OGN18" s="87"/>
      <c r="OGO18" s="87"/>
      <c r="OGP18" s="87"/>
      <c r="OGQ18" s="87"/>
      <c r="OGR18" s="87"/>
      <c r="OGS18" s="87"/>
      <c r="OGT18" s="87"/>
      <c r="OGU18" s="87"/>
      <c r="OGV18" s="87"/>
      <c r="OGW18" s="87"/>
      <c r="OGX18" s="87"/>
      <c r="OGY18" s="87"/>
      <c r="OGZ18" s="87"/>
      <c r="OHA18" s="87"/>
      <c r="OHB18" s="87"/>
      <c r="OHC18" s="87"/>
      <c r="OHD18" s="87"/>
      <c r="OHE18" s="87"/>
      <c r="OHF18" s="87"/>
      <c r="OHG18" s="87"/>
      <c r="OHH18" s="87"/>
      <c r="OHI18" s="87"/>
      <c r="OHJ18" s="87"/>
      <c r="OHK18" s="87"/>
      <c r="OHL18" s="87"/>
      <c r="OHM18" s="87"/>
      <c r="OHN18" s="87"/>
      <c r="OHO18" s="87"/>
      <c r="OHP18" s="87"/>
      <c r="OHQ18" s="87"/>
      <c r="OHR18" s="87"/>
      <c r="OHS18" s="87"/>
      <c r="OHT18" s="87"/>
      <c r="OHU18" s="87"/>
      <c r="OHV18" s="87"/>
      <c r="OHW18" s="87"/>
      <c r="OHX18" s="87"/>
      <c r="OHY18" s="87"/>
      <c r="OHZ18" s="87"/>
      <c r="OIA18" s="87"/>
      <c r="OIB18" s="87"/>
      <c r="OIC18" s="87"/>
      <c r="OID18" s="87"/>
      <c r="OIE18" s="87"/>
      <c r="OIF18" s="87"/>
      <c r="OIG18" s="87"/>
      <c r="OIH18" s="87"/>
      <c r="OII18" s="87"/>
      <c r="OIJ18" s="87"/>
      <c r="OIK18" s="87"/>
      <c r="OIL18" s="87"/>
      <c r="OIM18" s="87"/>
      <c r="OIN18" s="87"/>
      <c r="OIO18" s="87"/>
      <c r="OIP18" s="87"/>
      <c r="OIQ18" s="87"/>
      <c r="OIR18" s="87"/>
      <c r="OIS18" s="87"/>
      <c r="OIT18" s="87"/>
      <c r="OIU18" s="87"/>
      <c r="OIV18" s="87"/>
      <c r="OIW18" s="87"/>
      <c r="OIX18" s="87"/>
      <c r="OIY18" s="87"/>
      <c r="OIZ18" s="87"/>
      <c r="OJA18" s="87"/>
      <c r="OJB18" s="87"/>
      <c r="OJC18" s="87"/>
      <c r="OJD18" s="87"/>
      <c r="OJE18" s="87"/>
      <c r="OJF18" s="87"/>
      <c r="OJG18" s="87"/>
      <c r="OJH18" s="87"/>
      <c r="OJI18" s="87"/>
      <c r="OJJ18" s="87"/>
      <c r="OJK18" s="87"/>
      <c r="OJL18" s="87"/>
      <c r="OJM18" s="87"/>
      <c r="OJN18" s="87"/>
      <c r="OJO18" s="87"/>
      <c r="OJP18" s="87"/>
      <c r="OJQ18" s="87"/>
      <c r="OJR18" s="87"/>
      <c r="OJS18" s="87"/>
      <c r="OJT18" s="87"/>
      <c r="OJU18" s="87"/>
      <c r="OJV18" s="87"/>
      <c r="OJW18" s="87"/>
      <c r="OJX18" s="87"/>
      <c r="OJY18" s="87"/>
      <c r="OJZ18" s="87"/>
      <c r="OKA18" s="87"/>
      <c r="OKB18" s="87"/>
      <c r="OKC18" s="87"/>
      <c r="OKD18" s="87"/>
      <c r="OKE18" s="87"/>
      <c r="OKF18" s="87"/>
      <c r="OKG18" s="87"/>
      <c r="OKH18" s="87"/>
      <c r="OKI18" s="87"/>
      <c r="OKJ18" s="87"/>
      <c r="OKK18" s="87"/>
      <c r="OKL18" s="87"/>
      <c r="OKM18" s="87"/>
      <c r="OKN18" s="87"/>
      <c r="OKO18" s="87"/>
      <c r="OKP18" s="87"/>
      <c r="OKQ18" s="87"/>
      <c r="OKR18" s="87"/>
      <c r="OKS18" s="87"/>
      <c r="OKT18" s="87"/>
      <c r="OKU18" s="87"/>
      <c r="OKV18" s="87"/>
      <c r="OKW18" s="87"/>
      <c r="OKX18" s="87"/>
      <c r="OKY18" s="87"/>
      <c r="OKZ18" s="87"/>
      <c r="OLA18" s="87"/>
      <c r="OLB18" s="87"/>
      <c r="OLC18" s="87"/>
      <c r="OLD18" s="87"/>
      <c r="OLE18" s="87"/>
      <c r="OLF18" s="87"/>
      <c r="OLG18" s="87"/>
      <c r="OLH18" s="87"/>
      <c r="OLI18" s="87"/>
      <c r="OLJ18" s="87"/>
      <c r="OLK18" s="87"/>
      <c r="OLL18" s="87"/>
      <c r="OLM18" s="87"/>
      <c r="OLN18" s="87"/>
      <c r="OLO18" s="87"/>
      <c r="OLP18" s="87"/>
      <c r="OLQ18" s="87"/>
      <c r="OLR18" s="87"/>
      <c r="OLS18" s="87"/>
      <c r="OLT18" s="87"/>
      <c r="OLU18" s="87"/>
      <c r="OLV18" s="87"/>
      <c r="OLW18" s="87"/>
      <c r="OLX18" s="87"/>
      <c r="OLY18" s="87"/>
      <c r="OLZ18" s="87"/>
      <c r="OMA18" s="87"/>
      <c r="OMB18" s="87"/>
      <c r="OMC18" s="87"/>
      <c r="OMD18" s="87"/>
      <c r="OME18" s="87"/>
      <c r="OMF18" s="87"/>
      <c r="OMG18" s="87"/>
      <c r="OMH18" s="87"/>
      <c r="OMI18" s="87"/>
      <c r="OMJ18" s="87"/>
      <c r="OMK18" s="87"/>
      <c r="OML18" s="87"/>
      <c r="OMM18" s="87"/>
      <c r="OMN18" s="87"/>
      <c r="OMO18" s="87"/>
      <c r="OMP18" s="87"/>
      <c r="OMQ18" s="87"/>
      <c r="OMR18" s="87"/>
      <c r="OMS18" s="87"/>
      <c r="OMT18" s="87"/>
      <c r="OMU18" s="87"/>
      <c r="OMV18" s="87"/>
      <c r="OMW18" s="87"/>
      <c r="OMX18" s="87"/>
      <c r="OMY18" s="87"/>
      <c r="OMZ18" s="87"/>
      <c r="ONA18" s="87"/>
      <c r="ONB18" s="87"/>
      <c r="ONC18" s="87"/>
      <c r="OND18" s="87"/>
      <c r="ONE18" s="87"/>
      <c r="ONF18" s="87"/>
      <c r="ONG18" s="87"/>
      <c r="ONH18" s="87"/>
      <c r="ONI18" s="87"/>
      <c r="ONJ18" s="87"/>
      <c r="ONK18" s="87"/>
      <c r="ONL18" s="87"/>
      <c r="ONM18" s="87"/>
      <c r="ONN18" s="87"/>
      <c r="ONO18" s="87"/>
      <c r="ONP18" s="87"/>
      <c r="ONQ18" s="87"/>
      <c r="ONR18" s="87"/>
      <c r="ONS18" s="87"/>
      <c r="ONT18" s="87"/>
      <c r="ONU18" s="87"/>
      <c r="ONV18" s="87"/>
      <c r="ONW18" s="87"/>
      <c r="ONX18" s="87"/>
      <c r="ONY18" s="87"/>
      <c r="ONZ18" s="87"/>
      <c r="OOA18" s="87"/>
      <c r="OOB18" s="87"/>
      <c r="OOC18" s="87"/>
      <c r="OOD18" s="87"/>
      <c r="OOE18" s="87"/>
      <c r="OOF18" s="87"/>
      <c r="OOG18" s="87"/>
      <c r="OOH18" s="87"/>
      <c r="OOI18" s="87"/>
      <c r="OOJ18" s="87"/>
      <c r="OOK18" s="87"/>
      <c r="OOL18" s="87"/>
      <c r="OOM18" s="87"/>
      <c r="OON18" s="87"/>
      <c r="OOO18" s="87"/>
      <c r="OOP18" s="87"/>
      <c r="OOQ18" s="87"/>
      <c r="OOR18" s="87"/>
      <c r="OOS18" s="87"/>
      <c r="OOT18" s="87"/>
      <c r="OOU18" s="87"/>
      <c r="OOV18" s="87"/>
      <c r="OOW18" s="87"/>
      <c r="OOX18" s="87"/>
      <c r="OOY18" s="87"/>
      <c r="OOZ18" s="87"/>
      <c r="OPA18" s="87"/>
      <c r="OPB18" s="87"/>
      <c r="OPC18" s="87"/>
      <c r="OPD18" s="87"/>
      <c r="OPE18" s="87"/>
      <c r="OPF18" s="87"/>
      <c r="OPG18" s="87"/>
      <c r="OPH18" s="87"/>
      <c r="OPI18" s="87"/>
      <c r="OPJ18" s="87"/>
      <c r="OPK18" s="87"/>
      <c r="OPL18" s="87"/>
      <c r="OPM18" s="87"/>
      <c r="OPN18" s="87"/>
      <c r="OPO18" s="87"/>
      <c r="OPP18" s="87"/>
      <c r="OPQ18" s="87"/>
      <c r="OPR18" s="87"/>
      <c r="OPS18" s="87"/>
      <c r="OPT18" s="87"/>
      <c r="OPU18" s="87"/>
      <c r="OPV18" s="87"/>
      <c r="OPW18" s="87"/>
      <c r="OPX18" s="87"/>
      <c r="OPY18" s="87"/>
      <c r="OPZ18" s="87"/>
      <c r="OQA18" s="87"/>
      <c r="OQB18" s="87"/>
      <c r="OQC18" s="87"/>
      <c r="OQD18" s="87"/>
      <c r="OQE18" s="87"/>
      <c r="OQF18" s="87"/>
      <c r="OQG18" s="87"/>
      <c r="OQH18" s="87"/>
      <c r="OQI18" s="87"/>
      <c r="OQJ18" s="87"/>
      <c r="OQK18" s="87"/>
      <c r="OQL18" s="87"/>
      <c r="OQM18" s="87"/>
      <c r="OQN18" s="87"/>
      <c r="OQO18" s="87"/>
      <c r="OQP18" s="87"/>
      <c r="OQQ18" s="87"/>
      <c r="OQR18" s="87"/>
      <c r="OQS18" s="87"/>
      <c r="OQT18" s="87"/>
      <c r="OQU18" s="87"/>
      <c r="OQV18" s="87"/>
      <c r="OQW18" s="87"/>
      <c r="OQX18" s="87"/>
      <c r="OQY18" s="87"/>
      <c r="OQZ18" s="87"/>
      <c r="ORA18" s="87"/>
      <c r="ORB18" s="87"/>
      <c r="ORC18" s="87"/>
      <c r="ORD18" s="87"/>
      <c r="ORE18" s="87"/>
      <c r="ORF18" s="87"/>
      <c r="ORG18" s="87"/>
      <c r="ORH18" s="87"/>
      <c r="ORI18" s="87"/>
      <c r="ORJ18" s="87"/>
      <c r="ORK18" s="87"/>
      <c r="ORL18" s="87"/>
      <c r="ORM18" s="87"/>
      <c r="ORN18" s="87"/>
      <c r="ORO18" s="87"/>
      <c r="ORP18" s="87"/>
      <c r="ORQ18" s="87"/>
      <c r="ORR18" s="87"/>
      <c r="ORS18" s="87"/>
      <c r="ORT18" s="87"/>
      <c r="ORU18" s="87"/>
      <c r="ORV18" s="87"/>
      <c r="ORW18" s="87"/>
      <c r="ORX18" s="87"/>
      <c r="ORY18" s="87"/>
      <c r="ORZ18" s="87"/>
      <c r="OSA18" s="87"/>
      <c r="OSB18" s="87"/>
      <c r="OSC18" s="87"/>
      <c r="OSD18" s="87"/>
      <c r="OSE18" s="87"/>
      <c r="OSF18" s="87"/>
      <c r="OSG18" s="87"/>
      <c r="OSH18" s="87"/>
      <c r="OSI18" s="87"/>
      <c r="OSJ18" s="87"/>
      <c r="OSK18" s="87"/>
      <c r="OSL18" s="87"/>
      <c r="OSM18" s="87"/>
      <c r="OSN18" s="87"/>
      <c r="OSO18" s="87"/>
      <c r="OSP18" s="87"/>
      <c r="OSQ18" s="87"/>
      <c r="OSR18" s="87"/>
      <c r="OSS18" s="87"/>
      <c r="OST18" s="87"/>
      <c r="OSU18" s="87"/>
      <c r="OSV18" s="87"/>
      <c r="OSW18" s="87"/>
      <c r="OSX18" s="87"/>
      <c r="OSY18" s="87"/>
      <c r="OSZ18" s="87"/>
      <c r="OTA18" s="87"/>
      <c r="OTB18" s="87"/>
      <c r="OTC18" s="87"/>
      <c r="OTD18" s="87"/>
      <c r="OTE18" s="87"/>
      <c r="OTF18" s="87"/>
      <c r="OTG18" s="87"/>
      <c r="OTH18" s="87"/>
      <c r="OTI18" s="87"/>
      <c r="OTJ18" s="87"/>
      <c r="OTK18" s="87"/>
      <c r="OTL18" s="87"/>
      <c r="OTM18" s="87"/>
      <c r="OTN18" s="87"/>
      <c r="OTO18" s="87"/>
      <c r="OTP18" s="87"/>
      <c r="OTQ18" s="87"/>
      <c r="OTR18" s="87"/>
      <c r="OTS18" s="87"/>
      <c r="OTT18" s="87"/>
      <c r="OTU18" s="87"/>
      <c r="OTV18" s="87"/>
      <c r="OTW18" s="87"/>
      <c r="OTX18" s="87"/>
      <c r="OTY18" s="87"/>
      <c r="OTZ18" s="87"/>
      <c r="OUA18" s="87"/>
      <c r="OUB18" s="87"/>
      <c r="OUC18" s="87"/>
      <c r="OUD18" s="87"/>
      <c r="OUE18" s="87"/>
      <c r="OUF18" s="87"/>
      <c r="OUG18" s="87"/>
      <c r="OUH18" s="87"/>
      <c r="OUI18" s="87"/>
      <c r="OUJ18" s="87"/>
      <c r="OUK18" s="87"/>
      <c r="OUL18" s="87"/>
      <c r="OUM18" s="87"/>
      <c r="OUN18" s="87"/>
      <c r="OUO18" s="87"/>
      <c r="OUP18" s="87"/>
      <c r="OUQ18" s="87"/>
      <c r="OUR18" s="87"/>
      <c r="OUS18" s="87"/>
      <c r="OUT18" s="87"/>
      <c r="OUU18" s="87"/>
      <c r="OUV18" s="87"/>
      <c r="OUW18" s="87"/>
      <c r="OUX18" s="87"/>
      <c r="OUY18" s="87"/>
      <c r="OUZ18" s="87"/>
      <c r="OVA18" s="87"/>
      <c r="OVB18" s="87"/>
      <c r="OVC18" s="87"/>
      <c r="OVD18" s="87"/>
      <c r="OVE18" s="87"/>
      <c r="OVF18" s="87"/>
      <c r="OVG18" s="87"/>
      <c r="OVH18" s="87"/>
      <c r="OVI18" s="87"/>
      <c r="OVJ18" s="87"/>
      <c r="OVK18" s="87"/>
      <c r="OVL18" s="87"/>
      <c r="OVM18" s="87"/>
      <c r="OVN18" s="87"/>
      <c r="OVO18" s="87"/>
      <c r="OVP18" s="87"/>
      <c r="OVQ18" s="87"/>
      <c r="OVR18" s="87"/>
      <c r="OVS18" s="87"/>
      <c r="OVT18" s="87"/>
      <c r="OVU18" s="87"/>
      <c r="OVV18" s="87"/>
      <c r="OVW18" s="87"/>
      <c r="OVX18" s="87"/>
      <c r="OVY18" s="87"/>
      <c r="OVZ18" s="87"/>
      <c r="OWA18" s="87"/>
      <c r="OWB18" s="87"/>
      <c r="OWC18" s="87"/>
      <c r="OWD18" s="87"/>
      <c r="OWE18" s="87"/>
      <c r="OWF18" s="87"/>
      <c r="OWG18" s="87"/>
      <c r="OWH18" s="87"/>
      <c r="OWI18" s="87"/>
      <c r="OWJ18" s="87"/>
      <c r="OWK18" s="87"/>
      <c r="OWL18" s="87"/>
      <c r="OWM18" s="87"/>
      <c r="OWN18" s="87"/>
      <c r="OWO18" s="87"/>
      <c r="OWP18" s="87"/>
      <c r="OWQ18" s="87"/>
      <c r="OWR18" s="87"/>
      <c r="OWS18" s="87"/>
      <c r="OWT18" s="87"/>
      <c r="OWU18" s="87"/>
      <c r="OWV18" s="87"/>
      <c r="OWW18" s="87"/>
      <c r="OWX18" s="87"/>
      <c r="OWY18" s="87"/>
      <c r="OWZ18" s="87"/>
      <c r="OXA18" s="87"/>
      <c r="OXB18" s="87"/>
      <c r="OXC18" s="87"/>
      <c r="OXD18" s="87"/>
      <c r="OXE18" s="87"/>
      <c r="OXF18" s="87"/>
      <c r="OXG18" s="87"/>
      <c r="OXH18" s="87"/>
      <c r="OXI18" s="87"/>
      <c r="OXJ18" s="87"/>
      <c r="OXK18" s="87"/>
      <c r="OXL18" s="87"/>
      <c r="OXM18" s="87"/>
      <c r="OXN18" s="87"/>
      <c r="OXO18" s="87"/>
      <c r="OXP18" s="87"/>
      <c r="OXQ18" s="87"/>
      <c r="OXR18" s="87"/>
      <c r="OXS18" s="87"/>
      <c r="OXT18" s="87"/>
      <c r="OXU18" s="87"/>
      <c r="OXV18" s="87"/>
      <c r="OXW18" s="87"/>
      <c r="OXX18" s="87"/>
      <c r="OXY18" s="87"/>
      <c r="OXZ18" s="87"/>
      <c r="OYA18" s="87"/>
      <c r="OYB18" s="87"/>
      <c r="OYC18" s="87"/>
      <c r="OYD18" s="87"/>
      <c r="OYE18" s="87"/>
      <c r="OYF18" s="87"/>
      <c r="OYG18" s="87"/>
      <c r="OYH18" s="87"/>
      <c r="OYI18" s="87"/>
      <c r="OYJ18" s="87"/>
      <c r="OYK18" s="87"/>
      <c r="OYL18" s="87"/>
      <c r="OYM18" s="87"/>
      <c r="OYN18" s="87"/>
      <c r="OYO18" s="87"/>
      <c r="OYP18" s="87"/>
      <c r="OYQ18" s="87"/>
      <c r="OYR18" s="87"/>
      <c r="OYS18" s="87"/>
      <c r="OYT18" s="87"/>
      <c r="OYU18" s="87"/>
      <c r="OYV18" s="87"/>
      <c r="OYW18" s="87"/>
      <c r="OYX18" s="87"/>
      <c r="OYY18" s="87"/>
      <c r="OYZ18" s="87"/>
      <c r="OZA18" s="87"/>
      <c r="OZB18" s="87"/>
      <c r="OZC18" s="87"/>
      <c r="OZD18" s="87"/>
      <c r="OZE18" s="87"/>
      <c r="OZF18" s="87"/>
      <c r="OZG18" s="87"/>
      <c r="OZH18" s="87"/>
      <c r="OZI18" s="87"/>
      <c r="OZJ18" s="87"/>
      <c r="OZK18" s="87"/>
      <c r="OZL18" s="87"/>
      <c r="OZM18" s="87"/>
      <c r="OZN18" s="87"/>
      <c r="OZO18" s="87"/>
      <c r="OZP18" s="87"/>
      <c r="OZQ18" s="87"/>
      <c r="OZR18" s="87"/>
      <c r="OZS18" s="87"/>
      <c r="OZT18" s="87"/>
      <c r="OZU18" s="87"/>
      <c r="OZV18" s="87"/>
      <c r="OZW18" s="87"/>
      <c r="OZX18" s="87"/>
      <c r="OZY18" s="87"/>
      <c r="OZZ18" s="87"/>
      <c r="PAA18" s="87"/>
      <c r="PAB18" s="87"/>
      <c r="PAC18" s="87"/>
      <c r="PAD18" s="87"/>
      <c r="PAE18" s="87"/>
      <c r="PAF18" s="87"/>
      <c r="PAG18" s="87"/>
      <c r="PAH18" s="87"/>
      <c r="PAI18" s="87"/>
      <c r="PAJ18" s="87"/>
      <c r="PAK18" s="87"/>
      <c r="PAL18" s="87"/>
      <c r="PAM18" s="87"/>
      <c r="PAN18" s="87"/>
      <c r="PAO18" s="87"/>
      <c r="PAP18" s="87"/>
      <c r="PAQ18" s="87"/>
      <c r="PAR18" s="87"/>
      <c r="PAS18" s="87"/>
      <c r="PAT18" s="87"/>
      <c r="PAU18" s="87"/>
      <c r="PAV18" s="87"/>
      <c r="PAW18" s="87"/>
      <c r="PAX18" s="87"/>
      <c r="PAY18" s="87"/>
      <c r="PAZ18" s="87"/>
      <c r="PBA18" s="87"/>
      <c r="PBB18" s="87"/>
      <c r="PBC18" s="87"/>
      <c r="PBD18" s="87"/>
      <c r="PBE18" s="87"/>
      <c r="PBF18" s="87"/>
      <c r="PBG18" s="87"/>
      <c r="PBH18" s="87"/>
      <c r="PBI18" s="87"/>
      <c r="PBJ18" s="87"/>
      <c r="PBK18" s="87"/>
      <c r="PBL18" s="87"/>
      <c r="PBM18" s="87"/>
      <c r="PBN18" s="87"/>
      <c r="PBO18" s="87"/>
      <c r="PBP18" s="87"/>
      <c r="PBQ18" s="87"/>
      <c r="PBR18" s="87"/>
      <c r="PBS18" s="87"/>
      <c r="PBT18" s="87"/>
      <c r="PBU18" s="87"/>
      <c r="PBV18" s="87"/>
      <c r="PBW18" s="87"/>
      <c r="PBX18" s="87"/>
      <c r="PBY18" s="87"/>
      <c r="PBZ18" s="87"/>
      <c r="PCA18" s="87"/>
      <c r="PCB18" s="87"/>
      <c r="PCC18" s="87"/>
      <c r="PCD18" s="87"/>
      <c r="PCE18" s="87"/>
      <c r="PCF18" s="87"/>
      <c r="PCG18" s="87"/>
      <c r="PCH18" s="87"/>
      <c r="PCI18" s="87"/>
      <c r="PCJ18" s="87"/>
      <c r="PCK18" s="87"/>
      <c r="PCL18" s="87"/>
      <c r="PCM18" s="87"/>
      <c r="PCN18" s="87"/>
      <c r="PCO18" s="87"/>
      <c r="PCP18" s="87"/>
      <c r="PCQ18" s="87"/>
      <c r="PCR18" s="87"/>
      <c r="PCS18" s="87"/>
      <c r="PCT18" s="87"/>
      <c r="PCU18" s="87"/>
      <c r="PCV18" s="87"/>
      <c r="PCW18" s="87"/>
      <c r="PCX18" s="87"/>
      <c r="PCY18" s="87"/>
      <c r="PCZ18" s="87"/>
      <c r="PDA18" s="87"/>
      <c r="PDB18" s="87"/>
      <c r="PDC18" s="87"/>
      <c r="PDD18" s="87"/>
      <c r="PDE18" s="87"/>
      <c r="PDF18" s="87"/>
      <c r="PDG18" s="87"/>
      <c r="PDH18" s="87"/>
      <c r="PDI18" s="87"/>
      <c r="PDJ18" s="87"/>
      <c r="PDK18" s="87"/>
      <c r="PDL18" s="87"/>
      <c r="PDM18" s="87"/>
      <c r="PDN18" s="87"/>
      <c r="PDO18" s="87"/>
      <c r="PDP18" s="87"/>
      <c r="PDQ18" s="87"/>
      <c r="PDR18" s="87"/>
      <c r="PDS18" s="87"/>
      <c r="PDT18" s="87"/>
      <c r="PDU18" s="87"/>
      <c r="PDV18" s="87"/>
      <c r="PDW18" s="87"/>
      <c r="PDX18" s="87"/>
      <c r="PDY18" s="87"/>
      <c r="PDZ18" s="87"/>
      <c r="PEA18" s="87"/>
      <c r="PEB18" s="87"/>
      <c r="PEC18" s="87"/>
      <c r="PED18" s="87"/>
      <c r="PEE18" s="87"/>
      <c r="PEF18" s="87"/>
      <c r="PEG18" s="87"/>
      <c r="PEH18" s="87"/>
      <c r="PEI18" s="87"/>
      <c r="PEJ18" s="87"/>
      <c r="PEK18" s="87"/>
      <c r="PEL18" s="87"/>
      <c r="PEM18" s="87"/>
      <c r="PEN18" s="87"/>
      <c r="PEO18" s="87"/>
      <c r="PEP18" s="87"/>
      <c r="PEQ18" s="87"/>
      <c r="PER18" s="87"/>
      <c r="PES18" s="87"/>
      <c r="PET18" s="87"/>
      <c r="PEU18" s="87"/>
      <c r="PEV18" s="87"/>
      <c r="PEW18" s="87"/>
      <c r="PEX18" s="87"/>
      <c r="PEY18" s="87"/>
      <c r="PEZ18" s="87"/>
      <c r="PFA18" s="87"/>
      <c r="PFB18" s="87"/>
      <c r="PFC18" s="87"/>
      <c r="PFD18" s="87"/>
      <c r="PFE18" s="87"/>
      <c r="PFF18" s="87"/>
      <c r="PFG18" s="87"/>
      <c r="PFH18" s="87"/>
      <c r="PFI18" s="87"/>
      <c r="PFJ18" s="87"/>
      <c r="PFK18" s="87"/>
      <c r="PFL18" s="87"/>
      <c r="PFM18" s="87"/>
      <c r="PFN18" s="87"/>
      <c r="PFO18" s="87"/>
      <c r="PFP18" s="87"/>
      <c r="PFQ18" s="87"/>
      <c r="PFR18" s="87"/>
      <c r="PFS18" s="87"/>
      <c r="PFT18" s="87"/>
      <c r="PFU18" s="87"/>
      <c r="PFV18" s="87"/>
      <c r="PFW18" s="87"/>
      <c r="PFX18" s="87"/>
      <c r="PFY18" s="87"/>
      <c r="PFZ18" s="87"/>
      <c r="PGA18" s="87"/>
      <c r="PGB18" s="87"/>
      <c r="PGC18" s="87"/>
      <c r="PGD18" s="87"/>
      <c r="PGE18" s="87"/>
      <c r="PGF18" s="87"/>
      <c r="PGG18" s="87"/>
      <c r="PGH18" s="87"/>
      <c r="PGI18" s="87"/>
      <c r="PGJ18" s="87"/>
      <c r="PGK18" s="87"/>
      <c r="PGL18" s="87"/>
      <c r="PGM18" s="87"/>
      <c r="PGN18" s="87"/>
      <c r="PGO18" s="87"/>
      <c r="PGP18" s="87"/>
      <c r="PGQ18" s="87"/>
      <c r="PGR18" s="87"/>
      <c r="PGS18" s="87"/>
      <c r="PGT18" s="87"/>
      <c r="PGU18" s="87"/>
      <c r="PGV18" s="87"/>
      <c r="PGW18" s="87"/>
      <c r="PGX18" s="87"/>
      <c r="PGY18" s="87"/>
      <c r="PGZ18" s="87"/>
      <c r="PHA18" s="87"/>
      <c r="PHB18" s="87"/>
      <c r="PHC18" s="87"/>
      <c r="PHD18" s="87"/>
      <c r="PHE18" s="87"/>
      <c r="PHF18" s="87"/>
      <c r="PHG18" s="87"/>
      <c r="PHH18" s="87"/>
      <c r="PHI18" s="87"/>
      <c r="PHJ18" s="87"/>
      <c r="PHK18" s="87"/>
      <c r="PHL18" s="87"/>
      <c r="PHM18" s="87"/>
      <c r="PHN18" s="87"/>
      <c r="PHO18" s="87"/>
      <c r="PHP18" s="87"/>
      <c r="PHQ18" s="87"/>
      <c r="PHR18" s="87"/>
      <c r="PHS18" s="87"/>
      <c r="PHT18" s="87"/>
      <c r="PHU18" s="87"/>
      <c r="PHV18" s="87"/>
      <c r="PHW18" s="87"/>
      <c r="PHX18" s="87"/>
      <c r="PHY18" s="87"/>
      <c r="PHZ18" s="87"/>
      <c r="PIA18" s="87"/>
      <c r="PIB18" s="87"/>
      <c r="PIC18" s="87"/>
      <c r="PID18" s="87"/>
      <c r="PIE18" s="87"/>
      <c r="PIF18" s="87"/>
      <c r="PIG18" s="87"/>
      <c r="PIH18" s="87"/>
      <c r="PII18" s="87"/>
      <c r="PIJ18" s="87"/>
      <c r="PIK18" s="87"/>
      <c r="PIL18" s="87"/>
      <c r="PIM18" s="87"/>
      <c r="PIN18" s="87"/>
      <c r="PIO18" s="87"/>
      <c r="PIP18" s="87"/>
      <c r="PIQ18" s="87"/>
      <c r="PIR18" s="87"/>
      <c r="PIS18" s="87"/>
      <c r="PIT18" s="87"/>
      <c r="PIU18" s="87"/>
      <c r="PIV18" s="87"/>
      <c r="PIW18" s="87"/>
      <c r="PIX18" s="87"/>
      <c r="PIY18" s="87"/>
      <c r="PIZ18" s="87"/>
      <c r="PJA18" s="87"/>
      <c r="PJB18" s="87"/>
      <c r="PJC18" s="87"/>
      <c r="PJD18" s="87"/>
      <c r="PJE18" s="87"/>
      <c r="PJF18" s="87"/>
      <c r="PJG18" s="87"/>
      <c r="PJH18" s="87"/>
      <c r="PJI18" s="87"/>
      <c r="PJJ18" s="87"/>
      <c r="PJK18" s="87"/>
      <c r="PJL18" s="87"/>
      <c r="PJM18" s="87"/>
      <c r="PJN18" s="87"/>
      <c r="PJO18" s="87"/>
      <c r="PJP18" s="87"/>
      <c r="PJQ18" s="87"/>
      <c r="PJR18" s="87"/>
      <c r="PJS18" s="87"/>
      <c r="PJT18" s="87"/>
      <c r="PJU18" s="87"/>
      <c r="PJV18" s="87"/>
      <c r="PJW18" s="87"/>
      <c r="PJX18" s="87"/>
      <c r="PJY18" s="87"/>
      <c r="PJZ18" s="87"/>
      <c r="PKA18" s="87"/>
      <c r="PKB18" s="87"/>
      <c r="PKC18" s="87"/>
      <c r="PKD18" s="87"/>
      <c r="PKE18" s="87"/>
      <c r="PKF18" s="87"/>
      <c r="PKG18" s="87"/>
      <c r="PKH18" s="87"/>
      <c r="PKI18" s="87"/>
      <c r="PKJ18" s="87"/>
      <c r="PKK18" s="87"/>
      <c r="PKL18" s="87"/>
      <c r="PKM18" s="87"/>
      <c r="PKN18" s="87"/>
      <c r="PKO18" s="87"/>
      <c r="PKP18" s="87"/>
      <c r="PKQ18" s="87"/>
      <c r="PKR18" s="87"/>
      <c r="PKS18" s="87"/>
      <c r="PKT18" s="87"/>
      <c r="PKU18" s="87"/>
      <c r="PKV18" s="87"/>
      <c r="PKW18" s="87"/>
      <c r="PKX18" s="87"/>
      <c r="PKY18" s="87"/>
      <c r="PKZ18" s="87"/>
      <c r="PLA18" s="87"/>
      <c r="PLB18" s="87"/>
      <c r="PLC18" s="87"/>
      <c r="PLD18" s="87"/>
      <c r="PLE18" s="87"/>
      <c r="PLF18" s="87"/>
      <c r="PLG18" s="87"/>
      <c r="PLH18" s="87"/>
      <c r="PLI18" s="87"/>
      <c r="PLJ18" s="87"/>
      <c r="PLK18" s="87"/>
      <c r="PLL18" s="87"/>
      <c r="PLM18" s="87"/>
      <c r="PLN18" s="87"/>
      <c r="PLO18" s="87"/>
      <c r="PLP18" s="87"/>
      <c r="PLQ18" s="87"/>
      <c r="PLR18" s="87"/>
      <c r="PLS18" s="87"/>
      <c r="PLT18" s="87"/>
      <c r="PLU18" s="87"/>
      <c r="PLV18" s="87"/>
      <c r="PLW18" s="87"/>
      <c r="PLX18" s="87"/>
      <c r="PLY18" s="87"/>
      <c r="PLZ18" s="87"/>
      <c r="PMA18" s="87"/>
      <c r="PMB18" s="87"/>
      <c r="PMC18" s="87"/>
      <c r="PMD18" s="87"/>
      <c r="PME18" s="87"/>
      <c r="PMF18" s="87"/>
      <c r="PMG18" s="87"/>
      <c r="PMH18" s="87"/>
      <c r="PMI18" s="87"/>
      <c r="PMJ18" s="87"/>
      <c r="PMK18" s="87"/>
      <c r="PML18" s="87"/>
      <c r="PMM18" s="87"/>
      <c r="PMN18" s="87"/>
      <c r="PMO18" s="87"/>
      <c r="PMP18" s="87"/>
      <c r="PMQ18" s="87"/>
      <c r="PMR18" s="87"/>
      <c r="PMS18" s="87"/>
      <c r="PMT18" s="87"/>
      <c r="PMU18" s="87"/>
      <c r="PMV18" s="87"/>
      <c r="PMW18" s="87"/>
      <c r="PMX18" s="87"/>
      <c r="PMY18" s="87"/>
      <c r="PMZ18" s="87"/>
      <c r="PNA18" s="87"/>
      <c r="PNB18" s="87"/>
      <c r="PNC18" s="87"/>
      <c r="PND18" s="87"/>
      <c r="PNE18" s="87"/>
      <c r="PNF18" s="87"/>
      <c r="PNG18" s="87"/>
      <c r="PNH18" s="87"/>
      <c r="PNI18" s="87"/>
      <c r="PNJ18" s="87"/>
      <c r="PNK18" s="87"/>
      <c r="PNL18" s="87"/>
      <c r="PNM18" s="87"/>
      <c r="PNN18" s="87"/>
      <c r="PNO18" s="87"/>
      <c r="PNP18" s="87"/>
      <c r="PNQ18" s="87"/>
      <c r="PNR18" s="87"/>
      <c r="PNS18" s="87"/>
      <c r="PNT18" s="87"/>
      <c r="PNU18" s="87"/>
      <c r="PNV18" s="87"/>
      <c r="PNW18" s="87"/>
      <c r="PNX18" s="87"/>
      <c r="PNY18" s="87"/>
      <c r="PNZ18" s="87"/>
      <c r="POA18" s="87"/>
      <c r="POB18" s="87"/>
      <c r="POC18" s="87"/>
      <c r="POD18" s="87"/>
      <c r="POE18" s="87"/>
      <c r="POF18" s="87"/>
      <c r="POG18" s="87"/>
      <c r="POH18" s="87"/>
      <c r="POI18" s="87"/>
      <c r="POJ18" s="87"/>
      <c r="POK18" s="87"/>
      <c r="POL18" s="87"/>
      <c r="POM18" s="87"/>
      <c r="PON18" s="87"/>
      <c r="POO18" s="87"/>
      <c r="POP18" s="87"/>
      <c r="POQ18" s="87"/>
      <c r="POR18" s="87"/>
      <c r="POS18" s="87"/>
      <c r="POT18" s="87"/>
      <c r="POU18" s="87"/>
      <c r="POV18" s="87"/>
      <c r="POW18" s="87"/>
      <c r="POX18" s="87"/>
      <c r="POY18" s="87"/>
      <c r="POZ18" s="87"/>
      <c r="PPA18" s="87"/>
      <c r="PPB18" s="87"/>
      <c r="PPC18" s="87"/>
      <c r="PPD18" s="87"/>
      <c r="PPE18" s="87"/>
      <c r="PPF18" s="87"/>
      <c r="PPG18" s="87"/>
      <c r="PPH18" s="87"/>
      <c r="PPI18" s="87"/>
      <c r="PPJ18" s="87"/>
      <c r="PPK18" s="87"/>
      <c r="PPL18" s="87"/>
      <c r="PPM18" s="87"/>
      <c r="PPN18" s="87"/>
      <c r="PPO18" s="87"/>
      <c r="PPP18" s="87"/>
      <c r="PPQ18" s="87"/>
      <c r="PPR18" s="87"/>
      <c r="PPS18" s="87"/>
      <c r="PPT18" s="87"/>
      <c r="PPU18" s="87"/>
      <c r="PPV18" s="87"/>
      <c r="PPW18" s="87"/>
      <c r="PPX18" s="87"/>
      <c r="PPY18" s="87"/>
      <c r="PPZ18" s="87"/>
      <c r="PQA18" s="87"/>
      <c r="PQB18" s="87"/>
      <c r="PQC18" s="87"/>
      <c r="PQD18" s="87"/>
      <c r="PQE18" s="87"/>
      <c r="PQF18" s="87"/>
      <c r="PQG18" s="87"/>
      <c r="PQH18" s="87"/>
      <c r="PQI18" s="87"/>
      <c r="PQJ18" s="87"/>
      <c r="PQK18" s="87"/>
      <c r="PQL18" s="87"/>
      <c r="PQM18" s="87"/>
      <c r="PQN18" s="87"/>
      <c r="PQO18" s="87"/>
      <c r="PQP18" s="87"/>
      <c r="PQQ18" s="87"/>
      <c r="PQR18" s="87"/>
      <c r="PQS18" s="87"/>
      <c r="PQT18" s="87"/>
      <c r="PQU18" s="87"/>
      <c r="PQV18" s="87"/>
      <c r="PQW18" s="87"/>
      <c r="PQX18" s="87"/>
      <c r="PQY18" s="87"/>
      <c r="PQZ18" s="87"/>
      <c r="PRA18" s="87"/>
      <c r="PRB18" s="87"/>
      <c r="PRC18" s="87"/>
      <c r="PRD18" s="87"/>
      <c r="PRE18" s="87"/>
      <c r="PRF18" s="87"/>
      <c r="PRG18" s="87"/>
      <c r="PRH18" s="87"/>
      <c r="PRI18" s="87"/>
      <c r="PRJ18" s="87"/>
      <c r="PRK18" s="87"/>
      <c r="PRL18" s="87"/>
      <c r="PRM18" s="87"/>
      <c r="PRN18" s="87"/>
      <c r="PRO18" s="87"/>
      <c r="PRP18" s="87"/>
      <c r="PRQ18" s="87"/>
      <c r="PRR18" s="87"/>
      <c r="PRS18" s="87"/>
      <c r="PRT18" s="87"/>
      <c r="PRU18" s="87"/>
      <c r="PRV18" s="87"/>
      <c r="PRW18" s="87"/>
      <c r="PRX18" s="87"/>
      <c r="PRY18" s="87"/>
      <c r="PRZ18" s="87"/>
      <c r="PSA18" s="87"/>
      <c r="PSB18" s="87"/>
      <c r="PSC18" s="87"/>
      <c r="PSD18" s="87"/>
      <c r="PSE18" s="87"/>
      <c r="PSF18" s="87"/>
      <c r="PSG18" s="87"/>
      <c r="PSH18" s="87"/>
      <c r="PSI18" s="87"/>
      <c r="PSJ18" s="87"/>
      <c r="PSK18" s="87"/>
      <c r="PSL18" s="87"/>
      <c r="PSM18" s="87"/>
      <c r="PSN18" s="87"/>
      <c r="PSO18" s="87"/>
      <c r="PSP18" s="87"/>
      <c r="PSQ18" s="87"/>
      <c r="PSR18" s="87"/>
      <c r="PSS18" s="87"/>
      <c r="PST18" s="87"/>
      <c r="PSU18" s="87"/>
      <c r="PSV18" s="87"/>
      <c r="PSW18" s="87"/>
      <c r="PSX18" s="87"/>
      <c r="PSY18" s="87"/>
      <c r="PSZ18" s="87"/>
      <c r="PTA18" s="87"/>
      <c r="PTB18" s="87"/>
      <c r="PTC18" s="87"/>
      <c r="PTD18" s="87"/>
      <c r="PTE18" s="87"/>
      <c r="PTF18" s="87"/>
      <c r="PTG18" s="87"/>
      <c r="PTH18" s="87"/>
      <c r="PTI18" s="87"/>
      <c r="PTJ18" s="87"/>
      <c r="PTK18" s="87"/>
      <c r="PTL18" s="87"/>
      <c r="PTM18" s="87"/>
      <c r="PTN18" s="87"/>
      <c r="PTO18" s="87"/>
      <c r="PTP18" s="87"/>
      <c r="PTQ18" s="87"/>
      <c r="PTR18" s="87"/>
      <c r="PTS18" s="87"/>
      <c r="PTT18" s="87"/>
      <c r="PTU18" s="87"/>
      <c r="PTV18" s="87"/>
      <c r="PTW18" s="87"/>
      <c r="PTX18" s="87"/>
      <c r="PTY18" s="87"/>
      <c r="PTZ18" s="87"/>
      <c r="PUA18" s="87"/>
      <c r="PUB18" s="87"/>
      <c r="PUC18" s="87"/>
      <c r="PUD18" s="87"/>
      <c r="PUE18" s="87"/>
      <c r="PUF18" s="87"/>
      <c r="PUG18" s="87"/>
      <c r="PUH18" s="87"/>
      <c r="PUI18" s="87"/>
      <c r="PUJ18" s="87"/>
      <c r="PUK18" s="87"/>
      <c r="PUL18" s="87"/>
      <c r="PUM18" s="87"/>
      <c r="PUN18" s="87"/>
      <c r="PUO18" s="87"/>
      <c r="PUP18" s="87"/>
      <c r="PUQ18" s="87"/>
      <c r="PUR18" s="87"/>
      <c r="PUS18" s="87"/>
      <c r="PUT18" s="87"/>
      <c r="PUU18" s="87"/>
      <c r="PUV18" s="87"/>
      <c r="PUW18" s="87"/>
      <c r="PUX18" s="87"/>
      <c r="PUY18" s="87"/>
      <c r="PUZ18" s="87"/>
      <c r="PVA18" s="87"/>
      <c r="PVB18" s="87"/>
      <c r="PVC18" s="87"/>
      <c r="PVD18" s="87"/>
      <c r="PVE18" s="87"/>
      <c r="PVF18" s="87"/>
      <c r="PVG18" s="87"/>
      <c r="PVH18" s="87"/>
      <c r="PVI18" s="87"/>
      <c r="PVJ18" s="87"/>
      <c r="PVK18" s="87"/>
      <c r="PVL18" s="87"/>
      <c r="PVM18" s="87"/>
      <c r="PVN18" s="87"/>
      <c r="PVO18" s="87"/>
      <c r="PVP18" s="87"/>
      <c r="PVQ18" s="87"/>
      <c r="PVR18" s="87"/>
      <c r="PVS18" s="87"/>
      <c r="PVT18" s="87"/>
      <c r="PVU18" s="87"/>
      <c r="PVV18" s="87"/>
      <c r="PVW18" s="87"/>
      <c r="PVX18" s="87"/>
      <c r="PVY18" s="87"/>
      <c r="PVZ18" s="87"/>
      <c r="PWA18" s="87"/>
      <c r="PWB18" s="87"/>
      <c r="PWC18" s="87"/>
      <c r="PWD18" s="87"/>
      <c r="PWE18" s="87"/>
      <c r="PWF18" s="87"/>
      <c r="PWG18" s="87"/>
      <c r="PWH18" s="87"/>
      <c r="PWI18" s="87"/>
      <c r="PWJ18" s="87"/>
      <c r="PWK18" s="87"/>
      <c r="PWL18" s="87"/>
      <c r="PWM18" s="87"/>
      <c r="PWN18" s="87"/>
      <c r="PWO18" s="87"/>
      <c r="PWP18" s="87"/>
      <c r="PWQ18" s="87"/>
      <c r="PWR18" s="87"/>
      <c r="PWS18" s="87"/>
      <c r="PWT18" s="87"/>
      <c r="PWU18" s="87"/>
      <c r="PWV18" s="87"/>
      <c r="PWW18" s="87"/>
      <c r="PWX18" s="87"/>
      <c r="PWY18" s="87"/>
      <c r="PWZ18" s="87"/>
      <c r="PXA18" s="87"/>
      <c r="PXB18" s="87"/>
      <c r="PXC18" s="87"/>
      <c r="PXD18" s="87"/>
      <c r="PXE18" s="87"/>
      <c r="PXF18" s="87"/>
      <c r="PXG18" s="87"/>
      <c r="PXH18" s="87"/>
      <c r="PXI18" s="87"/>
      <c r="PXJ18" s="87"/>
      <c r="PXK18" s="87"/>
      <c r="PXL18" s="87"/>
      <c r="PXM18" s="87"/>
      <c r="PXN18" s="87"/>
      <c r="PXO18" s="87"/>
      <c r="PXP18" s="87"/>
      <c r="PXQ18" s="87"/>
      <c r="PXR18" s="87"/>
      <c r="PXS18" s="87"/>
      <c r="PXT18" s="87"/>
      <c r="PXU18" s="87"/>
      <c r="PXV18" s="87"/>
      <c r="PXW18" s="87"/>
      <c r="PXX18" s="87"/>
      <c r="PXY18" s="87"/>
      <c r="PXZ18" s="87"/>
      <c r="PYA18" s="87"/>
      <c r="PYB18" s="87"/>
      <c r="PYC18" s="87"/>
      <c r="PYD18" s="87"/>
      <c r="PYE18" s="87"/>
      <c r="PYF18" s="87"/>
      <c r="PYG18" s="87"/>
      <c r="PYH18" s="87"/>
      <c r="PYI18" s="87"/>
      <c r="PYJ18" s="87"/>
      <c r="PYK18" s="87"/>
      <c r="PYL18" s="87"/>
      <c r="PYM18" s="87"/>
      <c r="PYN18" s="87"/>
      <c r="PYO18" s="87"/>
      <c r="PYP18" s="87"/>
      <c r="PYQ18" s="87"/>
      <c r="PYR18" s="87"/>
      <c r="PYS18" s="87"/>
      <c r="PYT18" s="87"/>
      <c r="PYU18" s="87"/>
      <c r="PYV18" s="87"/>
      <c r="PYW18" s="87"/>
      <c r="PYX18" s="87"/>
      <c r="PYY18" s="87"/>
      <c r="PYZ18" s="87"/>
      <c r="PZA18" s="87"/>
      <c r="PZB18" s="87"/>
      <c r="PZC18" s="87"/>
      <c r="PZD18" s="87"/>
      <c r="PZE18" s="87"/>
      <c r="PZF18" s="87"/>
      <c r="PZG18" s="87"/>
      <c r="PZH18" s="87"/>
      <c r="PZI18" s="87"/>
      <c r="PZJ18" s="87"/>
      <c r="PZK18" s="87"/>
      <c r="PZL18" s="87"/>
      <c r="PZM18" s="87"/>
      <c r="PZN18" s="87"/>
      <c r="PZO18" s="87"/>
      <c r="PZP18" s="87"/>
      <c r="PZQ18" s="87"/>
      <c r="PZR18" s="87"/>
      <c r="PZS18" s="87"/>
      <c r="PZT18" s="87"/>
      <c r="PZU18" s="87"/>
      <c r="PZV18" s="87"/>
      <c r="PZW18" s="87"/>
      <c r="PZX18" s="87"/>
      <c r="PZY18" s="87"/>
      <c r="PZZ18" s="87"/>
      <c r="QAA18" s="87"/>
      <c r="QAB18" s="87"/>
      <c r="QAC18" s="87"/>
      <c r="QAD18" s="87"/>
      <c r="QAE18" s="87"/>
      <c r="QAF18" s="87"/>
      <c r="QAG18" s="87"/>
      <c r="QAH18" s="87"/>
      <c r="QAI18" s="87"/>
      <c r="QAJ18" s="87"/>
      <c r="QAK18" s="87"/>
      <c r="QAL18" s="87"/>
      <c r="QAM18" s="87"/>
      <c r="QAN18" s="87"/>
      <c r="QAO18" s="87"/>
      <c r="QAP18" s="87"/>
      <c r="QAQ18" s="87"/>
      <c r="QAR18" s="87"/>
      <c r="QAS18" s="87"/>
      <c r="QAT18" s="87"/>
      <c r="QAU18" s="87"/>
      <c r="QAV18" s="87"/>
      <c r="QAW18" s="87"/>
      <c r="QAX18" s="87"/>
      <c r="QAY18" s="87"/>
      <c r="QAZ18" s="87"/>
      <c r="QBA18" s="87"/>
      <c r="QBB18" s="87"/>
      <c r="QBC18" s="87"/>
      <c r="QBD18" s="87"/>
      <c r="QBE18" s="87"/>
      <c r="QBF18" s="87"/>
      <c r="QBG18" s="87"/>
      <c r="QBH18" s="87"/>
      <c r="QBI18" s="87"/>
      <c r="QBJ18" s="87"/>
      <c r="QBK18" s="87"/>
      <c r="QBL18" s="87"/>
      <c r="QBM18" s="87"/>
      <c r="QBN18" s="87"/>
      <c r="QBO18" s="87"/>
      <c r="QBP18" s="87"/>
      <c r="QBQ18" s="87"/>
      <c r="QBR18" s="87"/>
      <c r="QBS18" s="87"/>
      <c r="QBT18" s="87"/>
      <c r="QBU18" s="87"/>
      <c r="QBV18" s="87"/>
      <c r="QBW18" s="87"/>
      <c r="QBX18" s="87"/>
      <c r="QBY18" s="87"/>
      <c r="QBZ18" s="87"/>
      <c r="QCA18" s="87"/>
      <c r="QCB18" s="87"/>
      <c r="QCC18" s="87"/>
      <c r="QCD18" s="87"/>
      <c r="QCE18" s="87"/>
      <c r="QCF18" s="87"/>
      <c r="QCG18" s="87"/>
      <c r="QCH18" s="87"/>
      <c r="QCI18" s="87"/>
      <c r="QCJ18" s="87"/>
      <c r="QCK18" s="87"/>
      <c r="QCL18" s="87"/>
      <c r="QCM18" s="87"/>
      <c r="QCN18" s="87"/>
      <c r="QCO18" s="87"/>
      <c r="QCP18" s="87"/>
      <c r="QCQ18" s="87"/>
      <c r="QCR18" s="87"/>
      <c r="QCS18" s="87"/>
      <c r="QCT18" s="87"/>
      <c r="QCU18" s="87"/>
      <c r="QCV18" s="87"/>
      <c r="QCW18" s="87"/>
      <c r="QCX18" s="87"/>
      <c r="QCY18" s="87"/>
      <c r="QCZ18" s="87"/>
      <c r="QDA18" s="87"/>
      <c r="QDB18" s="87"/>
      <c r="QDC18" s="87"/>
      <c r="QDD18" s="87"/>
      <c r="QDE18" s="87"/>
      <c r="QDF18" s="87"/>
      <c r="QDG18" s="87"/>
      <c r="QDH18" s="87"/>
      <c r="QDI18" s="87"/>
      <c r="QDJ18" s="87"/>
      <c r="QDK18" s="87"/>
      <c r="QDL18" s="87"/>
      <c r="QDM18" s="87"/>
      <c r="QDN18" s="87"/>
      <c r="QDO18" s="87"/>
      <c r="QDP18" s="87"/>
      <c r="QDQ18" s="87"/>
      <c r="QDR18" s="87"/>
      <c r="QDS18" s="87"/>
      <c r="QDT18" s="87"/>
      <c r="QDU18" s="87"/>
      <c r="QDV18" s="87"/>
      <c r="QDW18" s="87"/>
      <c r="QDX18" s="87"/>
      <c r="QDY18" s="87"/>
      <c r="QDZ18" s="87"/>
      <c r="QEA18" s="87"/>
      <c r="QEB18" s="87"/>
      <c r="QEC18" s="87"/>
      <c r="QED18" s="87"/>
      <c r="QEE18" s="87"/>
      <c r="QEF18" s="87"/>
      <c r="QEG18" s="87"/>
      <c r="QEH18" s="87"/>
      <c r="QEI18" s="87"/>
      <c r="QEJ18" s="87"/>
      <c r="QEK18" s="87"/>
      <c r="QEL18" s="87"/>
      <c r="QEM18" s="87"/>
      <c r="QEN18" s="87"/>
      <c r="QEO18" s="87"/>
      <c r="QEP18" s="87"/>
      <c r="QEQ18" s="87"/>
      <c r="QER18" s="87"/>
      <c r="QES18" s="87"/>
      <c r="QET18" s="87"/>
      <c r="QEU18" s="87"/>
      <c r="QEV18" s="87"/>
      <c r="QEW18" s="87"/>
      <c r="QEX18" s="87"/>
      <c r="QEY18" s="87"/>
      <c r="QEZ18" s="87"/>
      <c r="QFA18" s="87"/>
      <c r="QFB18" s="87"/>
      <c r="QFC18" s="87"/>
      <c r="QFD18" s="87"/>
      <c r="QFE18" s="87"/>
      <c r="QFF18" s="87"/>
      <c r="QFG18" s="87"/>
      <c r="QFH18" s="87"/>
      <c r="QFI18" s="87"/>
      <c r="QFJ18" s="87"/>
      <c r="QFK18" s="87"/>
      <c r="QFL18" s="87"/>
      <c r="QFM18" s="87"/>
      <c r="QFN18" s="87"/>
      <c r="QFO18" s="87"/>
      <c r="QFP18" s="87"/>
      <c r="QFQ18" s="87"/>
      <c r="QFR18" s="87"/>
      <c r="QFS18" s="87"/>
      <c r="QFT18" s="87"/>
      <c r="QFU18" s="87"/>
      <c r="QFV18" s="87"/>
      <c r="QFW18" s="87"/>
      <c r="QFX18" s="87"/>
      <c r="QFY18" s="87"/>
      <c r="QFZ18" s="87"/>
      <c r="QGA18" s="87"/>
      <c r="QGB18" s="87"/>
      <c r="QGC18" s="87"/>
      <c r="QGD18" s="87"/>
      <c r="QGE18" s="87"/>
      <c r="QGF18" s="87"/>
      <c r="QGG18" s="87"/>
      <c r="QGH18" s="87"/>
      <c r="QGI18" s="87"/>
      <c r="QGJ18" s="87"/>
      <c r="QGK18" s="87"/>
      <c r="QGL18" s="87"/>
      <c r="QGM18" s="87"/>
      <c r="QGN18" s="87"/>
      <c r="QGO18" s="87"/>
      <c r="QGP18" s="87"/>
      <c r="QGQ18" s="87"/>
      <c r="QGR18" s="87"/>
      <c r="QGS18" s="87"/>
      <c r="QGT18" s="87"/>
      <c r="QGU18" s="87"/>
      <c r="QGV18" s="87"/>
      <c r="QGW18" s="87"/>
      <c r="QGX18" s="87"/>
      <c r="QGY18" s="87"/>
      <c r="QGZ18" s="87"/>
      <c r="QHA18" s="87"/>
      <c r="QHB18" s="87"/>
      <c r="QHC18" s="87"/>
      <c r="QHD18" s="87"/>
      <c r="QHE18" s="87"/>
      <c r="QHF18" s="87"/>
      <c r="QHG18" s="87"/>
      <c r="QHH18" s="87"/>
      <c r="QHI18" s="87"/>
      <c r="QHJ18" s="87"/>
      <c r="QHK18" s="87"/>
      <c r="QHL18" s="87"/>
      <c r="QHM18" s="87"/>
      <c r="QHN18" s="87"/>
      <c r="QHO18" s="87"/>
      <c r="QHP18" s="87"/>
      <c r="QHQ18" s="87"/>
      <c r="QHR18" s="87"/>
      <c r="QHS18" s="87"/>
      <c r="QHT18" s="87"/>
      <c r="QHU18" s="87"/>
      <c r="QHV18" s="87"/>
      <c r="QHW18" s="87"/>
      <c r="QHX18" s="87"/>
      <c r="QHY18" s="87"/>
      <c r="QHZ18" s="87"/>
      <c r="QIA18" s="87"/>
      <c r="QIB18" s="87"/>
      <c r="QIC18" s="87"/>
      <c r="QID18" s="87"/>
      <c r="QIE18" s="87"/>
      <c r="QIF18" s="87"/>
      <c r="QIG18" s="87"/>
      <c r="QIH18" s="87"/>
      <c r="QII18" s="87"/>
      <c r="QIJ18" s="87"/>
      <c r="QIK18" s="87"/>
      <c r="QIL18" s="87"/>
      <c r="QIM18" s="87"/>
      <c r="QIN18" s="87"/>
      <c r="QIO18" s="87"/>
      <c r="QIP18" s="87"/>
      <c r="QIQ18" s="87"/>
      <c r="QIR18" s="87"/>
      <c r="QIS18" s="87"/>
      <c r="QIT18" s="87"/>
      <c r="QIU18" s="87"/>
      <c r="QIV18" s="87"/>
      <c r="QIW18" s="87"/>
      <c r="QIX18" s="87"/>
      <c r="QIY18" s="87"/>
      <c r="QIZ18" s="87"/>
      <c r="QJA18" s="87"/>
      <c r="QJB18" s="87"/>
      <c r="QJC18" s="87"/>
      <c r="QJD18" s="87"/>
      <c r="QJE18" s="87"/>
      <c r="QJF18" s="87"/>
      <c r="QJG18" s="87"/>
      <c r="QJH18" s="87"/>
      <c r="QJI18" s="87"/>
      <c r="QJJ18" s="87"/>
      <c r="QJK18" s="87"/>
      <c r="QJL18" s="87"/>
      <c r="QJM18" s="87"/>
      <c r="QJN18" s="87"/>
      <c r="QJO18" s="87"/>
      <c r="QJP18" s="87"/>
      <c r="QJQ18" s="87"/>
      <c r="QJR18" s="87"/>
      <c r="QJS18" s="87"/>
      <c r="QJT18" s="87"/>
      <c r="QJU18" s="87"/>
      <c r="QJV18" s="87"/>
      <c r="QJW18" s="87"/>
      <c r="QJX18" s="87"/>
      <c r="QJY18" s="87"/>
      <c r="QJZ18" s="87"/>
      <c r="QKA18" s="87"/>
      <c r="QKB18" s="87"/>
      <c r="QKC18" s="87"/>
      <c r="QKD18" s="87"/>
      <c r="QKE18" s="87"/>
      <c r="QKF18" s="87"/>
      <c r="QKG18" s="87"/>
      <c r="QKH18" s="87"/>
      <c r="QKI18" s="87"/>
      <c r="QKJ18" s="87"/>
      <c r="QKK18" s="87"/>
      <c r="QKL18" s="87"/>
      <c r="QKM18" s="87"/>
      <c r="QKN18" s="87"/>
      <c r="QKO18" s="87"/>
      <c r="QKP18" s="87"/>
      <c r="QKQ18" s="87"/>
      <c r="QKR18" s="87"/>
      <c r="QKS18" s="87"/>
      <c r="QKT18" s="87"/>
      <c r="QKU18" s="87"/>
      <c r="QKV18" s="87"/>
      <c r="QKW18" s="87"/>
      <c r="QKX18" s="87"/>
      <c r="QKY18" s="87"/>
      <c r="QKZ18" s="87"/>
      <c r="QLA18" s="87"/>
      <c r="QLB18" s="87"/>
      <c r="QLC18" s="87"/>
      <c r="QLD18" s="87"/>
      <c r="QLE18" s="87"/>
      <c r="QLF18" s="87"/>
      <c r="QLG18" s="87"/>
      <c r="QLH18" s="87"/>
      <c r="QLI18" s="87"/>
      <c r="QLJ18" s="87"/>
      <c r="QLK18" s="87"/>
      <c r="QLL18" s="87"/>
      <c r="QLM18" s="87"/>
      <c r="QLN18" s="87"/>
      <c r="QLO18" s="87"/>
      <c r="QLP18" s="87"/>
      <c r="QLQ18" s="87"/>
      <c r="QLR18" s="87"/>
      <c r="QLS18" s="87"/>
      <c r="QLT18" s="87"/>
      <c r="QLU18" s="87"/>
      <c r="QLV18" s="87"/>
      <c r="QLW18" s="87"/>
      <c r="QLX18" s="87"/>
      <c r="QLY18" s="87"/>
      <c r="QLZ18" s="87"/>
      <c r="QMA18" s="87"/>
      <c r="QMB18" s="87"/>
      <c r="QMC18" s="87"/>
      <c r="QMD18" s="87"/>
      <c r="QME18" s="87"/>
      <c r="QMF18" s="87"/>
      <c r="QMG18" s="87"/>
      <c r="QMH18" s="87"/>
      <c r="QMI18" s="87"/>
      <c r="QMJ18" s="87"/>
      <c r="QMK18" s="87"/>
      <c r="QML18" s="87"/>
      <c r="QMM18" s="87"/>
      <c r="QMN18" s="87"/>
      <c r="QMO18" s="87"/>
      <c r="QMP18" s="87"/>
      <c r="QMQ18" s="87"/>
      <c r="QMR18" s="87"/>
      <c r="QMS18" s="87"/>
      <c r="QMT18" s="87"/>
      <c r="QMU18" s="87"/>
      <c r="QMV18" s="87"/>
      <c r="QMW18" s="87"/>
      <c r="QMX18" s="87"/>
      <c r="QMY18" s="87"/>
      <c r="QMZ18" s="87"/>
      <c r="QNA18" s="87"/>
      <c r="QNB18" s="87"/>
      <c r="QNC18" s="87"/>
      <c r="QND18" s="87"/>
      <c r="QNE18" s="87"/>
      <c r="QNF18" s="87"/>
      <c r="QNG18" s="87"/>
      <c r="QNH18" s="87"/>
      <c r="QNI18" s="87"/>
      <c r="QNJ18" s="87"/>
      <c r="QNK18" s="87"/>
      <c r="QNL18" s="87"/>
      <c r="QNM18" s="87"/>
      <c r="QNN18" s="87"/>
      <c r="QNO18" s="87"/>
      <c r="QNP18" s="87"/>
      <c r="QNQ18" s="87"/>
      <c r="QNR18" s="87"/>
      <c r="QNS18" s="87"/>
      <c r="QNT18" s="87"/>
      <c r="QNU18" s="87"/>
      <c r="QNV18" s="87"/>
      <c r="QNW18" s="87"/>
      <c r="QNX18" s="87"/>
      <c r="QNY18" s="87"/>
      <c r="QNZ18" s="87"/>
      <c r="QOA18" s="87"/>
      <c r="QOB18" s="87"/>
      <c r="QOC18" s="87"/>
      <c r="QOD18" s="87"/>
      <c r="QOE18" s="87"/>
      <c r="QOF18" s="87"/>
      <c r="QOG18" s="87"/>
      <c r="QOH18" s="87"/>
      <c r="QOI18" s="87"/>
      <c r="QOJ18" s="87"/>
      <c r="QOK18" s="87"/>
      <c r="QOL18" s="87"/>
      <c r="QOM18" s="87"/>
      <c r="QON18" s="87"/>
      <c r="QOO18" s="87"/>
      <c r="QOP18" s="87"/>
      <c r="QOQ18" s="87"/>
      <c r="QOR18" s="87"/>
      <c r="QOS18" s="87"/>
      <c r="QOT18" s="87"/>
      <c r="QOU18" s="87"/>
      <c r="QOV18" s="87"/>
      <c r="QOW18" s="87"/>
      <c r="QOX18" s="87"/>
      <c r="QOY18" s="87"/>
      <c r="QOZ18" s="87"/>
      <c r="QPA18" s="87"/>
      <c r="QPB18" s="87"/>
      <c r="QPC18" s="87"/>
      <c r="QPD18" s="87"/>
      <c r="QPE18" s="87"/>
      <c r="QPF18" s="87"/>
      <c r="QPG18" s="87"/>
      <c r="QPH18" s="87"/>
      <c r="QPI18" s="87"/>
      <c r="QPJ18" s="87"/>
      <c r="QPK18" s="87"/>
      <c r="QPL18" s="87"/>
      <c r="QPM18" s="87"/>
      <c r="QPN18" s="87"/>
      <c r="QPO18" s="87"/>
      <c r="QPP18" s="87"/>
      <c r="QPQ18" s="87"/>
      <c r="QPR18" s="87"/>
      <c r="QPS18" s="87"/>
      <c r="QPT18" s="87"/>
      <c r="QPU18" s="87"/>
      <c r="QPV18" s="87"/>
      <c r="QPW18" s="87"/>
      <c r="QPX18" s="87"/>
      <c r="QPY18" s="87"/>
      <c r="QPZ18" s="87"/>
      <c r="QQA18" s="87"/>
      <c r="QQB18" s="87"/>
      <c r="QQC18" s="87"/>
      <c r="QQD18" s="87"/>
      <c r="QQE18" s="87"/>
      <c r="QQF18" s="87"/>
      <c r="QQG18" s="87"/>
      <c r="QQH18" s="87"/>
      <c r="QQI18" s="87"/>
      <c r="QQJ18" s="87"/>
      <c r="QQK18" s="87"/>
      <c r="QQL18" s="87"/>
      <c r="QQM18" s="87"/>
      <c r="QQN18" s="87"/>
      <c r="QQO18" s="87"/>
      <c r="QQP18" s="87"/>
      <c r="QQQ18" s="87"/>
      <c r="QQR18" s="87"/>
      <c r="QQS18" s="87"/>
      <c r="QQT18" s="87"/>
      <c r="QQU18" s="87"/>
      <c r="QQV18" s="87"/>
      <c r="QQW18" s="87"/>
      <c r="QQX18" s="87"/>
      <c r="QQY18" s="87"/>
      <c r="QQZ18" s="87"/>
      <c r="QRA18" s="87"/>
      <c r="QRB18" s="87"/>
      <c r="QRC18" s="87"/>
      <c r="QRD18" s="87"/>
      <c r="QRE18" s="87"/>
      <c r="QRF18" s="87"/>
      <c r="QRG18" s="87"/>
      <c r="QRH18" s="87"/>
      <c r="QRI18" s="87"/>
      <c r="QRJ18" s="87"/>
      <c r="QRK18" s="87"/>
      <c r="QRL18" s="87"/>
      <c r="QRM18" s="87"/>
      <c r="QRN18" s="87"/>
      <c r="QRO18" s="87"/>
      <c r="QRP18" s="87"/>
      <c r="QRQ18" s="87"/>
      <c r="QRR18" s="87"/>
      <c r="QRS18" s="87"/>
      <c r="QRT18" s="87"/>
      <c r="QRU18" s="87"/>
      <c r="QRV18" s="87"/>
      <c r="QRW18" s="87"/>
      <c r="QRX18" s="87"/>
      <c r="QRY18" s="87"/>
      <c r="QRZ18" s="87"/>
      <c r="QSA18" s="87"/>
      <c r="QSB18" s="87"/>
      <c r="QSC18" s="87"/>
      <c r="QSD18" s="87"/>
      <c r="QSE18" s="87"/>
      <c r="QSF18" s="87"/>
      <c r="QSG18" s="87"/>
      <c r="QSH18" s="87"/>
      <c r="QSI18" s="87"/>
      <c r="QSJ18" s="87"/>
      <c r="QSK18" s="87"/>
      <c r="QSL18" s="87"/>
      <c r="QSM18" s="87"/>
      <c r="QSN18" s="87"/>
      <c r="QSO18" s="87"/>
      <c r="QSP18" s="87"/>
      <c r="QSQ18" s="87"/>
      <c r="QSR18" s="87"/>
      <c r="QSS18" s="87"/>
      <c r="QST18" s="87"/>
      <c r="QSU18" s="87"/>
      <c r="QSV18" s="87"/>
      <c r="QSW18" s="87"/>
      <c r="QSX18" s="87"/>
      <c r="QSY18" s="87"/>
      <c r="QSZ18" s="87"/>
      <c r="QTA18" s="87"/>
      <c r="QTB18" s="87"/>
      <c r="QTC18" s="87"/>
      <c r="QTD18" s="87"/>
      <c r="QTE18" s="87"/>
      <c r="QTF18" s="87"/>
      <c r="QTG18" s="87"/>
      <c r="QTH18" s="87"/>
      <c r="QTI18" s="87"/>
      <c r="QTJ18" s="87"/>
      <c r="QTK18" s="87"/>
      <c r="QTL18" s="87"/>
      <c r="QTM18" s="87"/>
      <c r="QTN18" s="87"/>
      <c r="QTO18" s="87"/>
      <c r="QTP18" s="87"/>
      <c r="QTQ18" s="87"/>
      <c r="QTR18" s="87"/>
      <c r="QTS18" s="87"/>
      <c r="QTT18" s="87"/>
      <c r="QTU18" s="87"/>
      <c r="QTV18" s="87"/>
      <c r="QTW18" s="87"/>
      <c r="QTX18" s="87"/>
      <c r="QTY18" s="87"/>
      <c r="QTZ18" s="87"/>
      <c r="QUA18" s="87"/>
      <c r="QUB18" s="87"/>
      <c r="QUC18" s="87"/>
      <c r="QUD18" s="87"/>
      <c r="QUE18" s="87"/>
      <c r="QUF18" s="87"/>
      <c r="QUG18" s="87"/>
      <c r="QUH18" s="87"/>
      <c r="QUI18" s="87"/>
      <c r="QUJ18" s="87"/>
      <c r="QUK18" s="87"/>
      <c r="QUL18" s="87"/>
      <c r="QUM18" s="87"/>
      <c r="QUN18" s="87"/>
      <c r="QUO18" s="87"/>
      <c r="QUP18" s="87"/>
      <c r="QUQ18" s="87"/>
      <c r="QUR18" s="87"/>
      <c r="QUS18" s="87"/>
      <c r="QUT18" s="87"/>
      <c r="QUU18" s="87"/>
      <c r="QUV18" s="87"/>
      <c r="QUW18" s="87"/>
      <c r="QUX18" s="87"/>
      <c r="QUY18" s="87"/>
      <c r="QUZ18" s="87"/>
      <c r="QVA18" s="87"/>
      <c r="QVB18" s="87"/>
      <c r="QVC18" s="87"/>
      <c r="QVD18" s="87"/>
      <c r="QVE18" s="87"/>
      <c r="QVF18" s="87"/>
      <c r="QVG18" s="87"/>
      <c r="QVH18" s="87"/>
      <c r="QVI18" s="87"/>
      <c r="QVJ18" s="87"/>
      <c r="QVK18" s="87"/>
      <c r="QVL18" s="87"/>
      <c r="QVM18" s="87"/>
      <c r="QVN18" s="87"/>
      <c r="QVO18" s="87"/>
      <c r="QVP18" s="87"/>
      <c r="QVQ18" s="87"/>
      <c r="QVR18" s="87"/>
      <c r="QVS18" s="87"/>
      <c r="QVT18" s="87"/>
      <c r="QVU18" s="87"/>
      <c r="QVV18" s="87"/>
      <c r="QVW18" s="87"/>
      <c r="QVX18" s="87"/>
      <c r="QVY18" s="87"/>
      <c r="QVZ18" s="87"/>
      <c r="QWA18" s="87"/>
      <c r="QWB18" s="87"/>
      <c r="QWC18" s="87"/>
      <c r="QWD18" s="87"/>
      <c r="QWE18" s="87"/>
      <c r="QWF18" s="87"/>
      <c r="QWG18" s="87"/>
      <c r="QWH18" s="87"/>
      <c r="QWI18" s="87"/>
      <c r="QWJ18" s="87"/>
      <c r="QWK18" s="87"/>
      <c r="QWL18" s="87"/>
      <c r="QWM18" s="87"/>
      <c r="QWN18" s="87"/>
      <c r="QWO18" s="87"/>
      <c r="QWP18" s="87"/>
      <c r="QWQ18" s="87"/>
      <c r="QWR18" s="87"/>
      <c r="QWS18" s="87"/>
      <c r="QWT18" s="87"/>
      <c r="QWU18" s="87"/>
      <c r="QWV18" s="87"/>
      <c r="QWW18" s="87"/>
      <c r="QWX18" s="87"/>
      <c r="QWY18" s="87"/>
      <c r="QWZ18" s="87"/>
      <c r="QXA18" s="87"/>
      <c r="QXB18" s="87"/>
      <c r="QXC18" s="87"/>
      <c r="QXD18" s="87"/>
      <c r="QXE18" s="87"/>
      <c r="QXF18" s="87"/>
      <c r="QXG18" s="87"/>
      <c r="QXH18" s="87"/>
      <c r="QXI18" s="87"/>
      <c r="QXJ18" s="87"/>
      <c r="QXK18" s="87"/>
      <c r="QXL18" s="87"/>
      <c r="QXM18" s="87"/>
      <c r="QXN18" s="87"/>
      <c r="QXO18" s="87"/>
      <c r="QXP18" s="87"/>
      <c r="QXQ18" s="87"/>
      <c r="QXR18" s="87"/>
      <c r="QXS18" s="87"/>
      <c r="QXT18" s="87"/>
      <c r="QXU18" s="87"/>
      <c r="QXV18" s="87"/>
      <c r="QXW18" s="87"/>
      <c r="QXX18" s="87"/>
      <c r="QXY18" s="87"/>
      <c r="QXZ18" s="87"/>
      <c r="QYA18" s="87"/>
      <c r="QYB18" s="87"/>
      <c r="QYC18" s="87"/>
      <c r="QYD18" s="87"/>
      <c r="QYE18" s="87"/>
      <c r="QYF18" s="87"/>
      <c r="QYG18" s="87"/>
      <c r="QYH18" s="87"/>
      <c r="QYI18" s="87"/>
      <c r="QYJ18" s="87"/>
      <c r="QYK18" s="87"/>
      <c r="QYL18" s="87"/>
      <c r="QYM18" s="87"/>
      <c r="QYN18" s="87"/>
      <c r="QYO18" s="87"/>
      <c r="QYP18" s="87"/>
      <c r="QYQ18" s="87"/>
      <c r="QYR18" s="87"/>
      <c r="QYS18" s="87"/>
      <c r="QYT18" s="87"/>
      <c r="QYU18" s="87"/>
      <c r="QYV18" s="87"/>
      <c r="QYW18" s="87"/>
      <c r="QYX18" s="87"/>
      <c r="QYY18" s="87"/>
      <c r="QYZ18" s="87"/>
      <c r="QZA18" s="87"/>
      <c r="QZB18" s="87"/>
      <c r="QZC18" s="87"/>
      <c r="QZD18" s="87"/>
      <c r="QZE18" s="87"/>
      <c r="QZF18" s="87"/>
      <c r="QZG18" s="87"/>
      <c r="QZH18" s="87"/>
      <c r="QZI18" s="87"/>
      <c r="QZJ18" s="87"/>
      <c r="QZK18" s="87"/>
      <c r="QZL18" s="87"/>
      <c r="QZM18" s="87"/>
      <c r="QZN18" s="87"/>
      <c r="QZO18" s="87"/>
      <c r="QZP18" s="87"/>
      <c r="QZQ18" s="87"/>
      <c r="QZR18" s="87"/>
      <c r="QZS18" s="87"/>
      <c r="QZT18" s="87"/>
      <c r="QZU18" s="87"/>
      <c r="QZV18" s="87"/>
      <c r="QZW18" s="87"/>
      <c r="QZX18" s="87"/>
      <c r="QZY18" s="87"/>
      <c r="QZZ18" s="87"/>
      <c r="RAA18" s="87"/>
      <c r="RAB18" s="87"/>
      <c r="RAC18" s="87"/>
      <c r="RAD18" s="87"/>
      <c r="RAE18" s="87"/>
      <c r="RAF18" s="87"/>
      <c r="RAG18" s="87"/>
      <c r="RAH18" s="87"/>
      <c r="RAI18" s="87"/>
      <c r="RAJ18" s="87"/>
      <c r="RAK18" s="87"/>
      <c r="RAL18" s="87"/>
      <c r="RAM18" s="87"/>
      <c r="RAN18" s="87"/>
      <c r="RAO18" s="87"/>
      <c r="RAP18" s="87"/>
      <c r="RAQ18" s="87"/>
      <c r="RAR18" s="87"/>
      <c r="RAS18" s="87"/>
      <c r="RAT18" s="87"/>
      <c r="RAU18" s="87"/>
      <c r="RAV18" s="87"/>
      <c r="RAW18" s="87"/>
      <c r="RAX18" s="87"/>
      <c r="RAY18" s="87"/>
      <c r="RAZ18" s="87"/>
      <c r="RBA18" s="87"/>
      <c r="RBB18" s="87"/>
      <c r="RBC18" s="87"/>
      <c r="RBD18" s="87"/>
      <c r="RBE18" s="87"/>
      <c r="RBF18" s="87"/>
      <c r="RBG18" s="87"/>
      <c r="RBH18" s="87"/>
      <c r="RBI18" s="87"/>
      <c r="RBJ18" s="87"/>
      <c r="RBK18" s="87"/>
      <c r="RBL18" s="87"/>
      <c r="RBM18" s="87"/>
      <c r="RBN18" s="87"/>
      <c r="RBO18" s="87"/>
      <c r="RBP18" s="87"/>
      <c r="RBQ18" s="87"/>
      <c r="RBR18" s="87"/>
      <c r="RBS18" s="87"/>
      <c r="RBT18" s="87"/>
      <c r="RBU18" s="87"/>
      <c r="RBV18" s="87"/>
      <c r="RBW18" s="87"/>
      <c r="RBX18" s="87"/>
      <c r="RBY18" s="87"/>
      <c r="RBZ18" s="87"/>
      <c r="RCA18" s="87"/>
      <c r="RCB18" s="87"/>
      <c r="RCC18" s="87"/>
      <c r="RCD18" s="87"/>
      <c r="RCE18" s="87"/>
      <c r="RCF18" s="87"/>
      <c r="RCG18" s="87"/>
      <c r="RCH18" s="87"/>
      <c r="RCI18" s="87"/>
      <c r="RCJ18" s="87"/>
      <c r="RCK18" s="87"/>
      <c r="RCL18" s="87"/>
      <c r="RCM18" s="87"/>
      <c r="RCN18" s="87"/>
      <c r="RCO18" s="87"/>
      <c r="RCP18" s="87"/>
      <c r="RCQ18" s="87"/>
      <c r="RCR18" s="87"/>
      <c r="RCS18" s="87"/>
      <c r="RCT18" s="87"/>
      <c r="RCU18" s="87"/>
      <c r="RCV18" s="87"/>
      <c r="RCW18" s="87"/>
      <c r="RCX18" s="87"/>
      <c r="RCY18" s="87"/>
      <c r="RCZ18" s="87"/>
      <c r="RDA18" s="87"/>
      <c r="RDB18" s="87"/>
      <c r="RDC18" s="87"/>
      <c r="RDD18" s="87"/>
      <c r="RDE18" s="87"/>
      <c r="RDF18" s="87"/>
      <c r="RDG18" s="87"/>
      <c r="RDH18" s="87"/>
      <c r="RDI18" s="87"/>
      <c r="RDJ18" s="87"/>
      <c r="RDK18" s="87"/>
      <c r="RDL18" s="87"/>
      <c r="RDM18" s="87"/>
      <c r="RDN18" s="87"/>
      <c r="RDO18" s="87"/>
      <c r="RDP18" s="87"/>
      <c r="RDQ18" s="87"/>
      <c r="RDR18" s="87"/>
      <c r="RDS18" s="87"/>
      <c r="RDT18" s="87"/>
      <c r="RDU18" s="87"/>
      <c r="RDV18" s="87"/>
      <c r="RDW18" s="87"/>
      <c r="RDX18" s="87"/>
      <c r="RDY18" s="87"/>
      <c r="RDZ18" s="87"/>
      <c r="REA18" s="87"/>
      <c r="REB18" s="87"/>
      <c r="REC18" s="87"/>
      <c r="RED18" s="87"/>
      <c r="REE18" s="87"/>
      <c r="REF18" s="87"/>
      <c r="REG18" s="87"/>
      <c r="REH18" s="87"/>
      <c r="REI18" s="87"/>
      <c r="REJ18" s="87"/>
      <c r="REK18" s="87"/>
      <c r="REL18" s="87"/>
      <c r="REM18" s="87"/>
      <c r="REN18" s="87"/>
      <c r="REO18" s="87"/>
      <c r="REP18" s="87"/>
      <c r="REQ18" s="87"/>
      <c r="RER18" s="87"/>
      <c r="RES18" s="87"/>
      <c r="RET18" s="87"/>
      <c r="REU18" s="87"/>
      <c r="REV18" s="87"/>
      <c r="REW18" s="87"/>
      <c r="REX18" s="87"/>
      <c r="REY18" s="87"/>
      <c r="REZ18" s="87"/>
      <c r="RFA18" s="87"/>
      <c r="RFB18" s="87"/>
      <c r="RFC18" s="87"/>
      <c r="RFD18" s="87"/>
      <c r="RFE18" s="87"/>
      <c r="RFF18" s="87"/>
      <c r="RFG18" s="87"/>
      <c r="RFH18" s="87"/>
      <c r="RFI18" s="87"/>
      <c r="RFJ18" s="87"/>
      <c r="RFK18" s="87"/>
      <c r="RFL18" s="87"/>
      <c r="RFM18" s="87"/>
      <c r="RFN18" s="87"/>
      <c r="RFO18" s="87"/>
      <c r="RFP18" s="87"/>
      <c r="RFQ18" s="87"/>
      <c r="RFR18" s="87"/>
      <c r="RFS18" s="87"/>
      <c r="RFT18" s="87"/>
      <c r="RFU18" s="87"/>
      <c r="RFV18" s="87"/>
      <c r="RFW18" s="87"/>
      <c r="RFX18" s="87"/>
      <c r="RFY18" s="87"/>
      <c r="RFZ18" s="87"/>
      <c r="RGA18" s="87"/>
      <c r="RGB18" s="87"/>
      <c r="RGC18" s="87"/>
      <c r="RGD18" s="87"/>
      <c r="RGE18" s="87"/>
      <c r="RGF18" s="87"/>
      <c r="RGG18" s="87"/>
      <c r="RGH18" s="87"/>
      <c r="RGI18" s="87"/>
      <c r="RGJ18" s="87"/>
      <c r="RGK18" s="87"/>
      <c r="RGL18" s="87"/>
      <c r="RGM18" s="87"/>
      <c r="RGN18" s="87"/>
      <c r="RGO18" s="87"/>
      <c r="RGP18" s="87"/>
      <c r="RGQ18" s="87"/>
      <c r="RGR18" s="87"/>
      <c r="RGS18" s="87"/>
      <c r="RGT18" s="87"/>
      <c r="RGU18" s="87"/>
      <c r="RGV18" s="87"/>
      <c r="RGW18" s="87"/>
      <c r="RGX18" s="87"/>
      <c r="RGY18" s="87"/>
      <c r="RGZ18" s="87"/>
      <c r="RHA18" s="87"/>
      <c r="RHB18" s="87"/>
      <c r="RHC18" s="87"/>
      <c r="RHD18" s="87"/>
      <c r="RHE18" s="87"/>
      <c r="RHF18" s="87"/>
      <c r="RHG18" s="87"/>
      <c r="RHH18" s="87"/>
      <c r="RHI18" s="87"/>
      <c r="RHJ18" s="87"/>
      <c r="RHK18" s="87"/>
      <c r="RHL18" s="87"/>
      <c r="RHM18" s="87"/>
      <c r="RHN18" s="87"/>
      <c r="RHO18" s="87"/>
      <c r="RHP18" s="87"/>
      <c r="RHQ18" s="87"/>
      <c r="RHR18" s="87"/>
      <c r="RHS18" s="87"/>
      <c r="RHT18" s="87"/>
      <c r="RHU18" s="87"/>
      <c r="RHV18" s="87"/>
      <c r="RHW18" s="87"/>
      <c r="RHX18" s="87"/>
      <c r="RHY18" s="87"/>
      <c r="RHZ18" s="87"/>
      <c r="RIA18" s="87"/>
      <c r="RIB18" s="87"/>
      <c r="RIC18" s="87"/>
      <c r="RID18" s="87"/>
      <c r="RIE18" s="87"/>
      <c r="RIF18" s="87"/>
      <c r="RIG18" s="87"/>
      <c r="RIH18" s="87"/>
      <c r="RII18" s="87"/>
      <c r="RIJ18" s="87"/>
      <c r="RIK18" s="87"/>
      <c r="RIL18" s="87"/>
      <c r="RIM18" s="87"/>
      <c r="RIN18" s="87"/>
      <c r="RIO18" s="87"/>
      <c r="RIP18" s="87"/>
      <c r="RIQ18" s="87"/>
      <c r="RIR18" s="87"/>
      <c r="RIS18" s="87"/>
      <c r="RIT18" s="87"/>
      <c r="RIU18" s="87"/>
      <c r="RIV18" s="87"/>
      <c r="RIW18" s="87"/>
      <c r="RIX18" s="87"/>
      <c r="RIY18" s="87"/>
      <c r="RIZ18" s="87"/>
      <c r="RJA18" s="87"/>
      <c r="RJB18" s="87"/>
      <c r="RJC18" s="87"/>
      <c r="RJD18" s="87"/>
      <c r="RJE18" s="87"/>
      <c r="RJF18" s="87"/>
      <c r="RJG18" s="87"/>
      <c r="RJH18" s="87"/>
      <c r="RJI18" s="87"/>
      <c r="RJJ18" s="87"/>
      <c r="RJK18" s="87"/>
      <c r="RJL18" s="87"/>
      <c r="RJM18" s="87"/>
      <c r="RJN18" s="87"/>
      <c r="RJO18" s="87"/>
      <c r="RJP18" s="87"/>
      <c r="RJQ18" s="87"/>
      <c r="RJR18" s="87"/>
      <c r="RJS18" s="87"/>
      <c r="RJT18" s="87"/>
      <c r="RJU18" s="87"/>
      <c r="RJV18" s="87"/>
      <c r="RJW18" s="87"/>
      <c r="RJX18" s="87"/>
      <c r="RJY18" s="87"/>
      <c r="RJZ18" s="87"/>
      <c r="RKA18" s="87"/>
      <c r="RKB18" s="87"/>
      <c r="RKC18" s="87"/>
      <c r="RKD18" s="87"/>
      <c r="RKE18" s="87"/>
      <c r="RKF18" s="87"/>
      <c r="RKG18" s="87"/>
      <c r="RKH18" s="87"/>
      <c r="RKI18" s="87"/>
      <c r="RKJ18" s="87"/>
      <c r="RKK18" s="87"/>
      <c r="RKL18" s="87"/>
      <c r="RKM18" s="87"/>
      <c r="RKN18" s="87"/>
      <c r="RKO18" s="87"/>
      <c r="RKP18" s="87"/>
      <c r="RKQ18" s="87"/>
      <c r="RKR18" s="87"/>
      <c r="RKS18" s="87"/>
      <c r="RKT18" s="87"/>
      <c r="RKU18" s="87"/>
      <c r="RKV18" s="87"/>
      <c r="RKW18" s="87"/>
      <c r="RKX18" s="87"/>
      <c r="RKY18" s="87"/>
      <c r="RKZ18" s="87"/>
      <c r="RLA18" s="87"/>
      <c r="RLB18" s="87"/>
      <c r="RLC18" s="87"/>
      <c r="RLD18" s="87"/>
      <c r="RLE18" s="87"/>
      <c r="RLF18" s="87"/>
      <c r="RLG18" s="87"/>
      <c r="RLH18" s="87"/>
      <c r="RLI18" s="87"/>
      <c r="RLJ18" s="87"/>
      <c r="RLK18" s="87"/>
      <c r="RLL18" s="87"/>
      <c r="RLM18" s="87"/>
      <c r="RLN18" s="87"/>
      <c r="RLO18" s="87"/>
      <c r="RLP18" s="87"/>
      <c r="RLQ18" s="87"/>
      <c r="RLR18" s="87"/>
      <c r="RLS18" s="87"/>
      <c r="RLT18" s="87"/>
      <c r="RLU18" s="87"/>
      <c r="RLV18" s="87"/>
      <c r="RLW18" s="87"/>
      <c r="RLX18" s="87"/>
      <c r="RLY18" s="87"/>
      <c r="RLZ18" s="87"/>
      <c r="RMA18" s="87"/>
      <c r="RMB18" s="87"/>
      <c r="RMC18" s="87"/>
      <c r="RMD18" s="87"/>
      <c r="RME18" s="87"/>
      <c r="RMF18" s="87"/>
      <c r="RMG18" s="87"/>
      <c r="RMH18" s="87"/>
      <c r="RMI18" s="87"/>
      <c r="RMJ18" s="87"/>
      <c r="RMK18" s="87"/>
      <c r="RML18" s="87"/>
      <c r="RMM18" s="87"/>
      <c r="RMN18" s="87"/>
      <c r="RMO18" s="87"/>
      <c r="RMP18" s="87"/>
      <c r="RMQ18" s="87"/>
      <c r="RMR18" s="87"/>
      <c r="RMS18" s="87"/>
      <c r="RMT18" s="87"/>
      <c r="RMU18" s="87"/>
      <c r="RMV18" s="87"/>
      <c r="RMW18" s="87"/>
      <c r="RMX18" s="87"/>
      <c r="RMY18" s="87"/>
      <c r="RMZ18" s="87"/>
      <c r="RNA18" s="87"/>
      <c r="RNB18" s="87"/>
      <c r="RNC18" s="87"/>
      <c r="RND18" s="87"/>
      <c r="RNE18" s="87"/>
      <c r="RNF18" s="87"/>
      <c r="RNG18" s="87"/>
      <c r="RNH18" s="87"/>
      <c r="RNI18" s="87"/>
      <c r="RNJ18" s="87"/>
      <c r="RNK18" s="87"/>
      <c r="RNL18" s="87"/>
      <c r="RNM18" s="87"/>
      <c r="RNN18" s="87"/>
      <c r="RNO18" s="87"/>
      <c r="RNP18" s="87"/>
      <c r="RNQ18" s="87"/>
      <c r="RNR18" s="87"/>
      <c r="RNS18" s="87"/>
      <c r="RNT18" s="87"/>
      <c r="RNU18" s="87"/>
      <c r="RNV18" s="87"/>
      <c r="RNW18" s="87"/>
      <c r="RNX18" s="87"/>
      <c r="RNY18" s="87"/>
      <c r="RNZ18" s="87"/>
      <c r="ROA18" s="87"/>
      <c r="ROB18" s="87"/>
      <c r="ROC18" s="87"/>
      <c r="ROD18" s="87"/>
      <c r="ROE18" s="87"/>
      <c r="ROF18" s="87"/>
      <c r="ROG18" s="87"/>
      <c r="ROH18" s="87"/>
      <c r="ROI18" s="87"/>
      <c r="ROJ18" s="87"/>
      <c r="ROK18" s="87"/>
      <c r="ROL18" s="87"/>
      <c r="ROM18" s="87"/>
      <c r="RON18" s="87"/>
      <c r="ROO18" s="87"/>
      <c r="ROP18" s="87"/>
      <c r="ROQ18" s="87"/>
      <c r="ROR18" s="87"/>
      <c r="ROS18" s="87"/>
      <c r="ROT18" s="87"/>
      <c r="ROU18" s="87"/>
      <c r="ROV18" s="87"/>
      <c r="ROW18" s="87"/>
      <c r="ROX18" s="87"/>
      <c r="ROY18" s="87"/>
      <c r="ROZ18" s="87"/>
      <c r="RPA18" s="87"/>
      <c r="RPB18" s="87"/>
      <c r="RPC18" s="87"/>
      <c r="RPD18" s="87"/>
      <c r="RPE18" s="87"/>
      <c r="RPF18" s="87"/>
      <c r="RPG18" s="87"/>
      <c r="RPH18" s="87"/>
      <c r="RPI18" s="87"/>
      <c r="RPJ18" s="87"/>
      <c r="RPK18" s="87"/>
      <c r="RPL18" s="87"/>
      <c r="RPM18" s="87"/>
      <c r="RPN18" s="87"/>
      <c r="RPO18" s="87"/>
      <c r="RPP18" s="87"/>
      <c r="RPQ18" s="87"/>
      <c r="RPR18" s="87"/>
      <c r="RPS18" s="87"/>
      <c r="RPT18" s="87"/>
      <c r="RPU18" s="87"/>
      <c r="RPV18" s="87"/>
      <c r="RPW18" s="87"/>
      <c r="RPX18" s="87"/>
      <c r="RPY18" s="87"/>
      <c r="RPZ18" s="87"/>
      <c r="RQA18" s="87"/>
      <c r="RQB18" s="87"/>
      <c r="RQC18" s="87"/>
      <c r="RQD18" s="87"/>
      <c r="RQE18" s="87"/>
      <c r="RQF18" s="87"/>
      <c r="RQG18" s="87"/>
      <c r="RQH18" s="87"/>
      <c r="RQI18" s="87"/>
      <c r="RQJ18" s="87"/>
      <c r="RQK18" s="87"/>
      <c r="RQL18" s="87"/>
      <c r="RQM18" s="87"/>
      <c r="RQN18" s="87"/>
      <c r="RQO18" s="87"/>
      <c r="RQP18" s="87"/>
      <c r="RQQ18" s="87"/>
      <c r="RQR18" s="87"/>
      <c r="RQS18" s="87"/>
      <c r="RQT18" s="87"/>
      <c r="RQU18" s="87"/>
      <c r="RQV18" s="87"/>
      <c r="RQW18" s="87"/>
      <c r="RQX18" s="87"/>
      <c r="RQY18" s="87"/>
      <c r="RQZ18" s="87"/>
      <c r="RRA18" s="87"/>
      <c r="RRB18" s="87"/>
      <c r="RRC18" s="87"/>
      <c r="RRD18" s="87"/>
      <c r="RRE18" s="87"/>
      <c r="RRF18" s="87"/>
      <c r="RRG18" s="87"/>
      <c r="RRH18" s="87"/>
      <c r="RRI18" s="87"/>
      <c r="RRJ18" s="87"/>
      <c r="RRK18" s="87"/>
      <c r="RRL18" s="87"/>
      <c r="RRM18" s="87"/>
      <c r="RRN18" s="87"/>
      <c r="RRO18" s="87"/>
      <c r="RRP18" s="87"/>
      <c r="RRQ18" s="87"/>
      <c r="RRR18" s="87"/>
      <c r="RRS18" s="87"/>
      <c r="RRT18" s="87"/>
      <c r="RRU18" s="87"/>
      <c r="RRV18" s="87"/>
      <c r="RRW18" s="87"/>
      <c r="RRX18" s="87"/>
      <c r="RRY18" s="87"/>
      <c r="RRZ18" s="87"/>
      <c r="RSA18" s="87"/>
      <c r="RSB18" s="87"/>
      <c r="RSC18" s="87"/>
      <c r="RSD18" s="87"/>
      <c r="RSE18" s="87"/>
      <c r="RSF18" s="87"/>
      <c r="RSG18" s="87"/>
      <c r="RSH18" s="87"/>
      <c r="RSI18" s="87"/>
      <c r="RSJ18" s="87"/>
      <c r="RSK18" s="87"/>
      <c r="RSL18" s="87"/>
      <c r="RSM18" s="87"/>
      <c r="RSN18" s="87"/>
      <c r="RSO18" s="87"/>
      <c r="RSP18" s="87"/>
      <c r="RSQ18" s="87"/>
      <c r="RSR18" s="87"/>
      <c r="RSS18" s="87"/>
      <c r="RST18" s="87"/>
      <c r="RSU18" s="87"/>
      <c r="RSV18" s="87"/>
      <c r="RSW18" s="87"/>
      <c r="RSX18" s="87"/>
      <c r="RSY18" s="87"/>
      <c r="RSZ18" s="87"/>
      <c r="RTA18" s="87"/>
      <c r="RTB18" s="87"/>
      <c r="RTC18" s="87"/>
      <c r="RTD18" s="87"/>
      <c r="RTE18" s="87"/>
      <c r="RTF18" s="87"/>
      <c r="RTG18" s="87"/>
      <c r="RTH18" s="87"/>
      <c r="RTI18" s="87"/>
      <c r="RTJ18" s="87"/>
      <c r="RTK18" s="87"/>
      <c r="RTL18" s="87"/>
      <c r="RTM18" s="87"/>
      <c r="RTN18" s="87"/>
      <c r="RTO18" s="87"/>
      <c r="RTP18" s="87"/>
      <c r="RTQ18" s="87"/>
      <c r="RTR18" s="87"/>
      <c r="RTS18" s="87"/>
      <c r="RTT18" s="87"/>
      <c r="RTU18" s="87"/>
      <c r="RTV18" s="87"/>
      <c r="RTW18" s="87"/>
      <c r="RTX18" s="87"/>
      <c r="RTY18" s="87"/>
      <c r="RTZ18" s="87"/>
      <c r="RUA18" s="87"/>
      <c r="RUB18" s="87"/>
      <c r="RUC18" s="87"/>
      <c r="RUD18" s="87"/>
      <c r="RUE18" s="87"/>
      <c r="RUF18" s="87"/>
      <c r="RUG18" s="87"/>
      <c r="RUH18" s="87"/>
      <c r="RUI18" s="87"/>
      <c r="RUJ18" s="87"/>
      <c r="RUK18" s="87"/>
      <c r="RUL18" s="87"/>
      <c r="RUM18" s="87"/>
      <c r="RUN18" s="87"/>
      <c r="RUO18" s="87"/>
      <c r="RUP18" s="87"/>
      <c r="RUQ18" s="87"/>
      <c r="RUR18" s="87"/>
      <c r="RUS18" s="87"/>
      <c r="RUT18" s="87"/>
      <c r="RUU18" s="87"/>
      <c r="RUV18" s="87"/>
      <c r="RUW18" s="87"/>
      <c r="RUX18" s="87"/>
      <c r="RUY18" s="87"/>
      <c r="RUZ18" s="87"/>
      <c r="RVA18" s="87"/>
      <c r="RVB18" s="87"/>
      <c r="RVC18" s="87"/>
      <c r="RVD18" s="87"/>
      <c r="RVE18" s="87"/>
      <c r="RVF18" s="87"/>
      <c r="RVG18" s="87"/>
      <c r="RVH18" s="87"/>
      <c r="RVI18" s="87"/>
      <c r="RVJ18" s="87"/>
      <c r="RVK18" s="87"/>
      <c r="RVL18" s="87"/>
      <c r="RVM18" s="87"/>
      <c r="RVN18" s="87"/>
      <c r="RVO18" s="87"/>
      <c r="RVP18" s="87"/>
      <c r="RVQ18" s="87"/>
      <c r="RVR18" s="87"/>
      <c r="RVS18" s="87"/>
      <c r="RVT18" s="87"/>
      <c r="RVU18" s="87"/>
      <c r="RVV18" s="87"/>
      <c r="RVW18" s="87"/>
      <c r="RVX18" s="87"/>
      <c r="RVY18" s="87"/>
      <c r="RVZ18" s="87"/>
      <c r="RWA18" s="87"/>
      <c r="RWB18" s="87"/>
      <c r="RWC18" s="87"/>
      <c r="RWD18" s="87"/>
      <c r="RWE18" s="87"/>
      <c r="RWF18" s="87"/>
      <c r="RWG18" s="87"/>
      <c r="RWH18" s="87"/>
      <c r="RWI18" s="87"/>
      <c r="RWJ18" s="87"/>
      <c r="RWK18" s="87"/>
      <c r="RWL18" s="87"/>
      <c r="RWM18" s="87"/>
      <c r="RWN18" s="87"/>
      <c r="RWO18" s="87"/>
      <c r="RWP18" s="87"/>
      <c r="RWQ18" s="87"/>
      <c r="RWR18" s="87"/>
      <c r="RWS18" s="87"/>
      <c r="RWT18" s="87"/>
      <c r="RWU18" s="87"/>
      <c r="RWV18" s="87"/>
      <c r="RWW18" s="87"/>
      <c r="RWX18" s="87"/>
      <c r="RWY18" s="87"/>
      <c r="RWZ18" s="87"/>
      <c r="RXA18" s="87"/>
      <c r="RXB18" s="87"/>
      <c r="RXC18" s="87"/>
      <c r="RXD18" s="87"/>
      <c r="RXE18" s="87"/>
      <c r="RXF18" s="87"/>
      <c r="RXG18" s="87"/>
      <c r="RXH18" s="87"/>
      <c r="RXI18" s="87"/>
      <c r="RXJ18" s="87"/>
      <c r="RXK18" s="87"/>
      <c r="RXL18" s="87"/>
      <c r="RXM18" s="87"/>
      <c r="RXN18" s="87"/>
      <c r="RXO18" s="87"/>
      <c r="RXP18" s="87"/>
      <c r="RXQ18" s="87"/>
      <c r="RXR18" s="87"/>
      <c r="RXS18" s="87"/>
      <c r="RXT18" s="87"/>
      <c r="RXU18" s="87"/>
      <c r="RXV18" s="87"/>
      <c r="RXW18" s="87"/>
      <c r="RXX18" s="87"/>
      <c r="RXY18" s="87"/>
      <c r="RXZ18" s="87"/>
      <c r="RYA18" s="87"/>
      <c r="RYB18" s="87"/>
      <c r="RYC18" s="87"/>
      <c r="RYD18" s="87"/>
      <c r="RYE18" s="87"/>
      <c r="RYF18" s="87"/>
      <c r="RYG18" s="87"/>
      <c r="RYH18" s="87"/>
      <c r="RYI18" s="87"/>
      <c r="RYJ18" s="87"/>
      <c r="RYK18" s="87"/>
      <c r="RYL18" s="87"/>
      <c r="RYM18" s="87"/>
      <c r="RYN18" s="87"/>
      <c r="RYO18" s="87"/>
      <c r="RYP18" s="87"/>
      <c r="RYQ18" s="87"/>
      <c r="RYR18" s="87"/>
      <c r="RYS18" s="87"/>
      <c r="RYT18" s="87"/>
      <c r="RYU18" s="87"/>
      <c r="RYV18" s="87"/>
      <c r="RYW18" s="87"/>
      <c r="RYX18" s="87"/>
      <c r="RYY18" s="87"/>
      <c r="RYZ18" s="87"/>
      <c r="RZA18" s="87"/>
      <c r="RZB18" s="87"/>
      <c r="RZC18" s="87"/>
      <c r="RZD18" s="87"/>
      <c r="RZE18" s="87"/>
      <c r="RZF18" s="87"/>
      <c r="RZG18" s="87"/>
      <c r="RZH18" s="87"/>
      <c r="RZI18" s="87"/>
      <c r="RZJ18" s="87"/>
      <c r="RZK18" s="87"/>
      <c r="RZL18" s="87"/>
      <c r="RZM18" s="87"/>
      <c r="RZN18" s="87"/>
      <c r="RZO18" s="87"/>
      <c r="RZP18" s="87"/>
      <c r="RZQ18" s="87"/>
      <c r="RZR18" s="87"/>
      <c r="RZS18" s="87"/>
      <c r="RZT18" s="87"/>
      <c r="RZU18" s="87"/>
      <c r="RZV18" s="87"/>
      <c r="RZW18" s="87"/>
      <c r="RZX18" s="87"/>
      <c r="RZY18" s="87"/>
      <c r="RZZ18" s="87"/>
      <c r="SAA18" s="87"/>
      <c r="SAB18" s="87"/>
      <c r="SAC18" s="87"/>
      <c r="SAD18" s="87"/>
      <c r="SAE18" s="87"/>
      <c r="SAF18" s="87"/>
      <c r="SAG18" s="87"/>
      <c r="SAH18" s="87"/>
      <c r="SAI18" s="87"/>
      <c r="SAJ18" s="87"/>
      <c r="SAK18" s="87"/>
      <c r="SAL18" s="87"/>
      <c r="SAM18" s="87"/>
      <c r="SAN18" s="87"/>
      <c r="SAO18" s="87"/>
      <c r="SAP18" s="87"/>
      <c r="SAQ18" s="87"/>
      <c r="SAR18" s="87"/>
      <c r="SAS18" s="87"/>
      <c r="SAT18" s="87"/>
      <c r="SAU18" s="87"/>
      <c r="SAV18" s="87"/>
      <c r="SAW18" s="87"/>
      <c r="SAX18" s="87"/>
      <c r="SAY18" s="87"/>
      <c r="SAZ18" s="87"/>
      <c r="SBA18" s="87"/>
      <c r="SBB18" s="87"/>
      <c r="SBC18" s="87"/>
      <c r="SBD18" s="87"/>
      <c r="SBE18" s="87"/>
      <c r="SBF18" s="87"/>
      <c r="SBG18" s="87"/>
      <c r="SBH18" s="87"/>
      <c r="SBI18" s="87"/>
      <c r="SBJ18" s="87"/>
      <c r="SBK18" s="87"/>
      <c r="SBL18" s="87"/>
      <c r="SBM18" s="87"/>
      <c r="SBN18" s="87"/>
      <c r="SBO18" s="87"/>
      <c r="SBP18" s="87"/>
      <c r="SBQ18" s="87"/>
      <c r="SBR18" s="87"/>
      <c r="SBS18" s="87"/>
      <c r="SBT18" s="87"/>
      <c r="SBU18" s="87"/>
      <c r="SBV18" s="87"/>
      <c r="SBW18" s="87"/>
      <c r="SBX18" s="87"/>
      <c r="SBY18" s="87"/>
      <c r="SBZ18" s="87"/>
      <c r="SCA18" s="87"/>
      <c r="SCB18" s="87"/>
      <c r="SCC18" s="87"/>
      <c r="SCD18" s="87"/>
      <c r="SCE18" s="87"/>
      <c r="SCF18" s="87"/>
      <c r="SCG18" s="87"/>
      <c r="SCH18" s="87"/>
      <c r="SCI18" s="87"/>
      <c r="SCJ18" s="87"/>
      <c r="SCK18" s="87"/>
      <c r="SCL18" s="87"/>
      <c r="SCM18" s="87"/>
      <c r="SCN18" s="87"/>
      <c r="SCO18" s="87"/>
      <c r="SCP18" s="87"/>
      <c r="SCQ18" s="87"/>
      <c r="SCR18" s="87"/>
      <c r="SCS18" s="87"/>
      <c r="SCT18" s="87"/>
      <c r="SCU18" s="87"/>
      <c r="SCV18" s="87"/>
      <c r="SCW18" s="87"/>
      <c r="SCX18" s="87"/>
      <c r="SCY18" s="87"/>
      <c r="SCZ18" s="87"/>
      <c r="SDA18" s="87"/>
      <c r="SDB18" s="87"/>
      <c r="SDC18" s="87"/>
      <c r="SDD18" s="87"/>
      <c r="SDE18" s="87"/>
      <c r="SDF18" s="87"/>
      <c r="SDG18" s="87"/>
      <c r="SDH18" s="87"/>
      <c r="SDI18" s="87"/>
      <c r="SDJ18" s="87"/>
      <c r="SDK18" s="87"/>
      <c r="SDL18" s="87"/>
      <c r="SDM18" s="87"/>
      <c r="SDN18" s="87"/>
      <c r="SDO18" s="87"/>
      <c r="SDP18" s="87"/>
      <c r="SDQ18" s="87"/>
      <c r="SDR18" s="87"/>
      <c r="SDS18" s="87"/>
      <c r="SDT18" s="87"/>
      <c r="SDU18" s="87"/>
      <c r="SDV18" s="87"/>
      <c r="SDW18" s="87"/>
      <c r="SDX18" s="87"/>
      <c r="SDY18" s="87"/>
      <c r="SDZ18" s="87"/>
      <c r="SEA18" s="87"/>
      <c r="SEB18" s="87"/>
      <c r="SEC18" s="87"/>
      <c r="SED18" s="87"/>
      <c r="SEE18" s="87"/>
      <c r="SEF18" s="87"/>
      <c r="SEG18" s="87"/>
      <c r="SEH18" s="87"/>
      <c r="SEI18" s="87"/>
      <c r="SEJ18" s="87"/>
      <c r="SEK18" s="87"/>
      <c r="SEL18" s="87"/>
      <c r="SEM18" s="87"/>
      <c r="SEN18" s="87"/>
      <c r="SEO18" s="87"/>
      <c r="SEP18" s="87"/>
      <c r="SEQ18" s="87"/>
      <c r="SER18" s="87"/>
      <c r="SES18" s="87"/>
      <c r="SET18" s="87"/>
      <c r="SEU18" s="87"/>
      <c r="SEV18" s="87"/>
      <c r="SEW18" s="87"/>
      <c r="SEX18" s="87"/>
      <c r="SEY18" s="87"/>
      <c r="SEZ18" s="87"/>
      <c r="SFA18" s="87"/>
      <c r="SFB18" s="87"/>
      <c r="SFC18" s="87"/>
      <c r="SFD18" s="87"/>
      <c r="SFE18" s="87"/>
      <c r="SFF18" s="87"/>
      <c r="SFG18" s="87"/>
      <c r="SFH18" s="87"/>
      <c r="SFI18" s="87"/>
      <c r="SFJ18" s="87"/>
      <c r="SFK18" s="87"/>
      <c r="SFL18" s="87"/>
      <c r="SFM18" s="87"/>
      <c r="SFN18" s="87"/>
      <c r="SFO18" s="87"/>
      <c r="SFP18" s="87"/>
      <c r="SFQ18" s="87"/>
      <c r="SFR18" s="87"/>
      <c r="SFS18" s="87"/>
      <c r="SFT18" s="87"/>
      <c r="SFU18" s="87"/>
      <c r="SFV18" s="87"/>
      <c r="SFW18" s="87"/>
      <c r="SFX18" s="87"/>
      <c r="SFY18" s="87"/>
      <c r="SFZ18" s="87"/>
      <c r="SGA18" s="87"/>
      <c r="SGB18" s="87"/>
      <c r="SGC18" s="87"/>
      <c r="SGD18" s="87"/>
      <c r="SGE18" s="87"/>
      <c r="SGF18" s="87"/>
      <c r="SGG18" s="87"/>
      <c r="SGH18" s="87"/>
      <c r="SGI18" s="87"/>
      <c r="SGJ18" s="87"/>
      <c r="SGK18" s="87"/>
      <c r="SGL18" s="87"/>
      <c r="SGM18" s="87"/>
      <c r="SGN18" s="87"/>
      <c r="SGO18" s="87"/>
      <c r="SGP18" s="87"/>
      <c r="SGQ18" s="87"/>
      <c r="SGR18" s="87"/>
      <c r="SGS18" s="87"/>
      <c r="SGT18" s="87"/>
      <c r="SGU18" s="87"/>
      <c r="SGV18" s="87"/>
      <c r="SGW18" s="87"/>
      <c r="SGX18" s="87"/>
      <c r="SGY18" s="87"/>
      <c r="SGZ18" s="87"/>
      <c r="SHA18" s="87"/>
      <c r="SHB18" s="87"/>
      <c r="SHC18" s="87"/>
      <c r="SHD18" s="87"/>
      <c r="SHE18" s="87"/>
      <c r="SHF18" s="87"/>
      <c r="SHG18" s="87"/>
      <c r="SHH18" s="87"/>
      <c r="SHI18" s="87"/>
      <c r="SHJ18" s="87"/>
      <c r="SHK18" s="87"/>
      <c r="SHL18" s="87"/>
      <c r="SHM18" s="87"/>
      <c r="SHN18" s="87"/>
      <c r="SHO18" s="87"/>
      <c r="SHP18" s="87"/>
      <c r="SHQ18" s="87"/>
      <c r="SHR18" s="87"/>
      <c r="SHS18" s="87"/>
      <c r="SHT18" s="87"/>
      <c r="SHU18" s="87"/>
      <c r="SHV18" s="87"/>
      <c r="SHW18" s="87"/>
      <c r="SHX18" s="87"/>
      <c r="SHY18" s="87"/>
      <c r="SHZ18" s="87"/>
      <c r="SIA18" s="87"/>
      <c r="SIB18" s="87"/>
      <c r="SIC18" s="87"/>
      <c r="SID18" s="87"/>
      <c r="SIE18" s="87"/>
      <c r="SIF18" s="87"/>
      <c r="SIG18" s="87"/>
      <c r="SIH18" s="87"/>
      <c r="SII18" s="87"/>
      <c r="SIJ18" s="87"/>
      <c r="SIK18" s="87"/>
      <c r="SIL18" s="87"/>
      <c r="SIM18" s="87"/>
      <c r="SIN18" s="87"/>
      <c r="SIO18" s="87"/>
      <c r="SIP18" s="87"/>
      <c r="SIQ18" s="87"/>
      <c r="SIR18" s="87"/>
      <c r="SIS18" s="87"/>
      <c r="SIT18" s="87"/>
      <c r="SIU18" s="87"/>
      <c r="SIV18" s="87"/>
      <c r="SIW18" s="87"/>
      <c r="SIX18" s="87"/>
      <c r="SIY18" s="87"/>
      <c r="SIZ18" s="87"/>
      <c r="SJA18" s="87"/>
      <c r="SJB18" s="87"/>
      <c r="SJC18" s="87"/>
      <c r="SJD18" s="87"/>
      <c r="SJE18" s="87"/>
      <c r="SJF18" s="87"/>
      <c r="SJG18" s="87"/>
      <c r="SJH18" s="87"/>
      <c r="SJI18" s="87"/>
      <c r="SJJ18" s="87"/>
      <c r="SJK18" s="87"/>
      <c r="SJL18" s="87"/>
      <c r="SJM18" s="87"/>
      <c r="SJN18" s="87"/>
      <c r="SJO18" s="87"/>
      <c r="SJP18" s="87"/>
      <c r="SJQ18" s="87"/>
      <c r="SJR18" s="87"/>
      <c r="SJS18" s="87"/>
      <c r="SJT18" s="87"/>
      <c r="SJU18" s="87"/>
      <c r="SJV18" s="87"/>
      <c r="SJW18" s="87"/>
      <c r="SJX18" s="87"/>
      <c r="SJY18" s="87"/>
      <c r="SJZ18" s="87"/>
      <c r="SKA18" s="87"/>
      <c r="SKB18" s="87"/>
      <c r="SKC18" s="87"/>
      <c r="SKD18" s="87"/>
      <c r="SKE18" s="87"/>
      <c r="SKF18" s="87"/>
      <c r="SKG18" s="87"/>
      <c r="SKH18" s="87"/>
      <c r="SKI18" s="87"/>
      <c r="SKJ18" s="87"/>
      <c r="SKK18" s="87"/>
      <c r="SKL18" s="87"/>
      <c r="SKM18" s="87"/>
      <c r="SKN18" s="87"/>
      <c r="SKO18" s="87"/>
      <c r="SKP18" s="87"/>
      <c r="SKQ18" s="87"/>
      <c r="SKR18" s="87"/>
      <c r="SKS18" s="87"/>
      <c r="SKT18" s="87"/>
      <c r="SKU18" s="87"/>
      <c r="SKV18" s="87"/>
      <c r="SKW18" s="87"/>
      <c r="SKX18" s="87"/>
      <c r="SKY18" s="87"/>
      <c r="SKZ18" s="87"/>
      <c r="SLA18" s="87"/>
      <c r="SLB18" s="87"/>
      <c r="SLC18" s="87"/>
      <c r="SLD18" s="87"/>
      <c r="SLE18" s="87"/>
      <c r="SLF18" s="87"/>
      <c r="SLG18" s="87"/>
      <c r="SLH18" s="87"/>
      <c r="SLI18" s="87"/>
      <c r="SLJ18" s="87"/>
      <c r="SLK18" s="87"/>
      <c r="SLL18" s="87"/>
      <c r="SLM18" s="87"/>
      <c r="SLN18" s="87"/>
      <c r="SLO18" s="87"/>
      <c r="SLP18" s="87"/>
      <c r="SLQ18" s="87"/>
      <c r="SLR18" s="87"/>
      <c r="SLS18" s="87"/>
      <c r="SLT18" s="87"/>
      <c r="SLU18" s="87"/>
      <c r="SLV18" s="87"/>
      <c r="SLW18" s="87"/>
      <c r="SLX18" s="87"/>
      <c r="SLY18" s="87"/>
      <c r="SLZ18" s="87"/>
      <c r="SMA18" s="87"/>
      <c r="SMB18" s="87"/>
      <c r="SMC18" s="87"/>
      <c r="SMD18" s="87"/>
      <c r="SME18" s="87"/>
      <c r="SMF18" s="87"/>
      <c r="SMG18" s="87"/>
      <c r="SMH18" s="87"/>
      <c r="SMI18" s="87"/>
      <c r="SMJ18" s="87"/>
      <c r="SMK18" s="87"/>
      <c r="SML18" s="87"/>
      <c r="SMM18" s="87"/>
      <c r="SMN18" s="87"/>
      <c r="SMO18" s="87"/>
      <c r="SMP18" s="87"/>
      <c r="SMQ18" s="87"/>
      <c r="SMR18" s="87"/>
      <c r="SMS18" s="87"/>
      <c r="SMT18" s="87"/>
      <c r="SMU18" s="87"/>
      <c r="SMV18" s="87"/>
      <c r="SMW18" s="87"/>
      <c r="SMX18" s="87"/>
      <c r="SMY18" s="87"/>
      <c r="SMZ18" s="87"/>
      <c r="SNA18" s="87"/>
      <c r="SNB18" s="87"/>
      <c r="SNC18" s="87"/>
      <c r="SND18" s="87"/>
      <c r="SNE18" s="87"/>
      <c r="SNF18" s="87"/>
      <c r="SNG18" s="87"/>
      <c r="SNH18" s="87"/>
      <c r="SNI18" s="87"/>
      <c r="SNJ18" s="87"/>
      <c r="SNK18" s="87"/>
      <c r="SNL18" s="87"/>
      <c r="SNM18" s="87"/>
      <c r="SNN18" s="87"/>
      <c r="SNO18" s="87"/>
      <c r="SNP18" s="87"/>
      <c r="SNQ18" s="87"/>
      <c r="SNR18" s="87"/>
      <c r="SNS18" s="87"/>
      <c r="SNT18" s="87"/>
      <c r="SNU18" s="87"/>
      <c r="SNV18" s="87"/>
      <c r="SNW18" s="87"/>
      <c r="SNX18" s="87"/>
      <c r="SNY18" s="87"/>
      <c r="SNZ18" s="87"/>
      <c r="SOA18" s="87"/>
      <c r="SOB18" s="87"/>
      <c r="SOC18" s="87"/>
      <c r="SOD18" s="87"/>
      <c r="SOE18" s="87"/>
      <c r="SOF18" s="87"/>
      <c r="SOG18" s="87"/>
      <c r="SOH18" s="87"/>
      <c r="SOI18" s="87"/>
      <c r="SOJ18" s="87"/>
      <c r="SOK18" s="87"/>
      <c r="SOL18" s="87"/>
      <c r="SOM18" s="87"/>
      <c r="SON18" s="87"/>
      <c r="SOO18" s="87"/>
      <c r="SOP18" s="87"/>
      <c r="SOQ18" s="87"/>
      <c r="SOR18" s="87"/>
      <c r="SOS18" s="87"/>
      <c r="SOT18" s="87"/>
      <c r="SOU18" s="87"/>
      <c r="SOV18" s="87"/>
      <c r="SOW18" s="87"/>
      <c r="SOX18" s="87"/>
      <c r="SOY18" s="87"/>
      <c r="SOZ18" s="87"/>
      <c r="SPA18" s="87"/>
      <c r="SPB18" s="87"/>
      <c r="SPC18" s="87"/>
      <c r="SPD18" s="87"/>
      <c r="SPE18" s="87"/>
      <c r="SPF18" s="87"/>
      <c r="SPG18" s="87"/>
      <c r="SPH18" s="87"/>
      <c r="SPI18" s="87"/>
      <c r="SPJ18" s="87"/>
      <c r="SPK18" s="87"/>
      <c r="SPL18" s="87"/>
      <c r="SPM18" s="87"/>
      <c r="SPN18" s="87"/>
      <c r="SPO18" s="87"/>
      <c r="SPP18" s="87"/>
      <c r="SPQ18" s="87"/>
      <c r="SPR18" s="87"/>
      <c r="SPS18" s="87"/>
      <c r="SPT18" s="87"/>
      <c r="SPU18" s="87"/>
      <c r="SPV18" s="87"/>
      <c r="SPW18" s="87"/>
      <c r="SPX18" s="87"/>
      <c r="SPY18" s="87"/>
      <c r="SPZ18" s="87"/>
      <c r="SQA18" s="87"/>
      <c r="SQB18" s="87"/>
      <c r="SQC18" s="87"/>
      <c r="SQD18" s="87"/>
      <c r="SQE18" s="87"/>
      <c r="SQF18" s="87"/>
      <c r="SQG18" s="87"/>
      <c r="SQH18" s="87"/>
      <c r="SQI18" s="87"/>
      <c r="SQJ18" s="87"/>
      <c r="SQK18" s="87"/>
      <c r="SQL18" s="87"/>
      <c r="SQM18" s="87"/>
      <c r="SQN18" s="87"/>
      <c r="SQO18" s="87"/>
      <c r="SQP18" s="87"/>
      <c r="SQQ18" s="87"/>
      <c r="SQR18" s="87"/>
      <c r="SQS18" s="87"/>
      <c r="SQT18" s="87"/>
      <c r="SQU18" s="87"/>
      <c r="SQV18" s="87"/>
      <c r="SQW18" s="87"/>
      <c r="SQX18" s="87"/>
      <c r="SQY18" s="87"/>
      <c r="SQZ18" s="87"/>
      <c r="SRA18" s="87"/>
      <c r="SRB18" s="87"/>
      <c r="SRC18" s="87"/>
      <c r="SRD18" s="87"/>
      <c r="SRE18" s="87"/>
      <c r="SRF18" s="87"/>
      <c r="SRG18" s="87"/>
      <c r="SRH18" s="87"/>
      <c r="SRI18" s="87"/>
      <c r="SRJ18" s="87"/>
      <c r="SRK18" s="87"/>
      <c r="SRL18" s="87"/>
      <c r="SRM18" s="87"/>
      <c r="SRN18" s="87"/>
      <c r="SRO18" s="87"/>
      <c r="SRP18" s="87"/>
      <c r="SRQ18" s="87"/>
      <c r="SRR18" s="87"/>
      <c r="SRS18" s="87"/>
      <c r="SRT18" s="87"/>
      <c r="SRU18" s="87"/>
      <c r="SRV18" s="87"/>
      <c r="SRW18" s="87"/>
      <c r="SRX18" s="87"/>
      <c r="SRY18" s="87"/>
      <c r="SRZ18" s="87"/>
      <c r="SSA18" s="87"/>
      <c r="SSB18" s="87"/>
      <c r="SSC18" s="87"/>
      <c r="SSD18" s="87"/>
      <c r="SSE18" s="87"/>
      <c r="SSF18" s="87"/>
      <c r="SSG18" s="87"/>
      <c r="SSH18" s="87"/>
      <c r="SSI18" s="87"/>
      <c r="SSJ18" s="87"/>
      <c r="SSK18" s="87"/>
      <c r="SSL18" s="87"/>
      <c r="SSM18" s="87"/>
      <c r="SSN18" s="87"/>
      <c r="SSO18" s="87"/>
      <c r="SSP18" s="87"/>
      <c r="SSQ18" s="87"/>
      <c r="SSR18" s="87"/>
      <c r="SSS18" s="87"/>
      <c r="SST18" s="87"/>
      <c r="SSU18" s="87"/>
      <c r="SSV18" s="87"/>
      <c r="SSW18" s="87"/>
      <c r="SSX18" s="87"/>
      <c r="SSY18" s="87"/>
      <c r="SSZ18" s="87"/>
      <c r="STA18" s="87"/>
      <c r="STB18" s="87"/>
      <c r="STC18" s="87"/>
      <c r="STD18" s="87"/>
      <c r="STE18" s="87"/>
      <c r="STF18" s="87"/>
      <c r="STG18" s="87"/>
      <c r="STH18" s="87"/>
      <c r="STI18" s="87"/>
      <c r="STJ18" s="87"/>
      <c r="STK18" s="87"/>
      <c r="STL18" s="87"/>
      <c r="STM18" s="87"/>
      <c r="STN18" s="87"/>
      <c r="STO18" s="87"/>
      <c r="STP18" s="87"/>
      <c r="STQ18" s="87"/>
      <c r="STR18" s="87"/>
      <c r="STS18" s="87"/>
      <c r="STT18" s="87"/>
      <c r="STU18" s="87"/>
      <c r="STV18" s="87"/>
      <c r="STW18" s="87"/>
      <c r="STX18" s="87"/>
      <c r="STY18" s="87"/>
      <c r="STZ18" s="87"/>
      <c r="SUA18" s="87"/>
      <c r="SUB18" s="87"/>
      <c r="SUC18" s="87"/>
      <c r="SUD18" s="87"/>
      <c r="SUE18" s="87"/>
      <c r="SUF18" s="87"/>
      <c r="SUG18" s="87"/>
      <c r="SUH18" s="87"/>
      <c r="SUI18" s="87"/>
      <c r="SUJ18" s="87"/>
      <c r="SUK18" s="87"/>
      <c r="SUL18" s="87"/>
      <c r="SUM18" s="87"/>
      <c r="SUN18" s="87"/>
      <c r="SUO18" s="87"/>
      <c r="SUP18" s="87"/>
      <c r="SUQ18" s="87"/>
      <c r="SUR18" s="87"/>
      <c r="SUS18" s="87"/>
      <c r="SUT18" s="87"/>
      <c r="SUU18" s="87"/>
      <c r="SUV18" s="87"/>
      <c r="SUW18" s="87"/>
      <c r="SUX18" s="87"/>
      <c r="SUY18" s="87"/>
      <c r="SUZ18" s="87"/>
      <c r="SVA18" s="87"/>
      <c r="SVB18" s="87"/>
      <c r="SVC18" s="87"/>
      <c r="SVD18" s="87"/>
      <c r="SVE18" s="87"/>
      <c r="SVF18" s="87"/>
      <c r="SVG18" s="87"/>
      <c r="SVH18" s="87"/>
      <c r="SVI18" s="87"/>
      <c r="SVJ18" s="87"/>
      <c r="SVK18" s="87"/>
      <c r="SVL18" s="87"/>
      <c r="SVM18" s="87"/>
      <c r="SVN18" s="87"/>
      <c r="SVO18" s="87"/>
      <c r="SVP18" s="87"/>
      <c r="SVQ18" s="87"/>
      <c r="SVR18" s="87"/>
      <c r="SVS18" s="87"/>
      <c r="SVT18" s="87"/>
      <c r="SVU18" s="87"/>
      <c r="SVV18" s="87"/>
      <c r="SVW18" s="87"/>
      <c r="SVX18" s="87"/>
      <c r="SVY18" s="87"/>
      <c r="SVZ18" s="87"/>
      <c r="SWA18" s="87"/>
      <c r="SWB18" s="87"/>
      <c r="SWC18" s="87"/>
      <c r="SWD18" s="87"/>
      <c r="SWE18" s="87"/>
      <c r="SWF18" s="87"/>
      <c r="SWG18" s="87"/>
      <c r="SWH18" s="87"/>
      <c r="SWI18" s="87"/>
      <c r="SWJ18" s="87"/>
      <c r="SWK18" s="87"/>
      <c r="SWL18" s="87"/>
      <c r="SWM18" s="87"/>
      <c r="SWN18" s="87"/>
      <c r="SWO18" s="87"/>
      <c r="SWP18" s="87"/>
      <c r="SWQ18" s="87"/>
      <c r="SWR18" s="87"/>
      <c r="SWS18" s="87"/>
      <c r="SWT18" s="87"/>
      <c r="SWU18" s="87"/>
      <c r="SWV18" s="87"/>
      <c r="SWW18" s="87"/>
      <c r="SWX18" s="87"/>
      <c r="SWY18" s="87"/>
      <c r="SWZ18" s="87"/>
      <c r="SXA18" s="87"/>
      <c r="SXB18" s="87"/>
      <c r="SXC18" s="87"/>
      <c r="SXD18" s="87"/>
      <c r="SXE18" s="87"/>
      <c r="SXF18" s="87"/>
      <c r="SXG18" s="87"/>
      <c r="SXH18" s="87"/>
      <c r="SXI18" s="87"/>
      <c r="SXJ18" s="87"/>
      <c r="SXK18" s="87"/>
      <c r="SXL18" s="87"/>
      <c r="SXM18" s="87"/>
      <c r="SXN18" s="87"/>
      <c r="SXO18" s="87"/>
      <c r="SXP18" s="87"/>
      <c r="SXQ18" s="87"/>
      <c r="SXR18" s="87"/>
      <c r="SXS18" s="87"/>
      <c r="SXT18" s="87"/>
      <c r="SXU18" s="87"/>
      <c r="SXV18" s="87"/>
      <c r="SXW18" s="87"/>
      <c r="SXX18" s="87"/>
      <c r="SXY18" s="87"/>
      <c r="SXZ18" s="87"/>
      <c r="SYA18" s="87"/>
      <c r="SYB18" s="87"/>
      <c r="SYC18" s="87"/>
      <c r="SYD18" s="87"/>
      <c r="SYE18" s="87"/>
      <c r="SYF18" s="87"/>
      <c r="SYG18" s="87"/>
      <c r="SYH18" s="87"/>
      <c r="SYI18" s="87"/>
      <c r="SYJ18" s="87"/>
      <c r="SYK18" s="87"/>
      <c r="SYL18" s="87"/>
      <c r="SYM18" s="87"/>
      <c r="SYN18" s="87"/>
      <c r="SYO18" s="87"/>
      <c r="SYP18" s="87"/>
      <c r="SYQ18" s="87"/>
      <c r="SYR18" s="87"/>
      <c r="SYS18" s="87"/>
      <c r="SYT18" s="87"/>
      <c r="SYU18" s="87"/>
      <c r="SYV18" s="87"/>
      <c r="SYW18" s="87"/>
      <c r="SYX18" s="87"/>
      <c r="SYY18" s="87"/>
      <c r="SYZ18" s="87"/>
      <c r="SZA18" s="87"/>
      <c r="SZB18" s="87"/>
      <c r="SZC18" s="87"/>
      <c r="SZD18" s="87"/>
      <c r="SZE18" s="87"/>
      <c r="SZF18" s="87"/>
      <c r="SZG18" s="87"/>
      <c r="SZH18" s="87"/>
      <c r="SZI18" s="87"/>
      <c r="SZJ18" s="87"/>
      <c r="SZK18" s="87"/>
      <c r="SZL18" s="87"/>
      <c r="SZM18" s="87"/>
      <c r="SZN18" s="87"/>
      <c r="SZO18" s="87"/>
      <c r="SZP18" s="87"/>
      <c r="SZQ18" s="87"/>
      <c r="SZR18" s="87"/>
      <c r="SZS18" s="87"/>
      <c r="SZT18" s="87"/>
      <c r="SZU18" s="87"/>
      <c r="SZV18" s="87"/>
      <c r="SZW18" s="87"/>
      <c r="SZX18" s="87"/>
      <c r="SZY18" s="87"/>
      <c r="SZZ18" s="87"/>
      <c r="TAA18" s="87"/>
      <c r="TAB18" s="87"/>
      <c r="TAC18" s="87"/>
      <c r="TAD18" s="87"/>
      <c r="TAE18" s="87"/>
      <c r="TAF18" s="87"/>
      <c r="TAG18" s="87"/>
      <c r="TAH18" s="87"/>
      <c r="TAI18" s="87"/>
      <c r="TAJ18" s="87"/>
      <c r="TAK18" s="87"/>
      <c r="TAL18" s="87"/>
      <c r="TAM18" s="87"/>
      <c r="TAN18" s="87"/>
      <c r="TAO18" s="87"/>
      <c r="TAP18" s="87"/>
      <c r="TAQ18" s="87"/>
      <c r="TAR18" s="87"/>
      <c r="TAS18" s="87"/>
      <c r="TAT18" s="87"/>
      <c r="TAU18" s="87"/>
      <c r="TAV18" s="87"/>
      <c r="TAW18" s="87"/>
      <c r="TAX18" s="87"/>
      <c r="TAY18" s="87"/>
      <c r="TAZ18" s="87"/>
      <c r="TBA18" s="87"/>
      <c r="TBB18" s="87"/>
      <c r="TBC18" s="87"/>
      <c r="TBD18" s="87"/>
      <c r="TBE18" s="87"/>
      <c r="TBF18" s="87"/>
      <c r="TBG18" s="87"/>
      <c r="TBH18" s="87"/>
      <c r="TBI18" s="87"/>
      <c r="TBJ18" s="87"/>
      <c r="TBK18" s="87"/>
      <c r="TBL18" s="87"/>
      <c r="TBM18" s="87"/>
      <c r="TBN18" s="87"/>
      <c r="TBO18" s="87"/>
      <c r="TBP18" s="87"/>
      <c r="TBQ18" s="87"/>
      <c r="TBR18" s="87"/>
      <c r="TBS18" s="87"/>
      <c r="TBT18" s="87"/>
      <c r="TBU18" s="87"/>
      <c r="TBV18" s="87"/>
      <c r="TBW18" s="87"/>
      <c r="TBX18" s="87"/>
      <c r="TBY18" s="87"/>
      <c r="TBZ18" s="87"/>
      <c r="TCA18" s="87"/>
      <c r="TCB18" s="87"/>
      <c r="TCC18" s="87"/>
      <c r="TCD18" s="87"/>
      <c r="TCE18" s="87"/>
      <c r="TCF18" s="87"/>
      <c r="TCG18" s="87"/>
      <c r="TCH18" s="87"/>
      <c r="TCI18" s="87"/>
      <c r="TCJ18" s="87"/>
      <c r="TCK18" s="87"/>
      <c r="TCL18" s="87"/>
      <c r="TCM18" s="87"/>
      <c r="TCN18" s="87"/>
      <c r="TCO18" s="87"/>
      <c r="TCP18" s="87"/>
      <c r="TCQ18" s="87"/>
      <c r="TCR18" s="87"/>
      <c r="TCS18" s="87"/>
      <c r="TCT18" s="87"/>
      <c r="TCU18" s="87"/>
      <c r="TCV18" s="87"/>
      <c r="TCW18" s="87"/>
      <c r="TCX18" s="87"/>
      <c r="TCY18" s="87"/>
      <c r="TCZ18" s="87"/>
      <c r="TDA18" s="87"/>
      <c r="TDB18" s="87"/>
      <c r="TDC18" s="87"/>
      <c r="TDD18" s="87"/>
      <c r="TDE18" s="87"/>
      <c r="TDF18" s="87"/>
      <c r="TDG18" s="87"/>
      <c r="TDH18" s="87"/>
      <c r="TDI18" s="87"/>
      <c r="TDJ18" s="87"/>
      <c r="TDK18" s="87"/>
      <c r="TDL18" s="87"/>
      <c r="TDM18" s="87"/>
      <c r="TDN18" s="87"/>
      <c r="TDO18" s="87"/>
      <c r="TDP18" s="87"/>
      <c r="TDQ18" s="87"/>
      <c r="TDR18" s="87"/>
      <c r="TDS18" s="87"/>
      <c r="TDT18" s="87"/>
      <c r="TDU18" s="87"/>
      <c r="TDV18" s="87"/>
      <c r="TDW18" s="87"/>
      <c r="TDX18" s="87"/>
      <c r="TDY18" s="87"/>
      <c r="TDZ18" s="87"/>
      <c r="TEA18" s="87"/>
      <c r="TEB18" s="87"/>
      <c r="TEC18" s="87"/>
      <c r="TED18" s="87"/>
      <c r="TEE18" s="87"/>
      <c r="TEF18" s="87"/>
      <c r="TEG18" s="87"/>
      <c r="TEH18" s="87"/>
      <c r="TEI18" s="87"/>
      <c r="TEJ18" s="87"/>
      <c r="TEK18" s="87"/>
      <c r="TEL18" s="87"/>
      <c r="TEM18" s="87"/>
      <c r="TEN18" s="87"/>
      <c r="TEO18" s="87"/>
      <c r="TEP18" s="87"/>
      <c r="TEQ18" s="87"/>
      <c r="TER18" s="87"/>
      <c r="TES18" s="87"/>
      <c r="TET18" s="87"/>
      <c r="TEU18" s="87"/>
      <c r="TEV18" s="87"/>
      <c r="TEW18" s="87"/>
      <c r="TEX18" s="87"/>
      <c r="TEY18" s="87"/>
      <c r="TEZ18" s="87"/>
      <c r="TFA18" s="87"/>
      <c r="TFB18" s="87"/>
      <c r="TFC18" s="87"/>
      <c r="TFD18" s="87"/>
      <c r="TFE18" s="87"/>
      <c r="TFF18" s="87"/>
      <c r="TFG18" s="87"/>
      <c r="TFH18" s="87"/>
      <c r="TFI18" s="87"/>
      <c r="TFJ18" s="87"/>
      <c r="TFK18" s="87"/>
      <c r="TFL18" s="87"/>
      <c r="TFM18" s="87"/>
      <c r="TFN18" s="87"/>
      <c r="TFO18" s="87"/>
      <c r="TFP18" s="87"/>
      <c r="TFQ18" s="87"/>
      <c r="TFR18" s="87"/>
      <c r="TFS18" s="87"/>
      <c r="TFT18" s="87"/>
      <c r="TFU18" s="87"/>
      <c r="TFV18" s="87"/>
      <c r="TFW18" s="87"/>
      <c r="TFX18" s="87"/>
      <c r="TFY18" s="87"/>
      <c r="TFZ18" s="87"/>
      <c r="TGA18" s="87"/>
      <c r="TGB18" s="87"/>
      <c r="TGC18" s="87"/>
      <c r="TGD18" s="87"/>
      <c r="TGE18" s="87"/>
      <c r="TGF18" s="87"/>
      <c r="TGG18" s="87"/>
      <c r="TGH18" s="87"/>
      <c r="TGI18" s="87"/>
      <c r="TGJ18" s="87"/>
      <c r="TGK18" s="87"/>
      <c r="TGL18" s="87"/>
      <c r="TGM18" s="87"/>
      <c r="TGN18" s="87"/>
      <c r="TGO18" s="87"/>
      <c r="TGP18" s="87"/>
      <c r="TGQ18" s="87"/>
      <c r="TGR18" s="87"/>
      <c r="TGS18" s="87"/>
      <c r="TGT18" s="87"/>
      <c r="TGU18" s="87"/>
      <c r="TGV18" s="87"/>
      <c r="TGW18" s="87"/>
      <c r="TGX18" s="87"/>
      <c r="TGY18" s="87"/>
      <c r="TGZ18" s="87"/>
      <c r="THA18" s="87"/>
      <c r="THB18" s="87"/>
      <c r="THC18" s="87"/>
      <c r="THD18" s="87"/>
      <c r="THE18" s="87"/>
      <c r="THF18" s="87"/>
      <c r="THG18" s="87"/>
      <c r="THH18" s="87"/>
      <c r="THI18" s="87"/>
      <c r="THJ18" s="87"/>
      <c r="THK18" s="87"/>
      <c r="THL18" s="87"/>
      <c r="THM18" s="87"/>
      <c r="THN18" s="87"/>
      <c r="THO18" s="87"/>
      <c r="THP18" s="87"/>
      <c r="THQ18" s="87"/>
      <c r="THR18" s="87"/>
      <c r="THS18" s="87"/>
      <c r="THT18" s="87"/>
      <c r="THU18" s="87"/>
      <c r="THV18" s="87"/>
      <c r="THW18" s="87"/>
      <c r="THX18" s="87"/>
      <c r="THY18" s="87"/>
      <c r="THZ18" s="87"/>
      <c r="TIA18" s="87"/>
      <c r="TIB18" s="87"/>
      <c r="TIC18" s="87"/>
      <c r="TID18" s="87"/>
      <c r="TIE18" s="87"/>
      <c r="TIF18" s="87"/>
      <c r="TIG18" s="87"/>
      <c r="TIH18" s="87"/>
      <c r="TII18" s="87"/>
      <c r="TIJ18" s="87"/>
      <c r="TIK18" s="87"/>
      <c r="TIL18" s="87"/>
      <c r="TIM18" s="87"/>
      <c r="TIN18" s="87"/>
      <c r="TIO18" s="87"/>
      <c r="TIP18" s="87"/>
      <c r="TIQ18" s="87"/>
      <c r="TIR18" s="87"/>
      <c r="TIS18" s="87"/>
      <c r="TIT18" s="87"/>
      <c r="TIU18" s="87"/>
      <c r="TIV18" s="87"/>
      <c r="TIW18" s="87"/>
      <c r="TIX18" s="87"/>
      <c r="TIY18" s="87"/>
      <c r="TIZ18" s="87"/>
      <c r="TJA18" s="87"/>
      <c r="TJB18" s="87"/>
      <c r="TJC18" s="87"/>
      <c r="TJD18" s="87"/>
      <c r="TJE18" s="87"/>
      <c r="TJF18" s="87"/>
      <c r="TJG18" s="87"/>
      <c r="TJH18" s="87"/>
      <c r="TJI18" s="87"/>
      <c r="TJJ18" s="87"/>
      <c r="TJK18" s="87"/>
      <c r="TJL18" s="87"/>
      <c r="TJM18" s="87"/>
      <c r="TJN18" s="87"/>
      <c r="TJO18" s="87"/>
      <c r="TJP18" s="87"/>
      <c r="TJQ18" s="87"/>
      <c r="TJR18" s="87"/>
      <c r="TJS18" s="87"/>
      <c r="TJT18" s="87"/>
      <c r="TJU18" s="87"/>
      <c r="TJV18" s="87"/>
      <c r="TJW18" s="87"/>
      <c r="TJX18" s="87"/>
      <c r="TJY18" s="87"/>
      <c r="TJZ18" s="87"/>
      <c r="TKA18" s="87"/>
      <c r="TKB18" s="87"/>
      <c r="TKC18" s="87"/>
      <c r="TKD18" s="87"/>
      <c r="TKE18" s="87"/>
      <c r="TKF18" s="87"/>
      <c r="TKG18" s="87"/>
      <c r="TKH18" s="87"/>
      <c r="TKI18" s="87"/>
      <c r="TKJ18" s="87"/>
      <c r="TKK18" s="87"/>
      <c r="TKL18" s="87"/>
      <c r="TKM18" s="87"/>
      <c r="TKN18" s="87"/>
      <c r="TKO18" s="87"/>
      <c r="TKP18" s="87"/>
      <c r="TKQ18" s="87"/>
      <c r="TKR18" s="87"/>
      <c r="TKS18" s="87"/>
      <c r="TKT18" s="87"/>
      <c r="TKU18" s="87"/>
      <c r="TKV18" s="87"/>
      <c r="TKW18" s="87"/>
      <c r="TKX18" s="87"/>
      <c r="TKY18" s="87"/>
      <c r="TKZ18" s="87"/>
      <c r="TLA18" s="87"/>
      <c r="TLB18" s="87"/>
      <c r="TLC18" s="87"/>
      <c r="TLD18" s="87"/>
      <c r="TLE18" s="87"/>
      <c r="TLF18" s="87"/>
      <c r="TLG18" s="87"/>
      <c r="TLH18" s="87"/>
      <c r="TLI18" s="87"/>
      <c r="TLJ18" s="87"/>
      <c r="TLK18" s="87"/>
      <c r="TLL18" s="87"/>
      <c r="TLM18" s="87"/>
      <c r="TLN18" s="87"/>
      <c r="TLO18" s="87"/>
      <c r="TLP18" s="87"/>
      <c r="TLQ18" s="87"/>
      <c r="TLR18" s="87"/>
      <c r="TLS18" s="87"/>
      <c r="TLT18" s="87"/>
      <c r="TLU18" s="87"/>
      <c r="TLV18" s="87"/>
      <c r="TLW18" s="87"/>
      <c r="TLX18" s="87"/>
      <c r="TLY18" s="87"/>
      <c r="TLZ18" s="87"/>
      <c r="TMA18" s="87"/>
      <c r="TMB18" s="87"/>
      <c r="TMC18" s="87"/>
      <c r="TMD18" s="87"/>
      <c r="TME18" s="87"/>
      <c r="TMF18" s="87"/>
      <c r="TMG18" s="87"/>
      <c r="TMH18" s="87"/>
      <c r="TMI18" s="87"/>
      <c r="TMJ18" s="87"/>
      <c r="TMK18" s="87"/>
      <c r="TML18" s="87"/>
      <c r="TMM18" s="87"/>
      <c r="TMN18" s="87"/>
      <c r="TMO18" s="87"/>
      <c r="TMP18" s="87"/>
      <c r="TMQ18" s="87"/>
      <c r="TMR18" s="87"/>
      <c r="TMS18" s="87"/>
      <c r="TMT18" s="87"/>
      <c r="TMU18" s="87"/>
      <c r="TMV18" s="87"/>
      <c r="TMW18" s="87"/>
      <c r="TMX18" s="87"/>
      <c r="TMY18" s="87"/>
      <c r="TMZ18" s="87"/>
      <c r="TNA18" s="87"/>
      <c r="TNB18" s="87"/>
      <c r="TNC18" s="87"/>
      <c r="TND18" s="87"/>
      <c r="TNE18" s="87"/>
      <c r="TNF18" s="87"/>
      <c r="TNG18" s="87"/>
      <c r="TNH18" s="87"/>
      <c r="TNI18" s="87"/>
      <c r="TNJ18" s="87"/>
      <c r="TNK18" s="87"/>
      <c r="TNL18" s="87"/>
      <c r="TNM18" s="87"/>
      <c r="TNN18" s="87"/>
      <c r="TNO18" s="87"/>
      <c r="TNP18" s="87"/>
      <c r="TNQ18" s="87"/>
      <c r="TNR18" s="87"/>
      <c r="TNS18" s="87"/>
      <c r="TNT18" s="87"/>
      <c r="TNU18" s="87"/>
      <c r="TNV18" s="87"/>
      <c r="TNW18" s="87"/>
      <c r="TNX18" s="87"/>
      <c r="TNY18" s="87"/>
      <c r="TNZ18" s="87"/>
      <c r="TOA18" s="87"/>
      <c r="TOB18" s="87"/>
      <c r="TOC18" s="87"/>
      <c r="TOD18" s="87"/>
      <c r="TOE18" s="87"/>
      <c r="TOF18" s="87"/>
      <c r="TOG18" s="87"/>
      <c r="TOH18" s="87"/>
      <c r="TOI18" s="87"/>
      <c r="TOJ18" s="87"/>
      <c r="TOK18" s="87"/>
      <c r="TOL18" s="87"/>
      <c r="TOM18" s="87"/>
      <c r="TON18" s="87"/>
      <c r="TOO18" s="87"/>
      <c r="TOP18" s="87"/>
      <c r="TOQ18" s="87"/>
      <c r="TOR18" s="87"/>
      <c r="TOS18" s="87"/>
      <c r="TOT18" s="87"/>
      <c r="TOU18" s="87"/>
      <c r="TOV18" s="87"/>
      <c r="TOW18" s="87"/>
      <c r="TOX18" s="87"/>
      <c r="TOY18" s="87"/>
      <c r="TOZ18" s="87"/>
      <c r="TPA18" s="87"/>
      <c r="TPB18" s="87"/>
      <c r="TPC18" s="87"/>
      <c r="TPD18" s="87"/>
      <c r="TPE18" s="87"/>
      <c r="TPF18" s="87"/>
      <c r="TPG18" s="87"/>
      <c r="TPH18" s="87"/>
      <c r="TPI18" s="87"/>
      <c r="TPJ18" s="87"/>
      <c r="TPK18" s="87"/>
      <c r="TPL18" s="87"/>
      <c r="TPM18" s="87"/>
      <c r="TPN18" s="87"/>
      <c r="TPO18" s="87"/>
      <c r="TPP18" s="87"/>
      <c r="TPQ18" s="87"/>
      <c r="TPR18" s="87"/>
      <c r="TPS18" s="87"/>
      <c r="TPT18" s="87"/>
      <c r="TPU18" s="87"/>
      <c r="TPV18" s="87"/>
      <c r="TPW18" s="87"/>
      <c r="TPX18" s="87"/>
      <c r="TPY18" s="87"/>
      <c r="TPZ18" s="87"/>
      <c r="TQA18" s="87"/>
      <c r="TQB18" s="87"/>
      <c r="TQC18" s="87"/>
      <c r="TQD18" s="87"/>
      <c r="TQE18" s="87"/>
      <c r="TQF18" s="87"/>
      <c r="TQG18" s="87"/>
      <c r="TQH18" s="87"/>
      <c r="TQI18" s="87"/>
      <c r="TQJ18" s="87"/>
      <c r="TQK18" s="87"/>
      <c r="TQL18" s="87"/>
      <c r="TQM18" s="87"/>
      <c r="TQN18" s="87"/>
      <c r="TQO18" s="87"/>
      <c r="TQP18" s="87"/>
      <c r="TQQ18" s="87"/>
      <c r="TQR18" s="87"/>
      <c r="TQS18" s="87"/>
      <c r="TQT18" s="87"/>
      <c r="TQU18" s="87"/>
      <c r="TQV18" s="87"/>
      <c r="TQW18" s="87"/>
      <c r="TQX18" s="87"/>
      <c r="TQY18" s="87"/>
      <c r="TQZ18" s="87"/>
      <c r="TRA18" s="87"/>
      <c r="TRB18" s="87"/>
      <c r="TRC18" s="87"/>
      <c r="TRD18" s="87"/>
      <c r="TRE18" s="87"/>
      <c r="TRF18" s="87"/>
      <c r="TRG18" s="87"/>
      <c r="TRH18" s="87"/>
      <c r="TRI18" s="87"/>
      <c r="TRJ18" s="87"/>
      <c r="TRK18" s="87"/>
      <c r="TRL18" s="87"/>
      <c r="TRM18" s="87"/>
      <c r="TRN18" s="87"/>
      <c r="TRO18" s="87"/>
      <c r="TRP18" s="87"/>
      <c r="TRQ18" s="87"/>
      <c r="TRR18" s="87"/>
      <c r="TRS18" s="87"/>
      <c r="TRT18" s="87"/>
      <c r="TRU18" s="87"/>
      <c r="TRV18" s="87"/>
      <c r="TRW18" s="87"/>
      <c r="TRX18" s="87"/>
      <c r="TRY18" s="87"/>
      <c r="TRZ18" s="87"/>
      <c r="TSA18" s="87"/>
      <c r="TSB18" s="87"/>
      <c r="TSC18" s="87"/>
      <c r="TSD18" s="87"/>
      <c r="TSE18" s="87"/>
      <c r="TSF18" s="87"/>
      <c r="TSG18" s="87"/>
      <c r="TSH18" s="87"/>
      <c r="TSI18" s="87"/>
      <c r="TSJ18" s="87"/>
      <c r="TSK18" s="87"/>
      <c r="TSL18" s="87"/>
      <c r="TSM18" s="87"/>
      <c r="TSN18" s="87"/>
      <c r="TSO18" s="87"/>
      <c r="TSP18" s="87"/>
      <c r="TSQ18" s="87"/>
      <c r="TSR18" s="87"/>
      <c r="TSS18" s="87"/>
      <c r="TST18" s="87"/>
      <c r="TSU18" s="87"/>
      <c r="TSV18" s="87"/>
      <c r="TSW18" s="87"/>
      <c r="TSX18" s="87"/>
      <c r="TSY18" s="87"/>
      <c r="TSZ18" s="87"/>
      <c r="TTA18" s="87"/>
      <c r="TTB18" s="87"/>
      <c r="TTC18" s="87"/>
      <c r="TTD18" s="87"/>
      <c r="TTE18" s="87"/>
      <c r="TTF18" s="87"/>
      <c r="TTG18" s="87"/>
      <c r="TTH18" s="87"/>
      <c r="TTI18" s="87"/>
      <c r="TTJ18" s="87"/>
      <c r="TTK18" s="87"/>
      <c r="TTL18" s="87"/>
      <c r="TTM18" s="87"/>
      <c r="TTN18" s="87"/>
      <c r="TTO18" s="87"/>
      <c r="TTP18" s="87"/>
      <c r="TTQ18" s="87"/>
      <c r="TTR18" s="87"/>
      <c r="TTS18" s="87"/>
      <c r="TTT18" s="87"/>
      <c r="TTU18" s="87"/>
      <c r="TTV18" s="87"/>
      <c r="TTW18" s="87"/>
      <c r="TTX18" s="87"/>
      <c r="TTY18" s="87"/>
      <c r="TTZ18" s="87"/>
      <c r="TUA18" s="87"/>
      <c r="TUB18" s="87"/>
      <c r="TUC18" s="87"/>
      <c r="TUD18" s="87"/>
      <c r="TUE18" s="87"/>
      <c r="TUF18" s="87"/>
      <c r="TUG18" s="87"/>
      <c r="TUH18" s="87"/>
      <c r="TUI18" s="87"/>
      <c r="TUJ18" s="87"/>
      <c r="TUK18" s="87"/>
      <c r="TUL18" s="87"/>
      <c r="TUM18" s="87"/>
      <c r="TUN18" s="87"/>
      <c r="TUO18" s="87"/>
      <c r="TUP18" s="87"/>
      <c r="TUQ18" s="87"/>
      <c r="TUR18" s="87"/>
      <c r="TUS18" s="87"/>
      <c r="TUT18" s="87"/>
      <c r="TUU18" s="87"/>
      <c r="TUV18" s="87"/>
      <c r="TUW18" s="87"/>
      <c r="TUX18" s="87"/>
      <c r="TUY18" s="87"/>
      <c r="TUZ18" s="87"/>
      <c r="TVA18" s="87"/>
      <c r="TVB18" s="87"/>
      <c r="TVC18" s="87"/>
      <c r="TVD18" s="87"/>
      <c r="TVE18" s="87"/>
      <c r="TVF18" s="87"/>
      <c r="TVG18" s="87"/>
      <c r="TVH18" s="87"/>
      <c r="TVI18" s="87"/>
      <c r="TVJ18" s="87"/>
      <c r="TVK18" s="87"/>
      <c r="TVL18" s="87"/>
      <c r="TVM18" s="87"/>
      <c r="TVN18" s="87"/>
      <c r="TVO18" s="87"/>
      <c r="TVP18" s="87"/>
      <c r="TVQ18" s="87"/>
      <c r="TVR18" s="87"/>
      <c r="TVS18" s="87"/>
      <c r="TVT18" s="87"/>
      <c r="TVU18" s="87"/>
      <c r="TVV18" s="87"/>
      <c r="TVW18" s="87"/>
      <c r="TVX18" s="87"/>
      <c r="TVY18" s="87"/>
      <c r="TVZ18" s="87"/>
      <c r="TWA18" s="87"/>
      <c r="TWB18" s="87"/>
      <c r="TWC18" s="87"/>
      <c r="TWD18" s="87"/>
      <c r="TWE18" s="87"/>
      <c r="TWF18" s="87"/>
      <c r="TWG18" s="87"/>
      <c r="TWH18" s="87"/>
      <c r="TWI18" s="87"/>
      <c r="TWJ18" s="87"/>
      <c r="TWK18" s="87"/>
      <c r="TWL18" s="87"/>
      <c r="TWM18" s="87"/>
      <c r="TWN18" s="87"/>
      <c r="TWO18" s="87"/>
      <c r="TWP18" s="87"/>
      <c r="TWQ18" s="87"/>
      <c r="TWR18" s="87"/>
      <c r="TWS18" s="87"/>
      <c r="TWT18" s="87"/>
      <c r="TWU18" s="87"/>
      <c r="TWV18" s="87"/>
      <c r="TWW18" s="87"/>
      <c r="TWX18" s="87"/>
      <c r="TWY18" s="87"/>
      <c r="TWZ18" s="87"/>
      <c r="TXA18" s="87"/>
      <c r="TXB18" s="87"/>
      <c r="TXC18" s="87"/>
      <c r="TXD18" s="87"/>
      <c r="TXE18" s="87"/>
      <c r="TXF18" s="87"/>
      <c r="TXG18" s="87"/>
      <c r="TXH18" s="87"/>
      <c r="TXI18" s="87"/>
      <c r="TXJ18" s="87"/>
      <c r="TXK18" s="87"/>
      <c r="TXL18" s="87"/>
      <c r="TXM18" s="87"/>
      <c r="TXN18" s="87"/>
      <c r="TXO18" s="87"/>
      <c r="TXP18" s="87"/>
      <c r="TXQ18" s="87"/>
      <c r="TXR18" s="87"/>
      <c r="TXS18" s="87"/>
      <c r="TXT18" s="87"/>
      <c r="TXU18" s="87"/>
      <c r="TXV18" s="87"/>
      <c r="TXW18" s="87"/>
      <c r="TXX18" s="87"/>
      <c r="TXY18" s="87"/>
      <c r="TXZ18" s="87"/>
      <c r="TYA18" s="87"/>
      <c r="TYB18" s="87"/>
      <c r="TYC18" s="87"/>
      <c r="TYD18" s="87"/>
      <c r="TYE18" s="87"/>
      <c r="TYF18" s="87"/>
      <c r="TYG18" s="87"/>
      <c r="TYH18" s="87"/>
      <c r="TYI18" s="87"/>
      <c r="TYJ18" s="87"/>
      <c r="TYK18" s="87"/>
      <c r="TYL18" s="87"/>
      <c r="TYM18" s="87"/>
      <c r="TYN18" s="87"/>
      <c r="TYO18" s="87"/>
      <c r="TYP18" s="87"/>
      <c r="TYQ18" s="87"/>
      <c r="TYR18" s="87"/>
      <c r="TYS18" s="87"/>
      <c r="TYT18" s="87"/>
      <c r="TYU18" s="87"/>
      <c r="TYV18" s="87"/>
      <c r="TYW18" s="87"/>
      <c r="TYX18" s="87"/>
      <c r="TYY18" s="87"/>
      <c r="TYZ18" s="87"/>
      <c r="TZA18" s="87"/>
      <c r="TZB18" s="87"/>
      <c r="TZC18" s="87"/>
      <c r="TZD18" s="87"/>
      <c r="TZE18" s="87"/>
      <c r="TZF18" s="87"/>
      <c r="TZG18" s="87"/>
      <c r="TZH18" s="87"/>
      <c r="TZI18" s="87"/>
      <c r="TZJ18" s="87"/>
      <c r="TZK18" s="87"/>
      <c r="TZL18" s="87"/>
      <c r="TZM18" s="87"/>
      <c r="TZN18" s="87"/>
      <c r="TZO18" s="87"/>
      <c r="TZP18" s="87"/>
      <c r="TZQ18" s="87"/>
      <c r="TZR18" s="87"/>
      <c r="TZS18" s="87"/>
      <c r="TZT18" s="87"/>
      <c r="TZU18" s="87"/>
      <c r="TZV18" s="87"/>
      <c r="TZW18" s="87"/>
      <c r="TZX18" s="87"/>
      <c r="TZY18" s="87"/>
      <c r="TZZ18" s="87"/>
      <c r="UAA18" s="87"/>
      <c r="UAB18" s="87"/>
      <c r="UAC18" s="87"/>
      <c r="UAD18" s="87"/>
      <c r="UAE18" s="87"/>
      <c r="UAF18" s="87"/>
      <c r="UAG18" s="87"/>
      <c r="UAH18" s="87"/>
      <c r="UAI18" s="87"/>
      <c r="UAJ18" s="87"/>
      <c r="UAK18" s="87"/>
      <c r="UAL18" s="87"/>
      <c r="UAM18" s="87"/>
      <c r="UAN18" s="87"/>
      <c r="UAO18" s="87"/>
      <c r="UAP18" s="87"/>
      <c r="UAQ18" s="87"/>
      <c r="UAR18" s="87"/>
      <c r="UAS18" s="87"/>
      <c r="UAT18" s="87"/>
      <c r="UAU18" s="87"/>
      <c r="UAV18" s="87"/>
      <c r="UAW18" s="87"/>
      <c r="UAX18" s="87"/>
      <c r="UAY18" s="87"/>
      <c r="UAZ18" s="87"/>
      <c r="UBA18" s="87"/>
      <c r="UBB18" s="87"/>
      <c r="UBC18" s="87"/>
      <c r="UBD18" s="87"/>
      <c r="UBE18" s="87"/>
      <c r="UBF18" s="87"/>
      <c r="UBG18" s="87"/>
      <c r="UBH18" s="87"/>
      <c r="UBI18" s="87"/>
      <c r="UBJ18" s="87"/>
      <c r="UBK18" s="87"/>
      <c r="UBL18" s="87"/>
      <c r="UBM18" s="87"/>
      <c r="UBN18" s="87"/>
      <c r="UBO18" s="87"/>
      <c r="UBP18" s="87"/>
      <c r="UBQ18" s="87"/>
      <c r="UBR18" s="87"/>
      <c r="UBS18" s="87"/>
      <c r="UBT18" s="87"/>
      <c r="UBU18" s="87"/>
      <c r="UBV18" s="87"/>
      <c r="UBW18" s="87"/>
      <c r="UBX18" s="87"/>
      <c r="UBY18" s="87"/>
      <c r="UBZ18" s="87"/>
      <c r="UCA18" s="87"/>
      <c r="UCB18" s="87"/>
      <c r="UCC18" s="87"/>
      <c r="UCD18" s="87"/>
      <c r="UCE18" s="87"/>
      <c r="UCF18" s="87"/>
      <c r="UCG18" s="87"/>
      <c r="UCH18" s="87"/>
      <c r="UCI18" s="87"/>
      <c r="UCJ18" s="87"/>
      <c r="UCK18" s="87"/>
      <c r="UCL18" s="87"/>
      <c r="UCM18" s="87"/>
      <c r="UCN18" s="87"/>
      <c r="UCO18" s="87"/>
      <c r="UCP18" s="87"/>
      <c r="UCQ18" s="87"/>
      <c r="UCR18" s="87"/>
      <c r="UCS18" s="87"/>
      <c r="UCT18" s="87"/>
      <c r="UCU18" s="87"/>
      <c r="UCV18" s="87"/>
      <c r="UCW18" s="87"/>
      <c r="UCX18" s="87"/>
      <c r="UCY18" s="87"/>
      <c r="UCZ18" s="87"/>
      <c r="UDA18" s="87"/>
      <c r="UDB18" s="87"/>
      <c r="UDC18" s="87"/>
      <c r="UDD18" s="87"/>
      <c r="UDE18" s="87"/>
      <c r="UDF18" s="87"/>
      <c r="UDG18" s="87"/>
      <c r="UDH18" s="87"/>
      <c r="UDI18" s="87"/>
      <c r="UDJ18" s="87"/>
      <c r="UDK18" s="87"/>
      <c r="UDL18" s="87"/>
      <c r="UDM18" s="87"/>
      <c r="UDN18" s="87"/>
      <c r="UDO18" s="87"/>
      <c r="UDP18" s="87"/>
      <c r="UDQ18" s="87"/>
      <c r="UDR18" s="87"/>
      <c r="UDS18" s="87"/>
      <c r="UDT18" s="87"/>
      <c r="UDU18" s="87"/>
      <c r="UDV18" s="87"/>
      <c r="UDW18" s="87"/>
      <c r="UDX18" s="87"/>
      <c r="UDY18" s="87"/>
      <c r="UDZ18" s="87"/>
      <c r="UEA18" s="87"/>
      <c r="UEB18" s="87"/>
      <c r="UEC18" s="87"/>
      <c r="UED18" s="87"/>
      <c r="UEE18" s="87"/>
      <c r="UEF18" s="87"/>
      <c r="UEG18" s="87"/>
      <c r="UEH18" s="87"/>
      <c r="UEI18" s="87"/>
      <c r="UEJ18" s="87"/>
      <c r="UEK18" s="87"/>
      <c r="UEL18" s="87"/>
      <c r="UEM18" s="87"/>
      <c r="UEN18" s="87"/>
      <c r="UEO18" s="87"/>
      <c r="UEP18" s="87"/>
      <c r="UEQ18" s="87"/>
      <c r="UER18" s="87"/>
      <c r="UES18" s="87"/>
      <c r="UET18" s="87"/>
      <c r="UEU18" s="87"/>
      <c r="UEV18" s="87"/>
      <c r="UEW18" s="87"/>
      <c r="UEX18" s="87"/>
      <c r="UEY18" s="87"/>
      <c r="UEZ18" s="87"/>
      <c r="UFA18" s="87"/>
      <c r="UFB18" s="87"/>
      <c r="UFC18" s="87"/>
      <c r="UFD18" s="87"/>
      <c r="UFE18" s="87"/>
      <c r="UFF18" s="87"/>
      <c r="UFG18" s="87"/>
      <c r="UFH18" s="87"/>
      <c r="UFI18" s="87"/>
      <c r="UFJ18" s="87"/>
      <c r="UFK18" s="87"/>
      <c r="UFL18" s="87"/>
      <c r="UFM18" s="87"/>
      <c r="UFN18" s="87"/>
      <c r="UFO18" s="87"/>
      <c r="UFP18" s="87"/>
      <c r="UFQ18" s="87"/>
      <c r="UFR18" s="87"/>
      <c r="UFS18" s="87"/>
      <c r="UFT18" s="87"/>
      <c r="UFU18" s="87"/>
      <c r="UFV18" s="87"/>
      <c r="UFW18" s="87"/>
      <c r="UFX18" s="87"/>
      <c r="UFY18" s="87"/>
      <c r="UFZ18" s="87"/>
      <c r="UGA18" s="87"/>
      <c r="UGB18" s="87"/>
      <c r="UGC18" s="87"/>
      <c r="UGD18" s="87"/>
      <c r="UGE18" s="87"/>
      <c r="UGF18" s="87"/>
      <c r="UGG18" s="87"/>
      <c r="UGH18" s="87"/>
      <c r="UGI18" s="87"/>
      <c r="UGJ18" s="87"/>
      <c r="UGK18" s="87"/>
      <c r="UGL18" s="87"/>
      <c r="UGM18" s="87"/>
      <c r="UGN18" s="87"/>
      <c r="UGO18" s="87"/>
      <c r="UGP18" s="87"/>
      <c r="UGQ18" s="87"/>
      <c r="UGR18" s="87"/>
      <c r="UGS18" s="87"/>
      <c r="UGT18" s="87"/>
      <c r="UGU18" s="87"/>
      <c r="UGV18" s="87"/>
      <c r="UGW18" s="87"/>
      <c r="UGX18" s="87"/>
      <c r="UGY18" s="87"/>
      <c r="UGZ18" s="87"/>
      <c r="UHA18" s="87"/>
      <c r="UHB18" s="87"/>
      <c r="UHC18" s="87"/>
      <c r="UHD18" s="87"/>
      <c r="UHE18" s="87"/>
      <c r="UHF18" s="87"/>
      <c r="UHG18" s="87"/>
      <c r="UHH18" s="87"/>
      <c r="UHI18" s="87"/>
      <c r="UHJ18" s="87"/>
      <c r="UHK18" s="87"/>
      <c r="UHL18" s="87"/>
      <c r="UHM18" s="87"/>
      <c r="UHN18" s="87"/>
      <c r="UHO18" s="87"/>
      <c r="UHP18" s="87"/>
      <c r="UHQ18" s="87"/>
      <c r="UHR18" s="87"/>
      <c r="UHS18" s="87"/>
      <c r="UHT18" s="87"/>
      <c r="UHU18" s="87"/>
      <c r="UHV18" s="87"/>
      <c r="UHW18" s="87"/>
      <c r="UHX18" s="87"/>
      <c r="UHY18" s="87"/>
      <c r="UHZ18" s="87"/>
      <c r="UIA18" s="87"/>
      <c r="UIB18" s="87"/>
      <c r="UIC18" s="87"/>
      <c r="UID18" s="87"/>
      <c r="UIE18" s="87"/>
      <c r="UIF18" s="87"/>
      <c r="UIG18" s="87"/>
      <c r="UIH18" s="87"/>
      <c r="UII18" s="87"/>
      <c r="UIJ18" s="87"/>
      <c r="UIK18" s="87"/>
      <c r="UIL18" s="87"/>
      <c r="UIM18" s="87"/>
      <c r="UIN18" s="87"/>
      <c r="UIO18" s="87"/>
      <c r="UIP18" s="87"/>
      <c r="UIQ18" s="87"/>
      <c r="UIR18" s="87"/>
      <c r="UIS18" s="87"/>
      <c r="UIT18" s="87"/>
      <c r="UIU18" s="87"/>
      <c r="UIV18" s="87"/>
      <c r="UIW18" s="87"/>
      <c r="UIX18" s="87"/>
      <c r="UIY18" s="87"/>
      <c r="UIZ18" s="87"/>
      <c r="UJA18" s="87"/>
      <c r="UJB18" s="87"/>
      <c r="UJC18" s="87"/>
      <c r="UJD18" s="87"/>
      <c r="UJE18" s="87"/>
      <c r="UJF18" s="87"/>
      <c r="UJG18" s="87"/>
      <c r="UJH18" s="87"/>
      <c r="UJI18" s="87"/>
      <c r="UJJ18" s="87"/>
      <c r="UJK18" s="87"/>
      <c r="UJL18" s="87"/>
      <c r="UJM18" s="87"/>
      <c r="UJN18" s="87"/>
      <c r="UJO18" s="87"/>
      <c r="UJP18" s="87"/>
      <c r="UJQ18" s="87"/>
      <c r="UJR18" s="87"/>
      <c r="UJS18" s="87"/>
      <c r="UJT18" s="87"/>
      <c r="UJU18" s="87"/>
      <c r="UJV18" s="87"/>
      <c r="UJW18" s="87"/>
      <c r="UJX18" s="87"/>
      <c r="UJY18" s="87"/>
      <c r="UJZ18" s="87"/>
      <c r="UKA18" s="87"/>
      <c r="UKB18" s="87"/>
      <c r="UKC18" s="87"/>
      <c r="UKD18" s="87"/>
      <c r="UKE18" s="87"/>
      <c r="UKF18" s="87"/>
      <c r="UKG18" s="87"/>
      <c r="UKH18" s="87"/>
      <c r="UKI18" s="87"/>
      <c r="UKJ18" s="87"/>
      <c r="UKK18" s="87"/>
      <c r="UKL18" s="87"/>
      <c r="UKM18" s="87"/>
      <c r="UKN18" s="87"/>
      <c r="UKO18" s="87"/>
      <c r="UKP18" s="87"/>
      <c r="UKQ18" s="87"/>
      <c r="UKR18" s="87"/>
      <c r="UKS18" s="87"/>
      <c r="UKT18" s="87"/>
      <c r="UKU18" s="87"/>
      <c r="UKV18" s="87"/>
      <c r="UKW18" s="87"/>
      <c r="UKX18" s="87"/>
      <c r="UKY18" s="87"/>
      <c r="UKZ18" s="87"/>
      <c r="ULA18" s="87"/>
      <c r="ULB18" s="87"/>
      <c r="ULC18" s="87"/>
      <c r="ULD18" s="87"/>
      <c r="ULE18" s="87"/>
      <c r="ULF18" s="87"/>
      <c r="ULG18" s="87"/>
      <c r="ULH18" s="87"/>
      <c r="ULI18" s="87"/>
      <c r="ULJ18" s="87"/>
      <c r="ULK18" s="87"/>
      <c r="ULL18" s="87"/>
      <c r="ULM18" s="87"/>
      <c r="ULN18" s="87"/>
      <c r="ULO18" s="87"/>
      <c r="ULP18" s="87"/>
      <c r="ULQ18" s="87"/>
      <c r="ULR18" s="87"/>
      <c r="ULS18" s="87"/>
      <c r="ULT18" s="87"/>
      <c r="ULU18" s="87"/>
      <c r="ULV18" s="87"/>
      <c r="ULW18" s="87"/>
      <c r="ULX18" s="87"/>
      <c r="ULY18" s="87"/>
      <c r="ULZ18" s="87"/>
      <c r="UMA18" s="87"/>
      <c r="UMB18" s="87"/>
      <c r="UMC18" s="87"/>
      <c r="UMD18" s="87"/>
      <c r="UME18" s="87"/>
      <c r="UMF18" s="87"/>
      <c r="UMG18" s="87"/>
      <c r="UMH18" s="87"/>
      <c r="UMI18" s="87"/>
      <c r="UMJ18" s="87"/>
      <c r="UMK18" s="87"/>
      <c r="UML18" s="87"/>
      <c r="UMM18" s="87"/>
      <c r="UMN18" s="87"/>
      <c r="UMO18" s="87"/>
      <c r="UMP18" s="87"/>
      <c r="UMQ18" s="87"/>
      <c r="UMR18" s="87"/>
      <c r="UMS18" s="87"/>
      <c r="UMT18" s="87"/>
      <c r="UMU18" s="87"/>
      <c r="UMV18" s="87"/>
      <c r="UMW18" s="87"/>
      <c r="UMX18" s="87"/>
      <c r="UMY18" s="87"/>
      <c r="UMZ18" s="87"/>
      <c r="UNA18" s="87"/>
      <c r="UNB18" s="87"/>
      <c r="UNC18" s="87"/>
      <c r="UND18" s="87"/>
      <c r="UNE18" s="87"/>
      <c r="UNF18" s="87"/>
      <c r="UNG18" s="87"/>
      <c r="UNH18" s="87"/>
      <c r="UNI18" s="87"/>
      <c r="UNJ18" s="87"/>
      <c r="UNK18" s="87"/>
      <c r="UNL18" s="87"/>
      <c r="UNM18" s="87"/>
      <c r="UNN18" s="87"/>
      <c r="UNO18" s="87"/>
      <c r="UNP18" s="87"/>
      <c r="UNQ18" s="87"/>
      <c r="UNR18" s="87"/>
      <c r="UNS18" s="87"/>
      <c r="UNT18" s="87"/>
      <c r="UNU18" s="87"/>
      <c r="UNV18" s="87"/>
      <c r="UNW18" s="87"/>
      <c r="UNX18" s="87"/>
      <c r="UNY18" s="87"/>
      <c r="UNZ18" s="87"/>
      <c r="UOA18" s="87"/>
      <c r="UOB18" s="87"/>
      <c r="UOC18" s="87"/>
      <c r="UOD18" s="87"/>
      <c r="UOE18" s="87"/>
      <c r="UOF18" s="87"/>
      <c r="UOG18" s="87"/>
      <c r="UOH18" s="87"/>
      <c r="UOI18" s="87"/>
      <c r="UOJ18" s="87"/>
      <c r="UOK18" s="87"/>
      <c r="UOL18" s="87"/>
      <c r="UOM18" s="87"/>
      <c r="UON18" s="87"/>
      <c r="UOO18" s="87"/>
      <c r="UOP18" s="87"/>
      <c r="UOQ18" s="87"/>
      <c r="UOR18" s="87"/>
      <c r="UOS18" s="87"/>
      <c r="UOT18" s="87"/>
      <c r="UOU18" s="87"/>
      <c r="UOV18" s="87"/>
      <c r="UOW18" s="87"/>
      <c r="UOX18" s="87"/>
      <c r="UOY18" s="87"/>
      <c r="UOZ18" s="87"/>
      <c r="UPA18" s="87"/>
      <c r="UPB18" s="87"/>
      <c r="UPC18" s="87"/>
      <c r="UPD18" s="87"/>
      <c r="UPE18" s="87"/>
      <c r="UPF18" s="87"/>
      <c r="UPG18" s="87"/>
      <c r="UPH18" s="87"/>
      <c r="UPI18" s="87"/>
      <c r="UPJ18" s="87"/>
      <c r="UPK18" s="87"/>
      <c r="UPL18" s="87"/>
      <c r="UPM18" s="87"/>
      <c r="UPN18" s="87"/>
      <c r="UPO18" s="87"/>
      <c r="UPP18" s="87"/>
      <c r="UPQ18" s="87"/>
      <c r="UPR18" s="87"/>
      <c r="UPS18" s="87"/>
      <c r="UPT18" s="87"/>
      <c r="UPU18" s="87"/>
      <c r="UPV18" s="87"/>
      <c r="UPW18" s="87"/>
      <c r="UPX18" s="87"/>
      <c r="UPY18" s="87"/>
      <c r="UPZ18" s="87"/>
      <c r="UQA18" s="87"/>
      <c r="UQB18" s="87"/>
      <c r="UQC18" s="87"/>
      <c r="UQD18" s="87"/>
      <c r="UQE18" s="87"/>
      <c r="UQF18" s="87"/>
      <c r="UQG18" s="87"/>
      <c r="UQH18" s="87"/>
      <c r="UQI18" s="87"/>
      <c r="UQJ18" s="87"/>
      <c r="UQK18" s="87"/>
      <c r="UQL18" s="87"/>
      <c r="UQM18" s="87"/>
      <c r="UQN18" s="87"/>
      <c r="UQO18" s="87"/>
      <c r="UQP18" s="87"/>
      <c r="UQQ18" s="87"/>
      <c r="UQR18" s="87"/>
      <c r="UQS18" s="87"/>
      <c r="UQT18" s="87"/>
      <c r="UQU18" s="87"/>
      <c r="UQV18" s="87"/>
      <c r="UQW18" s="87"/>
      <c r="UQX18" s="87"/>
      <c r="UQY18" s="87"/>
      <c r="UQZ18" s="87"/>
      <c r="URA18" s="87"/>
      <c r="URB18" s="87"/>
      <c r="URC18" s="87"/>
      <c r="URD18" s="87"/>
      <c r="URE18" s="87"/>
      <c r="URF18" s="87"/>
      <c r="URG18" s="87"/>
      <c r="URH18" s="87"/>
      <c r="URI18" s="87"/>
      <c r="URJ18" s="87"/>
      <c r="URK18" s="87"/>
      <c r="URL18" s="87"/>
      <c r="URM18" s="87"/>
      <c r="URN18" s="87"/>
      <c r="URO18" s="87"/>
      <c r="URP18" s="87"/>
      <c r="URQ18" s="87"/>
      <c r="URR18" s="87"/>
      <c r="URS18" s="87"/>
      <c r="URT18" s="87"/>
      <c r="URU18" s="87"/>
      <c r="URV18" s="87"/>
      <c r="URW18" s="87"/>
      <c r="URX18" s="87"/>
      <c r="URY18" s="87"/>
      <c r="URZ18" s="87"/>
      <c r="USA18" s="87"/>
      <c r="USB18" s="87"/>
      <c r="USC18" s="87"/>
      <c r="USD18" s="87"/>
      <c r="USE18" s="87"/>
      <c r="USF18" s="87"/>
      <c r="USG18" s="87"/>
      <c r="USH18" s="87"/>
      <c r="USI18" s="87"/>
      <c r="USJ18" s="87"/>
      <c r="USK18" s="87"/>
      <c r="USL18" s="87"/>
      <c r="USM18" s="87"/>
      <c r="USN18" s="87"/>
      <c r="USO18" s="87"/>
      <c r="USP18" s="87"/>
      <c r="USQ18" s="87"/>
      <c r="USR18" s="87"/>
      <c r="USS18" s="87"/>
      <c r="UST18" s="87"/>
      <c r="USU18" s="87"/>
      <c r="USV18" s="87"/>
      <c r="USW18" s="87"/>
      <c r="USX18" s="87"/>
      <c r="USY18" s="87"/>
      <c r="USZ18" s="87"/>
      <c r="UTA18" s="87"/>
      <c r="UTB18" s="87"/>
      <c r="UTC18" s="87"/>
      <c r="UTD18" s="87"/>
      <c r="UTE18" s="87"/>
      <c r="UTF18" s="87"/>
      <c r="UTG18" s="87"/>
      <c r="UTH18" s="87"/>
      <c r="UTI18" s="87"/>
      <c r="UTJ18" s="87"/>
      <c r="UTK18" s="87"/>
      <c r="UTL18" s="87"/>
      <c r="UTM18" s="87"/>
      <c r="UTN18" s="87"/>
      <c r="UTO18" s="87"/>
      <c r="UTP18" s="87"/>
      <c r="UTQ18" s="87"/>
      <c r="UTR18" s="87"/>
      <c r="UTS18" s="87"/>
      <c r="UTT18" s="87"/>
      <c r="UTU18" s="87"/>
      <c r="UTV18" s="87"/>
      <c r="UTW18" s="87"/>
      <c r="UTX18" s="87"/>
      <c r="UTY18" s="87"/>
      <c r="UTZ18" s="87"/>
      <c r="UUA18" s="87"/>
      <c r="UUB18" s="87"/>
      <c r="UUC18" s="87"/>
      <c r="UUD18" s="87"/>
      <c r="UUE18" s="87"/>
      <c r="UUF18" s="87"/>
      <c r="UUG18" s="87"/>
      <c r="UUH18" s="87"/>
      <c r="UUI18" s="87"/>
      <c r="UUJ18" s="87"/>
      <c r="UUK18" s="87"/>
      <c r="UUL18" s="87"/>
      <c r="UUM18" s="87"/>
      <c r="UUN18" s="87"/>
      <c r="UUO18" s="87"/>
      <c r="UUP18" s="87"/>
      <c r="UUQ18" s="87"/>
      <c r="UUR18" s="87"/>
      <c r="UUS18" s="87"/>
      <c r="UUT18" s="87"/>
      <c r="UUU18" s="87"/>
      <c r="UUV18" s="87"/>
      <c r="UUW18" s="87"/>
      <c r="UUX18" s="87"/>
      <c r="UUY18" s="87"/>
      <c r="UUZ18" s="87"/>
      <c r="UVA18" s="87"/>
      <c r="UVB18" s="87"/>
      <c r="UVC18" s="87"/>
      <c r="UVD18" s="87"/>
      <c r="UVE18" s="87"/>
      <c r="UVF18" s="87"/>
      <c r="UVG18" s="87"/>
      <c r="UVH18" s="87"/>
      <c r="UVI18" s="87"/>
      <c r="UVJ18" s="87"/>
      <c r="UVK18" s="87"/>
      <c r="UVL18" s="87"/>
      <c r="UVM18" s="87"/>
      <c r="UVN18" s="87"/>
      <c r="UVO18" s="87"/>
      <c r="UVP18" s="87"/>
      <c r="UVQ18" s="87"/>
      <c r="UVR18" s="87"/>
      <c r="UVS18" s="87"/>
      <c r="UVT18" s="87"/>
      <c r="UVU18" s="87"/>
      <c r="UVV18" s="87"/>
      <c r="UVW18" s="87"/>
      <c r="UVX18" s="87"/>
      <c r="UVY18" s="87"/>
      <c r="UVZ18" s="87"/>
      <c r="UWA18" s="87"/>
      <c r="UWB18" s="87"/>
      <c r="UWC18" s="87"/>
      <c r="UWD18" s="87"/>
      <c r="UWE18" s="87"/>
      <c r="UWF18" s="87"/>
      <c r="UWG18" s="87"/>
      <c r="UWH18" s="87"/>
      <c r="UWI18" s="87"/>
      <c r="UWJ18" s="87"/>
      <c r="UWK18" s="87"/>
      <c r="UWL18" s="87"/>
      <c r="UWM18" s="87"/>
      <c r="UWN18" s="87"/>
      <c r="UWO18" s="87"/>
      <c r="UWP18" s="87"/>
      <c r="UWQ18" s="87"/>
      <c r="UWR18" s="87"/>
      <c r="UWS18" s="87"/>
      <c r="UWT18" s="87"/>
      <c r="UWU18" s="87"/>
      <c r="UWV18" s="87"/>
      <c r="UWW18" s="87"/>
      <c r="UWX18" s="87"/>
      <c r="UWY18" s="87"/>
      <c r="UWZ18" s="87"/>
      <c r="UXA18" s="87"/>
      <c r="UXB18" s="87"/>
      <c r="UXC18" s="87"/>
      <c r="UXD18" s="87"/>
      <c r="UXE18" s="87"/>
      <c r="UXF18" s="87"/>
      <c r="UXG18" s="87"/>
      <c r="UXH18" s="87"/>
      <c r="UXI18" s="87"/>
      <c r="UXJ18" s="87"/>
      <c r="UXK18" s="87"/>
      <c r="UXL18" s="87"/>
      <c r="UXM18" s="87"/>
      <c r="UXN18" s="87"/>
      <c r="UXO18" s="87"/>
      <c r="UXP18" s="87"/>
      <c r="UXQ18" s="87"/>
      <c r="UXR18" s="87"/>
      <c r="UXS18" s="87"/>
      <c r="UXT18" s="87"/>
      <c r="UXU18" s="87"/>
      <c r="UXV18" s="87"/>
      <c r="UXW18" s="87"/>
      <c r="UXX18" s="87"/>
      <c r="UXY18" s="87"/>
      <c r="UXZ18" s="87"/>
      <c r="UYA18" s="87"/>
      <c r="UYB18" s="87"/>
      <c r="UYC18" s="87"/>
      <c r="UYD18" s="87"/>
      <c r="UYE18" s="87"/>
      <c r="UYF18" s="87"/>
      <c r="UYG18" s="87"/>
      <c r="UYH18" s="87"/>
      <c r="UYI18" s="87"/>
      <c r="UYJ18" s="87"/>
      <c r="UYK18" s="87"/>
      <c r="UYL18" s="87"/>
      <c r="UYM18" s="87"/>
      <c r="UYN18" s="87"/>
      <c r="UYO18" s="87"/>
      <c r="UYP18" s="87"/>
      <c r="UYQ18" s="87"/>
      <c r="UYR18" s="87"/>
      <c r="UYS18" s="87"/>
      <c r="UYT18" s="87"/>
      <c r="UYU18" s="87"/>
      <c r="UYV18" s="87"/>
      <c r="UYW18" s="87"/>
      <c r="UYX18" s="87"/>
      <c r="UYY18" s="87"/>
      <c r="UYZ18" s="87"/>
      <c r="UZA18" s="87"/>
      <c r="UZB18" s="87"/>
      <c r="UZC18" s="87"/>
      <c r="UZD18" s="87"/>
      <c r="UZE18" s="87"/>
      <c r="UZF18" s="87"/>
      <c r="UZG18" s="87"/>
      <c r="UZH18" s="87"/>
      <c r="UZI18" s="87"/>
      <c r="UZJ18" s="87"/>
      <c r="UZK18" s="87"/>
      <c r="UZL18" s="87"/>
      <c r="UZM18" s="87"/>
      <c r="UZN18" s="87"/>
      <c r="UZO18" s="87"/>
      <c r="UZP18" s="87"/>
      <c r="UZQ18" s="87"/>
      <c r="UZR18" s="87"/>
      <c r="UZS18" s="87"/>
      <c r="UZT18" s="87"/>
      <c r="UZU18" s="87"/>
      <c r="UZV18" s="87"/>
      <c r="UZW18" s="87"/>
      <c r="UZX18" s="87"/>
      <c r="UZY18" s="87"/>
      <c r="UZZ18" s="87"/>
      <c r="VAA18" s="87"/>
      <c r="VAB18" s="87"/>
      <c r="VAC18" s="87"/>
      <c r="VAD18" s="87"/>
      <c r="VAE18" s="87"/>
      <c r="VAF18" s="87"/>
      <c r="VAG18" s="87"/>
      <c r="VAH18" s="87"/>
      <c r="VAI18" s="87"/>
      <c r="VAJ18" s="87"/>
      <c r="VAK18" s="87"/>
      <c r="VAL18" s="87"/>
      <c r="VAM18" s="87"/>
      <c r="VAN18" s="87"/>
      <c r="VAO18" s="87"/>
      <c r="VAP18" s="87"/>
      <c r="VAQ18" s="87"/>
      <c r="VAR18" s="87"/>
      <c r="VAS18" s="87"/>
      <c r="VAT18" s="87"/>
      <c r="VAU18" s="87"/>
      <c r="VAV18" s="87"/>
      <c r="VAW18" s="87"/>
      <c r="VAX18" s="87"/>
      <c r="VAY18" s="87"/>
      <c r="VAZ18" s="87"/>
      <c r="VBA18" s="87"/>
      <c r="VBB18" s="87"/>
      <c r="VBC18" s="87"/>
      <c r="VBD18" s="87"/>
      <c r="VBE18" s="87"/>
      <c r="VBF18" s="87"/>
      <c r="VBG18" s="87"/>
      <c r="VBH18" s="87"/>
      <c r="VBI18" s="87"/>
      <c r="VBJ18" s="87"/>
      <c r="VBK18" s="87"/>
      <c r="VBL18" s="87"/>
      <c r="VBM18" s="87"/>
      <c r="VBN18" s="87"/>
      <c r="VBO18" s="87"/>
      <c r="VBP18" s="87"/>
      <c r="VBQ18" s="87"/>
      <c r="VBR18" s="87"/>
      <c r="VBS18" s="87"/>
      <c r="VBT18" s="87"/>
      <c r="VBU18" s="87"/>
      <c r="VBV18" s="87"/>
      <c r="VBW18" s="87"/>
      <c r="VBX18" s="87"/>
      <c r="VBY18" s="87"/>
      <c r="VBZ18" s="87"/>
      <c r="VCA18" s="87"/>
      <c r="VCB18" s="87"/>
      <c r="VCC18" s="87"/>
      <c r="VCD18" s="87"/>
      <c r="VCE18" s="87"/>
      <c r="VCF18" s="87"/>
      <c r="VCG18" s="87"/>
      <c r="VCH18" s="87"/>
      <c r="VCI18" s="87"/>
      <c r="VCJ18" s="87"/>
      <c r="VCK18" s="87"/>
      <c r="VCL18" s="87"/>
      <c r="VCM18" s="87"/>
      <c r="VCN18" s="87"/>
      <c r="VCO18" s="87"/>
      <c r="VCP18" s="87"/>
      <c r="VCQ18" s="87"/>
      <c r="VCR18" s="87"/>
      <c r="VCS18" s="87"/>
      <c r="VCT18" s="87"/>
      <c r="VCU18" s="87"/>
      <c r="VCV18" s="87"/>
      <c r="VCW18" s="87"/>
      <c r="VCX18" s="87"/>
      <c r="VCY18" s="87"/>
      <c r="VCZ18" s="87"/>
      <c r="VDA18" s="87"/>
      <c r="VDB18" s="87"/>
      <c r="VDC18" s="87"/>
      <c r="VDD18" s="87"/>
      <c r="VDE18" s="87"/>
      <c r="VDF18" s="87"/>
      <c r="VDG18" s="87"/>
      <c r="VDH18" s="87"/>
      <c r="VDI18" s="87"/>
      <c r="VDJ18" s="87"/>
      <c r="VDK18" s="87"/>
      <c r="VDL18" s="87"/>
      <c r="VDM18" s="87"/>
      <c r="VDN18" s="87"/>
      <c r="VDO18" s="87"/>
      <c r="VDP18" s="87"/>
      <c r="VDQ18" s="87"/>
      <c r="VDR18" s="87"/>
      <c r="VDS18" s="87"/>
      <c r="VDT18" s="87"/>
      <c r="VDU18" s="87"/>
      <c r="VDV18" s="87"/>
      <c r="VDW18" s="87"/>
      <c r="VDX18" s="87"/>
      <c r="VDY18" s="87"/>
      <c r="VDZ18" s="87"/>
      <c r="VEA18" s="87"/>
      <c r="VEB18" s="87"/>
      <c r="VEC18" s="87"/>
      <c r="VED18" s="87"/>
      <c r="VEE18" s="87"/>
      <c r="VEF18" s="87"/>
      <c r="VEG18" s="87"/>
      <c r="VEH18" s="87"/>
      <c r="VEI18" s="87"/>
      <c r="VEJ18" s="87"/>
      <c r="VEK18" s="87"/>
      <c r="VEL18" s="87"/>
      <c r="VEM18" s="87"/>
      <c r="VEN18" s="87"/>
      <c r="VEO18" s="87"/>
      <c r="VEP18" s="87"/>
      <c r="VEQ18" s="87"/>
      <c r="VER18" s="87"/>
      <c r="VES18" s="87"/>
      <c r="VET18" s="87"/>
      <c r="VEU18" s="87"/>
      <c r="VEV18" s="87"/>
      <c r="VEW18" s="87"/>
      <c r="VEX18" s="87"/>
      <c r="VEY18" s="87"/>
      <c r="VEZ18" s="87"/>
      <c r="VFA18" s="87"/>
      <c r="VFB18" s="87"/>
      <c r="VFC18" s="87"/>
      <c r="VFD18" s="87"/>
      <c r="VFE18" s="87"/>
      <c r="VFF18" s="87"/>
      <c r="VFG18" s="87"/>
      <c r="VFH18" s="87"/>
      <c r="VFI18" s="87"/>
      <c r="VFJ18" s="87"/>
      <c r="VFK18" s="87"/>
      <c r="VFL18" s="87"/>
      <c r="VFM18" s="87"/>
      <c r="VFN18" s="87"/>
      <c r="VFO18" s="87"/>
      <c r="VFP18" s="87"/>
      <c r="VFQ18" s="87"/>
      <c r="VFR18" s="87"/>
      <c r="VFS18" s="87"/>
      <c r="VFT18" s="87"/>
      <c r="VFU18" s="87"/>
      <c r="VFV18" s="87"/>
      <c r="VFW18" s="87"/>
      <c r="VFX18" s="87"/>
      <c r="VFY18" s="87"/>
      <c r="VFZ18" s="87"/>
      <c r="VGA18" s="87"/>
      <c r="VGB18" s="87"/>
      <c r="VGC18" s="87"/>
      <c r="VGD18" s="87"/>
      <c r="VGE18" s="87"/>
      <c r="VGF18" s="87"/>
      <c r="VGG18" s="87"/>
      <c r="VGH18" s="87"/>
      <c r="VGI18" s="87"/>
      <c r="VGJ18" s="87"/>
      <c r="VGK18" s="87"/>
      <c r="VGL18" s="87"/>
      <c r="VGM18" s="87"/>
      <c r="VGN18" s="87"/>
      <c r="VGO18" s="87"/>
      <c r="VGP18" s="87"/>
      <c r="VGQ18" s="87"/>
      <c r="VGR18" s="87"/>
      <c r="VGS18" s="87"/>
      <c r="VGT18" s="87"/>
      <c r="VGU18" s="87"/>
      <c r="VGV18" s="87"/>
      <c r="VGW18" s="87"/>
      <c r="VGX18" s="87"/>
      <c r="VGY18" s="87"/>
      <c r="VGZ18" s="87"/>
      <c r="VHA18" s="87"/>
      <c r="VHB18" s="87"/>
      <c r="VHC18" s="87"/>
      <c r="VHD18" s="87"/>
      <c r="VHE18" s="87"/>
      <c r="VHF18" s="87"/>
      <c r="VHG18" s="87"/>
      <c r="VHH18" s="87"/>
      <c r="VHI18" s="87"/>
      <c r="VHJ18" s="87"/>
      <c r="VHK18" s="87"/>
      <c r="VHL18" s="87"/>
      <c r="VHM18" s="87"/>
      <c r="VHN18" s="87"/>
      <c r="VHO18" s="87"/>
      <c r="VHP18" s="87"/>
      <c r="VHQ18" s="87"/>
      <c r="VHR18" s="87"/>
      <c r="VHS18" s="87"/>
      <c r="VHT18" s="87"/>
      <c r="VHU18" s="87"/>
      <c r="VHV18" s="87"/>
      <c r="VHW18" s="87"/>
      <c r="VHX18" s="87"/>
      <c r="VHY18" s="87"/>
      <c r="VHZ18" s="87"/>
      <c r="VIA18" s="87"/>
      <c r="VIB18" s="87"/>
      <c r="VIC18" s="87"/>
      <c r="VID18" s="87"/>
      <c r="VIE18" s="87"/>
      <c r="VIF18" s="87"/>
      <c r="VIG18" s="87"/>
      <c r="VIH18" s="87"/>
      <c r="VII18" s="87"/>
      <c r="VIJ18" s="87"/>
      <c r="VIK18" s="87"/>
      <c r="VIL18" s="87"/>
      <c r="VIM18" s="87"/>
      <c r="VIN18" s="87"/>
      <c r="VIO18" s="87"/>
      <c r="VIP18" s="87"/>
      <c r="VIQ18" s="87"/>
      <c r="VIR18" s="87"/>
      <c r="VIS18" s="87"/>
      <c r="VIT18" s="87"/>
      <c r="VIU18" s="87"/>
      <c r="VIV18" s="87"/>
      <c r="VIW18" s="87"/>
      <c r="VIX18" s="87"/>
      <c r="VIY18" s="87"/>
      <c r="VIZ18" s="87"/>
      <c r="VJA18" s="87"/>
      <c r="VJB18" s="87"/>
      <c r="VJC18" s="87"/>
      <c r="VJD18" s="87"/>
      <c r="VJE18" s="87"/>
      <c r="VJF18" s="87"/>
      <c r="VJG18" s="87"/>
      <c r="VJH18" s="87"/>
      <c r="VJI18" s="87"/>
      <c r="VJJ18" s="87"/>
      <c r="VJK18" s="87"/>
      <c r="VJL18" s="87"/>
      <c r="VJM18" s="87"/>
      <c r="VJN18" s="87"/>
      <c r="VJO18" s="87"/>
      <c r="VJP18" s="87"/>
      <c r="VJQ18" s="87"/>
      <c r="VJR18" s="87"/>
      <c r="VJS18" s="87"/>
      <c r="VJT18" s="87"/>
      <c r="VJU18" s="87"/>
      <c r="VJV18" s="87"/>
      <c r="VJW18" s="87"/>
      <c r="VJX18" s="87"/>
      <c r="VJY18" s="87"/>
      <c r="VJZ18" s="87"/>
      <c r="VKA18" s="87"/>
      <c r="VKB18" s="87"/>
      <c r="VKC18" s="87"/>
      <c r="VKD18" s="87"/>
      <c r="VKE18" s="87"/>
      <c r="VKF18" s="87"/>
      <c r="VKG18" s="87"/>
      <c r="VKH18" s="87"/>
      <c r="VKI18" s="87"/>
      <c r="VKJ18" s="87"/>
      <c r="VKK18" s="87"/>
      <c r="VKL18" s="87"/>
      <c r="VKM18" s="87"/>
      <c r="VKN18" s="87"/>
      <c r="VKO18" s="87"/>
      <c r="VKP18" s="87"/>
      <c r="VKQ18" s="87"/>
      <c r="VKR18" s="87"/>
      <c r="VKS18" s="87"/>
      <c r="VKT18" s="87"/>
      <c r="VKU18" s="87"/>
      <c r="VKV18" s="87"/>
      <c r="VKW18" s="87"/>
      <c r="VKX18" s="87"/>
      <c r="VKY18" s="87"/>
      <c r="VKZ18" s="87"/>
      <c r="VLA18" s="87"/>
      <c r="VLB18" s="87"/>
      <c r="VLC18" s="87"/>
      <c r="VLD18" s="87"/>
      <c r="VLE18" s="87"/>
      <c r="VLF18" s="87"/>
      <c r="VLG18" s="87"/>
      <c r="VLH18" s="87"/>
      <c r="VLI18" s="87"/>
      <c r="VLJ18" s="87"/>
      <c r="VLK18" s="87"/>
      <c r="VLL18" s="87"/>
      <c r="VLM18" s="87"/>
      <c r="VLN18" s="87"/>
      <c r="VLO18" s="87"/>
      <c r="VLP18" s="87"/>
      <c r="VLQ18" s="87"/>
      <c r="VLR18" s="87"/>
      <c r="VLS18" s="87"/>
      <c r="VLT18" s="87"/>
      <c r="VLU18" s="87"/>
      <c r="VLV18" s="87"/>
      <c r="VLW18" s="87"/>
      <c r="VLX18" s="87"/>
      <c r="VLY18" s="87"/>
      <c r="VLZ18" s="87"/>
      <c r="VMA18" s="87"/>
      <c r="VMB18" s="87"/>
      <c r="VMC18" s="87"/>
      <c r="VMD18" s="87"/>
      <c r="VME18" s="87"/>
      <c r="VMF18" s="87"/>
      <c r="VMG18" s="87"/>
      <c r="VMH18" s="87"/>
      <c r="VMI18" s="87"/>
      <c r="VMJ18" s="87"/>
      <c r="VMK18" s="87"/>
      <c r="VML18" s="87"/>
      <c r="VMM18" s="87"/>
      <c r="VMN18" s="87"/>
      <c r="VMO18" s="87"/>
      <c r="VMP18" s="87"/>
      <c r="VMQ18" s="87"/>
      <c r="VMR18" s="87"/>
      <c r="VMS18" s="87"/>
      <c r="VMT18" s="87"/>
      <c r="VMU18" s="87"/>
      <c r="VMV18" s="87"/>
      <c r="VMW18" s="87"/>
      <c r="VMX18" s="87"/>
      <c r="VMY18" s="87"/>
      <c r="VMZ18" s="87"/>
      <c r="VNA18" s="87"/>
      <c r="VNB18" s="87"/>
      <c r="VNC18" s="87"/>
      <c r="VND18" s="87"/>
      <c r="VNE18" s="87"/>
      <c r="VNF18" s="87"/>
      <c r="VNG18" s="87"/>
      <c r="VNH18" s="87"/>
      <c r="VNI18" s="87"/>
      <c r="VNJ18" s="87"/>
      <c r="VNK18" s="87"/>
      <c r="VNL18" s="87"/>
      <c r="VNM18" s="87"/>
      <c r="VNN18" s="87"/>
      <c r="VNO18" s="87"/>
      <c r="VNP18" s="87"/>
      <c r="VNQ18" s="87"/>
      <c r="VNR18" s="87"/>
      <c r="VNS18" s="87"/>
      <c r="VNT18" s="87"/>
      <c r="VNU18" s="87"/>
      <c r="VNV18" s="87"/>
      <c r="VNW18" s="87"/>
      <c r="VNX18" s="87"/>
      <c r="VNY18" s="87"/>
      <c r="VNZ18" s="87"/>
      <c r="VOA18" s="87"/>
      <c r="VOB18" s="87"/>
      <c r="VOC18" s="87"/>
      <c r="VOD18" s="87"/>
      <c r="VOE18" s="87"/>
      <c r="VOF18" s="87"/>
      <c r="VOG18" s="87"/>
      <c r="VOH18" s="87"/>
      <c r="VOI18" s="87"/>
      <c r="VOJ18" s="87"/>
      <c r="VOK18" s="87"/>
      <c r="VOL18" s="87"/>
      <c r="VOM18" s="87"/>
      <c r="VON18" s="87"/>
      <c r="VOO18" s="87"/>
      <c r="VOP18" s="87"/>
      <c r="VOQ18" s="87"/>
      <c r="VOR18" s="87"/>
      <c r="VOS18" s="87"/>
      <c r="VOT18" s="87"/>
      <c r="VOU18" s="87"/>
      <c r="VOV18" s="87"/>
      <c r="VOW18" s="87"/>
      <c r="VOX18" s="87"/>
      <c r="VOY18" s="87"/>
      <c r="VOZ18" s="87"/>
      <c r="VPA18" s="87"/>
      <c r="VPB18" s="87"/>
      <c r="VPC18" s="87"/>
      <c r="VPD18" s="87"/>
      <c r="VPE18" s="87"/>
      <c r="VPF18" s="87"/>
      <c r="VPG18" s="87"/>
      <c r="VPH18" s="87"/>
      <c r="VPI18" s="87"/>
      <c r="VPJ18" s="87"/>
      <c r="VPK18" s="87"/>
      <c r="VPL18" s="87"/>
      <c r="VPM18" s="87"/>
      <c r="VPN18" s="87"/>
      <c r="VPO18" s="87"/>
      <c r="VPP18" s="87"/>
      <c r="VPQ18" s="87"/>
      <c r="VPR18" s="87"/>
      <c r="VPS18" s="87"/>
      <c r="VPT18" s="87"/>
      <c r="VPU18" s="87"/>
      <c r="VPV18" s="87"/>
      <c r="VPW18" s="87"/>
      <c r="VPX18" s="87"/>
      <c r="VPY18" s="87"/>
      <c r="VPZ18" s="87"/>
      <c r="VQA18" s="87"/>
      <c r="VQB18" s="87"/>
      <c r="VQC18" s="87"/>
      <c r="VQD18" s="87"/>
      <c r="VQE18" s="87"/>
      <c r="VQF18" s="87"/>
      <c r="VQG18" s="87"/>
      <c r="VQH18" s="87"/>
      <c r="VQI18" s="87"/>
      <c r="VQJ18" s="87"/>
      <c r="VQK18" s="87"/>
      <c r="VQL18" s="87"/>
      <c r="VQM18" s="87"/>
      <c r="VQN18" s="87"/>
      <c r="VQO18" s="87"/>
      <c r="VQP18" s="87"/>
      <c r="VQQ18" s="87"/>
      <c r="VQR18" s="87"/>
      <c r="VQS18" s="87"/>
      <c r="VQT18" s="87"/>
      <c r="VQU18" s="87"/>
      <c r="VQV18" s="87"/>
      <c r="VQW18" s="87"/>
      <c r="VQX18" s="87"/>
      <c r="VQY18" s="87"/>
      <c r="VQZ18" s="87"/>
      <c r="VRA18" s="87"/>
      <c r="VRB18" s="87"/>
      <c r="VRC18" s="87"/>
      <c r="VRD18" s="87"/>
      <c r="VRE18" s="87"/>
      <c r="VRF18" s="87"/>
      <c r="VRG18" s="87"/>
      <c r="VRH18" s="87"/>
      <c r="VRI18" s="87"/>
      <c r="VRJ18" s="87"/>
      <c r="VRK18" s="87"/>
      <c r="VRL18" s="87"/>
      <c r="VRM18" s="87"/>
      <c r="VRN18" s="87"/>
      <c r="VRO18" s="87"/>
      <c r="VRP18" s="87"/>
      <c r="VRQ18" s="87"/>
      <c r="VRR18" s="87"/>
      <c r="VRS18" s="87"/>
      <c r="VRT18" s="87"/>
      <c r="VRU18" s="87"/>
      <c r="VRV18" s="87"/>
      <c r="VRW18" s="87"/>
      <c r="VRX18" s="87"/>
      <c r="VRY18" s="87"/>
      <c r="VRZ18" s="87"/>
      <c r="VSA18" s="87"/>
      <c r="VSB18" s="87"/>
      <c r="VSC18" s="87"/>
      <c r="VSD18" s="87"/>
      <c r="VSE18" s="87"/>
      <c r="VSF18" s="87"/>
      <c r="VSG18" s="87"/>
      <c r="VSH18" s="87"/>
      <c r="VSI18" s="87"/>
      <c r="VSJ18" s="87"/>
      <c r="VSK18" s="87"/>
      <c r="VSL18" s="87"/>
      <c r="VSM18" s="87"/>
      <c r="VSN18" s="87"/>
      <c r="VSO18" s="87"/>
      <c r="VSP18" s="87"/>
      <c r="VSQ18" s="87"/>
      <c r="VSR18" s="87"/>
      <c r="VSS18" s="87"/>
      <c r="VST18" s="87"/>
      <c r="VSU18" s="87"/>
      <c r="VSV18" s="87"/>
      <c r="VSW18" s="87"/>
      <c r="VSX18" s="87"/>
      <c r="VSY18" s="87"/>
      <c r="VSZ18" s="87"/>
      <c r="VTA18" s="87"/>
      <c r="VTB18" s="87"/>
      <c r="VTC18" s="87"/>
      <c r="VTD18" s="87"/>
      <c r="VTE18" s="87"/>
      <c r="VTF18" s="87"/>
      <c r="VTG18" s="87"/>
      <c r="VTH18" s="87"/>
      <c r="VTI18" s="87"/>
      <c r="VTJ18" s="87"/>
      <c r="VTK18" s="87"/>
      <c r="VTL18" s="87"/>
      <c r="VTM18" s="87"/>
      <c r="VTN18" s="87"/>
      <c r="VTO18" s="87"/>
      <c r="VTP18" s="87"/>
      <c r="VTQ18" s="87"/>
      <c r="VTR18" s="87"/>
      <c r="VTS18" s="87"/>
      <c r="VTT18" s="87"/>
      <c r="VTU18" s="87"/>
      <c r="VTV18" s="87"/>
      <c r="VTW18" s="87"/>
      <c r="VTX18" s="87"/>
      <c r="VTY18" s="87"/>
      <c r="VTZ18" s="87"/>
      <c r="VUA18" s="87"/>
      <c r="VUB18" s="87"/>
      <c r="VUC18" s="87"/>
      <c r="VUD18" s="87"/>
      <c r="VUE18" s="87"/>
      <c r="VUF18" s="87"/>
      <c r="VUG18" s="87"/>
      <c r="VUH18" s="87"/>
      <c r="VUI18" s="87"/>
      <c r="VUJ18" s="87"/>
      <c r="VUK18" s="87"/>
      <c r="VUL18" s="87"/>
      <c r="VUM18" s="87"/>
      <c r="VUN18" s="87"/>
      <c r="VUO18" s="87"/>
      <c r="VUP18" s="87"/>
      <c r="VUQ18" s="87"/>
      <c r="VUR18" s="87"/>
      <c r="VUS18" s="87"/>
      <c r="VUT18" s="87"/>
      <c r="VUU18" s="87"/>
      <c r="VUV18" s="87"/>
      <c r="VUW18" s="87"/>
      <c r="VUX18" s="87"/>
      <c r="VUY18" s="87"/>
      <c r="VUZ18" s="87"/>
      <c r="VVA18" s="87"/>
      <c r="VVB18" s="87"/>
      <c r="VVC18" s="87"/>
      <c r="VVD18" s="87"/>
      <c r="VVE18" s="87"/>
      <c r="VVF18" s="87"/>
      <c r="VVG18" s="87"/>
      <c r="VVH18" s="87"/>
      <c r="VVI18" s="87"/>
      <c r="VVJ18" s="87"/>
      <c r="VVK18" s="87"/>
      <c r="VVL18" s="87"/>
      <c r="VVM18" s="87"/>
      <c r="VVN18" s="87"/>
      <c r="VVO18" s="87"/>
      <c r="VVP18" s="87"/>
      <c r="VVQ18" s="87"/>
      <c r="VVR18" s="87"/>
      <c r="VVS18" s="87"/>
      <c r="VVT18" s="87"/>
      <c r="VVU18" s="87"/>
      <c r="VVV18" s="87"/>
      <c r="VVW18" s="87"/>
      <c r="VVX18" s="87"/>
      <c r="VVY18" s="87"/>
      <c r="VVZ18" s="87"/>
      <c r="VWA18" s="87"/>
      <c r="VWB18" s="87"/>
      <c r="VWC18" s="87"/>
      <c r="VWD18" s="87"/>
      <c r="VWE18" s="87"/>
      <c r="VWF18" s="87"/>
      <c r="VWG18" s="87"/>
      <c r="VWH18" s="87"/>
      <c r="VWI18" s="87"/>
      <c r="VWJ18" s="87"/>
      <c r="VWK18" s="87"/>
      <c r="VWL18" s="87"/>
      <c r="VWM18" s="87"/>
      <c r="VWN18" s="87"/>
      <c r="VWO18" s="87"/>
      <c r="VWP18" s="87"/>
      <c r="VWQ18" s="87"/>
      <c r="VWR18" s="87"/>
      <c r="VWS18" s="87"/>
      <c r="VWT18" s="87"/>
      <c r="VWU18" s="87"/>
      <c r="VWV18" s="87"/>
      <c r="VWW18" s="87"/>
      <c r="VWX18" s="87"/>
      <c r="VWY18" s="87"/>
      <c r="VWZ18" s="87"/>
      <c r="VXA18" s="87"/>
      <c r="VXB18" s="87"/>
      <c r="VXC18" s="87"/>
      <c r="VXD18" s="87"/>
      <c r="VXE18" s="87"/>
      <c r="VXF18" s="87"/>
      <c r="VXG18" s="87"/>
      <c r="VXH18" s="87"/>
      <c r="VXI18" s="87"/>
      <c r="VXJ18" s="87"/>
      <c r="VXK18" s="87"/>
      <c r="VXL18" s="87"/>
      <c r="VXM18" s="87"/>
      <c r="VXN18" s="87"/>
      <c r="VXO18" s="87"/>
      <c r="VXP18" s="87"/>
      <c r="VXQ18" s="87"/>
      <c r="VXR18" s="87"/>
      <c r="VXS18" s="87"/>
      <c r="VXT18" s="87"/>
      <c r="VXU18" s="87"/>
      <c r="VXV18" s="87"/>
      <c r="VXW18" s="87"/>
      <c r="VXX18" s="87"/>
      <c r="VXY18" s="87"/>
      <c r="VXZ18" s="87"/>
      <c r="VYA18" s="87"/>
      <c r="VYB18" s="87"/>
      <c r="VYC18" s="87"/>
      <c r="VYD18" s="87"/>
      <c r="VYE18" s="87"/>
      <c r="VYF18" s="87"/>
      <c r="VYG18" s="87"/>
      <c r="VYH18" s="87"/>
      <c r="VYI18" s="87"/>
      <c r="VYJ18" s="87"/>
      <c r="VYK18" s="87"/>
      <c r="VYL18" s="87"/>
      <c r="VYM18" s="87"/>
      <c r="VYN18" s="87"/>
      <c r="VYO18" s="87"/>
      <c r="VYP18" s="87"/>
      <c r="VYQ18" s="87"/>
      <c r="VYR18" s="87"/>
      <c r="VYS18" s="87"/>
      <c r="VYT18" s="87"/>
      <c r="VYU18" s="87"/>
      <c r="VYV18" s="87"/>
      <c r="VYW18" s="87"/>
      <c r="VYX18" s="87"/>
      <c r="VYY18" s="87"/>
      <c r="VYZ18" s="87"/>
      <c r="VZA18" s="87"/>
      <c r="VZB18" s="87"/>
      <c r="VZC18" s="87"/>
      <c r="VZD18" s="87"/>
      <c r="VZE18" s="87"/>
      <c r="VZF18" s="87"/>
      <c r="VZG18" s="87"/>
      <c r="VZH18" s="87"/>
      <c r="VZI18" s="87"/>
      <c r="VZJ18" s="87"/>
      <c r="VZK18" s="87"/>
      <c r="VZL18" s="87"/>
      <c r="VZM18" s="87"/>
      <c r="VZN18" s="87"/>
      <c r="VZO18" s="87"/>
      <c r="VZP18" s="87"/>
      <c r="VZQ18" s="87"/>
      <c r="VZR18" s="87"/>
      <c r="VZS18" s="87"/>
      <c r="VZT18" s="87"/>
      <c r="VZU18" s="87"/>
      <c r="VZV18" s="87"/>
      <c r="VZW18" s="87"/>
      <c r="VZX18" s="87"/>
      <c r="VZY18" s="87"/>
      <c r="VZZ18" s="87"/>
      <c r="WAA18" s="87"/>
      <c r="WAB18" s="87"/>
      <c r="WAC18" s="87"/>
      <c r="WAD18" s="87"/>
      <c r="WAE18" s="87"/>
      <c r="WAF18" s="87"/>
      <c r="WAG18" s="87"/>
      <c r="WAH18" s="87"/>
      <c r="WAI18" s="87"/>
      <c r="WAJ18" s="87"/>
      <c r="WAK18" s="87"/>
      <c r="WAL18" s="87"/>
      <c r="WAM18" s="87"/>
      <c r="WAN18" s="87"/>
      <c r="WAO18" s="87"/>
      <c r="WAP18" s="87"/>
      <c r="WAQ18" s="87"/>
      <c r="WAR18" s="87"/>
      <c r="WAS18" s="87"/>
      <c r="WAT18" s="87"/>
      <c r="WAU18" s="87"/>
      <c r="WAV18" s="87"/>
      <c r="WAW18" s="87"/>
      <c r="WAX18" s="87"/>
      <c r="WAY18" s="87"/>
      <c r="WAZ18" s="87"/>
      <c r="WBA18" s="87"/>
      <c r="WBB18" s="87"/>
      <c r="WBC18" s="87"/>
      <c r="WBD18" s="87"/>
      <c r="WBE18" s="87"/>
      <c r="WBF18" s="87"/>
      <c r="WBG18" s="87"/>
      <c r="WBH18" s="87"/>
      <c r="WBI18" s="87"/>
      <c r="WBJ18" s="87"/>
      <c r="WBK18" s="87"/>
      <c r="WBL18" s="87"/>
      <c r="WBM18" s="87"/>
      <c r="WBN18" s="87"/>
      <c r="WBO18" s="87"/>
      <c r="WBP18" s="87"/>
      <c r="WBQ18" s="87"/>
      <c r="WBR18" s="87"/>
      <c r="WBS18" s="87"/>
      <c r="WBT18" s="87"/>
      <c r="WBU18" s="87"/>
      <c r="WBV18" s="87"/>
      <c r="WBW18" s="87"/>
      <c r="WBX18" s="87"/>
      <c r="WBY18" s="87"/>
      <c r="WBZ18" s="87"/>
      <c r="WCA18" s="87"/>
      <c r="WCB18" s="87"/>
      <c r="WCC18" s="87"/>
      <c r="WCD18" s="87"/>
      <c r="WCE18" s="87"/>
      <c r="WCF18" s="87"/>
      <c r="WCG18" s="87"/>
      <c r="WCH18" s="87"/>
      <c r="WCI18" s="87"/>
      <c r="WCJ18" s="87"/>
      <c r="WCK18" s="87"/>
      <c r="WCL18" s="87"/>
      <c r="WCM18" s="87"/>
      <c r="WCN18" s="87"/>
      <c r="WCO18" s="87"/>
      <c r="WCP18" s="87"/>
      <c r="WCQ18" s="87"/>
      <c r="WCR18" s="87"/>
      <c r="WCS18" s="87"/>
      <c r="WCT18" s="87"/>
      <c r="WCU18" s="87"/>
      <c r="WCV18" s="87"/>
      <c r="WCW18" s="87"/>
      <c r="WCX18" s="87"/>
      <c r="WCY18" s="87"/>
      <c r="WCZ18" s="87"/>
      <c r="WDA18" s="87"/>
      <c r="WDB18" s="87"/>
      <c r="WDC18" s="87"/>
      <c r="WDD18" s="87"/>
      <c r="WDE18" s="87"/>
      <c r="WDF18" s="87"/>
      <c r="WDG18" s="87"/>
      <c r="WDH18" s="87"/>
      <c r="WDI18" s="87"/>
      <c r="WDJ18" s="87"/>
      <c r="WDK18" s="87"/>
      <c r="WDL18" s="87"/>
      <c r="WDM18" s="87"/>
      <c r="WDN18" s="87"/>
      <c r="WDO18" s="87"/>
      <c r="WDP18" s="87"/>
      <c r="WDQ18" s="87"/>
      <c r="WDR18" s="87"/>
      <c r="WDS18" s="87"/>
      <c r="WDT18" s="87"/>
      <c r="WDU18" s="87"/>
      <c r="WDV18" s="87"/>
      <c r="WDW18" s="87"/>
      <c r="WDX18" s="87"/>
      <c r="WDY18" s="87"/>
      <c r="WDZ18" s="87"/>
      <c r="WEA18" s="87"/>
      <c r="WEB18" s="87"/>
      <c r="WEC18" s="87"/>
      <c r="WED18" s="87"/>
      <c r="WEE18" s="87"/>
      <c r="WEF18" s="87"/>
      <c r="WEG18" s="87"/>
      <c r="WEH18" s="87"/>
      <c r="WEI18" s="87"/>
      <c r="WEJ18" s="87"/>
      <c r="WEK18" s="87"/>
      <c r="WEL18" s="87"/>
      <c r="WEM18" s="87"/>
      <c r="WEN18" s="87"/>
      <c r="WEO18" s="87"/>
      <c r="WEP18" s="87"/>
      <c r="WEQ18" s="87"/>
      <c r="WER18" s="87"/>
      <c r="WES18" s="87"/>
      <c r="WET18" s="87"/>
      <c r="WEU18" s="87"/>
      <c r="WEV18" s="87"/>
      <c r="WEW18" s="87"/>
      <c r="WEX18" s="87"/>
      <c r="WEY18" s="87"/>
      <c r="WEZ18" s="87"/>
      <c r="WFA18" s="87"/>
      <c r="WFB18" s="87"/>
      <c r="WFC18" s="87"/>
      <c r="WFD18" s="87"/>
      <c r="WFE18" s="87"/>
      <c r="WFF18" s="87"/>
      <c r="WFG18" s="87"/>
      <c r="WFH18" s="87"/>
      <c r="WFI18" s="87"/>
      <c r="WFJ18" s="87"/>
      <c r="WFK18" s="87"/>
      <c r="WFL18" s="87"/>
      <c r="WFM18" s="87"/>
      <c r="WFN18" s="87"/>
      <c r="WFO18" s="87"/>
      <c r="WFP18" s="87"/>
      <c r="WFQ18" s="87"/>
      <c r="WFR18" s="87"/>
      <c r="WFS18" s="87"/>
      <c r="WFT18" s="87"/>
      <c r="WFU18" s="87"/>
      <c r="WFV18" s="87"/>
      <c r="WFW18" s="87"/>
      <c r="WFX18" s="87"/>
      <c r="WFY18" s="87"/>
      <c r="WFZ18" s="87"/>
      <c r="WGA18" s="87"/>
      <c r="WGB18" s="87"/>
      <c r="WGC18" s="87"/>
      <c r="WGD18" s="87"/>
      <c r="WGE18" s="87"/>
      <c r="WGF18" s="87"/>
      <c r="WGG18" s="87"/>
      <c r="WGH18" s="87"/>
      <c r="WGI18" s="87"/>
      <c r="WGJ18" s="87"/>
      <c r="WGK18" s="87"/>
      <c r="WGL18" s="87"/>
      <c r="WGM18" s="87"/>
      <c r="WGN18" s="87"/>
      <c r="WGO18" s="87"/>
      <c r="WGP18" s="87"/>
      <c r="WGQ18" s="87"/>
      <c r="WGR18" s="87"/>
      <c r="WGS18" s="87"/>
      <c r="WGT18" s="87"/>
      <c r="WGU18" s="87"/>
      <c r="WGV18" s="87"/>
      <c r="WGW18" s="87"/>
      <c r="WGX18" s="87"/>
      <c r="WGY18" s="87"/>
      <c r="WGZ18" s="87"/>
      <c r="WHA18" s="87"/>
      <c r="WHB18" s="87"/>
      <c r="WHC18" s="87"/>
      <c r="WHD18" s="87"/>
      <c r="WHE18" s="87"/>
      <c r="WHF18" s="87"/>
      <c r="WHG18" s="87"/>
      <c r="WHH18" s="87"/>
      <c r="WHI18" s="87"/>
      <c r="WHJ18" s="87"/>
      <c r="WHK18" s="87"/>
      <c r="WHL18" s="87"/>
      <c r="WHM18" s="87"/>
      <c r="WHN18" s="87"/>
      <c r="WHO18" s="87"/>
      <c r="WHP18" s="87"/>
      <c r="WHQ18" s="87"/>
      <c r="WHR18" s="87"/>
      <c r="WHS18" s="87"/>
      <c r="WHT18" s="87"/>
      <c r="WHU18" s="87"/>
      <c r="WHV18" s="87"/>
      <c r="WHW18" s="87"/>
      <c r="WHX18" s="87"/>
      <c r="WHY18" s="87"/>
      <c r="WHZ18" s="87"/>
      <c r="WIA18" s="87"/>
      <c r="WIB18" s="87"/>
      <c r="WIC18" s="87"/>
      <c r="WID18" s="87"/>
      <c r="WIE18" s="87"/>
      <c r="WIF18" s="87"/>
      <c r="WIG18" s="87"/>
      <c r="WIH18" s="87"/>
      <c r="WII18" s="87"/>
      <c r="WIJ18" s="87"/>
      <c r="WIK18" s="87"/>
      <c r="WIL18" s="87"/>
      <c r="WIM18" s="87"/>
      <c r="WIN18" s="87"/>
      <c r="WIO18" s="87"/>
      <c r="WIP18" s="87"/>
      <c r="WIQ18" s="87"/>
      <c r="WIR18" s="87"/>
      <c r="WIS18" s="87"/>
      <c r="WIT18" s="87"/>
      <c r="WIU18" s="87"/>
      <c r="WIV18" s="87"/>
      <c r="WIW18" s="87"/>
      <c r="WIX18" s="87"/>
      <c r="WIY18" s="87"/>
      <c r="WIZ18" s="87"/>
      <c r="WJA18" s="87"/>
      <c r="WJB18" s="87"/>
      <c r="WJC18" s="87"/>
      <c r="WJD18" s="87"/>
      <c r="WJE18" s="87"/>
      <c r="WJF18" s="87"/>
      <c r="WJG18" s="87"/>
      <c r="WJH18" s="87"/>
      <c r="WJI18" s="87"/>
      <c r="WJJ18" s="87"/>
      <c r="WJK18" s="87"/>
      <c r="WJL18" s="87"/>
      <c r="WJM18" s="87"/>
      <c r="WJN18" s="87"/>
      <c r="WJO18" s="87"/>
      <c r="WJP18" s="87"/>
      <c r="WJQ18" s="87"/>
      <c r="WJR18" s="87"/>
      <c r="WJS18" s="87"/>
      <c r="WJT18" s="87"/>
      <c r="WJU18" s="87"/>
      <c r="WJV18" s="87"/>
      <c r="WJW18" s="87"/>
      <c r="WJX18" s="87"/>
      <c r="WJY18" s="87"/>
      <c r="WJZ18" s="87"/>
      <c r="WKA18" s="87"/>
      <c r="WKB18" s="87"/>
      <c r="WKC18" s="87"/>
      <c r="WKD18" s="87"/>
      <c r="WKE18" s="87"/>
      <c r="WKF18" s="87"/>
      <c r="WKG18" s="87"/>
      <c r="WKH18" s="87"/>
      <c r="WKI18" s="87"/>
      <c r="WKJ18" s="87"/>
      <c r="WKK18" s="87"/>
      <c r="WKL18" s="87"/>
      <c r="WKM18" s="87"/>
      <c r="WKN18" s="87"/>
      <c r="WKO18" s="87"/>
      <c r="WKP18" s="87"/>
      <c r="WKQ18" s="87"/>
      <c r="WKR18" s="87"/>
      <c r="WKS18" s="87"/>
      <c r="WKT18" s="87"/>
      <c r="WKU18" s="87"/>
      <c r="WKV18" s="87"/>
      <c r="WKW18" s="87"/>
      <c r="WKX18" s="87"/>
      <c r="WKY18" s="87"/>
      <c r="WKZ18" s="87"/>
      <c r="WLA18" s="87"/>
      <c r="WLB18" s="87"/>
      <c r="WLC18" s="87"/>
      <c r="WLD18" s="87"/>
      <c r="WLE18" s="87"/>
      <c r="WLF18" s="87"/>
      <c r="WLG18" s="87"/>
      <c r="WLH18" s="87"/>
      <c r="WLI18" s="87"/>
      <c r="WLJ18" s="87"/>
      <c r="WLK18" s="87"/>
      <c r="WLL18" s="87"/>
      <c r="WLM18" s="87"/>
      <c r="WLN18" s="87"/>
      <c r="WLO18" s="87"/>
      <c r="WLP18" s="87"/>
      <c r="WLQ18" s="87"/>
      <c r="WLR18" s="87"/>
      <c r="WLS18" s="87"/>
      <c r="WLT18" s="87"/>
      <c r="WLU18" s="87"/>
      <c r="WLV18" s="87"/>
      <c r="WLW18" s="87"/>
      <c r="WLX18" s="87"/>
      <c r="WLY18" s="87"/>
      <c r="WLZ18" s="87"/>
      <c r="WMA18" s="87"/>
      <c r="WMB18" s="87"/>
      <c r="WMC18" s="87"/>
      <c r="WMD18" s="87"/>
      <c r="WME18" s="87"/>
      <c r="WMF18" s="87"/>
      <c r="WMG18" s="87"/>
      <c r="WMH18" s="87"/>
      <c r="WMI18" s="87"/>
      <c r="WMJ18" s="87"/>
      <c r="WMK18" s="87"/>
      <c r="WML18" s="87"/>
      <c r="WMM18" s="87"/>
      <c r="WMN18" s="87"/>
      <c r="WMO18" s="87"/>
      <c r="WMP18" s="87"/>
      <c r="WMQ18" s="87"/>
      <c r="WMR18" s="87"/>
      <c r="WMS18" s="87"/>
      <c r="WMT18" s="87"/>
      <c r="WMU18" s="87"/>
      <c r="WMV18" s="87"/>
      <c r="WMW18" s="87"/>
      <c r="WMX18" s="87"/>
      <c r="WMY18" s="87"/>
      <c r="WMZ18" s="87"/>
      <c r="WNA18" s="87"/>
      <c r="WNB18" s="87"/>
      <c r="WNC18" s="87"/>
      <c r="WND18" s="87"/>
      <c r="WNE18" s="87"/>
      <c r="WNF18" s="87"/>
      <c r="WNG18" s="87"/>
      <c r="WNH18" s="87"/>
      <c r="WNI18" s="87"/>
      <c r="WNJ18" s="87"/>
      <c r="WNK18" s="87"/>
      <c r="WNL18" s="87"/>
      <c r="WNM18" s="87"/>
      <c r="WNN18" s="87"/>
      <c r="WNO18" s="87"/>
      <c r="WNP18" s="87"/>
      <c r="WNQ18" s="87"/>
      <c r="WNR18" s="87"/>
      <c r="WNS18" s="87"/>
      <c r="WNT18" s="87"/>
      <c r="WNU18" s="87"/>
      <c r="WNV18" s="87"/>
      <c r="WNW18" s="87"/>
      <c r="WNX18" s="87"/>
      <c r="WNY18" s="87"/>
      <c r="WNZ18" s="87"/>
      <c r="WOA18" s="87"/>
      <c r="WOB18" s="87"/>
      <c r="WOC18" s="87"/>
      <c r="WOD18" s="87"/>
      <c r="WOE18" s="87"/>
      <c r="WOF18" s="87"/>
      <c r="WOG18" s="87"/>
      <c r="WOH18" s="87"/>
      <c r="WOI18" s="87"/>
      <c r="WOJ18" s="87"/>
      <c r="WOK18" s="87"/>
      <c r="WOL18" s="87"/>
      <c r="WOM18" s="87"/>
      <c r="WON18" s="87"/>
      <c r="WOO18" s="87"/>
      <c r="WOP18" s="87"/>
      <c r="WOQ18" s="87"/>
      <c r="WOR18" s="87"/>
      <c r="WOS18" s="87"/>
      <c r="WOT18" s="87"/>
      <c r="WOU18" s="87"/>
      <c r="WOV18" s="87"/>
      <c r="WOW18" s="87"/>
      <c r="WOX18" s="87"/>
      <c r="WOY18" s="87"/>
      <c r="WOZ18" s="87"/>
      <c r="WPA18" s="87"/>
      <c r="WPB18" s="87"/>
      <c r="WPC18" s="87"/>
      <c r="WPD18" s="87"/>
      <c r="WPE18" s="87"/>
      <c r="WPF18" s="87"/>
      <c r="WPG18" s="87"/>
      <c r="WPH18" s="87"/>
      <c r="WPI18" s="87"/>
      <c r="WPJ18" s="87"/>
      <c r="WPK18" s="87"/>
      <c r="WPL18" s="87"/>
      <c r="WPM18" s="87"/>
      <c r="WPN18" s="87"/>
      <c r="WPO18" s="87"/>
      <c r="WPP18" s="87"/>
      <c r="WPQ18" s="87"/>
      <c r="WPR18" s="87"/>
      <c r="WPS18" s="87"/>
      <c r="WPT18" s="87"/>
      <c r="WPU18" s="87"/>
      <c r="WPV18" s="87"/>
      <c r="WPW18" s="87"/>
      <c r="WPX18" s="87"/>
      <c r="WPY18" s="87"/>
      <c r="WPZ18" s="87"/>
      <c r="WQA18" s="87"/>
      <c r="WQB18" s="87"/>
      <c r="WQC18" s="87"/>
      <c r="WQD18" s="87"/>
      <c r="WQE18" s="87"/>
      <c r="WQF18" s="87"/>
      <c r="WQG18" s="87"/>
      <c r="WQH18" s="87"/>
      <c r="WQI18" s="87"/>
      <c r="WQJ18" s="87"/>
      <c r="WQK18" s="87"/>
      <c r="WQL18" s="87"/>
      <c r="WQM18" s="87"/>
      <c r="WQN18" s="87"/>
      <c r="WQO18" s="87"/>
      <c r="WQP18" s="87"/>
      <c r="WQQ18" s="87"/>
      <c r="WQR18" s="87"/>
      <c r="WQS18" s="87"/>
      <c r="WQT18" s="87"/>
      <c r="WQU18" s="87"/>
      <c r="WQV18" s="87"/>
      <c r="WQW18" s="87"/>
      <c r="WQX18" s="87"/>
      <c r="WQY18" s="87"/>
      <c r="WQZ18" s="87"/>
      <c r="WRA18" s="87"/>
      <c r="WRB18" s="87"/>
      <c r="WRC18" s="87"/>
      <c r="WRD18" s="87"/>
      <c r="WRE18" s="87"/>
      <c r="WRF18" s="87"/>
      <c r="WRG18" s="87"/>
      <c r="WRH18" s="87"/>
      <c r="WRI18" s="87"/>
      <c r="WRJ18" s="87"/>
      <c r="WRK18" s="87"/>
      <c r="WRL18" s="87"/>
      <c r="WRM18" s="87"/>
      <c r="WRN18" s="87"/>
      <c r="WRO18" s="87"/>
      <c r="WRP18" s="87"/>
      <c r="WRQ18" s="87"/>
      <c r="WRR18" s="87"/>
      <c r="WRS18" s="87"/>
      <c r="WRT18" s="87"/>
      <c r="WRU18" s="87"/>
      <c r="WRV18" s="87"/>
      <c r="WRW18" s="87"/>
      <c r="WRX18" s="87"/>
      <c r="WRY18" s="87"/>
      <c r="WRZ18" s="87"/>
      <c r="WSA18" s="87"/>
      <c r="WSB18" s="87"/>
      <c r="WSC18" s="87"/>
      <c r="WSD18" s="87"/>
      <c r="WSE18" s="87"/>
      <c r="WSF18" s="87"/>
      <c r="WSG18" s="87"/>
      <c r="WSH18" s="87"/>
      <c r="WSI18" s="87"/>
      <c r="WSJ18" s="87"/>
      <c r="WSK18" s="87"/>
      <c r="WSL18" s="87"/>
      <c r="WSM18" s="87"/>
      <c r="WSN18" s="87"/>
      <c r="WSO18" s="87"/>
      <c r="WSP18" s="87"/>
      <c r="WSQ18" s="87"/>
      <c r="WSR18" s="87"/>
      <c r="WSS18" s="87"/>
      <c r="WST18" s="87"/>
      <c r="WSU18" s="87"/>
      <c r="WSV18" s="87"/>
      <c r="WSW18" s="87"/>
      <c r="WSX18" s="87"/>
      <c r="WSY18" s="87"/>
      <c r="WSZ18" s="87"/>
      <c r="WTA18" s="87"/>
      <c r="WTB18" s="87"/>
      <c r="WTC18" s="87"/>
      <c r="WTD18" s="87"/>
      <c r="WTE18" s="87"/>
      <c r="WTF18" s="87"/>
      <c r="WTG18" s="87"/>
      <c r="WTH18" s="87"/>
      <c r="WTI18" s="87"/>
      <c r="WTJ18" s="87"/>
      <c r="WTK18" s="87"/>
      <c r="WTL18" s="87"/>
      <c r="WTM18" s="87"/>
      <c r="WTN18" s="87"/>
      <c r="WTO18" s="87"/>
      <c r="WTP18" s="87"/>
      <c r="WTQ18" s="87"/>
      <c r="WTR18" s="87"/>
      <c r="WTS18" s="87"/>
      <c r="WTT18" s="87"/>
      <c r="WTU18" s="87"/>
      <c r="WTV18" s="87"/>
      <c r="WTW18" s="87"/>
      <c r="WTX18" s="87"/>
      <c r="WTY18" s="87"/>
      <c r="WTZ18" s="87"/>
      <c r="WUA18" s="87"/>
      <c r="WUB18" s="87"/>
      <c r="WUC18" s="87"/>
      <c r="WUD18" s="87"/>
      <c r="WUE18" s="87"/>
      <c r="WUF18" s="87"/>
      <c r="WUG18" s="87"/>
      <c r="WUH18" s="87"/>
      <c r="WUI18" s="87"/>
      <c r="WUJ18" s="87"/>
      <c r="WUK18" s="87"/>
      <c r="WUL18" s="87"/>
      <c r="WUM18" s="87"/>
      <c r="WUN18" s="87"/>
      <c r="WUO18" s="87"/>
      <c r="WUP18" s="87"/>
      <c r="WUQ18" s="87"/>
      <c r="WUR18" s="87"/>
      <c r="WUS18" s="87"/>
      <c r="WUT18" s="87"/>
      <c r="WUU18" s="87"/>
      <c r="WUV18" s="87"/>
      <c r="WUW18" s="87"/>
      <c r="WUX18" s="87"/>
      <c r="WUY18" s="87"/>
      <c r="WUZ18" s="87"/>
      <c r="WVA18" s="87"/>
      <c r="WVB18" s="87"/>
      <c r="WVC18" s="87"/>
      <c r="WVD18" s="87"/>
      <c r="WVE18" s="87"/>
      <c r="WVF18" s="87"/>
      <c r="WVG18" s="87"/>
      <c r="WVH18" s="87"/>
      <c r="WVI18" s="87"/>
      <c r="WVJ18" s="87"/>
      <c r="WVK18" s="87"/>
      <c r="WVL18" s="87"/>
      <c r="WVM18" s="87"/>
      <c r="WVN18" s="87"/>
      <c r="WVO18" s="87"/>
      <c r="WVP18" s="87"/>
      <c r="WVQ18" s="87"/>
      <c r="WVR18" s="87"/>
      <c r="WVS18" s="87"/>
      <c r="WVT18" s="87"/>
      <c r="WVU18" s="87"/>
      <c r="WVV18" s="87"/>
      <c r="WVW18" s="87"/>
      <c r="WVX18" s="87"/>
      <c r="WVY18" s="87"/>
      <c r="WVZ18" s="87"/>
      <c r="WWA18" s="87"/>
      <c r="WWB18" s="87"/>
      <c r="WWC18" s="87"/>
      <c r="WWD18" s="87"/>
      <c r="WWE18" s="87"/>
      <c r="WWF18" s="87"/>
      <c r="WWG18" s="87"/>
      <c r="WWH18" s="87"/>
      <c r="WWI18" s="87"/>
      <c r="WWJ18" s="87"/>
      <c r="WWK18" s="87"/>
      <c r="WWL18" s="87"/>
      <c r="WWM18" s="87"/>
      <c r="WWN18" s="87"/>
      <c r="WWO18" s="87"/>
      <c r="WWP18" s="87"/>
      <c r="WWQ18" s="87"/>
      <c r="WWR18" s="87"/>
      <c r="WWS18" s="87"/>
      <c r="WWT18" s="87"/>
      <c r="WWU18" s="87"/>
      <c r="WWV18" s="87"/>
      <c r="WWW18" s="87"/>
      <c r="WWX18" s="87"/>
      <c r="WWY18" s="87"/>
      <c r="WWZ18" s="87"/>
      <c r="WXA18" s="87"/>
      <c r="WXB18" s="87"/>
      <c r="WXC18" s="87"/>
      <c r="WXD18" s="87"/>
      <c r="WXE18" s="87"/>
      <c r="WXF18" s="87"/>
      <c r="WXG18" s="87"/>
      <c r="WXH18" s="87"/>
      <c r="WXI18" s="87"/>
      <c r="WXJ18" s="87"/>
      <c r="WXK18" s="87"/>
      <c r="WXL18" s="87"/>
      <c r="WXM18" s="87"/>
      <c r="WXN18" s="87"/>
      <c r="WXO18" s="87"/>
      <c r="WXP18" s="87"/>
      <c r="WXQ18" s="87"/>
      <c r="WXR18" s="87"/>
      <c r="WXS18" s="87"/>
      <c r="WXT18" s="87"/>
      <c r="WXU18" s="87"/>
      <c r="WXV18" s="87"/>
      <c r="WXW18" s="87"/>
      <c r="WXX18" s="87"/>
      <c r="WXY18" s="87"/>
      <c r="WXZ18" s="87"/>
      <c r="WYA18" s="87"/>
      <c r="WYB18" s="87"/>
      <c r="WYC18" s="87"/>
      <c r="WYD18" s="87"/>
      <c r="WYE18" s="87"/>
      <c r="WYF18" s="87"/>
      <c r="WYG18" s="87"/>
      <c r="WYH18" s="87"/>
      <c r="WYI18" s="87"/>
      <c r="WYJ18" s="87"/>
      <c r="WYK18" s="87"/>
      <c r="WYL18" s="87"/>
      <c r="WYM18" s="87"/>
      <c r="WYN18" s="87"/>
      <c r="WYO18" s="87"/>
      <c r="WYP18" s="87"/>
      <c r="WYQ18" s="87"/>
      <c r="WYR18" s="87"/>
      <c r="WYS18" s="87"/>
      <c r="WYT18" s="87"/>
      <c r="WYU18" s="87"/>
      <c r="WYV18" s="87"/>
      <c r="WYW18" s="87"/>
      <c r="WYX18" s="87"/>
      <c r="WYY18" s="87"/>
      <c r="WYZ18" s="87"/>
      <c r="WZA18" s="87"/>
      <c r="WZB18" s="87"/>
      <c r="WZC18" s="87"/>
      <c r="WZD18" s="87"/>
      <c r="WZE18" s="87"/>
      <c r="WZF18" s="87"/>
      <c r="WZG18" s="87"/>
      <c r="WZH18" s="87"/>
      <c r="WZI18" s="87"/>
      <c r="WZJ18" s="87"/>
      <c r="WZK18" s="87"/>
      <c r="WZL18" s="87"/>
      <c r="WZM18" s="87"/>
      <c r="WZN18" s="87"/>
      <c r="WZO18" s="87"/>
      <c r="WZP18" s="87"/>
      <c r="WZQ18" s="87"/>
      <c r="WZR18" s="87"/>
      <c r="WZS18" s="87"/>
      <c r="WZT18" s="87"/>
      <c r="WZU18" s="87"/>
      <c r="WZV18" s="87"/>
      <c r="WZW18" s="87"/>
      <c r="WZX18" s="87"/>
      <c r="WZY18" s="87"/>
      <c r="WZZ18" s="87"/>
      <c r="XAA18" s="87"/>
      <c r="XAB18" s="87"/>
      <c r="XAC18" s="87"/>
      <c r="XAD18" s="87"/>
      <c r="XAE18" s="87"/>
      <c r="XAF18" s="87"/>
      <c r="XAG18" s="87"/>
      <c r="XAH18" s="87"/>
      <c r="XAI18" s="87"/>
      <c r="XAJ18" s="87"/>
      <c r="XAK18" s="87"/>
      <c r="XAL18" s="87"/>
      <c r="XAM18" s="87"/>
      <c r="XAN18" s="87"/>
      <c r="XAO18" s="87"/>
      <c r="XAP18" s="87"/>
      <c r="XAQ18" s="87"/>
      <c r="XAR18" s="87"/>
      <c r="XAS18" s="87"/>
      <c r="XAT18" s="87"/>
      <c r="XAU18" s="87"/>
      <c r="XAV18" s="87"/>
      <c r="XAW18" s="87"/>
      <c r="XAX18" s="87"/>
      <c r="XAY18" s="87"/>
      <c r="XAZ18" s="87"/>
      <c r="XBA18" s="87"/>
      <c r="XBB18" s="87"/>
      <c r="XBC18" s="87"/>
      <c r="XBD18" s="87"/>
      <c r="XBE18" s="87"/>
      <c r="XBF18" s="87"/>
      <c r="XBG18" s="87"/>
      <c r="XBH18" s="87"/>
      <c r="XBI18" s="87"/>
      <c r="XBJ18" s="87"/>
      <c r="XBK18" s="87"/>
      <c r="XBL18" s="87"/>
      <c r="XBM18" s="87"/>
      <c r="XBN18" s="87"/>
      <c r="XBO18" s="87"/>
      <c r="XBP18" s="87"/>
      <c r="XBQ18" s="87"/>
      <c r="XBR18" s="87"/>
      <c r="XBS18" s="87"/>
      <c r="XBT18" s="87"/>
      <c r="XBU18" s="87"/>
      <c r="XBV18" s="87"/>
      <c r="XBW18" s="87"/>
      <c r="XBX18" s="87"/>
      <c r="XBY18" s="87"/>
      <c r="XBZ18" s="87"/>
      <c r="XCA18" s="87"/>
      <c r="XCB18" s="87"/>
      <c r="XCC18" s="87"/>
      <c r="XCD18" s="87"/>
      <c r="XCE18" s="87"/>
      <c r="XCF18" s="87"/>
      <c r="XCG18" s="87"/>
      <c r="XCH18" s="87"/>
      <c r="XCI18" s="87"/>
      <c r="XCJ18" s="87"/>
      <c r="XCK18" s="87"/>
      <c r="XCL18" s="87"/>
      <c r="XCM18" s="87"/>
      <c r="XCN18" s="87"/>
      <c r="XCO18" s="87"/>
      <c r="XCP18" s="87"/>
      <c r="XCQ18" s="87"/>
      <c r="XCR18" s="87"/>
      <c r="XCS18" s="87"/>
      <c r="XCT18" s="87"/>
      <c r="XCU18" s="87"/>
      <c r="XCV18" s="87"/>
      <c r="XCW18" s="87"/>
      <c r="XCX18" s="87"/>
      <c r="XCY18" s="87"/>
      <c r="XCZ18" s="87"/>
      <c r="XDA18" s="87"/>
      <c r="XDB18" s="87"/>
      <c r="XDC18" s="87"/>
      <c r="XDD18" s="87"/>
      <c r="XDE18" s="87"/>
      <c r="XDF18" s="87"/>
      <c r="XDG18" s="87"/>
      <c r="XDH18" s="87"/>
      <c r="XDI18" s="87"/>
      <c r="XDJ18" s="87"/>
      <c r="XDK18" s="87"/>
      <c r="XDL18" s="87"/>
      <c r="XDM18" s="87"/>
      <c r="XDN18" s="87"/>
      <c r="XDO18" s="87"/>
      <c r="XDP18" s="87"/>
      <c r="XDQ18" s="87"/>
      <c r="XDR18" s="87"/>
      <c r="XDS18" s="87"/>
      <c r="XDT18" s="87"/>
      <c r="XDU18" s="87"/>
      <c r="XDV18" s="87"/>
      <c r="XDW18" s="87"/>
      <c r="XDX18" s="87"/>
      <c r="XDY18" s="87"/>
      <c r="XDZ18" s="87"/>
      <c r="XEA18" s="87"/>
      <c r="XEB18" s="87"/>
      <c r="XEC18" s="87"/>
      <c r="XED18" s="87"/>
      <c r="XEE18" s="87"/>
      <c r="XEF18" s="87"/>
      <c r="XEG18" s="87"/>
      <c r="XEH18" s="87"/>
      <c r="XEI18" s="87"/>
      <c r="XEJ18" s="87"/>
      <c r="XEK18" s="87"/>
      <c r="XEL18" s="87"/>
      <c r="XEM18" s="87"/>
      <c r="XEN18" s="87"/>
      <c r="XEO18" s="87"/>
      <c r="XEP18" s="87"/>
      <c r="XEQ18" s="87"/>
      <c r="XER18" s="87"/>
      <c r="XES18" s="87"/>
      <c r="XET18" s="87"/>
      <c r="XEU18" s="87"/>
      <c r="XEV18" s="87"/>
      <c r="XEW18" s="87"/>
      <c r="XEX18" s="87"/>
      <c r="XEY18" s="87"/>
      <c r="XEZ18" s="87"/>
      <c r="XFA18" s="87"/>
      <c r="XFB18" s="87"/>
      <c r="XFC18" s="87"/>
      <c r="XFD18" s="87"/>
    </row>
    <row r="19" spans="1:16384" s="143" customFormat="1" ht="18.600000000000001" customHeight="1" x14ac:dyDescent="0.3">
      <c r="A19" s="110" t="s">
        <v>2752</v>
      </c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0"/>
      <c r="BF19" s="110"/>
      <c r="BG19" s="110"/>
      <c r="BH19" s="110"/>
      <c r="BI19" s="110"/>
      <c r="BJ19" s="110"/>
      <c r="BK19" s="110"/>
      <c r="BL19" s="110"/>
      <c r="BM19" s="110"/>
      <c r="BN19" s="110"/>
      <c r="BO19" s="110"/>
      <c r="BP19" s="110"/>
      <c r="BQ19" s="110"/>
      <c r="BR19" s="110"/>
      <c r="BS19" s="110"/>
      <c r="BT19" s="110"/>
      <c r="BU19" s="110"/>
      <c r="BV19" s="110"/>
      <c r="BW19" s="110"/>
      <c r="BX19" s="110"/>
      <c r="BY19" s="110"/>
      <c r="BZ19" s="110"/>
      <c r="CA19" s="110"/>
      <c r="CB19" s="110"/>
      <c r="CC19" s="110"/>
      <c r="CD19" s="110"/>
      <c r="CE19" s="110"/>
      <c r="CF19" s="110"/>
      <c r="CG19" s="110"/>
      <c r="CH19" s="110"/>
      <c r="CI19" s="110"/>
      <c r="CJ19" s="110"/>
      <c r="CK19" s="110"/>
      <c r="CL19" s="110"/>
      <c r="CM19" s="110"/>
      <c r="CN19" s="110"/>
      <c r="CO19" s="110"/>
      <c r="CP19" s="110"/>
      <c r="CQ19" s="110"/>
      <c r="CR19" s="110"/>
      <c r="CS19" s="110"/>
      <c r="CT19" s="110"/>
      <c r="CU19" s="110"/>
      <c r="CV19" s="110"/>
      <c r="CW19" s="110"/>
      <c r="CX19" s="110"/>
      <c r="CY19" s="110"/>
      <c r="CZ19" s="110"/>
      <c r="DA19" s="110"/>
      <c r="DB19" s="110"/>
      <c r="DC19" s="110"/>
      <c r="DD19" s="110"/>
      <c r="DE19" s="110"/>
      <c r="DF19" s="110"/>
      <c r="DG19" s="110"/>
      <c r="DH19" s="110"/>
      <c r="DI19" s="110"/>
      <c r="DJ19" s="110"/>
      <c r="DK19" s="110"/>
      <c r="DL19" s="110"/>
      <c r="DM19" s="110"/>
      <c r="DN19" s="110"/>
      <c r="DO19" s="110"/>
      <c r="DP19" s="110"/>
      <c r="DQ19" s="110"/>
      <c r="DR19" s="110"/>
      <c r="DS19" s="110"/>
      <c r="DT19" s="110"/>
      <c r="DU19" s="110"/>
      <c r="DV19" s="110"/>
      <c r="DW19" s="110"/>
      <c r="DX19" s="110"/>
      <c r="DY19" s="110"/>
      <c r="DZ19" s="110"/>
      <c r="EA19" s="110"/>
      <c r="EB19" s="110"/>
      <c r="EC19" s="110"/>
      <c r="ED19" s="110"/>
      <c r="EE19" s="110"/>
      <c r="EF19" s="110"/>
      <c r="EG19" s="110"/>
      <c r="EH19" s="110"/>
      <c r="EI19" s="110"/>
      <c r="EJ19" s="110"/>
      <c r="EK19" s="110"/>
      <c r="EL19" s="110"/>
      <c r="EM19" s="110"/>
      <c r="EN19" s="110"/>
      <c r="EO19" s="110"/>
      <c r="EP19" s="110"/>
      <c r="EQ19" s="110"/>
      <c r="ER19" s="110"/>
      <c r="ES19" s="110"/>
      <c r="ET19" s="110"/>
      <c r="EU19" s="110"/>
      <c r="EV19" s="110"/>
      <c r="EW19" s="110"/>
      <c r="EX19" s="110"/>
      <c r="EY19" s="110"/>
      <c r="EZ19" s="110"/>
      <c r="FA19" s="110"/>
      <c r="FB19" s="110"/>
      <c r="FC19" s="110"/>
      <c r="FD19" s="110"/>
      <c r="FE19" s="110"/>
      <c r="FF19" s="110"/>
      <c r="FG19" s="110"/>
      <c r="FH19" s="110"/>
      <c r="FI19" s="110"/>
      <c r="FJ19" s="110"/>
      <c r="FK19" s="110"/>
      <c r="FL19" s="110"/>
      <c r="FM19" s="110"/>
      <c r="FN19" s="110"/>
      <c r="FO19" s="110"/>
      <c r="FP19" s="110"/>
      <c r="FQ19" s="110"/>
      <c r="FR19" s="110"/>
      <c r="FS19" s="110"/>
      <c r="FT19" s="110"/>
      <c r="FU19" s="110"/>
      <c r="FV19" s="110"/>
      <c r="FW19" s="110"/>
      <c r="FX19" s="110"/>
      <c r="FY19" s="110"/>
      <c r="FZ19" s="110"/>
      <c r="GA19" s="110"/>
      <c r="GB19" s="110"/>
      <c r="GC19" s="110"/>
      <c r="GD19" s="110"/>
      <c r="GE19" s="110"/>
      <c r="GF19" s="110"/>
      <c r="GG19" s="110"/>
      <c r="GH19" s="110"/>
      <c r="GI19" s="110"/>
      <c r="GJ19" s="110"/>
      <c r="GK19" s="110"/>
      <c r="GL19" s="110"/>
      <c r="GM19" s="110"/>
      <c r="GN19" s="110"/>
      <c r="GO19" s="110"/>
      <c r="GP19" s="110"/>
      <c r="GQ19" s="110"/>
      <c r="GR19" s="110"/>
      <c r="GS19" s="110"/>
      <c r="GT19" s="110"/>
      <c r="GU19" s="110"/>
      <c r="GV19" s="110"/>
      <c r="GW19" s="110"/>
      <c r="GX19" s="110"/>
      <c r="GY19" s="110"/>
      <c r="GZ19" s="110"/>
      <c r="HA19" s="110"/>
      <c r="HB19" s="110"/>
      <c r="HC19" s="110"/>
      <c r="HD19" s="110"/>
      <c r="HE19" s="110"/>
      <c r="HF19" s="110"/>
      <c r="HG19" s="110"/>
      <c r="HH19" s="110"/>
      <c r="HI19" s="110"/>
      <c r="HJ19" s="110"/>
      <c r="HK19" s="110"/>
      <c r="HL19" s="110"/>
      <c r="HM19" s="110"/>
      <c r="HN19" s="110"/>
      <c r="HO19" s="110"/>
      <c r="HP19" s="110"/>
      <c r="HQ19" s="110"/>
      <c r="HR19" s="110"/>
      <c r="HS19" s="110"/>
      <c r="HT19" s="110"/>
      <c r="HU19" s="110"/>
      <c r="HV19" s="110"/>
      <c r="HW19" s="110"/>
      <c r="HX19" s="110"/>
      <c r="HY19" s="110"/>
      <c r="HZ19" s="110"/>
      <c r="IA19" s="110"/>
      <c r="IB19" s="110"/>
      <c r="IC19" s="110"/>
      <c r="ID19" s="110"/>
      <c r="IE19" s="110"/>
      <c r="IF19" s="110"/>
      <c r="IG19" s="110"/>
      <c r="IH19" s="110"/>
      <c r="II19" s="110"/>
      <c r="IJ19" s="110"/>
      <c r="IK19" s="110"/>
      <c r="IL19" s="110"/>
      <c r="IM19" s="110"/>
      <c r="IN19" s="110"/>
      <c r="IO19" s="110"/>
      <c r="IP19" s="110"/>
      <c r="IQ19" s="110"/>
      <c r="IR19" s="110"/>
      <c r="IS19" s="110"/>
      <c r="IT19" s="110"/>
      <c r="IU19" s="110"/>
      <c r="IV19" s="110"/>
      <c r="IW19" s="110"/>
      <c r="IX19" s="110"/>
      <c r="IY19" s="110"/>
      <c r="IZ19" s="110"/>
      <c r="JA19" s="110"/>
      <c r="JB19" s="110"/>
      <c r="JC19" s="110"/>
      <c r="JD19" s="110"/>
      <c r="JE19" s="110"/>
      <c r="JF19" s="110"/>
      <c r="JG19" s="110"/>
      <c r="JH19" s="110"/>
      <c r="JI19" s="110"/>
      <c r="JJ19" s="110"/>
      <c r="JK19" s="110"/>
      <c r="JL19" s="110"/>
      <c r="JM19" s="110"/>
      <c r="JN19" s="110"/>
      <c r="JO19" s="110"/>
      <c r="JP19" s="110"/>
      <c r="JQ19" s="110"/>
      <c r="JR19" s="110"/>
      <c r="JS19" s="110"/>
      <c r="JT19" s="110"/>
      <c r="JU19" s="110"/>
      <c r="JV19" s="110"/>
      <c r="JW19" s="110"/>
      <c r="JX19" s="110"/>
      <c r="JY19" s="110"/>
      <c r="JZ19" s="110"/>
      <c r="KA19" s="110"/>
      <c r="KB19" s="110"/>
      <c r="KC19" s="110"/>
      <c r="KD19" s="110"/>
      <c r="KE19" s="110"/>
      <c r="KF19" s="110"/>
      <c r="KG19" s="110"/>
      <c r="KH19" s="110"/>
      <c r="KI19" s="110"/>
      <c r="KJ19" s="110"/>
      <c r="KK19" s="110"/>
      <c r="KL19" s="110"/>
      <c r="KM19" s="110"/>
      <c r="KN19" s="110"/>
      <c r="KO19" s="110"/>
      <c r="KP19" s="110"/>
      <c r="KQ19" s="110"/>
      <c r="KR19" s="110"/>
      <c r="KS19" s="110"/>
      <c r="KT19" s="110"/>
      <c r="KU19" s="110"/>
      <c r="KV19" s="110"/>
      <c r="KW19" s="110"/>
      <c r="KX19" s="110"/>
      <c r="KY19" s="110"/>
      <c r="KZ19" s="110"/>
      <c r="LA19" s="110"/>
      <c r="LB19" s="110"/>
      <c r="LC19" s="110"/>
      <c r="LD19" s="110"/>
      <c r="LE19" s="110"/>
      <c r="LF19" s="110"/>
      <c r="LG19" s="110"/>
      <c r="LH19" s="110"/>
      <c r="LI19" s="110"/>
      <c r="LJ19" s="110"/>
      <c r="LK19" s="110"/>
      <c r="LL19" s="110"/>
      <c r="LM19" s="110"/>
      <c r="LN19" s="110"/>
      <c r="LO19" s="110"/>
      <c r="LP19" s="110"/>
      <c r="LQ19" s="110"/>
      <c r="LR19" s="110"/>
      <c r="LS19" s="110"/>
      <c r="LT19" s="110"/>
      <c r="LU19" s="110"/>
      <c r="LV19" s="110"/>
      <c r="LW19" s="110"/>
      <c r="LX19" s="110"/>
      <c r="LY19" s="110"/>
      <c r="LZ19" s="110"/>
      <c r="MA19" s="110"/>
      <c r="MB19" s="110"/>
      <c r="MC19" s="110"/>
      <c r="MD19" s="110"/>
      <c r="ME19" s="110"/>
      <c r="MF19" s="110"/>
      <c r="MG19" s="110"/>
      <c r="MH19" s="110"/>
      <c r="MI19" s="110"/>
      <c r="MJ19" s="110"/>
      <c r="MK19" s="110"/>
      <c r="ML19" s="110"/>
      <c r="MM19" s="110"/>
      <c r="MN19" s="110"/>
      <c r="MO19" s="110"/>
      <c r="MP19" s="110"/>
      <c r="MQ19" s="110"/>
      <c r="MR19" s="110"/>
      <c r="MS19" s="110"/>
      <c r="MT19" s="110"/>
      <c r="MU19" s="110"/>
      <c r="MV19" s="110"/>
      <c r="MW19" s="110"/>
      <c r="MX19" s="110"/>
      <c r="MY19" s="110"/>
      <c r="MZ19" s="110"/>
      <c r="NA19" s="110"/>
      <c r="NB19" s="110"/>
      <c r="NC19" s="110"/>
      <c r="ND19" s="110"/>
      <c r="NE19" s="110"/>
      <c r="NF19" s="110"/>
      <c r="NG19" s="110"/>
      <c r="NH19" s="110"/>
      <c r="NI19" s="110"/>
      <c r="NJ19" s="110"/>
      <c r="NK19" s="110"/>
      <c r="NL19" s="110"/>
      <c r="NM19" s="110"/>
      <c r="NN19" s="110"/>
      <c r="NO19" s="110"/>
      <c r="NP19" s="110"/>
      <c r="NQ19" s="110"/>
      <c r="NR19" s="110"/>
      <c r="NS19" s="110"/>
      <c r="NT19" s="110"/>
      <c r="NU19" s="110"/>
      <c r="NV19" s="110"/>
      <c r="NW19" s="110"/>
      <c r="NX19" s="110"/>
      <c r="NY19" s="110"/>
      <c r="NZ19" s="110"/>
      <c r="OA19" s="110"/>
      <c r="OB19" s="110"/>
      <c r="OC19" s="110"/>
      <c r="OD19" s="110"/>
      <c r="OE19" s="110"/>
      <c r="OF19" s="110"/>
      <c r="OG19" s="110"/>
      <c r="OH19" s="110"/>
      <c r="OI19" s="110"/>
      <c r="OJ19" s="110"/>
      <c r="OK19" s="110"/>
      <c r="OL19" s="110"/>
      <c r="OM19" s="110"/>
      <c r="ON19" s="110"/>
      <c r="OO19" s="110"/>
      <c r="OP19" s="110"/>
      <c r="OQ19" s="110"/>
      <c r="OR19" s="110"/>
      <c r="OS19" s="110"/>
      <c r="OT19" s="110"/>
      <c r="OU19" s="110"/>
      <c r="OV19" s="110"/>
      <c r="OW19" s="110"/>
      <c r="OX19" s="110"/>
      <c r="OY19" s="110"/>
      <c r="OZ19" s="110"/>
      <c r="PA19" s="110"/>
      <c r="PB19" s="110"/>
      <c r="PC19" s="110"/>
      <c r="PD19" s="110"/>
      <c r="PE19" s="110"/>
      <c r="PF19" s="110"/>
      <c r="PG19" s="110"/>
      <c r="PH19" s="110"/>
      <c r="PI19" s="110"/>
      <c r="PJ19" s="110"/>
      <c r="PK19" s="110"/>
      <c r="PL19" s="110"/>
      <c r="PM19" s="110"/>
      <c r="PN19" s="110"/>
      <c r="PO19" s="110"/>
      <c r="PP19" s="110"/>
      <c r="PQ19" s="110"/>
      <c r="PR19" s="110"/>
      <c r="PS19" s="110"/>
      <c r="PT19" s="110"/>
      <c r="PU19" s="110"/>
      <c r="PV19" s="110"/>
      <c r="PW19" s="110"/>
      <c r="PX19" s="110"/>
      <c r="PY19" s="110"/>
      <c r="PZ19" s="110"/>
      <c r="QA19" s="110"/>
      <c r="QB19" s="110"/>
      <c r="QC19" s="110"/>
      <c r="QD19" s="110"/>
      <c r="QE19" s="110"/>
      <c r="QF19" s="110"/>
      <c r="QG19" s="110"/>
      <c r="QH19" s="110"/>
      <c r="QI19" s="110"/>
      <c r="QJ19" s="110"/>
      <c r="QK19" s="110"/>
      <c r="QL19" s="110"/>
      <c r="QM19" s="110"/>
      <c r="QN19" s="110"/>
      <c r="QO19" s="110"/>
      <c r="QP19" s="110"/>
      <c r="QQ19" s="110"/>
      <c r="QR19" s="110"/>
      <c r="QS19" s="110"/>
      <c r="QT19" s="110"/>
      <c r="QU19" s="110"/>
      <c r="QV19" s="110"/>
      <c r="QW19" s="110"/>
      <c r="QX19" s="110"/>
      <c r="QY19" s="110"/>
      <c r="QZ19" s="110"/>
      <c r="RA19" s="110"/>
      <c r="RB19" s="110"/>
      <c r="RC19" s="110"/>
      <c r="RD19" s="110"/>
      <c r="RE19" s="110"/>
      <c r="RF19" s="110"/>
      <c r="RG19" s="110"/>
      <c r="RH19" s="110"/>
      <c r="RI19" s="110"/>
      <c r="RJ19" s="110"/>
      <c r="RK19" s="110"/>
      <c r="RL19" s="110"/>
      <c r="RM19" s="110"/>
      <c r="RN19" s="110"/>
      <c r="RO19" s="110"/>
      <c r="RP19" s="110"/>
      <c r="RQ19" s="110"/>
      <c r="RR19" s="110"/>
      <c r="RS19" s="110"/>
      <c r="RT19" s="110"/>
      <c r="RU19" s="110"/>
      <c r="RV19" s="110"/>
      <c r="RW19" s="110"/>
      <c r="RX19" s="110"/>
      <c r="RY19" s="110"/>
      <c r="RZ19" s="110"/>
      <c r="SA19" s="110"/>
      <c r="SB19" s="110"/>
      <c r="SC19" s="110"/>
      <c r="SD19" s="110"/>
      <c r="SE19" s="110"/>
      <c r="SF19" s="110"/>
      <c r="SG19" s="110"/>
      <c r="SH19" s="110"/>
      <c r="SI19" s="110"/>
      <c r="SJ19" s="110"/>
      <c r="SK19" s="110"/>
      <c r="SL19" s="110"/>
      <c r="SM19" s="110"/>
      <c r="SN19" s="110"/>
      <c r="SO19" s="110"/>
      <c r="SP19" s="110"/>
      <c r="SQ19" s="110"/>
      <c r="SR19" s="110"/>
      <c r="SS19" s="110"/>
      <c r="ST19" s="110"/>
      <c r="SU19" s="110"/>
      <c r="SV19" s="110"/>
      <c r="SW19" s="110"/>
      <c r="SX19" s="110"/>
      <c r="SY19" s="110"/>
      <c r="SZ19" s="110"/>
      <c r="TA19" s="110"/>
      <c r="TB19" s="110"/>
      <c r="TC19" s="110"/>
      <c r="TD19" s="110"/>
      <c r="TE19" s="110"/>
      <c r="TF19" s="110"/>
      <c r="TG19" s="110"/>
      <c r="TH19" s="110"/>
      <c r="TI19" s="110"/>
      <c r="TJ19" s="110"/>
      <c r="TK19" s="110"/>
      <c r="TL19" s="110"/>
      <c r="TM19" s="110"/>
      <c r="TN19" s="110"/>
      <c r="TO19" s="110"/>
      <c r="TP19" s="110"/>
      <c r="TQ19" s="110"/>
      <c r="TR19" s="110"/>
      <c r="TS19" s="110"/>
      <c r="TT19" s="110"/>
      <c r="TU19" s="110"/>
      <c r="TV19" s="110"/>
      <c r="TW19" s="110"/>
      <c r="TX19" s="110"/>
      <c r="TY19" s="110"/>
      <c r="TZ19" s="110"/>
      <c r="UA19" s="110"/>
      <c r="UB19" s="110"/>
      <c r="UC19" s="110"/>
      <c r="UD19" s="110"/>
      <c r="UE19" s="110"/>
      <c r="UF19" s="110"/>
      <c r="UG19" s="110"/>
      <c r="UH19" s="110"/>
      <c r="UI19" s="110"/>
      <c r="UJ19" s="110"/>
      <c r="UK19" s="110"/>
      <c r="UL19" s="110"/>
      <c r="UM19" s="110"/>
      <c r="UN19" s="110"/>
      <c r="UO19" s="110"/>
      <c r="UP19" s="110"/>
      <c r="UQ19" s="110"/>
      <c r="UR19" s="110"/>
      <c r="US19" s="110"/>
      <c r="UT19" s="110"/>
      <c r="UU19" s="110"/>
      <c r="UV19" s="110"/>
      <c r="UW19" s="110"/>
      <c r="UX19" s="110"/>
      <c r="UY19" s="110"/>
      <c r="UZ19" s="110"/>
      <c r="VA19" s="110"/>
      <c r="VB19" s="110"/>
      <c r="VC19" s="110"/>
      <c r="VD19" s="110"/>
      <c r="VE19" s="110"/>
      <c r="VF19" s="110"/>
      <c r="VG19" s="110"/>
      <c r="VH19" s="110"/>
      <c r="VI19" s="110"/>
      <c r="VJ19" s="110"/>
      <c r="VK19" s="110"/>
      <c r="VL19" s="110"/>
      <c r="VM19" s="110"/>
      <c r="VN19" s="110"/>
      <c r="VO19" s="110"/>
      <c r="VP19" s="110"/>
      <c r="VQ19" s="110"/>
      <c r="VR19" s="110"/>
      <c r="VS19" s="110"/>
      <c r="VT19" s="110"/>
      <c r="VU19" s="110"/>
      <c r="VV19" s="110"/>
      <c r="VW19" s="110"/>
      <c r="VX19" s="110"/>
      <c r="VY19" s="110"/>
      <c r="VZ19" s="110"/>
      <c r="WA19" s="110"/>
      <c r="WB19" s="110"/>
      <c r="WC19" s="110"/>
      <c r="WD19" s="110"/>
      <c r="WE19" s="110"/>
      <c r="WF19" s="110"/>
      <c r="WG19" s="110"/>
      <c r="WH19" s="110"/>
      <c r="WI19" s="110"/>
      <c r="WJ19" s="110"/>
      <c r="WK19" s="110"/>
      <c r="WL19" s="110"/>
      <c r="WM19" s="110"/>
      <c r="WN19" s="110"/>
      <c r="WO19" s="110"/>
      <c r="WP19" s="110"/>
      <c r="WQ19" s="110"/>
      <c r="WR19" s="110"/>
      <c r="WS19" s="110"/>
      <c r="WT19" s="110"/>
      <c r="WU19" s="110"/>
      <c r="WV19" s="110"/>
      <c r="WW19" s="110"/>
      <c r="WX19" s="110"/>
      <c r="WY19" s="110"/>
      <c r="WZ19" s="110"/>
      <c r="XA19" s="110"/>
      <c r="XB19" s="110"/>
      <c r="XC19" s="110"/>
      <c r="XD19" s="110"/>
      <c r="XE19" s="110"/>
      <c r="XF19" s="110"/>
      <c r="XG19" s="110"/>
      <c r="XH19" s="110"/>
      <c r="XI19" s="110"/>
      <c r="XJ19" s="110"/>
      <c r="XK19" s="110"/>
      <c r="XL19" s="110"/>
      <c r="XM19" s="110"/>
      <c r="XN19" s="110"/>
      <c r="XO19" s="110"/>
      <c r="XP19" s="110"/>
      <c r="XQ19" s="110"/>
      <c r="XR19" s="110"/>
      <c r="XS19" s="110"/>
      <c r="XT19" s="110"/>
      <c r="XU19" s="110"/>
      <c r="XV19" s="110"/>
      <c r="XW19" s="110"/>
      <c r="XX19" s="110"/>
      <c r="XY19" s="110"/>
      <c r="XZ19" s="110"/>
      <c r="YA19" s="110"/>
      <c r="YB19" s="110"/>
      <c r="YC19" s="110"/>
      <c r="YD19" s="110"/>
      <c r="YE19" s="110"/>
      <c r="YF19" s="110"/>
      <c r="YG19" s="110"/>
      <c r="YH19" s="110"/>
      <c r="YI19" s="110"/>
      <c r="YJ19" s="110"/>
      <c r="YK19" s="110"/>
      <c r="YL19" s="110"/>
      <c r="YM19" s="110"/>
      <c r="YN19" s="110"/>
      <c r="YO19" s="110"/>
      <c r="YP19" s="110"/>
      <c r="YQ19" s="110"/>
      <c r="YR19" s="110"/>
      <c r="YS19" s="110"/>
      <c r="YT19" s="110"/>
      <c r="YU19" s="110"/>
      <c r="YV19" s="110"/>
      <c r="YW19" s="110"/>
      <c r="YX19" s="110"/>
      <c r="YY19" s="110"/>
      <c r="YZ19" s="110"/>
      <c r="ZA19" s="110"/>
      <c r="ZB19" s="110"/>
      <c r="ZC19" s="110"/>
      <c r="ZD19" s="110"/>
      <c r="ZE19" s="110"/>
      <c r="ZF19" s="110"/>
      <c r="ZG19" s="110"/>
      <c r="ZH19" s="110"/>
      <c r="ZI19" s="110"/>
      <c r="ZJ19" s="110"/>
      <c r="ZK19" s="110"/>
      <c r="ZL19" s="110"/>
      <c r="ZM19" s="110"/>
      <c r="ZN19" s="110"/>
      <c r="ZO19" s="110"/>
      <c r="ZP19" s="110"/>
      <c r="ZQ19" s="110"/>
      <c r="ZR19" s="110"/>
      <c r="ZS19" s="110"/>
      <c r="ZT19" s="110"/>
      <c r="ZU19" s="110"/>
      <c r="ZV19" s="110"/>
      <c r="ZW19" s="110"/>
      <c r="ZX19" s="110"/>
      <c r="ZY19" s="110"/>
      <c r="ZZ19" s="110"/>
      <c r="AAA19" s="110"/>
      <c r="AAB19" s="110"/>
      <c r="AAC19" s="110"/>
      <c r="AAD19" s="110"/>
      <c r="AAE19" s="110"/>
      <c r="AAF19" s="110"/>
      <c r="AAG19" s="110"/>
      <c r="AAH19" s="110"/>
      <c r="AAI19" s="110"/>
      <c r="AAJ19" s="110"/>
      <c r="AAK19" s="110"/>
      <c r="AAL19" s="110"/>
      <c r="AAM19" s="110"/>
      <c r="AAN19" s="110"/>
      <c r="AAO19" s="110"/>
      <c r="AAP19" s="110"/>
      <c r="AAQ19" s="110"/>
      <c r="AAR19" s="110"/>
      <c r="AAS19" s="110"/>
      <c r="AAT19" s="110"/>
      <c r="AAU19" s="110"/>
      <c r="AAV19" s="110"/>
      <c r="AAW19" s="110"/>
      <c r="AAX19" s="110"/>
      <c r="AAY19" s="110"/>
      <c r="AAZ19" s="110"/>
      <c r="ABA19" s="110"/>
      <c r="ABB19" s="110"/>
      <c r="ABC19" s="110"/>
      <c r="ABD19" s="110"/>
      <c r="ABE19" s="110"/>
      <c r="ABF19" s="110"/>
      <c r="ABG19" s="110"/>
      <c r="ABH19" s="110"/>
      <c r="ABI19" s="110"/>
      <c r="ABJ19" s="110"/>
      <c r="ABK19" s="110"/>
      <c r="ABL19" s="110"/>
      <c r="ABM19" s="110"/>
      <c r="ABN19" s="110"/>
      <c r="ABO19" s="110"/>
      <c r="ABP19" s="110"/>
      <c r="ABQ19" s="110"/>
      <c r="ABR19" s="110"/>
      <c r="ABS19" s="110"/>
      <c r="ABT19" s="110"/>
      <c r="ABU19" s="110"/>
      <c r="ABV19" s="110"/>
      <c r="ABW19" s="110"/>
      <c r="ABX19" s="110"/>
      <c r="ABY19" s="110"/>
      <c r="ABZ19" s="110"/>
      <c r="ACA19" s="110"/>
      <c r="ACB19" s="110"/>
      <c r="ACC19" s="110"/>
      <c r="ACD19" s="110"/>
      <c r="ACE19" s="110"/>
      <c r="ACF19" s="110"/>
      <c r="ACG19" s="110"/>
      <c r="ACH19" s="110"/>
      <c r="ACI19" s="110"/>
      <c r="ACJ19" s="110"/>
      <c r="ACK19" s="110"/>
      <c r="ACL19" s="110"/>
      <c r="ACM19" s="110"/>
      <c r="ACN19" s="110"/>
      <c r="ACO19" s="110"/>
      <c r="ACP19" s="110"/>
      <c r="ACQ19" s="110"/>
      <c r="ACR19" s="110"/>
      <c r="ACS19" s="110"/>
      <c r="ACT19" s="110"/>
      <c r="ACU19" s="110"/>
      <c r="ACV19" s="110"/>
      <c r="ACW19" s="110"/>
      <c r="ACX19" s="110"/>
      <c r="ACY19" s="110"/>
      <c r="ACZ19" s="110"/>
      <c r="ADA19" s="110"/>
      <c r="ADB19" s="110"/>
      <c r="ADC19" s="110"/>
      <c r="ADD19" s="110"/>
      <c r="ADE19" s="110"/>
      <c r="ADF19" s="110"/>
      <c r="ADG19" s="110"/>
      <c r="ADH19" s="110"/>
      <c r="ADI19" s="110"/>
      <c r="ADJ19" s="110"/>
      <c r="ADK19" s="110"/>
      <c r="ADL19" s="110"/>
      <c r="ADM19" s="110"/>
      <c r="ADN19" s="110"/>
      <c r="ADO19" s="110"/>
      <c r="ADP19" s="110"/>
      <c r="ADQ19" s="110"/>
      <c r="ADR19" s="110"/>
      <c r="ADS19" s="110"/>
      <c r="ADT19" s="110"/>
      <c r="ADU19" s="110"/>
      <c r="ADV19" s="110"/>
      <c r="ADW19" s="110"/>
      <c r="ADX19" s="110"/>
      <c r="ADY19" s="110"/>
      <c r="ADZ19" s="110"/>
      <c r="AEA19" s="110"/>
      <c r="AEB19" s="110"/>
      <c r="AEC19" s="110"/>
      <c r="AED19" s="110"/>
      <c r="AEE19" s="110"/>
      <c r="AEF19" s="110"/>
      <c r="AEG19" s="110"/>
      <c r="AEH19" s="110"/>
      <c r="AEI19" s="110"/>
      <c r="AEJ19" s="110"/>
      <c r="AEK19" s="110"/>
      <c r="AEL19" s="110"/>
      <c r="AEM19" s="110"/>
      <c r="AEN19" s="110"/>
      <c r="AEO19" s="110"/>
      <c r="AEP19" s="110"/>
      <c r="AEQ19" s="110"/>
      <c r="AER19" s="110"/>
      <c r="AES19" s="110"/>
      <c r="AET19" s="110"/>
      <c r="AEU19" s="110"/>
      <c r="AEV19" s="110"/>
      <c r="AEW19" s="110"/>
      <c r="AEX19" s="110"/>
      <c r="AEY19" s="110"/>
      <c r="AEZ19" s="110"/>
      <c r="AFA19" s="110"/>
      <c r="AFB19" s="110"/>
      <c r="AFC19" s="110"/>
      <c r="AFD19" s="110"/>
      <c r="AFE19" s="110"/>
      <c r="AFF19" s="110"/>
      <c r="AFG19" s="110"/>
      <c r="AFH19" s="110"/>
      <c r="AFI19" s="110"/>
      <c r="AFJ19" s="110"/>
      <c r="AFK19" s="110"/>
      <c r="AFL19" s="110"/>
      <c r="AFM19" s="110"/>
      <c r="AFN19" s="110"/>
      <c r="AFO19" s="110"/>
      <c r="AFP19" s="110"/>
      <c r="AFQ19" s="110"/>
      <c r="AFR19" s="110"/>
      <c r="AFS19" s="110"/>
      <c r="AFT19" s="110"/>
      <c r="AFU19" s="110"/>
      <c r="AFV19" s="110"/>
      <c r="AFW19" s="110"/>
      <c r="AFX19" s="110"/>
      <c r="AFY19" s="110"/>
      <c r="AFZ19" s="110"/>
      <c r="AGA19" s="110"/>
      <c r="AGB19" s="110"/>
      <c r="AGC19" s="110"/>
      <c r="AGD19" s="110"/>
      <c r="AGE19" s="110"/>
      <c r="AGF19" s="110"/>
      <c r="AGG19" s="110"/>
      <c r="AGH19" s="110"/>
      <c r="AGI19" s="110"/>
      <c r="AGJ19" s="110"/>
      <c r="AGK19" s="110"/>
      <c r="AGL19" s="110"/>
      <c r="AGM19" s="110"/>
      <c r="AGN19" s="110"/>
      <c r="AGO19" s="110"/>
      <c r="AGP19" s="110"/>
      <c r="AGQ19" s="110"/>
      <c r="AGR19" s="110"/>
      <c r="AGS19" s="110"/>
      <c r="AGT19" s="110"/>
      <c r="AGU19" s="110"/>
      <c r="AGV19" s="110"/>
      <c r="AGW19" s="110"/>
      <c r="AGX19" s="110"/>
      <c r="AGY19" s="110"/>
      <c r="AGZ19" s="110"/>
      <c r="AHA19" s="110"/>
      <c r="AHB19" s="110"/>
      <c r="AHC19" s="110"/>
      <c r="AHD19" s="110"/>
      <c r="AHE19" s="110"/>
      <c r="AHF19" s="110"/>
      <c r="AHG19" s="110"/>
      <c r="AHH19" s="110"/>
      <c r="AHI19" s="110"/>
      <c r="AHJ19" s="110"/>
      <c r="AHK19" s="110"/>
      <c r="AHL19" s="110"/>
      <c r="AHM19" s="110"/>
      <c r="AHN19" s="110"/>
      <c r="AHO19" s="110"/>
      <c r="AHP19" s="110"/>
      <c r="AHQ19" s="110"/>
      <c r="AHR19" s="110"/>
      <c r="AHS19" s="110"/>
      <c r="AHT19" s="110"/>
      <c r="AHU19" s="110"/>
      <c r="AHV19" s="110"/>
      <c r="AHW19" s="110"/>
      <c r="AHX19" s="110"/>
      <c r="AHY19" s="110"/>
      <c r="AHZ19" s="110"/>
      <c r="AIA19" s="110"/>
      <c r="AIB19" s="110"/>
      <c r="AIC19" s="110"/>
      <c r="AID19" s="110"/>
      <c r="AIE19" s="110"/>
      <c r="AIF19" s="110"/>
      <c r="AIG19" s="110"/>
      <c r="AIH19" s="110"/>
      <c r="AII19" s="110"/>
      <c r="AIJ19" s="110"/>
      <c r="AIK19" s="110"/>
      <c r="AIL19" s="110"/>
      <c r="AIM19" s="110"/>
      <c r="AIN19" s="110"/>
      <c r="AIO19" s="110"/>
      <c r="AIP19" s="110"/>
      <c r="AIQ19" s="110"/>
      <c r="AIR19" s="110"/>
      <c r="AIS19" s="110"/>
      <c r="AIT19" s="110"/>
      <c r="AIU19" s="110"/>
      <c r="AIV19" s="110"/>
      <c r="AIW19" s="110"/>
      <c r="AIX19" s="110"/>
      <c r="AIY19" s="110"/>
      <c r="AIZ19" s="110"/>
      <c r="AJA19" s="110"/>
      <c r="AJB19" s="110"/>
      <c r="AJC19" s="110"/>
      <c r="AJD19" s="110"/>
      <c r="AJE19" s="110"/>
      <c r="AJF19" s="110"/>
      <c r="AJG19" s="110"/>
      <c r="AJH19" s="110"/>
      <c r="AJI19" s="110"/>
      <c r="AJJ19" s="110"/>
      <c r="AJK19" s="110"/>
      <c r="AJL19" s="110"/>
      <c r="AJM19" s="110"/>
      <c r="AJN19" s="110"/>
      <c r="AJO19" s="110"/>
      <c r="AJP19" s="110"/>
      <c r="AJQ19" s="110"/>
      <c r="AJR19" s="110"/>
      <c r="AJS19" s="110"/>
      <c r="AJT19" s="110"/>
      <c r="AJU19" s="110"/>
      <c r="AJV19" s="110"/>
      <c r="AJW19" s="110"/>
      <c r="AJX19" s="110"/>
      <c r="AJY19" s="110"/>
      <c r="AJZ19" s="110"/>
      <c r="AKA19" s="110"/>
      <c r="AKB19" s="110"/>
      <c r="AKC19" s="110"/>
      <c r="AKD19" s="110"/>
      <c r="AKE19" s="110"/>
      <c r="AKF19" s="110"/>
      <c r="AKG19" s="110"/>
      <c r="AKH19" s="110"/>
      <c r="AKI19" s="110"/>
      <c r="AKJ19" s="110"/>
      <c r="AKK19" s="110"/>
      <c r="AKL19" s="110"/>
      <c r="AKM19" s="110"/>
      <c r="AKN19" s="110"/>
      <c r="AKO19" s="110"/>
      <c r="AKP19" s="110"/>
      <c r="AKQ19" s="110"/>
      <c r="AKR19" s="110"/>
      <c r="AKS19" s="110"/>
      <c r="AKT19" s="110"/>
      <c r="AKU19" s="110"/>
      <c r="AKV19" s="110"/>
      <c r="AKW19" s="110"/>
      <c r="AKX19" s="110"/>
      <c r="AKY19" s="110"/>
      <c r="AKZ19" s="110"/>
      <c r="ALA19" s="110"/>
      <c r="ALB19" s="110"/>
      <c r="ALC19" s="110"/>
      <c r="ALD19" s="110"/>
      <c r="ALE19" s="110"/>
      <c r="ALF19" s="110"/>
      <c r="ALG19" s="110"/>
      <c r="ALH19" s="110"/>
      <c r="ALI19" s="110"/>
      <c r="ALJ19" s="110"/>
      <c r="ALK19" s="110"/>
      <c r="ALL19" s="110"/>
      <c r="ALM19" s="110"/>
      <c r="ALN19" s="110"/>
      <c r="ALO19" s="110"/>
      <c r="ALP19" s="110"/>
      <c r="ALQ19" s="110"/>
      <c r="ALR19" s="110"/>
      <c r="ALS19" s="110"/>
      <c r="ALT19" s="110"/>
      <c r="ALU19" s="110"/>
      <c r="ALV19" s="110"/>
      <c r="ALW19" s="110"/>
      <c r="ALX19" s="110"/>
      <c r="ALY19" s="110"/>
      <c r="ALZ19" s="110"/>
      <c r="AMA19" s="110"/>
      <c r="AMB19" s="110"/>
      <c r="AMC19" s="110"/>
      <c r="AMD19" s="110"/>
      <c r="AME19" s="110"/>
      <c r="AMF19" s="110"/>
      <c r="AMG19" s="110"/>
      <c r="AMH19" s="110"/>
      <c r="AMI19" s="110"/>
      <c r="AMJ19" s="110"/>
      <c r="AMK19" s="110"/>
      <c r="AML19" s="110"/>
      <c r="AMM19" s="110"/>
      <c r="AMN19" s="110"/>
      <c r="AMO19" s="110"/>
      <c r="AMP19" s="110"/>
      <c r="AMQ19" s="110"/>
      <c r="AMR19" s="110"/>
      <c r="AMS19" s="110"/>
      <c r="AMT19" s="110"/>
      <c r="AMU19" s="110"/>
      <c r="AMV19" s="110"/>
      <c r="AMW19" s="110"/>
      <c r="AMX19" s="110"/>
      <c r="AMY19" s="110"/>
      <c r="AMZ19" s="110"/>
      <c r="ANA19" s="110"/>
      <c r="ANB19" s="110"/>
      <c r="ANC19" s="110"/>
      <c r="AND19" s="110"/>
      <c r="ANE19" s="110"/>
      <c r="ANF19" s="110"/>
      <c r="ANG19" s="110"/>
      <c r="ANH19" s="110"/>
      <c r="ANI19" s="110"/>
      <c r="ANJ19" s="110"/>
      <c r="ANK19" s="110"/>
      <c r="ANL19" s="110"/>
      <c r="ANM19" s="110"/>
      <c r="ANN19" s="110"/>
      <c r="ANO19" s="110"/>
      <c r="ANP19" s="110"/>
      <c r="ANQ19" s="110"/>
      <c r="ANR19" s="110"/>
      <c r="ANS19" s="110"/>
      <c r="ANT19" s="110"/>
      <c r="ANU19" s="110"/>
      <c r="ANV19" s="110"/>
      <c r="ANW19" s="110"/>
      <c r="ANX19" s="110"/>
      <c r="ANY19" s="110"/>
      <c r="ANZ19" s="110"/>
      <c r="AOA19" s="110"/>
      <c r="AOB19" s="110"/>
      <c r="AOC19" s="110"/>
      <c r="AOD19" s="110"/>
      <c r="AOE19" s="110"/>
      <c r="AOF19" s="110"/>
      <c r="AOG19" s="110"/>
      <c r="AOH19" s="110"/>
      <c r="AOI19" s="110"/>
      <c r="AOJ19" s="110"/>
      <c r="AOK19" s="110"/>
      <c r="AOL19" s="110"/>
      <c r="AOM19" s="110"/>
      <c r="AON19" s="110"/>
      <c r="AOO19" s="110"/>
      <c r="AOP19" s="110"/>
      <c r="AOQ19" s="110"/>
      <c r="AOR19" s="110"/>
      <c r="AOS19" s="110"/>
      <c r="AOT19" s="110"/>
      <c r="AOU19" s="110"/>
      <c r="AOV19" s="110"/>
      <c r="AOW19" s="110"/>
      <c r="AOX19" s="110"/>
      <c r="AOY19" s="110"/>
      <c r="AOZ19" s="110"/>
      <c r="APA19" s="110"/>
      <c r="APB19" s="110"/>
      <c r="APC19" s="110"/>
      <c r="APD19" s="110"/>
      <c r="APE19" s="110"/>
      <c r="APF19" s="110"/>
      <c r="APG19" s="110"/>
      <c r="APH19" s="110"/>
      <c r="API19" s="110"/>
      <c r="APJ19" s="110"/>
      <c r="APK19" s="110"/>
      <c r="APL19" s="110"/>
      <c r="APM19" s="110"/>
      <c r="APN19" s="110"/>
      <c r="APO19" s="110"/>
      <c r="APP19" s="110"/>
      <c r="APQ19" s="110"/>
      <c r="APR19" s="110"/>
      <c r="APS19" s="110"/>
      <c r="APT19" s="110"/>
      <c r="APU19" s="110"/>
      <c r="APV19" s="110"/>
      <c r="APW19" s="110"/>
      <c r="APX19" s="110"/>
      <c r="APY19" s="110"/>
      <c r="APZ19" s="110"/>
      <c r="AQA19" s="110"/>
      <c r="AQB19" s="110"/>
      <c r="AQC19" s="110"/>
      <c r="AQD19" s="110"/>
      <c r="AQE19" s="110"/>
      <c r="AQF19" s="110"/>
      <c r="AQG19" s="110"/>
      <c r="AQH19" s="110"/>
      <c r="AQI19" s="110"/>
      <c r="AQJ19" s="110"/>
      <c r="AQK19" s="110"/>
      <c r="AQL19" s="110"/>
      <c r="AQM19" s="110"/>
      <c r="AQN19" s="110"/>
      <c r="AQO19" s="110"/>
      <c r="AQP19" s="110"/>
      <c r="AQQ19" s="110"/>
      <c r="AQR19" s="110"/>
      <c r="AQS19" s="110"/>
      <c r="AQT19" s="110"/>
      <c r="AQU19" s="110"/>
      <c r="AQV19" s="110"/>
      <c r="AQW19" s="110"/>
      <c r="AQX19" s="110"/>
      <c r="AQY19" s="110"/>
      <c r="AQZ19" s="110"/>
      <c r="ARA19" s="110"/>
      <c r="ARB19" s="110"/>
      <c r="ARC19" s="110"/>
      <c r="ARD19" s="110"/>
      <c r="ARE19" s="110"/>
      <c r="ARF19" s="110"/>
      <c r="ARG19" s="110"/>
      <c r="ARH19" s="110"/>
      <c r="ARI19" s="110"/>
      <c r="ARJ19" s="110"/>
      <c r="ARK19" s="110"/>
      <c r="ARL19" s="110"/>
      <c r="ARM19" s="110"/>
      <c r="ARN19" s="110"/>
      <c r="ARO19" s="110"/>
      <c r="ARP19" s="110"/>
      <c r="ARQ19" s="110"/>
      <c r="ARR19" s="110"/>
      <c r="ARS19" s="110"/>
      <c r="ART19" s="110"/>
      <c r="ARU19" s="110"/>
      <c r="ARV19" s="110"/>
      <c r="ARW19" s="110"/>
      <c r="ARX19" s="110"/>
      <c r="ARY19" s="110"/>
      <c r="ARZ19" s="110"/>
      <c r="ASA19" s="110"/>
      <c r="ASB19" s="110"/>
      <c r="ASC19" s="110"/>
      <c r="ASD19" s="110"/>
      <c r="ASE19" s="110"/>
      <c r="ASF19" s="110"/>
      <c r="ASG19" s="110"/>
      <c r="ASH19" s="110"/>
      <c r="ASI19" s="110"/>
      <c r="ASJ19" s="110"/>
      <c r="ASK19" s="110"/>
      <c r="ASL19" s="110"/>
      <c r="ASM19" s="110"/>
      <c r="ASN19" s="110"/>
      <c r="ASO19" s="110"/>
      <c r="ASP19" s="110"/>
      <c r="ASQ19" s="110"/>
      <c r="ASR19" s="110"/>
      <c r="ASS19" s="110"/>
      <c r="AST19" s="110"/>
      <c r="ASU19" s="110"/>
      <c r="ASV19" s="110"/>
      <c r="ASW19" s="110"/>
      <c r="ASX19" s="110"/>
      <c r="ASY19" s="110"/>
      <c r="ASZ19" s="110"/>
      <c r="ATA19" s="110"/>
      <c r="ATB19" s="110"/>
      <c r="ATC19" s="110"/>
      <c r="ATD19" s="110"/>
      <c r="ATE19" s="110"/>
      <c r="ATF19" s="110"/>
      <c r="ATG19" s="110"/>
      <c r="ATH19" s="110"/>
      <c r="ATI19" s="110"/>
      <c r="ATJ19" s="110"/>
      <c r="ATK19" s="110"/>
      <c r="ATL19" s="110"/>
      <c r="ATM19" s="110"/>
      <c r="ATN19" s="110"/>
      <c r="ATO19" s="110"/>
      <c r="ATP19" s="110"/>
      <c r="ATQ19" s="110"/>
      <c r="ATR19" s="110"/>
      <c r="ATS19" s="110"/>
      <c r="ATT19" s="110"/>
      <c r="ATU19" s="110"/>
      <c r="ATV19" s="110"/>
      <c r="ATW19" s="110"/>
      <c r="ATX19" s="110"/>
      <c r="ATY19" s="110"/>
      <c r="ATZ19" s="110"/>
      <c r="AUA19" s="110"/>
      <c r="AUB19" s="110"/>
      <c r="AUC19" s="110"/>
      <c r="AUD19" s="110"/>
      <c r="AUE19" s="110"/>
      <c r="AUF19" s="110"/>
      <c r="AUG19" s="110"/>
      <c r="AUH19" s="110"/>
      <c r="AUI19" s="110"/>
      <c r="AUJ19" s="110"/>
      <c r="AUK19" s="110"/>
      <c r="AUL19" s="110"/>
      <c r="AUM19" s="110"/>
      <c r="AUN19" s="110"/>
      <c r="AUO19" s="110"/>
      <c r="AUP19" s="110"/>
      <c r="AUQ19" s="110"/>
      <c r="AUR19" s="110"/>
      <c r="AUS19" s="110"/>
      <c r="AUT19" s="110"/>
      <c r="AUU19" s="110"/>
      <c r="AUV19" s="110"/>
      <c r="AUW19" s="110"/>
      <c r="AUX19" s="110"/>
      <c r="AUY19" s="110"/>
      <c r="AUZ19" s="110"/>
      <c r="AVA19" s="110"/>
      <c r="AVB19" s="110"/>
      <c r="AVC19" s="110"/>
      <c r="AVD19" s="110"/>
      <c r="AVE19" s="110"/>
      <c r="AVF19" s="110"/>
      <c r="AVG19" s="110"/>
      <c r="AVH19" s="110"/>
      <c r="AVI19" s="110"/>
      <c r="AVJ19" s="110"/>
      <c r="AVK19" s="110"/>
      <c r="AVL19" s="110"/>
      <c r="AVM19" s="110"/>
      <c r="AVN19" s="110"/>
      <c r="AVO19" s="110"/>
      <c r="AVP19" s="110"/>
      <c r="AVQ19" s="110"/>
      <c r="AVR19" s="110"/>
      <c r="AVS19" s="110"/>
      <c r="AVT19" s="110"/>
      <c r="AVU19" s="110"/>
      <c r="AVV19" s="110"/>
      <c r="AVW19" s="110"/>
      <c r="AVX19" s="110"/>
      <c r="AVY19" s="110"/>
      <c r="AVZ19" s="110"/>
      <c r="AWA19" s="110"/>
      <c r="AWB19" s="110"/>
      <c r="AWC19" s="110"/>
      <c r="AWD19" s="110"/>
      <c r="AWE19" s="110"/>
      <c r="AWF19" s="110"/>
      <c r="AWG19" s="110"/>
      <c r="AWH19" s="110"/>
      <c r="AWI19" s="110"/>
      <c r="AWJ19" s="110"/>
      <c r="AWK19" s="110"/>
      <c r="AWL19" s="110"/>
      <c r="AWM19" s="110"/>
      <c r="AWN19" s="110"/>
      <c r="AWO19" s="110"/>
      <c r="AWP19" s="110"/>
      <c r="AWQ19" s="110"/>
      <c r="AWR19" s="110"/>
      <c r="AWS19" s="110"/>
      <c r="AWT19" s="110"/>
      <c r="AWU19" s="110"/>
      <c r="AWV19" s="110"/>
      <c r="AWW19" s="110"/>
      <c r="AWX19" s="110"/>
      <c r="AWY19" s="110"/>
      <c r="AWZ19" s="110"/>
      <c r="AXA19" s="110"/>
      <c r="AXB19" s="110"/>
      <c r="AXC19" s="110"/>
      <c r="AXD19" s="110"/>
      <c r="AXE19" s="110"/>
      <c r="AXF19" s="110"/>
      <c r="AXG19" s="110"/>
      <c r="AXH19" s="110"/>
      <c r="AXI19" s="110"/>
      <c r="AXJ19" s="110"/>
      <c r="AXK19" s="110"/>
      <c r="AXL19" s="110"/>
      <c r="AXM19" s="110"/>
      <c r="AXN19" s="110"/>
      <c r="AXO19" s="110"/>
      <c r="AXP19" s="110"/>
      <c r="AXQ19" s="110"/>
      <c r="AXR19" s="110"/>
      <c r="AXS19" s="110"/>
      <c r="AXT19" s="110"/>
      <c r="AXU19" s="110"/>
      <c r="AXV19" s="110"/>
      <c r="AXW19" s="110"/>
      <c r="AXX19" s="110"/>
      <c r="AXY19" s="110"/>
      <c r="AXZ19" s="110"/>
      <c r="AYA19" s="110"/>
      <c r="AYB19" s="110"/>
      <c r="AYC19" s="110"/>
      <c r="AYD19" s="110"/>
      <c r="AYE19" s="110"/>
      <c r="AYF19" s="110"/>
      <c r="AYG19" s="110"/>
      <c r="AYH19" s="110"/>
      <c r="AYI19" s="110"/>
      <c r="AYJ19" s="110"/>
      <c r="AYK19" s="110"/>
      <c r="AYL19" s="110"/>
      <c r="AYM19" s="110"/>
      <c r="AYN19" s="110"/>
      <c r="AYO19" s="110"/>
      <c r="AYP19" s="110"/>
      <c r="AYQ19" s="110"/>
      <c r="AYR19" s="110"/>
      <c r="AYS19" s="110"/>
      <c r="AYT19" s="110"/>
      <c r="AYU19" s="110"/>
      <c r="AYV19" s="110"/>
      <c r="AYW19" s="110"/>
      <c r="AYX19" s="110"/>
      <c r="AYY19" s="110"/>
      <c r="AYZ19" s="110"/>
      <c r="AZA19" s="110"/>
      <c r="AZB19" s="110"/>
      <c r="AZC19" s="110"/>
      <c r="AZD19" s="110"/>
      <c r="AZE19" s="110"/>
      <c r="AZF19" s="110"/>
      <c r="AZG19" s="110"/>
      <c r="AZH19" s="110"/>
      <c r="AZI19" s="110"/>
      <c r="AZJ19" s="110"/>
      <c r="AZK19" s="110"/>
      <c r="AZL19" s="110"/>
      <c r="AZM19" s="110"/>
      <c r="AZN19" s="110"/>
      <c r="AZO19" s="110"/>
      <c r="AZP19" s="110"/>
      <c r="AZQ19" s="110"/>
      <c r="AZR19" s="110"/>
      <c r="AZS19" s="110"/>
      <c r="AZT19" s="110"/>
      <c r="AZU19" s="110"/>
      <c r="AZV19" s="110"/>
      <c r="AZW19" s="110"/>
      <c r="AZX19" s="110"/>
      <c r="AZY19" s="110"/>
      <c r="AZZ19" s="110"/>
      <c r="BAA19" s="110"/>
      <c r="BAB19" s="110"/>
      <c r="BAC19" s="110"/>
      <c r="BAD19" s="110"/>
      <c r="BAE19" s="110"/>
      <c r="BAF19" s="110"/>
      <c r="BAG19" s="110"/>
      <c r="BAH19" s="110"/>
      <c r="BAI19" s="110"/>
      <c r="BAJ19" s="110"/>
      <c r="BAK19" s="110"/>
      <c r="BAL19" s="110"/>
      <c r="BAM19" s="110"/>
      <c r="BAN19" s="110"/>
      <c r="BAO19" s="110"/>
      <c r="BAP19" s="110"/>
      <c r="BAQ19" s="110"/>
      <c r="BAR19" s="110"/>
      <c r="BAS19" s="110"/>
      <c r="BAT19" s="110"/>
      <c r="BAU19" s="110"/>
      <c r="BAV19" s="110"/>
      <c r="BAW19" s="110"/>
      <c r="BAX19" s="110"/>
      <c r="BAY19" s="110"/>
      <c r="BAZ19" s="110"/>
      <c r="BBA19" s="110"/>
      <c r="BBB19" s="110"/>
      <c r="BBC19" s="110"/>
      <c r="BBD19" s="110"/>
      <c r="BBE19" s="110"/>
      <c r="BBF19" s="110"/>
      <c r="BBG19" s="110"/>
      <c r="BBH19" s="110"/>
      <c r="BBI19" s="110"/>
      <c r="BBJ19" s="110"/>
      <c r="BBK19" s="110"/>
      <c r="BBL19" s="110"/>
      <c r="BBM19" s="110"/>
      <c r="BBN19" s="110"/>
      <c r="BBO19" s="110"/>
      <c r="BBP19" s="110"/>
      <c r="BBQ19" s="110"/>
      <c r="BBR19" s="110"/>
      <c r="BBS19" s="110"/>
      <c r="BBT19" s="110"/>
      <c r="BBU19" s="110"/>
      <c r="BBV19" s="110"/>
      <c r="BBW19" s="110"/>
      <c r="BBX19" s="110"/>
      <c r="BBY19" s="110"/>
      <c r="BBZ19" s="110"/>
      <c r="BCA19" s="110"/>
      <c r="BCB19" s="110"/>
      <c r="BCC19" s="110"/>
      <c r="BCD19" s="110"/>
      <c r="BCE19" s="110"/>
      <c r="BCF19" s="110"/>
      <c r="BCG19" s="110"/>
      <c r="BCH19" s="110"/>
      <c r="BCI19" s="110"/>
      <c r="BCJ19" s="110"/>
      <c r="BCK19" s="110"/>
      <c r="BCL19" s="110"/>
      <c r="BCM19" s="110"/>
      <c r="BCN19" s="110"/>
      <c r="BCO19" s="110"/>
      <c r="BCP19" s="110"/>
      <c r="BCQ19" s="110"/>
      <c r="BCR19" s="110"/>
      <c r="BCS19" s="110"/>
      <c r="BCT19" s="110"/>
      <c r="BCU19" s="110"/>
      <c r="BCV19" s="110"/>
      <c r="BCW19" s="110"/>
      <c r="BCX19" s="110"/>
      <c r="BCY19" s="110"/>
      <c r="BCZ19" s="110"/>
      <c r="BDA19" s="110"/>
      <c r="BDB19" s="110"/>
      <c r="BDC19" s="110"/>
      <c r="BDD19" s="110"/>
      <c r="BDE19" s="110"/>
      <c r="BDF19" s="110"/>
      <c r="BDG19" s="110"/>
      <c r="BDH19" s="110"/>
      <c r="BDI19" s="110"/>
      <c r="BDJ19" s="110"/>
      <c r="BDK19" s="110"/>
      <c r="BDL19" s="110"/>
      <c r="BDM19" s="110"/>
      <c r="BDN19" s="110"/>
      <c r="BDO19" s="110"/>
      <c r="BDP19" s="110"/>
      <c r="BDQ19" s="110"/>
      <c r="BDR19" s="110"/>
      <c r="BDS19" s="110"/>
      <c r="BDT19" s="110"/>
      <c r="BDU19" s="110"/>
      <c r="BDV19" s="110"/>
      <c r="BDW19" s="110"/>
      <c r="BDX19" s="110"/>
      <c r="BDY19" s="110"/>
      <c r="BDZ19" s="110"/>
      <c r="BEA19" s="110"/>
      <c r="BEB19" s="110"/>
      <c r="BEC19" s="110"/>
      <c r="BED19" s="110"/>
      <c r="BEE19" s="110"/>
      <c r="BEF19" s="110"/>
      <c r="BEG19" s="110"/>
      <c r="BEH19" s="110"/>
      <c r="BEI19" s="110"/>
      <c r="BEJ19" s="110"/>
      <c r="BEK19" s="110"/>
      <c r="BEL19" s="110"/>
      <c r="BEM19" s="110"/>
      <c r="BEN19" s="110"/>
      <c r="BEO19" s="110"/>
      <c r="BEP19" s="110"/>
      <c r="BEQ19" s="110"/>
      <c r="BER19" s="110"/>
      <c r="BES19" s="110"/>
      <c r="BET19" s="110"/>
      <c r="BEU19" s="110"/>
      <c r="BEV19" s="110"/>
      <c r="BEW19" s="110"/>
      <c r="BEX19" s="110"/>
      <c r="BEY19" s="110"/>
      <c r="BEZ19" s="110"/>
      <c r="BFA19" s="110"/>
      <c r="BFB19" s="110"/>
      <c r="BFC19" s="110"/>
      <c r="BFD19" s="110"/>
      <c r="BFE19" s="110"/>
      <c r="BFF19" s="110"/>
      <c r="BFG19" s="110"/>
      <c r="BFH19" s="110"/>
      <c r="BFI19" s="110"/>
      <c r="BFJ19" s="110"/>
      <c r="BFK19" s="110"/>
      <c r="BFL19" s="110"/>
      <c r="BFM19" s="110"/>
      <c r="BFN19" s="110"/>
      <c r="BFO19" s="110"/>
      <c r="BFP19" s="110"/>
      <c r="BFQ19" s="110"/>
      <c r="BFR19" s="110"/>
      <c r="BFS19" s="110"/>
      <c r="BFT19" s="110"/>
      <c r="BFU19" s="110"/>
      <c r="BFV19" s="110"/>
      <c r="BFW19" s="110"/>
      <c r="BFX19" s="110"/>
      <c r="BFY19" s="110"/>
      <c r="BFZ19" s="110"/>
      <c r="BGA19" s="110"/>
      <c r="BGB19" s="110"/>
      <c r="BGC19" s="110"/>
      <c r="BGD19" s="110"/>
      <c r="BGE19" s="110"/>
      <c r="BGF19" s="110"/>
      <c r="BGG19" s="110"/>
      <c r="BGH19" s="110"/>
      <c r="BGI19" s="110"/>
      <c r="BGJ19" s="110"/>
      <c r="BGK19" s="110"/>
      <c r="BGL19" s="110"/>
      <c r="BGM19" s="110"/>
      <c r="BGN19" s="110"/>
      <c r="BGO19" s="110"/>
      <c r="BGP19" s="110"/>
      <c r="BGQ19" s="110"/>
      <c r="BGR19" s="110"/>
      <c r="BGS19" s="110"/>
      <c r="BGT19" s="110"/>
      <c r="BGU19" s="110"/>
      <c r="BGV19" s="110"/>
      <c r="BGW19" s="110"/>
      <c r="BGX19" s="110"/>
      <c r="BGY19" s="110"/>
      <c r="BGZ19" s="110"/>
      <c r="BHA19" s="110"/>
      <c r="BHB19" s="110"/>
      <c r="BHC19" s="110"/>
      <c r="BHD19" s="110"/>
      <c r="BHE19" s="110"/>
      <c r="BHF19" s="110"/>
      <c r="BHG19" s="110"/>
      <c r="BHH19" s="110"/>
      <c r="BHI19" s="110"/>
      <c r="BHJ19" s="110"/>
      <c r="BHK19" s="110"/>
      <c r="BHL19" s="110"/>
      <c r="BHM19" s="110"/>
      <c r="BHN19" s="110"/>
      <c r="BHO19" s="110"/>
      <c r="BHP19" s="110"/>
      <c r="BHQ19" s="110"/>
      <c r="BHR19" s="110"/>
      <c r="BHS19" s="110"/>
      <c r="BHT19" s="110"/>
      <c r="BHU19" s="110"/>
      <c r="BHV19" s="110"/>
      <c r="BHW19" s="110"/>
      <c r="BHX19" s="110"/>
      <c r="BHY19" s="110"/>
      <c r="BHZ19" s="110"/>
      <c r="BIA19" s="110"/>
      <c r="BIB19" s="110"/>
      <c r="BIC19" s="110"/>
      <c r="BID19" s="110"/>
      <c r="BIE19" s="110"/>
      <c r="BIF19" s="110"/>
      <c r="BIG19" s="110"/>
      <c r="BIH19" s="110"/>
      <c r="BII19" s="110"/>
      <c r="BIJ19" s="110"/>
      <c r="BIK19" s="110"/>
      <c r="BIL19" s="110"/>
      <c r="BIM19" s="110"/>
      <c r="BIN19" s="110"/>
      <c r="BIO19" s="110"/>
      <c r="BIP19" s="110"/>
      <c r="BIQ19" s="110"/>
      <c r="BIR19" s="110"/>
      <c r="BIS19" s="110"/>
      <c r="BIT19" s="110"/>
      <c r="BIU19" s="110"/>
      <c r="BIV19" s="110"/>
      <c r="BIW19" s="110"/>
      <c r="BIX19" s="110"/>
      <c r="BIY19" s="110"/>
      <c r="BIZ19" s="110"/>
      <c r="BJA19" s="110"/>
      <c r="BJB19" s="110"/>
      <c r="BJC19" s="110"/>
      <c r="BJD19" s="110"/>
      <c r="BJE19" s="110"/>
      <c r="BJF19" s="110"/>
      <c r="BJG19" s="110"/>
      <c r="BJH19" s="110"/>
      <c r="BJI19" s="110"/>
      <c r="BJJ19" s="110"/>
      <c r="BJK19" s="110"/>
      <c r="BJL19" s="110"/>
      <c r="BJM19" s="110"/>
      <c r="BJN19" s="110"/>
      <c r="BJO19" s="110"/>
      <c r="BJP19" s="110"/>
      <c r="BJQ19" s="110"/>
      <c r="BJR19" s="110"/>
      <c r="BJS19" s="110"/>
      <c r="BJT19" s="110"/>
      <c r="BJU19" s="110"/>
      <c r="BJV19" s="110"/>
      <c r="BJW19" s="110"/>
      <c r="BJX19" s="110"/>
      <c r="BJY19" s="110"/>
      <c r="BJZ19" s="110"/>
      <c r="BKA19" s="110"/>
      <c r="BKB19" s="110"/>
      <c r="BKC19" s="110"/>
      <c r="BKD19" s="110"/>
      <c r="BKE19" s="110"/>
      <c r="BKF19" s="110"/>
      <c r="BKG19" s="110"/>
      <c r="BKH19" s="110"/>
      <c r="BKI19" s="110"/>
      <c r="BKJ19" s="110"/>
      <c r="BKK19" s="110"/>
      <c r="BKL19" s="110"/>
      <c r="BKM19" s="110"/>
      <c r="BKN19" s="110"/>
      <c r="BKO19" s="110"/>
      <c r="BKP19" s="110"/>
      <c r="BKQ19" s="110"/>
      <c r="BKR19" s="110"/>
      <c r="BKS19" s="110"/>
      <c r="BKT19" s="110"/>
      <c r="BKU19" s="110"/>
      <c r="BKV19" s="110"/>
      <c r="BKW19" s="110"/>
      <c r="BKX19" s="110"/>
      <c r="BKY19" s="110"/>
      <c r="BKZ19" s="110"/>
      <c r="BLA19" s="110"/>
      <c r="BLB19" s="110"/>
      <c r="BLC19" s="110"/>
      <c r="BLD19" s="110"/>
      <c r="BLE19" s="110"/>
      <c r="BLF19" s="110"/>
      <c r="BLG19" s="110"/>
      <c r="BLH19" s="110"/>
      <c r="BLI19" s="110"/>
      <c r="BLJ19" s="110"/>
      <c r="BLK19" s="110"/>
      <c r="BLL19" s="110"/>
      <c r="BLM19" s="110"/>
      <c r="BLN19" s="110"/>
      <c r="BLO19" s="110"/>
      <c r="BLP19" s="110"/>
      <c r="BLQ19" s="110"/>
      <c r="BLR19" s="110"/>
      <c r="BLS19" s="110"/>
      <c r="BLT19" s="110"/>
      <c r="BLU19" s="110"/>
      <c r="BLV19" s="110"/>
      <c r="BLW19" s="110"/>
      <c r="BLX19" s="110"/>
      <c r="BLY19" s="110"/>
      <c r="BLZ19" s="110"/>
      <c r="BMA19" s="110"/>
      <c r="BMB19" s="110"/>
      <c r="BMC19" s="110"/>
      <c r="BMD19" s="110"/>
      <c r="BME19" s="110"/>
      <c r="BMF19" s="110"/>
      <c r="BMG19" s="110"/>
      <c r="BMH19" s="110"/>
      <c r="BMI19" s="110"/>
      <c r="BMJ19" s="110"/>
      <c r="BMK19" s="110"/>
      <c r="BML19" s="110"/>
      <c r="BMM19" s="110"/>
      <c r="BMN19" s="110"/>
      <c r="BMO19" s="110"/>
      <c r="BMP19" s="110"/>
      <c r="BMQ19" s="110"/>
      <c r="BMR19" s="110"/>
      <c r="BMS19" s="110"/>
      <c r="BMT19" s="110"/>
      <c r="BMU19" s="110"/>
      <c r="BMV19" s="110"/>
      <c r="BMW19" s="110"/>
      <c r="BMX19" s="110"/>
      <c r="BMY19" s="110"/>
      <c r="BMZ19" s="110"/>
      <c r="BNA19" s="110"/>
      <c r="BNB19" s="110"/>
      <c r="BNC19" s="110"/>
      <c r="BND19" s="110"/>
      <c r="BNE19" s="110"/>
      <c r="BNF19" s="110"/>
      <c r="BNG19" s="110"/>
      <c r="BNH19" s="110"/>
      <c r="BNI19" s="110"/>
      <c r="BNJ19" s="110"/>
      <c r="BNK19" s="110"/>
      <c r="BNL19" s="110"/>
      <c r="BNM19" s="110"/>
      <c r="BNN19" s="110"/>
      <c r="BNO19" s="110"/>
      <c r="BNP19" s="110"/>
      <c r="BNQ19" s="110"/>
      <c r="BNR19" s="110"/>
      <c r="BNS19" s="110"/>
      <c r="BNT19" s="110"/>
      <c r="BNU19" s="110"/>
      <c r="BNV19" s="110"/>
      <c r="BNW19" s="110"/>
      <c r="BNX19" s="110"/>
      <c r="BNY19" s="110"/>
      <c r="BNZ19" s="110"/>
      <c r="BOA19" s="110"/>
      <c r="BOB19" s="110"/>
      <c r="BOC19" s="110"/>
      <c r="BOD19" s="110"/>
      <c r="BOE19" s="110"/>
      <c r="BOF19" s="110"/>
      <c r="BOG19" s="110"/>
      <c r="BOH19" s="110"/>
      <c r="BOI19" s="110"/>
      <c r="BOJ19" s="110"/>
      <c r="BOK19" s="110"/>
      <c r="BOL19" s="110"/>
      <c r="BOM19" s="110"/>
      <c r="BON19" s="110"/>
      <c r="BOO19" s="110"/>
      <c r="BOP19" s="110"/>
      <c r="BOQ19" s="110"/>
      <c r="BOR19" s="110"/>
      <c r="BOS19" s="110"/>
      <c r="BOT19" s="110"/>
      <c r="BOU19" s="110"/>
      <c r="BOV19" s="110"/>
      <c r="BOW19" s="110"/>
      <c r="BOX19" s="110"/>
      <c r="BOY19" s="110"/>
      <c r="BOZ19" s="110"/>
      <c r="BPA19" s="110"/>
      <c r="BPB19" s="110"/>
      <c r="BPC19" s="110"/>
      <c r="BPD19" s="110"/>
      <c r="BPE19" s="110"/>
      <c r="BPF19" s="110"/>
      <c r="BPG19" s="110"/>
      <c r="BPH19" s="110"/>
      <c r="BPI19" s="110"/>
      <c r="BPJ19" s="110"/>
      <c r="BPK19" s="110"/>
      <c r="BPL19" s="110"/>
      <c r="BPM19" s="110"/>
      <c r="BPN19" s="110"/>
      <c r="BPO19" s="110"/>
      <c r="BPP19" s="110"/>
      <c r="BPQ19" s="110"/>
      <c r="BPR19" s="110"/>
      <c r="BPS19" s="110"/>
      <c r="BPT19" s="110"/>
      <c r="BPU19" s="110"/>
      <c r="BPV19" s="110"/>
      <c r="BPW19" s="110"/>
      <c r="BPX19" s="110"/>
      <c r="BPY19" s="110"/>
      <c r="BPZ19" s="110"/>
      <c r="BQA19" s="110"/>
      <c r="BQB19" s="110"/>
      <c r="BQC19" s="110"/>
      <c r="BQD19" s="110"/>
      <c r="BQE19" s="110"/>
      <c r="BQF19" s="110"/>
      <c r="BQG19" s="110"/>
      <c r="BQH19" s="110"/>
      <c r="BQI19" s="110"/>
      <c r="BQJ19" s="110"/>
      <c r="BQK19" s="110"/>
      <c r="BQL19" s="110"/>
      <c r="BQM19" s="110"/>
      <c r="BQN19" s="110"/>
      <c r="BQO19" s="110"/>
      <c r="BQP19" s="110"/>
      <c r="BQQ19" s="110"/>
      <c r="BQR19" s="110"/>
      <c r="BQS19" s="110"/>
      <c r="BQT19" s="110"/>
      <c r="BQU19" s="110"/>
      <c r="BQV19" s="110"/>
      <c r="BQW19" s="110"/>
      <c r="BQX19" s="110"/>
      <c r="BQY19" s="110"/>
      <c r="BQZ19" s="110"/>
      <c r="BRA19" s="110"/>
      <c r="BRB19" s="110"/>
      <c r="BRC19" s="110"/>
      <c r="BRD19" s="110"/>
      <c r="BRE19" s="110"/>
      <c r="BRF19" s="110"/>
      <c r="BRG19" s="110"/>
      <c r="BRH19" s="110"/>
      <c r="BRI19" s="110"/>
      <c r="BRJ19" s="110"/>
      <c r="BRK19" s="110"/>
      <c r="BRL19" s="110"/>
      <c r="BRM19" s="110"/>
      <c r="BRN19" s="110"/>
      <c r="BRO19" s="110"/>
      <c r="BRP19" s="110"/>
      <c r="BRQ19" s="110"/>
      <c r="BRR19" s="110"/>
      <c r="BRS19" s="110"/>
      <c r="BRT19" s="110"/>
      <c r="BRU19" s="110"/>
      <c r="BRV19" s="110"/>
      <c r="BRW19" s="110"/>
      <c r="BRX19" s="110"/>
      <c r="BRY19" s="110"/>
      <c r="BRZ19" s="110"/>
      <c r="BSA19" s="110"/>
      <c r="BSB19" s="110"/>
      <c r="BSC19" s="110"/>
      <c r="BSD19" s="110"/>
      <c r="BSE19" s="110"/>
      <c r="BSF19" s="110"/>
      <c r="BSG19" s="110"/>
      <c r="BSH19" s="110"/>
      <c r="BSI19" s="110"/>
      <c r="BSJ19" s="110"/>
      <c r="BSK19" s="110"/>
      <c r="BSL19" s="110"/>
      <c r="BSM19" s="110"/>
      <c r="BSN19" s="110"/>
      <c r="BSO19" s="110"/>
      <c r="BSP19" s="110"/>
      <c r="BSQ19" s="110"/>
      <c r="BSR19" s="110"/>
      <c r="BSS19" s="110"/>
      <c r="BST19" s="110"/>
      <c r="BSU19" s="110"/>
      <c r="BSV19" s="110"/>
      <c r="BSW19" s="110"/>
      <c r="BSX19" s="110"/>
      <c r="BSY19" s="110"/>
      <c r="BSZ19" s="110"/>
      <c r="BTA19" s="110"/>
      <c r="BTB19" s="110"/>
      <c r="BTC19" s="110"/>
      <c r="BTD19" s="110"/>
      <c r="BTE19" s="110"/>
      <c r="BTF19" s="110"/>
      <c r="BTG19" s="110"/>
      <c r="BTH19" s="110"/>
      <c r="BTI19" s="110"/>
      <c r="BTJ19" s="110"/>
      <c r="BTK19" s="110"/>
      <c r="BTL19" s="110"/>
      <c r="BTM19" s="110"/>
      <c r="BTN19" s="110"/>
      <c r="BTO19" s="110"/>
      <c r="BTP19" s="110"/>
      <c r="BTQ19" s="110"/>
      <c r="BTR19" s="110"/>
      <c r="BTS19" s="110"/>
      <c r="BTT19" s="110"/>
      <c r="BTU19" s="110"/>
      <c r="BTV19" s="110"/>
      <c r="BTW19" s="110"/>
      <c r="BTX19" s="110"/>
      <c r="BTY19" s="110"/>
      <c r="BTZ19" s="110"/>
      <c r="BUA19" s="110"/>
      <c r="BUB19" s="110"/>
      <c r="BUC19" s="110"/>
      <c r="BUD19" s="110"/>
      <c r="BUE19" s="110"/>
      <c r="BUF19" s="110"/>
      <c r="BUG19" s="110"/>
      <c r="BUH19" s="110"/>
      <c r="BUI19" s="110"/>
      <c r="BUJ19" s="110"/>
      <c r="BUK19" s="110"/>
      <c r="BUL19" s="110"/>
      <c r="BUM19" s="110"/>
      <c r="BUN19" s="110"/>
      <c r="BUO19" s="110"/>
      <c r="BUP19" s="110"/>
      <c r="BUQ19" s="110"/>
      <c r="BUR19" s="110"/>
      <c r="BUS19" s="110"/>
      <c r="BUT19" s="110"/>
      <c r="BUU19" s="110"/>
      <c r="BUV19" s="110"/>
      <c r="BUW19" s="110"/>
      <c r="BUX19" s="110"/>
      <c r="BUY19" s="110"/>
      <c r="BUZ19" s="110"/>
      <c r="BVA19" s="110"/>
      <c r="BVB19" s="110"/>
      <c r="BVC19" s="110"/>
      <c r="BVD19" s="110"/>
      <c r="BVE19" s="110"/>
      <c r="BVF19" s="110"/>
      <c r="BVG19" s="110"/>
      <c r="BVH19" s="110"/>
      <c r="BVI19" s="110"/>
      <c r="BVJ19" s="110"/>
      <c r="BVK19" s="110"/>
      <c r="BVL19" s="110"/>
      <c r="BVM19" s="110"/>
      <c r="BVN19" s="110"/>
      <c r="BVO19" s="110"/>
      <c r="BVP19" s="110"/>
      <c r="BVQ19" s="110"/>
      <c r="BVR19" s="110"/>
      <c r="BVS19" s="110"/>
      <c r="BVT19" s="110"/>
      <c r="BVU19" s="110"/>
      <c r="BVV19" s="110"/>
      <c r="BVW19" s="110"/>
      <c r="BVX19" s="110"/>
      <c r="BVY19" s="110"/>
      <c r="BVZ19" s="110"/>
      <c r="BWA19" s="110"/>
      <c r="BWB19" s="110"/>
      <c r="BWC19" s="110"/>
      <c r="BWD19" s="110"/>
      <c r="BWE19" s="110"/>
      <c r="BWF19" s="110"/>
      <c r="BWG19" s="110"/>
      <c r="BWH19" s="110"/>
      <c r="BWI19" s="110"/>
      <c r="BWJ19" s="110"/>
      <c r="BWK19" s="110"/>
      <c r="BWL19" s="110"/>
      <c r="BWM19" s="110"/>
      <c r="BWN19" s="110"/>
      <c r="BWO19" s="110"/>
      <c r="BWP19" s="110"/>
      <c r="BWQ19" s="110"/>
      <c r="BWR19" s="110"/>
      <c r="BWS19" s="110"/>
      <c r="BWT19" s="110"/>
      <c r="BWU19" s="110"/>
      <c r="BWV19" s="110"/>
      <c r="BWW19" s="110"/>
      <c r="BWX19" s="110"/>
      <c r="BWY19" s="110"/>
      <c r="BWZ19" s="110"/>
      <c r="BXA19" s="110"/>
      <c r="BXB19" s="110"/>
      <c r="BXC19" s="110"/>
      <c r="BXD19" s="110"/>
      <c r="BXE19" s="110"/>
      <c r="BXF19" s="110"/>
      <c r="BXG19" s="110"/>
      <c r="BXH19" s="110"/>
      <c r="BXI19" s="110"/>
      <c r="BXJ19" s="110"/>
      <c r="BXK19" s="110"/>
      <c r="BXL19" s="110"/>
      <c r="BXM19" s="110"/>
      <c r="BXN19" s="110"/>
      <c r="BXO19" s="110"/>
      <c r="BXP19" s="110"/>
      <c r="BXQ19" s="110"/>
      <c r="BXR19" s="110"/>
      <c r="BXS19" s="110"/>
      <c r="BXT19" s="110"/>
      <c r="BXU19" s="110"/>
      <c r="BXV19" s="110"/>
      <c r="BXW19" s="110"/>
      <c r="BXX19" s="110"/>
      <c r="BXY19" s="110"/>
      <c r="BXZ19" s="110"/>
      <c r="BYA19" s="110"/>
      <c r="BYB19" s="110"/>
      <c r="BYC19" s="110"/>
      <c r="BYD19" s="110"/>
      <c r="BYE19" s="110"/>
      <c r="BYF19" s="110"/>
      <c r="BYG19" s="110"/>
      <c r="BYH19" s="110"/>
      <c r="BYI19" s="110"/>
      <c r="BYJ19" s="110"/>
      <c r="BYK19" s="110"/>
      <c r="BYL19" s="110"/>
      <c r="BYM19" s="110"/>
      <c r="BYN19" s="110"/>
      <c r="BYO19" s="110"/>
      <c r="BYP19" s="110"/>
      <c r="BYQ19" s="110"/>
      <c r="BYR19" s="110"/>
      <c r="BYS19" s="110"/>
      <c r="BYT19" s="110"/>
      <c r="BYU19" s="110"/>
      <c r="BYV19" s="110"/>
      <c r="BYW19" s="110"/>
      <c r="BYX19" s="110"/>
      <c r="BYY19" s="110"/>
      <c r="BYZ19" s="110"/>
      <c r="BZA19" s="110"/>
      <c r="BZB19" s="110"/>
      <c r="BZC19" s="110"/>
      <c r="BZD19" s="110"/>
      <c r="BZE19" s="110"/>
      <c r="BZF19" s="110"/>
      <c r="BZG19" s="110"/>
      <c r="BZH19" s="110"/>
      <c r="BZI19" s="110"/>
      <c r="BZJ19" s="110"/>
      <c r="BZK19" s="110"/>
      <c r="BZL19" s="110"/>
      <c r="BZM19" s="110"/>
      <c r="BZN19" s="110"/>
      <c r="BZO19" s="110"/>
      <c r="BZP19" s="110"/>
      <c r="BZQ19" s="110"/>
      <c r="BZR19" s="110"/>
      <c r="BZS19" s="110"/>
      <c r="BZT19" s="110"/>
      <c r="BZU19" s="110"/>
      <c r="BZV19" s="110"/>
      <c r="BZW19" s="110"/>
      <c r="BZX19" s="110"/>
      <c r="BZY19" s="110"/>
      <c r="BZZ19" s="110"/>
      <c r="CAA19" s="110"/>
      <c r="CAB19" s="110"/>
      <c r="CAC19" s="110"/>
      <c r="CAD19" s="110"/>
      <c r="CAE19" s="110"/>
      <c r="CAF19" s="110"/>
      <c r="CAG19" s="110"/>
      <c r="CAH19" s="110"/>
      <c r="CAI19" s="110"/>
      <c r="CAJ19" s="110"/>
      <c r="CAK19" s="110"/>
      <c r="CAL19" s="110"/>
      <c r="CAM19" s="110"/>
      <c r="CAN19" s="110"/>
      <c r="CAO19" s="110"/>
      <c r="CAP19" s="110"/>
      <c r="CAQ19" s="110"/>
      <c r="CAR19" s="110"/>
      <c r="CAS19" s="110"/>
      <c r="CAT19" s="110"/>
      <c r="CAU19" s="110"/>
      <c r="CAV19" s="110"/>
      <c r="CAW19" s="110"/>
      <c r="CAX19" s="110"/>
      <c r="CAY19" s="110"/>
      <c r="CAZ19" s="110"/>
      <c r="CBA19" s="110"/>
      <c r="CBB19" s="110"/>
      <c r="CBC19" s="110"/>
      <c r="CBD19" s="110"/>
      <c r="CBE19" s="110"/>
      <c r="CBF19" s="110"/>
      <c r="CBG19" s="110"/>
      <c r="CBH19" s="110"/>
      <c r="CBI19" s="110"/>
      <c r="CBJ19" s="110"/>
      <c r="CBK19" s="110"/>
      <c r="CBL19" s="110"/>
      <c r="CBM19" s="110"/>
      <c r="CBN19" s="110"/>
      <c r="CBO19" s="110"/>
      <c r="CBP19" s="110"/>
      <c r="CBQ19" s="110"/>
      <c r="CBR19" s="110"/>
      <c r="CBS19" s="110"/>
      <c r="CBT19" s="110"/>
      <c r="CBU19" s="110"/>
      <c r="CBV19" s="110"/>
      <c r="CBW19" s="110"/>
      <c r="CBX19" s="110"/>
      <c r="CBY19" s="110"/>
      <c r="CBZ19" s="110"/>
      <c r="CCA19" s="110"/>
      <c r="CCB19" s="110"/>
      <c r="CCC19" s="110"/>
      <c r="CCD19" s="110"/>
      <c r="CCE19" s="110"/>
      <c r="CCF19" s="110"/>
      <c r="CCG19" s="110"/>
      <c r="CCH19" s="110"/>
      <c r="CCI19" s="110"/>
      <c r="CCJ19" s="110"/>
      <c r="CCK19" s="110"/>
      <c r="CCL19" s="110"/>
      <c r="CCM19" s="110"/>
      <c r="CCN19" s="110"/>
      <c r="CCO19" s="110"/>
      <c r="CCP19" s="110"/>
      <c r="CCQ19" s="110"/>
      <c r="CCR19" s="110"/>
      <c r="CCS19" s="110"/>
      <c r="CCT19" s="110"/>
      <c r="CCU19" s="110"/>
      <c r="CCV19" s="110"/>
      <c r="CCW19" s="110"/>
      <c r="CCX19" s="110"/>
      <c r="CCY19" s="110"/>
      <c r="CCZ19" s="110"/>
      <c r="CDA19" s="110"/>
      <c r="CDB19" s="110"/>
      <c r="CDC19" s="110"/>
      <c r="CDD19" s="110"/>
      <c r="CDE19" s="110"/>
      <c r="CDF19" s="110"/>
      <c r="CDG19" s="110"/>
      <c r="CDH19" s="110"/>
      <c r="CDI19" s="110"/>
      <c r="CDJ19" s="110"/>
      <c r="CDK19" s="110"/>
      <c r="CDL19" s="110"/>
      <c r="CDM19" s="110"/>
      <c r="CDN19" s="110"/>
      <c r="CDO19" s="110"/>
      <c r="CDP19" s="110"/>
      <c r="CDQ19" s="110"/>
      <c r="CDR19" s="110"/>
      <c r="CDS19" s="110"/>
      <c r="CDT19" s="110"/>
      <c r="CDU19" s="110"/>
      <c r="CDV19" s="110"/>
      <c r="CDW19" s="110"/>
      <c r="CDX19" s="110"/>
      <c r="CDY19" s="110"/>
      <c r="CDZ19" s="110"/>
      <c r="CEA19" s="110"/>
      <c r="CEB19" s="110"/>
      <c r="CEC19" s="110"/>
      <c r="CED19" s="110"/>
      <c r="CEE19" s="110"/>
      <c r="CEF19" s="110"/>
      <c r="CEG19" s="110"/>
      <c r="CEH19" s="110"/>
      <c r="CEI19" s="110"/>
      <c r="CEJ19" s="110"/>
      <c r="CEK19" s="110"/>
      <c r="CEL19" s="110"/>
      <c r="CEM19" s="110"/>
      <c r="CEN19" s="110"/>
      <c r="CEO19" s="110"/>
      <c r="CEP19" s="110"/>
      <c r="CEQ19" s="110"/>
      <c r="CER19" s="110"/>
      <c r="CES19" s="110"/>
      <c r="CET19" s="110"/>
      <c r="CEU19" s="110"/>
      <c r="CEV19" s="110"/>
      <c r="CEW19" s="110"/>
      <c r="CEX19" s="110"/>
      <c r="CEY19" s="110"/>
      <c r="CEZ19" s="110"/>
      <c r="CFA19" s="110"/>
      <c r="CFB19" s="110"/>
      <c r="CFC19" s="110"/>
      <c r="CFD19" s="110"/>
      <c r="CFE19" s="110"/>
      <c r="CFF19" s="110"/>
      <c r="CFG19" s="110"/>
      <c r="CFH19" s="110"/>
      <c r="CFI19" s="110"/>
      <c r="CFJ19" s="110"/>
      <c r="CFK19" s="110"/>
      <c r="CFL19" s="110"/>
      <c r="CFM19" s="110"/>
      <c r="CFN19" s="110"/>
      <c r="CFO19" s="110"/>
      <c r="CFP19" s="110"/>
      <c r="CFQ19" s="110"/>
      <c r="CFR19" s="110"/>
      <c r="CFS19" s="110"/>
      <c r="CFT19" s="110"/>
      <c r="CFU19" s="110"/>
      <c r="CFV19" s="110"/>
      <c r="CFW19" s="110"/>
      <c r="CFX19" s="110"/>
      <c r="CFY19" s="110"/>
      <c r="CFZ19" s="110"/>
      <c r="CGA19" s="110"/>
      <c r="CGB19" s="110"/>
      <c r="CGC19" s="110"/>
      <c r="CGD19" s="110"/>
      <c r="CGE19" s="110"/>
      <c r="CGF19" s="110"/>
      <c r="CGG19" s="110"/>
      <c r="CGH19" s="110"/>
      <c r="CGI19" s="110"/>
      <c r="CGJ19" s="110"/>
      <c r="CGK19" s="110"/>
      <c r="CGL19" s="110"/>
      <c r="CGM19" s="110"/>
      <c r="CGN19" s="110"/>
      <c r="CGO19" s="110"/>
      <c r="CGP19" s="110"/>
      <c r="CGQ19" s="110"/>
      <c r="CGR19" s="110"/>
      <c r="CGS19" s="110"/>
      <c r="CGT19" s="110"/>
      <c r="CGU19" s="110"/>
      <c r="CGV19" s="110"/>
      <c r="CGW19" s="110"/>
      <c r="CGX19" s="110"/>
      <c r="CGY19" s="110"/>
      <c r="CGZ19" s="110"/>
      <c r="CHA19" s="110"/>
      <c r="CHB19" s="110"/>
      <c r="CHC19" s="110"/>
      <c r="CHD19" s="110"/>
      <c r="CHE19" s="110"/>
      <c r="CHF19" s="110"/>
      <c r="CHG19" s="110"/>
      <c r="CHH19" s="110"/>
      <c r="CHI19" s="110"/>
      <c r="CHJ19" s="110"/>
      <c r="CHK19" s="110"/>
      <c r="CHL19" s="110"/>
      <c r="CHM19" s="110"/>
      <c r="CHN19" s="110"/>
      <c r="CHO19" s="110"/>
      <c r="CHP19" s="110"/>
      <c r="CHQ19" s="110"/>
      <c r="CHR19" s="110"/>
      <c r="CHS19" s="110"/>
      <c r="CHT19" s="110"/>
      <c r="CHU19" s="110"/>
      <c r="CHV19" s="110"/>
      <c r="CHW19" s="110"/>
      <c r="CHX19" s="110"/>
      <c r="CHY19" s="110"/>
      <c r="CHZ19" s="110"/>
      <c r="CIA19" s="110"/>
      <c r="CIB19" s="110"/>
      <c r="CIC19" s="110"/>
      <c r="CID19" s="110"/>
      <c r="CIE19" s="110"/>
      <c r="CIF19" s="110"/>
      <c r="CIG19" s="110"/>
      <c r="CIH19" s="110"/>
      <c r="CII19" s="110"/>
      <c r="CIJ19" s="110"/>
      <c r="CIK19" s="110"/>
      <c r="CIL19" s="110"/>
      <c r="CIM19" s="110"/>
      <c r="CIN19" s="110"/>
      <c r="CIO19" s="110"/>
      <c r="CIP19" s="110"/>
      <c r="CIQ19" s="110"/>
      <c r="CIR19" s="110"/>
      <c r="CIS19" s="110"/>
      <c r="CIT19" s="110"/>
      <c r="CIU19" s="110"/>
      <c r="CIV19" s="110"/>
      <c r="CIW19" s="110"/>
      <c r="CIX19" s="110"/>
      <c r="CIY19" s="110"/>
      <c r="CIZ19" s="110"/>
      <c r="CJA19" s="110"/>
      <c r="CJB19" s="110"/>
      <c r="CJC19" s="110"/>
      <c r="CJD19" s="110"/>
      <c r="CJE19" s="110"/>
      <c r="CJF19" s="110"/>
      <c r="CJG19" s="110"/>
      <c r="CJH19" s="110"/>
      <c r="CJI19" s="110"/>
      <c r="CJJ19" s="110"/>
      <c r="CJK19" s="110"/>
      <c r="CJL19" s="110"/>
      <c r="CJM19" s="110"/>
      <c r="CJN19" s="110"/>
      <c r="CJO19" s="110"/>
      <c r="CJP19" s="110"/>
      <c r="CJQ19" s="110"/>
      <c r="CJR19" s="110"/>
      <c r="CJS19" s="110"/>
      <c r="CJT19" s="110"/>
      <c r="CJU19" s="110"/>
      <c r="CJV19" s="110"/>
      <c r="CJW19" s="110"/>
      <c r="CJX19" s="110"/>
      <c r="CJY19" s="110"/>
      <c r="CJZ19" s="110"/>
      <c r="CKA19" s="110"/>
      <c r="CKB19" s="110"/>
      <c r="CKC19" s="110"/>
      <c r="CKD19" s="110"/>
      <c r="CKE19" s="110"/>
      <c r="CKF19" s="110"/>
      <c r="CKG19" s="110"/>
      <c r="CKH19" s="110"/>
      <c r="CKI19" s="110"/>
      <c r="CKJ19" s="110"/>
      <c r="CKK19" s="110"/>
      <c r="CKL19" s="110"/>
      <c r="CKM19" s="110"/>
      <c r="CKN19" s="110"/>
      <c r="CKO19" s="110"/>
      <c r="CKP19" s="110"/>
      <c r="CKQ19" s="110"/>
      <c r="CKR19" s="110"/>
      <c r="CKS19" s="110"/>
      <c r="CKT19" s="110"/>
      <c r="CKU19" s="110"/>
      <c r="CKV19" s="110"/>
      <c r="CKW19" s="110"/>
      <c r="CKX19" s="110"/>
      <c r="CKY19" s="110"/>
      <c r="CKZ19" s="110"/>
      <c r="CLA19" s="110"/>
      <c r="CLB19" s="110"/>
      <c r="CLC19" s="110"/>
      <c r="CLD19" s="110"/>
      <c r="CLE19" s="110"/>
      <c r="CLF19" s="110"/>
      <c r="CLG19" s="110"/>
      <c r="CLH19" s="110"/>
      <c r="CLI19" s="110"/>
      <c r="CLJ19" s="110"/>
      <c r="CLK19" s="110"/>
      <c r="CLL19" s="110"/>
      <c r="CLM19" s="110"/>
      <c r="CLN19" s="110"/>
      <c r="CLO19" s="110"/>
      <c r="CLP19" s="110"/>
      <c r="CLQ19" s="110"/>
      <c r="CLR19" s="110"/>
      <c r="CLS19" s="110"/>
      <c r="CLT19" s="110"/>
      <c r="CLU19" s="110"/>
      <c r="CLV19" s="110"/>
      <c r="CLW19" s="110"/>
      <c r="CLX19" s="110"/>
      <c r="CLY19" s="110"/>
      <c r="CLZ19" s="110"/>
      <c r="CMA19" s="110"/>
      <c r="CMB19" s="110"/>
      <c r="CMC19" s="110"/>
      <c r="CMD19" s="110"/>
      <c r="CME19" s="110"/>
      <c r="CMF19" s="110"/>
      <c r="CMG19" s="110"/>
      <c r="CMH19" s="110"/>
      <c r="CMI19" s="110"/>
      <c r="CMJ19" s="110"/>
      <c r="CMK19" s="110"/>
      <c r="CML19" s="110"/>
      <c r="CMM19" s="110"/>
      <c r="CMN19" s="110"/>
      <c r="CMO19" s="110"/>
      <c r="CMP19" s="110"/>
      <c r="CMQ19" s="110"/>
      <c r="CMR19" s="110"/>
      <c r="CMS19" s="110"/>
      <c r="CMT19" s="110"/>
      <c r="CMU19" s="110"/>
      <c r="CMV19" s="110"/>
      <c r="CMW19" s="110"/>
      <c r="CMX19" s="110"/>
      <c r="CMY19" s="110"/>
      <c r="CMZ19" s="110"/>
      <c r="CNA19" s="110"/>
      <c r="CNB19" s="110"/>
      <c r="CNC19" s="110"/>
      <c r="CND19" s="110"/>
      <c r="CNE19" s="110"/>
      <c r="CNF19" s="110"/>
      <c r="CNG19" s="110"/>
      <c r="CNH19" s="110"/>
      <c r="CNI19" s="110"/>
      <c r="CNJ19" s="110"/>
      <c r="CNK19" s="110"/>
      <c r="CNL19" s="110"/>
      <c r="CNM19" s="110"/>
      <c r="CNN19" s="110"/>
      <c r="CNO19" s="110"/>
      <c r="CNP19" s="110"/>
      <c r="CNQ19" s="110"/>
      <c r="CNR19" s="110"/>
      <c r="CNS19" s="110"/>
      <c r="CNT19" s="110"/>
      <c r="CNU19" s="110"/>
      <c r="CNV19" s="110"/>
      <c r="CNW19" s="110"/>
      <c r="CNX19" s="110"/>
      <c r="CNY19" s="110"/>
      <c r="CNZ19" s="110"/>
      <c r="COA19" s="110"/>
      <c r="COB19" s="110"/>
      <c r="COC19" s="110"/>
      <c r="COD19" s="110"/>
      <c r="COE19" s="110"/>
      <c r="COF19" s="110"/>
      <c r="COG19" s="110"/>
      <c r="COH19" s="110"/>
      <c r="COI19" s="110"/>
      <c r="COJ19" s="110"/>
      <c r="COK19" s="110"/>
      <c r="COL19" s="110"/>
      <c r="COM19" s="110"/>
      <c r="CON19" s="110"/>
      <c r="COO19" s="110"/>
      <c r="COP19" s="110"/>
      <c r="COQ19" s="110"/>
      <c r="COR19" s="110"/>
      <c r="COS19" s="110"/>
      <c r="COT19" s="110"/>
      <c r="COU19" s="110"/>
      <c r="COV19" s="110"/>
      <c r="COW19" s="110"/>
      <c r="COX19" s="110"/>
      <c r="COY19" s="110"/>
      <c r="COZ19" s="110"/>
      <c r="CPA19" s="110"/>
      <c r="CPB19" s="110"/>
      <c r="CPC19" s="110"/>
      <c r="CPD19" s="110"/>
      <c r="CPE19" s="110"/>
      <c r="CPF19" s="110"/>
      <c r="CPG19" s="110"/>
      <c r="CPH19" s="110"/>
      <c r="CPI19" s="110"/>
      <c r="CPJ19" s="110"/>
      <c r="CPK19" s="110"/>
      <c r="CPL19" s="110"/>
      <c r="CPM19" s="110"/>
      <c r="CPN19" s="110"/>
      <c r="CPO19" s="110"/>
      <c r="CPP19" s="110"/>
      <c r="CPQ19" s="110"/>
      <c r="CPR19" s="110"/>
      <c r="CPS19" s="110"/>
      <c r="CPT19" s="110"/>
      <c r="CPU19" s="110"/>
      <c r="CPV19" s="110"/>
      <c r="CPW19" s="110"/>
      <c r="CPX19" s="110"/>
      <c r="CPY19" s="110"/>
      <c r="CPZ19" s="110"/>
      <c r="CQA19" s="110"/>
      <c r="CQB19" s="110"/>
      <c r="CQC19" s="110"/>
      <c r="CQD19" s="110"/>
      <c r="CQE19" s="110"/>
      <c r="CQF19" s="110"/>
      <c r="CQG19" s="110"/>
      <c r="CQH19" s="110"/>
      <c r="CQI19" s="110"/>
      <c r="CQJ19" s="110"/>
      <c r="CQK19" s="110"/>
      <c r="CQL19" s="110"/>
      <c r="CQM19" s="110"/>
      <c r="CQN19" s="110"/>
      <c r="CQO19" s="110"/>
      <c r="CQP19" s="110"/>
      <c r="CQQ19" s="110"/>
      <c r="CQR19" s="110"/>
      <c r="CQS19" s="110"/>
      <c r="CQT19" s="110"/>
      <c r="CQU19" s="110"/>
      <c r="CQV19" s="110"/>
      <c r="CQW19" s="110"/>
      <c r="CQX19" s="110"/>
      <c r="CQY19" s="110"/>
      <c r="CQZ19" s="110"/>
      <c r="CRA19" s="110"/>
      <c r="CRB19" s="110"/>
      <c r="CRC19" s="110"/>
      <c r="CRD19" s="110"/>
      <c r="CRE19" s="110"/>
      <c r="CRF19" s="110"/>
      <c r="CRG19" s="110"/>
      <c r="CRH19" s="110"/>
      <c r="CRI19" s="110"/>
      <c r="CRJ19" s="110"/>
      <c r="CRK19" s="110"/>
      <c r="CRL19" s="110"/>
      <c r="CRM19" s="110"/>
      <c r="CRN19" s="110"/>
      <c r="CRO19" s="110"/>
      <c r="CRP19" s="110"/>
      <c r="CRQ19" s="110"/>
      <c r="CRR19" s="110"/>
      <c r="CRS19" s="110"/>
      <c r="CRT19" s="110"/>
      <c r="CRU19" s="110"/>
      <c r="CRV19" s="110"/>
      <c r="CRW19" s="110"/>
      <c r="CRX19" s="110"/>
      <c r="CRY19" s="110"/>
      <c r="CRZ19" s="110"/>
      <c r="CSA19" s="110"/>
      <c r="CSB19" s="110"/>
      <c r="CSC19" s="110"/>
      <c r="CSD19" s="110"/>
      <c r="CSE19" s="110"/>
      <c r="CSF19" s="110"/>
      <c r="CSG19" s="110"/>
      <c r="CSH19" s="110"/>
      <c r="CSI19" s="110"/>
      <c r="CSJ19" s="110"/>
      <c r="CSK19" s="110"/>
      <c r="CSL19" s="110"/>
      <c r="CSM19" s="110"/>
      <c r="CSN19" s="110"/>
      <c r="CSO19" s="110"/>
      <c r="CSP19" s="110"/>
      <c r="CSQ19" s="110"/>
      <c r="CSR19" s="110"/>
      <c r="CSS19" s="110"/>
      <c r="CST19" s="110"/>
      <c r="CSU19" s="110"/>
      <c r="CSV19" s="110"/>
      <c r="CSW19" s="110"/>
      <c r="CSX19" s="110"/>
      <c r="CSY19" s="110"/>
      <c r="CSZ19" s="110"/>
      <c r="CTA19" s="110"/>
      <c r="CTB19" s="110"/>
      <c r="CTC19" s="110"/>
      <c r="CTD19" s="110"/>
      <c r="CTE19" s="110"/>
      <c r="CTF19" s="110"/>
      <c r="CTG19" s="110"/>
      <c r="CTH19" s="110"/>
      <c r="CTI19" s="110"/>
      <c r="CTJ19" s="110"/>
      <c r="CTK19" s="110"/>
      <c r="CTL19" s="110"/>
      <c r="CTM19" s="110"/>
      <c r="CTN19" s="110"/>
      <c r="CTO19" s="110"/>
      <c r="CTP19" s="110"/>
      <c r="CTQ19" s="110"/>
      <c r="CTR19" s="110"/>
      <c r="CTS19" s="110"/>
      <c r="CTT19" s="110"/>
      <c r="CTU19" s="110"/>
      <c r="CTV19" s="110"/>
      <c r="CTW19" s="110"/>
      <c r="CTX19" s="110"/>
      <c r="CTY19" s="110"/>
      <c r="CTZ19" s="110"/>
      <c r="CUA19" s="110"/>
      <c r="CUB19" s="110"/>
      <c r="CUC19" s="110"/>
      <c r="CUD19" s="110"/>
      <c r="CUE19" s="110"/>
      <c r="CUF19" s="110"/>
      <c r="CUG19" s="110"/>
      <c r="CUH19" s="110"/>
      <c r="CUI19" s="110"/>
      <c r="CUJ19" s="110"/>
      <c r="CUK19" s="110"/>
      <c r="CUL19" s="110"/>
      <c r="CUM19" s="110"/>
      <c r="CUN19" s="110"/>
      <c r="CUO19" s="110"/>
      <c r="CUP19" s="110"/>
      <c r="CUQ19" s="110"/>
      <c r="CUR19" s="110"/>
      <c r="CUS19" s="110"/>
      <c r="CUT19" s="110"/>
      <c r="CUU19" s="110"/>
      <c r="CUV19" s="110"/>
      <c r="CUW19" s="110"/>
      <c r="CUX19" s="110"/>
      <c r="CUY19" s="110"/>
      <c r="CUZ19" s="110"/>
      <c r="CVA19" s="110"/>
      <c r="CVB19" s="110"/>
      <c r="CVC19" s="110"/>
      <c r="CVD19" s="110"/>
      <c r="CVE19" s="110"/>
      <c r="CVF19" s="110"/>
      <c r="CVG19" s="110"/>
      <c r="CVH19" s="110"/>
      <c r="CVI19" s="110"/>
      <c r="CVJ19" s="110"/>
      <c r="CVK19" s="110"/>
      <c r="CVL19" s="110"/>
      <c r="CVM19" s="110"/>
      <c r="CVN19" s="110"/>
      <c r="CVO19" s="110"/>
      <c r="CVP19" s="110"/>
      <c r="CVQ19" s="110"/>
      <c r="CVR19" s="110"/>
      <c r="CVS19" s="110"/>
      <c r="CVT19" s="110"/>
      <c r="CVU19" s="110"/>
      <c r="CVV19" s="110"/>
      <c r="CVW19" s="110"/>
      <c r="CVX19" s="110"/>
      <c r="CVY19" s="110"/>
      <c r="CVZ19" s="110"/>
      <c r="CWA19" s="110"/>
      <c r="CWB19" s="110"/>
      <c r="CWC19" s="110"/>
      <c r="CWD19" s="110"/>
      <c r="CWE19" s="110"/>
      <c r="CWF19" s="110"/>
      <c r="CWG19" s="110"/>
      <c r="CWH19" s="110"/>
      <c r="CWI19" s="110"/>
      <c r="CWJ19" s="110"/>
      <c r="CWK19" s="110"/>
      <c r="CWL19" s="110"/>
      <c r="CWM19" s="110"/>
      <c r="CWN19" s="110"/>
      <c r="CWO19" s="110"/>
      <c r="CWP19" s="110"/>
      <c r="CWQ19" s="110"/>
      <c r="CWR19" s="110"/>
      <c r="CWS19" s="110"/>
      <c r="CWT19" s="110"/>
      <c r="CWU19" s="110"/>
      <c r="CWV19" s="110"/>
      <c r="CWW19" s="110"/>
      <c r="CWX19" s="110"/>
      <c r="CWY19" s="110"/>
      <c r="CWZ19" s="110"/>
      <c r="CXA19" s="110"/>
      <c r="CXB19" s="110"/>
      <c r="CXC19" s="110"/>
      <c r="CXD19" s="110"/>
      <c r="CXE19" s="110"/>
      <c r="CXF19" s="110"/>
      <c r="CXG19" s="110"/>
      <c r="CXH19" s="110"/>
      <c r="CXI19" s="110"/>
      <c r="CXJ19" s="110"/>
      <c r="CXK19" s="110"/>
      <c r="CXL19" s="110"/>
      <c r="CXM19" s="110"/>
      <c r="CXN19" s="110"/>
      <c r="CXO19" s="110"/>
      <c r="CXP19" s="110"/>
      <c r="CXQ19" s="110"/>
      <c r="CXR19" s="110"/>
      <c r="CXS19" s="110"/>
      <c r="CXT19" s="110"/>
      <c r="CXU19" s="110"/>
      <c r="CXV19" s="110"/>
      <c r="CXW19" s="110"/>
      <c r="CXX19" s="110"/>
      <c r="CXY19" s="110"/>
      <c r="CXZ19" s="110"/>
      <c r="CYA19" s="110"/>
      <c r="CYB19" s="110"/>
      <c r="CYC19" s="110"/>
      <c r="CYD19" s="110"/>
      <c r="CYE19" s="110"/>
      <c r="CYF19" s="110"/>
      <c r="CYG19" s="110"/>
      <c r="CYH19" s="110"/>
      <c r="CYI19" s="110"/>
      <c r="CYJ19" s="110"/>
      <c r="CYK19" s="110"/>
      <c r="CYL19" s="110"/>
      <c r="CYM19" s="110"/>
      <c r="CYN19" s="110"/>
      <c r="CYO19" s="110"/>
      <c r="CYP19" s="110"/>
      <c r="CYQ19" s="110"/>
      <c r="CYR19" s="110"/>
      <c r="CYS19" s="110"/>
      <c r="CYT19" s="110"/>
      <c r="CYU19" s="110"/>
      <c r="CYV19" s="110"/>
      <c r="CYW19" s="110"/>
      <c r="CYX19" s="110"/>
      <c r="CYY19" s="110"/>
      <c r="CYZ19" s="110"/>
      <c r="CZA19" s="110"/>
      <c r="CZB19" s="110"/>
      <c r="CZC19" s="110"/>
      <c r="CZD19" s="110"/>
      <c r="CZE19" s="110"/>
      <c r="CZF19" s="110"/>
      <c r="CZG19" s="110"/>
      <c r="CZH19" s="110"/>
      <c r="CZI19" s="110"/>
      <c r="CZJ19" s="110"/>
      <c r="CZK19" s="110"/>
      <c r="CZL19" s="110"/>
      <c r="CZM19" s="110"/>
      <c r="CZN19" s="110"/>
      <c r="CZO19" s="110"/>
      <c r="CZP19" s="110"/>
      <c r="CZQ19" s="110"/>
      <c r="CZR19" s="110"/>
      <c r="CZS19" s="110"/>
      <c r="CZT19" s="110"/>
      <c r="CZU19" s="110"/>
      <c r="CZV19" s="110"/>
      <c r="CZW19" s="110"/>
      <c r="CZX19" s="110"/>
      <c r="CZY19" s="110"/>
      <c r="CZZ19" s="110"/>
      <c r="DAA19" s="110"/>
      <c r="DAB19" s="110"/>
      <c r="DAC19" s="110"/>
      <c r="DAD19" s="110"/>
      <c r="DAE19" s="110"/>
      <c r="DAF19" s="110"/>
      <c r="DAG19" s="110"/>
      <c r="DAH19" s="110"/>
      <c r="DAI19" s="110"/>
      <c r="DAJ19" s="110"/>
      <c r="DAK19" s="110"/>
      <c r="DAL19" s="110"/>
      <c r="DAM19" s="110"/>
      <c r="DAN19" s="110"/>
      <c r="DAO19" s="110"/>
      <c r="DAP19" s="110"/>
      <c r="DAQ19" s="110"/>
      <c r="DAR19" s="110"/>
      <c r="DAS19" s="110"/>
      <c r="DAT19" s="110"/>
      <c r="DAU19" s="110"/>
      <c r="DAV19" s="110"/>
      <c r="DAW19" s="110"/>
      <c r="DAX19" s="110"/>
      <c r="DAY19" s="110"/>
      <c r="DAZ19" s="110"/>
      <c r="DBA19" s="110"/>
      <c r="DBB19" s="110"/>
      <c r="DBC19" s="110"/>
      <c r="DBD19" s="110"/>
      <c r="DBE19" s="110"/>
      <c r="DBF19" s="110"/>
      <c r="DBG19" s="110"/>
      <c r="DBH19" s="110"/>
      <c r="DBI19" s="110"/>
      <c r="DBJ19" s="110"/>
      <c r="DBK19" s="110"/>
      <c r="DBL19" s="110"/>
      <c r="DBM19" s="110"/>
      <c r="DBN19" s="110"/>
      <c r="DBO19" s="110"/>
      <c r="DBP19" s="110"/>
      <c r="DBQ19" s="110"/>
      <c r="DBR19" s="110"/>
      <c r="DBS19" s="110"/>
      <c r="DBT19" s="110"/>
      <c r="DBU19" s="110"/>
      <c r="DBV19" s="110"/>
      <c r="DBW19" s="110"/>
      <c r="DBX19" s="110"/>
      <c r="DBY19" s="110"/>
      <c r="DBZ19" s="110"/>
      <c r="DCA19" s="110"/>
      <c r="DCB19" s="110"/>
      <c r="DCC19" s="110"/>
      <c r="DCD19" s="110"/>
      <c r="DCE19" s="110"/>
      <c r="DCF19" s="110"/>
      <c r="DCG19" s="110"/>
      <c r="DCH19" s="110"/>
      <c r="DCI19" s="110"/>
      <c r="DCJ19" s="110"/>
      <c r="DCK19" s="110"/>
      <c r="DCL19" s="110"/>
      <c r="DCM19" s="110"/>
      <c r="DCN19" s="110"/>
      <c r="DCO19" s="110"/>
      <c r="DCP19" s="110"/>
      <c r="DCQ19" s="110"/>
      <c r="DCR19" s="110"/>
      <c r="DCS19" s="110"/>
      <c r="DCT19" s="110"/>
      <c r="DCU19" s="110"/>
      <c r="DCV19" s="110"/>
      <c r="DCW19" s="110"/>
      <c r="DCX19" s="110"/>
      <c r="DCY19" s="110"/>
      <c r="DCZ19" s="110"/>
      <c r="DDA19" s="110"/>
      <c r="DDB19" s="110"/>
      <c r="DDC19" s="110"/>
      <c r="DDD19" s="110"/>
      <c r="DDE19" s="110"/>
      <c r="DDF19" s="110"/>
      <c r="DDG19" s="110"/>
      <c r="DDH19" s="110"/>
      <c r="DDI19" s="110"/>
      <c r="DDJ19" s="110"/>
      <c r="DDK19" s="110"/>
      <c r="DDL19" s="110"/>
      <c r="DDM19" s="110"/>
      <c r="DDN19" s="110"/>
      <c r="DDO19" s="110"/>
      <c r="DDP19" s="110"/>
      <c r="DDQ19" s="110"/>
      <c r="DDR19" s="110"/>
      <c r="DDS19" s="110"/>
      <c r="DDT19" s="110"/>
      <c r="DDU19" s="110"/>
      <c r="DDV19" s="110"/>
      <c r="DDW19" s="110"/>
      <c r="DDX19" s="110"/>
      <c r="DDY19" s="110"/>
      <c r="DDZ19" s="110"/>
      <c r="DEA19" s="110"/>
      <c r="DEB19" s="110"/>
      <c r="DEC19" s="110"/>
      <c r="DED19" s="110"/>
      <c r="DEE19" s="110"/>
      <c r="DEF19" s="110"/>
      <c r="DEG19" s="110"/>
      <c r="DEH19" s="110"/>
      <c r="DEI19" s="110"/>
      <c r="DEJ19" s="110"/>
      <c r="DEK19" s="110"/>
      <c r="DEL19" s="110"/>
      <c r="DEM19" s="110"/>
      <c r="DEN19" s="110"/>
      <c r="DEO19" s="110"/>
      <c r="DEP19" s="110"/>
      <c r="DEQ19" s="110"/>
      <c r="DER19" s="110"/>
      <c r="DES19" s="110"/>
      <c r="DET19" s="110"/>
      <c r="DEU19" s="110"/>
      <c r="DEV19" s="110"/>
      <c r="DEW19" s="110"/>
      <c r="DEX19" s="110"/>
      <c r="DEY19" s="110"/>
      <c r="DEZ19" s="110"/>
      <c r="DFA19" s="110"/>
      <c r="DFB19" s="110"/>
      <c r="DFC19" s="110"/>
      <c r="DFD19" s="110"/>
      <c r="DFE19" s="110"/>
      <c r="DFF19" s="110"/>
      <c r="DFG19" s="110"/>
      <c r="DFH19" s="110"/>
      <c r="DFI19" s="110"/>
      <c r="DFJ19" s="110"/>
      <c r="DFK19" s="110"/>
      <c r="DFL19" s="110"/>
      <c r="DFM19" s="110"/>
      <c r="DFN19" s="110"/>
      <c r="DFO19" s="110"/>
      <c r="DFP19" s="110"/>
      <c r="DFQ19" s="110"/>
      <c r="DFR19" s="110"/>
      <c r="DFS19" s="110"/>
      <c r="DFT19" s="110"/>
      <c r="DFU19" s="110"/>
      <c r="DFV19" s="110"/>
      <c r="DFW19" s="110"/>
      <c r="DFX19" s="110"/>
      <c r="DFY19" s="110"/>
      <c r="DFZ19" s="110"/>
      <c r="DGA19" s="110"/>
      <c r="DGB19" s="110"/>
      <c r="DGC19" s="110"/>
      <c r="DGD19" s="110"/>
      <c r="DGE19" s="110"/>
      <c r="DGF19" s="110"/>
      <c r="DGG19" s="110"/>
      <c r="DGH19" s="110"/>
      <c r="DGI19" s="110"/>
      <c r="DGJ19" s="110"/>
      <c r="DGK19" s="110"/>
      <c r="DGL19" s="110"/>
      <c r="DGM19" s="110"/>
      <c r="DGN19" s="110"/>
      <c r="DGO19" s="110"/>
      <c r="DGP19" s="110"/>
      <c r="DGQ19" s="110"/>
      <c r="DGR19" s="110"/>
      <c r="DGS19" s="110"/>
      <c r="DGT19" s="110"/>
      <c r="DGU19" s="110"/>
      <c r="DGV19" s="110"/>
      <c r="DGW19" s="110"/>
      <c r="DGX19" s="110"/>
      <c r="DGY19" s="110"/>
      <c r="DGZ19" s="110"/>
      <c r="DHA19" s="110"/>
      <c r="DHB19" s="110"/>
      <c r="DHC19" s="110"/>
      <c r="DHD19" s="110"/>
      <c r="DHE19" s="110"/>
      <c r="DHF19" s="110"/>
      <c r="DHG19" s="110"/>
      <c r="DHH19" s="110"/>
      <c r="DHI19" s="110"/>
      <c r="DHJ19" s="110"/>
      <c r="DHK19" s="110"/>
      <c r="DHL19" s="110"/>
      <c r="DHM19" s="110"/>
      <c r="DHN19" s="110"/>
      <c r="DHO19" s="110"/>
      <c r="DHP19" s="110"/>
      <c r="DHQ19" s="110"/>
      <c r="DHR19" s="110"/>
      <c r="DHS19" s="110"/>
      <c r="DHT19" s="110"/>
      <c r="DHU19" s="110"/>
      <c r="DHV19" s="110"/>
      <c r="DHW19" s="110"/>
      <c r="DHX19" s="110"/>
      <c r="DHY19" s="110"/>
      <c r="DHZ19" s="110"/>
      <c r="DIA19" s="110"/>
      <c r="DIB19" s="110"/>
      <c r="DIC19" s="110"/>
      <c r="DID19" s="110"/>
      <c r="DIE19" s="110"/>
      <c r="DIF19" s="110"/>
      <c r="DIG19" s="110"/>
      <c r="DIH19" s="110"/>
      <c r="DII19" s="110"/>
      <c r="DIJ19" s="110"/>
      <c r="DIK19" s="110"/>
      <c r="DIL19" s="110"/>
      <c r="DIM19" s="110"/>
      <c r="DIN19" s="110"/>
      <c r="DIO19" s="110"/>
      <c r="DIP19" s="110"/>
      <c r="DIQ19" s="110"/>
      <c r="DIR19" s="110"/>
      <c r="DIS19" s="110"/>
      <c r="DIT19" s="110"/>
      <c r="DIU19" s="110"/>
      <c r="DIV19" s="110"/>
      <c r="DIW19" s="110"/>
      <c r="DIX19" s="110"/>
      <c r="DIY19" s="110"/>
      <c r="DIZ19" s="110"/>
      <c r="DJA19" s="110"/>
      <c r="DJB19" s="110"/>
      <c r="DJC19" s="110"/>
      <c r="DJD19" s="110"/>
      <c r="DJE19" s="110"/>
      <c r="DJF19" s="110"/>
      <c r="DJG19" s="110"/>
      <c r="DJH19" s="110"/>
      <c r="DJI19" s="110"/>
      <c r="DJJ19" s="110"/>
      <c r="DJK19" s="110"/>
      <c r="DJL19" s="110"/>
      <c r="DJM19" s="110"/>
      <c r="DJN19" s="110"/>
      <c r="DJO19" s="110"/>
      <c r="DJP19" s="110"/>
      <c r="DJQ19" s="110"/>
      <c r="DJR19" s="110"/>
      <c r="DJS19" s="110"/>
      <c r="DJT19" s="110"/>
      <c r="DJU19" s="110"/>
      <c r="DJV19" s="110"/>
      <c r="DJW19" s="110"/>
      <c r="DJX19" s="110"/>
      <c r="DJY19" s="110"/>
      <c r="DJZ19" s="110"/>
      <c r="DKA19" s="110"/>
      <c r="DKB19" s="110"/>
      <c r="DKC19" s="110"/>
      <c r="DKD19" s="110"/>
      <c r="DKE19" s="110"/>
      <c r="DKF19" s="110"/>
      <c r="DKG19" s="110"/>
      <c r="DKH19" s="110"/>
      <c r="DKI19" s="110"/>
      <c r="DKJ19" s="110"/>
      <c r="DKK19" s="110"/>
      <c r="DKL19" s="110"/>
      <c r="DKM19" s="110"/>
      <c r="DKN19" s="110"/>
      <c r="DKO19" s="110"/>
      <c r="DKP19" s="110"/>
      <c r="DKQ19" s="110"/>
      <c r="DKR19" s="110"/>
      <c r="DKS19" s="110"/>
      <c r="DKT19" s="110"/>
      <c r="DKU19" s="110"/>
      <c r="DKV19" s="110"/>
      <c r="DKW19" s="110"/>
      <c r="DKX19" s="110"/>
      <c r="DKY19" s="110"/>
      <c r="DKZ19" s="110"/>
      <c r="DLA19" s="110"/>
      <c r="DLB19" s="110"/>
      <c r="DLC19" s="110"/>
      <c r="DLD19" s="110"/>
      <c r="DLE19" s="110"/>
      <c r="DLF19" s="110"/>
      <c r="DLG19" s="110"/>
      <c r="DLH19" s="110"/>
      <c r="DLI19" s="110"/>
      <c r="DLJ19" s="110"/>
      <c r="DLK19" s="110"/>
      <c r="DLL19" s="110"/>
      <c r="DLM19" s="110"/>
      <c r="DLN19" s="110"/>
      <c r="DLO19" s="110"/>
      <c r="DLP19" s="110"/>
      <c r="DLQ19" s="110"/>
      <c r="DLR19" s="110"/>
      <c r="DLS19" s="110"/>
      <c r="DLT19" s="110"/>
      <c r="DLU19" s="110"/>
      <c r="DLV19" s="110"/>
      <c r="DLW19" s="110"/>
      <c r="DLX19" s="110"/>
      <c r="DLY19" s="110"/>
      <c r="DLZ19" s="110"/>
      <c r="DMA19" s="110"/>
      <c r="DMB19" s="110"/>
      <c r="DMC19" s="110"/>
      <c r="DMD19" s="110"/>
      <c r="DME19" s="110"/>
      <c r="DMF19" s="110"/>
      <c r="DMG19" s="110"/>
      <c r="DMH19" s="110"/>
      <c r="DMI19" s="110"/>
      <c r="DMJ19" s="110"/>
      <c r="DMK19" s="110"/>
      <c r="DML19" s="110"/>
      <c r="DMM19" s="110"/>
      <c r="DMN19" s="110"/>
      <c r="DMO19" s="110"/>
      <c r="DMP19" s="110"/>
      <c r="DMQ19" s="110"/>
      <c r="DMR19" s="110"/>
      <c r="DMS19" s="110"/>
      <c r="DMT19" s="110"/>
      <c r="DMU19" s="110"/>
      <c r="DMV19" s="110"/>
      <c r="DMW19" s="110"/>
      <c r="DMX19" s="110"/>
      <c r="DMY19" s="110"/>
      <c r="DMZ19" s="110"/>
      <c r="DNA19" s="110"/>
      <c r="DNB19" s="110"/>
      <c r="DNC19" s="110"/>
      <c r="DND19" s="110"/>
      <c r="DNE19" s="110"/>
      <c r="DNF19" s="110"/>
      <c r="DNG19" s="110"/>
      <c r="DNH19" s="110"/>
      <c r="DNI19" s="110"/>
      <c r="DNJ19" s="110"/>
      <c r="DNK19" s="110"/>
      <c r="DNL19" s="110"/>
      <c r="DNM19" s="110"/>
      <c r="DNN19" s="110"/>
      <c r="DNO19" s="110"/>
      <c r="DNP19" s="110"/>
      <c r="DNQ19" s="110"/>
      <c r="DNR19" s="110"/>
      <c r="DNS19" s="110"/>
      <c r="DNT19" s="110"/>
      <c r="DNU19" s="110"/>
      <c r="DNV19" s="110"/>
      <c r="DNW19" s="110"/>
      <c r="DNX19" s="110"/>
      <c r="DNY19" s="110"/>
      <c r="DNZ19" s="110"/>
      <c r="DOA19" s="110"/>
      <c r="DOB19" s="110"/>
      <c r="DOC19" s="110"/>
      <c r="DOD19" s="110"/>
      <c r="DOE19" s="110"/>
      <c r="DOF19" s="110"/>
      <c r="DOG19" s="110"/>
      <c r="DOH19" s="110"/>
      <c r="DOI19" s="110"/>
      <c r="DOJ19" s="110"/>
      <c r="DOK19" s="110"/>
      <c r="DOL19" s="110"/>
      <c r="DOM19" s="110"/>
      <c r="DON19" s="110"/>
      <c r="DOO19" s="110"/>
      <c r="DOP19" s="110"/>
      <c r="DOQ19" s="110"/>
      <c r="DOR19" s="110"/>
      <c r="DOS19" s="110"/>
      <c r="DOT19" s="110"/>
      <c r="DOU19" s="110"/>
      <c r="DOV19" s="110"/>
      <c r="DOW19" s="110"/>
      <c r="DOX19" s="110"/>
      <c r="DOY19" s="110"/>
      <c r="DOZ19" s="110"/>
      <c r="DPA19" s="110"/>
      <c r="DPB19" s="110"/>
      <c r="DPC19" s="110"/>
      <c r="DPD19" s="110"/>
      <c r="DPE19" s="110"/>
      <c r="DPF19" s="110"/>
      <c r="DPG19" s="110"/>
      <c r="DPH19" s="110"/>
      <c r="DPI19" s="110"/>
      <c r="DPJ19" s="110"/>
      <c r="DPK19" s="110"/>
      <c r="DPL19" s="110"/>
      <c r="DPM19" s="110"/>
      <c r="DPN19" s="110"/>
      <c r="DPO19" s="110"/>
      <c r="DPP19" s="110"/>
      <c r="DPQ19" s="110"/>
      <c r="DPR19" s="110"/>
      <c r="DPS19" s="110"/>
      <c r="DPT19" s="110"/>
      <c r="DPU19" s="110"/>
      <c r="DPV19" s="110"/>
      <c r="DPW19" s="110"/>
      <c r="DPX19" s="110"/>
      <c r="DPY19" s="110"/>
      <c r="DPZ19" s="110"/>
      <c r="DQA19" s="110"/>
      <c r="DQB19" s="110"/>
      <c r="DQC19" s="110"/>
      <c r="DQD19" s="110"/>
      <c r="DQE19" s="110"/>
      <c r="DQF19" s="110"/>
      <c r="DQG19" s="110"/>
      <c r="DQH19" s="110"/>
      <c r="DQI19" s="110"/>
      <c r="DQJ19" s="110"/>
      <c r="DQK19" s="110"/>
      <c r="DQL19" s="110"/>
      <c r="DQM19" s="110"/>
      <c r="DQN19" s="110"/>
      <c r="DQO19" s="110"/>
      <c r="DQP19" s="110"/>
      <c r="DQQ19" s="110"/>
      <c r="DQR19" s="110"/>
      <c r="DQS19" s="110"/>
      <c r="DQT19" s="110"/>
      <c r="DQU19" s="110"/>
      <c r="DQV19" s="110"/>
      <c r="DQW19" s="110"/>
      <c r="DQX19" s="110"/>
      <c r="DQY19" s="110"/>
      <c r="DQZ19" s="110"/>
      <c r="DRA19" s="110"/>
      <c r="DRB19" s="110"/>
      <c r="DRC19" s="110"/>
      <c r="DRD19" s="110"/>
      <c r="DRE19" s="110"/>
      <c r="DRF19" s="110"/>
      <c r="DRG19" s="110"/>
      <c r="DRH19" s="110"/>
      <c r="DRI19" s="110"/>
      <c r="DRJ19" s="110"/>
      <c r="DRK19" s="110"/>
      <c r="DRL19" s="110"/>
      <c r="DRM19" s="110"/>
      <c r="DRN19" s="110"/>
      <c r="DRO19" s="110"/>
      <c r="DRP19" s="110"/>
      <c r="DRQ19" s="110"/>
      <c r="DRR19" s="110"/>
      <c r="DRS19" s="110"/>
      <c r="DRT19" s="110"/>
      <c r="DRU19" s="110"/>
      <c r="DRV19" s="110"/>
      <c r="DRW19" s="110"/>
      <c r="DRX19" s="110"/>
      <c r="DRY19" s="110"/>
      <c r="DRZ19" s="110"/>
      <c r="DSA19" s="110"/>
      <c r="DSB19" s="110"/>
      <c r="DSC19" s="110"/>
      <c r="DSD19" s="110"/>
      <c r="DSE19" s="110"/>
      <c r="DSF19" s="110"/>
      <c r="DSG19" s="110"/>
      <c r="DSH19" s="110"/>
      <c r="DSI19" s="110"/>
      <c r="DSJ19" s="110"/>
      <c r="DSK19" s="110"/>
      <c r="DSL19" s="110"/>
      <c r="DSM19" s="110"/>
      <c r="DSN19" s="110"/>
      <c r="DSO19" s="110"/>
      <c r="DSP19" s="110"/>
      <c r="DSQ19" s="110"/>
      <c r="DSR19" s="110"/>
      <c r="DSS19" s="110"/>
      <c r="DST19" s="110"/>
      <c r="DSU19" s="110"/>
      <c r="DSV19" s="110"/>
      <c r="DSW19" s="110"/>
      <c r="DSX19" s="110"/>
      <c r="DSY19" s="110"/>
      <c r="DSZ19" s="110"/>
      <c r="DTA19" s="110"/>
      <c r="DTB19" s="110"/>
      <c r="DTC19" s="110"/>
      <c r="DTD19" s="110"/>
      <c r="DTE19" s="110"/>
      <c r="DTF19" s="110"/>
      <c r="DTG19" s="110"/>
      <c r="DTH19" s="110"/>
      <c r="DTI19" s="110"/>
      <c r="DTJ19" s="110"/>
      <c r="DTK19" s="110"/>
      <c r="DTL19" s="110"/>
      <c r="DTM19" s="110"/>
      <c r="DTN19" s="110"/>
      <c r="DTO19" s="110"/>
      <c r="DTP19" s="110"/>
      <c r="DTQ19" s="110"/>
      <c r="DTR19" s="110"/>
      <c r="DTS19" s="110"/>
      <c r="DTT19" s="110"/>
      <c r="DTU19" s="110"/>
      <c r="DTV19" s="110"/>
      <c r="DTW19" s="110"/>
      <c r="DTX19" s="110"/>
      <c r="DTY19" s="110"/>
      <c r="DTZ19" s="110"/>
      <c r="DUA19" s="110"/>
      <c r="DUB19" s="110"/>
      <c r="DUC19" s="110"/>
      <c r="DUD19" s="110"/>
      <c r="DUE19" s="110"/>
      <c r="DUF19" s="110"/>
      <c r="DUG19" s="110"/>
      <c r="DUH19" s="110"/>
      <c r="DUI19" s="110"/>
      <c r="DUJ19" s="110"/>
      <c r="DUK19" s="110"/>
      <c r="DUL19" s="110"/>
      <c r="DUM19" s="110"/>
      <c r="DUN19" s="110"/>
      <c r="DUO19" s="110"/>
      <c r="DUP19" s="110"/>
      <c r="DUQ19" s="110"/>
      <c r="DUR19" s="110"/>
      <c r="DUS19" s="110"/>
      <c r="DUT19" s="110"/>
      <c r="DUU19" s="110"/>
      <c r="DUV19" s="110"/>
      <c r="DUW19" s="110"/>
      <c r="DUX19" s="110"/>
      <c r="DUY19" s="110"/>
      <c r="DUZ19" s="110"/>
      <c r="DVA19" s="110"/>
      <c r="DVB19" s="110"/>
      <c r="DVC19" s="110"/>
      <c r="DVD19" s="110"/>
      <c r="DVE19" s="110"/>
      <c r="DVF19" s="110"/>
      <c r="DVG19" s="110"/>
      <c r="DVH19" s="110"/>
      <c r="DVI19" s="110"/>
      <c r="DVJ19" s="110"/>
      <c r="DVK19" s="110"/>
      <c r="DVL19" s="110"/>
      <c r="DVM19" s="110"/>
      <c r="DVN19" s="110"/>
      <c r="DVO19" s="110"/>
      <c r="DVP19" s="110"/>
      <c r="DVQ19" s="110"/>
      <c r="DVR19" s="110"/>
      <c r="DVS19" s="110"/>
      <c r="DVT19" s="110"/>
      <c r="DVU19" s="110"/>
      <c r="DVV19" s="110"/>
      <c r="DVW19" s="110"/>
      <c r="DVX19" s="110"/>
      <c r="DVY19" s="110"/>
      <c r="DVZ19" s="110"/>
      <c r="DWA19" s="110"/>
      <c r="DWB19" s="110"/>
      <c r="DWC19" s="110"/>
      <c r="DWD19" s="110"/>
      <c r="DWE19" s="110"/>
      <c r="DWF19" s="110"/>
      <c r="DWG19" s="110"/>
      <c r="DWH19" s="110"/>
      <c r="DWI19" s="110"/>
      <c r="DWJ19" s="110"/>
      <c r="DWK19" s="110"/>
      <c r="DWL19" s="110"/>
      <c r="DWM19" s="110"/>
      <c r="DWN19" s="110"/>
      <c r="DWO19" s="110"/>
      <c r="DWP19" s="110"/>
      <c r="DWQ19" s="110"/>
      <c r="DWR19" s="110"/>
      <c r="DWS19" s="110"/>
      <c r="DWT19" s="110"/>
      <c r="DWU19" s="110"/>
      <c r="DWV19" s="110"/>
      <c r="DWW19" s="110"/>
      <c r="DWX19" s="110"/>
      <c r="DWY19" s="110"/>
      <c r="DWZ19" s="110"/>
      <c r="DXA19" s="110"/>
      <c r="DXB19" s="110"/>
      <c r="DXC19" s="110"/>
      <c r="DXD19" s="110"/>
      <c r="DXE19" s="110"/>
      <c r="DXF19" s="110"/>
      <c r="DXG19" s="110"/>
      <c r="DXH19" s="110"/>
      <c r="DXI19" s="110"/>
      <c r="DXJ19" s="110"/>
      <c r="DXK19" s="110"/>
      <c r="DXL19" s="110"/>
      <c r="DXM19" s="110"/>
      <c r="DXN19" s="110"/>
      <c r="DXO19" s="110"/>
      <c r="DXP19" s="110"/>
      <c r="DXQ19" s="110"/>
      <c r="DXR19" s="110"/>
      <c r="DXS19" s="110"/>
      <c r="DXT19" s="110"/>
      <c r="DXU19" s="110"/>
      <c r="DXV19" s="110"/>
      <c r="DXW19" s="110"/>
      <c r="DXX19" s="110"/>
      <c r="DXY19" s="110"/>
      <c r="DXZ19" s="110"/>
      <c r="DYA19" s="110"/>
      <c r="DYB19" s="110"/>
      <c r="DYC19" s="110"/>
      <c r="DYD19" s="110"/>
      <c r="DYE19" s="110"/>
      <c r="DYF19" s="110"/>
      <c r="DYG19" s="110"/>
      <c r="DYH19" s="110"/>
      <c r="DYI19" s="110"/>
      <c r="DYJ19" s="110"/>
      <c r="DYK19" s="110"/>
      <c r="DYL19" s="110"/>
      <c r="DYM19" s="110"/>
      <c r="DYN19" s="110"/>
      <c r="DYO19" s="110"/>
      <c r="DYP19" s="110"/>
      <c r="DYQ19" s="110"/>
      <c r="DYR19" s="110"/>
      <c r="DYS19" s="110"/>
      <c r="DYT19" s="110"/>
      <c r="DYU19" s="110"/>
      <c r="DYV19" s="110"/>
      <c r="DYW19" s="110"/>
      <c r="DYX19" s="110"/>
      <c r="DYY19" s="110"/>
      <c r="DYZ19" s="110"/>
      <c r="DZA19" s="110"/>
      <c r="DZB19" s="110"/>
      <c r="DZC19" s="110"/>
      <c r="DZD19" s="110"/>
      <c r="DZE19" s="110"/>
      <c r="DZF19" s="110"/>
      <c r="DZG19" s="110"/>
      <c r="DZH19" s="110"/>
      <c r="DZI19" s="110"/>
      <c r="DZJ19" s="110"/>
      <c r="DZK19" s="110"/>
      <c r="DZL19" s="110"/>
      <c r="DZM19" s="110"/>
      <c r="DZN19" s="110"/>
      <c r="DZO19" s="110"/>
      <c r="DZP19" s="110"/>
      <c r="DZQ19" s="110"/>
      <c r="DZR19" s="110"/>
      <c r="DZS19" s="110"/>
      <c r="DZT19" s="110"/>
      <c r="DZU19" s="110"/>
      <c r="DZV19" s="110"/>
      <c r="DZW19" s="110"/>
      <c r="DZX19" s="110"/>
      <c r="DZY19" s="110"/>
      <c r="DZZ19" s="110"/>
      <c r="EAA19" s="110"/>
      <c r="EAB19" s="110"/>
      <c r="EAC19" s="110"/>
      <c r="EAD19" s="110"/>
      <c r="EAE19" s="110"/>
      <c r="EAF19" s="110"/>
      <c r="EAG19" s="110"/>
      <c r="EAH19" s="110"/>
      <c r="EAI19" s="110"/>
      <c r="EAJ19" s="110"/>
      <c r="EAK19" s="110"/>
      <c r="EAL19" s="110"/>
      <c r="EAM19" s="110"/>
      <c r="EAN19" s="110"/>
      <c r="EAO19" s="110"/>
      <c r="EAP19" s="110"/>
      <c r="EAQ19" s="110"/>
      <c r="EAR19" s="110"/>
      <c r="EAS19" s="110"/>
      <c r="EAT19" s="110"/>
      <c r="EAU19" s="110"/>
      <c r="EAV19" s="110"/>
      <c r="EAW19" s="110"/>
      <c r="EAX19" s="110"/>
      <c r="EAY19" s="110"/>
      <c r="EAZ19" s="110"/>
      <c r="EBA19" s="110"/>
      <c r="EBB19" s="110"/>
      <c r="EBC19" s="110"/>
      <c r="EBD19" s="110"/>
      <c r="EBE19" s="110"/>
      <c r="EBF19" s="110"/>
      <c r="EBG19" s="110"/>
      <c r="EBH19" s="110"/>
      <c r="EBI19" s="110"/>
      <c r="EBJ19" s="110"/>
      <c r="EBK19" s="110"/>
      <c r="EBL19" s="110"/>
      <c r="EBM19" s="110"/>
      <c r="EBN19" s="110"/>
      <c r="EBO19" s="110"/>
      <c r="EBP19" s="110"/>
      <c r="EBQ19" s="110"/>
      <c r="EBR19" s="110"/>
      <c r="EBS19" s="110"/>
      <c r="EBT19" s="110"/>
      <c r="EBU19" s="110"/>
      <c r="EBV19" s="110"/>
      <c r="EBW19" s="110"/>
      <c r="EBX19" s="110"/>
      <c r="EBY19" s="110"/>
      <c r="EBZ19" s="110"/>
      <c r="ECA19" s="110"/>
      <c r="ECB19" s="110"/>
      <c r="ECC19" s="110"/>
      <c r="ECD19" s="110"/>
      <c r="ECE19" s="110"/>
      <c r="ECF19" s="110"/>
      <c r="ECG19" s="110"/>
      <c r="ECH19" s="110"/>
      <c r="ECI19" s="110"/>
      <c r="ECJ19" s="110"/>
      <c r="ECK19" s="110"/>
      <c r="ECL19" s="110"/>
      <c r="ECM19" s="110"/>
      <c r="ECN19" s="110"/>
      <c r="ECO19" s="110"/>
      <c r="ECP19" s="110"/>
      <c r="ECQ19" s="110"/>
      <c r="ECR19" s="110"/>
      <c r="ECS19" s="110"/>
      <c r="ECT19" s="110"/>
      <c r="ECU19" s="110"/>
      <c r="ECV19" s="110"/>
      <c r="ECW19" s="110"/>
      <c r="ECX19" s="110"/>
      <c r="ECY19" s="110"/>
      <c r="ECZ19" s="110"/>
      <c r="EDA19" s="110"/>
      <c r="EDB19" s="110"/>
      <c r="EDC19" s="110"/>
      <c r="EDD19" s="110"/>
      <c r="EDE19" s="110"/>
      <c r="EDF19" s="110"/>
      <c r="EDG19" s="110"/>
      <c r="EDH19" s="110"/>
      <c r="EDI19" s="110"/>
      <c r="EDJ19" s="110"/>
      <c r="EDK19" s="110"/>
      <c r="EDL19" s="110"/>
      <c r="EDM19" s="110"/>
      <c r="EDN19" s="110"/>
      <c r="EDO19" s="110"/>
      <c r="EDP19" s="110"/>
      <c r="EDQ19" s="110"/>
      <c r="EDR19" s="110"/>
      <c r="EDS19" s="110"/>
      <c r="EDT19" s="110"/>
      <c r="EDU19" s="110"/>
      <c r="EDV19" s="110"/>
      <c r="EDW19" s="110"/>
      <c r="EDX19" s="110"/>
      <c r="EDY19" s="110"/>
      <c r="EDZ19" s="110"/>
      <c r="EEA19" s="110"/>
      <c r="EEB19" s="110"/>
      <c r="EEC19" s="110"/>
      <c r="EED19" s="110"/>
      <c r="EEE19" s="110"/>
      <c r="EEF19" s="110"/>
      <c r="EEG19" s="110"/>
      <c r="EEH19" s="110"/>
      <c r="EEI19" s="110"/>
      <c r="EEJ19" s="110"/>
      <c r="EEK19" s="110"/>
      <c r="EEL19" s="110"/>
      <c r="EEM19" s="110"/>
      <c r="EEN19" s="110"/>
      <c r="EEO19" s="110"/>
      <c r="EEP19" s="110"/>
      <c r="EEQ19" s="110"/>
      <c r="EER19" s="110"/>
      <c r="EES19" s="110"/>
      <c r="EET19" s="110"/>
      <c r="EEU19" s="110"/>
      <c r="EEV19" s="110"/>
      <c r="EEW19" s="110"/>
      <c r="EEX19" s="110"/>
      <c r="EEY19" s="110"/>
      <c r="EEZ19" s="110"/>
      <c r="EFA19" s="110"/>
      <c r="EFB19" s="110"/>
      <c r="EFC19" s="110"/>
      <c r="EFD19" s="110"/>
      <c r="EFE19" s="110"/>
      <c r="EFF19" s="110"/>
      <c r="EFG19" s="110"/>
      <c r="EFH19" s="110"/>
      <c r="EFI19" s="110"/>
      <c r="EFJ19" s="110"/>
      <c r="EFK19" s="110"/>
      <c r="EFL19" s="110"/>
      <c r="EFM19" s="110"/>
      <c r="EFN19" s="110"/>
      <c r="EFO19" s="110"/>
      <c r="EFP19" s="110"/>
      <c r="EFQ19" s="110"/>
      <c r="EFR19" s="110"/>
      <c r="EFS19" s="110"/>
      <c r="EFT19" s="110"/>
      <c r="EFU19" s="110"/>
      <c r="EFV19" s="110"/>
      <c r="EFW19" s="110"/>
      <c r="EFX19" s="110"/>
      <c r="EFY19" s="110"/>
      <c r="EFZ19" s="110"/>
      <c r="EGA19" s="110"/>
      <c r="EGB19" s="110"/>
      <c r="EGC19" s="110"/>
      <c r="EGD19" s="110"/>
      <c r="EGE19" s="110"/>
      <c r="EGF19" s="110"/>
      <c r="EGG19" s="110"/>
      <c r="EGH19" s="110"/>
      <c r="EGI19" s="110"/>
      <c r="EGJ19" s="110"/>
      <c r="EGK19" s="110"/>
      <c r="EGL19" s="110"/>
      <c r="EGM19" s="110"/>
      <c r="EGN19" s="110"/>
      <c r="EGO19" s="110"/>
      <c r="EGP19" s="110"/>
      <c r="EGQ19" s="110"/>
      <c r="EGR19" s="110"/>
      <c r="EGS19" s="110"/>
      <c r="EGT19" s="110"/>
      <c r="EGU19" s="110"/>
      <c r="EGV19" s="110"/>
      <c r="EGW19" s="110"/>
      <c r="EGX19" s="110"/>
      <c r="EGY19" s="110"/>
      <c r="EGZ19" s="110"/>
      <c r="EHA19" s="110"/>
      <c r="EHB19" s="110"/>
      <c r="EHC19" s="110"/>
      <c r="EHD19" s="110"/>
      <c r="EHE19" s="110"/>
      <c r="EHF19" s="110"/>
      <c r="EHG19" s="110"/>
      <c r="EHH19" s="110"/>
      <c r="EHI19" s="110"/>
      <c r="EHJ19" s="110"/>
      <c r="EHK19" s="110"/>
      <c r="EHL19" s="110"/>
      <c r="EHM19" s="110"/>
      <c r="EHN19" s="110"/>
      <c r="EHO19" s="110"/>
      <c r="EHP19" s="110"/>
      <c r="EHQ19" s="110"/>
      <c r="EHR19" s="110"/>
      <c r="EHS19" s="110"/>
      <c r="EHT19" s="110"/>
      <c r="EHU19" s="110"/>
      <c r="EHV19" s="110"/>
      <c r="EHW19" s="110"/>
      <c r="EHX19" s="110"/>
      <c r="EHY19" s="110"/>
      <c r="EHZ19" s="110"/>
      <c r="EIA19" s="110"/>
      <c r="EIB19" s="110"/>
      <c r="EIC19" s="110"/>
      <c r="EID19" s="110"/>
      <c r="EIE19" s="110"/>
      <c r="EIF19" s="110"/>
      <c r="EIG19" s="110"/>
      <c r="EIH19" s="110"/>
      <c r="EII19" s="110"/>
      <c r="EIJ19" s="110"/>
      <c r="EIK19" s="110"/>
      <c r="EIL19" s="110"/>
      <c r="EIM19" s="110"/>
      <c r="EIN19" s="110"/>
      <c r="EIO19" s="110"/>
      <c r="EIP19" s="110"/>
      <c r="EIQ19" s="110"/>
      <c r="EIR19" s="110"/>
      <c r="EIS19" s="110"/>
      <c r="EIT19" s="110"/>
      <c r="EIU19" s="110"/>
      <c r="EIV19" s="110"/>
      <c r="EIW19" s="110"/>
      <c r="EIX19" s="110"/>
      <c r="EIY19" s="110"/>
      <c r="EIZ19" s="110"/>
      <c r="EJA19" s="110"/>
      <c r="EJB19" s="110"/>
      <c r="EJC19" s="110"/>
      <c r="EJD19" s="110"/>
      <c r="EJE19" s="110"/>
      <c r="EJF19" s="110"/>
      <c r="EJG19" s="110"/>
      <c r="EJH19" s="110"/>
      <c r="EJI19" s="110"/>
      <c r="EJJ19" s="110"/>
      <c r="EJK19" s="110"/>
      <c r="EJL19" s="110"/>
      <c r="EJM19" s="110"/>
      <c r="EJN19" s="110"/>
      <c r="EJO19" s="110"/>
      <c r="EJP19" s="110"/>
      <c r="EJQ19" s="110"/>
      <c r="EJR19" s="110"/>
      <c r="EJS19" s="110"/>
      <c r="EJT19" s="110"/>
      <c r="EJU19" s="110"/>
      <c r="EJV19" s="110"/>
      <c r="EJW19" s="110"/>
      <c r="EJX19" s="110"/>
      <c r="EJY19" s="110"/>
      <c r="EJZ19" s="110"/>
      <c r="EKA19" s="110"/>
      <c r="EKB19" s="110"/>
      <c r="EKC19" s="110"/>
      <c r="EKD19" s="110"/>
      <c r="EKE19" s="110"/>
      <c r="EKF19" s="110"/>
      <c r="EKG19" s="110"/>
      <c r="EKH19" s="110"/>
      <c r="EKI19" s="110"/>
      <c r="EKJ19" s="110"/>
      <c r="EKK19" s="110"/>
      <c r="EKL19" s="110"/>
      <c r="EKM19" s="110"/>
      <c r="EKN19" s="110"/>
      <c r="EKO19" s="110"/>
      <c r="EKP19" s="110"/>
      <c r="EKQ19" s="110"/>
      <c r="EKR19" s="110"/>
      <c r="EKS19" s="110"/>
      <c r="EKT19" s="110"/>
      <c r="EKU19" s="110"/>
      <c r="EKV19" s="110"/>
      <c r="EKW19" s="110"/>
      <c r="EKX19" s="110"/>
      <c r="EKY19" s="110"/>
      <c r="EKZ19" s="110"/>
      <c r="ELA19" s="110"/>
      <c r="ELB19" s="110"/>
      <c r="ELC19" s="110"/>
      <c r="ELD19" s="110"/>
      <c r="ELE19" s="110"/>
      <c r="ELF19" s="110"/>
      <c r="ELG19" s="110"/>
      <c r="ELH19" s="110"/>
      <c r="ELI19" s="110"/>
      <c r="ELJ19" s="110"/>
      <c r="ELK19" s="110"/>
      <c r="ELL19" s="110"/>
      <c r="ELM19" s="110"/>
      <c r="ELN19" s="110"/>
      <c r="ELO19" s="110"/>
      <c r="ELP19" s="110"/>
      <c r="ELQ19" s="110"/>
      <c r="ELR19" s="110"/>
      <c r="ELS19" s="110"/>
      <c r="ELT19" s="110"/>
      <c r="ELU19" s="110"/>
      <c r="ELV19" s="110"/>
      <c r="ELW19" s="110"/>
      <c r="ELX19" s="110"/>
      <c r="ELY19" s="110"/>
      <c r="ELZ19" s="110"/>
      <c r="EMA19" s="110"/>
      <c r="EMB19" s="110"/>
      <c r="EMC19" s="110"/>
      <c r="EMD19" s="110"/>
      <c r="EME19" s="110"/>
      <c r="EMF19" s="110"/>
      <c r="EMG19" s="110"/>
      <c r="EMH19" s="110"/>
      <c r="EMI19" s="110"/>
      <c r="EMJ19" s="110"/>
      <c r="EMK19" s="110"/>
      <c r="EML19" s="110"/>
      <c r="EMM19" s="110"/>
      <c r="EMN19" s="110"/>
      <c r="EMO19" s="110"/>
      <c r="EMP19" s="110"/>
      <c r="EMQ19" s="110"/>
      <c r="EMR19" s="110"/>
      <c r="EMS19" s="110"/>
      <c r="EMT19" s="110"/>
      <c r="EMU19" s="110"/>
      <c r="EMV19" s="110"/>
      <c r="EMW19" s="110"/>
      <c r="EMX19" s="110"/>
      <c r="EMY19" s="110"/>
      <c r="EMZ19" s="110"/>
      <c r="ENA19" s="110"/>
      <c r="ENB19" s="110"/>
      <c r="ENC19" s="110"/>
      <c r="END19" s="110"/>
      <c r="ENE19" s="110"/>
      <c r="ENF19" s="110"/>
      <c r="ENG19" s="110"/>
      <c r="ENH19" s="110"/>
      <c r="ENI19" s="110"/>
      <c r="ENJ19" s="110"/>
      <c r="ENK19" s="110"/>
      <c r="ENL19" s="110"/>
      <c r="ENM19" s="110"/>
      <c r="ENN19" s="110"/>
      <c r="ENO19" s="110"/>
      <c r="ENP19" s="110"/>
      <c r="ENQ19" s="110"/>
      <c r="ENR19" s="110"/>
      <c r="ENS19" s="110"/>
      <c r="ENT19" s="110"/>
      <c r="ENU19" s="110"/>
      <c r="ENV19" s="110"/>
      <c r="ENW19" s="110"/>
      <c r="ENX19" s="110"/>
      <c r="ENY19" s="110"/>
      <c r="ENZ19" s="110"/>
      <c r="EOA19" s="110"/>
      <c r="EOB19" s="110"/>
      <c r="EOC19" s="110"/>
      <c r="EOD19" s="110"/>
      <c r="EOE19" s="110"/>
      <c r="EOF19" s="110"/>
      <c r="EOG19" s="110"/>
      <c r="EOH19" s="110"/>
      <c r="EOI19" s="110"/>
      <c r="EOJ19" s="110"/>
      <c r="EOK19" s="110"/>
      <c r="EOL19" s="110"/>
      <c r="EOM19" s="110"/>
      <c r="EON19" s="110"/>
      <c r="EOO19" s="110"/>
      <c r="EOP19" s="110"/>
      <c r="EOQ19" s="110"/>
      <c r="EOR19" s="110"/>
      <c r="EOS19" s="110"/>
      <c r="EOT19" s="110"/>
      <c r="EOU19" s="110"/>
      <c r="EOV19" s="110"/>
      <c r="EOW19" s="110"/>
      <c r="EOX19" s="110"/>
      <c r="EOY19" s="110"/>
      <c r="EOZ19" s="110"/>
      <c r="EPA19" s="110"/>
      <c r="EPB19" s="110"/>
      <c r="EPC19" s="110"/>
      <c r="EPD19" s="110"/>
      <c r="EPE19" s="110"/>
      <c r="EPF19" s="110"/>
      <c r="EPG19" s="110"/>
      <c r="EPH19" s="110"/>
      <c r="EPI19" s="110"/>
      <c r="EPJ19" s="110"/>
      <c r="EPK19" s="110"/>
      <c r="EPL19" s="110"/>
      <c r="EPM19" s="110"/>
      <c r="EPN19" s="110"/>
      <c r="EPO19" s="110"/>
      <c r="EPP19" s="110"/>
      <c r="EPQ19" s="110"/>
      <c r="EPR19" s="110"/>
      <c r="EPS19" s="110"/>
      <c r="EPT19" s="110"/>
      <c r="EPU19" s="110"/>
      <c r="EPV19" s="110"/>
      <c r="EPW19" s="110"/>
      <c r="EPX19" s="110"/>
      <c r="EPY19" s="110"/>
      <c r="EPZ19" s="110"/>
      <c r="EQA19" s="110"/>
      <c r="EQB19" s="110"/>
      <c r="EQC19" s="110"/>
      <c r="EQD19" s="110"/>
      <c r="EQE19" s="110"/>
      <c r="EQF19" s="110"/>
      <c r="EQG19" s="110"/>
      <c r="EQH19" s="110"/>
      <c r="EQI19" s="110"/>
      <c r="EQJ19" s="110"/>
      <c r="EQK19" s="110"/>
      <c r="EQL19" s="110"/>
      <c r="EQM19" s="110"/>
      <c r="EQN19" s="110"/>
      <c r="EQO19" s="110"/>
      <c r="EQP19" s="110"/>
      <c r="EQQ19" s="110"/>
      <c r="EQR19" s="110"/>
      <c r="EQS19" s="110"/>
      <c r="EQT19" s="110"/>
      <c r="EQU19" s="110"/>
      <c r="EQV19" s="110"/>
      <c r="EQW19" s="110"/>
      <c r="EQX19" s="110"/>
      <c r="EQY19" s="110"/>
      <c r="EQZ19" s="110"/>
      <c r="ERA19" s="110"/>
      <c r="ERB19" s="110"/>
      <c r="ERC19" s="110"/>
      <c r="ERD19" s="110"/>
      <c r="ERE19" s="110"/>
      <c r="ERF19" s="110"/>
      <c r="ERG19" s="110"/>
      <c r="ERH19" s="110"/>
      <c r="ERI19" s="110"/>
      <c r="ERJ19" s="110"/>
      <c r="ERK19" s="110"/>
      <c r="ERL19" s="110"/>
      <c r="ERM19" s="110"/>
      <c r="ERN19" s="110"/>
      <c r="ERO19" s="110"/>
      <c r="ERP19" s="110"/>
      <c r="ERQ19" s="110"/>
      <c r="ERR19" s="110"/>
      <c r="ERS19" s="110"/>
      <c r="ERT19" s="110"/>
      <c r="ERU19" s="110"/>
      <c r="ERV19" s="110"/>
      <c r="ERW19" s="110"/>
      <c r="ERX19" s="110"/>
      <c r="ERY19" s="110"/>
      <c r="ERZ19" s="110"/>
      <c r="ESA19" s="110"/>
      <c r="ESB19" s="110"/>
      <c r="ESC19" s="110"/>
      <c r="ESD19" s="110"/>
      <c r="ESE19" s="110"/>
      <c r="ESF19" s="110"/>
      <c r="ESG19" s="110"/>
      <c r="ESH19" s="110"/>
      <c r="ESI19" s="110"/>
      <c r="ESJ19" s="110"/>
      <c r="ESK19" s="110"/>
      <c r="ESL19" s="110"/>
      <c r="ESM19" s="110"/>
      <c r="ESN19" s="110"/>
      <c r="ESO19" s="110"/>
      <c r="ESP19" s="110"/>
      <c r="ESQ19" s="110"/>
      <c r="ESR19" s="110"/>
      <c r="ESS19" s="110"/>
      <c r="EST19" s="110"/>
      <c r="ESU19" s="110"/>
      <c r="ESV19" s="110"/>
      <c r="ESW19" s="110"/>
      <c r="ESX19" s="110"/>
      <c r="ESY19" s="110"/>
      <c r="ESZ19" s="110"/>
      <c r="ETA19" s="110"/>
      <c r="ETB19" s="110"/>
      <c r="ETC19" s="110"/>
      <c r="ETD19" s="110"/>
      <c r="ETE19" s="110"/>
      <c r="ETF19" s="110"/>
      <c r="ETG19" s="110"/>
      <c r="ETH19" s="110"/>
      <c r="ETI19" s="110"/>
      <c r="ETJ19" s="110"/>
      <c r="ETK19" s="110"/>
      <c r="ETL19" s="110"/>
      <c r="ETM19" s="110"/>
      <c r="ETN19" s="110"/>
      <c r="ETO19" s="110"/>
      <c r="ETP19" s="110"/>
      <c r="ETQ19" s="110"/>
      <c r="ETR19" s="110"/>
      <c r="ETS19" s="110"/>
      <c r="ETT19" s="110"/>
      <c r="ETU19" s="110"/>
      <c r="ETV19" s="110"/>
      <c r="ETW19" s="110"/>
      <c r="ETX19" s="110"/>
      <c r="ETY19" s="110"/>
      <c r="ETZ19" s="110"/>
      <c r="EUA19" s="110"/>
      <c r="EUB19" s="110"/>
      <c r="EUC19" s="110"/>
      <c r="EUD19" s="110"/>
      <c r="EUE19" s="110"/>
      <c r="EUF19" s="110"/>
      <c r="EUG19" s="110"/>
      <c r="EUH19" s="110"/>
      <c r="EUI19" s="110"/>
      <c r="EUJ19" s="110"/>
      <c r="EUK19" s="110"/>
      <c r="EUL19" s="110"/>
      <c r="EUM19" s="110"/>
      <c r="EUN19" s="110"/>
      <c r="EUO19" s="110"/>
      <c r="EUP19" s="110"/>
      <c r="EUQ19" s="110"/>
      <c r="EUR19" s="110"/>
      <c r="EUS19" s="110"/>
      <c r="EUT19" s="110"/>
      <c r="EUU19" s="110"/>
      <c r="EUV19" s="110"/>
      <c r="EUW19" s="110"/>
      <c r="EUX19" s="110"/>
      <c r="EUY19" s="110"/>
      <c r="EUZ19" s="110"/>
      <c r="EVA19" s="110"/>
      <c r="EVB19" s="110"/>
      <c r="EVC19" s="110"/>
      <c r="EVD19" s="110"/>
      <c r="EVE19" s="110"/>
      <c r="EVF19" s="110"/>
      <c r="EVG19" s="110"/>
      <c r="EVH19" s="110"/>
      <c r="EVI19" s="110"/>
      <c r="EVJ19" s="110"/>
      <c r="EVK19" s="110"/>
      <c r="EVL19" s="110"/>
      <c r="EVM19" s="110"/>
      <c r="EVN19" s="110"/>
      <c r="EVO19" s="110"/>
      <c r="EVP19" s="110"/>
      <c r="EVQ19" s="110"/>
      <c r="EVR19" s="110"/>
      <c r="EVS19" s="110"/>
      <c r="EVT19" s="110"/>
      <c r="EVU19" s="110"/>
      <c r="EVV19" s="110"/>
      <c r="EVW19" s="110"/>
      <c r="EVX19" s="110"/>
      <c r="EVY19" s="110"/>
      <c r="EVZ19" s="110"/>
      <c r="EWA19" s="110"/>
      <c r="EWB19" s="110"/>
      <c r="EWC19" s="110"/>
      <c r="EWD19" s="110"/>
      <c r="EWE19" s="110"/>
      <c r="EWF19" s="110"/>
      <c r="EWG19" s="110"/>
      <c r="EWH19" s="110"/>
      <c r="EWI19" s="110"/>
      <c r="EWJ19" s="110"/>
      <c r="EWK19" s="110"/>
      <c r="EWL19" s="110"/>
      <c r="EWM19" s="110"/>
      <c r="EWN19" s="110"/>
      <c r="EWO19" s="110"/>
      <c r="EWP19" s="110"/>
      <c r="EWQ19" s="110"/>
      <c r="EWR19" s="110"/>
      <c r="EWS19" s="110"/>
      <c r="EWT19" s="110"/>
      <c r="EWU19" s="110"/>
      <c r="EWV19" s="110"/>
      <c r="EWW19" s="110"/>
      <c r="EWX19" s="110"/>
      <c r="EWY19" s="110"/>
      <c r="EWZ19" s="110"/>
      <c r="EXA19" s="110"/>
      <c r="EXB19" s="110"/>
      <c r="EXC19" s="110"/>
      <c r="EXD19" s="110"/>
      <c r="EXE19" s="110"/>
      <c r="EXF19" s="110"/>
      <c r="EXG19" s="110"/>
      <c r="EXH19" s="110"/>
      <c r="EXI19" s="110"/>
      <c r="EXJ19" s="110"/>
      <c r="EXK19" s="110"/>
      <c r="EXL19" s="110"/>
      <c r="EXM19" s="110"/>
      <c r="EXN19" s="110"/>
      <c r="EXO19" s="110"/>
      <c r="EXP19" s="110"/>
      <c r="EXQ19" s="110"/>
      <c r="EXR19" s="110"/>
      <c r="EXS19" s="110"/>
      <c r="EXT19" s="110"/>
      <c r="EXU19" s="110"/>
      <c r="EXV19" s="110"/>
      <c r="EXW19" s="110"/>
      <c r="EXX19" s="110"/>
      <c r="EXY19" s="110"/>
      <c r="EXZ19" s="110"/>
      <c r="EYA19" s="110"/>
      <c r="EYB19" s="110"/>
      <c r="EYC19" s="110"/>
      <c r="EYD19" s="110"/>
      <c r="EYE19" s="110"/>
      <c r="EYF19" s="110"/>
      <c r="EYG19" s="110"/>
      <c r="EYH19" s="110"/>
      <c r="EYI19" s="110"/>
      <c r="EYJ19" s="110"/>
      <c r="EYK19" s="110"/>
      <c r="EYL19" s="110"/>
      <c r="EYM19" s="110"/>
      <c r="EYN19" s="110"/>
      <c r="EYO19" s="110"/>
      <c r="EYP19" s="110"/>
      <c r="EYQ19" s="110"/>
      <c r="EYR19" s="110"/>
      <c r="EYS19" s="110"/>
      <c r="EYT19" s="110"/>
      <c r="EYU19" s="110"/>
      <c r="EYV19" s="110"/>
      <c r="EYW19" s="110"/>
      <c r="EYX19" s="110"/>
      <c r="EYY19" s="110"/>
      <c r="EYZ19" s="110"/>
      <c r="EZA19" s="110"/>
      <c r="EZB19" s="110"/>
      <c r="EZC19" s="110"/>
      <c r="EZD19" s="110"/>
      <c r="EZE19" s="110"/>
      <c r="EZF19" s="110"/>
      <c r="EZG19" s="110"/>
      <c r="EZH19" s="110"/>
      <c r="EZI19" s="110"/>
      <c r="EZJ19" s="110"/>
      <c r="EZK19" s="110"/>
      <c r="EZL19" s="110"/>
      <c r="EZM19" s="110"/>
      <c r="EZN19" s="110"/>
      <c r="EZO19" s="110"/>
      <c r="EZP19" s="110"/>
      <c r="EZQ19" s="110"/>
      <c r="EZR19" s="110"/>
      <c r="EZS19" s="110"/>
      <c r="EZT19" s="110"/>
      <c r="EZU19" s="110"/>
      <c r="EZV19" s="110"/>
      <c r="EZW19" s="110"/>
      <c r="EZX19" s="110"/>
      <c r="EZY19" s="110"/>
      <c r="EZZ19" s="110"/>
      <c r="FAA19" s="110"/>
      <c r="FAB19" s="110"/>
      <c r="FAC19" s="110"/>
      <c r="FAD19" s="110"/>
      <c r="FAE19" s="110"/>
      <c r="FAF19" s="110"/>
      <c r="FAG19" s="110"/>
      <c r="FAH19" s="110"/>
      <c r="FAI19" s="110"/>
      <c r="FAJ19" s="110"/>
      <c r="FAK19" s="110"/>
      <c r="FAL19" s="110"/>
      <c r="FAM19" s="110"/>
      <c r="FAN19" s="110"/>
      <c r="FAO19" s="110"/>
      <c r="FAP19" s="110"/>
      <c r="FAQ19" s="110"/>
      <c r="FAR19" s="110"/>
      <c r="FAS19" s="110"/>
      <c r="FAT19" s="110"/>
      <c r="FAU19" s="110"/>
      <c r="FAV19" s="110"/>
      <c r="FAW19" s="110"/>
      <c r="FAX19" s="110"/>
      <c r="FAY19" s="110"/>
      <c r="FAZ19" s="110"/>
      <c r="FBA19" s="110"/>
      <c r="FBB19" s="110"/>
      <c r="FBC19" s="110"/>
      <c r="FBD19" s="110"/>
      <c r="FBE19" s="110"/>
      <c r="FBF19" s="110"/>
      <c r="FBG19" s="110"/>
      <c r="FBH19" s="110"/>
      <c r="FBI19" s="110"/>
      <c r="FBJ19" s="110"/>
      <c r="FBK19" s="110"/>
      <c r="FBL19" s="110"/>
      <c r="FBM19" s="110"/>
      <c r="FBN19" s="110"/>
      <c r="FBO19" s="110"/>
      <c r="FBP19" s="110"/>
      <c r="FBQ19" s="110"/>
      <c r="FBR19" s="110"/>
      <c r="FBS19" s="110"/>
      <c r="FBT19" s="110"/>
      <c r="FBU19" s="110"/>
      <c r="FBV19" s="110"/>
      <c r="FBW19" s="110"/>
      <c r="FBX19" s="110"/>
      <c r="FBY19" s="110"/>
      <c r="FBZ19" s="110"/>
      <c r="FCA19" s="110"/>
      <c r="FCB19" s="110"/>
      <c r="FCC19" s="110"/>
      <c r="FCD19" s="110"/>
      <c r="FCE19" s="110"/>
      <c r="FCF19" s="110"/>
      <c r="FCG19" s="110"/>
      <c r="FCH19" s="110"/>
      <c r="FCI19" s="110"/>
      <c r="FCJ19" s="110"/>
      <c r="FCK19" s="110"/>
      <c r="FCL19" s="110"/>
      <c r="FCM19" s="110"/>
      <c r="FCN19" s="110"/>
      <c r="FCO19" s="110"/>
      <c r="FCP19" s="110"/>
      <c r="FCQ19" s="110"/>
      <c r="FCR19" s="110"/>
      <c r="FCS19" s="110"/>
      <c r="FCT19" s="110"/>
      <c r="FCU19" s="110"/>
      <c r="FCV19" s="110"/>
      <c r="FCW19" s="110"/>
      <c r="FCX19" s="110"/>
      <c r="FCY19" s="110"/>
      <c r="FCZ19" s="110"/>
      <c r="FDA19" s="110"/>
      <c r="FDB19" s="110"/>
      <c r="FDC19" s="110"/>
      <c r="FDD19" s="110"/>
      <c r="FDE19" s="110"/>
      <c r="FDF19" s="110"/>
      <c r="FDG19" s="110"/>
      <c r="FDH19" s="110"/>
      <c r="FDI19" s="110"/>
      <c r="FDJ19" s="110"/>
      <c r="FDK19" s="110"/>
      <c r="FDL19" s="110"/>
      <c r="FDM19" s="110"/>
      <c r="FDN19" s="110"/>
      <c r="FDO19" s="110"/>
      <c r="FDP19" s="110"/>
      <c r="FDQ19" s="110"/>
      <c r="FDR19" s="110"/>
      <c r="FDS19" s="110"/>
      <c r="FDT19" s="110"/>
      <c r="FDU19" s="110"/>
      <c r="FDV19" s="110"/>
      <c r="FDW19" s="110"/>
      <c r="FDX19" s="110"/>
      <c r="FDY19" s="110"/>
      <c r="FDZ19" s="110"/>
      <c r="FEA19" s="110"/>
      <c r="FEB19" s="110"/>
      <c r="FEC19" s="110"/>
      <c r="FED19" s="110"/>
      <c r="FEE19" s="110"/>
      <c r="FEF19" s="110"/>
      <c r="FEG19" s="110"/>
      <c r="FEH19" s="110"/>
      <c r="FEI19" s="110"/>
      <c r="FEJ19" s="110"/>
      <c r="FEK19" s="110"/>
      <c r="FEL19" s="110"/>
      <c r="FEM19" s="110"/>
      <c r="FEN19" s="110"/>
      <c r="FEO19" s="110"/>
      <c r="FEP19" s="110"/>
      <c r="FEQ19" s="110"/>
      <c r="FER19" s="110"/>
      <c r="FES19" s="110"/>
      <c r="FET19" s="110"/>
      <c r="FEU19" s="110"/>
      <c r="FEV19" s="110"/>
      <c r="FEW19" s="110"/>
      <c r="FEX19" s="110"/>
      <c r="FEY19" s="110"/>
      <c r="FEZ19" s="110"/>
      <c r="FFA19" s="110"/>
      <c r="FFB19" s="110"/>
      <c r="FFC19" s="110"/>
      <c r="FFD19" s="110"/>
      <c r="FFE19" s="110"/>
      <c r="FFF19" s="110"/>
      <c r="FFG19" s="110"/>
      <c r="FFH19" s="110"/>
      <c r="FFI19" s="110"/>
      <c r="FFJ19" s="110"/>
      <c r="FFK19" s="110"/>
      <c r="FFL19" s="110"/>
      <c r="FFM19" s="110"/>
      <c r="FFN19" s="110"/>
      <c r="FFO19" s="110"/>
      <c r="FFP19" s="110"/>
      <c r="FFQ19" s="110"/>
      <c r="FFR19" s="110"/>
      <c r="FFS19" s="110"/>
      <c r="FFT19" s="110"/>
      <c r="FFU19" s="110"/>
      <c r="FFV19" s="110"/>
      <c r="FFW19" s="110"/>
      <c r="FFX19" s="110"/>
      <c r="FFY19" s="110"/>
      <c r="FFZ19" s="110"/>
      <c r="FGA19" s="110"/>
      <c r="FGB19" s="110"/>
      <c r="FGC19" s="110"/>
      <c r="FGD19" s="110"/>
      <c r="FGE19" s="110"/>
      <c r="FGF19" s="110"/>
      <c r="FGG19" s="110"/>
      <c r="FGH19" s="110"/>
      <c r="FGI19" s="110"/>
      <c r="FGJ19" s="110"/>
      <c r="FGK19" s="110"/>
      <c r="FGL19" s="110"/>
      <c r="FGM19" s="110"/>
      <c r="FGN19" s="110"/>
      <c r="FGO19" s="110"/>
      <c r="FGP19" s="110"/>
      <c r="FGQ19" s="110"/>
      <c r="FGR19" s="110"/>
      <c r="FGS19" s="110"/>
      <c r="FGT19" s="110"/>
      <c r="FGU19" s="110"/>
      <c r="FGV19" s="110"/>
      <c r="FGW19" s="110"/>
      <c r="FGX19" s="110"/>
      <c r="FGY19" s="110"/>
      <c r="FGZ19" s="110"/>
      <c r="FHA19" s="110"/>
      <c r="FHB19" s="110"/>
      <c r="FHC19" s="110"/>
      <c r="FHD19" s="110"/>
      <c r="FHE19" s="110"/>
      <c r="FHF19" s="110"/>
      <c r="FHG19" s="110"/>
      <c r="FHH19" s="110"/>
      <c r="FHI19" s="110"/>
      <c r="FHJ19" s="110"/>
      <c r="FHK19" s="110"/>
      <c r="FHL19" s="110"/>
      <c r="FHM19" s="110"/>
      <c r="FHN19" s="110"/>
      <c r="FHO19" s="110"/>
      <c r="FHP19" s="110"/>
      <c r="FHQ19" s="110"/>
      <c r="FHR19" s="110"/>
      <c r="FHS19" s="110"/>
      <c r="FHT19" s="110"/>
      <c r="FHU19" s="110"/>
      <c r="FHV19" s="110"/>
      <c r="FHW19" s="110"/>
      <c r="FHX19" s="110"/>
      <c r="FHY19" s="110"/>
      <c r="FHZ19" s="110"/>
      <c r="FIA19" s="110"/>
      <c r="FIB19" s="110"/>
      <c r="FIC19" s="110"/>
      <c r="FID19" s="110"/>
      <c r="FIE19" s="110"/>
      <c r="FIF19" s="110"/>
      <c r="FIG19" s="110"/>
      <c r="FIH19" s="110"/>
      <c r="FII19" s="110"/>
      <c r="FIJ19" s="110"/>
      <c r="FIK19" s="110"/>
      <c r="FIL19" s="110"/>
      <c r="FIM19" s="110"/>
      <c r="FIN19" s="110"/>
      <c r="FIO19" s="110"/>
      <c r="FIP19" s="110"/>
      <c r="FIQ19" s="110"/>
      <c r="FIR19" s="110"/>
      <c r="FIS19" s="110"/>
      <c r="FIT19" s="110"/>
      <c r="FIU19" s="110"/>
      <c r="FIV19" s="110"/>
      <c r="FIW19" s="110"/>
      <c r="FIX19" s="110"/>
      <c r="FIY19" s="110"/>
      <c r="FIZ19" s="110"/>
      <c r="FJA19" s="110"/>
      <c r="FJB19" s="110"/>
      <c r="FJC19" s="110"/>
      <c r="FJD19" s="110"/>
      <c r="FJE19" s="110"/>
      <c r="FJF19" s="110"/>
      <c r="FJG19" s="110"/>
      <c r="FJH19" s="110"/>
      <c r="FJI19" s="110"/>
      <c r="FJJ19" s="110"/>
      <c r="FJK19" s="110"/>
      <c r="FJL19" s="110"/>
      <c r="FJM19" s="110"/>
      <c r="FJN19" s="110"/>
      <c r="FJO19" s="110"/>
      <c r="FJP19" s="110"/>
      <c r="FJQ19" s="110"/>
      <c r="FJR19" s="110"/>
      <c r="FJS19" s="110"/>
      <c r="FJT19" s="110"/>
      <c r="FJU19" s="110"/>
      <c r="FJV19" s="110"/>
      <c r="FJW19" s="110"/>
      <c r="FJX19" s="110"/>
      <c r="FJY19" s="110"/>
      <c r="FJZ19" s="110"/>
      <c r="FKA19" s="110"/>
      <c r="FKB19" s="110"/>
      <c r="FKC19" s="110"/>
      <c r="FKD19" s="110"/>
      <c r="FKE19" s="110"/>
      <c r="FKF19" s="110"/>
      <c r="FKG19" s="110"/>
      <c r="FKH19" s="110"/>
      <c r="FKI19" s="110"/>
      <c r="FKJ19" s="110"/>
      <c r="FKK19" s="110"/>
      <c r="FKL19" s="110"/>
      <c r="FKM19" s="110"/>
      <c r="FKN19" s="110"/>
      <c r="FKO19" s="110"/>
      <c r="FKP19" s="110"/>
      <c r="FKQ19" s="110"/>
      <c r="FKR19" s="110"/>
      <c r="FKS19" s="110"/>
      <c r="FKT19" s="110"/>
      <c r="FKU19" s="110"/>
      <c r="FKV19" s="110"/>
      <c r="FKW19" s="110"/>
      <c r="FKX19" s="110"/>
      <c r="FKY19" s="110"/>
      <c r="FKZ19" s="110"/>
      <c r="FLA19" s="110"/>
      <c r="FLB19" s="110"/>
      <c r="FLC19" s="110"/>
      <c r="FLD19" s="110"/>
      <c r="FLE19" s="110"/>
      <c r="FLF19" s="110"/>
      <c r="FLG19" s="110"/>
      <c r="FLH19" s="110"/>
      <c r="FLI19" s="110"/>
      <c r="FLJ19" s="110"/>
      <c r="FLK19" s="110"/>
      <c r="FLL19" s="110"/>
      <c r="FLM19" s="110"/>
      <c r="FLN19" s="110"/>
      <c r="FLO19" s="110"/>
      <c r="FLP19" s="110"/>
      <c r="FLQ19" s="110"/>
      <c r="FLR19" s="110"/>
      <c r="FLS19" s="110"/>
      <c r="FLT19" s="110"/>
      <c r="FLU19" s="110"/>
      <c r="FLV19" s="110"/>
      <c r="FLW19" s="110"/>
      <c r="FLX19" s="110"/>
      <c r="FLY19" s="110"/>
      <c r="FLZ19" s="110"/>
      <c r="FMA19" s="110"/>
      <c r="FMB19" s="110"/>
      <c r="FMC19" s="110"/>
      <c r="FMD19" s="110"/>
      <c r="FME19" s="110"/>
      <c r="FMF19" s="110"/>
      <c r="FMG19" s="110"/>
      <c r="FMH19" s="110"/>
      <c r="FMI19" s="110"/>
      <c r="FMJ19" s="110"/>
      <c r="FMK19" s="110"/>
      <c r="FML19" s="110"/>
      <c r="FMM19" s="110"/>
      <c r="FMN19" s="110"/>
      <c r="FMO19" s="110"/>
      <c r="FMP19" s="110"/>
      <c r="FMQ19" s="110"/>
      <c r="FMR19" s="110"/>
      <c r="FMS19" s="110"/>
      <c r="FMT19" s="110"/>
      <c r="FMU19" s="110"/>
      <c r="FMV19" s="110"/>
      <c r="FMW19" s="110"/>
      <c r="FMX19" s="110"/>
      <c r="FMY19" s="110"/>
      <c r="FMZ19" s="110"/>
      <c r="FNA19" s="110"/>
      <c r="FNB19" s="110"/>
      <c r="FNC19" s="110"/>
      <c r="FND19" s="110"/>
      <c r="FNE19" s="110"/>
      <c r="FNF19" s="110"/>
      <c r="FNG19" s="110"/>
      <c r="FNH19" s="110"/>
      <c r="FNI19" s="110"/>
      <c r="FNJ19" s="110"/>
      <c r="FNK19" s="110"/>
      <c r="FNL19" s="110"/>
      <c r="FNM19" s="110"/>
      <c r="FNN19" s="110"/>
      <c r="FNO19" s="110"/>
      <c r="FNP19" s="110"/>
      <c r="FNQ19" s="110"/>
      <c r="FNR19" s="110"/>
      <c r="FNS19" s="110"/>
      <c r="FNT19" s="110"/>
      <c r="FNU19" s="110"/>
      <c r="FNV19" s="110"/>
      <c r="FNW19" s="110"/>
      <c r="FNX19" s="110"/>
      <c r="FNY19" s="110"/>
      <c r="FNZ19" s="110"/>
      <c r="FOA19" s="110"/>
      <c r="FOB19" s="110"/>
      <c r="FOC19" s="110"/>
      <c r="FOD19" s="110"/>
      <c r="FOE19" s="110"/>
      <c r="FOF19" s="110"/>
      <c r="FOG19" s="110"/>
      <c r="FOH19" s="110"/>
      <c r="FOI19" s="110"/>
      <c r="FOJ19" s="110"/>
      <c r="FOK19" s="110"/>
      <c r="FOL19" s="110"/>
      <c r="FOM19" s="110"/>
      <c r="FON19" s="110"/>
      <c r="FOO19" s="110"/>
      <c r="FOP19" s="110"/>
      <c r="FOQ19" s="110"/>
      <c r="FOR19" s="110"/>
      <c r="FOS19" s="110"/>
      <c r="FOT19" s="110"/>
      <c r="FOU19" s="110"/>
      <c r="FOV19" s="110"/>
      <c r="FOW19" s="110"/>
      <c r="FOX19" s="110"/>
      <c r="FOY19" s="110"/>
      <c r="FOZ19" s="110"/>
      <c r="FPA19" s="110"/>
      <c r="FPB19" s="110"/>
      <c r="FPC19" s="110"/>
      <c r="FPD19" s="110"/>
      <c r="FPE19" s="110"/>
      <c r="FPF19" s="110"/>
      <c r="FPG19" s="110"/>
      <c r="FPH19" s="110"/>
      <c r="FPI19" s="110"/>
      <c r="FPJ19" s="110"/>
      <c r="FPK19" s="110"/>
      <c r="FPL19" s="110"/>
      <c r="FPM19" s="110"/>
      <c r="FPN19" s="110"/>
      <c r="FPO19" s="110"/>
      <c r="FPP19" s="110"/>
      <c r="FPQ19" s="110"/>
      <c r="FPR19" s="110"/>
      <c r="FPS19" s="110"/>
      <c r="FPT19" s="110"/>
      <c r="FPU19" s="110"/>
      <c r="FPV19" s="110"/>
      <c r="FPW19" s="110"/>
      <c r="FPX19" s="110"/>
      <c r="FPY19" s="110"/>
      <c r="FPZ19" s="110"/>
      <c r="FQA19" s="110"/>
      <c r="FQB19" s="110"/>
      <c r="FQC19" s="110"/>
      <c r="FQD19" s="110"/>
      <c r="FQE19" s="110"/>
      <c r="FQF19" s="110"/>
      <c r="FQG19" s="110"/>
      <c r="FQH19" s="110"/>
      <c r="FQI19" s="110"/>
      <c r="FQJ19" s="110"/>
      <c r="FQK19" s="110"/>
      <c r="FQL19" s="110"/>
      <c r="FQM19" s="110"/>
      <c r="FQN19" s="110"/>
      <c r="FQO19" s="110"/>
      <c r="FQP19" s="110"/>
      <c r="FQQ19" s="110"/>
      <c r="FQR19" s="110"/>
      <c r="FQS19" s="110"/>
      <c r="FQT19" s="110"/>
      <c r="FQU19" s="110"/>
      <c r="FQV19" s="110"/>
      <c r="FQW19" s="110"/>
      <c r="FQX19" s="110"/>
      <c r="FQY19" s="110"/>
      <c r="FQZ19" s="110"/>
      <c r="FRA19" s="110"/>
      <c r="FRB19" s="110"/>
      <c r="FRC19" s="110"/>
      <c r="FRD19" s="110"/>
      <c r="FRE19" s="110"/>
      <c r="FRF19" s="110"/>
      <c r="FRG19" s="110"/>
      <c r="FRH19" s="110"/>
      <c r="FRI19" s="110"/>
      <c r="FRJ19" s="110"/>
      <c r="FRK19" s="110"/>
      <c r="FRL19" s="110"/>
      <c r="FRM19" s="110"/>
      <c r="FRN19" s="110"/>
      <c r="FRO19" s="110"/>
      <c r="FRP19" s="110"/>
      <c r="FRQ19" s="110"/>
      <c r="FRR19" s="110"/>
      <c r="FRS19" s="110"/>
      <c r="FRT19" s="110"/>
      <c r="FRU19" s="110"/>
      <c r="FRV19" s="110"/>
      <c r="FRW19" s="110"/>
      <c r="FRX19" s="110"/>
      <c r="FRY19" s="110"/>
      <c r="FRZ19" s="110"/>
      <c r="FSA19" s="110"/>
      <c r="FSB19" s="110"/>
      <c r="FSC19" s="110"/>
      <c r="FSD19" s="110"/>
      <c r="FSE19" s="110"/>
      <c r="FSF19" s="110"/>
      <c r="FSG19" s="110"/>
      <c r="FSH19" s="110"/>
      <c r="FSI19" s="110"/>
      <c r="FSJ19" s="110"/>
      <c r="FSK19" s="110"/>
      <c r="FSL19" s="110"/>
      <c r="FSM19" s="110"/>
      <c r="FSN19" s="110"/>
      <c r="FSO19" s="110"/>
      <c r="FSP19" s="110"/>
      <c r="FSQ19" s="110"/>
      <c r="FSR19" s="110"/>
      <c r="FSS19" s="110"/>
      <c r="FST19" s="110"/>
      <c r="FSU19" s="110"/>
      <c r="FSV19" s="110"/>
      <c r="FSW19" s="110"/>
      <c r="FSX19" s="110"/>
      <c r="FSY19" s="110"/>
      <c r="FSZ19" s="110"/>
      <c r="FTA19" s="110"/>
      <c r="FTB19" s="110"/>
      <c r="FTC19" s="110"/>
      <c r="FTD19" s="110"/>
      <c r="FTE19" s="110"/>
      <c r="FTF19" s="110"/>
      <c r="FTG19" s="110"/>
      <c r="FTH19" s="110"/>
      <c r="FTI19" s="110"/>
      <c r="FTJ19" s="110"/>
      <c r="FTK19" s="110"/>
      <c r="FTL19" s="110"/>
      <c r="FTM19" s="110"/>
      <c r="FTN19" s="110"/>
      <c r="FTO19" s="110"/>
      <c r="FTP19" s="110"/>
      <c r="FTQ19" s="110"/>
      <c r="FTR19" s="110"/>
      <c r="FTS19" s="110"/>
      <c r="FTT19" s="110"/>
      <c r="FTU19" s="110"/>
      <c r="FTV19" s="110"/>
      <c r="FTW19" s="110"/>
      <c r="FTX19" s="110"/>
      <c r="FTY19" s="110"/>
      <c r="FTZ19" s="110"/>
      <c r="FUA19" s="110"/>
      <c r="FUB19" s="110"/>
      <c r="FUC19" s="110"/>
      <c r="FUD19" s="110"/>
      <c r="FUE19" s="110"/>
      <c r="FUF19" s="110"/>
      <c r="FUG19" s="110"/>
      <c r="FUH19" s="110"/>
      <c r="FUI19" s="110"/>
      <c r="FUJ19" s="110"/>
      <c r="FUK19" s="110"/>
      <c r="FUL19" s="110"/>
      <c r="FUM19" s="110"/>
      <c r="FUN19" s="110"/>
      <c r="FUO19" s="110"/>
      <c r="FUP19" s="110"/>
      <c r="FUQ19" s="110"/>
      <c r="FUR19" s="110"/>
      <c r="FUS19" s="110"/>
      <c r="FUT19" s="110"/>
      <c r="FUU19" s="110"/>
      <c r="FUV19" s="110"/>
      <c r="FUW19" s="110"/>
      <c r="FUX19" s="110"/>
      <c r="FUY19" s="110"/>
      <c r="FUZ19" s="110"/>
      <c r="FVA19" s="110"/>
      <c r="FVB19" s="110"/>
      <c r="FVC19" s="110"/>
      <c r="FVD19" s="110"/>
      <c r="FVE19" s="110"/>
      <c r="FVF19" s="110"/>
      <c r="FVG19" s="110"/>
      <c r="FVH19" s="110"/>
      <c r="FVI19" s="110"/>
      <c r="FVJ19" s="110"/>
      <c r="FVK19" s="110"/>
      <c r="FVL19" s="110"/>
      <c r="FVM19" s="110"/>
      <c r="FVN19" s="110"/>
      <c r="FVO19" s="110"/>
      <c r="FVP19" s="110"/>
      <c r="FVQ19" s="110"/>
      <c r="FVR19" s="110"/>
      <c r="FVS19" s="110"/>
      <c r="FVT19" s="110"/>
      <c r="FVU19" s="110"/>
      <c r="FVV19" s="110"/>
      <c r="FVW19" s="110"/>
      <c r="FVX19" s="110"/>
      <c r="FVY19" s="110"/>
      <c r="FVZ19" s="110"/>
      <c r="FWA19" s="110"/>
      <c r="FWB19" s="110"/>
      <c r="FWC19" s="110"/>
      <c r="FWD19" s="110"/>
      <c r="FWE19" s="110"/>
      <c r="FWF19" s="110"/>
      <c r="FWG19" s="110"/>
      <c r="FWH19" s="110"/>
      <c r="FWI19" s="110"/>
      <c r="FWJ19" s="110"/>
      <c r="FWK19" s="110"/>
      <c r="FWL19" s="110"/>
      <c r="FWM19" s="110"/>
      <c r="FWN19" s="110"/>
      <c r="FWO19" s="110"/>
      <c r="FWP19" s="110"/>
      <c r="FWQ19" s="110"/>
      <c r="FWR19" s="110"/>
      <c r="FWS19" s="110"/>
      <c r="FWT19" s="110"/>
      <c r="FWU19" s="110"/>
      <c r="FWV19" s="110"/>
      <c r="FWW19" s="110"/>
      <c r="FWX19" s="110"/>
      <c r="FWY19" s="110"/>
      <c r="FWZ19" s="110"/>
      <c r="FXA19" s="110"/>
      <c r="FXB19" s="110"/>
      <c r="FXC19" s="110"/>
      <c r="FXD19" s="110"/>
      <c r="FXE19" s="110"/>
      <c r="FXF19" s="110"/>
      <c r="FXG19" s="110"/>
      <c r="FXH19" s="110"/>
      <c r="FXI19" s="110"/>
      <c r="FXJ19" s="110"/>
      <c r="FXK19" s="110"/>
      <c r="FXL19" s="110"/>
      <c r="FXM19" s="110"/>
      <c r="FXN19" s="110"/>
      <c r="FXO19" s="110"/>
      <c r="FXP19" s="110"/>
      <c r="FXQ19" s="110"/>
      <c r="FXR19" s="110"/>
      <c r="FXS19" s="110"/>
      <c r="FXT19" s="110"/>
      <c r="FXU19" s="110"/>
      <c r="FXV19" s="110"/>
      <c r="FXW19" s="110"/>
      <c r="FXX19" s="110"/>
      <c r="FXY19" s="110"/>
      <c r="FXZ19" s="110"/>
      <c r="FYA19" s="110"/>
      <c r="FYB19" s="110"/>
      <c r="FYC19" s="110"/>
      <c r="FYD19" s="110"/>
      <c r="FYE19" s="110"/>
      <c r="FYF19" s="110"/>
      <c r="FYG19" s="110"/>
      <c r="FYH19" s="110"/>
      <c r="FYI19" s="110"/>
      <c r="FYJ19" s="110"/>
      <c r="FYK19" s="110"/>
      <c r="FYL19" s="110"/>
      <c r="FYM19" s="110"/>
      <c r="FYN19" s="110"/>
      <c r="FYO19" s="110"/>
      <c r="FYP19" s="110"/>
      <c r="FYQ19" s="110"/>
      <c r="FYR19" s="110"/>
      <c r="FYS19" s="110"/>
      <c r="FYT19" s="110"/>
      <c r="FYU19" s="110"/>
      <c r="FYV19" s="110"/>
      <c r="FYW19" s="110"/>
      <c r="FYX19" s="110"/>
      <c r="FYY19" s="110"/>
      <c r="FYZ19" s="110"/>
      <c r="FZA19" s="110"/>
      <c r="FZB19" s="110"/>
      <c r="FZC19" s="110"/>
      <c r="FZD19" s="110"/>
      <c r="FZE19" s="110"/>
      <c r="FZF19" s="110"/>
      <c r="FZG19" s="110"/>
      <c r="FZH19" s="110"/>
      <c r="FZI19" s="110"/>
      <c r="FZJ19" s="110"/>
      <c r="FZK19" s="110"/>
      <c r="FZL19" s="110"/>
      <c r="FZM19" s="110"/>
      <c r="FZN19" s="110"/>
      <c r="FZO19" s="110"/>
      <c r="FZP19" s="110"/>
      <c r="FZQ19" s="110"/>
      <c r="FZR19" s="110"/>
      <c r="FZS19" s="110"/>
      <c r="FZT19" s="110"/>
      <c r="FZU19" s="110"/>
      <c r="FZV19" s="110"/>
      <c r="FZW19" s="110"/>
      <c r="FZX19" s="110"/>
      <c r="FZY19" s="110"/>
      <c r="FZZ19" s="110"/>
      <c r="GAA19" s="110"/>
      <c r="GAB19" s="110"/>
      <c r="GAC19" s="110"/>
      <c r="GAD19" s="110"/>
      <c r="GAE19" s="110"/>
      <c r="GAF19" s="110"/>
      <c r="GAG19" s="110"/>
      <c r="GAH19" s="110"/>
      <c r="GAI19" s="110"/>
      <c r="GAJ19" s="110"/>
      <c r="GAK19" s="110"/>
      <c r="GAL19" s="110"/>
      <c r="GAM19" s="110"/>
      <c r="GAN19" s="110"/>
      <c r="GAO19" s="110"/>
      <c r="GAP19" s="110"/>
      <c r="GAQ19" s="110"/>
      <c r="GAR19" s="110"/>
      <c r="GAS19" s="110"/>
      <c r="GAT19" s="110"/>
      <c r="GAU19" s="110"/>
      <c r="GAV19" s="110"/>
      <c r="GAW19" s="110"/>
      <c r="GAX19" s="110"/>
      <c r="GAY19" s="110"/>
      <c r="GAZ19" s="110"/>
      <c r="GBA19" s="110"/>
      <c r="GBB19" s="110"/>
      <c r="GBC19" s="110"/>
      <c r="GBD19" s="110"/>
      <c r="GBE19" s="110"/>
      <c r="GBF19" s="110"/>
      <c r="GBG19" s="110"/>
      <c r="GBH19" s="110"/>
      <c r="GBI19" s="110"/>
      <c r="GBJ19" s="110"/>
      <c r="GBK19" s="110"/>
      <c r="GBL19" s="110"/>
      <c r="GBM19" s="110"/>
      <c r="GBN19" s="110"/>
      <c r="GBO19" s="110"/>
      <c r="GBP19" s="110"/>
      <c r="GBQ19" s="110"/>
      <c r="GBR19" s="110"/>
      <c r="GBS19" s="110"/>
      <c r="GBT19" s="110"/>
      <c r="GBU19" s="110"/>
      <c r="GBV19" s="110"/>
      <c r="GBW19" s="110"/>
      <c r="GBX19" s="110"/>
      <c r="GBY19" s="110"/>
      <c r="GBZ19" s="110"/>
      <c r="GCA19" s="110"/>
      <c r="GCB19" s="110"/>
      <c r="GCC19" s="110"/>
      <c r="GCD19" s="110"/>
      <c r="GCE19" s="110"/>
      <c r="GCF19" s="110"/>
      <c r="GCG19" s="110"/>
      <c r="GCH19" s="110"/>
      <c r="GCI19" s="110"/>
      <c r="GCJ19" s="110"/>
      <c r="GCK19" s="110"/>
      <c r="GCL19" s="110"/>
      <c r="GCM19" s="110"/>
      <c r="GCN19" s="110"/>
      <c r="GCO19" s="110"/>
      <c r="GCP19" s="110"/>
      <c r="GCQ19" s="110"/>
      <c r="GCR19" s="110"/>
      <c r="GCS19" s="110"/>
      <c r="GCT19" s="110"/>
      <c r="GCU19" s="110"/>
      <c r="GCV19" s="110"/>
      <c r="GCW19" s="110"/>
      <c r="GCX19" s="110"/>
      <c r="GCY19" s="110"/>
      <c r="GCZ19" s="110"/>
      <c r="GDA19" s="110"/>
      <c r="GDB19" s="110"/>
      <c r="GDC19" s="110"/>
      <c r="GDD19" s="110"/>
      <c r="GDE19" s="110"/>
      <c r="GDF19" s="110"/>
      <c r="GDG19" s="110"/>
      <c r="GDH19" s="110"/>
      <c r="GDI19" s="110"/>
      <c r="GDJ19" s="110"/>
      <c r="GDK19" s="110"/>
      <c r="GDL19" s="110"/>
      <c r="GDM19" s="110"/>
      <c r="GDN19" s="110"/>
      <c r="GDO19" s="110"/>
      <c r="GDP19" s="110"/>
      <c r="GDQ19" s="110"/>
      <c r="GDR19" s="110"/>
      <c r="GDS19" s="110"/>
      <c r="GDT19" s="110"/>
      <c r="GDU19" s="110"/>
      <c r="GDV19" s="110"/>
      <c r="GDW19" s="110"/>
      <c r="GDX19" s="110"/>
      <c r="GDY19" s="110"/>
      <c r="GDZ19" s="110"/>
      <c r="GEA19" s="110"/>
      <c r="GEB19" s="110"/>
      <c r="GEC19" s="110"/>
      <c r="GED19" s="110"/>
      <c r="GEE19" s="110"/>
      <c r="GEF19" s="110"/>
      <c r="GEG19" s="110"/>
      <c r="GEH19" s="110"/>
      <c r="GEI19" s="110"/>
      <c r="GEJ19" s="110"/>
      <c r="GEK19" s="110"/>
      <c r="GEL19" s="110"/>
      <c r="GEM19" s="110"/>
      <c r="GEN19" s="110"/>
      <c r="GEO19" s="110"/>
      <c r="GEP19" s="110"/>
      <c r="GEQ19" s="110"/>
      <c r="GER19" s="110"/>
      <c r="GES19" s="110"/>
      <c r="GET19" s="110"/>
      <c r="GEU19" s="110"/>
      <c r="GEV19" s="110"/>
      <c r="GEW19" s="110"/>
      <c r="GEX19" s="110"/>
      <c r="GEY19" s="110"/>
      <c r="GEZ19" s="110"/>
      <c r="GFA19" s="110"/>
      <c r="GFB19" s="110"/>
      <c r="GFC19" s="110"/>
      <c r="GFD19" s="110"/>
      <c r="GFE19" s="110"/>
      <c r="GFF19" s="110"/>
      <c r="GFG19" s="110"/>
      <c r="GFH19" s="110"/>
      <c r="GFI19" s="110"/>
      <c r="GFJ19" s="110"/>
      <c r="GFK19" s="110"/>
      <c r="GFL19" s="110"/>
      <c r="GFM19" s="110"/>
      <c r="GFN19" s="110"/>
      <c r="GFO19" s="110"/>
      <c r="GFP19" s="110"/>
      <c r="GFQ19" s="110"/>
      <c r="GFR19" s="110"/>
      <c r="GFS19" s="110"/>
      <c r="GFT19" s="110"/>
      <c r="GFU19" s="110"/>
      <c r="GFV19" s="110"/>
      <c r="GFW19" s="110"/>
      <c r="GFX19" s="110"/>
      <c r="GFY19" s="110"/>
      <c r="GFZ19" s="110"/>
      <c r="GGA19" s="110"/>
      <c r="GGB19" s="110"/>
      <c r="GGC19" s="110"/>
      <c r="GGD19" s="110"/>
      <c r="GGE19" s="110"/>
      <c r="GGF19" s="110"/>
      <c r="GGG19" s="110"/>
      <c r="GGH19" s="110"/>
      <c r="GGI19" s="110"/>
      <c r="GGJ19" s="110"/>
      <c r="GGK19" s="110"/>
      <c r="GGL19" s="110"/>
      <c r="GGM19" s="110"/>
      <c r="GGN19" s="110"/>
      <c r="GGO19" s="110"/>
      <c r="GGP19" s="110"/>
      <c r="GGQ19" s="110"/>
      <c r="GGR19" s="110"/>
      <c r="GGS19" s="110"/>
      <c r="GGT19" s="110"/>
      <c r="GGU19" s="110"/>
      <c r="GGV19" s="110"/>
      <c r="GGW19" s="110"/>
      <c r="GGX19" s="110"/>
      <c r="GGY19" s="110"/>
      <c r="GGZ19" s="110"/>
      <c r="GHA19" s="110"/>
      <c r="GHB19" s="110"/>
      <c r="GHC19" s="110"/>
      <c r="GHD19" s="110"/>
      <c r="GHE19" s="110"/>
      <c r="GHF19" s="110"/>
      <c r="GHG19" s="110"/>
      <c r="GHH19" s="110"/>
      <c r="GHI19" s="110"/>
      <c r="GHJ19" s="110"/>
      <c r="GHK19" s="110"/>
      <c r="GHL19" s="110"/>
      <c r="GHM19" s="110"/>
      <c r="GHN19" s="110"/>
      <c r="GHO19" s="110"/>
      <c r="GHP19" s="110"/>
      <c r="GHQ19" s="110"/>
      <c r="GHR19" s="110"/>
      <c r="GHS19" s="110"/>
      <c r="GHT19" s="110"/>
      <c r="GHU19" s="110"/>
      <c r="GHV19" s="110"/>
      <c r="GHW19" s="110"/>
      <c r="GHX19" s="110"/>
      <c r="GHY19" s="110"/>
      <c r="GHZ19" s="110"/>
      <c r="GIA19" s="110"/>
      <c r="GIB19" s="110"/>
      <c r="GIC19" s="110"/>
      <c r="GID19" s="110"/>
      <c r="GIE19" s="110"/>
      <c r="GIF19" s="110"/>
      <c r="GIG19" s="110"/>
      <c r="GIH19" s="110"/>
      <c r="GII19" s="110"/>
      <c r="GIJ19" s="110"/>
      <c r="GIK19" s="110"/>
      <c r="GIL19" s="110"/>
      <c r="GIM19" s="110"/>
      <c r="GIN19" s="110"/>
      <c r="GIO19" s="110"/>
      <c r="GIP19" s="110"/>
      <c r="GIQ19" s="110"/>
      <c r="GIR19" s="110"/>
      <c r="GIS19" s="110"/>
      <c r="GIT19" s="110"/>
      <c r="GIU19" s="110"/>
      <c r="GIV19" s="110"/>
      <c r="GIW19" s="110"/>
      <c r="GIX19" s="110"/>
      <c r="GIY19" s="110"/>
      <c r="GIZ19" s="110"/>
      <c r="GJA19" s="110"/>
      <c r="GJB19" s="110"/>
      <c r="GJC19" s="110"/>
      <c r="GJD19" s="110"/>
      <c r="GJE19" s="110"/>
      <c r="GJF19" s="110"/>
      <c r="GJG19" s="110"/>
      <c r="GJH19" s="110"/>
      <c r="GJI19" s="110"/>
      <c r="GJJ19" s="110"/>
      <c r="GJK19" s="110"/>
      <c r="GJL19" s="110"/>
      <c r="GJM19" s="110"/>
      <c r="GJN19" s="110"/>
      <c r="GJO19" s="110"/>
      <c r="GJP19" s="110"/>
      <c r="GJQ19" s="110"/>
      <c r="GJR19" s="110"/>
      <c r="GJS19" s="110"/>
      <c r="GJT19" s="110"/>
      <c r="GJU19" s="110"/>
      <c r="GJV19" s="110"/>
      <c r="GJW19" s="110"/>
      <c r="GJX19" s="110"/>
      <c r="GJY19" s="110"/>
      <c r="GJZ19" s="110"/>
      <c r="GKA19" s="110"/>
      <c r="GKB19" s="110"/>
      <c r="GKC19" s="110"/>
      <c r="GKD19" s="110"/>
      <c r="GKE19" s="110"/>
      <c r="GKF19" s="110"/>
      <c r="GKG19" s="110"/>
      <c r="GKH19" s="110"/>
      <c r="GKI19" s="110"/>
      <c r="GKJ19" s="110"/>
      <c r="GKK19" s="110"/>
      <c r="GKL19" s="110"/>
      <c r="GKM19" s="110"/>
      <c r="GKN19" s="110"/>
      <c r="GKO19" s="110"/>
      <c r="GKP19" s="110"/>
      <c r="GKQ19" s="110"/>
      <c r="GKR19" s="110"/>
      <c r="GKS19" s="110"/>
      <c r="GKT19" s="110"/>
      <c r="GKU19" s="110"/>
      <c r="GKV19" s="110"/>
      <c r="GKW19" s="110"/>
      <c r="GKX19" s="110"/>
      <c r="GKY19" s="110"/>
      <c r="GKZ19" s="110"/>
      <c r="GLA19" s="110"/>
      <c r="GLB19" s="110"/>
      <c r="GLC19" s="110"/>
      <c r="GLD19" s="110"/>
      <c r="GLE19" s="110"/>
      <c r="GLF19" s="110"/>
      <c r="GLG19" s="110"/>
      <c r="GLH19" s="110"/>
      <c r="GLI19" s="110"/>
      <c r="GLJ19" s="110"/>
      <c r="GLK19" s="110"/>
      <c r="GLL19" s="110"/>
      <c r="GLM19" s="110"/>
      <c r="GLN19" s="110"/>
      <c r="GLO19" s="110"/>
      <c r="GLP19" s="110"/>
      <c r="GLQ19" s="110"/>
      <c r="GLR19" s="110"/>
      <c r="GLS19" s="110"/>
      <c r="GLT19" s="110"/>
      <c r="GLU19" s="110"/>
      <c r="GLV19" s="110"/>
      <c r="GLW19" s="110"/>
      <c r="GLX19" s="110"/>
      <c r="GLY19" s="110"/>
      <c r="GLZ19" s="110"/>
      <c r="GMA19" s="110"/>
      <c r="GMB19" s="110"/>
      <c r="GMC19" s="110"/>
      <c r="GMD19" s="110"/>
      <c r="GME19" s="110"/>
      <c r="GMF19" s="110"/>
      <c r="GMG19" s="110"/>
      <c r="GMH19" s="110"/>
      <c r="GMI19" s="110"/>
      <c r="GMJ19" s="110"/>
      <c r="GMK19" s="110"/>
      <c r="GML19" s="110"/>
      <c r="GMM19" s="110"/>
      <c r="GMN19" s="110"/>
      <c r="GMO19" s="110"/>
      <c r="GMP19" s="110"/>
      <c r="GMQ19" s="110"/>
      <c r="GMR19" s="110"/>
      <c r="GMS19" s="110"/>
      <c r="GMT19" s="110"/>
      <c r="GMU19" s="110"/>
      <c r="GMV19" s="110"/>
      <c r="GMW19" s="110"/>
      <c r="GMX19" s="110"/>
      <c r="GMY19" s="110"/>
      <c r="GMZ19" s="110"/>
      <c r="GNA19" s="110"/>
      <c r="GNB19" s="110"/>
      <c r="GNC19" s="110"/>
      <c r="GND19" s="110"/>
      <c r="GNE19" s="110"/>
      <c r="GNF19" s="110"/>
      <c r="GNG19" s="110"/>
      <c r="GNH19" s="110"/>
      <c r="GNI19" s="110"/>
      <c r="GNJ19" s="110"/>
      <c r="GNK19" s="110"/>
      <c r="GNL19" s="110"/>
      <c r="GNM19" s="110"/>
      <c r="GNN19" s="110"/>
      <c r="GNO19" s="110"/>
      <c r="GNP19" s="110"/>
      <c r="GNQ19" s="110"/>
      <c r="GNR19" s="110"/>
      <c r="GNS19" s="110"/>
      <c r="GNT19" s="110"/>
      <c r="GNU19" s="110"/>
      <c r="GNV19" s="110"/>
      <c r="GNW19" s="110"/>
      <c r="GNX19" s="110"/>
      <c r="GNY19" s="110"/>
      <c r="GNZ19" s="110"/>
      <c r="GOA19" s="110"/>
      <c r="GOB19" s="110"/>
      <c r="GOC19" s="110"/>
      <c r="GOD19" s="110"/>
      <c r="GOE19" s="110"/>
      <c r="GOF19" s="110"/>
      <c r="GOG19" s="110"/>
      <c r="GOH19" s="110"/>
      <c r="GOI19" s="110"/>
      <c r="GOJ19" s="110"/>
      <c r="GOK19" s="110"/>
      <c r="GOL19" s="110"/>
      <c r="GOM19" s="110"/>
      <c r="GON19" s="110"/>
      <c r="GOO19" s="110"/>
      <c r="GOP19" s="110"/>
      <c r="GOQ19" s="110"/>
      <c r="GOR19" s="110"/>
      <c r="GOS19" s="110"/>
      <c r="GOT19" s="110"/>
      <c r="GOU19" s="110"/>
      <c r="GOV19" s="110"/>
      <c r="GOW19" s="110"/>
      <c r="GOX19" s="110"/>
      <c r="GOY19" s="110"/>
      <c r="GOZ19" s="110"/>
      <c r="GPA19" s="110"/>
      <c r="GPB19" s="110"/>
      <c r="GPC19" s="110"/>
      <c r="GPD19" s="110"/>
      <c r="GPE19" s="110"/>
      <c r="GPF19" s="110"/>
      <c r="GPG19" s="110"/>
      <c r="GPH19" s="110"/>
      <c r="GPI19" s="110"/>
      <c r="GPJ19" s="110"/>
      <c r="GPK19" s="110"/>
      <c r="GPL19" s="110"/>
      <c r="GPM19" s="110"/>
      <c r="GPN19" s="110"/>
      <c r="GPO19" s="110"/>
      <c r="GPP19" s="110"/>
      <c r="GPQ19" s="110"/>
      <c r="GPR19" s="110"/>
      <c r="GPS19" s="110"/>
      <c r="GPT19" s="110"/>
      <c r="GPU19" s="110"/>
      <c r="GPV19" s="110"/>
      <c r="GPW19" s="110"/>
      <c r="GPX19" s="110"/>
      <c r="GPY19" s="110"/>
      <c r="GPZ19" s="110"/>
      <c r="GQA19" s="110"/>
      <c r="GQB19" s="110"/>
      <c r="GQC19" s="110"/>
      <c r="GQD19" s="110"/>
      <c r="GQE19" s="110"/>
      <c r="GQF19" s="110"/>
      <c r="GQG19" s="110"/>
      <c r="GQH19" s="110"/>
      <c r="GQI19" s="110"/>
      <c r="GQJ19" s="110"/>
      <c r="GQK19" s="110"/>
      <c r="GQL19" s="110"/>
      <c r="GQM19" s="110"/>
      <c r="GQN19" s="110"/>
      <c r="GQO19" s="110"/>
      <c r="GQP19" s="110"/>
      <c r="GQQ19" s="110"/>
      <c r="GQR19" s="110"/>
      <c r="GQS19" s="110"/>
      <c r="GQT19" s="110"/>
      <c r="GQU19" s="110"/>
      <c r="GQV19" s="110"/>
      <c r="GQW19" s="110"/>
      <c r="GQX19" s="110"/>
      <c r="GQY19" s="110"/>
      <c r="GQZ19" s="110"/>
      <c r="GRA19" s="110"/>
      <c r="GRB19" s="110"/>
      <c r="GRC19" s="110"/>
      <c r="GRD19" s="110"/>
      <c r="GRE19" s="110"/>
      <c r="GRF19" s="110"/>
      <c r="GRG19" s="110"/>
      <c r="GRH19" s="110"/>
      <c r="GRI19" s="110"/>
      <c r="GRJ19" s="110"/>
      <c r="GRK19" s="110"/>
      <c r="GRL19" s="110"/>
      <c r="GRM19" s="110"/>
      <c r="GRN19" s="110"/>
      <c r="GRO19" s="110"/>
      <c r="GRP19" s="110"/>
      <c r="GRQ19" s="110"/>
      <c r="GRR19" s="110"/>
      <c r="GRS19" s="110"/>
      <c r="GRT19" s="110"/>
      <c r="GRU19" s="110"/>
      <c r="GRV19" s="110"/>
      <c r="GRW19" s="110"/>
      <c r="GRX19" s="110"/>
      <c r="GRY19" s="110"/>
      <c r="GRZ19" s="110"/>
      <c r="GSA19" s="110"/>
      <c r="GSB19" s="110"/>
      <c r="GSC19" s="110"/>
      <c r="GSD19" s="110"/>
      <c r="GSE19" s="110"/>
      <c r="GSF19" s="110"/>
      <c r="GSG19" s="110"/>
      <c r="GSH19" s="110"/>
      <c r="GSI19" s="110"/>
      <c r="GSJ19" s="110"/>
      <c r="GSK19" s="110"/>
      <c r="GSL19" s="110"/>
      <c r="GSM19" s="110"/>
      <c r="GSN19" s="110"/>
      <c r="GSO19" s="110"/>
      <c r="GSP19" s="110"/>
      <c r="GSQ19" s="110"/>
      <c r="GSR19" s="110"/>
      <c r="GSS19" s="110"/>
      <c r="GST19" s="110"/>
      <c r="GSU19" s="110"/>
      <c r="GSV19" s="110"/>
      <c r="GSW19" s="110"/>
      <c r="GSX19" s="110"/>
      <c r="GSY19" s="110"/>
      <c r="GSZ19" s="110"/>
      <c r="GTA19" s="110"/>
      <c r="GTB19" s="110"/>
      <c r="GTC19" s="110"/>
      <c r="GTD19" s="110"/>
      <c r="GTE19" s="110"/>
      <c r="GTF19" s="110"/>
      <c r="GTG19" s="110"/>
      <c r="GTH19" s="110"/>
      <c r="GTI19" s="110"/>
      <c r="GTJ19" s="110"/>
      <c r="GTK19" s="110"/>
      <c r="GTL19" s="110"/>
      <c r="GTM19" s="110"/>
      <c r="GTN19" s="110"/>
      <c r="GTO19" s="110"/>
      <c r="GTP19" s="110"/>
      <c r="GTQ19" s="110"/>
      <c r="GTR19" s="110"/>
      <c r="GTS19" s="110"/>
      <c r="GTT19" s="110"/>
      <c r="GTU19" s="110"/>
      <c r="GTV19" s="110"/>
      <c r="GTW19" s="110"/>
      <c r="GTX19" s="110"/>
      <c r="GTY19" s="110"/>
      <c r="GTZ19" s="110"/>
      <c r="GUA19" s="110"/>
      <c r="GUB19" s="110"/>
      <c r="GUC19" s="110"/>
      <c r="GUD19" s="110"/>
      <c r="GUE19" s="110"/>
      <c r="GUF19" s="110"/>
      <c r="GUG19" s="110"/>
      <c r="GUH19" s="110"/>
      <c r="GUI19" s="110"/>
      <c r="GUJ19" s="110"/>
      <c r="GUK19" s="110"/>
      <c r="GUL19" s="110"/>
      <c r="GUM19" s="110"/>
      <c r="GUN19" s="110"/>
      <c r="GUO19" s="110"/>
      <c r="GUP19" s="110"/>
      <c r="GUQ19" s="110"/>
      <c r="GUR19" s="110"/>
      <c r="GUS19" s="110"/>
      <c r="GUT19" s="110"/>
      <c r="GUU19" s="110"/>
      <c r="GUV19" s="110"/>
      <c r="GUW19" s="110"/>
      <c r="GUX19" s="110"/>
      <c r="GUY19" s="110"/>
      <c r="GUZ19" s="110"/>
      <c r="GVA19" s="110"/>
      <c r="GVB19" s="110"/>
      <c r="GVC19" s="110"/>
      <c r="GVD19" s="110"/>
      <c r="GVE19" s="110"/>
      <c r="GVF19" s="110"/>
      <c r="GVG19" s="110"/>
      <c r="GVH19" s="110"/>
      <c r="GVI19" s="110"/>
      <c r="GVJ19" s="110"/>
      <c r="GVK19" s="110"/>
      <c r="GVL19" s="110"/>
      <c r="GVM19" s="110"/>
      <c r="GVN19" s="110"/>
      <c r="GVO19" s="110"/>
      <c r="GVP19" s="110"/>
      <c r="GVQ19" s="110"/>
      <c r="GVR19" s="110"/>
      <c r="GVS19" s="110"/>
      <c r="GVT19" s="110"/>
      <c r="GVU19" s="110"/>
      <c r="GVV19" s="110"/>
      <c r="GVW19" s="110"/>
      <c r="GVX19" s="110"/>
      <c r="GVY19" s="110"/>
      <c r="GVZ19" s="110"/>
      <c r="GWA19" s="110"/>
      <c r="GWB19" s="110"/>
      <c r="GWC19" s="110"/>
      <c r="GWD19" s="110"/>
      <c r="GWE19" s="110"/>
      <c r="GWF19" s="110"/>
      <c r="GWG19" s="110"/>
      <c r="GWH19" s="110"/>
      <c r="GWI19" s="110"/>
      <c r="GWJ19" s="110"/>
      <c r="GWK19" s="110"/>
      <c r="GWL19" s="110"/>
      <c r="GWM19" s="110"/>
      <c r="GWN19" s="110"/>
      <c r="GWO19" s="110"/>
      <c r="GWP19" s="110"/>
      <c r="GWQ19" s="110"/>
      <c r="GWR19" s="110"/>
      <c r="GWS19" s="110"/>
      <c r="GWT19" s="110"/>
      <c r="GWU19" s="110"/>
      <c r="GWV19" s="110"/>
      <c r="GWW19" s="110"/>
      <c r="GWX19" s="110"/>
      <c r="GWY19" s="110"/>
      <c r="GWZ19" s="110"/>
      <c r="GXA19" s="110"/>
      <c r="GXB19" s="110"/>
      <c r="GXC19" s="110"/>
      <c r="GXD19" s="110"/>
      <c r="GXE19" s="110"/>
      <c r="GXF19" s="110"/>
      <c r="GXG19" s="110"/>
      <c r="GXH19" s="110"/>
      <c r="GXI19" s="110"/>
      <c r="GXJ19" s="110"/>
      <c r="GXK19" s="110"/>
      <c r="GXL19" s="110"/>
      <c r="GXM19" s="110"/>
      <c r="GXN19" s="110"/>
      <c r="GXO19" s="110"/>
      <c r="GXP19" s="110"/>
      <c r="GXQ19" s="110"/>
      <c r="GXR19" s="110"/>
      <c r="GXS19" s="110"/>
      <c r="GXT19" s="110"/>
      <c r="GXU19" s="110"/>
      <c r="GXV19" s="110"/>
      <c r="GXW19" s="110"/>
      <c r="GXX19" s="110"/>
      <c r="GXY19" s="110"/>
      <c r="GXZ19" s="110"/>
      <c r="GYA19" s="110"/>
      <c r="GYB19" s="110"/>
      <c r="GYC19" s="110"/>
      <c r="GYD19" s="110"/>
      <c r="GYE19" s="110"/>
      <c r="GYF19" s="110"/>
      <c r="GYG19" s="110"/>
      <c r="GYH19" s="110"/>
      <c r="GYI19" s="110"/>
      <c r="GYJ19" s="110"/>
      <c r="GYK19" s="110"/>
      <c r="GYL19" s="110"/>
      <c r="GYM19" s="110"/>
      <c r="GYN19" s="110"/>
      <c r="GYO19" s="110"/>
      <c r="GYP19" s="110"/>
      <c r="GYQ19" s="110"/>
      <c r="GYR19" s="110"/>
      <c r="GYS19" s="110"/>
      <c r="GYT19" s="110"/>
      <c r="GYU19" s="110"/>
      <c r="GYV19" s="110"/>
      <c r="GYW19" s="110"/>
      <c r="GYX19" s="110"/>
      <c r="GYY19" s="110"/>
      <c r="GYZ19" s="110"/>
      <c r="GZA19" s="110"/>
      <c r="GZB19" s="110"/>
      <c r="GZC19" s="110"/>
      <c r="GZD19" s="110"/>
      <c r="GZE19" s="110"/>
      <c r="GZF19" s="110"/>
      <c r="GZG19" s="110"/>
      <c r="GZH19" s="110"/>
      <c r="GZI19" s="110"/>
      <c r="GZJ19" s="110"/>
      <c r="GZK19" s="110"/>
      <c r="GZL19" s="110"/>
      <c r="GZM19" s="110"/>
      <c r="GZN19" s="110"/>
      <c r="GZO19" s="110"/>
      <c r="GZP19" s="110"/>
      <c r="GZQ19" s="110"/>
      <c r="GZR19" s="110"/>
      <c r="GZS19" s="110"/>
      <c r="GZT19" s="110"/>
      <c r="GZU19" s="110"/>
      <c r="GZV19" s="110"/>
      <c r="GZW19" s="110"/>
      <c r="GZX19" s="110"/>
      <c r="GZY19" s="110"/>
      <c r="GZZ19" s="110"/>
      <c r="HAA19" s="110"/>
      <c r="HAB19" s="110"/>
      <c r="HAC19" s="110"/>
      <c r="HAD19" s="110"/>
      <c r="HAE19" s="110"/>
      <c r="HAF19" s="110"/>
      <c r="HAG19" s="110"/>
      <c r="HAH19" s="110"/>
      <c r="HAI19" s="110"/>
      <c r="HAJ19" s="110"/>
      <c r="HAK19" s="110"/>
      <c r="HAL19" s="110"/>
      <c r="HAM19" s="110"/>
      <c r="HAN19" s="110"/>
      <c r="HAO19" s="110"/>
      <c r="HAP19" s="110"/>
      <c r="HAQ19" s="110"/>
      <c r="HAR19" s="110"/>
      <c r="HAS19" s="110"/>
      <c r="HAT19" s="110"/>
      <c r="HAU19" s="110"/>
      <c r="HAV19" s="110"/>
      <c r="HAW19" s="110"/>
      <c r="HAX19" s="110"/>
      <c r="HAY19" s="110"/>
      <c r="HAZ19" s="110"/>
      <c r="HBA19" s="110"/>
      <c r="HBB19" s="110"/>
      <c r="HBC19" s="110"/>
      <c r="HBD19" s="110"/>
      <c r="HBE19" s="110"/>
      <c r="HBF19" s="110"/>
      <c r="HBG19" s="110"/>
      <c r="HBH19" s="110"/>
      <c r="HBI19" s="110"/>
      <c r="HBJ19" s="110"/>
      <c r="HBK19" s="110"/>
      <c r="HBL19" s="110"/>
      <c r="HBM19" s="110"/>
      <c r="HBN19" s="110"/>
      <c r="HBO19" s="110"/>
      <c r="HBP19" s="110"/>
      <c r="HBQ19" s="110"/>
      <c r="HBR19" s="110"/>
      <c r="HBS19" s="110"/>
      <c r="HBT19" s="110"/>
      <c r="HBU19" s="110"/>
      <c r="HBV19" s="110"/>
      <c r="HBW19" s="110"/>
      <c r="HBX19" s="110"/>
      <c r="HBY19" s="110"/>
      <c r="HBZ19" s="110"/>
      <c r="HCA19" s="110"/>
      <c r="HCB19" s="110"/>
      <c r="HCC19" s="110"/>
      <c r="HCD19" s="110"/>
      <c r="HCE19" s="110"/>
      <c r="HCF19" s="110"/>
      <c r="HCG19" s="110"/>
      <c r="HCH19" s="110"/>
      <c r="HCI19" s="110"/>
      <c r="HCJ19" s="110"/>
      <c r="HCK19" s="110"/>
      <c r="HCL19" s="110"/>
      <c r="HCM19" s="110"/>
      <c r="HCN19" s="110"/>
      <c r="HCO19" s="110"/>
      <c r="HCP19" s="110"/>
      <c r="HCQ19" s="110"/>
      <c r="HCR19" s="110"/>
      <c r="HCS19" s="110"/>
      <c r="HCT19" s="110"/>
      <c r="HCU19" s="110"/>
      <c r="HCV19" s="110"/>
      <c r="HCW19" s="110"/>
      <c r="HCX19" s="110"/>
      <c r="HCY19" s="110"/>
      <c r="HCZ19" s="110"/>
      <c r="HDA19" s="110"/>
      <c r="HDB19" s="110"/>
      <c r="HDC19" s="110"/>
      <c r="HDD19" s="110"/>
      <c r="HDE19" s="110"/>
      <c r="HDF19" s="110"/>
      <c r="HDG19" s="110"/>
      <c r="HDH19" s="110"/>
      <c r="HDI19" s="110"/>
      <c r="HDJ19" s="110"/>
      <c r="HDK19" s="110"/>
      <c r="HDL19" s="110"/>
      <c r="HDM19" s="110"/>
      <c r="HDN19" s="110"/>
      <c r="HDO19" s="110"/>
      <c r="HDP19" s="110"/>
      <c r="HDQ19" s="110"/>
      <c r="HDR19" s="110"/>
      <c r="HDS19" s="110"/>
      <c r="HDT19" s="110"/>
      <c r="HDU19" s="110"/>
      <c r="HDV19" s="110"/>
      <c r="HDW19" s="110"/>
      <c r="HDX19" s="110"/>
      <c r="HDY19" s="110"/>
      <c r="HDZ19" s="110"/>
      <c r="HEA19" s="110"/>
      <c r="HEB19" s="110"/>
      <c r="HEC19" s="110"/>
      <c r="HED19" s="110"/>
      <c r="HEE19" s="110"/>
      <c r="HEF19" s="110"/>
      <c r="HEG19" s="110"/>
      <c r="HEH19" s="110"/>
      <c r="HEI19" s="110"/>
      <c r="HEJ19" s="110"/>
      <c r="HEK19" s="110"/>
      <c r="HEL19" s="110"/>
      <c r="HEM19" s="110"/>
      <c r="HEN19" s="110"/>
      <c r="HEO19" s="110"/>
      <c r="HEP19" s="110"/>
      <c r="HEQ19" s="110"/>
      <c r="HER19" s="110"/>
      <c r="HES19" s="110"/>
      <c r="HET19" s="110"/>
      <c r="HEU19" s="110"/>
      <c r="HEV19" s="110"/>
      <c r="HEW19" s="110"/>
      <c r="HEX19" s="110"/>
      <c r="HEY19" s="110"/>
      <c r="HEZ19" s="110"/>
      <c r="HFA19" s="110"/>
      <c r="HFB19" s="110"/>
      <c r="HFC19" s="110"/>
      <c r="HFD19" s="110"/>
      <c r="HFE19" s="110"/>
      <c r="HFF19" s="110"/>
      <c r="HFG19" s="110"/>
      <c r="HFH19" s="110"/>
      <c r="HFI19" s="110"/>
      <c r="HFJ19" s="110"/>
      <c r="HFK19" s="110"/>
      <c r="HFL19" s="110"/>
      <c r="HFM19" s="110"/>
      <c r="HFN19" s="110"/>
      <c r="HFO19" s="110"/>
      <c r="HFP19" s="110"/>
      <c r="HFQ19" s="110"/>
      <c r="HFR19" s="110"/>
      <c r="HFS19" s="110"/>
      <c r="HFT19" s="110"/>
      <c r="HFU19" s="110"/>
      <c r="HFV19" s="110"/>
      <c r="HFW19" s="110"/>
      <c r="HFX19" s="110"/>
      <c r="HFY19" s="110"/>
      <c r="HFZ19" s="110"/>
      <c r="HGA19" s="110"/>
      <c r="HGB19" s="110"/>
      <c r="HGC19" s="110"/>
      <c r="HGD19" s="110"/>
      <c r="HGE19" s="110"/>
      <c r="HGF19" s="110"/>
      <c r="HGG19" s="110"/>
      <c r="HGH19" s="110"/>
      <c r="HGI19" s="110"/>
      <c r="HGJ19" s="110"/>
      <c r="HGK19" s="110"/>
      <c r="HGL19" s="110"/>
      <c r="HGM19" s="110"/>
      <c r="HGN19" s="110"/>
      <c r="HGO19" s="110"/>
      <c r="HGP19" s="110"/>
      <c r="HGQ19" s="110"/>
      <c r="HGR19" s="110"/>
      <c r="HGS19" s="110"/>
      <c r="HGT19" s="110"/>
      <c r="HGU19" s="110"/>
      <c r="HGV19" s="110"/>
      <c r="HGW19" s="110"/>
      <c r="HGX19" s="110"/>
      <c r="HGY19" s="110"/>
      <c r="HGZ19" s="110"/>
      <c r="HHA19" s="110"/>
      <c r="HHB19" s="110"/>
      <c r="HHC19" s="110"/>
      <c r="HHD19" s="110"/>
      <c r="HHE19" s="110"/>
      <c r="HHF19" s="110"/>
      <c r="HHG19" s="110"/>
      <c r="HHH19" s="110"/>
      <c r="HHI19" s="110"/>
      <c r="HHJ19" s="110"/>
      <c r="HHK19" s="110"/>
      <c r="HHL19" s="110"/>
      <c r="HHM19" s="110"/>
      <c r="HHN19" s="110"/>
      <c r="HHO19" s="110"/>
      <c r="HHP19" s="110"/>
      <c r="HHQ19" s="110"/>
      <c r="HHR19" s="110"/>
      <c r="HHS19" s="110"/>
      <c r="HHT19" s="110"/>
      <c r="HHU19" s="110"/>
      <c r="HHV19" s="110"/>
      <c r="HHW19" s="110"/>
      <c r="HHX19" s="110"/>
      <c r="HHY19" s="110"/>
      <c r="HHZ19" s="110"/>
      <c r="HIA19" s="110"/>
      <c r="HIB19" s="110"/>
      <c r="HIC19" s="110"/>
      <c r="HID19" s="110"/>
      <c r="HIE19" s="110"/>
      <c r="HIF19" s="110"/>
      <c r="HIG19" s="110"/>
      <c r="HIH19" s="110"/>
      <c r="HII19" s="110"/>
      <c r="HIJ19" s="110"/>
      <c r="HIK19" s="110"/>
      <c r="HIL19" s="110"/>
      <c r="HIM19" s="110"/>
      <c r="HIN19" s="110"/>
      <c r="HIO19" s="110"/>
      <c r="HIP19" s="110"/>
      <c r="HIQ19" s="110"/>
      <c r="HIR19" s="110"/>
      <c r="HIS19" s="110"/>
      <c r="HIT19" s="110"/>
      <c r="HIU19" s="110"/>
      <c r="HIV19" s="110"/>
      <c r="HIW19" s="110"/>
      <c r="HIX19" s="110"/>
      <c r="HIY19" s="110"/>
      <c r="HIZ19" s="110"/>
      <c r="HJA19" s="110"/>
      <c r="HJB19" s="110"/>
      <c r="HJC19" s="110"/>
      <c r="HJD19" s="110"/>
      <c r="HJE19" s="110"/>
      <c r="HJF19" s="110"/>
      <c r="HJG19" s="110"/>
      <c r="HJH19" s="110"/>
      <c r="HJI19" s="110"/>
      <c r="HJJ19" s="110"/>
      <c r="HJK19" s="110"/>
      <c r="HJL19" s="110"/>
      <c r="HJM19" s="110"/>
      <c r="HJN19" s="110"/>
      <c r="HJO19" s="110"/>
      <c r="HJP19" s="110"/>
      <c r="HJQ19" s="110"/>
      <c r="HJR19" s="110"/>
      <c r="HJS19" s="110"/>
      <c r="HJT19" s="110"/>
      <c r="HJU19" s="110"/>
      <c r="HJV19" s="110"/>
      <c r="HJW19" s="110"/>
      <c r="HJX19" s="110"/>
      <c r="HJY19" s="110"/>
      <c r="HJZ19" s="110"/>
      <c r="HKA19" s="110"/>
      <c r="HKB19" s="110"/>
      <c r="HKC19" s="110"/>
      <c r="HKD19" s="110"/>
      <c r="HKE19" s="110"/>
      <c r="HKF19" s="110"/>
      <c r="HKG19" s="110"/>
      <c r="HKH19" s="110"/>
      <c r="HKI19" s="110"/>
      <c r="HKJ19" s="110"/>
      <c r="HKK19" s="110"/>
      <c r="HKL19" s="110"/>
      <c r="HKM19" s="110"/>
      <c r="HKN19" s="110"/>
      <c r="HKO19" s="110"/>
      <c r="HKP19" s="110"/>
      <c r="HKQ19" s="110"/>
      <c r="HKR19" s="110"/>
      <c r="HKS19" s="110"/>
      <c r="HKT19" s="110"/>
      <c r="HKU19" s="110"/>
      <c r="HKV19" s="110"/>
      <c r="HKW19" s="110"/>
      <c r="HKX19" s="110"/>
      <c r="HKY19" s="110"/>
      <c r="HKZ19" s="110"/>
      <c r="HLA19" s="110"/>
      <c r="HLB19" s="110"/>
      <c r="HLC19" s="110"/>
      <c r="HLD19" s="110"/>
      <c r="HLE19" s="110"/>
      <c r="HLF19" s="110"/>
      <c r="HLG19" s="110"/>
      <c r="HLH19" s="110"/>
      <c r="HLI19" s="110"/>
      <c r="HLJ19" s="110"/>
      <c r="HLK19" s="110"/>
      <c r="HLL19" s="110"/>
      <c r="HLM19" s="110"/>
      <c r="HLN19" s="110"/>
      <c r="HLO19" s="110"/>
      <c r="HLP19" s="110"/>
      <c r="HLQ19" s="110"/>
      <c r="HLR19" s="110"/>
      <c r="HLS19" s="110"/>
      <c r="HLT19" s="110"/>
      <c r="HLU19" s="110"/>
      <c r="HLV19" s="110"/>
      <c r="HLW19" s="110"/>
      <c r="HLX19" s="110"/>
      <c r="HLY19" s="110"/>
      <c r="HLZ19" s="110"/>
      <c r="HMA19" s="110"/>
      <c r="HMB19" s="110"/>
      <c r="HMC19" s="110"/>
      <c r="HMD19" s="110"/>
      <c r="HME19" s="110"/>
      <c r="HMF19" s="110"/>
      <c r="HMG19" s="110"/>
      <c r="HMH19" s="110"/>
      <c r="HMI19" s="110"/>
      <c r="HMJ19" s="110"/>
      <c r="HMK19" s="110"/>
      <c r="HML19" s="110"/>
      <c r="HMM19" s="110"/>
      <c r="HMN19" s="110"/>
      <c r="HMO19" s="110"/>
      <c r="HMP19" s="110"/>
      <c r="HMQ19" s="110"/>
      <c r="HMR19" s="110"/>
      <c r="HMS19" s="110"/>
      <c r="HMT19" s="110"/>
      <c r="HMU19" s="110"/>
      <c r="HMV19" s="110"/>
      <c r="HMW19" s="110"/>
      <c r="HMX19" s="110"/>
      <c r="HMY19" s="110"/>
      <c r="HMZ19" s="110"/>
      <c r="HNA19" s="110"/>
      <c r="HNB19" s="110"/>
      <c r="HNC19" s="110"/>
      <c r="HND19" s="110"/>
      <c r="HNE19" s="110"/>
      <c r="HNF19" s="110"/>
      <c r="HNG19" s="110"/>
      <c r="HNH19" s="110"/>
      <c r="HNI19" s="110"/>
      <c r="HNJ19" s="110"/>
      <c r="HNK19" s="110"/>
      <c r="HNL19" s="110"/>
      <c r="HNM19" s="110"/>
      <c r="HNN19" s="110"/>
      <c r="HNO19" s="110"/>
      <c r="HNP19" s="110"/>
      <c r="HNQ19" s="110"/>
      <c r="HNR19" s="110"/>
      <c r="HNS19" s="110"/>
      <c r="HNT19" s="110"/>
      <c r="HNU19" s="110"/>
      <c r="HNV19" s="110"/>
      <c r="HNW19" s="110"/>
      <c r="HNX19" s="110"/>
      <c r="HNY19" s="110"/>
      <c r="HNZ19" s="110"/>
      <c r="HOA19" s="110"/>
      <c r="HOB19" s="110"/>
      <c r="HOC19" s="110"/>
      <c r="HOD19" s="110"/>
      <c r="HOE19" s="110"/>
      <c r="HOF19" s="110"/>
      <c r="HOG19" s="110"/>
      <c r="HOH19" s="110"/>
      <c r="HOI19" s="110"/>
      <c r="HOJ19" s="110"/>
      <c r="HOK19" s="110"/>
      <c r="HOL19" s="110"/>
      <c r="HOM19" s="110"/>
      <c r="HON19" s="110"/>
      <c r="HOO19" s="110"/>
      <c r="HOP19" s="110"/>
      <c r="HOQ19" s="110"/>
      <c r="HOR19" s="110"/>
      <c r="HOS19" s="110"/>
      <c r="HOT19" s="110"/>
      <c r="HOU19" s="110"/>
      <c r="HOV19" s="110"/>
      <c r="HOW19" s="110"/>
      <c r="HOX19" s="110"/>
      <c r="HOY19" s="110"/>
      <c r="HOZ19" s="110"/>
      <c r="HPA19" s="110"/>
      <c r="HPB19" s="110"/>
      <c r="HPC19" s="110"/>
      <c r="HPD19" s="110"/>
      <c r="HPE19" s="110"/>
      <c r="HPF19" s="110"/>
      <c r="HPG19" s="110"/>
      <c r="HPH19" s="110"/>
      <c r="HPI19" s="110"/>
      <c r="HPJ19" s="110"/>
      <c r="HPK19" s="110"/>
      <c r="HPL19" s="110"/>
      <c r="HPM19" s="110"/>
      <c r="HPN19" s="110"/>
      <c r="HPO19" s="110"/>
      <c r="HPP19" s="110"/>
      <c r="HPQ19" s="110"/>
      <c r="HPR19" s="110"/>
      <c r="HPS19" s="110"/>
      <c r="HPT19" s="110"/>
      <c r="HPU19" s="110"/>
      <c r="HPV19" s="110"/>
      <c r="HPW19" s="110"/>
      <c r="HPX19" s="110"/>
      <c r="HPY19" s="110"/>
      <c r="HPZ19" s="110"/>
      <c r="HQA19" s="110"/>
      <c r="HQB19" s="110"/>
      <c r="HQC19" s="110"/>
      <c r="HQD19" s="110"/>
      <c r="HQE19" s="110"/>
      <c r="HQF19" s="110"/>
      <c r="HQG19" s="110"/>
      <c r="HQH19" s="110"/>
      <c r="HQI19" s="110"/>
      <c r="HQJ19" s="110"/>
      <c r="HQK19" s="110"/>
      <c r="HQL19" s="110"/>
      <c r="HQM19" s="110"/>
      <c r="HQN19" s="110"/>
      <c r="HQO19" s="110"/>
      <c r="HQP19" s="110"/>
      <c r="HQQ19" s="110"/>
      <c r="HQR19" s="110"/>
      <c r="HQS19" s="110"/>
      <c r="HQT19" s="110"/>
      <c r="HQU19" s="110"/>
      <c r="HQV19" s="110"/>
      <c r="HQW19" s="110"/>
      <c r="HQX19" s="110"/>
      <c r="HQY19" s="110"/>
      <c r="HQZ19" s="110"/>
      <c r="HRA19" s="110"/>
      <c r="HRB19" s="110"/>
      <c r="HRC19" s="110"/>
      <c r="HRD19" s="110"/>
      <c r="HRE19" s="110"/>
      <c r="HRF19" s="110"/>
      <c r="HRG19" s="110"/>
      <c r="HRH19" s="110"/>
      <c r="HRI19" s="110"/>
      <c r="HRJ19" s="110"/>
      <c r="HRK19" s="110"/>
      <c r="HRL19" s="110"/>
      <c r="HRM19" s="110"/>
      <c r="HRN19" s="110"/>
      <c r="HRO19" s="110"/>
      <c r="HRP19" s="110"/>
      <c r="HRQ19" s="110"/>
      <c r="HRR19" s="110"/>
      <c r="HRS19" s="110"/>
      <c r="HRT19" s="110"/>
      <c r="HRU19" s="110"/>
      <c r="HRV19" s="110"/>
      <c r="HRW19" s="110"/>
      <c r="HRX19" s="110"/>
      <c r="HRY19" s="110"/>
      <c r="HRZ19" s="110"/>
      <c r="HSA19" s="110"/>
      <c r="HSB19" s="110"/>
      <c r="HSC19" s="110"/>
      <c r="HSD19" s="110"/>
      <c r="HSE19" s="110"/>
      <c r="HSF19" s="110"/>
      <c r="HSG19" s="110"/>
      <c r="HSH19" s="110"/>
      <c r="HSI19" s="110"/>
      <c r="HSJ19" s="110"/>
      <c r="HSK19" s="110"/>
      <c r="HSL19" s="110"/>
      <c r="HSM19" s="110"/>
      <c r="HSN19" s="110"/>
      <c r="HSO19" s="110"/>
      <c r="HSP19" s="110"/>
      <c r="HSQ19" s="110"/>
      <c r="HSR19" s="110"/>
      <c r="HSS19" s="110"/>
      <c r="HST19" s="110"/>
      <c r="HSU19" s="110"/>
      <c r="HSV19" s="110"/>
      <c r="HSW19" s="110"/>
      <c r="HSX19" s="110"/>
      <c r="HSY19" s="110"/>
      <c r="HSZ19" s="110"/>
      <c r="HTA19" s="110"/>
      <c r="HTB19" s="110"/>
      <c r="HTC19" s="110"/>
      <c r="HTD19" s="110"/>
      <c r="HTE19" s="110"/>
      <c r="HTF19" s="110"/>
      <c r="HTG19" s="110"/>
      <c r="HTH19" s="110"/>
      <c r="HTI19" s="110"/>
      <c r="HTJ19" s="110"/>
      <c r="HTK19" s="110"/>
      <c r="HTL19" s="110"/>
      <c r="HTM19" s="110"/>
      <c r="HTN19" s="110"/>
      <c r="HTO19" s="110"/>
      <c r="HTP19" s="110"/>
      <c r="HTQ19" s="110"/>
      <c r="HTR19" s="110"/>
      <c r="HTS19" s="110"/>
      <c r="HTT19" s="110"/>
      <c r="HTU19" s="110"/>
      <c r="HTV19" s="110"/>
      <c r="HTW19" s="110"/>
      <c r="HTX19" s="110"/>
      <c r="HTY19" s="110"/>
      <c r="HTZ19" s="110"/>
      <c r="HUA19" s="110"/>
      <c r="HUB19" s="110"/>
      <c r="HUC19" s="110"/>
      <c r="HUD19" s="110"/>
      <c r="HUE19" s="110"/>
      <c r="HUF19" s="110"/>
      <c r="HUG19" s="110"/>
      <c r="HUH19" s="110"/>
      <c r="HUI19" s="110"/>
      <c r="HUJ19" s="110"/>
      <c r="HUK19" s="110"/>
      <c r="HUL19" s="110"/>
      <c r="HUM19" s="110"/>
      <c r="HUN19" s="110"/>
      <c r="HUO19" s="110"/>
      <c r="HUP19" s="110"/>
      <c r="HUQ19" s="110"/>
      <c r="HUR19" s="110"/>
      <c r="HUS19" s="110"/>
      <c r="HUT19" s="110"/>
      <c r="HUU19" s="110"/>
      <c r="HUV19" s="110"/>
      <c r="HUW19" s="110"/>
      <c r="HUX19" s="110"/>
      <c r="HUY19" s="110"/>
      <c r="HUZ19" s="110"/>
      <c r="HVA19" s="110"/>
      <c r="HVB19" s="110"/>
      <c r="HVC19" s="110"/>
      <c r="HVD19" s="110"/>
      <c r="HVE19" s="110"/>
      <c r="HVF19" s="110"/>
      <c r="HVG19" s="110"/>
      <c r="HVH19" s="110"/>
      <c r="HVI19" s="110"/>
      <c r="HVJ19" s="110"/>
      <c r="HVK19" s="110"/>
      <c r="HVL19" s="110"/>
      <c r="HVM19" s="110"/>
      <c r="HVN19" s="110"/>
      <c r="HVO19" s="110"/>
      <c r="HVP19" s="110"/>
      <c r="HVQ19" s="110"/>
      <c r="HVR19" s="110"/>
      <c r="HVS19" s="110"/>
      <c r="HVT19" s="110"/>
      <c r="HVU19" s="110"/>
      <c r="HVV19" s="110"/>
      <c r="HVW19" s="110"/>
      <c r="HVX19" s="110"/>
      <c r="HVY19" s="110"/>
      <c r="HVZ19" s="110"/>
      <c r="HWA19" s="110"/>
      <c r="HWB19" s="110"/>
      <c r="HWC19" s="110"/>
      <c r="HWD19" s="110"/>
      <c r="HWE19" s="110"/>
      <c r="HWF19" s="110"/>
      <c r="HWG19" s="110"/>
      <c r="HWH19" s="110"/>
      <c r="HWI19" s="110"/>
      <c r="HWJ19" s="110"/>
      <c r="HWK19" s="110"/>
      <c r="HWL19" s="110"/>
      <c r="HWM19" s="110"/>
      <c r="HWN19" s="110"/>
      <c r="HWO19" s="110"/>
      <c r="HWP19" s="110"/>
      <c r="HWQ19" s="110"/>
      <c r="HWR19" s="110"/>
      <c r="HWS19" s="110"/>
      <c r="HWT19" s="110"/>
      <c r="HWU19" s="110"/>
      <c r="HWV19" s="110"/>
      <c r="HWW19" s="110"/>
      <c r="HWX19" s="110"/>
      <c r="HWY19" s="110"/>
      <c r="HWZ19" s="110"/>
      <c r="HXA19" s="110"/>
      <c r="HXB19" s="110"/>
      <c r="HXC19" s="110"/>
      <c r="HXD19" s="110"/>
      <c r="HXE19" s="110"/>
      <c r="HXF19" s="110"/>
      <c r="HXG19" s="110"/>
      <c r="HXH19" s="110"/>
      <c r="HXI19" s="110"/>
      <c r="HXJ19" s="110"/>
      <c r="HXK19" s="110"/>
      <c r="HXL19" s="110"/>
      <c r="HXM19" s="110"/>
      <c r="HXN19" s="110"/>
      <c r="HXO19" s="110"/>
      <c r="HXP19" s="110"/>
      <c r="HXQ19" s="110"/>
      <c r="HXR19" s="110"/>
      <c r="HXS19" s="110"/>
      <c r="HXT19" s="110"/>
      <c r="HXU19" s="110"/>
      <c r="HXV19" s="110"/>
      <c r="HXW19" s="110"/>
      <c r="HXX19" s="110"/>
      <c r="HXY19" s="110"/>
      <c r="HXZ19" s="110"/>
      <c r="HYA19" s="110"/>
      <c r="HYB19" s="110"/>
      <c r="HYC19" s="110"/>
      <c r="HYD19" s="110"/>
      <c r="HYE19" s="110"/>
      <c r="HYF19" s="110"/>
      <c r="HYG19" s="110"/>
      <c r="HYH19" s="110"/>
      <c r="HYI19" s="110"/>
      <c r="HYJ19" s="110"/>
      <c r="HYK19" s="110"/>
      <c r="HYL19" s="110"/>
      <c r="HYM19" s="110"/>
      <c r="HYN19" s="110"/>
      <c r="HYO19" s="110"/>
      <c r="HYP19" s="110"/>
      <c r="HYQ19" s="110"/>
      <c r="HYR19" s="110"/>
      <c r="HYS19" s="110"/>
      <c r="HYT19" s="110"/>
      <c r="HYU19" s="110"/>
      <c r="HYV19" s="110"/>
      <c r="HYW19" s="110"/>
      <c r="HYX19" s="110"/>
      <c r="HYY19" s="110"/>
      <c r="HYZ19" s="110"/>
      <c r="HZA19" s="110"/>
      <c r="HZB19" s="110"/>
      <c r="HZC19" s="110"/>
      <c r="HZD19" s="110"/>
      <c r="HZE19" s="110"/>
      <c r="HZF19" s="110"/>
      <c r="HZG19" s="110"/>
      <c r="HZH19" s="110"/>
      <c r="HZI19" s="110"/>
      <c r="HZJ19" s="110"/>
      <c r="HZK19" s="110"/>
      <c r="HZL19" s="110"/>
      <c r="HZM19" s="110"/>
      <c r="HZN19" s="110"/>
      <c r="HZO19" s="110"/>
      <c r="HZP19" s="110"/>
      <c r="HZQ19" s="110"/>
      <c r="HZR19" s="110"/>
      <c r="HZS19" s="110"/>
      <c r="HZT19" s="110"/>
      <c r="HZU19" s="110"/>
      <c r="HZV19" s="110"/>
      <c r="HZW19" s="110"/>
      <c r="HZX19" s="110"/>
      <c r="HZY19" s="110"/>
      <c r="HZZ19" s="110"/>
      <c r="IAA19" s="110"/>
      <c r="IAB19" s="110"/>
      <c r="IAC19" s="110"/>
      <c r="IAD19" s="110"/>
      <c r="IAE19" s="110"/>
      <c r="IAF19" s="110"/>
      <c r="IAG19" s="110"/>
      <c r="IAH19" s="110"/>
      <c r="IAI19" s="110"/>
      <c r="IAJ19" s="110"/>
      <c r="IAK19" s="110"/>
      <c r="IAL19" s="110"/>
      <c r="IAM19" s="110"/>
      <c r="IAN19" s="110"/>
      <c r="IAO19" s="110"/>
      <c r="IAP19" s="110"/>
      <c r="IAQ19" s="110"/>
      <c r="IAR19" s="110"/>
      <c r="IAS19" s="110"/>
      <c r="IAT19" s="110"/>
      <c r="IAU19" s="110"/>
      <c r="IAV19" s="110"/>
      <c r="IAW19" s="110"/>
      <c r="IAX19" s="110"/>
      <c r="IAY19" s="110"/>
      <c r="IAZ19" s="110"/>
      <c r="IBA19" s="110"/>
      <c r="IBB19" s="110"/>
      <c r="IBC19" s="110"/>
      <c r="IBD19" s="110"/>
      <c r="IBE19" s="110"/>
      <c r="IBF19" s="110"/>
      <c r="IBG19" s="110"/>
      <c r="IBH19" s="110"/>
      <c r="IBI19" s="110"/>
      <c r="IBJ19" s="110"/>
      <c r="IBK19" s="110"/>
      <c r="IBL19" s="110"/>
      <c r="IBM19" s="110"/>
      <c r="IBN19" s="110"/>
      <c r="IBO19" s="110"/>
      <c r="IBP19" s="110"/>
      <c r="IBQ19" s="110"/>
      <c r="IBR19" s="110"/>
      <c r="IBS19" s="110"/>
      <c r="IBT19" s="110"/>
      <c r="IBU19" s="110"/>
      <c r="IBV19" s="110"/>
      <c r="IBW19" s="110"/>
      <c r="IBX19" s="110"/>
      <c r="IBY19" s="110"/>
      <c r="IBZ19" s="110"/>
      <c r="ICA19" s="110"/>
      <c r="ICB19" s="110"/>
      <c r="ICC19" s="110"/>
      <c r="ICD19" s="110"/>
      <c r="ICE19" s="110"/>
      <c r="ICF19" s="110"/>
      <c r="ICG19" s="110"/>
      <c r="ICH19" s="110"/>
      <c r="ICI19" s="110"/>
      <c r="ICJ19" s="110"/>
      <c r="ICK19" s="110"/>
      <c r="ICL19" s="110"/>
      <c r="ICM19" s="110"/>
      <c r="ICN19" s="110"/>
      <c r="ICO19" s="110"/>
      <c r="ICP19" s="110"/>
      <c r="ICQ19" s="110"/>
      <c r="ICR19" s="110"/>
      <c r="ICS19" s="110"/>
      <c r="ICT19" s="110"/>
      <c r="ICU19" s="110"/>
      <c r="ICV19" s="110"/>
      <c r="ICW19" s="110"/>
      <c r="ICX19" s="110"/>
      <c r="ICY19" s="110"/>
      <c r="ICZ19" s="110"/>
      <c r="IDA19" s="110"/>
      <c r="IDB19" s="110"/>
      <c r="IDC19" s="110"/>
      <c r="IDD19" s="110"/>
      <c r="IDE19" s="110"/>
      <c r="IDF19" s="110"/>
      <c r="IDG19" s="110"/>
      <c r="IDH19" s="110"/>
      <c r="IDI19" s="110"/>
      <c r="IDJ19" s="110"/>
      <c r="IDK19" s="110"/>
      <c r="IDL19" s="110"/>
      <c r="IDM19" s="110"/>
      <c r="IDN19" s="110"/>
      <c r="IDO19" s="110"/>
      <c r="IDP19" s="110"/>
      <c r="IDQ19" s="110"/>
      <c r="IDR19" s="110"/>
      <c r="IDS19" s="110"/>
      <c r="IDT19" s="110"/>
      <c r="IDU19" s="110"/>
      <c r="IDV19" s="110"/>
      <c r="IDW19" s="110"/>
      <c r="IDX19" s="110"/>
      <c r="IDY19" s="110"/>
      <c r="IDZ19" s="110"/>
      <c r="IEA19" s="110"/>
      <c r="IEB19" s="110"/>
      <c r="IEC19" s="110"/>
      <c r="IED19" s="110"/>
      <c r="IEE19" s="110"/>
      <c r="IEF19" s="110"/>
      <c r="IEG19" s="110"/>
      <c r="IEH19" s="110"/>
      <c r="IEI19" s="110"/>
      <c r="IEJ19" s="110"/>
      <c r="IEK19" s="110"/>
      <c r="IEL19" s="110"/>
      <c r="IEM19" s="110"/>
      <c r="IEN19" s="110"/>
      <c r="IEO19" s="110"/>
      <c r="IEP19" s="110"/>
      <c r="IEQ19" s="110"/>
      <c r="IER19" s="110"/>
      <c r="IES19" s="110"/>
      <c r="IET19" s="110"/>
      <c r="IEU19" s="110"/>
      <c r="IEV19" s="110"/>
      <c r="IEW19" s="110"/>
      <c r="IEX19" s="110"/>
      <c r="IEY19" s="110"/>
      <c r="IEZ19" s="110"/>
      <c r="IFA19" s="110"/>
      <c r="IFB19" s="110"/>
      <c r="IFC19" s="110"/>
      <c r="IFD19" s="110"/>
      <c r="IFE19" s="110"/>
      <c r="IFF19" s="110"/>
      <c r="IFG19" s="110"/>
      <c r="IFH19" s="110"/>
      <c r="IFI19" s="110"/>
      <c r="IFJ19" s="110"/>
      <c r="IFK19" s="110"/>
      <c r="IFL19" s="110"/>
      <c r="IFM19" s="110"/>
      <c r="IFN19" s="110"/>
      <c r="IFO19" s="110"/>
      <c r="IFP19" s="110"/>
      <c r="IFQ19" s="110"/>
      <c r="IFR19" s="110"/>
      <c r="IFS19" s="110"/>
      <c r="IFT19" s="110"/>
      <c r="IFU19" s="110"/>
      <c r="IFV19" s="110"/>
      <c r="IFW19" s="110"/>
      <c r="IFX19" s="110"/>
      <c r="IFY19" s="110"/>
      <c r="IFZ19" s="110"/>
      <c r="IGA19" s="110"/>
      <c r="IGB19" s="110"/>
      <c r="IGC19" s="110"/>
      <c r="IGD19" s="110"/>
      <c r="IGE19" s="110"/>
      <c r="IGF19" s="110"/>
      <c r="IGG19" s="110"/>
      <c r="IGH19" s="110"/>
      <c r="IGI19" s="110"/>
      <c r="IGJ19" s="110"/>
      <c r="IGK19" s="110"/>
      <c r="IGL19" s="110"/>
      <c r="IGM19" s="110"/>
      <c r="IGN19" s="110"/>
      <c r="IGO19" s="110"/>
      <c r="IGP19" s="110"/>
      <c r="IGQ19" s="110"/>
      <c r="IGR19" s="110"/>
      <c r="IGS19" s="110"/>
      <c r="IGT19" s="110"/>
      <c r="IGU19" s="110"/>
      <c r="IGV19" s="110"/>
      <c r="IGW19" s="110"/>
      <c r="IGX19" s="110"/>
      <c r="IGY19" s="110"/>
      <c r="IGZ19" s="110"/>
      <c r="IHA19" s="110"/>
      <c r="IHB19" s="110"/>
      <c r="IHC19" s="110"/>
      <c r="IHD19" s="110"/>
      <c r="IHE19" s="110"/>
      <c r="IHF19" s="110"/>
      <c r="IHG19" s="110"/>
      <c r="IHH19" s="110"/>
      <c r="IHI19" s="110"/>
      <c r="IHJ19" s="110"/>
      <c r="IHK19" s="110"/>
      <c r="IHL19" s="110"/>
      <c r="IHM19" s="110"/>
      <c r="IHN19" s="110"/>
      <c r="IHO19" s="110"/>
      <c r="IHP19" s="110"/>
      <c r="IHQ19" s="110"/>
      <c r="IHR19" s="110"/>
      <c r="IHS19" s="110"/>
      <c r="IHT19" s="110"/>
      <c r="IHU19" s="110"/>
      <c r="IHV19" s="110"/>
      <c r="IHW19" s="110"/>
      <c r="IHX19" s="110"/>
      <c r="IHY19" s="110"/>
      <c r="IHZ19" s="110"/>
      <c r="IIA19" s="110"/>
      <c r="IIB19" s="110"/>
      <c r="IIC19" s="110"/>
      <c r="IID19" s="110"/>
      <c r="IIE19" s="110"/>
      <c r="IIF19" s="110"/>
      <c r="IIG19" s="110"/>
      <c r="IIH19" s="110"/>
      <c r="III19" s="110"/>
      <c r="IIJ19" s="110"/>
      <c r="IIK19" s="110"/>
      <c r="IIL19" s="110"/>
      <c r="IIM19" s="110"/>
      <c r="IIN19" s="110"/>
      <c r="IIO19" s="110"/>
      <c r="IIP19" s="110"/>
      <c r="IIQ19" s="110"/>
      <c r="IIR19" s="110"/>
      <c r="IIS19" s="110"/>
      <c r="IIT19" s="110"/>
      <c r="IIU19" s="110"/>
      <c r="IIV19" s="110"/>
      <c r="IIW19" s="110"/>
      <c r="IIX19" s="110"/>
      <c r="IIY19" s="110"/>
      <c r="IIZ19" s="110"/>
      <c r="IJA19" s="110"/>
      <c r="IJB19" s="110"/>
      <c r="IJC19" s="110"/>
      <c r="IJD19" s="110"/>
      <c r="IJE19" s="110"/>
      <c r="IJF19" s="110"/>
      <c r="IJG19" s="110"/>
      <c r="IJH19" s="110"/>
      <c r="IJI19" s="110"/>
      <c r="IJJ19" s="110"/>
      <c r="IJK19" s="110"/>
      <c r="IJL19" s="110"/>
      <c r="IJM19" s="110"/>
      <c r="IJN19" s="110"/>
      <c r="IJO19" s="110"/>
      <c r="IJP19" s="110"/>
      <c r="IJQ19" s="110"/>
      <c r="IJR19" s="110"/>
      <c r="IJS19" s="110"/>
      <c r="IJT19" s="110"/>
      <c r="IJU19" s="110"/>
      <c r="IJV19" s="110"/>
      <c r="IJW19" s="110"/>
      <c r="IJX19" s="110"/>
      <c r="IJY19" s="110"/>
      <c r="IJZ19" s="110"/>
      <c r="IKA19" s="110"/>
      <c r="IKB19" s="110"/>
      <c r="IKC19" s="110"/>
      <c r="IKD19" s="110"/>
      <c r="IKE19" s="110"/>
      <c r="IKF19" s="110"/>
      <c r="IKG19" s="110"/>
      <c r="IKH19" s="110"/>
      <c r="IKI19" s="110"/>
      <c r="IKJ19" s="110"/>
      <c r="IKK19" s="110"/>
      <c r="IKL19" s="110"/>
      <c r="IKM19" s="110"/>
      <c r="IKN19" s="110"/>
      <c r="IKO19" s="110"/>
      <c r="IKP19" s="110"/>
      <c r="IKQ19" s="110"/>
      <c r="IKR19" s="110"/>
      <c r="IKS19" s="110"/>
      <c r="IKT19" s="110"/>
      <c r="IKU19" s="110"/>
      <c r="IKV19" s="110"/>
      <c r="IKW19" s="110"/>
      <c r="IKX19" s="110"/>
      <c r="IKY19" s="110"/>
      <c r="IKZ19" s="110"/>
      <c r="ILA19" s="110"/>
      <c r="ILB19" s="110"/>
      <c r="ILC19" s="110"/>
      <c r="ILD19" s="110"/>
      <c r="ILE19" s="110"/>
      <c r="ILF19" s="110"/>
      <c r="ILG19" s="110"/>
      <c r="ILH19" s="110"/>
      <c r="ILI19" s="110"/>
      <c r="ILJ19" s="110"/>
      <c r="ILK19" s="110"/>
      <c r="ILL19" s="110"/>
      <c r="ILM19" s="110"/>
      <c r="ILN19" s="110"/>
      <c r="ILO19" s="110"/>
      <c r="ILP19" s="110"/>
      <c r="ILQ19" s="110"/>
      <c r="ILR19" s="110"/>
      <c r="ILS19" s="110"/>
      <c r="ILT19" s="110"/>
      <c r="ILU19" s="110"/>
      <c r="ILV19" s="110"/>
      <c r="ILW19" s="110"/>
      <c r="ILX19" s="110"/>
      <c r="ILY19" s="110"/>
      <c r="ILZ19" s="110"/>
      <c r="IMA19" s="110"/>
      <c r="IMB19" s="110"/>
      <c r="IMC19" s="110"/>
      <c r="IMD19" s="110"/>
      <c r="IME19" s="110"/>
      <c r="IMF19" s="110"/>
      <c r="IMG19" s="110"/>
      <c r="IMH19" s="110"/>
      <c r="IMI19" s="110"/>
      <c r="IMJ19" s="110"/>
      <c r="IMK19" s="110"/>
      <c r="IML19" s="110"/>
      <c r="IMM19" s="110"/>
      <c r="IMN19" s="110"/>
      <c r="IMO19" s="110"/>
      <c r="IMP19" s="110"/>
      <c r="IMQ19" s="110"/>
      <c r="IMR19" s="110"/>
      <c r="IMS19" s="110"/>
      <c r="IMT19" s="110"/>
      <c r="IMU19" s="110"/>
      <c r="IMV19" s="110"/>
      <c r="IMW19" s="110"/>
      <c r="IMX19" s="110"/>
      <c r="IMY19" s="110"/>
      <c r="IMZ19" s="110"/>
      <c r="INA19" s="110"/>
      <c r="INB19" s="110"/>
      <c r="INC19" s="110"/>
      <c r="IND19" s="110"/>
      <c r="INE19" s="110"/>
      <c r="INF19" s="110"/>
      <c r="ING19" s="110"/>
      <c r="INH19" s="110"/>
      <c r="INI19" s="110"/>
      <c r="INJ19" s="110"/>
      <c r="INK19" s="110"/>
      <c r="INL19" s="110"/>
      <c r="INM19" s="110"/>
      <c r="INN19" s="110"/>
      <c r="INO19" s="110"/>
      <c r="INP19" s="110"/>
      <c r="INQ19" s="110"/>
      <c r="INR19" s="110"/>
      <c r="INS19" s="110"/>
      <c r="INT19" s="110"/>
      <c r="INU19" s="110"/>
      <c r="INV19" s="110"/>
      <c r="INW19" s="110"/>
      <c r="INX19" s="110"/>
      <c r="INY19" s="110"/>
      <c r="INZ19" s="110"/>
      <c r="IOA19" s="110"/>
      <c r="IOB19" s="110"/>
      <c r="IOC19" s="110"/>
      <c r="IOD19" s="110"/>
      <c r="IOE19" s="110"/>
      <c r="IOF19" s="110"/>
      <c r="IOG19" s="110"/>
      <c r="IOH19" s="110"/>
      <c r="IOI19" s="110"/>
      <c r="IOJ19" s="110"/>
      <c r="IOK19" s="110"/>
      <c r="IOL19" s="110"/>
      <c r="IOM19" s="110"/>
      <c r="ION19" s="110"/>
      <c r="IOO19" s="110"/>
      <c r="IOP19" s="110"/>
      <c r="IOQ19" s="110"/>
      <c r="IOR19" s="110"/>
      <c r="IOS19" s="110"/>
      <c r="IOT19" s="110"/>
      <c r="IOU19" s="110"/>
      <c r="IOV19" s="110"/>
      <c r="IOW19" s="110"/>
      <c r="IOX19" s="110"/>
      <c r="IOY19" s="110"/>
      <c r="IOZ19" s="110"/>
      <c r="IPA19" s="110"/>
      <c r="IPB19" s="110"/>
      <c r="IPC19" s="110"/>
      <c r="IPD19" s="110"/>
      <c r="IPE19" s="110"/>
      <c r="IPF19" s="110"/>
      <c r="IPG19" s="110"/>
      <c r="IPH19" s="110"/>
      <c r="IPI19" s="110"/>
      <c r="IPJ19" s="110"/>
      <c r="IPK19" s="110"/>
      <c r="IPL19" s="110"/>
      <c r="IPM19" s="110"/>
      <c r="IPN19" s="110"/>
      <c r="IPO19" s="110"/>
      <c r="IPP19" s="110"/>
      <c r="IPQ19" s="110"/>
      <c r="IPR19" s="110"/>
      <c r="IPS19" s="110"/>
      <c r="IPT19" s="110"/>
      <c r="IPU19" s="110"/>
      <c r="IPV19" s="110"/>
      <c r="IPW19" s="110"/>
      <c r="IPX19" s="110"/>
      <c r="IPY19" s="110"/>
      <c r="IPZ19" s="110"/>
      <c r="IQA19" s="110"/>
      <c r="IQB19" s="110"/>
      <c r="IQC19" s="110"/>
      <c r="IQD19" s="110"/>
      <c r="IQE19" s="110"/>
      <c r="IQF19" s="110"/>
      <c r="IQG19" s="110"/>
      <c r="IQH19" s="110"/>
      <c r="IQI19" s="110"/>
      <c r="IQJ19" s="110"/>
      <c r="IQK19" s="110"/>
      <c r="IQL19" s="110"/>
      <c r="IQM19" s="110"/>
      <c r="IQN19" s="110"/>
      <c r="IQO19" s="110"/>
      <c r="IQP19" s="110"/>
      <c r="IQQ19" s="110"/>
      <c r="IQR19" s="110"/>
      <c r="IQS19" s="110"/>
      <c r="IQT19" s="110"/>
      <c r="IQU19" s="110"/>
      <c r="IQV19" s="110"/>
      <c r="IQW19" s="110"/>
      <c r="IQX19" s="110"/>
      <c r="IQY19" s="110"/>
      <c r="IQZ19" s="110"/>
      <c r="IRA19" s="110"/>
      <c r="IRB19" s="110"/>
      <c r="IRC19" s="110"/>
      <c r="IRD19" s="110"/>
      <c r="IRE19" s="110"/>
      <c r="IRF19" s="110"/>
      <c r="IRG19" s="110"/>
      <c r="IRH19" s="110"/>
      <c r="IRI19" s="110"/>
      <c r="IRJ19" s="110"/>
      <c r="IRK19" s="110"/>
      <c r="IRL19" s="110"/>
      <c r="IRM19" s="110"/>
      <c r="IRN19" s="110"/>
      <c r="IRO19" s="110"/>
      <c r="IRP19" s="110"/>
      <c r="IRQ19" s="110"/>
      <c r="IRR19" s="110"/>
      <c r="IRS19" s="110"/>
      <c r="IRT19" s="110"/>
      <c r="IRU19" s="110"/>
      <c r="IRV19" s="110"/>
      <c r="IRW19" s="110"/>
      <c r="IRX19" s="110"/>
      <c r="IRY19" s="110"/>
      <c r="IRZ19" s="110"/>
      <c r="ISA19" s="110"/>
      <c r="ISB19" s="110"/>
      <c r="ISC19" s="110"/>
      <c r="ISD19" s="110"/>
      <c r="ISE19" s="110"/>
      <c r="ISF19" s="110"/>
      <c r="ISG19" s="110"/>
      <c r="ISH19" s="110"/>
      <c r="ISI19" s="110"/>
      <c r="ISJ19" s="110"/>
      <c r="ISK19" s="110"/>
      <c r="ISL19" s="110"/>
      <c r="ISM19" s="110"/>
      <c r="ISN19" s="110"/>
      <c r="ISO19" s="110"/>
      <c r="ISP19" s="110"/>
      <c r="ISQ19" s="110"/>
      <c r="ISR19" s="110"/>
      <c r="ISS19" s="110"/>
      <c r="IST19" s="110"/>
      <c r="ISU19" s="110"/>
      <c r="ISV19" s="110"/>
      <c r="ISW19" s="110"/>
      <c r="ISX19" s="110"/>
      <c r="ISY19" s="110"/>
      <c r="ISZ19" s="110"/>
      <c r="ITA19" s="110"/>
      <c r="ITB19" s="110"/>
      <c r="ITC19" s="110"/>
      <c r="ITD19" s="110"/>
      <c r="ITE19" s="110"/>
      <c r="ITF19" s="110"/>
      <c r="ITG19" s="110"/>
      <c r="ITH19" s="110"/>
      <c r="ITI19" s="110"/>
      <c r="ITJ19" s="110"/>
      <c r="ITK19" s="110"/>
      <c r="ITL19" s="110"/>
      <c r="ITM19" s="110"/>
      <c r="ITN19" s="110"/>
      <c r="ITO19" s="110"/>
      <c r="ITP19" s="110"/>
      <c r="ITQ19" s="110"/>
      <c r="ITR19" s="110"/>
      <c r="ITS19" s="110"/>
      <c r="ITT19" s="110"/>
      <c r="ITU19" s="110"/>
      <c r="ITV19" s="110"/>
      <c r="ITW19" s="110"/>
      <c r="ITX19" s="110"/>
      <c r="ITY19" s="110"/>
      <c r="ITZ19" s="110"/>
      <c r="IUA19" s="110"/>
      <c r="IUB19" s="110"/>
      <c r="IUC19" s="110"/>
      <c r="IUD19" s="110"/>
      <c r="IUE19" s="110"/>
      <c r="IUF19" s="110"/>
      <c r="IUG19" s="110"/>
      <c r="IUH19" s="110"/>
      <c r="IUI19" s="110"/>
      <c r="IUJ19" s="110"/>
      <c r="IUK19" s="110"/>
      <c r="IUL19" s="110"/>
      <c r="IUM19" s="110"/>
      <c r="IUN19" s="110"/>
      <c r="IUO19" s="110"/>
      <c r="IUP19" s="110"/>
      <c r="IUQ19" s="110"/>
      <c r="IUR19" s="110"/>
      <c r="IUS19" s="110"/>
      <c r="IUT19" s="110"/>
      <c r="IUU19" s="110"/>
      <c r="IUV19" s="110"/>
      <c r="IUW19" s="110"/>
      <c r="IUX19" s="110"/>
      <c r="IUY19" s="110"/>
      <c r="IUZ19" s="110"/>
      <c r="IVA19" s="110"/>
      <c r="IVB19" s="110"/>
      <c r="IVC19" s="110"/>
      <c r="IVD19" s="110"/>
      <c r="IVE19" s="110"/>
      <c r="IVF19" s="110"/>
      <c r="IVG19" s="110"/>
      <c r="IVH19" s="110"/>
      <c r="IVI19" s="110"/>
      <c r="IVJ19" s="110"/>
      <c r="IVK19" s="110"/>
      <c r="IVL19" s="110"/>
      <c r="IVM19" s="110"/>
      <c r="IVN19" s="110"/>
      <c r="IVO19" s="110"/>
      <c r="IVP19" s="110"/>
      <c r="IVQ19" s="110"/>
      <c r="IVR19" s="110"/>
      <c r="IVS19" s="110"/>
      <c r="IVT19" s="110"/>
      <c r="IVU19" s="110"/>
      <c r="IVV19" s="110"/>
      <c r="IVW19" s="110"/>
      <c r="IVX19" s="110"/>
      <c r="IVY19" s="110"/>
      <c r="IVZ19" s="110"/>
      <c r="IWA19" s="110"/>
      <c r="IWB19" s="110"/>
      <c r="IWC19" s="110"/>
      <c r="IWD19" s="110"/>
      <c r="IWE19" s="110"/>
      <c r="IWF19" s="110"/>
      <c r="IWG19" s="110"/>
      <c r="IWH19" s="110"/>
      <c r="IWI19" s="110"/>
      <c r="IWJ19" s="110"/>
      <c r="IWK19" s="110"/>
      <c r="IWL19" s="110"/>
      <c r="IWM19" s="110"/>
      <c r="IWN19" s="110"/>
      <c r="IWO19" s="110"/>
      <c r="IWP19" s="110"/>
      <c r="IWQ19" s="110"/>
      <c r="IWR19" s="110"/>
      <c r="IWS19" s="110"/>
      <c r="IWT19" s="110"/>
      <c r="IWU19" s="110"/>
      <c r="IWV19" s="110"/>
      <c r="IWW19" s="110"/>
      <c r="IWX19" s="110"/>
      <c r="IWY19" s="110"/>
      <c r="IWZ19" s="110"/>
      <c r="IXA19" s="110"/>
      <c r="IXB19" s="110"/>
      <c r="IXC19" s="110"/>
      <c r="IXD19" s="110"/>
      <c r="IXE19" s="110"/>
      <c r="IXF19" s="110"/>
      <c r="IXG19" s="110"/>
      <c r="IXH19" s="110"/>
      <c r="IXI19" s="110"/>
      <c r="IXJ19" s="110"/>
      <c r="IXK19" s="110"/>
      <c r="IXL19" s="110"/>
      <c r="IXM19" s="110"/>
      <c r="IXN19" s="110"/>
      <c r="IXO19" s="110"/>
      <c r="IXP19" s="110"/>
      <c r="IXQ19" s="110"/>
      <c r="IXR19" s="110"/>
      <c r="IXS19" s="110"/>
      <c r="IXT19" s="110"/>
      <c r="IXU19" s="110"/>
      <c r="IXV19" s="110"/>
      <c r="IXW19" s="110"/>
      <c r="IXX19" s="110"/>
      <c r="IXY19" s="110"/>
      <c r="IXZ19" s="110"/>
      <c r="IYA19" s="110"/>
      <c r="IYB19" s="110"/>
      <c r="IYC19" s="110"/>
      <c r="IYD19" s="110"/>
      <c r="IYE19" s="110"/>
      <c r="IYF19" s="110"/>
      <c r="IYG19" s="110"/>
      <c r="IYH19" s="110"/>
      <c r="IYI19" s="110"/>
      <c r="IYJ19" s="110"/>
      <c r="IYK19" s="110"/>
      <c r="IYL19" s="110"/>
      <c r="IYM19" s="110"/>
      <c r="IYN19" s="110"/>
      <c r="IYO19" s="110"/>
      <c r="IYP19" s="110"/>
      <c r="IYQ19" s="110"/>
      <c r="IYR19" s="110"/>
      <c r="IYS19" s="110"/>
      <c r="IYT19" s="110"/>
      <c r="IYU19" s="110"/>
      <c r="IYV19" s="110"/>
      <c r="IYW19" s="110"/>
      <c r="IYX19" s="110"/>
      <c r="IYY19" s="110"/>
      <c r="IYZ19" s="110"/>
      <c r="IZA19" s="110"/>
      <c r="IZB19" s="110"/>
      <c r="IZC19" s="110"/>
      <c r="IZD19" s="110"/>
      <c r="IZE19" s="110"/>
      <c r="IZF19" s="110"/>
      <c r="IZG19" s="110"/>
      <c r="IZH19" s="110"/>
      <c r="IZI19" s="110"/>
      <c r="IZJ19" s="110"/>
      <c r="IZK19" s="110"/>
      <c r="IZL19" s="110"/>
      <c r="IZM19" s="110"/>
      <c r="IZN19" s="110"/>
      <c r="IZO19" s="110"/>
      <c r="IZP19" s="110"/>
      <c r="IZQ19" s="110"/>
      <c r="IZR19" s="110"/>
      <c r="IZS19" s="110"/>
      <c r="IZT19" s="110"/>
      <c r="IZU19" s="110"/>
      <c r="IZV19" s="110"/>
      <c r="IZW19" s="110"/>
      <c r="IZX19" s="110"/>
      <c r="IZY19" s="110"/>
      <c r="IZZ19" s="110"/>
      <c r="JAA19" s="110"/>
      <c r="JAB19" s="110"/>
      <c r="JAC19" s="110"/>
      <c r="JAD19" s="110"/>
      <c r="JAE19" s="110"/>
      <c r="JAF19" s="110"/>
      <c r="JAG19" s="110"/>
      <c r="JAH19" s="110"/>
      <c r="JAI19" s="110"/>
      <c r="JAJ19" s="110"/>
      <c r="JAK19" s="110"/>
      <c r="JAL19" s="110"/>
      <c r="JAM19" s="110"/>
      <c r="JAN19" s="110"/>
      <c r="JAO19" s="110"/>
      <c r="JAP19" s="110"/>
      <c r="JAQ19" s="110"/>
      <c r="JAR19" s="110"/>
      <c r="JAS19" s="110"/>
      <c r="JAT19" s="110"/>
      <c r="JAU19" s="110"/>
      <c r="JAV19" s="110"/>
      <c r="JAW19" s="110"/>
      <c r="JAX19" s="110"/>
      <c r="JAY19" s="110"/>
      <c r="JAZ19" s="110"/>
      <c r="JBA19" s="110"/>
      <c r="JBB19" s="110"/>
      <c r="JBC19" s="110"/>
      <c r="JBD19" s="110"/>
      <c r="JBE19" s="110"/>
      <c r="JBF19" s="110"/>
      <c r="JBG19" s="110"/>
      <c r="JBH19" s="110"/>
      <c r="JBI19" s="110"/>
      <c r="JBJ19" s="110"/>
      <c r="JBK19" s="110"/>
      <c r="JBL19" s="110"/>
      <c r="JBM19" s="110"/>
      <c r="JBN19" s="110"/>
      <c r="JBO19" s="110"/>
      <c r="JBP19" s="110"/>
      <c r="JBQ19" s="110"/>
      <c r="JBR19" s="110"/>
      <c r="JBS19" s="110"/>
      <c r="JBT19" s="110"/>
      <c r="JBU19" s="110"/>
      <c r="JBV19" s="110"/>
      <c r="JBW19" s="110"/>
      <c r="JBX19" s="110"/>
      <c r="JBY19" s="110"/>
      <c r="JBZ19" s="110"/>
      <c r="JCA19" s="110"/>
      <c r="JCB19" s="110"/>
      <c r="JCC19" s="110"/>
      <c r="JCD19" s="110"/>
      <c r="JCE19" s="110"/>
      <c r="JCF19" s="110"/>
      <c r="JCG19" s="110"/>
      <c r="JCH19" s="110"/>
      <c r="JCI19" s="110"/>
      <c r="JCJ19" s="110"/>
      <c r="JCK19" s="110"/>
      <c r="JCL19" s="110"/>
      <c r="JCM19" s="110"/>
      <c r="JCN19" s="110"/>
      <c r="JCO19" s="110"/>
      <c r="JCP19" s="110"/>
      <c r="JCQ19" s="110"/>
      <c r="JCR19" s="110"/>
      <c r="JCS19" s="110"/>
      <c r="JCT19" s="110"/>
      <c r="JCU19" s="110"/>
      <c r="JCV19" s="110"/>
      <c r="JCW19" s="110"/>
      <c r="JCX19" s="110"/>
      <c r="JCY19" s="110"/>
      <c r="JCZ19" s="110"/>
      <c r="JDA19" s="110"/>
      <c r="JDB19" s="110"/>
      <c r="JDC19" s="110"/>
      <c r="JDD19" s="110"/>
      <c r="JDE19" s="110"/>
      <c r="JDF19" s="110"/>
      <c r="JDG19" s="110"/>
      <c r="JDH19" s="110"/>
      <c r="JDI19" s="110"/>
      <c r="JDJ19" s="110"/>
      <c r="JDK19" s="110"/>
      <c r="JDL19" s="110"/>
      <c r="JDM19" s="110"/>
      <c r="JDN19" s="110"/>
      <c r="JDO19" s="110"/>
      <c r="JDP19" s="110"/>
      <c r="JDQ19" s="110"/>
      <c r="JDR19" s="110"/>
      <c r="JDS19" s="110"/>
      <c r="JDT19" s="110"/>
      <c r="JDU19" s="110"/>
      <c r="JDV19" s="110"/>
      <c r="JDW19" s="110"/>
      <c r="JDX19" s="110"/>
      <c r="JDY19" s="110"/>
      <c r="JDZ19" s="110"/>
      <c r="JEA19" s="110"/>
      <c r="JEB19" s="110"/>
      <c r="JEC19" s="110"/>
      <c r="JED19" s="110"/>
      <c r="JEE19" s="110"/>
      <c r="JEF19" s="110"/>
      <c r="JEG19" s="110"/>
      <c r="JEH19" s="110"/>
      <c r="JEI19" s="110"/>
      <c r="JEJ19" s="110"/>
      <c r="JEK19" s="110"/>
      <c r="JEL19" s="110"/>
      <c r="JEM19" s="110"/>
      <c r="JEN19" s="110"/>
      <c r="JEO19" s="110"/>
      <c r="JEP19" s="110"/>
      <c r="JEQ19" s="110"/>
      <c r="JER19" s="110"/>
      <c r="JES19" s="110"/>
      <c r="JET19" s="110"/>
      <c r="JEU19" s="110"/>
      <c r="JEV19" s="110"/>
      <c r="JEW19" s="110"/>
      <c r="JEX19" s="110"/>
      <c r="JEY19" s="110"/>
      <c r="JEZ19" s="110"/>
      <c r="JFA19" s="110"/>
      <c r="JFB19" s="110"/>
      <c r="JFC19" s="110"/>
      <c r="JFD19" s="110"/>
      <c r="JFE19" s="110"/>
      <c r="JFF19" s="110"/>
      <c r="JFG19" s="110"/>
      <c r="JFH19" s="110"/>
      <c r="JFI19" s="110"/>
      <c r="JFJ19" s="110"/>
      <c r="JFK19" s="110"/>
      <c r="JFL19" s="110"/>
      <c r="JFM19" s="110"/>
      <c r="JFN19" s="110"/>
      <c r="JFO19" s="110"/>
      <c r="JFP19" s="110"/>
      <c r="JFQ19" s="110"/>
      <c r="JFR19" s="110"/>
      <c r="JFS19" s="110"/>
      <c r="JFT19" s="110"/>
      <c r="JFU19" s="110"/>
      <c r="JFV19" s="110"/>
      <c r="JFW19" s="110"/>
      <c r="JFX19" s="110"/>
      <c r="JFY19" s="110"/>
      <c r="JFZ19" s="110"/>
      <c r="JGA19" s="110"/>
      <c r="JGB19" s="110"/>
      <c r="JGC19" s="110"/>
      <c r="JGD19" s="110"/>
      <c r="JGE19" s="110"/>
      <c r="JGF19" s="110"/>
      <c r="JGG19" s="110"/>
      <c r="JGH19" s="110"/>
      <c r="JGI19" s="110"/>
      <c r="JGJ19" s="110"/>
      <c r="JGK19" s="110"/>
      <c r="JGL19" s="110"/>
      <c r="JGM19" s="110"/>
      <c r="JGN19" s="110"/>
      <c r="JGO19" s="110"/>
      <c r="JGP19" s="110"/>
      <c r="JGQ19" s="110"/>
      <c r="JGR19" s="110"/>
      <c r="JGS19" s="110"/>
      <c r="JGT19" s="110"/>
      <c r="JGU19" s="110"/>
      <c r="JGV19" s="110"/>
      <c r="JGW19" s="110"/>
      <c r="JGX19" s="110"/>
      <c r="JGY19" s="110"/>
      <c r="JGZ19" s="110"/>
      <c r="JHA19" s="110"/>
      <c r="JHB19" s="110"/>
      <c r="JHC19" s="110"/>
      <c r="JHD19" s="110"/>
      <c r="JHE19" s="110"/>
      <c r="JHF19" s="110"/>
      <c r="JHG19" s="110"/>
      <c r="JHH19" s="110"/>
      <c r="JHI19" s="110"/>
      <c r="JHJ19" s="110"/>
      <c r="JHK19" s="110"/>
      <c r="JHL19" s="110"/>
      <c r="JHM19" s="110"/>
      <c r="JHN19" s="110"/>
      <c r="JHO19" s="110"/>
      <c r="JHP19" s="110"/>
      <c r="JHQ19" s="110"/>
      <c r="JHR19" s="110"/>
      <c r="JHS19" s="110"/>
      <c r="JHT19" s="110"/>
      <c r="JHU19" s="110"/>
      <c r="JHV19" s="110"/>
      <c r="JHW19" s="110"/>
      <c r="JHX19" s="110"/>
      <c r="JHY19" s="110"/>
      <c r="JHZ19" s="110"/>
      <c r="JIA19" s="110"/>
      <c r="JIB19" s="110"/>
      <c r="JIC19" s="110"/>
      <c r="JID19" s="110"/>
      <c r="JIE19" s="110"/>
      <c r="JIF19" s="110"/>
      <c r="JIG19" s="110"/>
      <c r="JIH19" s="110"/>
      <c r="JII19" s="110"/>
      <c r="JIJ19" s="110"/>
      <c r="JIK19" s="110"/>
      <c r="JIL19" s="110"/>
      <c r="JIM19" s="110"/>
      <c r="JIN19" s="110"/>
      <c r="JIO19" s="110"/>
      <c r="JIP19" s="110"/>
      <c r="JIQ19" s="110"/>
      <c r="JIR19" s="110"/>
      <c r="JIS19" s="110"/>
      <c r="JIT19" s="110"/>
      <c r="JIU19" s="110"/>
      <c r="JIV19" s="110"/>
      <c r="JIW19" s="110"/>
      <c r="JIX19" s="110"/>
      <c r="JIY19" s="110"/>
      <c r="JIZ19" s="110"/>
      <c r="JJA19" s="110"/>
      <c r="JJB19" s="110"/>
      <c r="JJC19" s="110"/>
      <c r="JJD19" s="110"/>
      <c r="JJE19" s="110"/>
      <c r="JJF19" s="110"/>
      <c r="JJG19" s="110"/>
      <c r="JJH19" s="110"/>
      <c r="JJI19" s="110"/>
      <c r="JJJ19" s="110"/>
      <c r="JJK19" s="110"/>
      <c r="JJL19" s="110"/>
      <c r="JJM19" s="110"/>
      <c r="JJN19" s="110"/>
      <c r="JJO19" s="110"/>
      <c r="JJP19" s="110"/>
      <c r="JJQ19" s="110"/>
      <c r="JJR19" s="110"/>
      <c r="JJS19" s="110"/>
      <c r="JJT19" s="110"/>
      <c r="JJU19" s="110"/>
      <c r="JJV19" s="110"/>
      <c r="JJW19" s="110"/>
      <c r="JJX19" s="110"/>
      <c r="JJY19" s="110"/>
      <c r="JJZ19" s="110"/>
      <c r="JKA19" s="110"/>
      <c r="JKB19" s="110"/>
      <c r="JKC19" s="110"/>
      <c r="JKD19" s="110"/>
      <c r="JKE19" s="110"/>
      <c r="JKF19" s="110"/>
      <c r="JKG19" s="110"/>
      <c r="JKH19" s="110"/>
      <c r="JKI19" s="110"/>
      <c r="JKJ19" s="110"/>
      <c r="JKK19" s="110"/>
      <c r="JKL19" s="110"/>
      <c r="JKM19" s="110"/>
      <c r="JKN19" s="110"/>
      <c r="JKO19" s="110"/>
      <c r="JKP19" s="110"/>
      <c r="JKQ19" s="110"/>
      <c r="JKR19" s="110"/>
      <c r="JKS19" s="110"/>
      <c r="JKT19" s="110"/>
      <c r="JKU19" s="110"/>
      <c r="JKV19" s="110"/>
      <c r="JKW19" s="110"/>
      <c r="JKX19" s="110"/>
      <c r="JKY19" s="110"/>
      <c r="JKZ19" s="110"/>
      <c r="JLA19" s="110"/>
      <c r="JLB19" s="110"/>
      <c r="JLC19" s="110"/>
      <c r="JLD19" s="110"/>
      <c r="JLE19" s="110"/>
      <c r="JLF19" s="110"/>
      <c r="JLG19" s="110"/>
      <c r="JLH19" s="110"/>
      <c r="JLI19" s="110"/>
      <c r="JLJ19" s="110"/>
      <c r="JLK19" s="110"/>
      <c r="JLL19" s="110"/>
      <c r="JLM19" s="110"/>
      <c r="JLN19" s="110"/>
      <c r="JLO19" s="110"/>
      <c r="JLP19" s="110"/>
      <c r="JLQ19" s="110"/>
      <c r="JLR19" s="110"/>
      <c r="JLS19" s="110"/>
      <c r="JLT19" s="110"/>
      <c r="JLU19" s="110"/>
      <c r="JLV19" s="110"/>
      <c r="JLW19" s="110"/>
      <c r="JLX19" s="110"/>
      <c r="JLY19" s="110"/>
      <c r="JLZ19" s="110"/>
      <c r="JMA19" s="110"/>
      <c r="JMB19" s="110"/>
      <c r="JMC19" s="110"/>
      <c r="JMD19" s="110"/>
      <c r="JME19" s="110"/>
      <c r="JMF19" s="110"/>
      <c r="JMG19" s="110"/>
      <c r="JMH19" s="110"/>
      <c r="JMI19" s="110"/>
      <c r="JMJ19" s="110"/>
      <c r="JMK19" s="110"/>
      <c r="JML19" s="110"/>
      <c r="JMM19" s="110"/>
      <c r="JMN19" s="110"/>
      <c r="JMO19" s="110"/>
      <c r="JMP19" s="110"/>
      <c r="JMQ19" s="110"/>
      <c r="JMR19" s="110"/>
      <c r="JMS19" s="110"/>
      <c r="JMT19" s="110"/>
      <c r="JMU19" s="110"/>
      <c r="JMV19" s="110"/>
      <c r="JMW19" s="110"/>
      <c r="JMX19" s="110"/>
      <c r="JMY19" s="110"/>
      <c r="JMZ19" s="110"/>
      <c r="JNA19" s="110"/>
      <c r="JNB19" s="110"/>
      <c r="JNC19" s="110"/>
      <c r="JND19" s="110"/>
      <c r="JNE19" s="110"/>
      <c r="JNF19" s="110"/>
      <c r="JNG19" s="110"/>
      <c r="JNH19" s="110"/>
      <c r="JNI19" s="110"/>
      <c r="JNJ19" s="110"/>
      <c r="JNK19" s="110"/>
      <c r="JNL19" s="110"/>
      <c r="JNM19" s="110"/>
      <c r="JNN19" s="110"/>
      <c r="JNO19" s="110"/>
      <c r="JNP19" s="110"/>
      <c r="JNQ19" s="110"/>
      <c r="JNR19" s="110"/>
      <c r="JNS19" s="110"/>
      <c r="JNT19" s="110"/>
      <c r="JNU19" s="110"/>
      <c r="JNV19" s="110"/>
      <c r="JNW19" s="110"/>
      <c r="JNX19" s="110"/>
      <c r="JNY19" s="110"/>
      <c r="JNZ19" s="110"/>
      <c r="JOA19" s="110"/>
      <c r="JOB19" s="110"/>
      <c r="JOC19" s="110"/>
      <c r="JOD19" s="110"/>
      <c r="JOE19" s="110"/>
      <c r="JOF19" s="110"/>
      <c r="JOG19" s="110"/>
      <c r="JOH19" s="110"/>
      <c r="JOI19" s="110"/>
      <c r="JOJ19" s="110"/>
      <c r="JOK19" s="110"/>
      <c r="JOL19" s="110"/>
      <c r="JOM19" s="110"/>
      <c r="JON19" s="110"/>
      <c r="JOO19" s="110"/>
      <c r="JOP19" s="110"/>
      <c r="JOQ19" s="110"/>
      <c r="JOR19" s="110"/>
      <c r="JOS19" s="110"/>
      <c r="JOT19" s="110"/>
      <c r="JOU19" s="110"/>
      <c r="JOV19" s="110"/>
      <c r="JOW19" s="110"/>
      <c r="JOX19" s="110"/>
      <c r="JOY19" s="110"/>
      <c r="JOZ19" s="110"/>
      <c r="JPA19" s="110"/>
      <c r="JPB19" s="110"/>
      <c r="JPC19" s="110"/>
      <c r="JPD19" s="110"/>
      <c r="JPE19" s="110"/>
      <c r="JPF19" s="110"/>
      <c r="JPG19" s="110"/>
      <c r="JPH19" s="110"/>
      <c r="JPI19" s="110"/>
      <c r="JPJ19" s="110"/>
      <c r="JPK19" s="110"/>
      <c r="JPL19" s="110"/>
      <c r="JPM19" s="110"/>
      <c r="JPN19" s="110"/>
      <c r="JPO19" s="110"/>
      <c r="JPP19" s="110"/>
      <c r="JPQ19" s="110"/>
      <c r="JPR19" s="110"/>
      <c r="JPS19" s="110"/>
      <c r="JPT19" s="110"/>
      <c r="JPU19" s="110"/>
      <c r="JPV19" s="110"/>
      <c r="JPW19" s="110"/>
      <c r="JPX19" s="110"/>
      <c r="JPY19" s="110"/>
      <c r="JPZ19" s="110"/>
      <c r="JQA19" s="110"/>
      <c r="JQB19" s="110"/>
      <c r="JQC19" s="110"/>
      <c r="JQD19" s="110"/>
      <c r="JQE19" s="110"/>
      <c r="JQF19" s="110"/>
      <c r="JQG19" s="110"/>
      <c r="JQH19" s="110"/>
      <c r="JQI19" s="110"/>
      <c r="JQJ19" s="110"/>
      <c r="JQK19" s="110"/>
      <c r="JQL19" s="110"/>
      <c r="JQM19" s="110"/>
      <c r="JQN19" s="110"/>
      <c r="JQO19" s="110"/>
      <c r="JQP19" s="110"/>
      <c r="JQQ19" s="110"/>
      <c r="JQR19" s="110"/>
      <c r="JQS19" s="110"/>
      <c r="JQT19" s="110"/>
      <c r="JQU19" s="110"/>
      <c r="JQV19" s="110"/>
      <c r="JQW19" s="110"/>
      <c r="JQX19" s="110"/>
      <c r="JQY19" s="110"/>
      <c r="JQZ19" s="110"/>
      <c r="JRA19" s="110"/>
      <c r="JRB19" s="110"/>
      <c r="JRC19" s="110"/>
      <c r="JRD19" s="110"/>
      <c r="JRE19" s="110"/>
      <c r="JRF19" s="110"/>
      <c r="JRG19" s="110"/>
      <c r="JRH19" s="110"/>
      <c r="JRI19" s="110"/>
      <c r="JRJ19" s="110"/>
      <c r="JRK19" s="110"/>
      <c r="JRL19" s="110"/>
      <c r="JRM19" s="110"/>
      <c r="JRN19" s="110"/>
      <c r="JRO19" s="110"/>
      <c r="JRP19" s="110"/>
      <c r="JRQ19" s="110"/>
      <c r="JRR19" s="110"/>
      <c r="JRS19" s="110"/>
      <c r="JRT19" s="110"/>
      <c r="JRU19" s="110"/>
      <c r="JRV19" s="110"/>
      <c r="JRW19" s="110"/>
      <c r="JRX19" s="110"/>
      <c r="JRY19" s="110"/>
      <c r="JRZ19" s="110"/>
      <c r="JSA19" s="110"/>
      <c r="JSB19" s="110"/>
      <c r="JSC19" s="110"/>
      <c r="JSD19" s="110"/>
      <c r="JSE19" s="110"/>
      <c r="JSF19" s="110"/>
      <c r="JSG19" s="110"/>
      <c r="JSH19" s="110"/>
      <c r="JSI19" s="110"/>
      <c r="JSJ19" s="110"/>
      <c r="JSK19" s="110"/>
      <c r="JSL19" s="110"/>
      <c r="JSM19" s="110"/>
      <c r="JSN19" s="110"/>
      <c r="JSO19" s="110"/>
      <c r="JSP19" s="110"/>
      <c r="JSQ19" s="110"/>
      <c r="JSR19" s="110"/>
      <c r="JSS19" s="110"/>
      <c r="JST19" s="110"/>
      <c r="JSU19" s="110"/>
      <c r="JSV19" s="110"/>
      <c r="JSW19" s="110"/>
      <c r="JSX19" s="110"/>
      <c r="JSY19" s="110"/>
      <c r="JSZ19" s="110"/>
      <c r="JTA19" s="110"/>
      <c r="JTB19" s="110"/>
      <c r="JTC19" s="110"/>
      <c r="JTD19" s="110"/>
      <c r="JTE19" s="110"/>
      <c r="JTF19" s="110"/>
      <c r="JTG19" s="110"/>
      <c r="JTH19" s="110"/>
      <c r="JTI19" s="110"/>
      <c r="JTJ19" s="110"/>
      <c r="JTK19" s="110"/>
      <c r="JTL19" s="110"/>
      <c r="JTM19" s="110"/>
      <c r="JTN19" s="110"/>
      <c r="JTO19" s="110"/>
      <c r="JTP19" s="110"/>
      <c r="JTQ19" s="110"/>
      <c r="JTR19" s="110"/>
      <c r="JTS19" s="110"/>
      <c r="JTT19" s="110"/>
      <c r="JTU19" s="110"/>
      <c r="JTV19" s="110"/>
      <c r="JTW19" s="110"/>
      <c r="JTX19" s="110"/>
      <c r="JTY19" s="110"/>
      <c r="JTZ19" s="110"/>
      <c r="JUA19" s="110"/>
      <c r="JUB19" s="110"/>
      <c r="JUC19" s="110"/>
      <c r="JUD19" s="110"/>
      <c r="JUE19" s="110"/>
      <c r="JUF19" s="110"/>
      <c r="JUG19" s="110"/>
      <c r="JUH19" s="110"/>
      <c r="JUI19" s="110"/>
      <c r="JUJ19" s="110"/>
      <c r="JUK19" s="110"/>
      <c r="JUL19" s="110"/>
      <c r="JUM19" s="110"/>
      <c r="JUN19" s="110"/>
      <c r="JUO19" s="110"/>
      <c r="JUP19" s="110"/>
      <c r="JUQ19" s="110"/>
      <c r="JUR19" s="110"/>
      <c r="JUS19" s="110"/>
      <c r="JUT19" s="110"/>
      <c r="JUU19" s="110"/>
      <c r="JUV19" s="110"/>
      <c r="JUW19" s="110"/>
      <c r="JUX19" s="110"/>
      <c r="JUY19" s="110"/>
      <c r="JUZ19" s="110"/>
      <c r="JVA19" s="110"/>
      <c r="JVB19" s="110"/>
      <c r="JVC19" s="110"/>
      <c r="JVD19" s="110"/>
      <c r="JVE19" s="110"/>
      <c r="JVF19" s="110"/>
      <c r="JVG19" s="110"/>
      <c r="JVH19" s="110"/>
      <c r="JVI19" s="110"/>
      <c r="JVJ19" s="110"/>
      <c r="JVK19" s="110"/>
      <c r="JVL19" s="110"/>
      <c r="JVM19" s="110"/>
      <c r="JVN19" s="110"/>
      <c r="JVO19" s="110"/>
      <c r="JVP19" s="110"/>
      <c r="JVQ19" s="110"/>
      <c r="JVR19" s="110"/>
      <c r="JVS19" s="110"/>
      <c r="JVT19" s="110"/>
      <c r="JVU19" s="110"/>
      <c r="JVV19" s="110"/>
      <c r="JVW19" s="110"/>
      <c r="JVX19" s="110"/>
      <c r="JVY19" s="110"/>
      <c r="JVZ19" s="110"/>
      <c r="JWA19" s="110"/>
      <c r="JWB19" s="110"/>
      <c r="JWC19" s="110"/>
      <c r="JWD19" s="110"/>
      <c r="JWE19" s="110"/>
      <c r="JWF19" s="110"/>
      <c r="JWG19" s="110"/>
      <c r="JWH19" s="110"/>
      <c r="JWI19" s="110"/>
      <c r="JWJ19" s="110"/>
      <c r="JWK19" s="110"/>
      <c r="JWL19" s="110"/>
      <c r="JWM19" s="110"/>
      <c r="JWN19" s="110"/>
      <c r="JWO19" s="110"/>
      <c r="JWP19" s="110"/>
      <c r="JWQ19" s="110"/>
      <c r="JWR19" s="110"/>
      <c r="JWS19" s="110"/>
      <c r="JWT19" s="110"/>
      <c r="JWU19" s="110"/>
      <c r="JWV19" s="110"/>
      <c r="JWW19" s="110"/>
      <c r="JWX19" s="110"/>
      <c r="JWY19" s="110"/>
      <c r="JWZ19" s="110"/>
      <c r="JXA19" s="110"/>
      <c r="JXB19" s="110"/>
      <c r="JXC19" s="110"/>
      <c r="JXD19" s="110"/>
      <c r="JXE19" s="110"/>
      <c r="JXF19" s="110"/>
      <c r="JXG19" s="110"/>
      <c r="JXH19" s="110"/>
      <c r="JXI19" s="110"/>
      <c r="JXJ19" s="110"/>
      <c r="JXK19" s="110"/>
      <c r="JXL19" s="110"/>
      <c r="JXM19" s="110"/>
      <c r="JXN19" s="110"/>
      <c r="JXO19" s="110"/>
      <c r="JXP19" s="110"/>
      <c r="JXQ19" s="110"/>
      <c r="JXR19" s="110"/>
      <c r="JXS19" s="110"/>
      <c r="JXT19" s="110"/>
      <c r="JXU19" s="110"/>
      <c r="JXV19" s="110"/>
      <c r="JXW19" s="110"/>
      <c r="JXX19" s="110"/>
      <c r="JXY19" s="110"/>
      <c r="JXZ19" s="110"/>
      <c r="JYA19" s="110"/>
      <c r="JYB19" s="110"/>
      <c r="JYC19" s="110"/>
      <c r="JYD19" s="110"/>
      <c r="JYE19" s="110"/>
      <c r="JYF19" s="110"/>
      <c r="JYG19" s="110"/>
      <c r="JYH19" s="110"/>
      <c r="JYI19" s="110"/>
      <c r="JYJ19" s="110"/>
      <c r="JYK19" s="110"/>
      <c r="JYL19" s="110"/>
      <c r="JYM19" s="110"/>
      <c r="JYN19" s="110"/>
      <c r="JYO19" s="110"/>
      <c r="JYP19" s="110"/>
      <c r="JYQ19" s="110"/>
      <c r="JYR19" s="110"/>
      <c r="JYS19" s="110"/>
      <c r="JYT19" s="110"/>
      <c r="JYU19" s="110"/>
      <c r="JYV19" s="110"/>
      <c r="JYW19" s="110"/>
      <c r="JYX19" s="110"/>
      <c r="JYY19" s="110"/>
      <c r="JYZ19" s="110"/>
      <c r="JZA19" s="110"/>
      <c r="JZB19" s="110"/>
      <c r="JZC19" s="110"/>
      <c r="JZD19" s="110"/>
      <c r="JZE19" s="110"/>
      <c r="JZF19" s="110"/>
      <c r="JZG19" s="110"/>
      <c r="JZH19" s="110"/>
      <c r="JZI19" s="110"/>
      <c r="JZJ19" s="110"/>
      <c r="JZK19" s="110"/>
      <c r="JZL19" s="110"/>
      <c r="JZM19" s="110"/>
      <c r="JZN19" s="110"/>
      <c r="JZO19" s="110"/>
      <c r="JZP19" s="110"/>
      <c r="JZQ19" s="110"/>
      <c r="JZR19" s="110"/>
      <c r="JZS19" s="110"/>
      <c r="JZT19" s="110"/>
      <c r="JZU19" s="110"/>
      <c r="JZV19" s="110"/>
      <c r="JZW19" s="110"/>
      <c r="JZX19" s="110"/>
      <c r="JZY19" s="110"/>
      <c r="JZZ19" s="110"/>
      <c r="KAA19" s="110"/>
      <c r="KAB19" s="110"/>
      <c r="KAC19" s="110"/>
      <c r="KAD19" s="110"/>
      <c r="KAE19" s="110"/>
      <c r="KAF19" s="110"/>
      <c r="KAG19" s="110"/>
      <c r="KAH19" s="110"/>
      <c r="KAI19" s="110"/>
      <c r="KAJ19" s="110"/>
      <c r="KAK19" s="110"/>
      <c r="KAL19" s="110"/>
      <c r="KAM19" s="110"/>
      <c r="KAN19" s="110"/>
      <c r="KAO19" s="110"/>
      <c r="KAP19" s="110"/>
      <c r="KAQ19" s="110"/>
      <c r="KAR19" s="110"/>
      <c r="KAS19" s="110"/>
      <c r="KAT19" s="110"/>
      <c r="KAU19" s="110"/>
      <c r="KAV19" s="110"/>
      <c r="KAW19" s="110"/>
      <c r="KAX19" s="110"/>
      <c r="KAY19" s="110"/>
      <c r="KAZ19" s="110"/>
      <c r="KBA19" s="110"/>
      <c r="KBB19" s="110"/>
      <c r="KBC19" s="110"/>
      <c r="KBD19" s="110"/>
      <c r="KBE19" s="110"/>
      <c r="KBF19" s="110"/>
      <c r="KBG19" s="110"/>
      <c r="KBH19" s="110"/>
      <c r="KBI19" s="110"/>
      <c r="KBJ19" s="110"/>
      <c r="KBK19" s="110"/>
      <c r="KBL19" s="110"/>
      <c r="KBM19" s="110"/>
      <c r="KBN19" s="110"/>
      <c r="KBO19" s="110"/>
      <c r="KBP19" s="110"/>
      <c r="KBQ19" s="110"/>
      <c r="KBR19" s="110"/>
      <c r="KBS19" s="110"/>
      <c r="KBT19" s="110"/>
      <c r="KBU19" s="110"/>
      <c r="KBV19" s="110"/>
      <c r="KBW19" s="110"/>
      <c r="KBX19" s="110"/>
      <c r="KBY19" s="110"/>
      <c r="KBZ19" s="110"/>
      <c r="KCA19" s="110"/>
      <c r="KCB19" s="110"/>
      <c r="KCC19" s="110"/>
      <c r="KCD19" s="110"/>
      <c r="KCE19" s="110"/>
      <c r="KCF19" s="110"/>
      <c r="KCG19" s="110"/>
      <c r="KCH19" s="110"/>
      <c r="KCI19" s="110"/>
      <c r="KCJ19" s="110"/>
      <c r="KCK19" s="110"/>
      <c r="KCL19" s="110"/>
      <c r="KCM19" s="110"/>
      <c r="KCN19" s="110"/>
      <c r="KCO19" s="110"/>
      <c r="KCP19" s="110"/>
      <c r="KCQ19" s="110"/>
      <c r="KCR19" s="110"/>
      <c r="KCS19" s="110"/>
      <c r="KCT19" s="110"/>
      <c r="KCU19" s="110"/>
      <c r="KCV19" s="110"/>
      <c r="KCW19" s="110"/>
      <c r="KCX19" s="110"/>
      <c r="KCY19" s="110"/>
      <c r="KCZ19" s="110"/>
      <c r="KDA19" s="110"/>
      <c r="KDB19" s="110"/>
      <c r="KDC19" s="110"/>
      <c r="KDD19" s="110"/>
      <c r="KDE19" s="110"/>
      <c r="KDF19" s="110"/>
      <c r="KDG19" s="110"/>
      <c r="KDH19" s="110"/>
      <c r="KDI19" s="110"/>
      <c r="KDJ19" s="110"/>
      <c r="KDK19" s="110"/>
      <c r="KDL19" s="110"/>
      <c r="KDM19" s="110"/>
      <c r="KDN19" s="110"/>
      <c r="KDO19" s="110"/>
      <c r="KDP19" s="110"/>
      <c r="KDQ19" s="110"/>
      <c r="KDR19" s="110"/>
      <c r="KDS19" s="110"/>
      <c r="KDT19" s="110"/>
      <c r="KDU19" s="110"/>
      <c r="KDV19" s="110"/>
      <c r="KDW19" s="110"/>
      <c r="KDX19" s="110"/>
      <c r="KDY19" s="110"/>
      <c r="KDZ19" s="110"/>
      <c r="KEA19" s="110"/>
      <c r="KEB19" s="110"/>
      <c r="KEC19" s="110"/>
      <c r="KED19" s="110"/>
      <c r="KEE19" s="110"/>
      <c r="KEF19" s="110"/>
      <c r="KEG19" s="110"/>
      <c r="KEH19" s="110"/>
      <c r="KEI19" s="110"/>
      <c r="KEJ19" s="110"/>
      <c r="KEK19" s="110"/>
      <c r="KEL19" s="110"/>
      <c r="KEM19" s="110"/>
      <c r="KEN19" s="110"/>
      <c r="KEO19" s="110"/>
      <c r="KEP19" s="110"/>
      <c r="KEQ19" s="110"/>
      <c r="KER19" s="110"/>
      <c r="KES19" s="110"/>
      <c r="KET19" s="110"/>
      <c r="KEU19" s="110"/>
      <c r="KEV19" s="110"/>
      <c r="KEW19" s="110"/>
      <c r="KEX19" s="110"/>
      <c r="KEY19" s="110"/>
      <c r="KEZ19" s="110"/>
      <c r="KFA19" s="110"/>
      <c r="KFB19" s="110"/>
      <c r="KFC19" s="110"/>
      <c r="KFD19" s="110"/>
      <c r="KFE19" s="110"/>
      <c r="KFF19" s="110"/>
      <c r="KFG19" s="110"/>
      <c r="KFH19" s="110"/>
      <c r="KFI19" s="110"/>
      <c r="KFJ19" s="110"/>
      <c r="KFK19" s="110"/>
      <c r="KFL19" s="110"/>
      <c r="KFM19" s="110"/>
      <c r="KFN19" s="110"/>
      <c r="KFO19" s="110"/>
      <c r="KFP19" s="110"/>
      <c r="KFQ19" s="110"/>
      <c r="KFR19" s="110"/>
      <c r="KFS19" s="110"/>
      <c r="KFT19" s="110"/>
      <c r="KFU19" s="110"/>
      <c r="KFV19" s="110"/>
      <c r="KFW19" s="110"/>
      <c r="KFX19" s="110"/>
      <c r="KFY19" s="110"/>
      <c r="KFZ19" s="110"/>
      <c r="KGA19" s="110"/>
      <c r="KGB19" s="110"/>
      <c r="KGC19" s="110"/>
      <c r="KGD19" s="110"/>
      <c r="KGE19" s="110"/>
      <c r="KGF19" s="110"/>
      <c r="KGG19" s="110"/>
      <c r="KGH19" s="110"/>
      <c r="KGI19" s="110"/>
      <c r="KGJ19" s="110"/>
      <c r="KGK19" s="110"/>
      <c r="KGL19" s="110"/>
      <c r="KGM19" s="110"/>
      <c r="KGN19" s="110"/>
      <c r="KGO19" s="110"/>
      <c r="KGP19" s="110"/>
      <c r="KGQ19" s="110"/>
      <c r="KGR19" s="110"/>
      <c r="KGS19" s="110"/>
      <c r="KGT19" s="110"/>
      <c r="KGU19" s="110"/>
      <c r="KGV19" s="110"/>
      <c r="KGW19" s="110"/>
      <c r="KGX19" s="110"/>
      <c r="KGY19" s="110"/>
      <c r="KGZ19" s="110"/>
      <c r="KHA19" s="110"/>
      <c r="KHB19" s="110"/>
      <c r="KHC19" s="110"/>
      <c r="KHD19" s="110"/>
      <c r="KHE19" s="110"/>
      <c r="KHF19" s="110"/>
      <c r="KHG19" s="110"/>
      <c r="KHH19" s="110"/>
      <c r="KHI19" s="110"/>
      <c r="KHJ19" s="110"/>
      <c r="KHK19" s="110"/>
      <c r="KHL19" s="110"/>
      <c r="KHM19" s="110"/>
      <c r="KHN19" s="110"/>
      <c r="KHO19" s="110"/>
      <c r="KHP19" s="110"/>
      <c r="KHQ19" s="110"/>
      <c r="KHR19" s="110"/>
      <c r="KHS19" s="110"/>
      <c r="KHT19" s="110"/>
      <c r="KHU19" s="110"/>
      <c r="KHV19" s="110"/>
      <c r="KHW19" s="110"/>
      <c r="KHX19" s="110"/>
      <c r="KHY19" s="110"/>
      <c r="KHZ19" s="110"/>
      <c r="KIA19" s="110"/>
      <c r="KIB19" s="110"/>
      <c r="KIC19" s="110"/>
      <c r="KID19" s="110"/>
      <c r="KIE19" s="110"/>
      <c r="KIF19" s="110"/>
      <c r="KIG19" s="110"/>
      <c r="KIH19" s="110"/>
      <c r="KII19" s="110"/>
      <c r="KIJ19" s="110"/>
      <c r="KIK19" s="110"/>
      <c r="KIL19" s="110"/>
      <c r="KIM19" s="110"/>
      <c r="KIN19" s="110"/>
      <c r="KIO19" s="110"/>
      <c r="KIP19" s="110"/>
      <c r="KIQ19" s="110"/>
      <c r="KIR19" s="110"/>
      <c r="KIS19" s="110"/>
      <c r="KIT19" s="110"/>
      <c r="KIU19" s="110"/>
      <c r="KIV19" s="110"/>
      <c r="KIW19" s="110"/>
      <c r="KIX19" s="110"/>
      <c r="KIY19" s="110"/>
      <c r="KIZ19" s="110"/>
      <c r="KJA19" s="110"/>
      <c r="KJB19" s="110"/>
      <c r="KJC19" s="110"/>
      <c r="KJD19" s="110"/>
      <c r="KJE19" s="110"/>
      <c r="KJF19" s="110"/>
      <c r="KJG19" s="110"/>
      <c r="KJH19" s="110"/>
      <c r="KJI19" s="110"/>
      <c r="KJJ19" s="110"/>
      <c r="KJK19" s="110"/>
      <c r="KJL19" s="110"/>
      <c r="KJM19" s="110"/>
      <c r="KJN19" s="110"/>
      <c r="KJO19" s="110"/>
      <c r="KJP19" s="110"/>
      <c r="KJQ19" s="110"/>
      <c r="KJR19" s="110"/>
      <c r="KJS19" s="110"/>
      <c r="KJT19" s="110"/>
      <c r="KJU19" s="110"/>
      <c r="KJV19" s="110"/>
      <c r="KJW19" s="110"/>
      <c r="KJX19" s="110"/>
      <c r="KJY19" s="110"/>
      <c r="KJZ19" s="110"/>
      <c r="KKA19" s="110"/>
      <c r="KKB19" s="110"/>
      <c r="KKC19" s="110"/>
      <c r="KKD19" s="110"/>
      <c r="KKE19" s="110"/>
      <c r="KKF19" s="110"/>
      <c r="KKG19" s="110"/>
      <c r="KKH19" s="110"/>
      <c r="KKI19" s="110"/>
      <c r="KKJ19" s="110"/>
      <c r="KKK19" s="110"/>
      <c r="KKL19" s="110"/>
      <c r="KKM19" s="110"/>
      <c r="KKN19" s="110"/>
      <c r="KKO19" s="110"/>
      <c r="KKP19" s="110"/>
      <c r="KKQ19" s="110"/>
      <c r="KKR19" s="110"/>
      <c r="KKS19" s="110"/>
      <c r="KKT19" s="110"/>
      <c r="KKU19" s="110"/>
      <c r="KKV19" s="110"/>
      <c r="KKW19" s="110"/>
      <c r="KKX19" s="110"/>
      <c r="KKY19" s="110"/>
      <c r="KKZ19" s="110"/>
      <c r="KLA19" s="110"/>
      <c r="KLB19" s="110"/>
      <c r="KLC19" s="110"/>
      <c r="KLD19" s="110"/>
      <c r="KLE19" s="110"/>
      <c r="KLF19" s="110"/>
      <c r="KLG19" s="110"/>
      <c r="KLH19" s="110"/>
      <c r="KLI19" s="110"/>
      <c r="KLJ19" s="110"/>
      <c r="KLK19" s="110"/>
      <c r="KLL19" s="110"/>
      <c r="KLM19" s="110"/>
      <c r="KLN19" s="110"/>
      <c r="KLO19" s="110"/>
      <c r="KLP19" s="110"/>
      <c r="KLQ19" s="110"/>
      <c r="KLR19" s="110"/>
      <c r="KLS19" s="110"/>
      <c r="KLT19" s="110"/>
      <c r="KLU19" s="110"/>
      <c r="KLV19" s="110"/>
      <c r="KLW19" s="110"/>
      <c r="KLX19" s="110"/>
      <c r="KLY19" s="110"/>
      <c r="KLZ19" s="110"/>
      <c r="KMA19" s="110"/>
      <c r="KMB19" s="110"/>
      <c r="KMC19" s="110"/>
      <c r="KMD19" s="110"/>
      <c r="KME19" s="110"/>
      <c r="KMF19" s="110"/>
      <c r="KMG19" s="110"/>
      <c r="KMH19" s="110"/>
      <c r="KMI19" s="110"/>
      <c r="KMJ19" s="110"/>
      <c r="KMK19" s="110"/>
      <c r="KML19" s="110"/>
      <c r="KMM19" s="110"/>
      <c r="KMN19" s="110"/>
      <c r="KMO19" s="110"/>
      <c r="KMP19" s="110"/>
      <c r="KMQ19" s="110"/>
      <c r="KMR19" s="110"/>
      <c r="KMS19" s="110"/>
      <c r="KMT19" s="110"/>
      <c r="KMU19" s="110"/>
      <c r="KMV19" s="110"/>
      <c r="KMW19" s="110"/>
      <c r="KMX19" s="110"/>
      <c r="KMY19" s="110"/>
      <c r="KMZ19" s="110"/>
      <c r="KNA19" s="110"/>
      <c r="KNB19" s="110"/>
      <c r="KNC19" s="110"/>
      <c r="KND19" s="110"/>
      <c r="KNE19" s="110"/>
      <c r="KNF19" s="110"/>
      <c r="KNG19" s="110"/>
      <c r="KNH19" s="110"/>
      <c r="KNI19" s="110"/>
      <c r="KNJ19" s="110"/>
      <c r="KNK19" s="110"/>
      <c r="KNL19" s="110"/>
      <c r="KNM19" s="110"/>
      <c r="KNN19" s="110"/>
      <c r="KNO19" s="110"/>
      <c r="KNP19" s="110"/>
      <c r="KNQ19" s="110"/>
      <c r="KNR19" s="110"/>
      <c r="KNS19" s="110"/>
      <c r="KNT19" s="110"/>
      <c r="KNU19" s="110"/>
      <c r="KNV19" s="110"/>
      <c r="KNW19" s="110"/>
      <c r="KNX19" s="110"/>
      <c r="KNY19" s="110"/>
      <c r="KNZ19" s="110"/>
      <c r="KOA19" s="110"/>
      <c r="KOB19" s="110"/>
      <c r="KOC19" s="110"/>
      <c r="KOD19" s="110"/>
      <c r="KOE19" s="110"/>
      <c r="KOF19" s="110"/>
      <c r="KOG19" s="110"/>
      <c r="KOH19" s="110"/>
      <c r="KOI19" s="110"/>
      <c r="KOJ19" s="110"/>
      <c r="KOK19" s="110"/>
      <c r="KOL19" s="110"/>
      <c r="KOM19" s="110"/>
      <c r="KON19" s="110"/>
      <c r="KOO19" s="110"/>
      <c r="KOP19" s="110"/>
      <c r="KOQ19" s="110"/>
      <c r="KOR19" s="110"/>
      <c r="KOS19" s="110"/>
      <c r="KOT19" s="110"/>
      <c r="KOU19" s="110"/>
      <c r="KOV19" s="110"/>
      <c r="KOW19" s="110"/>
      <c r="KOX19" s="110"/>
      <c r="KOY19" s="110"/>
      <c r="KOZ19" s="110"/>
      <c r="KPA19" s="110"/>
      <c r="KPB19" s="110"/>
      <c r="KPC19" s="110"/>
      <c r="KPD19" s="110"/>
      <c r="KPE19" s="110"/>
      <c r="KPF19" s="110"/>
      <c r="KPG19" s="110"/>
      <c r="KPH19" s="110"/>
      <c r="KPI19" s="110"/>
      <c r="KPJ19" s="110"/>
      <c r="KPK19" s="110"/>
      <c r="KPL19" s="110"/>
      <c r="KPM19" s="110"/>
      <c r="KPN19" s="110"/>
      <c r="KPO19" s="110"/>
      <c r="KPP19" s="110"/>
      <c r="KPQ19" s="110"/>
      <c r="KPR19" s="110"/>
      <c r="KPS19" s="110"/>
      <c r="KPT19" s="110"/>
      <c r="KPU19" s="110"/>
      <c r="KPV19" s="110"/>
      <c r="KPW19" s="110"/>
      <c r="KPX19" s="110"/>
      <c r="KPY19" s="110"/>
      <c r="KPZ19" s="110"/>
      <c r="KQA19" s="110"/>
      <c r="KQB19" s="110"/>
      <c r="KQC19" s="110"/>
      <c r="KQD19" s="110"/>
      <c r="KQE19" s="110"/>
      <c r="KQF19" s="110"/>
      <c r="KQG19" s="110"/>
      <c r="KQH19" s="110"/>
      <c r="KQI19" s="110"/>
      <c r="KQJ19" s="110"/>
      <c r="KQK19" s="110"/>
      <c r="KQL19" s="110"/>
      <c r="KQM19" s="110"/>
      <c r="KQN19" s="110"/>
      <c r="KQO19" s="110"/>
      <c r="KQP19" s="110"/>
      <c r="KQQ19" s="110"/>
      <c r="KQR19" s="110"/>
      <c r="KQS19" s="110"/>
      <c r="KQT19" s="110"/>
      <c r="KQU19" s="110"/>
      <c r="KQV19" s="110"/>
      <c r="KQW19" s="110"/>
      <c r="KQX19" s="110"/>
      <c r="KQY19" s="110"/>
      <c r="KQZ19" s="110"/>
      <c r="KRA19" s="110"/>
      <c r="KRB19" s="110"/>
      <c r="KRC19" s="110"/>
      <c r="KRD19" s="110"/>
      <c r="KRE19" s="110"/>
      <c r="KRF19" s="110"/>
      <c r="KRG19" s="110"/>
      <c r="KRH19" s="110"/>
      <c r="KRI19" s="110"/>
      <c r="KRJ19" s="110"/>
      <c r="KRK19" s="110"/>
      <c r="KRL19" s="110"/>
      <c r="KRM19" s="110"/>
      <c r="KRN19" s="110"/>
      <c r="KRO19" s="110"/>
      <c r="KRP19" s="110"/>
      <c r="KRQ19" s="110"/>
      <c r="KRR19" s="110"/>
      <c r="KRS19" s="110"/>
      <c r="KRT19" s="110"/>
      <c r="KRU19" s="110"/>
      <c r="KRV19" s="110"/>
      <c r="KRW19" s="110"/>
      <c r="KRX19" s="110"/>
      <c r="KRY19" s="110"/>
      <c r="KRZ19" s="110"/>
      <c r="KSA19" s="110"/>
      <c r="KSB19" s="110"/>
      <c r="KSC19" s="110"/>
      <c r="KSD19" s="110"/>
      <c r="KSE19" s="110"/>
      <c r="KSF19" s="110"/>
      <c r="KSG19" s="110"/>
      <c r="KSH19" s="110"/>
      <c r="KSI19" s="110"/>
      <c r="KSJ19" s="110"/>
      <c r="KSK19" s="110"/>
      <c r="KSL19" s="110"/>
      <c r="KSM19" s="110"/>
      <c r="KSN19" s="110"/>
      <c r="KSO19" s="110"/>
      <c r="KSP19" s="110"/>
      <c r="KSQ19" s="110"/>
      <c r="KSR19" s="110"/>
      <c r="KSS19" s="110"/>
      <c r="KST19" s="110"/>
      <c r="KSU19" s="110"/>
      <c r="KSV19" s="110"/>
      <c r="KSW19" s="110"/>
      <c r="KSX19" s="110"/>
      <c r="KSY19" s="110"/>
      <c r="KSZ19" s="110"/>
      <c r="KTA19" s="110"/>
      <c r="KTB19" s="110"/>
      <c r="KTC19" s="110"/>
      <c r="KTD19" s="110"/>
      <c r="KTE19" s="110"/>
      <c r="KTF19" s="110"/>
      <c r="KTG19" s="110"/>
      <c r="KTH19" s="110"/>
      <c r="KTI19" s="110"/>
      <c r="KTJ19" s="110"/>
      <c r="KTK19" s="110"/>
      <c r="KTL19" s="110"/>
      <c r="KTM19" s="110"/>
      <c r="KTN19" s="110"/>
      <c r="KTO19" s="110"/>
      <c r="KTP19" s="110"/>
      <c r="KTQ19" s="110"/>
      <c r="KTR19" s="110"/>
      <c r="KTS19" s="110"/>
      <c r="KTT19" s="110"/>
      <c r="KTU19" s="110"/>
      <c r="KTV19" s="110"/>
      <c r="KTW19" s="110"/>
      <c r="KTX19" s="110"/>
      <c r="KTY19" s="110"/>
      <c r="KTZ19" s="110"/>
      <c r="KUA19" s="110"/>
      <c r="KUB19" s="110"/>
      <c r="KUC19" s="110"/>
      <c r="KUD19" s="110"/>
      <c r="KUE19" s="110"/>
      <c r="KUF19" s="110"/>
      <c r="KUG19" s="110"/>
      <c r="KUH19" s="110"/>
      <c r="KUI19" s="110"/>
      <c r="KUJ19" s="110"/>
      <c r="KUK19" s="110"/>
      <c r="KUL19" s="110"/>
      <c r="KUM19" s="110"/>
      <c r="KUN19" s="110"/>
      <c r="KUO19" s="110"/>
      <c r="KUP19" s="110"/>
      <c r="KUQ19" s="110"/>
      <c r="KUR19" s="110"/>
      <c r="KUS19" s="110"/>
      <c r="KUT19" s="110"/>
      <c r="KUU19" s="110"/>
      <c r="KUV19" s="110"/>
      <c r="KUW19" s="110"/>
      <c r="KUX19" s="110"/>
      <c r="KUY19" s="110"/>
      <c r="KUZ19" s="110"/>
      <c r="KVA19" s="110"/>
      <c r="KVB19" s="110"/>
      <c r="KVC19" s="110"/>
      <c r="KVD19" s="110"/>
      <c r="KVE19" s="110"/>
      <c r="KVF19" s="110"/>
      <c r="KVG19" s="110"/>
      <c r="KVH19" s="110"/>
      <c r="KVI19" s="110"/>
      <c r="KVJ19" s="110"/>
      <c r="KVK19" s="110"/>
      <c r="KVL19" s="110"/>
      <c r="KVM19" s="110"/>
      <c r="KVN19" s="110"/>
      <c r="KVO19" s="110"/>
      <c r="KVP19" s="110"/>
      <c r="KVQ19" s="110"/>
      <c r="KVR19" s="110"/>
      <c r="KVS19" s="110"/>
      <c r="KVT19" s="110"/>
      <c r="KVU19" s="110"/>
      <c r="KVV19" s="110"/>
      <c r="KVW19" s="110"/>
      <c r="KVX19" s="110"/>
      <c r="KVY19" s="110"/>
      <c r="KVZ19" s="110"/>
      <c r="KWA19" s="110"/>
      <c r="KWB19" s="110"/>
      <c r="KWC19" s="110"/>
      <c r="KWD19" s="110"/>
      <c r="KWE19" s="110"/>
      <c r="KWF19" s="110"/>
      <c r="KWG19" s="110"/>
      <c r="KWH19" s="110"/>
      <c r="KWI19" s="110"/>
      <c r="KWJ19" s="110"/>
      <c r="KWK19" s="110"/>
      <c r="KWL19" s="110"/>
      <c r="KWM19" s="110"/>
      <c r="KWN19" s="110"/>
      <c r="KWO19" s="110"/>
      <c r="KWP19" s="110"/>
      <c r="KWQ19" s="110"/>
      <c r="KWR19" s="110"/>
      <c r="KWS19" s="110"/>
      <c r="KWT19" s="110"/>
      <c r="KWU19" s="110"/>
      <c r="KWV19" s="110"/>
      <c r="KWW19" s="110"/>
      <c r="KWX19" s="110"/>
      <c r="KWY19" s="110"/>
      <c r="KWZ19" s="110"/>
      <c r="KXA19" s="110"/>
      <c r="KXB19" s="110"/>
      <c r="KXC19" s="110"/>
      <c r="KXD19" s="110"/>
      <c r="KXE19" s="110"/>
      <c r="KXF19" s="110"/>
      <c r="KXG19" s="110"/>
      <c r="KXH19" s="110"/>
      <c r="KXI19" s="110"/>
      <c r="KXJ19" s="110"/>
      <c r="KXK19" s="110"/>
      <c r="KXL19" s="110"/>
      <c r="KXM19" s="110"/>
      <c r="KXN19" s="110"/>
      <c r="KXO19" s="110"/>
      <c r="KXP19" s="110"/>
      <c r="KXQ19" s="110"/>
      <c r="KXR19" s="110"/>
      <c r="KXS19" s="110"/>
      <c r="KXT19" s="110"/>
      <c r="KXU19" s="110"/>
      <c r="KXV19" s="110"/>
      <c r="KXW19" s="110"/>
      <c r="KXX19" s="110"/>
      <c r="KXY19" s="110"/>
      <c r="KXZ19" s="110"/>
      <c r="KYA19" s="110"/>
      <c r="KYB19" s="110"/>
      <c r="KYC19" s="110"/>
      <c r="KYD19" s="110"/>
      <c r="KYE19" s="110"/>
      <c r="KYF19" s="110"/>
      <c r="KYG19" s="110"/>
      <c r="KYH19" s="110"/>
      <c r="KYI19" s="110"/>
      <c r="KYJ19" s="110"/>
      <c r="KYK19" s="110"/>
      <c r="KYL19" s="110"/>
      <c r="KYM19" s="110"/>
      <c r="KYN19" s="110"/>
      <c r="KYO19" s="110"/>
      <c r="KYP19" s="110"/>
      <c r="KYQ19" s="110"/>
      <c r="KYR19" s="110"/>
      <c r="KYS19" s="110"/>
      <c r="KYT19" s="110"/>
      <c r="KYU19" s="110"/>
      <c r="KYV19" s="110"/>
      <c r="KYW19" s="110"/>
      <c r="KYX19" s="110"/>
      <c r="KYY19" s="110"/>
      <c r="KYZ19" s="110"/>
      <c r="KZA19" s="110"/>
      <c r="KZB19" s="110"/>
      <c r="KZC19" s="110"/>
      <c r="KZD19" s="110"/>
      <c r="KZE19" s="110"/>
      <c r="KZF19" s="110"/>
      <c r="KZG19" s="110"/>
      <c r="KZH19" s="110"/>
      <c r="KZI19" s="110"/>
      <c r="KZJ19" s="110"/>
      <c r="KZK19" s="110"/>
      <c r="KZL19" s="110"/>
      <c r="KZM19" s="110"/>
      <c r="KZN19" s="110"/>
      <c r="KZO19" s="110"/>
      <c r="KZP19" s="110"/>
      <c r="KZQ19" s="110"/>
      <c r="KZR19" s="110"/>
      <c r="KZS19" s="110"/>
      <c r="KZT19" s="110"/>
      <c r="KZU19" s="110"/>
      <c r="KZV19" s="110"/>
      <c r="KZW19" s="110"/>
      <c r="KZX19" s="110"/>
      <c r="KZY19" s="110"/>
      <c r="KZZ19" s="110"/>
      <c r="LAA19" s="110"/>
      <c r="LAB19" s="110"/>
      <c r="LAC19" s="110"/>
      <c r="LAD19" s="110"/>
      <c r="LAE19" s="110"/>
      <c r="LAF19" s="110"/>
      <c r="LAG19" s="110"/>
      <c r="LAH19" s="110"/>
      <c r="LAI19" s="110"/>
      <c r="LAJ19" s="110"/>
      <c r="LAK19" s="110"/>
      <c r="LAL19" s="110"/>
      <c r="LAM19" s="110"/>
      <c r="LAN19" s="110"/>
      <c r="LAO19" s="110"/>
      <c r="LAP19" s="110"/>
      <c r="LAQ19" s="110"/>
      <c r="LAR19" s="110"/>
      <c r="LAS19" s="110"/>
      <c r="LAT19" s="110"/>
      <c r="LAU19" s="110"/>
      <c r="LAV19" s="110"/>
      <c r="LAW19" s="110"/>
      <c r="LAX19" s="110"/>
      <c r="LAY19" s="110"/>
      <c r="LAZ19" s="110"/>
      <c r="LBA19" s="110"/>
      <c r="LBB19" s="110"/>
      <c r="LBC19" s="110"/>
      <c r="LBD19" s="110"/>
      <c r="LBE19" s="110"/>
      <c r="LBF19" s="110"/>
      <c r="LBG19" s="110"/>
      <c r="LBH19" s="110"/>
      <c r="LBI19" s="110"/>
      <c r="LBJ19" s="110"/>
      <c r="LBK19" s="110"/>
      <c r="LBL19" s="110"/>
      <c r="LBM19" s="110"/>
      <c r="LBN19" s="110"/>
      <c r="LBO19" s="110"/>
      <c r="LBP19" s="110"/>
      <c r="LBQ19" s="110"/>
      <c r="LBR19" s="110"/>
      <c r="LBS19" s="110"/>
      <c r="LBT19" s="110"/>
      <c r="LBU19" s="110"/>
      <c r="LBV19" s="110"/>
      <c r="LBW19" s="110"/>
      <c r="LBX19" s="110"/>
      <c r="LBY19" s="110"/>
      <c r="LBZ19" s="110"/>
      <c r="LCA19" s="110"/>
      <c r="LCB19" s="110"/>
      <c r="LCC19" s="110"/>
      <c r="LCD19" s="110"/>
      <c r="LCE19" s="110"/>
      <c r="LCF19" s="110"/>
      <c r="LCG19" s="110"/>
      <c r="LCH19" s="110"/>
      <c r="LCI19" s="110"/>
      <c r="LCJ19" s="110"/>
      <c r="LCK19" s="110"/>
      <c r="LCL19" s="110"/>
      <c r="LCM19" s="110"/>
      <c r="LCN19" s="110"/>
      <c r="LCO19" s="110"/>
      <c r="LCP19" s="110"/>
      <c r="LCQ19" s="110"/>
      <c r="LCR19" s="110"/>
      <c r="LCS19" s="110"/>
      <c r="LCT19" s="110"/>
      <c r="LCU19" s="110"/>
      <c r="LCV19" s="110"/>
      <c r="LCW19" s="110"/>
      <c r="LCX19" s="110"/>
      <c r="LCY19" s="110"/>
      <c r="LCZ19" s="110"/>
      <c r="LDA19" s="110"/>
      <c r="LDB19" s="110"/>
      <c r="LDC19" s="110"/>
      <c r="LDD19" s="110"/>
      <c r="LDE19" s="110"/>
      <c r="LDF19" s="110"/>
      <c r="LDG19" s="110"/>
      <c r="LDH19" s="110"/>
      <c r="LDI19" s="110"/>
      <c r="LDJ19" s="110"/>
      <c r="LDK19" s="110"/>
      <c r="LDL19" s="110"/>
      <c r="LDM19" s="110"/>
      <c r="LDN19" s="110"/>
      <c r="LDO19" s="110"/>
      <c r="LDP19" s="110"/>
      <c r="LDQ19" s="110"/>
      <c r="LDR19" s="110"/>
      <c r="LDS19" s="110"/>
      <c r="LDT19" s="110"/>
      <c r="LDU19" s="110"/>
      <c r="LDV19" s="110"/>
      <c r="LDW19" s="110"/>
      <c r="LDX19" s="110"/>
      <c r="LDY19" s="110"/>
      <c r="LDZ19" s="110"/>
      <c r="LEA19" s="110"/>
      <c r="LEB19" s="110"/>
      <c r="LEC19" s="110"/>
      <c r="LED19" s="110"/>
      <c r="LEE19" s="110"/>
      <c r="LEF19" s="110"/>
      <c r="LEG19" s="110"/>
      <c r="LEH19" s="110"/>
      <c r="LEI19" s="110"/>
      <c r="LEJ19" s="110"/>
      <c r="LEK19" s="110"/>
      <c r="LEL19" s="110"/>
      <c r="LEM19" s="110"/>
      <c r="LEN19" s="110"/>
      <c r="LEO19" s="110"/>
      <c r="LEP19" s="110"/>
      <c r="LEQ19" s="110"/>
      <c r="LER19" s="110"/>
      <c r="LES19" s="110"/>
      <c r="LET19" s="110"/>
      <c r="LEU19" s="110"/>
      <c r="LEV19" s="110"/>
      <c r="LEW19" s="110"/>
      <c r="LEX19" s="110"/>
      <c r="LEY19" s="110"/>
      <c r="LEZ19" s="110"/>
      <c r="LFA19" s="110"/>
      <c r="LFB19" s="110"/>
      <c r="LFC19" s="110"/>
      <c r="LFD19" s="110"/>
      <c r="LFE19" s="110"/>
      <c r="LFF19" s="110"/>
      <c r="LFG19" s="110"/>
      <c r="LFH19" s="110"/>
      <c r="LFI19" s="110"/>
      <c r="LFJ19" s="110"/>
      <c r="LFK19" s="110"/>
      <c r="LFL19" s="110"/>
      <c r="LFM19" s="110"/>
      <c r="LFN19" s="110"/>
      <c r="LFO19" s="110"/>
      <c r="LFP19" s="110"/>
      <c r="LFQ19" s="110"/>
      <c r="LFR19" s="110"/>
      <c r="LFS19" s="110"/>
      <c r="LFT19" s="110"/>
      <c r="LFU19" s="110"/>
      <c r="LFV19" s="110"/>
      <c r="LFW19" s="110"/>
      <c r="LFX19" s="110"/>
      <c r="LFY19" s="110"/>
      <c r="LFZ19" s="110"/>
      <c r="LGA19" s="110"/>
      <c r="LGB19" s="110"/>
      <c r="LGC19" s="110"/>
      <c r="LGD19" s="110"/>
      <c r="LGE19" s="110"/>
      <c r="LGF19" s="110"/>
      <c r="LGG19" s="110"/>
      <c r="LGH19" s="110"/>
      <c r="LGI19" s="110"/>
      <c r="LGJ19" s="110"/>
      <c r="LGK19" s="110"/>
      <c r="LGL19" s="110"/>
      <c r="LGM19" s="110"/>
      <c r="LGN19" s="110"/>
      <c r="LGO19" s="110"/>
      <c r="LGP19" s="110"/>
      <c r="LGQ19" s="110"/>
      <c r="LGR19" s="110"/>
      <c r="LGS19" s="110"/>
      <c r="LGT19" s="110"/>
      <c r="LGU19" s="110"/>
      <c r="LGV19" s="110"/>
      <c r="LGW19" s="110"/>
      <c r="LGX19" s="110"/>
      <c r="LGY19" s="110"/>
      <c r="LGZ19" s="110"/>
      <c r="LHA19" s="110"/>
      <c r="LHB19" s="110"/>
      <c r="LHC19" s="110"/>
      <c r="LHD19" s="110"/>
      <c r="LHE19" s="110"/>
      <c r="LHF19" s="110"/>
      <c r="LHG19" s="110"/>
      <c r="LHH19" s="110"/>
      <c r="LHI19" s="110"/>
      <c r="LHJ19" s="110"/>
      <c r="LHK19" s="110"/>
      <c r="LHL19" s="110"/>
      <c r="LHM19" s="110"/>
      <c r="LHN19" s="110"/>
      <c r="LHO19" s="110"/>
      <c r="LHP19" s="110"/>
      <c r="LHQ19" s="110"/>
      <c r="LHR19" s="110"/>
      <c r="LHS19" s="110"/>
      <c r="LHT19" s="110"/>
      <c r="LHU19" s="110"/>
      <c r="LHV19" s="110"/>
      <c r="LHW19" s="110"/>
      <c r="LHX19" s="110"/>
      <c r="LHY19" s="110"/>
      <c r="LHZ19" s="110"/>
      <c r="LIA19" s="110"/>
      <c r="LIB19" s="110"/>
      <c r="LIC19" s="110"/>
      <c r="LID19" s="110"/>
      <c r="LIE19" s="110"/>
      <c r="LIF19" s="110"/>
      <c r="LIG19" s="110"/>
      <c r="LIH19" s="110"/>
      <c r="LII19" s="110"/>
      <c r="LIJ19" s="110"/>
      <c r="LIK19" s="110"/>
      <c r="LIL19" s="110"/>
      <c r="LIM19" s="110"/>
      <c r="LIN19" s="110"/>
      <c r="LIO19" s="110"/>
      <c r="LIP19" s="110"/>
      <c r="LIQ19" s="110"/>
      <c r="LIR19" s="110"/>
      <c r="LIS19" s="110"/>
      <c r="LIT19" s="110"/>
      <c r="LIU19" s="110"/>
      <c r="LIV19" s="110"/>
      <c r="LIW19" s="110"/>
      <c r="LIX19" s="110"/>
      <c r="LIY19" s="110"/>
      <c r="LIZ19" s="110"/>
      <c r="LJA19" s="110"/>
      <c r="LJB19" s="110"/>
      <c r="LJC19" s="110"/>
      <c r="LJD19" s="110"/>
      <c r="LJE19" s="110"/>
      <c r="LJF19" s="110"/>
      <c r="LJG19" s="110"/>
      <c r="LJH19" s="110"/>
      <c r="LJI19" s="110"/>
      <c r="LJJ19" s="110"/>
      <c r="LJK19" s="110"/>
      <c r="LJL19" s="110"/>
      <c r="LJM19" s="110"/>
      <c r="LJN19" s="110"/>
      <c r="LJO19" s="110"/>
      <c r="LJP19" s="110"/>
      <c r="LJQ19" s="110"/>
      <c r="LJR19" s="110"/>
      <c r="LJS19" s="110"/>
      <c r="LJT19" s="110"/>
      <c r="LJU19" s="110"/>
      <c r="LJV19" s="110"/>
      <c r="LJW19" s="110"/>
      <c r="LJX19" s="110"/>
      <c r="LJY19" s="110"/>
      <c r="LJZ19" s="110"/>
      <c r="LKA19" s="110"/>
      <c r="LKB19" s="110"/>
      <c r="LKC19" s="110"/>
      <c r="LKD19" s="110"/>
      <c r="LKE19" s="110"/>
      <c r="LKF19" s="110"/>
      <c r="LKG19" s="110"/>
      <c r="LKH19" s="110"/>
      <c r="LKI19" s="110"/>
      <c r="LKJ19" s="110"/>
      <c r="LKK19" s="110"/>
      <c r="LKL19" s="110"/>
      <c r="LKM19" s="110"/>
      <c r="LKN19" s="110"/>
      <c r="LKO19" s="110"/>
      <c r="LKP19" s="110"/>
      <c r="LKQ19" s="110"/>
      <c r="LKR19" s="110"/>
      <c r="LKS19" s="110"/>
      <c r="LKT19" s="110"/>
      <c r="LKU19" s="110"/>
      <c r="LKV19" s="110"/>
      <c r="LKW19" s="110"/>
      <c r="LKX19" s="110"/>
      <c r="LKY19" s="110"/>
      <c r="LKZ19" s="110"/>
      <c r="LLA19" s="110"/>
      <c r="LLB19" s="110"/>
      <c r="LLC19" s="110"/>
      <c r="LLD19" s="110"/>
      <c r="LLE19" s="110"/>
      <c r="LLF19" s="110"/>
      <c r="LLG19" s="110"/>
      <c r="LLH19" s="110"/>
      <c r="LLI19" s="110"/>
      <c r="LLJ19" s="110"/>
      <c r="LLK19" s="110"/>
      <c r="LLL19" s="110"/>
      <c r="LLM19" s="110"/>
      <c r="LLN19" s="110"/>
      <c r="LLO19" s="110"/>
      <c r="LLP19" s="110"/>
      <c r="LLQ19" s="110"/>
      <c r="LLR19" s="110"/>
      <c r="LLS19" s="110"/>
      <c r="LLT19" s="110"/>
      <c r="LLU19" s="110"/>
      <c r="LLV19" s="110"/>
      <c r="LLW19" s="110"/>
      <c r="LLX19" s="110"/>
      <c r="LLY19" s="110"/>
      <c r="LLZ19" s="110"/>
      <c r="LMA19" s="110"/>
      <c r="LMB19" s="110"/>
      <c r="LMC19" s="110"/>
      <c r="LMD19" s="110"/>
      <c r="LME19" s="110"/>
      <c r="LMF19" s="110"/>
      <c r="LMG19" s="110"/>
      <c r="LMH19" s="110"/>
      <c r="LMI19" s="110"/>
      <c r="LMJ19" s="110"/>
      <c r="LMK19" s="110"/>
      <c r="LML19" s="110"/>
      <c r="LMM19" s="110"/>
      <c r="LMN19" s="110"/>
      <c r="LMO19" s="110"/>
      <c r="LMP19" s="110"/>
      <c r="LMQ19" s="110"/>
      <c r="LMR19" s="110"/>
      <c r="LMS19" s="110"/>
      <c r="LMT19" s="110"/>
      <c r="LMU19" s="110"/>
      <c r="LMV19" s="110"/>
      <c r="LMW19" s="110"/>
      <c r="LMX19" s="110"/>
      <c r="LMY19" s="110"/>
      <c r="LMZ19" s="110"/>
      <c r="LNA19" s="110"/>
      <c r="LNB19" s="110"/>
      <c r="LNC19" s="110"/>
      <c r="LND19" s="110"/>
      <c r="LNE19" s="110"/>
      <c r="LNF19" s="110"/>
      <c r="LNG19" s="110"/>
      <c r="LNH19" s="110"/>
      <c r="LNI19" s="110"/>
      <c r="LNJ19" s="110"/>
      <c r="LNK19" s="110"/>
      <c r="LNL19" s="110"/>
      <c r="LNM19" s="110"/>
      <c r="LNN19" s="110"/>
      <c r="LNO19" s="110"/>
      <c r="LNP19" s="110"/>
      <c r="LNQ19" s="110"/>
      <c r="LNR19" s="110"/>
      <c r="LNS19" s="110"/>
      <c r="LNT19" s="110"/>
      <c r="LNU19" s="110"/>
      <c r="LNV19" s="110"/>
      <c r="LNW19" s="110"/>
      <c r="LNX19" s="110"/>
      <c r="LNY19" s="110"/>
      <c r="LNZ19" s="110"/>
      <c r="LOA19" s="110"/>
      <c r="LOB19" s="110"/>
      <c r="LOC19" s="110"/>
      <c r="LOD19" s="110"/>
      <c r="LOE19" s="110"/>
      <c r="LOF19" s="110"/>
      <c r="LOG19" s="110"/>
      <c r="LOH19" s="110"/>
      <c r="LOI19" s="110"/>
      <c r="LOJ19" s="110"/>
      <c r="LOK19" s="110"/>
      <c r="LOL19" s="110"/>
      <c r="LOM19" s="110"/>
      <c r="LON19" s="110"/>
      <c r="LOO19" s="110"/>
      <c r="LOP19" s="110"/>
      <c r="LOQ19" s="110"/>
      <c r="LOR19" s="110"/>
      <c r="LOS19" s="110"/>
      <c r="LOT19" s="110"/>
      <c r="LOU19" s="110"/>
      <c r="LOV19" s="110"/>
      <c r="LOW19" s="110"/>
      <c r="LOX19" s="110"/>
      <c r="LOY19" s="110"/>
      <c r="LOZ19" s="110"/>
      <c r="LPA19" s="110"/>
      <c r="LPB19" s="110"/>
      <c r="LPC19" s="110"/>
      <c r="LPD19" s="110"/>
      <c r="LPE19" s="110"/>
      <c r="LPF19" s="110"/>
      <c r="LPG19" s="110"/>
      <c r="LPH19" s="110"/>
      <c r="LPI19" s="110"/>
      <c r="LPJ19" s="110"/>
      <c r="LPK19" s="110"/>
      <c r="LPL19" s="110"/>
      <c r="LPM19" s="110"/>
      <c r="LPN19" s="110"/>
      <c r="LPO19" s="110"/>
      <c r="LPP19" s="110"/>
      <c r="LPQ19" s="110"/>
      <c r="LPR19" s="110"/>
      <c r="LPS19" s="110"/>
      <c r="LPT19" s="110"/>
      <c r="LPU19" s="110"/>
      <c r="LPV19" s="110"/>
      <c r="LPW19" s="110"/>
      <c r="LPX19" s="110"/>
      <c r="LPY19" s="110"/>
      <c r="LPZ19" s="110"/>
      <c r="LQA19" s="110"/>
      <c r="LQB19" s="110"/>
      <c r="LQC19" s="110"/>
      <c r="LQD19" s="110"/>
      <c r="LQE19" s="110"/>
      <c r="LQF19" s="110"/>
      <c r="LQG19" s="110"/>
      <c r="LQH19" s="110"/>
      <c r="LQI19" s="110"/>
      <c r="LQJ19" s="110"/>
      <c r="LQK19" s="110"/>
      <c r="LQL19" s="110"/>
      <c r="LQM19" s="110"/>
      <c r="LQN19" s="110"/>
      <c r="LQO19" s="110"/>
      <c r="LQP19" s="110"/>
      <c r="LQQ19" s="110"/>
      <c r="LQR19" s="110"/>
      <c r="LQS19" s="110"/>
      <c r="LQT19" s="110"/>
      <c r="LQU19" s="110"/>
      <c r="LQV19" s="110"/>
      <c r="LQW19" s="110"/>
      <c r="LQX19" s="110"/>
      <c r="LQY19" s="110"/>
      <c r="LQZ19" s="110"/>
      <c r="LRA19" s="110"/>
      <c r="LRB19" s="110"/>
      <c r="LRC19" s="110"/>
      <c r="LRD19" s="110"/>
      <c r="LRE19" s="110"/>
      <c r="LRF19" s="110"/>
      <c r="LRG19" s="110"/>
      <c r="LRH19" s="110"/>
      <c r="LRI19" s="110"/>
      <c r="LRJ19" s="110"/>
      <c r="LRK19" s="110"/>
      <c r="LRL19" s="110"/>
      <c r="LRM19" s="110"/>
      <c r="LRN19" s="110"/>
      <c r="LRO19" s="110"/>
      <c r="LRP19" s="110"/>
      <c r="LRQ19" s="110"/>
      <c r="LRR19" s="110"/>
      <c r="LRS19" s="110"/>
      <c r="LRT19" s="110"/>
      <c r="LRU19" s="110"/>
      <c r="LRV19" s="110"/>
      <c r="LRW19" s="110"/>
      <c r="LRX19" s="110"/>
      <c r="LRY19" s="110"/>
      <c r="LRZ19" s="110"/>
      <c r="LSA19" s="110"/>
      <c r="LSB19" s="110"/>
      <c r="LSC19" s="110"/>
      <c r="LSD19" s="110"/>
      <c r="LSE19" s="110"/>
      <c r="LSF19" s="110"/>
      <c r="LSG19" s="110"/>
      <c r="LSH19" s="110"/>
      <c r="LSI19" s="110"/>
      <c r="LSJ19" s="110"/>
      <c r="LSK19" s="110"/>
      <c r="LSL19" s="110"/>
      <c r="LSM19" s="110"/>
      <c r="LSN19" s="110"/>
      <c r="LSO19" s="110"/>
      <c r="LSP19" s="110"/>
      <c r="LSQ19" s="110"/>
      <c r="LSR19" s="110"/>
      <c r="LSS19" s="110"/>
      <c r="LST19" s="110"/>
      <c r="LSU19" s="110"/>
      <c r="LSV19" s="110"/>
      <c r="LSW19" s="110"/>
      <c r="LSX19" s="110"/>
      <c r="LSY19" s="110"/>
      <c r="LSZ19" s="110"/>
      <c r="LTA19" s="110"/>
      <c r="LTB19" s="110"/>
      <c r="LTC19" s="110"/>
      <c r="LTD19" s="110"/>
      <c r="LTE19" s="110"/>
      <c r="LTF19" s="110"/>
      <c r="LTG19" s="110"/>
      <c r="LTH19" s="110"/>
      <c r="LTI19" s="110"/>
      <c r="LTJ19" s="110"/>
      <c r="LTK19" s="110"/>
      <c r="LTL19" s="110"/>
      <c r="LTM19" s="110"/>
      <c r="LTN19" s="110"/>
      <c r="LTO19" s="110"/>
      <c r="LTP19" s="110"/>
      <c r="LTQ19" s="110"/>
      <c r="LTR19" s="110"/>
      <c r="LTS19" s="110"/>
      <c r="LTT19" s="110"/>
      <c r="LTU19" s="110"/>
      <c r="LTV19" s="110"/>
      <c r="LTW19" s="110"/>
      <c r="LTX19" s="110"/>
      <c r="LTY19" s="110"/>
      <c r="LTZ19" s="110"/>
      <c r="LUA19" s="110"/>
      <c r="LUB19" s="110"/>
      <c r="LUC19" s="110"/>
      <c r="LUD19" s="110"/>
      <c r="LUE19" s="110"/>
      <c r="LUF19" s="110"/>
      <c r="LUG19" s="110"/>
      <c r="LUH19" s="110"/>
      <c r="LUI19" s="110"/>
      <c r="LUJ19" s="110"/>
      <c r="LUK19" s="110"/>
      <c r="LUL19" s="110"/>
      <c r="LUM19" s="110"/>
      <c r="LUN19" s="110"/>
      <c r="LUO19" s="110"/>
      <c r="LUP19" s="110"/>
      <c r="LUQ19" s="110"/>
      <c r="LUR19" s="110"/>
      <c r="LUS19" s="110"/>
      <c r="LUT19" s="110"/>
      <c r="LUU19" s="110"/>
      <c r="LUV19" s="110"/>
      <c r="LUW19" s="110"/>
      <c r="LUX19" s="110"/>
      <c r="LUY19" s="110"/>
      <c r="LUZ19" s="110"/>
      <c r="LVA19" s="110"/>
      <c r="LVB19" s="110"/>
      <c r="LVC19" s="110"/>
      <c r="LVD19" s="110"/>
      <c r="LVE19" s="110"/>
      <c r="LVF19" s="110"/>
      <c r="LVG19" s="110"/>
      <c r="LVH19" s="110"/>
      <c r="LVI19" s="110"/>
      <c r="LVJ19" s="110"/>
      <c r="LVK19" s="110"/>
      <c r="LVL19" s="110"/>
      <c r="LVM19" s="110"/>
      <c r="LVN19" s="110"/>
      <c r="LVO19" s="110"/>
      <c r="LVP19" s="110"/>
      <c r="LVQ19" s="110"/>
      <c r="LVR19" s="110"/>
      <c r="LVS19" s="110"/>
      <c r="LVT19" s="110"/>
      <c r="LVU19" s="110"/>
      <c r="LVV19" s="110"/>
      <c r="LVW19" s="110"/>
      <c r="LVX19" s="110"/>
      <c r="LVY19" s="110"/>
      <c r="LVZ19" s="110"/>
      <c r="LWA19" s="110"/>
      <c r="LWB19" s="110"/>
      <c r="LWC19" s="110"/>
      <c r="LWD19" s="110"/>
      <c r="LWE19" s="110"/>
      <c r="LWF19" s="110"/>
      <c r="LWG19" s="110"/>
      <c r="LWH19" s="110"/>
      <c r="LWI19" s="110"/>
      <c r="LWJ19" s="110"/>
      <c r="LWK19" s="110"/>
      <c r="LWL19" s="110"/>
      <c r="LWM19" s="110"/>
      <c r="LWN19" s="110"/>
      <c r="LWO19" s="110"/>
      <c r="LWP19" s="110"/>
      <c r="LWQ19" s="110"/>
      <c r="LWR19" s="110"/>
      <c r="LWS19" s="110"/>
      <c r="LWT19" s="110"/>
      <c r="LWU19" s="110"/>
      <c r="LWV19" s="110"/>
      <c r="LWW19" s="110"/>
      <c r="LWX19" s="110"/>
      <c r="LWY19" s="110"/>
      <c r="LWZ19" s="110"/>
      <c r="LXA19" s="110"/>
      <c r="LXB19" s="110"/>
      <c r="LXC19" s="110"/>
      <c r="LXD19" s="110"/>
      <c r="LXE19" s="110"/>
      <c r="LXF19" s="110"/>
      <c r="LXG19" s="110"/>
      <c r="LXH19" s="110"/>
      <c r="LXI19" s="110"/>
      <c r="LXJ19" s="110"/>
      <c r="LXK19" s="110"/>
      <c r="LXL19" s="110"/>
      <c r="LXM19" s="110"/>
      <c r="LXN19" s="110"/>
      <c r="LXO19" s="110"/>
      <c r="LXP19" s="110"/>
      <c r="LXQ19" s="110"/>
      <c r="LXR19" s="110"/>
      <c r="LXS19" s="110"/>
      <c r="LXT19" s="110"/>
      <c r="LXU19" s="110"/>
      <c r="LXV19" s="110"/>
      <c r="LXW19" s="110"/>
      <c r="LXX19" s="110"/>
      <c r="LXY19" s="110"/>
      <c r="LXZ19" s="110"/>
      <c r="LYA19" s="110"/>
      <c r="LYB19" s="110"/>
      <c r="LYC19" s="110"/>
      <c r="LYD19" s="110"/>
      <c r="LYE19" s="110"/>
      <c r="LYF19" s="110"/>
      <c r="LYG19" s="110"/>
      <c r="LYH19" s="110"/>
      <c r="LYI19" s="110"/>
      <c r="LYJ19" s="110"/>
      <c r="LYK19" s="110"/>
      <c r="LYL19" s="110"/>
      <c r="LYM19" s="110"/>
      <c r="LYN19" s="110"/>
      <c r="LYO19" s="110"/>
      <c r="LYP19" s="110"/>
      <c r="LYQ19" s="110"/>
      <c r="LYR19" s="110"/>
      <c r="LYS19" s="110"/>
      <c r="LYT19" s="110"/>
      <c r="LYU19" s="110"/>
      <c r="LYV19" s="110"/>
      <c r="LYW19" s="110"/>
      <c r="LYX19" s="110"/>
      <c r="LYY19" s="110"/>
      <c r="LYZ19" s="110"/>
      <c r="LZA19" s="110"/>
      <c r="LZB19" s="110"/>
      <c r="LZC19" s="110"/>
      <c r="LZD19" s="110"/>
      <c r="LZE19" s="110"/>
      <c r="LZF19" s="110"/>
      <c r="LZG19" s="110"/>
      <c r="LZH19" s="110"/>
      <c r="LZI19" s="110"/>
      <c r="LZJ19" s="110"/>
      <c r="LZK19" s="110"/>
      <c r="LZL19" s="110"/>
      <c r="LZM19" s="110"/>
      <c r="LZN19" s="110"/>
      <c r="LZO19" s="110"/>
      <c r="LZP19" s="110"/>
      <c r="LZQ19" s="110"/>
      <c r="LZR19" s="110"/>
      <c r="LZS19" s="110"/>
      <c r="LZT19" s="110"/>
      <c r="LZU19" s="110"/>
      <c r="LZV19" s="110"/>
      <c r="LZW19" s="110"/>
      <c r="LZX19" s="110"/>
      <c r="LZY19" s="110"/>
      <c r="LZZ19" s="110"/>
      <c r="MAA19" s="110"/>
      <c r="MAB19" s="110"/>
      <c r="MAC19" s="110"/>
      <c r="MAD19" s="110"/>
      <c r="MAE19" s="110"/>
      <c r="MAF19" s="110"/>
      <c r="MAG19" s="110"/>
      <c r="MAH19" s="110"/>
      <c r="MAI19" s="110"/>
      <c r="MAJ19" s="110"/>
      <c r="MAK19" s="110"/>
      <c r="MAL19" s="110"/>
      <c r="MAM19" s="110"/>
      <c r="MAN19" s="110"/>
      <c r="MAO19" s="110"/>
      <c r="MAP19" s="110"/>
      <c r="MAQ19" s="110"/>
      <c r="MAR19" s="110"/>
      <c r="MAS19" s="110"/>
      <c r="MAT19" s="110"/>
      <c r="MAU19" s="110"/>
      <c r="MAV19" s="110"/>
      <c r="MAW19" s="110"/>
      <c r="MAX19" s="110"/>
      <c r="MAY19" s="110"/>
      <c r="MAZ19" s="110"/>
      <c r="MBA19" s="110"/>
      <c r="MBB19" s="110"/>
      <c r="MBC19" s="110"/>
      <c r="MBD19" s="110"/>
      <c r="MBE19" s="110"/>
      <c r="MBF19" s="110"/>
      <c r="MBG19" s="110"/>
      <c r="MBH19" s="110"/>
      <c r="MBI19" s="110"/>
      <c r="MBJ19" s="110"/>
      <c r="MBK19" s="110"/>
      <c r="MBL19" s="110"/>
      <c r="MBM19" s="110"/>
      <c r="MBN19" s="110"/>
      <c r="MBO19" s="110"/>
      <c r="MBP19" s="110"/>
      <c r="MBQ19" s="110"/>
      <c r="MBR19" s="110"/>
      <c r="MBS19" s="110"/>
      <c r="MBT19" s="110"/>
      <c r="MBU19" s="110"/>
      <c r="MBV19" s="110"/>
      <c r="MBW19" s="110"/>
      <c r="MBX19" s="110"/>
      <c r="MBY19" s="110"/>
      <c r="MBZ19" s="110"/>
      <c r="MCA19" s="110"/>
      <c r="MCB19" s="110"/>
      <c r="MCC19" s="110"/>
      <c r="MCD19" s="110"/>
      <c r="MCE19" s="110"/>
      <c r="MCF19" s="110"/>
      <c r="MCG19" s="110"/>
      <c r="MCH19" s="110"/>
      <c r="MCI19" s="110"/>
      <c r="MCJ19" s="110"/>
      <c r="MCK19" s="110"/>
      <c r="MCL19" s="110"/>
      <c r="MCM19" s="110"/>
      <c r="MCN19" s="110"/>
      <c r="MCO19" s="110"/>
      <c r="MCP19" s="110"/>
      <c r="MCQ19" s="110"/>
      <c r="MCR19" s="110"/>
      <c r="MCS19" s="110"/>
      <c r="MCT19" s="110"/>
      <c r="MCU19" s="110"/>
      <c r="MCV19" s="110"/>
      <c r="MCW19" s="110"/>
      <c r="MCX19" s="110"/>
      <c r="MCY19" s="110"/>
      <c r="MCZ19" s="110"/>
      <c r="MDA19" s="110"/>
      <c r="MDB19" s="110"/>
      <c r="MDC19" s="110"/>
      <c r="MDD19" s="110"/>
      <c r="MDE19" s="110"/>
      <c r="MDF19" s="110"/>
      <c r="MDG19" s="110"/>
      <c r="MDH19" s="110"/>
      <c r="MDI19" s="110"/>
      <c r="MDJ19" s="110"/>
      <c r="MDK19" s="110"/>
      <c r="MDL19" s="110"/>
      <c r="MDM19" s="110"/>
      <c r="MDN19" s="110"/>
      <c r="MDO19" s="110"/>
      <c r="MDP19" s="110"/>
      <c r="MDQ19" s="110"/>
      <c r="MDR19" s="110"/>
      <c r="MDS19" s="110"/>
      <c r="MDT19" s="110"/>
      <c r="MDU19" s="110"/>
      <c r="MDV19" s="110"/>
      <c r="MDW19" s="110"/>
      <c r="MDX19" s="110"/>
      <c r="MDY19" s="110"/>
      <c r="MDZ19" s="110"/>
      <c r="MEA19" s="110"/>
      <c r="MEB19" s="110"/>
      <c r="MEC19" s="110"/>
      <c r="MED19" s="110"/>
      <c r="MEE19" s="110"/>
      <c r="MEF19" s="110"/>
      <c r="MEG19" s="110"/>
      <c r="MEH19" s="110"/>
      <c r="MEI19" s="110"/>
      <c r="MEJ19" s="110"/>
      <c r="MEK19" s="110"/>
      <c r="MEL19" s="110"/>
      <c r="MEM19" s="110"/>
      <c r="MEN19" s="110"/>
      <c r="MEO19" s="110"/>
      <c r="MEP19" s="110"/>
      <c r="MEQ19" s="110"/>
      <c r="MER19" s="110"/>
      <c r="MES19" s="110"/>
      <c r="MET19" s="110"/>
      <c r="MEU19" s="110"/>
      <c r="MEV19" s="110"/>
      <c r="MEW19" s="110"/>
      <c r="MEX19" s="110"/>
      <c r="MEY19" s="110"/>
      <c r="MEZ19" s="110"/>
      <c r="MFA19" s="110"/>
      <c r="MFB19" s="110"/>
      <c r="MFC19" s="110"/>
      <c r="MFD19" s="110"/>
      <c r="MFE19" s="110"/>
      <c r="MFF19" s="110"/>
      <c r="MFG19" s="110"/>
      <c r="MFH19" s="110"/>
      <c r="MFI19" s="110"/>
      <c r="MFJ19" s="110"/>
      <c r="MFK19" s="110"/>
      <c r="MFL19" s="110"/>
      <c r="MFM19" s="110"/>
      <c r="MFN19" s="110"/>
      <c r="MFO19" s="110"/>
      <c r="MFP19" s="110"/>
      <c r="MFQ19" s="110"/>
      <c r="MFR19" s="110"/>
      <c r="MFS19" s="110"/>
      <c r="MFT19" s="110"/>
      <c r="MFU19" s="110"/>
      <c r="MFV19" s="110"/>
      <c r="MFW19" s="110"/>
      <c r="MFX19" s="110"/>
      <c r="MFY19" s="110"/>
      <c r="MFZ19" s="110"/>
      <c r="MGA19" s="110"/>
      <c r="MGB19" s="110"/>
      <c r="MGC19" s="110"/>
      <c r="MGD19" s="110"/>
      <c r="MGE19" s="110"/>
      <c r="MGF19" s="110"/>
      <c r="MGG19" s="110"/>
      <c r="MGH19" s="110"/>
      <c r="MGI19" s="110"/>
      <c r="MGJ19" s="110"/>
      <c r="MGK19" s="110"/>
      <c r="MGL19" s="110"/>
      <c r="MGM19" s="110"/>
      <c r="MGN19" s="110"/>
      <c r="MGO19" s="110"/>
      <c r="MGP19" s="110"/>
      <c r="MGQ19" s="110"/>
      <c r="MGR19" s="110"/>
      <c r="MGS19" s="110"/>
      <c r="MGT19" s="110"/>
      <c r="MGU19" s="110"/>
      <c r="MGV19" s="110"/>
      <c r="MGW19" s="110"/>
      <c r="MGX19" s="110"/>
      <c r="MGY19" s="110"/>
      <c r="MGZ19" s="110"/>
      <c r="MHA19" s="110"/>
      <c r="MHB19" s="110"/>
      <c r="MHC19" s="110"/>
      <c r="MHD19" s="110"/>
      <c r="MHE19" s="110"/>
      <c r="MHF19" s="110"/>
      <c r="MHG19" s="110"/>
      <c r="MHH19" s="110"/>
      <c r="MHI19" s="110"/>
      <c r="MHJ19" s="110"/>
      <c r="MHK19" s="110"/>
      <c r="MHL19" s="110"/>
      <c r="MHM19" s="110"/>
      <c r="MHN19" s="110"/>
      <c r="MHO19" s="110"/>
      <c r="MHP19" s="110"/>
      <c r="MHQ19" s="110"/>
      <c r="MHR19" s="110"/>
      <c r="MHS19" s="110"/>
      <c r="MHT19" s="110"/>
      <c r="MHU19" s="110"/>
      <c r="MHV19" s="110"/>
      <c r="MHW19" s="110"/>
      <c r="MHX19" s="110"/>
      <c r="MHY19" s="110"/>
      <c r="MHZ19" s="110"/>
      <c r="MIA19" s="110"/>
      <c r="MIB19" s="110"/>
      <c r="MIC19" s="110"/>
      <c r="MID19" s="110"/>
      <c r="MIE19" s="110"/>
      <c r="MIF19" s="110"/>
      <c r="MIG19" s="110"/>
      <c r="MIH19" s="110"/>
      <c r="MII19" s="110"/>
      <c r="MIJ19" s="110"/>
      <c r="MIK19" s="110"/>
      <c r="MIL19" s="110"/>
      <c r="MIM19" s="110"/>
      <c r="MIN19" s="110"/>
      <c r="MIO19" s="110"/>
      <c r="MIP19" s="110"/>
      <c r="MIQ19" s="110"/>
      <c r="MIR19" s="110"/>
      <c r="MIS19" s="110"/>
      <c r="MIT19" s="110"/>
      <c r="MIU19" s="110"/>
      <c r="MIV19" s="110"/>
      <c r="MIW19" s="110"/>
      <c r="MIX19" s="110"/>
      <c r="MIY19" s="110"/>
      <c r="MIZ19" s="110"/>
      <c r="MJA19" s="110"/>
      <c r="MJB19" s="110"/>
      <c r="MJC19" s="110"/>
      <c r="MJD19" s="110"/>
      <c r="MJE19" s="110"/>
      <c r="MJF19" s="110"/>
      <c r="MJG19" s="110"/>
      <c r="MJH19" s="110"/>
      <c r="MJI19" s="110"/>
      <c r="MJJ19" s="110"/>
      <c r="MJK19" s="110"/>
      <c r="MJL19" s="110"/>
      <c r="MJM19" s="110"/>
      <c r="MJN19" s="110"/>
      <c r="MJO19" s="110"/>
      <c r="MJP19" s="110"/>
      <c r="MJQ19" s="110"/>
      <c r="MJR19" s="110"/>
      <c r="MJS19" s="110"/>
      <c r="MJT19" s="110"/>
      <c r="MJU19" s="110"/>
      <c r="MJV19" s="110"/>
      <c r="MJW19" s="110"/>
      <c r="MJX19" s="110"/>
      <c r="MJY19" s="110"/>
      <c r="MJZ19" s="110"/>
      <c r="MKA19" s="110"/>
      <c r="MKB19" s="110"/>
      <c r="MKC19" s="110"/>
      <c r="MKD19" s="110"/>
      <c r="MKE19" s="110"/>
      <c r="MKF19" s="110"/>
      <c r="MKG19" s="110"/>
      <c r="MKH19" s="110"/>
      <c r="MKI19" s="110"/>
      <c r="MKJ19" s="110"/>
      <c r="MKK19" s="110"/>
      <c r="MKL19" s="110"/>
      <c r="MKM19" s="110"/>
      <c r="MKN19" s="110"/>
      <c r="MKO19" s="110"/>
      <c r="MKP19" s="110"/>
      <c r="MKQ19" s="110"/>
      <c r="MKR19" s="110"/>
      <c r="MKS19" s="110"/>
      <c r="MKT19" s="110"/>
      <c r="MKU19" s="110"/>
      <c r="MKV19" s="110"/>
      <c r="MKW19" s="110"/>
      <c r="MKX19" s="110"/>
      <c r="MKY19" s="110"/>
      <c r="MKZ19" s="110"/>
      <c r="MLA19" s="110"/>
      <c r="MLB19" s="110"/>
      <c r="MLC19" s="110"/>
      <c r="MLD19" s="110"/>
      <c r="MLE19" s="110"/>
      <c r="MLF19" s="110"/>
      <c r="MLG19" s="110"/>
      <c r="MLH19" s="110"/>
      <c r="MLI19" s="110"/>
      <c r="MLJ19" s="110"/>
      <c r="MLK19" s="110"/>
      <c r="MLL19" s="110"/>
      <c r="MLM19" s="110"/>
      <c r="MLN19" s="110"/>
      <c r="MLO19" s="110"/>
      <c r="MLP19" s="110"/>
      <c r="MLQ19" s="110"/>
      <c r="MLR19" s="110"/>
      <c r="MLS19" s="110"/>
      <c r="MLT19" s="110"/>
      <c r="MLU19" s="110"/>
      <c r="MLV19" s="110"/>
      <c r="MLW19" s="110"/>
      <c r="MLX19" s="110"/>
      <c r="MLY19" s="110"/>
      <c r="MLZ19" s="110"/>
      <c r="MMA19" s="110"/>
      <c r="MMB19" s="110"/>
      <c r="MMC19" s="110"/>
      <c r="MMD19" s="110"/>
      <c r="MME19" s="110"/>
      <c r="MMF19" s="110"/>
      <c r="MMG19" s="110"/>
      <c r="MMH19" s="110"/>
      <c r="MMI19" s="110"/>
      <c r="MMJ19" s="110"/>
      <c r="MMK19" s="110"/>
      <c r="MML19" s="110"/>
      <c r="MMM19" s="110"/>
      <c r="MMN19" s="110"/>
      <c r="MMO19" s="110"/>
      <c r="MMP19" s="110"/>
      <c r="MMQ19" s="110"/>
      <c r="MMR19" s="110"/>
      <c r="MMS19" s="110"/>
      <c r="MMT19" s="110"/>
      <c r="MMU19" s="110"/>
      <c r="MMV19" s="110"/>
      <c r="MMW19" s="110"/>
      <c r="MMX19" s="110"/>
      <c r="MMY19" s="110"/>
      <c r="MMZ19" s="110"/>
      <c r="MNA19" s="110"/>
      <c r="MNB19" s="110"/>
      <c r="MNC19" s="110"/>
      <c r="MND19" s="110"/>
      <c r="MNE19" s="110"/>
      <c r="MNF19" s="110"/>
      <c r="MNG19" s="110"/>
      <c r="MNH19" s="110"/>
      <c r="MNI19" s="110"/>
      <c r="MNJ19" s="110"/>
      <c r="MNK19" s="110"/>
      <c r="MNL19" s="110"/>
      <c r="MNM19" s="110"/>
      <c r="MNN19" s="110"/>
      <c r="MNO19" s="110"/>
      <c r="MNP19" s="110"/>
      <c r="MNQ19" s="110"/>
      <c r="MNR19" s="110"/>
      <c r="MNS19" s="110"/>
      <c r="MNT19" s="110"/>
      <c r="MNU19" s="110"/>
      <c r="MNV19" s="110"/>
      <c r="MNW19" s="110"/>
      <c r="MNX19" s="110"/>
      <c r="MNY19" s="110"/>
      <c r="MNZ19" s="110"/>
      <c r="MOA19" s="110"/>
      <c r="MOB19" s="110"/>
      <c r="MOC19" s="110"/>
      <c r="MOD19" s="110"/>
      <c r="MOE19" s="110"/>
      <c r="MOF19" s="110"/>
      <c r="MOG19" s="110"/>
      <c r="MOH19" s="110"/>
      <c r="MOI19" s="110"/>
      <c r="MOJ19" s="110"/>
      <c r="MOK19" s="110"/>
      <c r="MOL19" s="110"/>
      <c r="MOM19" s="110"/>
      <c r="MON19" s="110"/>
      <c r="MOO19" s="110"/>
      <c r="MOP19" s="110"/>
      <c r="MOQ19" s="110"/>
      <c r="MOR19" s="110"/>
      <c r="MOS19" s="110"/>
      <c r="MOT19" s="110"/>
      <c r="MOU19" s="110"/>
      <c r="MOV19" s="110"/>
      <c r="MOW19" s="110"/>
      <c r="MOX19" s="110"/>
      <c r="MOY19" s="110"/>
      <c r="MOZ19" s="110"/>
      <c r="MPA19" s="110"/>
      <c r="MPB19" s="110"/>
      <c r="MPC19" s="110"/>
      <c r="MPD19" s="110"/>
      <c r="MPE19" s="110"/>
      <c r="MPF19" s="110"/>
      <c r="MPG19" s="110"/>
      <c r="MPH19" s="110"/>
      <c r="MPI19" s="110"/>
      <c r="MPJ19" s="110"/>
      <c r="MPK19" s="110"/>
      <c r="MPL19" s="110"/>
      <c r="MPM19" s="110"/>
      <c r="MPN19" s="110"/>
      <c r="MPO19" s="110"/>
      <c r="MPP19" s="110"/>
      <c r="MPQ19" s="110"/>
      <c r="MPR19" s="110"/>
      <c r="MPS19" s="110"/>
      <c r="MPT19" s="110"/>
      <c r="MPU19" s="110"/>
      <c r="MPV19" s="110"/>
      <c r="MPW19" s="110"/>
      <c r="MPX19" s="110"/>
      <c r="MPY19" s="110"/>
      <c r="MPZ19" s="110"/>
      <c r="MQA19" s="110"/>
      <c r="MQB19" s="110"/>
      <c r="MQC19" s="110"/>
      <c r="MQD19" s="110"/>
      <c r="MQE19" s="110"/>
      <c r="MQF19" s="110"/>
      <c r="MQG19" s="110"/>
      <c r="MQH19" s="110"/>
      <c r="MQI19" s="110"/>
      <c r="MQJ19" s="110"/>
      <c r="MQK19" s="110"/>
      <c r="MQL19" s="110"/>
      <c r="MQM19" s="110"/>
      <c r="MQN19" s="110"/>
      <c r="MQO19" s="110"/>
      <c r="MQP19" s="110"/>
      <c r="MQQ19" s="110"/>
      <c r="MQR19" s="110"/>
      <c r="MQS19" s="110"/>
      <c r="MQT19" s="110"/>
      <c r="MQU19" s="110"/>
      <c r="MQV19" s="110"/>
      <c r="MQW19" s="110"/>
      <c r="MQX19" s="110"/>
      <c r="MQY19" s="110"/>
      <c r="MQZ19" s="110"/>
      <c r="MRA19" s="110"/>
      <c r="MRB19" s="110"/>
      <c r="MRC19" s="110"/>
      <c r="MRD19" s="110"/>
      <c r="MRE19" s="110"/>
      <c r="MRF19" s="110"/>
      <c r="MRG19" s="110"/>
      <c r="MRH19" s="110"/>
      <c r="MRI19" s="110"/>
      <c r="MRJ19" s="110"/>
      <c r="MRK19" s="110"/>
      <c r="MRL19" s="110"/>
      <c r="MRM19" s="110"/>
      <c r="MRN19" s="110"/>
      <c r="MRO19" s="110"/>
      <c r="MRP19" s="110"/>
      <c r="MRQ19" s="110"/>
      <c r="MRR19" s="110"/>
      <c r="MRS19" s="110"/>
      <c r="MRT19" s="110"/>
      <c r="MRU19" s="110"/>
      <c r="MRV19" s="110"/>
      <c r="MRW19" s="110"/>
      <c r="MRX19" s="110"/>
      <c r="MRY19" s="110"/>
      <c r="MRZ19" s="110"/>
      <c r="MSA19" s="110"/>
      <c r="MSB19" s="110"/>
      <c r="MSC19" s="110"/>
      <c r="MSD19" s="110"/>
      <c r="MSE19" s="110"/>
      <c r="MSF19" s="110"/>
      <c r="MSG19" s="110"/>
      <c r="MSH19" s="110"/>
      <c r="MSI19" s="110"/>
      <c r="MSJ19" s="110"/>
      <c r="MSK19" s="110"/>
      <c r="MSL19" s="110"/>
      <c r="MSM19" s="110"/>
      <c r="MSN19" s="110"/>
      <c r="MSO19" s="110"/>
      <c r="MSP19" s="110"/>
      <c r="MSQ19" s="110"/>
      <c r="MSR19" s="110"/>
      <c r="MSS19" s="110"/>
      <c r="MST19" s="110"/>
      <c r="MSU19" s="110"/>
      <c r="MSV19" s="110"/>
      <c r="MSW19" s="110"/>
      <c r="MSX19" s="110"/>
      <c r="MSY19" s="110"/>
      <c r="MSZ19" s="110"/>
      <c r="MTA19" s="110"/>
      <c r="MTB19" s="110"/>
      <c r="MTC19" s="110"/>
      <c r="MTD19" s="110"/>
      <c r="MTE19" s="110"/>
      <c r="MTF19" s="110"/>
      <c r="MTG19" s="110"/>
      <c r="MTH19" s="110"/>
      <c r="MTI19" s="110"/>
      <c r="MTJ19" s="110"/>
      <c r="MTK19" s="110"/>
      <c r="MTL19" s="110"/>
      <c r="MTM19" s="110"/>
      <c r="MTN19" s="110"/>
      <c r="MTO19" s="110"/>
      <c r="MTP19" s="110"/>
      <c r="MTQ19" s="110"/>
      <c r="MTR19" s="110"/>
      <c r="MTS19" s="110"/>
      <c r="MTT19" s="110"/>
      <c r="MTU19" s="110"/>
      <c r="MTV19" s="110"/>
      <c r="MTW19" s="110"/>
      <c r="MTX19" s="110"/>
      <c r="MTY19" s="110"/>
      <c r="MTZ19" s="110"/>
      <c r="MUA19" s="110"/>
      <c r="MUB19" s="110"/>
      <c r="MUC19" s="110"/>
      <c r="MUD19" s="110"/>
      <c r="MUE19" s="110"/>
      <c r="MUF19" s="110"/>
      <c r="MUG19" s="110"/>
      <c r="MUH19" s="110"/>
      <c r="MUI19" s="110"/>
      <c r="MUJ19" s="110"/>
      <c r="MUK19" s="110"/>
      <c r="MUL19" s="110"/>
      <c r="MUM19" s="110"/>
      <c r="MUN19" s="110"/>
      <c r="MUO19" s="110"/>
      <c r="MUP19" s="110"/>
      <c r="MUQ19" s="110"/>
      <c r="MUR19" s="110"/>
      <c r="MUS19" s="110"/>
      <c r="MUT19" s="110"/>
      <c r="MUU19" s="110"/>
      <c r="MUV19" s="110"/>
      <c r="MUW19" s="110"/>
      <c r="MUX19" s="110"/>
      <c r="MUY19" s="110"/>
      <c r="MUZ19" s="110"/>
      <c r="MVA19" s="110"/>
      <c r="MVB19" s="110"/>
      <c r="MVC19" s="110"/>
      <c r="MVD19" s="110"/>
      <c r="MVE19" s="110"/>
      <c r="MVF19" s="110"/>
      <c r="MVG19" s="110"/>
      <c r="MVH19" s="110"/>
      <c r="MVI19" s="110"/>
      <c r="MVJ19" s="110"/>
      <c r="MVK19" s="110"/>
      <c r="MVL19" s="110"/>
      <c r="MVM19" s="110"/>
      <c r="MVN19" s="110"/>
      <c r="MVO19" s="110"/>
      <c r="MVP19" s="110"/>
      <c r="MVQ19" s="110"/>
      <c r="MVR19" s="110"/>
      <c r="MVS19" s="110"/>
      <c r="MVT19" s="110"/>
      <c r="MVU19" s="110"/>
      <c r="MVV19" s="110"/>
      <c r="MVW19" s="110"/>
      <c r="MVX19" s="110"/>
      <c r="MVY19" s="110"/>
      <c r="MVZ19" s="110"/>
      <c r="MWA19" s="110"/>
      <c r="MWB19" s="110"/>
      <c r="MWC19" s="110"/>
      <c r="MWD19" s="110"/>
      <c r="MWE19" s="110"/>
      <c r="MWF19" s="110"/>
      <c r="MWG19" s="110"/>
      <c r="MWH19" s="110"/>
      <c r="MWI19" s="110"/>
      <c r="MWJ19" s="110"/>
      <c r="MWK19" s="110"/>
      <c r="MWL19" s="110"/>
      <c r="MWM19" s="110"/>
      <c r="MWN19" s="110"/>
      <c r="MWO19" s="110"/>
      <c r="MWP19" s="110"/>
      <c r="MWQ19" s="110"/>
      <c r="MWR19" s="110"/>
      <c r="MWS19" s="110"/>
      <c r="MWT19" s="110"/>
      <c r="MWU19" s="110"/>
      <c r="MWV19" s="110"/>
      <c r="MWW19" s="110"/>
      <c r="MWX19" s="110"/>
      <c r="MWY19" s="110"/>
      <c r="MWZ19" s="110"/>
      <c r="MXA19" s="110"/>
      <c r="MXB19" s="110"/>
      <c r="MXC19" s="110"/>
      <c r="MXD19" s="110"/>
      <c r="MXE19" s="110"/>
      <c r="MXF19" s="110"/>
      <c r="MXG19" s="110"/>
      <c r="MXH19" s="110"/>
      <c r="MXI19" s="110"/>
      <c r="MXJ19" s="110"/>
      <c r="MXK19" s="110"/>
      <c r="MXL19" s="110"/>
      <c r="MXM19" s="110"/>
      <c r="MXN19" s="110"/>
      <c r="MXO19" s="110"/>
      <c r="MXP19" s="110"/>
      <c r="MXQ19" s="110"/>
      <c r="MXR19" s="110"/>
      <c r="MXS19" s="110"/>
      <c r="MXT19" s="110"/>
      <c r="MXU19" s="110"/>
      <c r="MXV19" s="110"/>
      <c r="MXW19" s="110"/>
      <c r="MXX19" s="110"/>
      <c r="MXY19" s="110"/>
      <c r="MXZ19" s="110"/>
      <c r="MYA19" s="110"/>
      <c r="MYB19" s="110"/>
      <c r="MYC19" s="110"/>
      <c r="MYD19" s="110"/>
      <c r="MYE19" s="110"/>
      <c r="MYF19" s="110"/>
      <c r="MYG19" s="110"/>
      <c r="MYH19" s="110"/>
      <c r="MYI19" s="110"/>
      <c r="MYJ19" s="110"/>
      <c r="MYK19" s="110"/>
      <c r="MYL19" s="110"/>
      <c r="MYM19" s="110"/>
      <c r="MYN19" s="110"/>
      <c r="MYO19" s="110"/>
      <c r="MYP19" s="110"/>
      <c r="MYQ19" s="110"/>
      <c r="MYR19" s="110"/>
      <c r="MYS19" s="110"/>
      <c r="MYT19" s="110"/>
      <c r="MYU19" s="110"/>
      <c r="MYV19" s="110"/>
      <c r="MYW19" s="110"/>
      <c r="MYX19" s="110"/>
      <c r="MYY19" s="110"/>
      <c r="MYZ19" s="110"/>
      <c r="MZA19" s="110"/>
      <c r="MZB19" s="110"/>
      <c r="MZC19" s="110"/>
      <c r="MZD19" s="110"/>
      <c r="MZE19" s="110"/>
      <c r="MZF19" s="110"/>
      <c r="MZG19" s="110"/>
      <c r="MZH19" s="110"/>
      <c r="MZI19" s="110"/>
      <c r="MZJ19" s="110"/>
      <c r="MZK19" s="110"/>
      <c r="MZL19" s="110"/>
      <c r="MZM19" s="110"/>
      <c r="MZN19" s="110"/>
      <c r="MZO19" s="110"/>
      <c r="MZP19" s="110"/>
      <c r="MZQ19" s="110"/>
      <c r="MZR19" s="110"/>
      <c r="MZS19" s="110"/>
      <c r="MZT19" s="110"/>
      <c r="MZU19" s="110"/>
      <c r="MZV19" s="110"/>
      <c r="MZW19" s="110"/>
      <c r="MZX19" s="110"/>
      <c r="MZY19" s="110"/>
      <c r="MZZ19" s="110"/>
      <c r="NAA19" s="110"/>
      <c r="NAB19" s="110"/>
      <c r="NAC19" s="110"/>
      <c r="NAD19" s="110"/>
      <c r="NAE19" s="110"/>
      <c r="NAF19" s="110"/>
      <c r="NAG19" s="110"/>
      <c r="NAH19" s="110"/>
      <c r="NAI19" s="110"/>
      <c r="NAJ19" s="110"/>
      <c r="NAK19" s="110"/>
      <c r="NAL19" s="110"/>
      <c r="NAM19" s="110"/>
      <c r="NAN19" s="110"/>
      <c r="NAO19" s="110"/>
      <c r="NAP19" s="110"/>
      <c r="NAQ19" s="110"/>
      <c r="NAR19" s="110"/>
      <c r="NAS19" s="110"/>
      <c r="NAT19" s="110"/>
      <c r="NAU19" s="110"/>
      <c r="NAV19" s="110"/>
      <c r="NAW19" s="110"/>
      <c r="NAX19" s="110"/>
      <c r="NAY19" s="110"/>
      <c r="NAZ19" s="110"/>
      <c r="NBA19" s="110"/>
      <c r="NBB19" s="110"/>
      <c r="NBC19" s="110"/>
      <c r="NBD19" s="110"/>
      <c r="NBE19" s="110"/>
      <c r="NBF19" s="110"/>
      <c r="NBG19" s="110"/>
      <c r="NBH19" s="110"/>
      <c r="NBI19" s="110"/>
      <c r="NBJ19" s="110"/>
      <c r="NBK19" s="110"/>
      <c r="NBL19" s="110"/>
      <c r="NBM19" s="110"/>
      <c r="NBN19" s="110"/>
      <c r="NBO19" s="110"/>
      <c r="NBP19" s="110"/>
      <c r="NBQ19" s="110"/>
      <c r="NBR19" s="110"/>
      <c r="NBS19" s="110"/>
      <c r="NBT19" s="110"/>
      <c r="NBU19" s="110"/>
      <c r="NBV19" s="110"/>
      <c r="NBW19" s="110"/>
      <c r="NBX19" s="110"/>
      <c r="NBY19" s="110"/>
      <c r="NBZ19" s="110"/>
      <c r="NCA19" s="110"/>
      <c r="NCB19" s="110"/>
      <c r="NCC19" s="110"/>
      <c r="NCD19" s="110"/>
      <c r="NCE19" s="110"/>
      <c r="NCF19" s="110"/>
      <c r="NCG19" s="110"/>
      <c r="NCH19" s="110"/>
      <c r="NCI19" s="110"/>
      <c r="NCJ19" s="110"/>
      <c r="NCK19" s="110"/>
      <c r="NCL19" s="110"/>
      <c r="NCM19" s="110"/>
      <c r="NCN19" s="110"/>
      <c r="NCO19" s="110"/>
      <c r="NCP19" s="110"/>
      <c r="NCQ19" s="110"/>
      <c r="NCR19" s="110"/>
      <c r="NCS19" s="110"/>
      <c r="NCT19" s="110"/>
      <c r="NCU19" s="110"/>
      <c r="NCV19" s="110"/>
      <c r="NCW19" s="110"/>
      <c r="NCX19" s="110"/>
      <c r="NCY19" s="110"/>
      <c r="NCZ19" s="110"/>
      <c r="NDA19" s="110"/>
      <c r="NDB19" s="110"/>
      <c r="NDC19" s="110"/>
      <c r="NDD19" s="110"/>
      <c r="NDE19" s="110"/>
      <c r="NDF19" s="110"/>
      <c r="NDG19" s="110"/>
      <c r="NDH19" s="110"/>
      <c r="NDI19" s="110"/>
      <c r="NDJ19" s="110"/>
      <c r="NDK19" s="110"/>
      <c r="NDL19" s="110"/>
      <c r="NDM19" s="110"/>
      <c r="NDN19" s="110"/>
      <c r="NDO19" s="110"/>
      <c r="NDP19" s="110"/>
      <c r="NDQ19" s="110"/>
      <c r="NDR19" s="110"/>
      <c r="NDS19" s="110"/>
      <c r="NDT19" s="110"/>
      <c r="NDU19" s="110"/>
      <c r="NDV19" s="110"/>
      <c r="NDW19" s="110"/>
      <c r="NDX19" s="110"/>
      <c r="NDY19" s="110"/>
      <c r="NDZ19" s="110"/>
      <c r="NEA19" s="110"/>
      <c r="NEB19" s="110"/>
      <c r="NEC19" s="110"/>
      <c r="NED19" s="110"/>
      <c r="NEE19" s="110"/>
      <c r="NEF19" s="110"/>
      <c r="NEG19" s="110"/>
      <c r="NEH19" s="110"/>
      <c r="NEI19" s="110"/>
      <c r="NEJ19" s="110"/>
      <c r="NEK19" s="110"/>
      <c r="NEL19" s="110"/>
      <c r="NEM19" s="110"/>
      <c r="NEN19" s="110"/>
      <c r="NEO19" s="110"/>
      <c r="NEP19" s="110"/>
      <c r="NEQ19" s="110"/>
      <c r="NER19" s="110"/>
      <c r="NES19" s="110"/>
      <c r="NET19" s="110"/>
      <c r="NEU19" s="110"/>
      <c r="NEV19" s="110"/>
      <c r="NEW19" s="110"/>
      <c r="NEX19" s="110"/>
      <c r="NEY19" s="110"/>
      <c r="NEZ19" s="110"/>
      <c r="NFA19" s="110"/>
      <c r="NFB19" s="110"/>
      <c r="NFC19" s="110"/>
      <c r="NFD19" s="110"/>
      <c r="NFE19" s="110"/>
      <c r="NFF19" s="110"/>
      <c r="NFG19" s="110"/>
      <c r="NFH19" s="110"/>
      <c r="NFI19" s="110"/>
      <c r="NFJ19" s="110"/>
      <c r="NFK19" s="110"/>
      <c r="NFL19" s="110"/>
      <c r="NFM19" s="110"/>
      <c r="NFN19" s="110"/>
      <c r="NFO19" s="110"/>
      <c r="NFP19" s="110"/>
      <c r="NFQ19" s="110"/>
      <c r="NFR19" s="110"/>
      <c r="NFS19" s="110"/>
      <c r="NFT19" s="110"/>
      <c r="NFU19" s="110"/>
      <c r="NFV19" s="110"/>
      <c r="NFW19" s="110"/>
      <c r="NFX19" s="110"/>
      <c r="NFY19" s="110"/>
      <c r="NFZ19" s="110"/>
      <c r="NGA19" s="110"/>
      <c r="NGB19" s="110"/>
      <c r="NGC19" s="110"/>
      <c r="NGD19" s="110"/>
      <c r="NGE19" s="110"/>
      <c r="NGF19" s="110"/>
      <c r="NGG19" s="110"/>
      <c r="NGH19" s="110"/>
      <c r="NGI19" s="110"/>
      <c r="NGJ19" s="110"/>
      <c r="NGK19" s="110"/>
      <c r="NGL19" s="110"/>
      <c r="NGM19" s="110"/>
      <c r="NGN19" s="110"/>
      <c r="NGO19" s="110"/>
      <c r="NGP19" s="110"/>
      <c r="NGQ19" s="110"/>
      <c r="NGR19" s="110"/>
      <c r="NGS19" s="110"/>
      <c r="NGT19" s="110"/>
      <c r="NGU19" s="110"/>
      <c r="NGV19" s="110"/>
      <c r="NGW19" s="110"/>
      <c r="NGX19" s="110"/>
      <c r="NGY19" s="110"/>
      <c r="NGZ19" s="110"/>
      <c r="NHA19" s="110"/>
      <c r="NHB19" s="110"/>
      <c r="NHC19" s="110"/>
      <c r="NHD19" s="110"/>
      <c r="NHE19" s="110"/>
      <c r="NHF19" s="110"/>
      <c r="NHG19" s="110"/>
      <c r="NHH19" s="110"/>
      <c r="NHI19" s="110"/>
      <c r="NHJ19" s="110"/>
      <c r="NHK19" s="110"/>
      <c r="NHL19" s="110"/>
      <c r="NHM19" s="110"/>
      <c r="NHN19" s="110"/>
      <c r="NHO19" s="110"/>
      <c r="NHP19" s="110"/>
      <c r="NHQ19" s="110"/>
      <c r="NHR19" s="110"/>
      <c r="NHS19" s="110"/>
      <c r="NHT19" s="110"/>
      <c r="NHU19" s="110"/>
      <c r="NHV19" s="110"/>
      <c r="NHW19" s="110"/>
      <c r="NHX19" s="110"/>
      <c r="NHY19" s="110"/>
      <c r="NHZ19" s="110"/>
      <c r="NIA19" s="110"/>
      <c r="NIB19" s="110"/>
      <c r="NIC19" s="110"/>
      <c r="NID19" s="110"/>
      <c r="NIE19" s="110"/>
      <c r="NIF19" s="110"/>
      <c r="NIG19" s="110"/>
      <c r="NIH19" s="110"/>
      <c r="NII19" s="110"/>
      <c r="NIJ19" s="110"/>
      <c r="NIK19" s="110"/>
      <c r="NIL19" s="110"/>
      <c r="NIM19" s="110"/>
      <c r="NIN19" s="110"/>
      <c r="NIO19" s="110"/>
      <c r="NIP19" s="110"/>
      <c r="NIQ19" s="110"/>
      <c r="NIR19" s="110"/>
      <c r="NIS19" s="110"/>
      <c r="NIT19" s="110"/>
      <c r="NIU19" s="110"/>
      <c r="NIV19" s="110"/>
      <c r="NIW19" s="110"/>
      <c r="NIX19" s="110"/>
      <c r="NIY19" s="110"/>
      <c r="NIZ19" s="110"/>
      <c r="NJA19" s="110"/>
      <c r="NJB19" s="110"/>
      <c r="NJC19" s="110"/>
      <c r="NJD19" s="110"/>
      <c r="NJE19" s="110"/>
      <c r="NJF19" s="110"/>
      <c r="NJG19" s="110"/>
      <c r="NJH19" s="110"/>
      <c r="NJI19" s="110"/>
      <c r="NJJ19" s="110"/>
      <c r="NJK19" s="110"/>
      <c r="NJL19" s="110"/>
      <c r="NJM19" s="110"/>
      <c r="NJN19" s="110"/>
      <c r="NJO19" s="110"/>
      <c r="NJP19" s="110"/>
      <c r="NJQ19" s="110"/>
      <c r="NJR19" s="110"/>
      <c r="NJS19" s="110"/>
      <c r="NJT19" s="110"/>
      <c r="NJU19" s="110"/>
      <c r="NJV19" s="110"/>
      <c r="NJW19" s="110"/>
      <c r="NJX19" s="110"/>
      <c r="NJY19" s="110"/>
      <c r="NJZ19" s="110"/>
      <c r="NKA19" s="110"/>
      <c r="NKB19" s="110"/>
      <c r="NKC19" s="110"/>
      <c r="NKD19" s="110"/>
      <c r="NKE19" s="110"/>
      <c r="NKF19" s="110"/>
      <c r="NKG19" s="110"/>
      <c r="NKH19" s="110"/>
      <c r="NKI19" s="110"/>
      <c r="NKJ19" s="110"/>
      <c r="NKK19" s="110"/>
      <c r="NKL19" s="110"/>
      <c r="NKM19" s="110"/>
      <c r="NKN19" s="110"/>
      <c r="NKO19" s="110"/>
      <c r="NKP19" s="110"/>
      <c r="NKQ19" s="110"/>
      <c r="NKR19" s="110"/>
      <c r="NKS19" s="110"/>
      <c r="NKT19" s="110"/>
      <c r="NKU19" s="110"/>
      <c r="NKV19" s="110"/>
      <c r="NKW19" s="110"/>
      <c r="NKX19" s="110"/>
      <c r="NKY19" s="110"/>
      <c r="NKZ19" s="110"/>
      <c r="NLA19" s="110"/>
      <c r="NLB19" s="110"/>
      <c r="NLC19" s="110"/>
      <c r="NLD19" s="110"/>
      <c r="NLE19" s="110"/>
      <c r="NLF19" s="110"/>
      <c r="NLG19" s="110"/>
      <c r="NLH19" s="110"/>
      <c r="NLI19" s="110"/>
      <c r="NLJ19" s="110"/>
      <c r="NLK19" s="110"/>
      <c r="NLL19" s="110"/>
      <c r="NLM19" s="110"/>
      <c r="NLN19" s="110"/>
      <c r="NLO19" s="110"/>
      <c r="NLP19" s="110"/>
      <c r="NLQ19" s="110"/>
      <c r="NLR19" s="110"/>
      <c r="NLS19" s="110"/>
      <c r="NLT19" s="110"/>
      <c r="NLU19" s="110"/>
      <c r="NLV19" s="110"/>
      <c r="NLW19" s="110"/>
      <c r="NLX19" s="110"/>
      <c r="NLY19" s="110"/>
      <c r="NLZ19" s="110"/>
      <c r="NMA19" s="110"/>
      <c r="NMB19" s="110"/>
      <c r="NMC19" s="110"/>
      <c r="NMD19" s="110"/>
      <c r="NME19" s="110"/>
      <c r="NMF19" s="110"/>
      <c r="NMG19" s="110"/>
      <c r="NMH19" s="110"/>
      <c r="NMI19" s="110"/>
      <c r="NMJ19" s="110"/>
      <c r="NMK19" s="110"/>
      <c r="NML19" s="110"/>
      <c r="NMM19" s="110"/>
      <c r="NMN19" s="110"/>
      <c r="NMO19" s="110"/>
      <c r="NMP19" s="110"/>
      <c r="NMQ19" s="110"/>
      <c r="NMR19" s="110"/>
      <c r="NMS19" s="110"/>
      <c r="NMT19" s="110"/>
      <c r="NMU19" s="110"/>
      <c r="NMV19" s="110"/>
      <c r="NMW19" s="110"/>
      <c r="NMX19" s="110"/>
      <c r="NMY19" s="110"/>
      <c r="NMZ19" s="110"/>
      <c r="NNA19" s="110"/>
      <c r="NNB19" s="110"/>
      <c r="NNC19" s="110"/>
      <c r="NND19" s="110"/>
      <c r="NNE19" s="110"/>
      <c r="NNF19" s="110"/>
      <c r="NNG19" s="110"/>
      <c r="NNH19" s="110"/>
      <c r="NNI19" s="110"/>
      <c r="NNJ19" s="110"/>
      <c r="NNK19" s="110"/>
      <c r="NNL19" s="110"/>
      <c r="NNM19" s="110"/>
      <c r="NNN19" s="110"/>
      <c r="NNO19" s="110"/>
      <c r="NNP19" s="110"/>
      <c r="NNQ19" s="110"/>
      <c r="NNR19" s="110"/>
      <c r="NNS19" s="110"/>
      <c r="NNT19" s="110"/>
      <c r="NNU19" s="110"/>
      <c r="NNV19" s="110"/>
      <c r="NNW19" s="110"/>
      <c r="NNX19" s="110"/>
      <c r="NNY19" s="110"/>
      <c r="NNZ19" s="110"/>
      <c r="NOA19" s="110"/>
      <c r="NOB19" s="110"/>
      <c r="NOC19" s="110"/>
      <c r="NOD19" s="110"/>
      <c r="NOE19" s="110"/>
      <c r="NOF19" s="110"/>
      <c r="NOG19" s="110"/>
      <c r="NOH19" s="110"/>
      <c r="NOI19" s="110"/>
      <c r="NOJ19" s="110"/>
      <c r="NOK19" s="110"/>
      <c r="NOL19" s="110"/>
      <c r="NOM19" s="110"/>
      <c r="NON19" s="110"/>
      <c r="NOO19" s="110"/>
      <c r="NOP19" s="110"/>
      <c r="NOQ19" s="110"/>
      <c r="NOR19" s="110"/>
      <c r="NOS19" s="110"/>
      <c r="NOT19" s="110"/>
      <c r="NOU19" s="110"/>
      <c r="NOV19" s="110"/>
      <c r="NOW19" s="110"/>
      <c r="NOX19" s="110"/>
      <c r="NOY19" s="110"/>
      <c r="NOZ19" s="110"/>
      <c r="NPA19" s="110"/>
      <c r="NPB19" s="110"/>
      <c r="NPC19" s="110"/>
      <c r="NPD19" s="110"/>
      <c r="NPE19" s="110"/>
      <c r="NPF19" s="110"/>
      <c r="NPG19" s="110"/>
      <c r="NPH19" s="110"/>
      <c r="NPI19" s="110"/>
      <c r="NPJ19" s="110"/>
      <c r="NPK19" s="110"/>
      <c r="NPL19" s="110"/>
      <c r="NPM19" s="110"/>
      <c r="NPN19" s="110"/>
      <c r="NPO19" s="110"/>
      <c r="NPP19" s="110"/>
      <c r="NPQ19" s="110"/>
      <c r="NPR19" s="110"/>
      <c r="NPS19" s="110"/>
      <c r="NPT19" s="110"/>
      <c r="NPU19" s="110"/>
      <c r="NPV19" s="110"/>
      <c r="NPW19" s="110"/>
      <c r="NPX19" s="110"/>
      <c r="NPY19" s="110"/>
      <c r="NPZ19" s="110"/>
      <c r="NQA19" s="110"/>
      <c r="NQB19" s="110"/>
      <c r="NQC19" s="110"/>
      <c r="NQD19" s="110"/>
      <c r="NQE19" s="110"/>
      <c r="NQF19" s="110"/>
      <c r="NQG19" s="110"/>
      <c r="NQH19" s="110"/>
      <c r="NQI19" s="110"/>
      <c r="NQJ19" s="110"/>
      <c r="NQK19" s="110"/>
      <c r="NQL19" s="110"/>
      <c r="NQM19" s="110"/>
      <c r="NQN19" s="110"/>
      <c r="NQO19" s="110"/>
      <c r="NQP19" s="110"/>
      <c r="NQQ19" s="110"/>
      <c r="NQR19" s="110"/>
      <c r="NQS19" s="110"/>
      <c r="NQT19" s="110"/>
      <c r="NQU19" s="110"/>
      <c r="NQV19" s="110"/>
      <c r="NQW19" s="110"/>
      <c r="NQX19" s="110"/>
      <c r="NQY19" s="110"/>
      <c r="NQZ19" s="110"/>
      <c r="NRA19" s="110"/>
      <c r="NRB19" s="110"/>
      <c r="NRC19" s="110"/>
      <c r="NRD19" s="110"/>
      <c r="NRE19" s="110"/>
      <c r="NRF19" s="110"/>
      <c r="NRG19" s="110"/>
      <c r="NRH19" s="110"/>
      <c r="NRI19" s="110"/>
      <c r="NRJ19" s="110"/>
      <c r="NRK19" s="110"/>
      <c r="NRL19" s="110"/>
      <c r="NRM19" s="110"/>
      <c r="NRN19" s="110"/>
      <c r="NRO19" s="110"/>
      <c r="NRP19" s="110"/>
      <c r="NRQ19" s="110"/>
      <c r="NRR19" s="110"/>
      <c r="NRS19" s="110"/>
      <c r="NRT19" s="110"/>
      <c r="NRU19" s="110"/>
      <c r="NRV19" s="110"/>
      <c r="NRW19" s="110"/>
      <c r="NRX19" s="110"/>
      <c r="NRY19" s="110"/>
      <c r="NRZ19" s="110"/>
      <c r="NSA19" s="110"/>
      <c r="NSB19" s="110"/>
      <c r="NSC19" s="110"/>
      <c r="NSD19" s="110"/>
      <c r="NSE19" s="110"/>
      <c r="NSF19" s="110"/>
      <c r="NSG19" s="110"/>
      <c r="NSH19" s="110"/>
      <c r="NSI19" s="110"/>
      <c r="NSJ19" s="110"/>
      <c r="NSK19" s="110"/>
      <c r="NSL19" s="110"/>
      <c r="NSM19" s="110"/>
      <c r="NSN19" s="110"/>
      <c r="NSO19" s="110"/>
      <c r="NSP19" s="110"/>
      <c r="NSQ19" s="110"/>
      <c r="NSR19" s="110"/>
      <c r="NSS19" s="110"/>
      <c r="NST19" s="110"/>
      <c r="NSU19" s="110"/>
      <c r="NSV19" s="110"/>
      <c r="NSW19" s="110"/>
      <c r="NSX19" s="110"/>
      <c r="NSY19" s="110"/>
      <c r="NSZ19" s="110"/>
      <c r="NTA19" s="110"/>
      <c r="NTB19" s="110"/>
      <c r="NTC19" s="110"/>
      <c r="NTD19" s="110"/>
      <c r="NTE19" s="110"/>
      <c r="NTF19" s="110"/>
      <c r="NTG19" s="110"/>
      <c r="NTH19" s="110"/>
      <c r="NTI19" s="110"/>
      <c r="NTJ19" s="110"/>
      <c r="NTK19" s="110"/>
      <c r="NTL19" s="110"/>
      <c r="NTM19" s="110"/>
      <c r="NTN19" s="110"/>
      <c r="NTO19" s="110"/>
      <c r="NTP19" s="110"/>
      <c r="NTQ19" s="110"/>
      <c r="NTR19" s="110"/>
      <c r="NTS19" s="110"/>
      <c r="NTT19" s="110"/>
      <c r="NTU19" s="110"/>
      <c r="NTV19" s="110"/>
      <c r="NTW19" s="110"/>
      <c r="NTX19" s="110"/>
      <c r="NTY19" s="110"/>
      <c r="NTZ19" s="110"/>
      <c r="NUA19" s="110"/>
      <c r="NUB19" s="110"/>
      <c r="NUC19" s="110"/>
      <c r="NUD19" s="110"/>
      <c r="NUE19" s="110"/>
      <c r="NUF19" s="110"/>
      <c r="NUG19" s="110"/>
      <c r="NUH19" s="110"/>
      <c r="NUI19" s="110"/>
      <c r="NUJ19" s="110"/>
      <c r="NUK19" s="110"/>
      <c r="NUL19" s="110"/>
      <c r="NUM19" s="110"/>
      <c r="NUN19" s="110"/>
      <c r="NUO19" s="110"/>
      <c r="NUP19" s="110"/>
      <c r="NUQ19" s="110"/>
      <c r="NUR19" s="110"/>
      <c r="NUS19" s="110"/>
      <c r="NUT19" s="110"/>
      <c r="NUU19" s="110"/>
      <c r="NUV19" s="110"/>
      <c r="NUW19" s="110"/>
      <c r="NUX19" s="110"/>
      <c r="NUY19" s="110"/>
      <c r="NUZ19" s="110"/>
      <c r="NVA19" s="110"/>
      <c r="NVB19" s="110"/>
      <c r="NVC19" s="110"/>
      <c r="NVD19" s="110"/>
      <c r="NVE19" s="110"/>
      <c r="NVF19" s="110"/>
      <c r="NVG19" s="110"/>
      <c r="NVH19" s="110"/>
      <c r="NVI19" s="110"/>
      <c r="NVJ19" s="110"/>
      <c r="NVK19" s="110"/>
      <c r="NVL19" s="110"/>
      <c r="NVM19" s="110"/>
      <c r="NVN19" s="110"/>
      <c r="NVO19" s="110"/>
      <c r="NVP19" s="110"/>
      <c r="NVQ19" s="110"/>
      <c r="NVR19" s="110"/>
      <c r="NVS19" s="110"/>
      <c r="NVT19" s="110"/>
      <c r="NVU19" s="110"/>
      <c r="NVV19" s="110"/>
      <c r="NVW19" s="110"/>
      <c r="NVX19" s="110"/>
      <c r="NVY19" s="110"/>
      <c r="NVZ19" s="110"/>
      <c r="NWA19" s="110"/>
      <c r="NWB19" s="110"/>
      <c r="NWC19" s="110"/>
      <c r="NWD19" s="110"/>
      <c r="NWE19" s="110"/>
      <c r="NWF19" s="110"/>
      <c r="NWG19" s="110"/>
      <c r="NWH19" s="110"/>
      <c r="NWI19" s="110"/>
      <c r="NWJ19" s="110"/>
      <c r="NWK19" s="110"/>
      <c r="NWL19" s="110"/>
      <c r="NWM19" s="110"/>
      <c r="NWN19" s="110"/>
      <c r="NWO19" s="110"/>
      <c r="NWP19" s="110"/>
      <c r="NWQ19" s="110"/>
      <c r="NWR19" s="110"/>
      <c r="NWS19" s="110"/>
      <c r="NWT19" s="110"/>
      <c r="NWU19" s="110"/>
      <c r="NWV19" s="110"/>
      <c r="NWW19" s="110"/>
      <c r="NWX19" s="110"/>
      <c r="NWY19" s="110"/>
      <c r="NWZ19" s="110"/>
      <c r="NXA19" s="110"/>
      <c r="NXB19" s="110"/>
      <c r="NXC19" s="110"/>
      <c r="NXD19" s="110"/>
      <c r="NXE19" s="110"/>
      <c r="NXF19" s="110"/>
      <c r="NXG19" s="110"/>
      <c r="NXH19" s="110"/>
      <c r="NXI19" s="110"/>
      <c r="NXJ19" s="110"/>
      <c r="NXK19" s="110"/>
      <c r="NXL19" s="110"/>
      <c r="NXM19" s="110"/>
      <c r="NXN19" s="110"/>
      <c r="NXO19" s="110"/>
      <c r="NXP19" s="110"/>
      <c r="NXQ19" s="110"/>
      <c r="NXR19" s="110"/>
      <c r="NXS19" s="110"/>
      <c r="NXT19" s="110"/>
      <c r="NXU19" s="110"/>
      <c r="NXV19" s="110"/>
      <c r="NXW19" s="110"/>
      <c r="NXX19" s="110"/>
      <c r="NXY19" s="110"/>
      <c r="NXZ19" s="110"/>
      <c r="NYA19" s="110"/>
      <c r="NYB19" s="110"/>
      <c r="NYC19" s="110"/>
      <c r="NYD19" s="110"/>
      <c r="NYE19" s="110"/>
      <c r="NYF19" s="110"/>
      <c r="NYG19" s="110"/>
      <c r="NYH19" s="110"/>
      <c r="NYI19" s="110"/>
      <c r="NYJ19" s="110"/>
      <c r="NYK19" s="110"/>
      <c r="NYL19" s="110"/>
      <c r="NYM19" s="110"/>
      <c r="NYN19" s="110"/>
      <c r="NYO19" s="110"/>
      <c r="NYP19" s="110"/>
      <c r="NYQ19" s="110"/>
      <c r="NYR19" s="110"/>
      <c r="NYS19" s="110"/>
      <c r="NYT19" s="110"/>
      <c r="NYU19" s="110"/>
      <c r="NYV19" s="110"/>
      <c r="NYW19" s="110"/>
      <c r="NYX19" s="110"/>
      <c r="NYY19" s="110"/>
      <c r="NYZ19" s="110"/>
      <c r="NZA19" s="110"/>
      <c r="NZB19" s="110"/>
      <c r="NZC19" s="110"/>
      <c r="NZD19" s="110"/>
      <c r="NZE19" s="110"/>
      <c r="NZF19" s="110"/>
      <c r="NZG19" s="110"/>
      <c r="NZH19" s="110"/>
      <c r="NZI19" s="110"/>
      <c r="NZJ19" s="110"/>
      <c r="NZK19" s="110"/>
      <c r="NZL19" s="110"/>
      <c r="NZM19" s="110"/>
      <c r="NZN19" s="110"/>
      <c r="NZO19" s="110"/>
      <c r="NZP19" s="110"/>
      <c r="NZQ19" s="110"/>
      <c r="NZR19" s="110"/>
      <c r="NZS19" s="110"/>
      <c r="NZT19" s="110"/>
      <c r="NZU19" s="110"/>
      <c r="NZV19" s="110"/>
      <c r="NZW19" s="110"/>
      <c r="NZX19" s="110"/>
      <c r="NZY19" s="110"/>
      <c r="NZZ19" s="110"/>
      <c r="OAA19" s="110"/>
      <c r="OAB19" s="110"/>
      <c r="OAC19" s="110"/>
      <c r="OAD19" s="110"/>
      <c r="OAE19" s="110"/>
      <c r="OAF19" s="110"/>
      <c r="OAG19" s="110"/>
      <c r="OAH19" s="110"/>
      <c r="OAI19" s="110"/>
      <c r="OAJ19" s="110"/>
      <c r="OAK19" s="110"/>
      <c r="OAL19" s="110"/>
      <c r="OAM19" s="110"/>
      <c r="OAN19" s="110"/>
      <c r="OAO19" s="110"/>
      <c r="OAP19" s="110"/>
      <c r="OAQ19" s="110"/>
      <c r="OAR19" s="110"/>
      <c r="OAS19" s="110"/>
      <c r="OAT19" s="110"/>
      <c r="OAU19" s="110"/>
      <c r="OAV19" s="110"/>
      <c r="OAW19" s="110"/>
      <c r="OAX19" s="110"/>
      <c r="OAY19" s="110"/>
      <c r="OAZ19" s="110"/>
      <c r="OBA19" s="110"/>
      <c r="OBB19" s="110"/>
      <c r="OBC19" s="110"/>
      <c r="OBD19" s="110"/>
      <c r="OBE19" s="110"/>
      <c r="OBF19" s="110"/>
      <c r="OBG19" s="110"/>
      <c r="OBH19" s="110"/>
      <c r="OBI19" s="110"/>
      <c r="OBJ19" s="110"/>
      <c r="OBK19" s="110"/>
      <c r="OBL19" s="110"/>
      <c r="OBM19" s="110"/>
      <c r="OBN19" s="110"/>
      <c r="OBO19" s="110"/>
      <c r="OBP19" s="110"/>
      <c r="OBQ19" s="110"/>
      <c r="OBR19" s="110"/>
      <c r="OBS19" s="110"/>
      <c r="OBT19" s="110"/>
      <c r="OBU19" s="110"/>
      <c r="OBV19" s="110"/>
      <c r="OBW19" s="110"/>
      <c r="OBX19" s="110"/>
      <c r="OBY19" s="110"/>
      <c r="OBZ19" s="110"/>
      <c r="OCA19" s="110"/>
      <c r="OCB19" s="110"/>
      <c r="OCC19" s="110"/>
      <c r="OCD19" s="110"/>
      <c r="OCE19" s="110"/>
      <c r="OCF19" s="110"/>
      <c r="OCG19" s="110"/>
      <c r="OCH19" s="110"/>
      <c r="OCI19" s="110"/>
      <c r="OCJ19" s="110"/>
      <c r="OCK19" s="110"/>
      <c r="OCL19" s="110"/>
      <c r="OCM19" s="110"/>
      <c r="OCN19" s="110"/>
      <c r="OCO19" s="110"/>
      <c r="OCP19" s="110"/>
      <c r="OCQ19" s="110"/>
      <c r="OCR19" s="110"/>
      <c r="OCS19" s="110"/>
      <c r="OCT19" s="110"/>
      <c r="OCU19" s="110"/>
      <c r="OCV19" s="110"/>
      <c r="OCW19" s="110"/>
      <c r="OCX19" s="110"/>
      <c r="OCY19" s="110"/>
      <c r="OCZ19" s="110"/>
      <c r="ODA19" s="110"/>
      <c r="ODB19" s="110"/>
      <c r="ODC19" s="110"/>
      <c r="ODD19" s="110"/>
      <c r="ODE19" s="110"/>
      <c r="ODF19" s="110"/>
      <c r="ODG19" s="110"/>
      <c r="ODH19" s="110"/>
      <c r="ODI19" s="110"/>
      <c r="ODJ19" s="110"/>
      <c r="ODK19" s="110"/>
      <c r="ODL19" s="110"/>
      <c r="ODM19" s="110"/>
      <c r="ODN19" s="110"/>
      <c r="ODO19" s="110"/>
      <c r="ODP19" s="110"/>
      <c r="ODQ19" s="110"/>
      <c r="ODR19" s="110"/>
      <c r="ODS19" s="110"/>
      <c r="ODT19" s="110"/>
      <c r="ODU19" s="110"/>
      <c r="ODV19" s="110"/>
      <c r="ODW19" s="110"/>
      <c r="ODX19" s="110"/>
      <c r="ODY19" s="110"/>
      <c r="ODZ19" s="110"/>
      <c r="OEA19" s="110"/>
      <c r="OEB19" s="110"/>
      <c r="OEC19" s="110"/>
      <c r="OED19" s="110"/>
      <c r="OEE19" s="110"/>
      <c r="OEF19" s="110"/>
      <c r="OEG19" s="110"/>
      <c r="OEH19" s="110"/>
      <c r="OEI19" s="110"/>
      <c r="OEJ19" s="110"/>
      <c r="OEK19" s="110"/>
      <c r="OEL19" s="110"/>
      <c r="OEM19" s="110"/>
      <c r="OEN19" s="110"/>
      <c r="OEO19" s="110"/>
      <c r="OEP19" s="110"/>
      <c r="OEQ19" s="110"/>
      <c r="OER19" s="110"/>
      <c r="OES19" s="110"/>
      <c r="OET19" s="110"/>
      <c r="OEU19" s="110"/>
      <c r="OEV19" s="110"/>
      <c r="OEW19" s="110"/>
      <c r="OEX19" s="110"/>
      <c r="OEY19" s="110"/>
      <c r="OEZ19" s="110"/>
      <c r="OFA19" s="110"/>
      <c r="OFB19" s="110"/>
      <c r="OFC19" s="110"/>
      <c r="OFD19" s="110"/>
      <c r="OFE19" s="110"/>
      <c r="OFF19" s="110"/>
      <c r="OFG19" s="110"/>
      <c r="OFH19" s="110"/>
      <c r="OFI19" s="110"/>
      <c r="OFJ19" s="110"/>
      <c r="OFK19" s="110"/>
      <c r="OFL19" s="110"/>
      <c r="OFM19" s="110"/>
      <c r="OFN19" s="110"/>
      <c r="OFO19" s="110"/>
      <c r="OFP19" s="110"/>
      <c r="OFQ19" s="110"/>
      <c r="OFR19" s="110"/>
      <c r="OFS19" s="110"/>
      <c r="OFT19" s="110"/>
      <c r="OFU19" s="110"/>
      <c r="OFV19" s="110"/>
      <c r="OFW19" s="110"/>
      <c r="OFX19" s="110"/>
      <c r="OFY19" s="110"/>
      <c r="OFZ19" s="110"/>
      <c r="OGA19" s="110"/>
      <c r="OGB19" s="110"/>
      <c r="OGC19" s="110"/>
      <c r="OGD19" s="110"/>
      <c r="OGE19" s="110"/>
      <c r="OGF19" s="110"/>
      <c r="OGG19" s="110"/>
      <c r="OGH19" s="110"/>
      <c r="OGI19" s="110"/>
      <c r="OGJ19" s="110"/>
      <c r="OGK19" s="110"/>
      <c r="OGL19" s="110"/>
      <c r="OGM19" s="110"/>
      <c r="OGN19" s="110"/>
      <c r="OGO19" s="110"/>
      <c r="OGP19" s="110"/>
      <c r="OGQ19" s="110"/>
      <c r="OGR19" s="110"/>
      <c r="OGS19" s="110"/>
      <c r="OGT19" s="110"/>
      <c r="OGU19" s="110"/>
      <c r="OGV19" s="110"/>
      <c r="OGW19" s="110"/>
      <c r="OGX19" s="110"/>
      <c r="OGY19" s="110"/>
      <c r="OGZ19" s="110"/>
      <c r="OHA19" s="110"/>
      <c r="OHB19" s="110"/>
      <c r="OHC19" s="110"/>
      <c r="OHD19" s="110"/>
      <c r="OHE19" s="110"/>
      <c r="OHF19" s="110"/>
      <c r="OHG19" s="110"/>
      <c r="OHH19" s="110"/>
      <c r="OHI19" s="110"/>
      <c r="OHJ19" s="110"/>
      <c r="OHK19" s="110"/>
      <c r="OHL19" s="110"/>
      <c r="OHM19" s="110"/>
      <c r="OHN19" s="110"/>
      <c r="OHO19" s="110"/>
      <c r="OHP19" s="110"/>
      <c r="OHQ19" s="110"/>
      <c r="OHR19" s="110"/>
      <c r="OHS19" s="110"/>
      <c r="OHT19" s="110"/>
      <c r="OHU19" s="110"/>
      <c r="OHV19" s="110"/>
      <c r="OHW19" s="110"/>
      <c r="OHX19" s="110"/>
      <c r="OHY19" s="110"/>
      <c r="OHZ19" s="110"/>
      <c r="OIA19" s="110"/>
      <c r="OIB19" s="110"/>
      <c r="OIC19" s="110"/>
      <c r="OID19" s="110"/>
      <c r="OIE19" s="110"/>
      <c r="OIF19" s="110"/>
      <c r="OIG19" s="110"/>
      <c r="OIH19" s="110"/>
      <c r="OII19" s="110"/>
      <c r="OIJ19" s="110"/>
      <c r="OIK19" s="110"/>
      <c r="OIL19" s="110"/>
      <c r="OIM19" s="110"/>
      <c r="OIN19" s="110"/>
      <c r="OIO19" s="110"/>
      <c r="OIP19" s="110"/>
      <c r="OIQ19" s="110"/>
      <c r="OIR19" s="110"/>
      <c r="OIS19" s="110"/>
      <c r="OIT19" s="110"/>
      <c r="OIU19" s="110"/>
      <c r="OIV19" s="110"/>
      <c r="OIW19" s="110"/>
      <c r="OIX19" s="110"/>
      <c r="OIY19" s="110"/>
      <c r="OIZ19" s="110"/>
      <c r="OJA19" s="110"/>
      <c r="OJB19" s="110"/>
      <c r="OJC19" s="110"/>
      <c r="OJD19" s="110"/>
      <c r="OJE19" s="110"/>
      <c r="OJF19" s="110"/>
      <c r="OJG19" s="110"/>
      <c r="OJH19" s="110"/>
      <c r="OJI19" s="110"/>
      <c r="OJJ19" s="110"/>
      <c r="OJK19" s="110"/>
      <c r="OJL19" s="110"/>
      <c r="OJM19" s="110"/>
      <c r="OJN19" s="110"/>
      <c r="OJO19" s="110"/>
      <c r="OJP19" s="110"/>
      <c r="OJQ19" s="110"/>
      <c r="OJR19" s="110"/>
      <c r="OJS19" s="110"/>
      <c r="OJT19" s="110"/>
      <c r="OJU19" s="110"/>
      <c r="OJV19" s="110"/>
      <c r="OJW19" s="110"/>
      <c r="OJX19" s="110"/>
      <c r="OJY19" s="110"/>
      <c r="OJZ19" s="110"/>
      <c r="OKA19" s="110"/>
      <c r="OKB19" s="110"/>
      <c r="OKC19" s="110"/>
      <c r="OKD19" s="110"/>
      <c r="OKE19" s="110"/>
      <c r="OKF19" s="110"/>
      <c r="OKG19" s="110"/>
      <c r="OKH19" s="110"/>
      <c r="OKI19" s="110"/>
      <c r="OKJ19" s="110"/>
      <c r="OKK19" s="110"/>
      <c r="OKL19" s="110"/>
      <c r="OKM19" s="110"/>
      <c r="OKN19" s="110"/>
      <c r="OKO19" s="110"/>
      <c r="OKP19" s="110"/>
      <c r="OKQ19" s="110"/>
      <c r="OKR19" s="110"/>
      <c r="OKS19" s="110"/>
      <c r="OKT19" s="110"/>
      <c r="OKU19" s="110"/>
      <c r="OKV19" s="110"/>
      <c r="OKW19" s="110"/>
      <c r="OKX19" s="110"/>
      <c r="OKY19" s="110"/>
      <c r="OKZ19" s="110"/>
      <c r="OLA19" s="110"/>
      <c r="OLB19" s="110"/>
      <c r="OLC19" s="110"/>
      <c r="OLD19" s="110"/>
      <c r="OLE19" s="110"/>
      <c r="OLF19" s="110"/>
      <c r="OLG19" s="110"/>
      <c r="OLH19" s="110"/>
      <c r="OLI19" s="110"/>
      <c r="OLJ19" s="110"/>
      <c r="OLK19" s="110"/>
      <c r="OLL19" s="110"/>
      <c r="OLM19" s="110"/>
      <c r="OLN19" s="110"/>
      <c r="OLO19" s="110"/>
      <c r="OLP19" s="110"/>
      <c r="OLQ19" s="110"/>
      <c r="OLR19" s="110"/>
      <c r="OLS19" s="110"/>
      <c r="OLT19" s="110"/>
      <c r="OLU19" s="110"/>
      <c r="OLV19" s="110"/>
      <c r="OLW19" s="110"/>
      <c r="OLX19" s="110"/>
      <c r="OLY19" s="110"/>
      <c r="OLZ19" s="110"/>
      <c r="OMA19" s="110"/>
      <c r="OMB19" s="110"/>
      <c r="OMC19" s="110"/>
      <c r="OMD19" s="110"/>
      <c r="OME19" s="110"/>
      <c r="OMF19" s="110"/>
      <c r="OMG19" s="110"/>
      <c r="OMH19" s="110"/>
      <c r="OMI19" s="110"/>
      <c r="OMJ19" s="110"/>
      <c r="OMK19" s="110"/>
      <c r="OML19" s="110"/>
      <c r="OMM19" s="110"/>
      <c r="OMN19" s="110"/>
      <c r="OMO19" s="110"/>
      <c r="OMP19" s="110"/>
      <c r="OMQ19" s="110"/>
      <c r="OMR19" s="110"/>
      <c r="OMS19" s="110"/>
      <c r="OMT19" s="110"/>
      <c r="OMU19" s="110"/>
      <c r="OMV19" s="110"/>
      <c r="OMW19" s="110"/>
      <c r="OMX19" s="110"/>
      <c r="OMY19" s="110"/>
      <c r="OMZ19" s="110"/>
      <c r="ONA19" s="110"/>
      <c r="ONB19" s="110"/>
      <c r="ONC19" s="110"/>
      <c r="OND19" s="110"/>
      <c r="ONE19" s="110"/>
      <c r="ONF19" s="110"/>
      <c r="ONG19" s="110"/>
      <c r="ONH19" s="110"/>
      <c r="ONI19" s="110"/>
      <c r="ONJ19" s="110"/>
      <c r="ONK19" s="110"/>
      <c r="ONL19" s="110"/>
      <c r="ONM19" s="110"/>
      <c r="ONN19" s="110"/>
      <c r="ONO19" s="110"/>
      <c r="ONP19" s="110"/>
      <c r="ONQ19" s="110"/>
      <c r="ONR19" s="110"/>
      <c r="ONS19" s="110"/>
      <c r="ONT19" s="110"/>
      <c r="ONU19" s="110"/>
      <c r="ONV19" s="110"/>
      <c r="ONW19" s="110"/>
      <c r="ONX19" s="110"/>
      <c r="ONY19" s="110"/>
      <c r="ONZ19" s="110"/>
      <c r="OOA19" s="110"/>
      <c r="OOB19" s="110"/>
      <c r="OOC19" s="110"/>
      <c r="OOD19" s="110"/>
      <c r="OOE19" s="110"/>
      <c r="OOF19" s="110"/>
      <c r="OOG19" s="110"/>
      <c r="OOH19" s="110"/>
      <c r="OOI19" s="110"/>
      <c r="OOJ19" s="110"/>
      <c r="OOK19" s="110"/>
      <c r="OOL19" s="110"/>
      <c r="OOM19" s="110"/>
      <c r="OON19" s="110"/>
      <c r="OOO19" s="110"/>
      <c r="OOP19" s="110"/>
      <c r="OOQ19" s="110"/>
      <c r="OOR19" s="110"/>
      <c r="OOS19" s="110"/>
      <c r="OOT19" s="110"/>
      <c r="OOU19" s="110"/>
      <c r="OOV19" s="110"/>
      <c r="OOW19" s="110"/>
      <c r="OOX19" s="110"/>
      <c r="OOY19" s="110"/>
      <c r="OOZ19" s="110"/>
      <c r="OPA19" s="110"/>
      <c r="OPB19" s="110"/>
      <c r="OPC19" s="110"/>
      <c r="OPD19" s="110"/>
      <c r="OPE19" s="110"/>
      <c r="OPF19" s="110"/>
      <c r="OPG19" s="110"/>
      <c r="OPH19" s="110"/>
      <c r="OPI19" s="110"/>
      <c r="OPJ19" s="110"/>
      <c r="OPK19" s="110"/>
      <c r="OPL19" s="110"/>
      <c r="OPM19" s="110"/>
      <c r="OPN19" s="110"/>
      <c r="OPO19" s="110"/>
      <c r="OPP19" s="110"/>
      <c r="OPQ19" s="110"/>
      <c r="OPR19" s="110"/>
      <c r="OPS19" s="110"/>
      <c r="OPT19" s="110"/>
      <c r="OPU19" s="110"/>
      <c r="OPV19" s="110"/>
      <c r="OPW19" s="110"/>
      <c r="OPX19" s="110"/>
      <c r="OPY19" s="110"/>
      <c r="OPZ19" s="110"/>
      <c r="OQA19" s="110"/>
      <c r="OQB19" s="110"/>
      <c r="OQC19" s="110"/>
      <c r="OQD19" s="110"/>
      <c r="OQE19" s="110"/>
      <c r="OQF19" s="110"/>
      <c r="OQG19" s="110"/>
      <c r="OQH19" s="110"/>
      <c r="OQI19" s="110"/>
      <c r="OQJ19" s="110"/>
      <c r="OQK19" s="110"/>
      <c r="OQL19" s="110"/>
      <c r="OQM19" s="110"/>
      <c r="OQN19" s="110"/>
      <c r="OQO19" s="110"/>
      <c r="OQP19" s="110"/>
      <c r="OQQ19" s="110"/>
      <c r="OQR19" s="110"/>
      <c r="OQS19" s="110"/>
      <c r="OQT19" s="110"/>
      <c r="OQU19" s="110"/>
      <c r="OQV19" s="110"/>
      <c r="OQW19" s="110"/>
      <c r="OQX19" s="110"/>
      <c r="OQY19" s="110"/>
      <c r="OQZ19" s="110"/>
      <c r="ORA19" s="110"/>
      <c r="ORB19" s="110"/>
      <c r="ORC19" s="110"/>
      <c r="ORD19" s="110"/>
      <c r="ORE19" s="110"/>
      <c r="ORF19" s="110"/>
      <c r="ORG19" s="110"/>
      <c r="ORH19" s="110"/>
      <c r="ORI19" s="110"/>
      <c r="ORJ19" s="110"/>
      <c r="ORK19" s="110"/>
      <c r="ORL19" s="110"/>
      <c r="ORM19" s="110"/>
      <c r="ORN19" s="110"/>
      <c r="ORO19" s="110"/>
      <c r="ORP19" s="110"/>
      <c r="ORQ19" s="110"/>
      <c r="ORR19" s="110"/>
      <c r="ORS19" s="110"/>
      <c r="ORT19" s="110"/>
      <c r="ORU19" s="110"/>
      <c r="ORV19" s="110"/>
      <c r="ORW19" s="110"/>
      <c r="ORX19" s="110"/>
      <c r="ORY19" s="110"/>
      <c r="ORZ19" s="110"/>
      <c r="OSA19" s="110"/>
      <c r="OSB19" s="110"/>
      <c r="OSC19" s="110"/>
      <c r="OSD19" s="110"/>
      <c r="OSE19" s="110"/>
      <c r="OSF19" s="110"/>
      <c r="OSG19" s="110"/>
      <c r="OSH19" s="110"/>
      <c r="OSI19" s="110"/>
      <c r="OSJ19" s="110"/>
      <c r="OSK19" s="110"/>
      <c r="OSL19" s="110"/>
      <c r="OSM19" s="110"/>
      <c r="OSN19" s="110"/>
      <c r="OSO19" s="110"/>
      <c r="OSP19" s="110"/>
      <c r="OSQ19" s="110"/>
      <c r="OSR19" s="110"/>
      <c r="OSS19" s="110"/>
      <c r="OST19" s="110"/>
      <c r="OSU19" s="110"/>
      <c r="OSV19" s="110"/>
      <c r="OSW19" s="110"/>
      <c r="OSX19" s="110"/>
      <c r="OSY19" s="110"/>
      <c r="OSZ19" s="110"/>
      <c r="OTA19" s="110"/>
      <c r="OTB19" s="110"/>
      <c r="OTC19" s="110"/>
      <c r="OTD19" s="110"/>
      <c r="OTE19" s="110"/>
      <c r="OTF19" s="110"/>
      <c r="OTG19" s="110"/>
      <c r="OTH19" s="110"/>
      <c r="OTI19" s="110"/>
      <c r="OTJ19" s="110"/>
      <c r="OTK19" s="110"/>
      <c r="OTL19" s="110"/>
      <c r="OTM19" s="110"/>
      <c r="OTN19" s="110"/>
      <c r="OTO19" s="110"/>
      <c r="OTP19" s="110"/>
      <c r="OTQ19" s="110"/>
      <c r="OTR19" s="110"/>
      <c r="OTS19" s="110"/>
      <c r="OTT19" s="110"/>
      <c r="OTU19" s="110"/>
      <c r="OTV19" s="110"/>
      <c r="OTW19" s="110"/>
      <c r="OTX19" s="110"/>
      <c r="OTY19" s="110"/>
      <c r="OTZ19" s="110"/>
      <c r="OUA19" s="110"/>
      <c r="OUB19" s="110"/>
      <c r="OUC19" s="110"/>
      <c r="OUD19" s="110"/>
      <c r="OUE19" s="110"/>
      <c r="OUF19" s="110"/>
      <c r="OUG19" s="110"/>
      <c r="OUH19" s="110"/>
      <c r="OUI19" s="110"/>
      <c r="OUJ19" s="110"/>
      <c r="OUK19" s="110"/>
      <c r="OUL19" s="110"/>
      <c r="OUM19" s="110"/>
      <c r="OUN19" s="110"/>
      <c r="OUO19" s="110"/>
      <c r="OUP19" s="110"/>
      <c r="OUQ19" s="110"/>
      <c r="OUR19" s="110"/>
      <c r="OUS19" s="110"/>
      <c r="OUT19" s="110"/>
      <c r="OUU19" s="110"/>
      <c r="OUV19" s="110"/>
      <c r="OUW19" s="110"/>
      <c r="OUX19" s="110"/>
      <c r="OUY19" s="110"/>
      <c r="OUZ19" s="110"/>
      <c r="OVA19" s="110"/>
      <c r="OVB19" s="110"/>
      <c r="OVC19" s="110"/>
      <c r="OVD19" s="110"/>
      <c r="OVE19" s="110"/>
      <c r="OVF19" s="110"/>
      <c r="OVG19" s="110"/>
      <c r="OVH19" s="110"/>
      <c r="OVI19" s="110"/>
      <c r="OVJ19" s="110"/>
      <c r="OVK19" s="110"/>
      <c r="OVL19" s="110"/>
      <c r="OVM19" s="110"/>
      <c r="OVN19" s="110"/>
      <c r="OVO19" s="110"/>
      <c r="OVP19" s="110"/>
      <c r="OVQ19" s="110"/>
      <c r="OVR19" s="110"/>
      <c r="OVS19" s="110"/>
      <c r="OVT19" s="110"/>
      <c r="OVU19" s="110"/>
      <c r="OVV19" s="110"/>
      <c r="OVW19" s="110"/>
      <c r="OVX19" s="110"/>
      <c r="OVY19" s="110"/>
      <c r="OVZ19" s="110"/>
      <c r="OWA19" s="110"/>
      <c r="OWB19" s="110"/>
      <c r="OWC19" s="110"/>
      <c r="OWD19" s="110"/>
      <c r="OWE19" s="110"/>
      <c r="OWF19" s="110"/>
      <c r="OWG19" s="110"/>
      <c r="OWH19" s="110"/>
      <c r="OWI19" s="110"/>
      <c r="OWJ19" s="110"/>
      <c r="OWK19" s="110"/>
      <c r="OWL19" s="110"/>
      <c r="OWM19" s="110"/>
      <c r="OWN19" s="110"/>
      <c r="OWO19" s="110"/>
      <c r="OWP19" s="110"/>
      <c r="OWQ19" s="110"/>
      <c r="OWR19" s="110"/>
      <c r="OWS19" s="110"/>
      <c r="OWT19" s="110"/>
      <c r="OWU19" s="110"/>
      <c r="OWV19" s="110"/>
      <c r="OWW19" s="110"/>
      <c r="OWX19" s="110"/>
      <c r="OWY19" s="110"/>
      <c r="OWZ19" s="110"/>
      <c r="OXA19" s="110"/>
      <c r="OXB19" s="110"/>
      <c r="OXC19" s="110"/>
      <c r="OXD19" s="110"/>
      <c r="OXE19" s="110"/>
      <c r="OXF19" s="110"/>
      <c r="OXG19" s="110"/>
      <c r="OXH19" s="110"/>
      <c r="OXI19" s="110"/>
      <c r="OXJ19" s="110"/>
      <c r="OXK19" s="110"/>
      <c r="OXL19" s="110"/>
      <c r="OXM19" s="110"/>
      <c r="OXN19" s="110"/>
      <c r="OXO19" s="110"/>
      <c r="OXP19" s="110"/>
      <c r="OXQ19" s="110"/>
      <c r="OXR19" s="110"/>
      <c r="OXS19" s="110"/>
      <c r="OXT19" s="110"/>
      <c r="OXU19" s="110"/>
      <c r="OXV19" s="110"/>
      <c r="OXW19" s="110"/>
      <c r="OXX19" s="110"/>
      <c r="OXY19" s="110"/>
      <c r="OXZ19" s="110"/>
      <c r="OYA19" s="110"/>
      <c r="OYB19" s="110"/>
      <c r="OYC19" s="110"/>
      <c r="OYD19" s="110"/>
      <c r="OYE19" s="110"/>
      <c r="OYF19" s="110"/>
      <c r="OYG19" s="110"/>
      <c r="OYH19" s="110"/>
      <c r="OYI19" s="110"/>
      <c r="OYJ19" s="110"/>
      <c r="OYK19" s="110"/>
      <c r="OYL19" s="110"/>
      <c r="OYM19" s="110"/>
      <c r="OYN19" s="110"/>
      <c r="OYO19" s="110"/>
      <c r="OYP19" s="110"/>
      <c r="OYQ19" s="110"/>
      <c r="OYR19" s="110"/>
      <c r="OYS19" s="110"/>
      <c r="OYT19" s="110"/>
      <c r="OYU19" s="110"/>
      <c r="OYV19" s="110"/>
      <c r="OYW19" s="110"/>
      <c r="OYX19" s="110"/>
      <c r="OYY19" s="110"/>
      <c r="OYZ19" s="110"/>
      <c r="OZA19" s="110"/>
      <c r="OZB19" s="110"/>
      <c r="OZC19" s="110"/>
      <c r="OZD19" s="110"/>
      <c r="OZE19" s="110"/>
      <c r="OZF19" s="110"/>
      <c r="OZG19" s="110"/>
      <c r="OZH19" s="110"/>
      <c r="OZI19" s="110"/>
      <c r="OZJ19" s="110"/>
      <c r="OZK19" s="110"/>
      <c r="OZL19" s="110"/>
      <c r="OZM19" s="110"/>
      <c r="OZN19" s="110"/>
      <c r="OZO19" s="110"/>
      <c r="OZP19" s="110"/>
      <c r="OZQ19" s="110"/>
      <c r="OZR19" s="110"/>
      <c r="OZS19" s="110"/>
      <c r="OZT19" s="110"/>
      <c r="OZU19" s="110"/>
      <c r="OZV19" s="110"/>
      <c r="OZW19" s="110"/>
      <c r="OZX19" s="110"/>
      <c r="OZY19" s="110"/>
      <c r="OZZ19" s="110"/>
      <c r="PAA19" s="110"/>
      <c r="PAB19" s="110"/>
      <c r="PAC19" s="110"/>
      <c r="PAD19" s="110"/>
      <c r="PAE19" s="110"/>
      <c r="PAF19" s="110"/>
      <c r="PAG19" s="110"/>
      <c r="PAH19" s="110"/>
      <c r="PAI19" s="110"/>
      <c r="PAJ19" s="110"/>
      <c r="PAK19" s="110"/>
      <c r="PAL19" s="110"/>
      <c r="PAM19" s="110"/>
      <c r="PAN19" s="110"/>
      <c r="PAO19" s="110"/>
      <c r="PAP19" s="110"/>
      <c r="PAQ19" s="110"/>
      <c r="PAR19" s="110"/>
      <c r="PAS19" s="110"/>
      <c r="PAT19" s="110"/>
      <c r="PAU19" s="110"/>
      <c r="PAV19" s="110"/>
      <c r="PAW19" s="110"/>
      <c r="PAX19" s="110"/>
      <c r="PAY19" s="110"/>
      <c r="PAZ19" s="110"/>
      <c r="PBA19" s="110"/>
      <c r="PBB19" s="110"/>
      <c r="PBC19" s="110"/>
      <c r="PBD19" s="110"/>
      <c r="PBE19" s="110"/>
      <c r="PBF19" s="110"/>
      <c r="PBG19" s="110"/>
      <c r="PBH19" s="110"/>
      <c r="PBI19" s="110"/>
      <c r="PBJ19" s="110"/>
      <c r="PBK19" s="110"/>
      <c r="PBL19" s="110"/>
      <c r="PBM19" s="110"/>
      <c r="PBN19" s="110"/>
      <c r="PBO19" s="110"/>
      <c r="PBP19" s="110"/>
      <c r="PBQ19" s="110"/>
      <c r="PBR19" s="110"/>
      <c r="PBS19" s="110"/>
      <c r="PBT19" s="110"/>
      <c r="PBU19" s="110"/>
      <c r="PBV19" s="110"/>
      <c r="PBW19" s="110"/>
      <c r="PBX19" s="110"/>
      <c r="PBY19" s="110"/>
      <c r="PBZ19" s="110"/>
      <c r="PCA19" s="110"/>
      <c r="PCB19" s="110"/>
      <c r="PCC19" s="110"/>
      <c r="PCD19" s="110"/>
      <c r="PCE19" s="110"/>
      <c r="PCF19" s="110"/>
      <c r="PCG19" s="110"/>
      <c r="PCH19" s="110"/>
      <c r="PCI19" s="110"/>
      <c r="PCJ19" s="110"/>
      <c r="PCK19" s="110"/>
      <c r="PCL19" s="110"/>
      <c r="PCM19" s="110"/>
      <c r="PCN19" s="110"/>
      <c r="PCO19" s="110"/>
      <c r="PCP19" s="110"/>
      <c r="PCQ19" s="110"/>
      <c r="PCR19" s="110"/>
      <c r="PCS19" s="110"/>
      <c r="PCT19" s="110"/>
      <c r="PCU19" s="110"/>
      <c r="PCV19" s="110"/>
      <c r="PCW19" s="110"/>
      <c r="PCX19" s="110"/>
      <c r="PCY19" s="110"/>
      <c r="PCZ19" s="110"/>
      <c r="PDA19" s="110"/>
      <c r="PDB19" s="110"/>
      <c r="PDC19" s="110"/>
      <c r="PDD19" s="110"/>
      <c r="PDE19" s="110"/>
      <c r="PDF19" s="110"/>
      <c r="PDG19" s="110"/>
      <c r="PDH19" s="110"/>
      <c r="PDI19" s="110"/>
      <c r="PDJ19" s="110"/>
      <c r="PDK19" s="110"/>
      <c r="PDL19" s="110"/>
      <c r="PDM19" s="110"/>
      <c r="PDN19" s="110"/>
      <c r="PDO19" s="110"/>
      <c r="PDP19" s="110"/>
      <c r="PDQ19" s="110"/>
      <c r="PDR19" s="110"/>
      <c r="PDS19" s="110"/>
      <c r="PDT19" s="110"/>
      <c r="PDU19" s="110"/>
      <c r="PDV19" s="110"/>
      <c r="PDW19" s="110"/>
      <c r="PDX19" s="110"/>
      <c r="PDY19" s="110"/>
      <c r="PDZ19" s="110"/>
      <c r="PEA19" s="110"/>
      <c r="PEB19" s="110"/>
      <c r="PEC19" s="110"/>
      <c r="PED19" s="110"/>
      <c r="PEE19" s="110"/>
      <c r="PEF19" s="110"/>
      <c r="PEG19" s="110"/>
      <c r="PEH19" s="110"/>
      <c r="PEI19" s="110"/>
      <c r="PEJ19" s="110"/>
      <c r="PEK19" s="110"/>
      <c r="PEL19" s="110"/>
      <c r="PEM19" s="110"/>
      <c r="PEN19" s="110"/>
      <c r="PEO19" s="110"/>
      <c r="PEP19" s="110"/>
      <c r="PEQ19" s="110"/>
      <c r="PER19" s="110"/>
      <c r="PES19" s="110"/>
      <c r="PET19" s="110"/>
      <c r="PEU19" s="110"/>
      <c r="PEV19" s="110"/>
      <c r="PEW19" s="110"/>
      <c r="PEX19" s="110"/>
      <c r="PEY19" s="110"/>
      <c r="PEZ19" s="110"/>
      <c r="PFA19" s="110"/>
      <c r="PFB19" s="110"/>
      <c r="PFC19" s="110"/>
      <c r="PFD19" s="110"/>
      <c r="PFE19" s="110"/>
      <c r="PFF19" s="110"/>
      <c r="PFG19" s="110"/>
      <c r="PFH19" s="110"/>
      <c r="PFI19" s="110"/>
      <c r="PFJ19" s="110"/>
      <c r="PFK19" s="110"/>
      <c r="PFL19" s="110"/>
      <c r="PFM19" s="110"/>
      <c r="PFN19" s="110"/>
      <c r="PFO19" s="110"/>
      <c r="PFP19" s="110"/>
      <c r="PFQ19" s="110"/>
      <c r="PFR19" s="110"/>
      <c r="PFS19" s="110"/>
      <c r="PFT19" s="110"/>
      <c r="PFU19" s="110"/>
      <c r="PFV19" s="110"/>
      <c r="PFW19" s="110"/>
      <c r="PFX19" s="110"/>
      <c r="PFY19" s="110"/>
      <c r="PFZ19" s="110"/>
      <c r="PGA19" s="110"/>
      <c r="PGB19" s="110"/>
      <c r="PGC19" s="110"/>
      <c r="PGD19" s="110"/>
      <c r="PGE19" s="110"/>
      <c r="PGF19" s="110"/>
      <c r="PGG19" s="110"/>
      <c r="PGH19" s="110"/>
      <c r="PGI19" s="110"/>
      <c r="PGJ19" s="110"/>
      <c r="PGK19" s="110"/>
      <c r="PGL19" s="110"/>
      <c r="PGM19" s="110"/>
      <c r="PGN19" s="110"/>
      <c r="PGO19" s="110"/>
      <c r="PGP19" s="110"/>
      <c r="PGQ19" s="110"/>
      <c r="PGR19" s="110"/>
      <c r="PGS19" s="110"/>
      <c r="PGT19" s="110"/>
      <c r="PGU19" s="110"/>
      <c r="PGV19" s="110"/>
      <c r="PGW19" s="110"/>
      <c r="PGX19" s="110"/>
      <c r="PGY19" s="110"/>
      <c r="PGZ19" s="110"/>
      <c r="PHA19" s="110"/>
      <c r="PHB19" s="110"/>
      <c r="PHC19" s="110"/>
      <c r="PHD19" s="110"/>
      <c r="PHE19" s="110"/>
      <c r="PHF19" s="110"/>
      <c r="PHG19" s="110"/>
      <c r="PHH19" s="110"/>
      <c r="PHI19" s="110"/>
      <c r="PHJ19" s="110"/>
      <c r="PHK19" s="110"/>
      <c r="PHL19" s="110"/>
      <c r="PHM19" s="110"/>
      <c r="PHN19" s="110"/>
      <c r="PHO19" s="110"/>
      <c r="PHP19" s="110"/>
      <c r="PHQ19" s="110"/>
      <c r="PHR19" s="110"/>
      <c r="PHS19" s="110"/>
      <c r="PHT19" s="110"/>
      <c r="PHU19" s="110"/>
      <c r="PHV19" s="110"/>
      <c r="PHW19" s="110"/>
      <c r="PHX19" s="110"/>
      <c r="PHY19" s="110"/>
      <c r="PHZ19" s="110"/>
      <c r="PIA19" s="110"/>
      <c r="PIB19" s="110"/>
      <c r="PIC19" s="110"/>
      <c r="PID19" s="110"/>
      <c r="PIE19" s="110"/>
      <c r="PIF19" s="110"/>
      <c r="PIG19" s="110"/>
      <c r="PIH19" s="110"/>
      <c r="PII19" s="110"/>
      <c r="PIJ19" s="110"/>
      <c r="PIK19" s="110"/>
      <c r="PIL19" s="110"/>
      <c r="PIM19" s="110"/>
      <c r="PIN19" s="110"/>
      <c r="PIO19" s="110"/>
      <c r="PIP19" s="110"/>
      <c r="PIQ19" s="110"/>
      <c r="PIR19" s="110"/>
      <c r="PIS19" s="110"/>
      <c r="PIT19" s="110"/>
      <c r="PIU19" s="110"/>
      <c r="PIV19" s="110"/>
      <c r="PIW19" s="110"/>
      <c r="PIX19" s="110"/>
      <c r="PIY19" s="110"/>
      <c r="PIZ19" s="110"/>
      <c r="PJA19" s="110"/>
      <c r="PJB19" s="110"/>
      <c r="PJC19" s="110"/>
      <c r="PJD19" s="110"/>
      <c r="PJE19" s="110"/>
      <c r="PJF19" s="110"/>
      <c r="PJG19" s="110"/>
      <c r="PJH19" s="110"/>
      <c r="PJI19" s="110"/>
      <c r="PJJ19" s="110"/>
      <c r="PJK19" s="110"/>
      <c r="PJL19" s="110"/>
      <c r="PJM19" s="110"/>
      <c r="PJN19" s="110"/>
      <c r="PJO19" s="110"/>
      <c r="PJP19" s="110"/>
      <c r="PJQ19" s="110"/>
      <c r="PJR19" s="110"/>
      <c r="PJS19" s="110"/>
      <c r="PJT19" s="110"/>
      <c r="PJU19" s="110"/>
      <c r="PJV19" s="110"/>
      <c r="PJW19" s="110"/>
      <c r="PJX19" s="110"/>
      <c r="PJY19" s="110"/>
      <c r="PJZ19" s="110"/>
      <c r="PKA19" s="110"/>
      <c r="PKB19" s="110"/>
      <c r="PKC19" s="110"/>
      <c r="PKD19" s="110"/>
      <c r="PKE19" s="110"/>
      <c r="PKF19" s="110"/>
      <c r="PKG19" s="110"/>
      <c r="PKH19" s="110"/>
      <c r="PKI19" s="110"/>
      <c r="PKJ19" s="110"/>
      <c r="PKK19" s="110"/>
      <c r="PKL19" s="110"/>
      <c r="PKM19" s="110"/>
      <c r="PKN19" s="110"/>
      <c r="PKO19" s="110"/>
      <c r="PKP19" s="110"/>
      <c r="PKQ19" s="110"/>
      <c r="PKR19" s="110"/>
      <c r="PKS19" s="110"/>
      <c r="PKT19" s="110"/>
      <c r="PKU19" s="110"/>
      <c r="PKV19" s="110"/>
      <c r="PKW19" s="110"/>
      <c r="PKX19" s="110"/>
      <c r="PKY19" s="110"/>
      <c r="PKZ19" s="110"/>
      <c r="PLA19" s="110"/>
      <c r="PLB19" s="110"/>
      <c r="PLC19" s="110"/>
      <c r="PLD19" s="110"/>
      <c r="PLE19" s="110"/>
      <c r="PLF19" s="110"/>
      <c r="PLG19" s="110"/>
      <c r="PLH19" s="110"/>
      <c r="PLI19" s="110"/>
      <c r="PLJ19" s="110"/>
      <c r="PLK19" s="110"/>
      <c r="PLL19" s="110"/>
      <c r="PLM19" s="110"/>
      <c r="PLN19" s="110"/>
      <c r="PLO19" s="110"/>
      <c r="PLP19" s="110"/>
      <c r="PLQ19" s="110"/>
      <c r="PLR19" s="110"/>
      <c r="PLS19" s="110"/>
      <c r="PLT19" s="110"/>
      <c r="PLU19" s="110"/>
      <c r="PLV19" s="110"/>
      <c r="PLW19" s="110"/>
      <c r="PLX19" s="110"/>
      <c r="PLY19" s="110"/>
      <c r="PLZ19" s="110"/>
      <c r="PMA19" s="110"/>
      <c r="PMB19" s="110"/>
      <c r="PMC19" s="110"/>
      <c r="PMD19" s="110"/>
      <c r="PME19" s="110"/>
      <c r="PMF19" s="110"/>
      <c r="PMG19" s="110"/>
      <c r="PMH19" s="110"/>
      <c r="PMI19" s="110"/>
      <c r="PMJ19" s="110"/>
      <c r="PMK19" s="110"/>
      <c r="PML19" s="110"/>
      <c r="PMM19" s="110"/>
      <c r="PMN19" s="110"/>
      <c r="PMO19" s="110"/>
      <c r="PMP19" s="110"/>
      <c r="PMQ19" s="110"/>
      <c r="PMR19" s="110"/>
      <c r="PMS19" s="110"/>
      <c r="PMT19" s="110"/>
      <c r="PMU19" s="110"/>
      <c r="PMV19" s="110"/>
      <c r="PMW19" s="110"/>
      <c r="PMX19" s="110"/>
      <c r="PMY19" s="110"/>
      <c r="PMZ19" s="110"/>
      <c r="PNA19" s="110"/>
      <c r="PNB19" s="110"/>
      <c r="PNC19" s="110"/>
      <c r="PND19" s="110"/>
      <c r="PNE19" s="110"/>
      <c r="PNF19" s="110"/>
      <c r="PNG19" s="110"/>
      <c r="PNH19" s="110"/>
      <c r="PNI19" s="110"/>
      <c r="PNJ19" s="110"/>
      <c r="PNK19" s="110"/>
      <c r="PNL19" s="110"/>
      <c r="PNM19" s="110"/>
      <c r="PNN19" s="110"/>
      <c r="PNO19" s="110"/>
      <c r="PNP19" s="110"/>
      <c r="PNQ19" s="110"/>
      <c r="PNR19" s="110"/>
      <c r="PNS19" s="110"/>
      <c r="PNT19" s="110"/>
      <c r="PNU19" s="110"/>
      <c r="PNV19" s="110"/>
      <c r="PNW19" s="110"/>
      <c r="PNX19" s="110"/>
      <c r="PNY19" s="110"/>
      <c r="PNZ19" s="110"/>
      <c r="POA19" s="110"/>
      <c r="POB19" s="110"/>
      <c r="POC19" s="110"/>
      <c r="POD19" s="110"/>
      <c r="POE19" s="110"/>
      <c r="POF19" s="110"/>
      <c r="POG19" s="110"/>
      <c r="POH19" s="110"/>
      <c r="POI19" s="110"/>
      <c r="POJ19" s="110"/>
      <c r="POK19" s="110"/>
      <c r="POL19" s="110"/>
      <c r="POM19" s="110"/>
      <c r="PON19" s="110"/>
      <c r="POO19" s="110"/>
      <c r="POP19" s="110"/>
      <c r="POQ19" s="110"/>
      <c r="POR19" s="110"/>
      <c r="POS19" s="110"/>
      <c r="POT19" s="110"/>
      <c r="POU19" s="110"/>
      <c r="POV19" s="110"/>
      <c r="POW19" s="110"/>
      <c r="POX19" s="110"/>
      <c r="POY19" s="110"/>
      <c r="POZ19" s="110"/>
      <c r="PPA19" s="110"/>
      <c r="PPB19" s="110"/>
      <c r="PPC19" s="110"/>
      <c r="PPD19" s="110"/>
      <c r="PPE19" s="110"/>
      <c r="PPF19" s="110"/>
      <c r="PPG19" s="110"/>
      <c r="PPH19" s="110"/>
      <c r="PPI19" s="110"/>
      <c r="PPJ19" s="110"/>
      <c r="PPK19" s="110"/>
      <c r="PPL19" s="110"/>
      <c r="PPM19" s="110"/>
      <c r="PPN19" s="110"/>
      <c r="PPO19" s="110"/>
      <c r="PPP19" s="110"/>
      <c r="PPQ19" s="110"/>
      <c r="PPR19" s="110"/>
      <c r="PPS19" s="110"/>
      <c r="PPT19" s="110"/>
      <c r="PPU19" s="110"/>
      <c r="PPV19" s="110"/>
      <c r="PPW19" s="110"/>
      <c r="PPX19" s="110"/>
      <c r="PPY19" s="110"/>
      <c r="PPZ19" s="110"/>
      <c r="PQA19" s="110"/>
      <c r="PQB19" s="110"/>
      <c r="PQC19" s="110"/>
      <c r="PQD19" s="110"/>
      <c r="PQE19" s="110"/>
      <c r="PQF19" s="110"/>
      <c r="PQG19" s="110"/>
      <c r="PQH19" s="110"/>
      <c r="PQI19" s="110"/>
      <c r="PQJ19" s="110"/>
      <c r="PQK19" s="110"/>
      <c r="PQL19" s="110"/>
      <c r="PQM19" s="110"/>
      <c r="PQN19" s="110"/>
      <c r="PQO19" s="110"/>
      <c r="PQP19" s="110"/>
      <c r="PQQ19" s="110"/>
      <c r="PQR19" s="110"/>
      <c r="PQS19" s="110"/>
      <c r="PQT19" s="110"/>
      <c r="PQU19" s="110"/>
      <c r="PQV19" s="110"/>
      <c r="PQW19" s="110"/>
      <c r="PQX19" s="110"/>
      <c r="PQY19" s="110"/>
      <c r="PQZ19" s="110"/>
      <c r="PRA19" s="110"/>
      <c r="PRB19" s="110"/>
      <c r="PRC19" s="110"/>
      <c r="PRD19" s="110"/>
      <c r="PRE19" s="110"/>
      <c r="PRF19" s="110"/>
      <c r="PRG19" s="110"/>
      <c r="PRH19" s="110"/>
      <c r="PRI19" s="110"/>
      <c r="PRJ19" s="110"/>
      <c r="PRK19" s="110"/>
      <c r="PRL19" s="110"/>
      <c r="PRM19" s="110"/>
      <c r="PRN19" s="110"/>
      <c r="PRO19" s="110"/>
      <c r="PRP19" s="110"/>
      <c r="PRQ19" s="110"/>
      <c r="PRR19" s="110"/>
      <c r="PRS19" s="110"/>
      <c r="PRT19" s="110"/>
      <c r="PRU19" s="110"/>
      <c r="PRV19" s="110"/>
      <c r="PRW19" s="110"/>
      <c r="PRX19" s="110"/>
      <c r="PRY19" s="110"/>
      <c r="PRZ19" s="110"/>
      <c r="PSA19" s="110"/>
      <c r="PSB19" s="110"/>
      <c r="PSC19" s="110"/>
      <c r="PSD19" s="110"/>
      <c r="PSE19" s="110"/>
      <c r="PSF19" s="110"/>
      <c r="PSG19" s="110"/>
      <c r="PSH19" s="110"/>
      <c r="PSI19" s="110"/>
      <c r="PSJ19" s="110"/>
      <c r="PSK19" s="110"/>
      <c r="PSL19" s="110"/>
      <c r="PSM19" s="110"/>
      <c r="PSN19" s="110"/>
      <c r="PSO19" s="110"/>
      <c r="PSP19" s="110"/>
      <c r="PSQ19" s="110"/>
      <c r="PSR19" s="110"/>
      <c r="PSS19" s="110"/>
      <c r="PST19" s="110"/>
      <c r="PSU19" s="110"/>
      <c r="PSV19" s="110"/>
      <c r="PSW19" s="110"/>
      <c r="PSX19" s="110"/>
      <c r="PSY19" s="110"/>
      <c r="PSZ19" s="110"/>
      <c r="PTA19" s="110"/>
      <c r="PTB19" s="110"/>
      <c r="PTC19" s="110"/>
      <c r="PTD19" s="110"/>
      <c r="PTE19" s="110"/>
      <c r="PTF19" s="110"/>
      <c r="PTG19" s="110"/>
      <c r="PTH19" s="110"/>
      <c r="PTI19" s="110"/>
      <c r="PTJ19" s="110"/>
      <c r="PTK19" s="110"/>
      <c r="PTL19" s="110"/>
      <c r="PTM19" s="110"/>
      <c r="PTN19" s="110"/>
      <c r="PTO19" s="110"/>
      <c r="PTP19" s="110"/>
      <c r="PTQ19" s="110"/>
      <c r="PTR19" s="110"/>
      <c r="PTS19" s="110"/>
      <c r="PTT19" s="110"/>
      <c r="PTU19" s="110"/>
      <c r="PTV19" s="110"/>
      <c r="PTW19" s="110"/>
      <c r="PTX19" s="110"/>
      <c r="PTY19" s="110"/>
      <c r="PTZ19" s="110"/>
      <c r="PUA19" s="110"/>
      <c r="PUB19" s="110"/>
      <c r="PUC19" s="110"/>
      <c r="PUD19" s="110"/>
      <c r="PUE19" s="110"/>
      <c r="PUF19" s="110"/>
      <c r="PUG19" s="110"/>
      <c r="PUH19" s="110"/>
      <c r="PUI19" s="110"/>
      <c r="PUJ19" s="110"/>
      <c r="PUK19" s="110"/>
      <c r="PUL19" s="110"/>
      <c r="PUM19" s="110"/>
      <c r="PUN19" s="110"/>
      <c r="PUO19" s="110"/>
      <c r="PUP19" s="110"/>
      <c r="PUQ19" s="110"/>
      <c r="PUR19" s="110"/>
      <c r="PUS19" s="110"/>
      <c r="PUT19" s="110"/>
      <c r="PUU19" s="110"/>
      <c r="PUV19" s="110"/>
      <c r="PUW19" s="110"/>
      <c r="PUX19" s="110"/>
      <c r="PUY19" s="110"/>
      <c r="PUZ19" s="110"/>
      <c r="PVA19" s="110"/>
      <c r="PVB19" s="110"/>
      <c r="PVC19" s="110"/>
      <c r="PVD19" s="110"/>
      <c r="PVE19" s="110"/>
      <c r="PVF19" s="110"/>
      <c r="PVG19" s="110"/>
      <c r="PVH19" s="110"/>
      <c r="PVI19" s="110"/>
      <c r="PVJ19" s="110"/>
      <c r="PVK19" s="110"/>
      <c r="PVL19" s="110"/>
      <c r="PVM19" s="110"/>
      <c r="PVN19" s="110"/>
      <c r="PVO19" s="110"/>
      <c r="PVP19" s="110"/>
      <c r="PVQ19" s="110"/>
      <c r="PVR19" s="110"/>
      <c r="PVS19" s="110"/>
      <c r="PVT19" s="110"/>
      <c r="PVU19" s="110"/>
      <c r="PVV19" s="110"/>
      <c r="PVW19" s="110"/>
      <c r="PVX19" s="110"/>
      <c r="PVY19" s="110"/>
      <c r="PVZ19" s="110"/>
      <c r="PWA19" s="110"/>
      <c r="PWB19" s="110"/>
      <c r="PWC19" s="110"/>
      <c r="PWD19" s="110"/>
      <c r="PWE19" s="110"/>
      <c r="PWF19" s="110"/>
      <c r="PWG19" s="110"/>
      <c r="PWH19" s="110"/>
      <c r="PWI19" s="110"/>
      <c r="PWJ19" s="110"/>
      <c r="PWK19" s="110"/>
      <c r="PWL19" s="110"/>
      <c r="PWM19" s="110"/>
      <c r="PWN19" s="110"/>
      <c r="PWO19" s="110"/>
      <c r="PWP19" s="110"/>
      <c r="PWQ19" s="110"/>
      <c r="PWR19" s="110"/>
      <c r="PWS19" s="110"/>
      <c r="PWT19" s="110"/>
      <c r="PWU19" s="110"/>
      <c r="PWV19" s="110"/>
      <c r="PWW19" s="110"/>
      <c r="PWX19" s="110"/>
      <c r="PWY19" s="110"/>
      <c r="PWZ19" s="110"/>
      <c r="PXA19" s="110"/>
      <c r="PXB19" s="110"/>
      <c r="PXC19" s="110"/>
      <c r="PXD19" s="110"/>
      <c r="PXE19" s="110"/>
      <c r="PXF19" s="110"/>
      <c r="PXG19" s="110"/>
      <c r="PXH19" s="110"/>
      <c r="PXI19" s="110"/>
      <c r="PXJ19" s="110"/>
      <c r="PXK19" s="110"/>
      <c r="PXL19" s="110"/>
      <c r="PXM19" s="110"/>
      <c r="PXN19" s="110"/>
      <c r="PXO19" s="110"/>
      <c r="PXP19" s="110"/>
      <c r="PXQ19" s="110"/>
      <c r="PXR19" s="110"/>
      <c r="PXS19" s="110"/>
      <c r="PXT19" s="110"/>
      <c r="PXU19" s="110"/>
      <c r="PXV19" s="110"/>
      <c r="PXW19" s="110"/>
      <c r="PXX19" s="110"/>
      <c r="PXY19" s="110"/>
      <c r="PXZ19" s="110"/>
      <c r="PYA19" s="110"/>
      <c r="PYB19" s="110"/>
      <c r="PYC19" s="110"/>
      <c r="PYD19" s="110"/>
      <c r="PYE19" s="110"/>
      <c r="PYF19" s="110"/>
      <c r="PYG19" s="110"/>
      <c r="PYH19" s="110"/>
      <c r="PYI19" s="110"/>
      <c r="PYJ19" s="110"/>
      <c r="PYK19" s="110"/>
      <c r="PYL19" s="110"/>
      <c r="PYM19" s="110"/>
      <c r="PYN19" s="110"/>
      <c r="PYO19" s="110"/>
      <c r="PYP19" s="110"/>
      <c r="PYQ19" s="110"/>
      <c r="PYR19" s="110"/>
      <c r="PYS19" s="110"/>
      <c r="PYT19" s="110"/>
      <c r="PYU19" s="110"/>
      <c r="PYV19" s="110"/>
      <c r="PYW19" s="110"/>
      <c r="PYX19" s="110"/>
      <c r="PYY19" s="110"/>
      <c r="PYZ19" s="110"/>
      <c r="PZA19" s="110"/>
      <c r="PZB19" s="110"/>
      <c r="PZC19" s="110"/>
      <c r="PZD19" s="110"/>
      <c r="PZE19" s="110"/>
      <c r="PZF19" s="110"/>
      <c r="PZG19" s="110"/>
      <c r="PZH19" s="110"/>
      <c r="PZI19" s="110"/>
      <c r="PZJ19" s="110"/>
      <c r="PZK19" s="110"/>
      <c r="PZL19" s="110"/>
      <c r="PZM19" s="110"/>
      <c r="PZN19" s="110"/>
      <c r="PZO19" s="110"/>
      <c r="PZP19" s="110"/>
      <c r="PZQ19" s="110"/>
      <c r="PZR19" s="110"/>
      <c r="PZS19" s="110"/>
      <c r="PZT19" s="110"/>
      <c r="PZU19" s="110"/>
      <c r="PZV19" s="110"/>
      <c r="PZW19" s="110"/>
      <c r="PZX19" s="110"/>
      <c r="PZY19" s="110"/>
      <c r="PZZ19" s="110"/>
      <c r="QAA19" s="110"/>
      <c r="QAB19" s="110"/>
      <c r="QAC19" s="110"/>
      <c r="QAD19" s="110"/>
      <c r="QAE19" s="110"/>
      <c r="QAF19" s="110"/>
      <c r="QAG19" s="110"/>
      <c r="QAH19" s="110"/>
      <c r="QAI19" s="110"/>
      <c r="QAJ19" s="110"/>
      <c r="QAK19" s="110"/>
      <c r="QAL19" s="110"/>
      <c r="QAM19" s="110"/>
      <c r="QAN19" s="110"/>
      <c r="QAO19" s="110"/>
      <c r="QAP19" s="110"/>
      <c r="QAQ19" s="110"/>
      <c r="QAR19" s="110"/>
      <c r="QAS19" s="110"/>
      <c r="QAT19" s="110"/>
      <c r="QAU19" s="110"/>
      <c r="QAV19" s="110"/>
      <c r="QAW19" s="110"/>
      <c r="QAX19" s="110"/>
      <c r="QAY19" s="110"/>
      <c r="QAZ19" s="110"/>
      <c r="QBA19" s="110"/>
      <c r="QBB19" s="110"/>
      <c r="QBC19" s="110"/>
      <c r="QBD19" s="110"/>
      <c r="QBE19" s="110"/>
      <c r="QBF19" s="110"/>
      <c r="QBG19" s="110"/>
      <c r="QBH19" s="110"/>
      <c r="QBI19" s="110"/>
      <c r="QBJ19" s="110"/>
      <c r="QBK19" s="110"/>
      <c r="QBL19" s="110"/>
      <c r="QBM19" s="110"/>
      <c r="QBN19" s="110"/>
      <c r="QBO19" s="110"/>
      <c r="QBP19" s="110"/>
      <c r="QBQ19" s="110"/>
      <c r="QBR19" s="110"/>
      <c r="QBS19" s="110"/>
      <c r="QBT19" s="110"/>
      <c r="QBU19" s="110"/>
      <c r="QBV19" s="110"/>
      <c r="QBW19" s="110"/>
      <c r="QBX19" s="110"/>
      <c r="QBY19" s="110"/>
      <c r="QBZ19" s="110"/>
      <c r="QCA19" s="110"/>
      <c r="QCB19" s="110"/>
      <c r="QCC19" s="110"/>
      <c r="QCD19" s="110"/>
      <c r="QCE19" s="110"/>
      <c r="QCF19" s="110"/>
      <c r="QCG19" s="110"/>
      <c r="QCH19" s="110"/>
      <c r="QCI19" s="110"/>
      <c r="QCJ19" s="110"/>
      <c r="QCK19" s="110"/>
      <c r="QCL19" s="110"/>
      <c r="QCM19" s="110"/>
      <c r="QCN19" s="110"/>
      <c r="QCO19" s="110"/>
      <c r="QCP19" s="110"/>
      <c r="QCQ19" s="110"/>
      <c r="QCR19" s="110"/>
      <c r="QCS19" s="110"/>
      <c r="QCT19" s="110"/>
      <c r="QCU19" s="110"/>
      <c r="QCV19" s="110"/>
      <c r="QCW19" s="110"/>
      <c r="QCX19" s="110"/>
      <c r="QCY19" s="110"/>
      <c r="QCZ19" s="110"/>
      <c r="QDA19" s="110"/>
      <c r="QDB19" s="110"/>
      <c r="QDC19" s="110"/>
      <c r="QDD19" s="110"/>
      <c r="QDE19" s="110"/>
      <c r="QDF19" s="110"/>
      <c r="QDG19" s="110"/>
      <c r="QDH19" s="110"/>
      <c r="QDI19" s="110"/>
      <c r="QDJ19" s="110"/>
      <c r="QDK19" s="110"/>
      <c r="QDL19" s="110"/>
      <c r="QDM19" s="110"/>
      <c r="QDN19" s="110"/>
      <c r="QDO19" s="110"/>
      <c r="QDP19" s="110"/>
      <c r="QDQ19" s="110"/>
      <c r="QDR19" s="110"/>
      <c r="QDS19" s="110"/>
      <c r="QDT19" s="110"/>
      <c r="QDU19" s="110"/>
      <c r="QDV19" s="110"/>
      <c r="QDW19" s="110"/>
      <c r="QDX19" s="110"/>
      <c r="QDY19" s="110"/>
      <c r="QDZ19" s="110"/>
      <c r="QEA19" s="110"/>
      <c r="QEB19" s="110"/>
      <c r="QEC19" s="110"/>
      <c r="QED19" s="110"/>
      <c r="QEE19" s="110"/>
      <c r="QEF19" s="110"/>
      <c r="QEG19" s="110"/>
      <c r="QEH19" s="110"/>
      <c r="QEI19" s="110"/>
      <c r="QEJ19" s="110"/>
      <c r="QEK19" s="110"/>
      <c r="QEL19" s="110"/>
      <c r="QEM19" s="110"/>
      <c r="QEN19" s="110"/>
      <c r="QEO19" s="110"/>
      <c r="QEP19" s="110"/>
      <c r="QEQ19" s="110"/>
      <c r="QER19" s="110"/>
      <c r="QES19" s="110"/>
      <c r="QET19" s="110"/>
      <c r="QEU19" s="110"/>
      <c r="QEV19" s="110"/>
      <c r="QEW19" s="110"/>
      <c r="QEX19" s="110"/>
      <c r="QEY19" s="110"/>
      <c r="QEZ19" s="110"/>
      <c r="QFA19" s="110"/>
      <c r="QFB19" s="110"/>
      <c r="QFC19" s="110"/>
      <c r="QFD19" s="110"/>
      <c r="QFE19" s="110"/>
      <c r="QFF19" s="110"/>
      <c r="QFG19" s="110"/>
      <c r="QFH19" s="110"/>
      <c r="QFI19" s="110"/>
      <c r="QFJ19" s="110"/>
      <c r="QFK19" s="110"/>
      <c r="QFL19" s="110"/>
      <c r="QFM19" s="110"/>
      <c r="QFN19" s="110"/>
      <c r="QFO19" s="110"/>
      <c r="QFP19" s="110"/>
      <c r="QFQ19" s="110"/>
      <c r="QFR19" s="110"/>
      <c r="QFS19" s="110"/>
      <c r="QFT19" s="110"/>
      <c r="QFU19" s="110"/>
      <c r="QFV19" s="110"/>
      <c r="QFW19" s="110"/>
      <c r="QFX19" s="110"/>
      <c r="QFY19" s="110"/>
      <c r="QFZ19" s="110"/>
      <c r="QGA19" s="110"/>
      <c r="QGB19" s="110"/>
      <c r="QGC19" s="110"/>
      <c r="QGD19" s="110"/>
      <c r="QGE19" s="110"/>
      <c r="QGF19" s="110"/>
      <c r="QGG19" s="110"/>
      <c r="QGH19" s="110"/>
      <c r="QGI19" s="110"/>
      <c r="QGJ19" s="110"/>
      <c r="QGK19" s="110"/>
      <c r="QGL19" s="110"/>
      <c r="QGM19" s="110"/>
      <c r="QGN19" s="110"/>
      <c r="QGO19" s="110"/>
      <c r="QGP19" s="110"/>
      <c r="QGQ19" s="110"/>
      <c r="QGR19" s="110"/>
      <c r="QGS19" s="110"/>
      <c r="QGT19" s="110"/>
      <c r="QGU19" s="110"/>
      <c r="QGV19" s="110"/>
      <c r="QGW19" s="110"/>
      <c r="QGX19" s="110"/>
      <c r="QGY19" s="110"/>
      <c r="QGZ19" s="110"/>
      <c r="QHA19" s="110"/>
      <c r="QHB19" s="110"/>
      <c r="QHC19" s="110"/>
      <c r="QHD19" s="110"/>
      <c r="QHE19" s="110"/>
      <c r="QHF19" s="110"/>
      <c r="QHG19" s="110"/>
      <c r="QHH19" s="110"/>
      <c r="QHI19" s="110"/>
      <c r="QHJ19" s="110"/>
      <c r="QHK19" s="110"/>
      <c r="QHL19" s="110"/>
      <c r="QHM19" s="110"/>
      <c r="QHN19" s="110"/>
      <c r="QHO19" s="110"/>
      <c r="QHP19" s="110"/>
      <c r="QHQ19" s="110"/>
      <c r="QHR19" s="110"/>
      <c r="QHS19" s="110"/>
      <c r="QHT19" s="110"/>
      <c r="QHU19" s="110"/>
      <c r="QHV19" s="110"/>
      <c r="QHW19" s="110"/>
      <c r="QHX19" s="110"/>
      <c r="QHY19" s="110"/>
      <c r="QHZ19" s="110"/>
      <c r="QIA19" s="110"/>
      <c r="QIB19" s="110"/>
      <c r="QIC19" s="110"/>
      <c r="QID19" s="110"/>
      <c r="QIE19" s="110"/>
      <c r="QIF19" s="110"/>
      <c r="QIG19" s="110"/>
      <c r="QIH19" s="110"/>
      <c r="QII19" s="110"/>
      <c r="QIJ19" s="110"/>
      <c r="QIK19" s="110"/>
      <c r="QIL19" s="110"/>
      <c r="QIM19" s="110"/>
      <c r="QIN19" s="110"/>
      <c r="QIO19" s="110"/>
      <c r="QIP19" s="110"/>
      <c r="QIQ19" s="110"/>
      <c r="QIR19" s="110"/>
      <c r="QIS19" s="110"/>
      <c r="QIT19" s="110"/>
      <c r="QIU19" s="110"/>
      <c r="QIV19" s="110"/>
      <c r="QIW19" s="110"/>
      <c r="QIX19" s="110"/>
      <c r="QIY19" s="110"/>
      <c r="QIZ19" s="110"/>
      <c r="QJA19" s="110"/>
      <c r="QJB19" s="110"/>
      <c r="QJC19" s="110"/>
      <c r="QJD19" s="110"/>
      <c r="QJE19" s="110"/>
      <c r="QJF19" s="110"/>
      <c r="QJG19" s="110"/>
      <c r="QJH19" s="110"/>
      <c r="QJI19" s="110"/>
      <c r="QJJ19" s="110"/>
      <c r="QJK19" s="110"/>
      <c r="QJL19" s="110"/>
      <c r="QJM19" s="110"/>
      <c r="QJN19" s="110"/>
      <c r="QJO19" s="110"/>
      <c r="QJP19" s="110"/>
      <c r="QJQ19" s="110"/>
      <c r="QJR19" s="110"/>
      <c r="QJS19" s="110"/>
      <c r="QJT19" s="110"/>
      <c r="QJU19" s="110"/>
      <c r="QJV19" s="110"/>
      <c r="QJW19" s="110"/>
      <c r="QJX19" s="110"/>
      <c r="QJY19" s="110"/>
      <c r="QJZ19" s="110"/>
      <c r="QKA19" s="110"/>
      <c r="QKB19" s="110"/>
      <c r="QKC19" s="110"/>
      <c r="QKD19" s="110"/>
      <c r="QKE19" s="110"/>
      <c r="QKF19" s="110"/>
      <c r="QKG19" s="110"/>
      <c r="QKH19" s="110"/>
      <c r="QKI19" s="110"/>
      <c r="QKJ19" s="110"/>
      <c r="QKK19" s="110"/>
      <c r="QKL19" s="110"/>
      <c r="QKM19" s="110"/>
      <c r="QKN19" s="110"/>
      <c r="QKO19" s="110"/>
      <c r="QKP19" s="110"/>
      <c r="QKQ19" s="110"/>
      <c r="QKR19" s="110"/>
      <c r="QKS19" s="110"/>
      <c r="QKT19" s="110"/>
      <c r="QKU19" s="110"/>
      <c r="QKV19" s="110"/>
      <c r="QKW19" s="110"/>
      <c r="QKX19" s="110"/>
      <c r="QKY19" s="110"/>
      <c r="QKZ19" s="110"/>
      <c r="QLA19" s="110"/>
      <c r="QLB19" s="110"/>
      <c r="QLC19" s="110"/>
      <c r="QLD19" s="110"/>
      <c r="QLE19" s="110"/>
      <c r="QLF19" s="110"/>
      <c r="QLG19" s="110"/>
      <c r="QLH19" s="110"/>
      <c r="QLI19" s="110"/>
      <c r="QLJ19" s="110"/>
      <c r="QLK19" s="110"/>
      <c r="QLL19" s="110"/>
      <c r="QLM19" s="110"/>
      <c r="QLN19" s="110"/>
      <c r="QLO19" s="110"/>
      <c r="QLP19" s="110"/>
      <c r="QLQ19" s="110"/>
      <c r="QLR19" s="110"/>
      <c r="QLS19" s="110"/>
      <c r="QLT19" s="110"/>
      <c r="QLU19" s="110"/>
      <c r="QLV19" s="110"/>
      <c r="QLW19" s="110"/>
      <c r="QLX19" s="110"/>
      <c r="QLY19" s="110"/>
      <c r="QLZ19" s="110"/>
      <c r="QMA19" s="110"/>
      <c r="QMB19" s="110"/>
      <c r="QMC19" s="110"/>
      <c r="QMD19" s="110"/>
      <c r="QME19" s="110"/>
      <c r="QMF19" s="110"/>
      <c r="QMG19" s="110"/>
      <c r="QMH19" s="110"/>
      <c r="QMI19" s="110"/>
      <c r="QMJ19" s="110"/>
      <c r="QMK19" s="110"/>
      <c r="QML19" s="110"/>
      <c r="QMM19" s="110"/>
      <c r="QMN19" s="110"/>
      <c r="QMO19" s="110"/>
      <c r="QMP19" s="110"/>
      <c r="QMQ19" s="110"/>
      <c r="QMR19" s="110"/>
      <c r="QMS19" s="110"/>
      <c r="QMT19" s="110"/>
      <c r="QMU19" s="110"/>
      <c r="QMV19" s="110"/>
      <c r="QMW19" s="110"/>
      <c r="QMX19" s="110"/>
      <c r="QMY19" s="110"/>
      <c r="QMZ19" s="110"/>
      <c r="QNA19" s="110"/>
      <c r="QNB19" s="110"/>
      <c r="QNC19" s="110"/>
      <c r="QND19" s="110"/>
      <c r="QNE19" s="110"/>
      <c r="QNF19" s="110"/>
      <c r="QNG19" s="110"/>
      <c r="QNH19" s="110"/>
      <c r="QNI19" s="110"/>
      <c r="QNJ19" s="110"/>
      <c r="QNK19" s="110"/>
      <c r="QNL19" s="110"/>
      <c r="QNM19" s="110"/>
      <c r="QNN19" s="110"/>
      <c r="QNO19" s="110"/>
      <c r="QNP19" s="110"/>
      <c r="QNQ19" s="110"/>
      <c r="QNR19" s="110"/>
      <c r="QNS19" s="110"/>
      <c r="QNT19" s="110"/>
      <c r="QNU19" s="110"/>
      <c r="QNV19" s="110"/>
      <c r="QNW19" s="110"/>
      <c r="QNX19" s="110"/>
      <c r="QNY19" s="110"/>
      <c r="QNZ19" s="110"/>
      <c r="QOA19" s="110"/>
      <c r="QOB19" s="110"/>
      <c r="QOC19" s="110"/>
      <c r="QOD19" s="110"/>
      <c r="QOE19" s="110"/>
      <c r="QOF19" s="110"/>
      <c r="QOG19" s="110"/>
      <c r="QOH19" s="110"/>
      <c r="QOI19" s="110"/>
      <c r="QOJ19" s="110"/>
      <c r="QOK19" s="110"/>
      <c r="QOL19" s="110"/>
      <c r="QOM19" s="110"/>
      <c r="QON19" s="110"/>
      <c r="QOO19" s="110"/>
      <c r="QOP19" s="110"/>
      <c r="QOQ19" s="110"/>
      <c r="QOR19" s="110"/>
      <c r="QOS19" s="110"/>
      <c r="QOT19" s="110"/>
      <c r="QOU19" s="110"/>
      <c r="QOV19" s="110"/>
      <c r="QOW19" s="110"/>
      <c r="QOX19" s="110"/>
      <c r="QOY19" s="110"/>
      <c r="QOZ19" s="110"/>
      <c r="QPA19" s="110"/>
      <c r="QPB19" s="110"/>
      <c r="QPC19" s="110"/>
      <c r="QPD19" s="110"/>
      <c r="QPE19" s="110"/>
      <c r="QPF19" s="110"/>
      <c r="QPG19" s="110"/>
      <c r="QPH19" s="110"/>
      <c r="QPI19" s="110"/>
      <c r="QPJ19" s="110"/>
      <c r="QPK19" s="110"/>
      <c r="QPL19" s="110"/>
      <c r="QPM19" s="110"/>
      <c r="QPN19" s="110"/>
      <c r="QPO19" s="110"/>
      <c r="QPP19" s="110"/>
      <c r="QPQ19" s="110"/>
      <c r="QPR19" s="110"/>
      <c r="QPS19" s="110"/>
      <c r="QPT19" s="110"/>
      <c r="QPU19" s="110"/>
      <c r="QPV19" s="110"/>
      <c r="QPW19" s="110"/>
      <c r="QPX19" s="110"/>
      <c r="QPY19" s="110"/>
      <c r="QPZ19" s="110"/>
      <c r="QQA19" s="110"/>
      <c r="QQB19" s="110"/>
      <c r="QQC19" s="110"/>
      <c r="QQD19" s="110"/>
      <c r="QQE19" s="110"/>
      <c r="QQF19" s="110"/>
      <c r="QQG19" s="110"/>
      <c r="QQH19" s="110"/>
      <c r="QQI19" s="110"/>
      <c r="QQJ19" s="110"/>
      <c r="QQK19" s="110"/>
      <c r="QQL19" s="110"/>
      <c r="QQM19" s="110"/>
      <c r="QQN19" s="110"/>
      <c r="QQO19" s="110"/>
      <c r="QQP19" s="110"/>
      <c r="QQQ19" s="110"/>
      <c r="QQR19" s="110"/>
      <c r="QQS19" s="110"/>
      <c r="QQT19" s="110"/>
      <c r="QQU19" s="110"/>
      <c r="QQV19" s="110"/>
      <c r="QQW19" s="110"/>
      <c r="QQX19" s="110"/>
      <c r="QQY19" s="110"/>
      <c r="QQZ19" s="110"/>
      <c r="QRA19" s="110"/>
      <c r="QRB19" s="110"/>
      <c r="QRC19" s="110"/>
      <c r="QRD19" s="110"/>
      <c r="QRE19" s="110"/>
      <c r="QRF19" s="110"/>
      <c r="QRG19" s="110"/>
      <c r="QRH19" s="110"/>
      <c r="QRI19" s="110"/>
      <c r="QRJ19" s="110"/>
      <c r="QRK19" s="110"/>
      <c r="QRL19" s="110"/>
      <c r="QRM19" s="110"/>
      <c r="QRN19" s="110"/>
      <c r="QRO19" s="110"/>
      <c r="QRP19" s="110"/>
      <c r="QRQ19" s="110"/>
      <c r="QRR19" s="110"/>
      <c r="QRS19" s="110"/>
      <c r="QRT19" s="110"/>
      <c r="QRU19" s="110"/>
      <c r="QRV19" s="110"/>
      <c r="QRW19" s="110"/>
      <c r="QRX19" s="110"/>
      <c r="QRY19" s="110"/>
      <c r="QRZ19" s="110"/>
      <c r="QSA19" s="110"/>
      <c r="QSB19" s="110"/>
      <c r="QSC19" s="110"/>
      <c r="QSD19" s="110"/>
      <c r="QSE19" s="110"/>
      <c r="QSF19" s="110"/>
      <c r="QSG19" s="110"/>
      <c r="QSH19" s="110"/>
      <c r="QSI19" s="110"/>
      <c r="QSJ19" s="110"/>
      <c r="QSK19" s="110"/>
      <c r="QSL19" s="110"/>
      <c r="QSM19" s="110"/>
      <c r="QSN19" s="110"/>
      <c r="QSO19" s="110"/>
      <c r="QSP19" s="110"/>
      <c r="QSQ19" s="110"/>
      <c r="QSR19" s="110"/>
      <c r="QSS19" s="110"/>
      <c r="QST19" s="110"/>
      <c r="QSU19" s="110"/>
      <c r="QSV19" s="110"/>
      <c r="QSW19" s="110"/>
      <c r="QSX19" s="110"/>
      <c r="QSY19" s="110"/>
      <c r="QSZ19" s="110"/>
      <c r="QTA19" s="110"/>
      <c r="QTB19" s="110"/>
      <c r="QTC19" s="110"/>
      <c r="QTD19" s="110"/>
      <c r="QTE19" s="110"/>
      <c r="QTF19" s="110"/>
      <c r="QTG19" s="110"/>
      <c r="QTH19" s="110"/>
      <c r="QTI19" s="110"/>
      <c r="QTJ19" s="110"/>
      <c r="QTK19" s="110"/>
      <c r="QTL19" s="110"/>
      <c r="QTM19" s="110"/>
      <c r="QTN19" s="110"/>
      <c r="QTO19" s="110"/>
      <c r="QTP19" s="110"/>
      <c r="QTQ19" s="110"/>
      <c r="QTR19" s="110"/>
      <c r="QTS19" s="110"/>
      <c r="QTT19" s="110"/>
      <c r="QTU19" s="110"/>
      <c r="QTV19" s="110"/>
      <c r="QTW19" s="110"/>
      <c r="QTX19" s="110"/>
      <c r="QTY19" s="110"/>
      <c r="QTZ19" s="110"/>
      <c r="QUA19" s="110"/>
      <c r="QUB19" s="110"/>
      <c r="QUC19" s="110"/>
      <c r="QUD19" s="110"/>
      <c r="QUE19" s="110"/>
      <c r="QUF19" s="110"/>
      <c r="QUG19" s="110"/>
      <c r="QUH19" s="110"/>
      <c r="QUI19" s="110"/>
      <c r="QUJ19" s="110"/>
      <c r="QUK19" s="110"/>
      <c r="QUL19" s="110"/>
      <c r="QUM19" s="110"/>
      <c r="QUN19" s="110"/>
      <c r="QUO19" s="110"/>
      <c r="QUP19" s="110"/>
      <c r="QUQ19" s="110"/>
      <c r="QUR19" s="110"/>
      <c r="QUS19" s="110"/>
      <c r="QUT19" s="110"/>
      <c r="QUU19" s="110"/>
      <c r="QUV19" s="110"/>
      <c r="QUW19" s="110"/>
      <c r="QUX19" s="110"/>
      <c r="QUY19" s="110"/>
      <c r="QUZ19" s="110"/>
      <c r="QVA19" s="110"/>
      <c r="QVB19" s="110"/>
      <c r="QVC19" s="110"/>
      <c r="QVD19" s="110"/>
      <c r="QVE19" s="110"/>
      <c r="QVF19" s="110"/>
      <c r="QVG19" s="110"/>
      <c r="QVH19" s="110"/>
      <c r="QVI19" s="110"/>
      <c r="QVJ19" s="110"/>
      <c r="QVK19" s="110"/>
      <c r="QVL19" s="110"/>
      <c r="QVM19" s="110"/>
      <c r="QVN19" s="110"/>
      <c r="QVO19" s="110"/>
      <c r="QVP19" s="110"/>
      <c r="QVQ19" s="110"/>
      <c r="QVR19" s="110"/>
      <c r="QVS19" s="110"/>
      <c r="QVT19" s="110"/>
      <c r="QVU19" s="110"/>
      <c r="QVV19" s="110"/>
      <c r="QVW19" s="110"/>
      <c r="QVX19" s="110"/>
      <c r="QVY19" s="110"/>
      <c r="QVZ19" s="110"/>
      <c r="QWA19" s="110"/>
      <c r="QWB19" s="110"/>
      <c r="QWC19" s="110"/>
      <c r="QWD19" s="110"/>
      <c r="QWE19" s="110"/>
      <c r="QWF19" s="110"/>
      <c r="QWG19" s="110"/>
      <c r="QWH19" s="110"/>
      <c r="QWI19" s="110"/>
      <c r="QWJ19" s="110"/>
      <c r="QWK19" s="110"/>
      <c r="QWL19" s="110"/>
      <c r="QWM19" s="110"/>
      <c r="QWN19" s="110"/>
      <c r="QWO19" s="110"/>
      <c r="QWP19" s="110"/>
      <c r="QWQ19" s="110"/>
      <c r="QWR19" s="110"/>
      <c r="QWS19" s="110"/>
      <c r="QWT19" s="110"/>
      <c r="QWU19" s="110"/>
      <c r="QWV19" s="110"/>
      <c r="QWW19" s="110"/>
      <c r="QWX19" s="110"/>
      <c r="QWY19" s="110"/>
      <c r="QWZ19" s="110"/>
      <c r="QXA19" s="110"/>
      <c r="QXB19" s="110"/>
      <c r="QXC19" s="110"/>
      <c r="QXD19" s="110"/>
      <c r="QXE19" s="110"/>
      <c r="QXF19" s="110"/>
      <c r="QXG19" s="110"/>
      <c r="QXH19" s="110"/>
      <c r="QXI19" s="110"/>
      <c r="QXJ19" s="110"/>
      <c r="QXK19" s="110"/>
      <c r="QXL19" s="110"/>
      <c r="QXM19" s="110"/>
      <c r="QXN19" s="110"/>
      <c r="QXO19" s="110"/>
      <c r="QXP19" s="110"/>
      <c r="QXQ19" s="110"/>
      <c r="QXR19" s="110"/>
      <c r="QXS19" s="110"/>
      <c r="QXT19" s="110"/>
      <c r="QXU19" s="110"/>
      <c r="QXV19" s="110"/>
      <c r="QXW19" s="110"/>
      <c r="QXX19" s="110"/>
      <c r="QXY19" s="110"/>
      <c r="QXZ19" s="110"/>
      <c r="QYA19" s="110"/>
      <c r="QYB19" s="110"/>
      <c r="QYC19" s="110"/>
      <c r="QYD19" s="110"/>
      <c r="QYE19" s="110"/>
      <c r="QYF19" s="110"/>
      <c r="QYG19" s="110"/>
      <c r="QYH19" s="110"/>
      <c r="QYI19" s="110"/>
      <c r="QYJ19" s="110"/>
      <c r="QYK19" s="110"/>
      <c r="QYL19" s="110"/>
      <c r="QYM19" s="110"/>
      <c r="QYN19" s="110"/>
      <c r="QYO19" s="110"/>
      <c r="QYP19" s="110"/>
      <c r="QYQ19" s="110"/>
      <c r="QYR19" s="110"/>
      <c r="QYS19" s="110"/>
      <c r="QYT19" s="110"/>
      <c r="QYU19" s="110"/>
      <c r="QYV19" s="110"/>
      <c r="QYW19" s="110"/>
      <c r="QYX19" s="110"/>
      <c r="QYY19" s="110"/>
      <c r="QYZ19" s="110"/>
      <c r="QZA19" s="110"/>
      <c r="QZB19" s="110"/>
      <c r="QZC19" s="110"/>
      <c r="QZD19" s="110"/>
      <c r="QZE19" s="110"/>
      <c r="QZF19" s="110"/>
      <c r="QZG19" s="110"/>
      <c r="QZH19" s="110"/>
      <c r="QZI19" s="110"/>
      <c r="QZJ19" s="110"/>
      <c r="QZK19" s="110"/>
      <c r="QZL19" s="110"/>
      <c r="QZM19" s="110"/>
      <c r="QZN19" s="110"/>
      <c r="QZO19" s="110"/>
      <c r="QZP19" s="110"/>
      <c r="QZQ19" s="110"/>
      <c r="QZR19" s="110"/>
      <c r="QZS19" s="110"/>
      <c r="QZT19" s="110"/>
      <c r="QZU19" s="110"/>
      <c r="QZV19" s="110"/>
      <c r="QZW19" s="110"/>
      <c r="QZX19" s="110"/>
      <c r="QZY19" s="110"/>
      <c r="QZZ19" s="110"/>
      <c r="RAA19" s="110"/>
      <c r="RAB19" s="110"/>
      <c r="RAC19" s="110"/>
      <c r="RAD19" s="110"/>
      <c r="RAE19" s="110"/>
      <c r="RAF19" s="110"/>
      <c r="RAG19" s="110"/>
      <c r="RAH19" s="110"/>
      <c r="RAI19" s="110"/>
      <c r="RAJ19" s="110"/>
      <c r="RAK19" s="110"/>
      <c r="RAL19" s="110"/>
      <c r="RAM19" s="110"/>
      <c r="RAN19" s="110"/>
      <c r="RAO19" s="110"/>
      <c r="RAP19" s="110"/>
      <c r="RAQ19" s="110"/>
      <c r="RAR19" s="110"/>
      <c r="RAS19" s="110"/>
      <c r="RAT19" s="110"/>
      <c r="RAU19" s="110"/>
      <c r="RAV19" s="110"/>
      <c r="RAW19" s="110"/>
      <c r="RAX19" s="110"/>
      <c r="RAY19" s="110"/>
      <c r="RAZ19" s="110"/>
      <c r="RBA19" s="110"/>
      <c r="RBB19" s="110"/>
      <c r="RBC19" s="110"/>
      <c r="RBD19" s="110"/>
      <c r="RBE19" s="110"/>
      <c r="RBF19" s="110"/>
      <c r="RBG19" s="110"/>
      <c r="RBH19" s="110"/>
      <c r="RBI19" s="110"/>
      <c r="RBJ19" s="110"/>
      <c r="RBK19" s="110"/>
      <c r="RBL19" s="110"/>
      <c r="RBM19" s="110"/>
      <c r="RBN19" s="110"/>
      <c r="RBO19" s="110"/>
      <c r="RBP19" s="110"/>
      <c r="RBQ19" s="110"/>
      <c r="RBR19" s="110"/>
      <c r="RBS19" s="110"/>
      <c r="RBT19" s="110"/>
      <c r="RBU19" s="110"/>
      <c r="RBV19" s="110"/>
      <c r="RBW19" s="110"/>
      <c r="RBX19" s="110"/>
      <c r="RBY19" s="110"/>
      <c r="RBZ19" s="110"/>
      <c r="RCA19" s="110"/>
      <c r="RCB19" s="110"/>
      <c r="RCC19" s="110"/>
      <c r="RCD19" s="110"/>
      <c r="RCE19" s="110"/>
      <c r="RCF19" s="110"/>
      <c r="RCG19" s="110"/>
      <c r="RCH19" s="110"/>
      <c r="RCI19" s="110"/>
      <c r="RCJ19" s="110"/>
      <c r="RCK19" s="110"/>
      <c r="RCL19" s="110"/>
      <c r="RCM19" s="110"/>
      <c r="RCN19" s="110"/>
      <c r="RCO19" s="110"/>
      <c r="RCP19" s="110"/>
      <c r="RCQ19" s="110"/>
      <c r="RCR19" s="110"/>
      <c r="RCS19" s="110"/>
      <c r="RCT19" s="110"/>
      <c r="RCU19" s="110"/>
      <c r="RCV19" s="110"/>
      <c r="RCW19" s="110"/>
      <c r="RCX19" s="110"/>
      <c r="RCY19" s="110"/>
      <c r="RCZ19" s="110"/>
      <c r="RDA19" s="110"/>
      <c r="RDB19" s="110"/>
      <c r="RDC19" s="110"/>
      <c r="RDD19" s="110"/>
      <c r="RDE19" s="110"/>
      <c r="RDF19" s="110"/>
      <c r="RDG19" s="110"/>
      <c r="RDH19" s="110"/>
      <c r="RDI19" s="110"/>
      <c r="RDJ19" s="110"/>
      <c r="RDK19" s="110"/>
      <c r="RDL19" s="110"/>
      <c r="RDM19" s="110"/>
      <c r="RDN19" s="110"/>
      <c r="RDO19" s="110"/>
      <c r="RDP19" s="110"/>
      <c r="RDQ19" s="110"/>
      <c r="RDR19" s="110"/>
      <c r="RDS19" s="110"/>
      <c r="RDT19" s="110"/>
      <c r="RDU19" s="110"/>
      <c r="RDV19" s="110"/>
      <c r="RDW19" s="110"/>
      <c r="RDX19" s="110"/>
      <c r="RDY19" s="110"/>
      <c r="RDZ19" s="110"/>
      <c r="REA19" s="110"/>
      <c r="REB19" s="110"/>
      <c r="REC19" s="110"/>
      <c r="RED19" s="110"/>
      <c r="REE19" s="110"/>
      <c r="REF19" s="110"/>
      <c r="REG19" s="110"/>
      <c r="REH19" s="110"/>
      <c r="REI19" s="110"/>
      <c r="REJ19" s="110"/>
      <c r="REK19" s="110"/>
      <c r="REL19" s="110"/>
      <c r="REM19" s="110"/>
      <c r="REN19" s="110"/>
      <c r="REO19" s="110"/>
      <c r="REP19" s="110"/>
      <c r="REQ19" s="110"/>
      <c r="RER19" s="110"/>
      <c r="RES19" s="110"/>
      <c r="RET19" s="110"/>
      <c r="REU19" s="110"/>
      <c r="REV19" s="110"/>
      <c r="REW19" s="110"/>
      <c r="REX19" s="110"/>
      <c r="REY19" s="110"/>
      <c r="REZ19" s="110"/>
      <c r="RFA19" s="110"/>
      <c r="RFB19" s="110"/>
      <c r="RFC19" s="110"/>
      <c r="RFD19" s="110"/>
      <c r="RFE19" s="110"/>
      <c r="RFF19" s="110"/>
      <c r="RFG19" s="110"/>
      <c r="RFH19" s="110"/>
      <c r="RFI19" s="110"/>
      <c r="RFJ19" s="110"/>
      <c r="RFK19" s="110"/>
      <c r="RFL19" s="110"/>
      <c r="RFM19" s="110"/>
      <c r="RFN19" s="110"/>
      <c r="RFO19" s="110"/>
      <c r="RFP19" s="110"/>
      <c r="RFQ19" s="110"/>
      <c r="RFR19" s="110"/>
      <c r="RFS19" s="110"/>
      <c r="RFT19" s="110"/>
      <c r="RFU19" s="110"/>
      <c r="RFV19" s="110"/>
      <c r="RFW19" s="110"/>
      <c r="RFX19" s="110"/>
      <c r="RFY19" s="110"/>
      <c r="RFZ19" s="110"/>
      <c r="RGA19" s="110"/>
      <c r="RGB19" s="110"/>
      <c r="RGC19" s="110"/>
      <c r="RGD19" s="110"/>
      <c r="RGE19" s="110"/>
      <c r="RGF19" s="110"/>
      <c r="RGG19" s="110"/>
      <c r="RGH19" s="110"/>
      <c r="RGI19" s="110"/>
      <c r="RGJ19" s="110"/>
      <c r="RGK19" s="110"/>
      <c r="RGL19" s="110"/>
      <c r="RGM19" s="110"/>
      <c r="RGN19" s="110"/>
      <c r="RGO19" s="110"/>
      <c r="RGP19" s="110"/>
      <c r="RGQ19" s="110"/>
      <c r="RGR19" s="110"/>
      <c r="RGS19" s="110"/>
      <c r="RGT19" s="110"/>
      <c r="RGU19" s="110"/>
      <c r="RGV19" s="110"/>
      <c r="RGW19" s="110"/>
      <c r="RGX19" s="110"/>
      <c r="RGY19" s="110"/>
      <c r="RGZ19" s="110"/>
      <c r="RHA19" s="110"/>
      <c r="RHB19" s="110"/>
      <c r="RHC19" s="110"/>
      <c r="RHD19" s="110"/>
      <c r="RHE19" s="110"/>
      <c r="RHF19" s="110"/>
      <c r="RHG19" s="110"/>
      <c r="RHH19" s="110"/>
      <c r="RHI19" s="110"/>
      <c r="RHJ19" s="110"/>
      <c r="RHK19" s="110"/>
      <c r="RHL19" s="110"/>
      <c r="RHM19" s="110"/>
      <c r="RHN19" s="110"/>
      <c r="RHO19" s="110"/>
      <c r="RHP19" s="110"/>
      <c r="RHQ19" s="110"/>
      <c r="RHR19" s="110"/>
      <c r="RHS19" s="110"/>
      <c r="RHT19" s="110"/>
      <c r="RHU19" s="110"/>
      <c r="RHV19" s="110"/>
      <c r="RHW19" s="110"/>
      <c r="RHX19" s="110"/>
      <c r="RHY19" s="110"/>
      <c r="RHZ19" s="110"/>
      <c r="RIA19" s="110"/>
      <c r="RIB19" s="110"/>
      <c r="RIC19" s="110"/>
      <c r="RID19" s="110"/>
      <c r="RIE19" s="110"/>
      <c r="RIF19" s="110"/>
      <c r="RIG19" s="110"/>
      <c r="RIH19" s="110"/>
      <c r="RII19" s="110"/>
      <c r="RIJ19" s="110"/>
      <c r="RIK19" s="110"/>
      <c r="RIL19" s="110"/>
      <c r="RIM19" s="110"/>
      <c r="RIN19" s="110"/>
      <c r="RIO19" s="110"/>
      <c r="RIP19" s="110"/>
      <c r="RIQ19" s="110"/>
      <c r="RIR19" s="110"/>
      <c r="RIS19" s="110"/>
      <c r="RIT19" s="110"/>
      <c r="RIU19" s="110"/>
      <c r="RIV19" s="110"/>
      <c r="RIW19" s="110"/>
      <c r="RIX19" s="110"/>
      <c r="RIY19" s="110"/>
      <c r="RIZ19" s="110"/>
      <c r="RJA19" s="110"/>
      <c r="RJB19" s="110"/>
      <c r="RJC19" s="110"/>
      <c r="RJD19" s="110"/>
      <c r="RJE19" s="110"/>
      <c r="RJF19" s="110"/>
      <c r="RJG19" s="110"/>
      <c r="RJH19" s="110"/>
      <c r="RJI19" s="110"/>
      <c r="RJJ19" s="110"/>
      <c r="RJK19" s="110"/>
      <c r="RJL19" s="110"/>
      <c r="RJM19" s="110"/>
      <c r="RJN19" s="110"/>
      <c r="RJO19" s="110"/>
      <c r="RJP19" s="110"/>
      <c r="RJQ19" s="110"/>
      <c r="RJR19" s="110"/>
      <c r="RJS19" s="110"/>
      <c r="RJT19" s="110"/>
      <c r="RJU19" s="110"/>
      <c r="RJV19" s="110"/>
      <c r="RJW19" s="110"/>
      <c r="RJX19" s="110"/>
      <c r="RJY19" s="110"/>
      <c r="RJZ19" s="110"/>
      <c r="RKA19" s="110"/>
      <c r="RKB19" s="110"/>
      <c r="RKC19" s="110"/>
      <c r="RKD19" s="110"/>
      <c r="RKE19" s="110"/>
      <c r="RKF19" s="110"/>
      <c r="RKG19" s="110"/>
      <c r="RKH19" s="110"/>
      <c r="RKI19" s="110"/>
      <c r="RKJ19" s="110"/>
      <c r="RKK19" s="110"/>
      <c r="RKL19" s="110"/>
      <c r="RKM19" s="110"/>
      <c r="RKN19" s="110"/>
      <c r="RKO19" s="110"/>
      <c r="RKP19" s="110"/>
      <c r="RKQ19" s="110"/>
      <c r="RKR19" s="110"/>
      <c r="RKS19" s="110"/>
      <c r="RKT19" s="110"/>
      <c r="RKU19" s="110"/>
      <c r="RKV19" s="110"/>
      <c r="RKW19" s="110"/>
      <c r="RKX19" s="110"/>
      <c r="RKY19" s="110"/>
      <c r="RKZ19" s="110"/>
      <c r="RLA19" s="110"/>
      <c r="RLB19" s="110"/>
      <c r="RLC19" s="110"/>
      <c r="RLD19" s="110"/>
      <c r="RLE19" s="110"/>
      <c r="RLF19" s="110"/>
      <c r="RLG19" s="110"/>
      <c r="RLH19" s="110"/>
      <c r="RLI19" s="110"/>
      <c r="RLJ19" s="110"/>
      <c r="RLK19" s="110"/>
      <c r="RLL19" s="110"/>
      <c r="RLM19" s="110"/>
      <c r="RLN19" s="110"/>
      <c r="RLO19" s="110"/>
      <c r="RLP19" s="110"/>
      <c r="RLQ19" s="110"/>
      <c r="RLR19" s="110"/>
      <c r="RLS19" s="110"/>
      <c r="RLT19" s="110"/>
      <c r="RLU19" s="110"/>
      <c r="RLV19" s="110"/>
      <c r="RLW19" s="110"/>
      <c r="RLX19" s="110"/>
      <c r="RLY19" s="110"/>
      <c r="RLZ19" s="110"/>
      <c r="RMA19" s="110"/>
      <c r="RMB19" s="110"/>
      <c r="RMC19" s="110"/>
      <c r="RMD19" s="110"/>
      <c r="RME19" s="110"/>
      <c r="RMF19" s="110"/>
      <c r="RMG19" s="110"/>
      <c r="RMH19" s="110"/>
      <c r="RMI19" s="110"/>
      <c r="RMJ19" s="110"/>
      <c r="RMK19" s="110"/>
      <c r="RML19" s="110"/>
      <c r="RMM19" s="110"/>
      <c r="RMN19" s="110"/>
      <c r="RMO19" s="110"/>
      <c r="RMP19" s="110"/>
      <c r="RMQ19" s="110"/>
      <c r="RMR19" s="110"/>
      <c r="RMS19" s="110"/>
      <c r="RMT19" s="110"/>
      <c r="RMU19" s="110"/>
      <c r="RMV19" s="110"/>
      <c r="RMW19" s="110"/>
      <c r="RMX19" s="110"/>
      <c r="RMY19" s="110"/>
      <c r="RMZ19" s="110"/>
      <c r="RNA19" s="110"/>
      <c r="RNB19" s="110"/>
      <c r="RNC19" s="110"/>
      <c r="RND19" s="110"/>
      <c r="RNE19" s="110"/>
      <c r="RNF19" s="110"/>
      <c r="RNG19" s="110"/>
      <c r="RNH19" s="110"/>
      <c r="RNI19" s="110"/>
      <c r="RNJ19" s="110"/>
      <c r="RNK19" s="110"/>
      <c r="RNL19" s="110"/>
      <c r="RNM19" s="110"/>
      <c r="RNN19" s="110"/>
      <c r="RNO19" s="110"/>
      <c r="RNP19" s="110"/>
      <c r="RNQ19" s="110"/>
      <c r="RNR19" s="110"/>
      <c r="RNS19" s="110"/>
      <c r="RNT19" s="110"/>
      <c r="RNU19" s="110"/>
      <c r="RNV19" s="110"/>
      <c r="RNW19" s="110"/>
      <c r="RNX19" s="110"/>
      <c r="RNY19" s="110"/>
      <c r="RNZ19" s="110"/>
      <c r="ROA19" s="110"/>
      <c r="ROB19" s="110"/>
      <c r="ROC19" s="110"/>
      <c r="ROD19" s="110"/>
      <c r="ROE19" s="110"/>
      <c r="ROF19" s="110"/>
      <c r="ROG19" s="110"/>
      <c r="ROH19" s="110"/>
      <c r="ROI19" s="110"/>
      <c r="ROJ19" s="110"/>
      <c r="ROK19" s="110"/>
      <c r="ROL19" s="110"/>
      <c r="ROM19" s="110"/>
      <c r="RON19" s="110"/>
      <c r="ROO19" s="110"/>
      <c r="ROP19" s="110"/>
      <c r="ROQ19" s="110"/>
      <c r="ROR19" s="110"/>
      <c r="ROS19" s="110"/>
      <c r="ROT19" s="110"/>
      <c r="ROU19" s="110"/>
      <c r="ROV19" s="110"/>
      <c r="ROW19" s="110"/>
      <c r="ROX19" s="110"/>
      <c r="ROY19" s="110"/>
      <c r="ROZ19" s="110"/>
      <c r="RPA19" s="110"/>
      <c r="RPB19" s="110"/>
      <c r="RPC19" s="110"/>
      <c r="RPD19" s="110"/>
      <c r="RPE19" s="110"/>
      <c r="RPF19" s="110"/>
      <c r="RPG19" s="110"/>
      <c r="RPH19" s="110"/>
      <c r="RPI19" s="110"/>
      <c r="RPJ19" s="110"/>
      <c r="RPK19" s="110"/>
      <c r="RPL19" s="110"/>
      <c r="RPM19" s="110"/>
      <c r="RPN19" s="110"/>
      <c r="RPO19" s="110"/>
      <c r="RPP19" s="110"/>
      <c r="RPQ19" s="110"/>
      <c r="RPR19" s="110"/>
      <c r="RPS19" s="110"/>
      <c r="RPT19" s="110"/>
      <c r="RPU19" s="110"/>
      <c r="RPV19" s="110"/>
      <c r="RPW19" s="110"/>
      <c r="RPX19" s="110"/>
      <c r="RPY19" s="110"/>
      <c r="RPZ19" s="110"/>
      <c r="RQA19" s="110"/>
      <c r="RQB19" s="110"/>
      <c r="RQC19" s="110"/>
      <c r="RQD19" s="110"/>
      <c r="RQE19" s="110"/>
      <c r="RQF19" s="110"/>
      <c r="RQG19" s="110"/>
      <c r="RQH19" s="110"/>
      <c r="RQI19" s="110"/>
      <c r="RQJ19" s="110"/>
      <c r="RQK19" s="110"/>
      <c r="RQL19" s="110"/>
      <c r="RQM19" s="110"/>
      <c r="RQN19" s="110"/>
      <c r="RQO19" s="110"/>
      <c r="RQP19" s="110"/>
      <c r="RQQ19" s="110"/>
      <c r="RQR19" s="110"/>
      <c r="RQS19" s="110"/>
      <c r="RQT19" s="110"/>
      <c r="RQU19" s="110"/>
      <c r="RQV19" s="110"/>
      <c r="RQW19" s="110"/>
      <c r="RQX19" s="110"/>
      <c r="RQY19" s="110"/>
      <c r="RQZ19" s="110"/>
      <c r="RRA19" s="110"/>
      <c r="RRB19" s="110"/>
      <c r="RRC19" s="110"/>
      <c r="RRD19" s="110"/>
      <c r="RRE19" s="110"/>
      <c r="RRF19" s="110"/>
      <c r="RRG19" s="110"/>
      <c r="RRH19" s="110"/>
      <c r="RRI19" s="110"/>
      <c r="RRJ19" s="110"/>
      <c r="RRK19" s="110"/>
      <c r="RRL19" s="110"/>
      <c r="RRM19" s="110"/>
      <c r="RRN19" s="110"/>
      <c r="RRO19" s="110"/>
      <c r="RRP19" s="110"/>
      <c r="RRQ19" s="110"/>
      <c r="RRR19" s="110"/>
      <c r="RRS19" s="110"/>
      <c r="RRT19" s="110"/>
      <c r="RRU19" s="110"/>
      <c r="RRV19" s="110"/>
      <c r="RRW19" s="110"/>
      <c r="RRX19" s="110"/>
      <c r="RRY19" s="110"/>
      <c r="RRZ19" s="110"/>
      <c r="RSA19" s="110"/>
      <c r="RSB19" s="110"/>
      <c r="RSC19" s="110"/>
      <c r="RSD19" s="110"/>
      <c r="RSE19" s="110"/>
      <c r="RSF19" s="110"/>
      <c r="RSG19" s="110"/>
      <c r="RSH19" s="110"/>
      <c r="RSI19" s="110"/>
      <c r="RSJ19" s="110"/>
      <c r="RSK19" s="110"/>
      <c r="RSL19" s="110"/>
      <c r="RSM19" s="110"/>
      <c r="RSN19" s="110"/>
      <c r="RSO19" s="110"/>
      <c r="RSP19" s="110"/>
      <c r="RSQ19" s="110"/>
      <c r="RSR19" s="110"/>
      <c r="RSS19" s="110"/>
      <c r="RST19" s="110"/>
      <c r="RSU19" s="110"/>
      <c r="RSV19" s="110"/>
      <c r="RSW19" s="110"/>
      <c r="RSX19" s="110"/>
      <c r="RSY19" s="110"/>
      <c r="RSZ19" s="110"/>
      <c r="RTA19" s="110"/>
      <c r="RTB19" s="110"/>
      <c r="RTC19" s="110"/>
      <c r="RTD19" s="110"/>
      <c r="RTE19" s="110"/>
      <c r="RTF19" s="110"/>
      <c r="RTG19" s="110"/>
      <c r="RTH19" s="110"/>
      <c r="RTI19" s="110"/>
      <c r="RTJ19" s="110"/>
      <c r="RTK19" s="110"/>
      <c r="RTL19" s="110"/>
      <c r="RTM19" s="110"/>
      <c r="RTN19" s="110"/>
      <c r="RTO19" s="110"/>
      <c r="RTP19" s="110"/>
      <c r="RTQ19" s="110"/>
      <c r="RTR19" s="110"/>
      <c r="RTS19" s="110"/>
      <c r="RTT19" s="110"/>
      <c r="RTU19" s="110"/>
      <c r="RTV19" s="110"/>
      <c r="RTW19" s="110"/>
      <c r="RTX19" s="110"/>
      <c r="RTY19" s="110"/>
      <c r="RTZ19" s="110"/>
      <c r="RUA19" s="110"/>
      <c r="RUB19" s="110"/>
      <c r="RUC19" s="110"/>
      <c r="RUD19" s="110"/>
      <c r="RUE19" s="110"/>
      <c r="RUF19" s="110"/>
      <c r="RUG19" s="110"/>
      <c r="RUH19" s="110"/>
      <c r="RUI19" s="110"/>
      <c r="RUJ19" s="110"/>
      <c r="RUK19" s="110"/>
      <c r="RUL19" s="110"/>
      <c r="RUM19" s="110"/>
      <c r="RUN19" s="110"/>
      <c r="RUO19" s="110"/>
      <c r="RUP19" s="110"/>
      <c r="RUQ19" s="110"/>
      <c r="RUR19" s="110"/>
      <c r="RUS19" s="110"/>
      <c r="RUT19" s="110"/>
      <c r="RUU19" s="110"/>
      <c r="RUV19" s="110"/>
      <c r="RUW19" s="110"/>
      <c r="RUX19" s="110"/>
      <c r="RUY19" s="110"/>
      <c r="RUZ19" s="110"/>
      <c r="RVA19" s="110"/>
      <c r="RVB19" s="110"/>
      <c r="RVC19" s="110"/>
      <c r="RVD19" s="110"/>
      <c r="RVE19" s="110"/>
      <c r="RVF19" s="110"/>
      <c r="RVG19" s="110"/>
      <c r="RVH19" s="110"/>
      <c r="RVI19" s="110"/>
      <c r="RVJ19" s="110"/>
      <c r="RVK19" s="110"/>
      <c r="RVL19" s="110"/>
      <c r="RVM19" s="110"/>
      <c r="RVN19" s="110"/>
      <c r="RVO19" s="110"/>
      <c r="RVP19" s="110"/>
      <c r="RVQ19" s="110"/>
      <c r="RVR19" s="110"/>
      <c r="RVS19" s="110"/>
      <c r="RVT19" s="110"/>
      <c r="RVU19" s="110"/>
      <c r="RVV19" s="110"/>
      <c r="RVW19" s="110"/>
      <c r="RVX19" s="110"/>
      <c r="RVY19" s="110"/>
      <c r="RVZ19" s="110"/>
      <c r="RWA19" s="110"/>
      <c r="RWB19" s="110"/>
      <c r="RWC19" s="110"/>
      <c r="RWD19" s="110"/>
      <c r="RWE19" s="110"/>
      <c r="RWF19" s="110"/>
      <c r="RWG19" s="110"/>
      <c r="RWH19" s="110"/>
      <c r="RWI19" s="110"/>
      <c r="RWJ19" s="110"/>
      <c r="RWK19" s="110"/>
      <c r="RWL19" s="110"/>
      <c r="RWM19" s="110"/>
      <c r="RWN19" s="110"/>
      <c r="RWO19" s="110"/>
      <c r="RWP19" s="110"/>
      <c r="RWQ19" s="110"/>
      <c r="RWR19" s="110"/>
      <c r="RWS19" s="110"/>
      <c r="RWT19" s="110"/>
      <c r="RWU19" s="110"/>
      <c r="RWV19" s="110"/>
      <c r="RWW19" s="110"/>
      <c r="RWX19" s="110"/>
      <c r="RWY19" s="110"/>
      <c r="RWZ19" s="110"/>
      <c r="RXA19" s="110"/>
      <c r="RXB19" s="110"/>
      <c r="RXC19" s="110"/>
      <c r="RXD19" s="110"/>
      <c r="RXE19" s="110"/>
      <c r="RXF19" s="110"/>
      <c r="RXG19" s="110"/>
      <c r="RXH19" s="110"/>
      <c r="RXI19" s="110"/>
      <c r="RXJ19" s="110"/>
      <c r="RXK19" s="110"/>
      <c r="RXL19" s="110"/>
      <c r="RXM19" s="110"/>
      <c r="RXN19" s="110"/>
      <c r="RXO19" s="110"/>
      <c r="RXP19" s="110"/>
      <c r="RXQ19" s="110"/>
      <c r="RXR19" s="110"/>
      <c r="RXS19" s="110"/>
      <c r="RXT19" s="110"/>
      <c r="RXU19" s="110"/>
      <c r="RXV19" s="110"/>
      <c r="RXW19" s="110"/>
      <c r="RXX19" s="110"/>
      <c r="RXY19" s="110"/>
      <c r="RXZ19" s="110"/>
      <c r="RYA19" s="110"/>
      <c r="RYB19" s="110"/>
      <c r="RYC19" s="110"/>
      <c r="RYD19" s="110"/>
      <c r="RYE19" s="110"/>
      <c r="RYF19" s="110"/>
      <c r="RYG19" s="110"/>
      <c r="RYH19" s="110"/>
      <c r="RYI19" s="110"/>
      <c r="RYJ19" s="110"/>
      <c r="RYK19" s="110"/>
      <c r="RYL19" s="110"/>
      <c r="RYM19" s="110"/>
      <c r="RYN19" s="110"/>
      <c r="RYO19" s="110"/>
      <c r="RYP19" s="110"/>
      <c r="RYQ19" s="110"/>
      <c r="RYR19" s="110"/>
      <c r="RYS19" s="110"/>
      <c r="RYT19" s="110"/>
      <c r="RYU19" s="110"/>
      <c r="RYV19" s="110"/>
      <c r="RYW19" s="110"/>
      <c r="RYX19" s="110"/>
      <c r="RYY19" s="110"/>
      <c r="RYZ19" s="110"/>
      <c r="RZA19" s="110"/>
      <c r="RZB19" s="110"/>
      <c r="RZC19" s="110"/>
      <c r="RZD19" s="110"/>
      <c r="RZE19" s="110"/>
      <c r="RZF19" s="110"/>
      <c r="RZG19" s="110"/>
      <c r="RZH19" s="110"/>
      <c r="RZI19" s="110"/>
      <c r="RZJ19" s="110"/>
      <c r="RZK19" s="110"/>
      <c r="RZL19" s="110"/>
      <c r="RZM19" s="110"/>
      <c r="RZN19" s="110"/>
      <c r="RZO19" s="110"/>
      <c r="RZP19" s="110"/>
      <c r="RZQ19" s="110"/>
      <c r="RZR19" s="110"/>
      <c r="RZS19" s="110"/>
      <c r="RZT19" s="110"/>
      <c r="RZU19" s="110"/>
      <c r="RZV19" s="110"/>
      <c r="RZW19" s="110"/>
      <c r="RZX19" s="110"/>
      <c r="RZY19" s="110"/>
      <c r="RZZ19" s="110"/>
      <c r="SAA19" s="110"/>
      <c r="SAB19" s="110"/>
      <c r="SAC19" s="110"/>
      <c r="SAD19" s="110"/>
      <c r="SAE19" s="110"/>
      <c r="SAF19" s="110"/>
      <c r="SAG19" s="110"/>
      <c r="SAH19" s="110"/>
      <c r="SAI19" s="110"/>
      <c r="SAJ19" s="110"/>
      <c r="SAK19" s="110"/>
      <c r="SAL19" s="110"/>
      <c r="SAM19" s="110"/>
      <c r="SAN19" s="110"/>
      <c r="SAO19" s="110"/>
      <c r="SAP19" s="110"/>
      <c r="SAQ19" s="110"/>
      <c r="SAR19" s="110"/>
      <c r="SAS19" s="110"/>
      <c r="SAT19" s="110"/>
      <c r="SAU19" s="110"/>
      <c r="SAV19" s="110"/>
      <c r="SAW19" s="110"/>
      <c r="SAX19" s="110"/>
      <c r="SAY19" s="110"/>
      <c r="SAZ19" s="110"/>
      <c r="SBA19" s="110"/>
      <c r="SBB19" s="110"/>
      <c r="SBC19" s="110"/>
      <c r="SBD19" s="110"/>
      <c r="SBE19" s="110"/>
      <c r="SBF19" s="110"/>
      <c r="SBG19" s="110"/>
      <c r="SBH19" s="110"/>
      <c r="SBI19" s="110"/>
      <c r="SBJ19" s="110"/>
      <c r="SBK19" s="110"/>
      <c r="SBL19" s="110"/>
      <c r="SBM19" s="110"/>
      <c r="SBN19" s="110"/>
      <c r="SBO19" s="110"/>
      <c r="SBP19" s="110"/>
      <c r="SBQ19" s="110"/>
      <c r="SBR19" s="110"/>
      <c r="SBS19" s="110"/>
      <c r="SBT19" s="110"/>
      <c r="SBU19" s="110"/>
      <c r="SBV19" s="110"/>
      <c r="SBW19" s="110"/>
      <c r="SBX19" s="110"/>
      <c r="SBY19" s="110"/>
      <c r="SBZ19" s="110"/>
      <c r="SCA19" s="110"/>
      <c r="SCB19" s="110"/>
      <c r="SCC19" s="110"/>
      <c r="SCD19" s="110"/>
      <c r="SCE19" s="110"/>
      <c r="SCF19" s="110"/>
      <c r="SCG19" s="110"/>
      <c r="SCH19" s="110"/>
      <c r="SCI19" s="110"/>
      <c r="SCJ19" s="110"/>
      <c r="SCK19" s="110"/>
      <c r="SCL19" s="110"/>
      <c r="SCM19" s="110"/>
      <c r="SCN19" s="110"/>
      <c r="SCO19" s="110"/>
      <c r="SCP19" s="110"/>
      <c r="SCQ19" s="110"/>
      <c r="SCR19" s="110"/>
      <c r="SCS19" s="110"/>
      <c r="SCT19" s="110"/>
      <c r="SCU19" s="110"/>
      <c r="SCV19" s="110"/>
      <c r="SCW19" s="110"/>
      <c r="SCX19" s="110"/>
      <c r="SCY19" s="110"/>
      <c r="SCZ19" s="110"/>
      <c r="SDA19" s="110"/>
      <c r="SDB19" s="110"/>
      <c r="SDC19" s="110"/>
      <c r="SDD19" s="110"/>
      <c r="SDE19" s="110"/>
      <c r="SDF19" s="110"/>
      <c r="SDG19" s="110"/>
      <c r="SDH19" s="110"/>
      <c r="SDI19" s="110"/>
      <c r="SDJ19" s="110"/>
      <c r="SDK19" s="110"/>
      <c r="SDL19" s="110"/>
      <c r="SDM19" s="110"/>
      <c r="SDN19" s="110"/>
      <c r="SDO19" s="110"/>
      <c r="SDP19" s="110"/>
      <c r="SDQ19" s="110"/>
      <c r="SDR19" s="110"/>
      <c r="SDS19" s="110"/>
      <c r="SDT19" s="110"/>
      <c r="SDU19" s="110"/>
      <c r="SDV19" s="110"/>
      <c r="SDW19" s="110"/>
      <c r="SDX19" s="110"/>
      <c r="SDY19" s="110"/>
      <c r="SDZ19" s="110"/>
      <c r="SEA19" s="110"/>
      <c r="SEB19" s="110"/>
      <c r="SEC19" s="110"/>
      <c r="SED19" s="110"/>
      <c r="SEE19" s="110"/>
      <c r="SEF19" s="110"/>
      <c r="SEG19" s="110"/>
      <c r="SEH19" s="110"/>
      <c r="SEI19" s="110"/>
      <c r="SEJ19" s="110"/>
      <c r="SEK19" s="110"/>
      <c r="SEL19" s="110"/>
      <c r="SEM19" s="110"/>
      <c r="SEN19" s="110"/>
      <c r="SEO19" s="110"/>
      <c r="SEP19" s="110"/>
      <c r="SEQ19" s="110"/>
      <c r="SER19" s="110"/>
      <c r="SES19" s="110"/>
      <c r="SET19" s="110"/>
      <c r="SEU19" s="110"/>
      <c r="SEV19" s="110"/>
      <c r="SEW19" s="110"/>
      <c r="SEX19" s="110"/>
      <c r="SEY19" s="110"/>
      <c r="SEZ19" s="110"/>
      <c r="SFA19" s="110"/>
      <c r="SFB19" s="110"/>
      <c r="SFC19" s="110"/>
      <c r="SFD19" s="110"/>
      <c r="SFE19" s="110"/>
      <c r="SFF19" s="110"/>
      <c r="SFG19" s="110"/>
      <c r="SFH19" s="110"/>
      <c r="SFI19" s="110"/>
      <c r="SFJ19" s="110"/>
      <c r="SFK19" s="110"/>
      <c r="SFL19" s="110"/>
      <c r="SFM19" s="110"/>
      <c r="SFN19" s="110"/>
      <c r="SFO19" s="110"/>
      <c r="SFP19" s="110"/>
      <c r="SFQ19" s="110"/>
      <c r="SFR19" s="110"/>
      <c r="SFS19" s="110"/>
      <c r="SFT19" s="110"/>
      <c r="SFU19" s="110"/>
      <c r="SFV19" s="110"/>
      <c r="SFW19" s="110"/>
      <c r="SFX19" s="110"/>
      <c r="SFY19" s="110"/>
      <c r="SFZ19" s="110"/>
      <c r="SGA19" s="110"/>
      <c r="SGB19" s="110"/>
      <c r="SGC19" s="110"/>
      <c r="SGD19" s="110"/>
      <c r="SGE19" s="110"/>
      <c r="SGF19" s="110"/>
      <c r="SGG19" s="110"/>
      <c r="SGH19" s="110"/>
      <c r="SGI19" s="110"/>
      <c r="SGJ19" s="110"/>
      <c r="SGK19" s="110"/>
      <c r="SGL19" s="110"/>
      <c r="SGM19" s="110"/>
      <c r="SGN19" s="110"/>
      <c r="SGO19" s="110"/>
      <c r="SGP19" s="110"/>
      <c r="SGQ19" s="110"/>
      <c r="SGR19" s="110"/>
      <c r="SGS19" s="110"/>
      <c r="SGT19" s="110"/>
      <c r="SGU19" s="110"/>
      <c r="SGV19" s="110"/>
      <c r="SGW19" s="110"/>
      <c r="SGX19" s="110"/>
      <c r="SGY19" s="110"/>
      <c r="SGZ19" s="110"/>
      <c r="SHA19" s="110"/>
      <c r="SHB19" s="110"/>
      <c r="SHC19" s="110"/>
      <c r="SHD19" s="110"/>
      <c r="SHE19" s="110"/>
      <c r="SHF19" s="110"/>
      <c r="SHG19" s="110"/>
      <c r="SHH19" s="110"/>
      <c r="SHI19" s="110"/>
      <c r="SHJ19" s="110"/>
      <c r="SHK19" s="110"/>
      <c r="SHL19" s="110"/>
      <c r="SHM19" s="110"/>
      <c r="SHN19" s="110"/>
      <c r="SHO19" s="110"/>
      <c r="SHP19" s="110"/>
      <c r="SHQ19" s="110"/>
      <c r="SHR19" s="110"/>
      <c r="SHS19" s="110"/>
      <c r="SHT19" s="110"/>
      <c r="SHU19" s="110"/>
      <c r="SHV19" s="110"/>
      <c r="SHW19" s="110"/>
      <c r="SHX19" s="110"/>
      <c r="SHY19" s="110"/>
      <c r="SHZ19" s="110"/>
      <c r="SIA19" s="110"/>
      <c r="SIB19" s="110"/>
      <c r="SIC19" s="110"/>
      <c r="SID19" s="110"/>
      <c r="SIE19" s="110"/>
      <c r="SIF19" s="110"/>
      <c r="SIG19" s="110"/>
      <c r="SIH19" s="110"/>
      <c r="SII19" s="110"/>
      <c r="SIJ19" s="110"/>
      <c r="SIK19" s="110"/>
      <c r="SIL19" s="110"/>
      <c r="SIM19" s="110"/>
      <c r="SIN19" s="110"/>
      <c r="SIO19" s="110"/>
      <c r="SIP19" s="110"/>
      <c r="SIQ19" s="110"/>
      <c r="SIR19" s="110"/>
      <c r="SIS19" s="110"/>
      <c r="SIT19" s="110"/>
      <c r="SIU19" s="110"/>
      <c r="SIV19" s="110"/>
      <c r="SIW19" s="110"/>
      <c r="SIX19" s="110"/>
      <c r="SIY19" s="110"/>
      <c r="SIZ19" s="110"/>
      <c r="SJA19" s="110"/>
      <c r="SJB19" s="110"/>
      <c r="SJC19" s="110"/>
      <c r="SJD19" s="110"/>
      <c r="SJE19" s="110"/>
      <c r="SJF19" s="110"/>
      <c r="SJG19" s="110"/>
      <c r="SJH19" s="110"/>
      <c r="SJI19" s="110"/>
      <c r="SJJ19" s="110"/>
      <c r="SJK19" s="110"/>
      <c r="SJL19" s="110"/>
      <c r="SJM19" s="110"/>
      <c r="SJN19" s="110"/>
      <c r="SJO19" s="110"/>
      <c r="SJP19" s="110"/>
      <c r="SJQ19" s="110"/>
      <c r="SJR19" s="110"/>
      <c r="SJS19" s="110"/>
      <c r="SJT19" s="110"/>
      <c r="SJU19" s="110"/>
      <c r="SJV19" s="110"/>
      <c r="SJW19" s="110"/>
      <c r="SJX19" s="110"/>
      <c r="SJY19" s="110"/>
      <c r="SJZ19" s="110"/>
      <c r="SKA19" s="110"/>
      <c r="SKB19" s="110"/>
      <c r="SKC19" s="110"/>
      <c r="SKD19" s="110"/>
      <c r="SKE19" s="110"/>
      <c r="SKF19" s="110"/>
      <c r="SKG19" s="110"/>
      <c r="SKH19" s="110"/>
      <c r="SKI19" s="110"/>
      <c r="SKJ19" s="110"/>
      <c r="SKK19" s="110"/>
      <c r="SKL19" s="110"/>
      <c r="SKM19" s="110"/>
      <c r="SKN19" s="110"/>
      <c r="SKO19" s="110"/>
      <c r="SKP19" s="110"/>
      <c r="SKQ19" s="110"/>
      <c r="SKR19" s="110"/>
      <c r="SKS19" s="110"/>
      <c r="SKT19" s="110"/>
      <c r="SKU19" s="110"/>
      <c r="SKV19" s="110"/>
      <c r="SKW19" s="110"/>
      <c r="SKX19" s="110"/>
      <c r="SKY19" s="110"/>
      <c r="SKZ19" s="110"/>
      <c r="SLA19" s="110"/>
      <c r="SLB19" s="110"/>
      <c r="SLC19" s="110"/>
      <c r="SLD19" s="110"/>
      <c r="SLE19" s="110"/>
      <c r="SLF19" s="110"/>
      <c r="SLG19" s="110"/>
      <c r="SLH19" s="110"/>
      <c r="SLI19" s="110"/>
      <c r="SLJ19" s="110"/>
      <c r="SLK19" s="110"/>
      <c r="SLL19" s="110"/>
      <c r="SLM19" s="110"/>
      <c r="SLN19" s="110"/>
      <c r="SLO19" s="110"/>
      <c r="SLP19" s="110"/>
      <c r="SLQ19" s="110"/>
      <c r="SLR19" s="110"/>
      <c r="SLS19" s="110"/>
      <c r="SLT19" s="110"/>
      <c r="SLU19" s="110"/>
      <c r="SLV19" s="110"/>
      <c r="SLW19" s="110"/>
      <c r="SLX19" s="110"/>
      <c r="SLY19" s="110"/>
      <c r="SLZ19" s="110"/>
      <c r="SMA19" s="110"/>
      <c r="SMB19" s="110"/>
      <c r="SMC19" s="110"/>
      <c r="SMD19" s="110"/>
      <c r="SME19" s="110"/>
      <c r="SMF19" s="110"/>
      <c r="SMG19" s="110"/>
      <c r="SMH19" s="110"/>
      <c r="SMI19" s="110"/>
      <c r="SMJ19" s="110"/>
      <c r="SMK19" s="110"/>
      <c r="SML19" s="110"/>
      <c r="SMM19" s="110"/>
      <c r="SMN19" s="110"/>
      <c r="SMO19" s="110"/>
      <c r="SMP19" s="110"/>
      <c r="SMQ19" s="110"/>
      <c r="SMR19" s="110"/>
      <c r="SMS19" s="110"/>
      <c r="SMT19" s="110"/>
      <c r="SMU19" s="110"/>
      <c r="SMV19" s="110"/>
      <c r="SMW19" s="110"/>
      <c r="SMX19" s="110"/>
      <c r="SMY19" s="110"/>
      <c r="SMZ19" s="110"/>
      <c r="SNA19" s="110"/>
      <c r="SNB19" s="110"/>
      <c r="SNC19" s="110"/>
      <c r="SND19" s="110"/>
      <c r="SNE19" s="110"/>
      <c r="SNF19" s="110"/>
      <c r="SNG19" s="110"/>
      <c r="SNH19" s="110"/>
      <c r="SNI19" s="110"/>
      <c r="SNJ19" s="110"/>
      <c r="SNK19" s="110"/>
      <c r="SNL19" s="110"/>
      <c r="SNM19" s="110"/>
      <c r="SNN19" s="110"/>
      <c r="SNO19" s="110"/>
      <c r="SNP19" s="110"/>
      <c r="SNQ19" s="110"/>
      <c r="SNR19" s="110"/>
      <c r="SNS19" s="110"/>
      <c r="SNT19" s="110"/>
      <c r="SNU19" s="110"/>
      <c r="SNV19" s="110"/>
      <c r="SNW19" s="110"/>
      <c r="SNX19" s="110"/>
      <c r="SNY19" s="110"/>
      <c r="SNZ19" s="110"/>
      <c r="SOA19" s="110"/>
      <c r="SOB19" s="110"/>
      <c r="SOC19" s="110"/>
      <c r="SOD19" s="110"/>
      <c r="SOE19" s="110"/>
      <c r="SOF19" s="110"/>
      <c r="SOG19" s="110"/>
      <c r="SOH19" s="110"/>
      <c r="SOI19" s="110"/>
      <c r="SOJ19" s="110"/>
      <c r="SOK19" s="110"/>
      <c r="SOL19" s="110"/>
      <c r="SOM19" s="110"/>
      <c r="SON19" s="110"/>
      <c r="SOO19" s="110"/>
      <c r="SOP19" s="110"/>
      <c r="SOQ19" s="110"/>
      <c r="SOR19" s="110"/>
      <c r="SOS19" s="110"/>
      <c r="SOT19" s="110"/>
      <c r="SOU19" s="110"/>
      <c r="SOV19" s="110"/>
      <c r="SOW19" s="110"/>
      <c r="SOX19" s="110"/>
      <c r="SOY19" s="110"/>
      <c r="SOZ19" s="110"/>
      <c r="SPA19" s="110"/>
      <c r="SPB19" s="110"/>
      <c r="SPC19" s="110"/>
      <c r="SPD19" s="110"/>
      <c r="SPE19" s="110"/>
      <c r="SPF19" s="110"/>
      <c r="SPG19" s="110"/>
      <c r="SPH19" s="110"/>
      <c r="SPI19" s="110"/>
      <c r="SPJ19" s="110"/>
      <c r="SPK19" s="110"/>
      <c r="SPL19" s="110"/>
      <c r="SPM19" s="110"/>
      <c r="SPN19" s="110"/>
      <c r="SPO19" s="110"/>
      <c r="SPP19" s="110"/>
      <c r="SPQ19" s="110"/>
      <c r="SPR19" s="110"/>
      <c r="SPS19" s="110"/>
      <c r="SPT19" s="110"/>
      <c r="SPU19" s="110"/>
      <c r="SPV19" s="110"/>
      <c r="SPW19" s="110"/>
      <c r="SPX19" s="110"/>
      <c r="SPY19" s="110"/>
      <c r="SPZ19" s="110"/>
      <c r="SQA19" s="110"/>
      <c r="SQB19" s="110"/>
      <c r="SQC19" s="110"/>
      <c r="SQD19" s="110"/>
      <c r="SQE19" s="110"/>
      <c r="SQF19" s="110"/>
      <c r="SQG19" s="110"/>
      <c r="SQH19" s="110"/>
      <c r="SQI19" s="110"/>
      <c r="SQJ19" s="110"/>
      <c r="SQK19" s="110"/>
      <c r="SQL19" s="110"/>
      <c r="SQM19" s="110"/>
      <c r="SQN19" s="110"/>
      <c r="SQO19" s="110"/>
      <c r="SQP19" s="110"/>
      <c r="SQQ19" s="110"/>
      <c r="SQR19" s="110"/>
      <c r="SQS19" s="110"/>
      <c r="SQT19" s="110"/>
      <c r="SQU19" s="110"/>
      <c r="SQV19" s="110"/>
      <c r="SQW19" s="110"/>
      <c r="SQX19" s="110"/>
      <c r="SQY19" s="110"/>
      <c r="SQZ19" s="110"/>
      <c r="SRA19" s="110"/>
      <c r="SRB19" s="110"/>
      <c r="SRC19" s="110"/>
      <c r="SRD19" s="110"/>
      <c r="SRE19" s="110"/>
      <c r="SRF19" s="110"/>
      <c r="SRG19" s="110"/>
      <c r="SRH19" s="110"/>
      <c r="SRI19" s="110"/>
      <c r="SRJ19" s="110"/>
      <c r="SRK19" s="110"/>
      <c r="SRL19" s="110"/>
      <c r="SRM19" s="110"/>
      <c r="SRN19" s="110"/>
      <c r="SRO19" s="110"/>
      <c r="SRP19" s="110"/>
      <c r="SRQ19" s="110"/>
      <c r="SRR19" s="110"/>
      <c r="SRS19" s="110"/>
      <c r="SRT19" s="110"/>
      <c r="SRU19" s="110"/>
      <c r="SRV19" s="110"/>
      <c r="SRW19" s="110"/>
      <c r="SRX19" s="110"/>
      <c r="SRY19" s="110"/>
      <c r="SRZ19" s="110"/>
      <c r="SSA19" s="110"/>
      <c r="SSB19" s="110"/>
      <c r="SSC19" s="110"/>
      <c r="SSD19" s="110"/>
      <c r="SSE19" s="110"/>
      <c r="SSF19" s="110"/>
      <c r="SSG19" s="110"/>
      <c r="SSH19" s="110"/>
      <c r="SSI19" s="110"/>
      <c r="SSJ19" s="110"/>
      <c r="SSK19" s="110"/>
      <c r="SSL19" s="110"/>
      <c r="SSM19" s="110"/>
      <c r="SSN19" s="110"/>
      <c r="SSO19" s="110"/>
      <c r="SSP19" s="110"/>
      <c r="SSQ19" s="110"/>
      <c r="SSR19" s="110"/>
      <c r="SSS19" s="110"/>
      <c r="SST19" s="110"/>
      <c r="SSU19" s="110"/>
      <c r="SSV19" s="110"/>
      <c r="SSW19" s="110"/>
      <c r="SSX19" s="110"/>
      <c r="SSY19" s="110"/>
      <c r="SSZ19" s="110"/>
      <c r="STA19" s="110"/>
      <c r="STB19" s="110"/>
      <c r="STC19" s="110"/>
      <c r="STD19" s="110"/>
      <c r="STE19" s="110"/>
      <c r="STF19" s="110"/>
      <c r="STG19" s="110"/>
      <c r="STH19" s="110"/>
      <c r="STI19" s="110"/>
      <c r="STJ19" s="110"/>
      <c r="STK19" s="110"/>
      <c r="STL19" s="110"/>
      <c r="STM19" s="110"/>
      <c r="STN19" s="110"/>
      <c r="STO19" s="110"/>
      <c r="STP19" s="110"/>
      <c r="STQ19" s="110"/>
      <c r="STR19" s="110"/>
      <c r="STS19" s="110"/>
      <c r="STT19" s="110"/>
      <c r="STU19" s="110"/>
      <c r="STV19" s="110"/>
      <c r="STW19" s="110"/>
      <c r="STX19" s="110"/>
      <c r="STY19" s="110"/>
      <c r="STZ19" s="110"/>
      <c r="SUA19" s="110"/>
      <c r="SUB19" s="110"/>
      <c r="SUC19" s="110"/>
      <c r="SUD19" s="110"/>
      <c r="SUE19" s="110"/>
      <c r="SUF19" s="110"/>
      <c r="SUG19" s="110"/>
      <c r="SUH19" s="110"/>
      <c r="SUI19" s="110"/>
      <c r="SUJ19" s="110"/>
      <c r="SUK19" s="110"/>
      <c r="SUL19" s="110"/>
      <c r="SUM19" s="110"/>
      <c r="SUN19" s="110"/>
      <c r="SUO19" s="110"/>
      <c r="SUP19" s="110"/>
      <c r="SUQ19" s="110"/>
      <c r="SUR19" s="110"/>
      <c r="SUS19" s="110"/>
      <c r="SUT19" s="110"/>
      <c r="SUU19" s="110"/>
      <c r="SUV19" s="110"/>
      <c r="SUW19" s="110"/>
      <c r="SUX19" s="110"/>
      <c r="SUY19" s="110"/>
      <c r="SUZ19" s="110"/>
      <c r="SVA19" s="110"/>
      <c r="SVB19" s="110"/>
      <c r="SVC19" s="110"/>
      <c r="SVD19" s="110"/>
      <c r="SVE19" s="110"/>
      <c r="SVF19" s="110"/>
      <c r="SVG19" s="110"/>
      <c r="SVH19" s="110"/>
      <c r="SVI19" s="110"/>
      <c r="SVJ19" s="110"/>
      <c r="SVK19" s="110"/>
      <c r="SVL19" s="110"/>
      <c r="SVM19" s="110"/>
      <c r="SVN19" s="110"/>
      <c r="SVO19" s="110"/>
      <c r="SVP19" s="110"/>
      <c r="SVQ19" s="110"/>
      <c r="SVR19" s="110"/>
      <c r="SVS19" s="110"/>
      <c r="SVT19" s="110"/>
      <c r="SVU19" s="110"/>
      <c r="SVV19" s="110"/>
      <c r="SVW19" s="110"/>
      <c r="SVX19" s="110"/>
      <c r="SVY19" s="110"/>
      <c r="SVZ19" s="110"/>
      <c r="SWA19" s="110"/>
      <c r="SWB19" s="110"/>
      <c r="SWC19" s="110"/>
      <c r="SWD19" s="110"/>
      <c r="SWE19" s="110"/>
      <c r="SWF19" s="110"/>
      <c r="SWG19" s="110"/>
      <c r="SWH19" s="110"/>
      <c r="SWI19" s="110"/>
      <c r="SWJ19" s="110"/>
      <c r="SWK19" s="110"/>
      <c r="SWL19" s="110"/>
      <c r="SWM19" s="110"/>
      <c r="SWN19" s="110"/>
      <c r="SWO19" s="110"/>
      <c r="SWP19" s="110"/>
      <c r="SWQ19" s="110"/>
      <c r="SWR19" s="110"/>
      <c r="SWS19" s="110"/>
      <c r="SWT19" s="110"/>
      <c r="SWU19" s="110"/>
      <c r="SWV19" s="110"/>
      <c r="SWW19" s="110"/>
      <c r="SWX19" s="110"/>
      <c r="SWY19" s="110"/>
      <c r="SWZ19" s="110"/>
      <c r="SXA19" s="110"/>
      <c r="SXB19" s="110"/>
      <c r="SXC19" s="110"/>
      <c r="SXD19" s="110"/>
      <c r="SXE19" s="110"/>
      <c r="SXF19" s="110"/>
      <c r="SXG19" s="110"/>
      <c r="SXH19" s="110"/>
      <c r="SXI19" s="110"/>
      <c r="SXJ19" s="110"/>
      <c r="SXK19" s="110"/>
      <c r="SXL19" s="110"/>
      <c r="SXM19" s="110"/>
      <c r="SXN19" s="110"/>
      <c r="SXO19" s="110"/>
      <c r="SXP19" s="110"/>
      <c r="SXQ19" s="110"/>
      <c r="SXR19" s="110"/>
      <c r="SXS19" s="110"/>
      <c r="SXT19" s="110"/>
      <c r="SXU19" s="110"/>
      <c r="SXV19" s="110"/>
      <c r="SXW19" s="110"/>
      <c r="SXX19" s="110"/>
      <c r="SXY19" s="110"/>
      <c r="SXZ19" s="110"/>
      <c r="SYA19" s="110"/>
      <c r="SYB19" s="110"/>
      <c r="SYC19" s="110"/>
      <c r="SYD19" s="110"/>
      <c r="SYE19" s="110"/>
      <c r="SYF19" s="110"/>
      <c r="SYG19" s="110"/>
      <c r="SYH19" s="110"/>
      <c r="SYI19" s="110"/>
      <c r="SYJ19" s="110"/>
      <c r="SYK19" s="110"/>
      <c r="SYL19" s="110"/>
      <c r="SYM19" s="110"/>
      <c r="SYN19" s="110"/>
      <c r="SYO19" s="110"/>
      <c r="SYP19" s="110"/>
      <c r="SYQ19" s="110"/>
      <c r="SYR19" s="110"/>
      <c r="SYS19" s="110"/>
      <c r="SYT19" s="110"/>
      <c r="SYU19" s="110"/>
      <c r="SYV19" s="110"/>
      <c r="SYW19" s="110"/>
      <c r="SYX19" s="110"/>
      <c r="SYY19" s="110"/>
      <c r="SYZ19" s="110"/>
      <c r="SZA19" s="110"/>
      <c r="SZB19" s="110"/>
      <c r="SZC19" s="110"/>
      <c r="SZD19" s="110"/>
      <c r="SZE19" s="110"/>
      <c r="SZF19" s="110"/>
      <c r="SZG19" s="110"/>
      <c r="SZH19" s="110"/>
      <c r="SZI19" s="110"/>
      <c r="SZJ19" s="110"/>
      <c r="SZK19" s="110"/>
      <c r="SZL19" s="110"/>
      <c r="SZM19" s="110"/>
      <c r="SZN19" s="110"/>
      <c r="SZO19" s="110"/>
      <c r="SZP19" s="110"/>
      <c r="SZQ19" s="110"/>
      <c r="SZR19" s="110"/>
      <c r="SZS19" s="110"/>
      <c r="SZT19" s="110"/>
      <c r="SZU19" s="110"/>
      <c r="SZV19" s="110"/>
      <c r="SZW19" s="110"/>
      <c r="SZX19" s="110"/>
      <c r="SZY19" s="110"/>
      <c r="SZZ19" s="110"/>
      <c r="TAA19" s="110"/>
      <c r="TAB19" s="110"/>
      <c r="TAC19" s="110"/>
      <c r="TAD19" s="110"/>
      <c r="TAE19" s="110"/>
      <c r="TAF19" s="110"/>
      <c r="TAG19" s="110"/>
      <c r="TAH19" s="110"/>
      <c r="TAI19" s="110"/>
      <c r="TAJ19" s="110"/>
      <c r="TAK19" s="110"/>
      <c r="TAL19" s="110"/>
      <c r="TAM19" s="110"/>
      <c r="TAN19" s="110"/>
      <c r="TAO19" s="110"/>
      <c r="TAP19" s="110"/>
      <c r="TAQ19" s="110"/>
      <c r="TAR19" s="110"/>
      <c r="TAS19" s="110"/>
      <c r="TAT19" s="110"/>
      <c r="TAU19" s="110"/>
      <c r="TAV19" s="110"/>
      <c r="TAW19" s="110"/>
      <c r="TAX19" s="110"/>
      <c r="TAY19" s="110"/>
      <c r="TAZ19" s="110"/>
      <c r="TBA19" s="110"/>
      <c r="TBB19" s="110"/>
      <c r="TBC19" s="110"/>
      <c r="TBD19" s="110"/>
      <c r="TBE19" s="110"/>
      <c r="TBF19" s="110"/>
      <c r="TBG19" s="110"/>
      <c r="TBH19" s="110"/>
      <c r="TBI19" s="110"/>
      <c r="TBJ19" s="110"/>
      <c r="TBK19" s="110"/>
      <c r="TBL19" s="110"/>
      <c r="TBM19" s="110"/>
      <c r="TBN19" s="110"/>
      <c r="TBO19" s="110"/>
      <c r="TBP19" s="110"/>
      <c r="TBQ19" s="110"/>
      <c r="TBR19" s="110"/>
      <c r="TBS19" s="110"/>
      <c r="TBT19" s="110"/>
      <c r="TBU19" s="110"/>
      <c r="TBV19" s="110"/>
      <c r="TBW19" s="110"/>
      <c r="TBX19" s="110"/>
      <c r="TBY19" s="110"/>
      <c r="TBZ19" s="110"/>
      <c r="TCA19" s="110"/>
      <c r="TCB19" s="110"/>
      <c r="TCC19" s="110"/>
      <c r="TCD19" s="110"/>
      <c r="TCE19" s="110"/>
      <c r="TCF19" s="110"/>
      <c r="TCG19" s="110"/>
      <c r="TCH19" s="110"/>
      <c r="TCI19" s="110"/>
      <c r="TCJ19" s="110"/>
      <c r="TCK19" s="110"/>
      <c r="TCL19" s="110"/>
      <c r="TCM19" s="110"/>
      <c r="TCN19" s="110"/>
      <c r="TCO19" s="110"/>
      <c r="TCP19" s="110"/>
      <c r="TCQ19" s="110"/>
      <c r="TCR19" s="110"/>
      <c r="TCS19" s="110"/>
      <c r="TCT19" s="110"/>
      <c r="TCU19" s="110"/>
      <c r="TCV19" s="110"/>
      <c r="TCW19" s="110"/>
      <c r="TCX19" s="110"/>
      <c r="TCY19" s="110"/>
      <c r="TCZ19" s="110"/>
      <c r="TDA19" s="110"/>
      <c r="TDB19" s="110"/>
      <c r="TDC19" s="110"/>
      <c r="TDD19" s="110"/>
      <c r="TDE19" s="110"/>
      <c r="TDF19" s="110"/>
      <c r="TDG19" s="110"/>
      <c r="TDH19" s="110"/>
      <c r="TDI19" s="110"/>
      <c r="TDJ19" s="110"/>
      <c r="TDK19" s="110"/>
      <c r="TDL19" s="110"/>
      <c r="TDM19" s="110"/>
      <c r="TDN19" s="110"/>
      <c r="TDO19" s="110"/>
      <c r="TDP19" s="110"/>
      <c r="TDQ19" s="110"/>
      <c r="TDR19" s="110"/>
      <c r="TDS19" s="110"/>
      <c r="TDT19" s="110"/>
      <c r="TDU19" s="110"/>
      <c r="TDV19" s="110"/>
      <c r="TDW19" s="110"/>
      <c r="TDX19" s="110"/>
      <c r="TDY19" s="110"/>
      <c r="TDZ19" s="110"/>
      <c r="TEA19" s="110"/>
      <c r="TEB19" s="110"/>
      <c r="TEC19" s="110"/>
      <c r="TED19" s="110"/>
      <c r="TEE19" s="110"/>
      <c r="TEF19" s="110"/>
      <c r="TEG19" s="110"/>
      <c r="TEH19" s="110"/>
      <c r="TEI19" s="110"/>
      <c r="TEJ19" s="110"/>
      <c r="TEK19" s="110"/>
      <c r="TEL19" s="110"/>
      <c r="TEM19" s="110"/>
      <c r="TEN19" s="110"/>
      <c r="TEO19" s="110"/>
      <c r="TEP19" s="110"/>
      <c r="TEQ19" s="110"/>
      <c r="TER19" s="110"/>
      <c r="TES19" s="110"/>
      <c r="TET19" s="110"/>
      <c r="TEU19" s="110"/>
      <c r="TEV19" s="110"/>
      <c r="TEW19" s="110"/>
      <c r="TEX19" s="110"/>
      <c r="TEY19" s="110"/>
      <c r="TEZ19" s="110"/>
      <c r="TFA19" s="110"/>
      <c r="TFB19" s="110"/>
      <c r="TFC19" s="110"/>
      <c r="TFD19" s="110"/>
      <c r="TFE19" s="110"/>
      <c r="TFF19" s="110"/>
      <c r="TFG19" s="110"/>
      <c r="TFH19" s="110"/>
      <c r="TFI19" s="110"/>
      <c r="TFJ19" s="110"/>
      <c r="TFK19" s="110"/>
      <c r="TFL19" s="110"/>
      <c r="TFM19" s="110"/>
      <c r="TFN19" s="110"/>
      <c r="TFO19" s="110"/>
      <c r="TFP19" s="110"/>
      <c r="TFQ19" s="110"/>
      <c r="TFR19" s="110"/>
      <c r="TFS19" s="110"/>
      <c r="TFT19" s="110"/>
      <c r="TFU19" s="110"/>
      <c r="TFV19" s="110"/>
      <c r="TFW19" s="110"/>
      <c r="TFX19" s="110"/>
      <c r="TFY19" s="110"/>
      <c r="TFZ19" s="110"/>
      <c r="TGA19" s="110"/>
      <c r="TGB19" s="110"/>
      <c r="TGC19" s="110"/>
      <c r="TGD19" s="110"/>
      <c r="TGE19" s="110"/>
      <c r="TGF19" s="110"/>
      <c r="TGG19" s="110"/>
      <c r="TGH19" s="110"/>
      <c r="TGI19" s="110"/>
      <c r="TGJ19" s="110"/>
      <c r="TGK19" s="110"/>
      <c r="TGL19" s="110"/>
      <c r="TGM19" s="110"/>
      <c r="TGN19" s="110"/>
      <c r="TGO19" s="110"/>
      <c r="TGP19" s="110"/>
      <c r="TGQ19" s="110"/>
      <c r="TGR19" s="110"/>
      <c r="TGS19" s="110"/>
      <c r="TGT19" s="110"/>
      <c r="TGU19" s="110"/>
      <c r="TGV19" s="110"/>
      <c r="TGW19" s="110"/>
      <c r="TGX19" s="110"/>
      <c r="TGY19" s="110"/>
      <c r="TGZ19" s="110"/>
      <c r="THA19" s="110"/>
      <c r="THB19" s="110"/>
      <c r="THC19" s="110"/>
      <c r="THD19" s="110"/>
      <c r="THE19" s="110"/>
      <c r="THF19" s="110"/>
      <c r="THG19" s="110"/>
      <c r="THH19" s="110"/>
      <c r="THI19" s="110"/>
      <c r="THJ19" s="110"/>
      <c r="THK19" s="110"/>
      <c r="THL19" s="110"/>
      <c r="THM19" s="110"/>
      <c r="THN19" s="110"/>
      <c r="THO19" s="110"/>
      <c r="THP19" s="110"/>
      <c r="THQ19" s="110"/>
      <c r="THR19" s="110"/>
      <c r="THS19" s="110"/>
      <c r="THT19" s="110"/>
      <c r="THU19" s="110"/>
      <c r="THV19" s="110"/>
      <c r="THW19" s="110"/>
      <c r="THX19" s="110"/>
      <c r="THY19" s="110"/>
      <c r="THZ19" s="110"/>
      <c r="TIA19" s="110"/>
      <c r="TIB19" s="110"/>
      <c r="TIC19" s="110"/>
      <c r="TID19" s="110"/>
      <c r="TIE19" s="110"/>
      <c r="TIF19" s="110"/>
      <c r="TIG19" s="110"/>
      <c r="TIH19" s="110"/>
      <c r="TII19" s="110"/>
      <c r="TIJ19" s="110"/>
      <c r="TIK19" s="110"/>
      <c r="TIL19" s="110"/>
      <c r="TIM19" s="110"/>
      <c r="TIN19" s="110"/>
      <c r="TIO19" s="110"/>
      <c r="TIP19" s="110"/>
      <c r="TIQ19" s="110"/>
      <c r="TIR19" s="110"/>
      <c r="TIS19" s="110"/>
      <c r="TIT19" s="110"/>
      <c r="TIU19" s="110"/>
      <c r="TIV19" s="110"/>
      <c r="TIW19" s="110"/>
      <c r="TIX19" s="110"/>
      <c r="TIY19" s="110"/>
      <c r="TIZ19" s="110"/>
      <c r="TJA19" s="110"/>
      <c r="TJB19" s="110"/>
      <c r="TJC19" s="110"/>
      <c r="TJD19" s="110"/>
      <c r="TJE19" s="110"/>
      <c r="TJF19" s="110"/>
      <c r="TJG19" s="110"/>
      <c r="TJH19" s="110"/>
      <c r="TJI19" s="110"/>
      <c r="TJJ19" s="110"/>
      <c r="TJK19" s="110"/>
      <c r="TJL19" s="110"/>
      <c r="TJM19" s="110"/>
      <c r="TJN19" s="110"/>
      <c r="TJO19" s="110"/>
      <c r="TJP19" s="110"/>
      <c r="TJQ19" s="110"/>
      <c r="TJR19" s="110"/>
      <c r="TJS19" s="110"/>
      <c r="TJT19" s="110"/>
      <c r="TJU19" s="110"/>
      <c r="TJV19" s="110"/>
      <c r="TJW19" s="110"/>
      <c r="TJX19" s="110"/>
      <c r="TJY19" s="110"/>
      <c r="TJZ19" s="110"/>
      <c r="TKA19" s="110"/>
      <c r="TKB19" s="110"/>
      <c r="TKC19" s="110"/>
      <c r="TKD19" s="110"/>
      <c r="TKE19" s="110"/>
      <c r="TKF19" s="110"/>
      <c r="TKG19" s="110"/>
      <c r="TKH19" s="110"/>
      <c r="TKI19" s="110"/>
      <c r="TKJ19" s="110"/>
      <c r="TKK19" s="110"/>
      <c r="TKL19" s="110"/>
      <c r="TKM19" s="110"/>
      <c r="TKN19" s="110"/>
      <c r="TKO19" s="110"/>
      <c r="TKP19" s="110"/>
      <c r="TKQ19" s="110"/>
      <c r="TKR19" s="110"/>
      <c r="TKS19" s="110"/>
      <c r="TKT19" s="110"/>
      <c r="TKU19" s="110"/>
      <c r="TKV19" s="110"/>
      <c r="TKW19" s="110"/>
      <c r="TKX19" s="110"/>
      <c r="TKY19" s="110"/>
      <c r="TKZ19" s="110"/>
      <c r="TLA19" s="110"/>
      <c r="TLB19" s="110"/>
      <c r="TLC19" s="110"/>
      <c r="TLD19" s="110"/>
      <c r="TLE19" s="110"/>
      <c r="TLF19" s="110"/>
      <c r="TLG19" s="110"/>
      <c r="TLH19" s="110"/>
      <c r="TLI19" s="110"/>
      <c r="TLJ19" s="110"/>
      <c r="TLK19" s="110"/>
      <c r="TLL19" s="110"/>
      <c r="TLM19" s="110"/>
      <c r="TLN19" s="110"/>
      <c r="TLO19" s="110"/>
      <c r="TLP19" s="110"/>
      <c r="TLQ19" s="110"/>
      <c r="TLR19" s="110"/>
      <c r="TLS19" s="110"/>
      <c r="TLT19" s="110"/>
      <c r="TLU19" s="110"/>
      <c r="TLV19" s="110"/>
      <c r="TLW19" s="110"/>
      <c r="TLX19" s="110"/>
      <c r="TLY19" s="110"/>
      <c r="TLZ19" s="110"/>
      <c r="TMA19" s="110"/>
      <c r="TMB19" s="110"/>
      <c r="TMC19" s="110"/>
      <c r="TMD19" s="110"/>
      <c r="TME19" s="110"/>
      <c r="TMF19" s="110"/>
      <c r="TMG19" s="110"/>
      <c r="TMH19" s="110"/>
      <c r="TMI19" s="110"/>
      <c r="TMJ19" s="110"/>
      <c r="TMK19" s="110"/>
      <c r="TML19" s="110"/>
      <c r="TMM19" s="110"/>
      <c r="TMN19" s="110"/>
      <c r="TMO19" s="110"/>
      <c r="TMP19" s="110"/>
      <c r="TMQ19" s="110"/>
      <c r="TMR19" s="110"/>
      <c r="TMS19" s="110"/>
      <c r="TMT19" s="110"/>
      <c r="TMU19" s="110"/>
      <c r="TMV19" s="110"/>
      <c r="TMW19" s="110"/>
      <c r="TMX19" s="110"/>
      <c r="TMY19" s="110"/>
      <c r="TMZ19" s="110"/>
      <c r="TNA19" s="110"/>
      <c r="TNB19" s="110"/>
      <c r="TNC19" s="110"/>
      <c r="TND19" s="110"/>
      <c r="TNE19" s="110"/>
      <c r="TNF19" s="110"/>
      <c r="TNG19" s="110"/>
      <c r="TNH19" s="110"/>
      <c r="TNI19" s="110"/>
      <c r="TNJ19" s="110"/>
      <c r="TNK19" s="110"/>
      <c r="TNL19" s="110"/>
      <c r="TNM19" s="110"/>
      <c r="TNN19" s="110"/>
      <c r="TNO19" s="110"/>
      <c r="TNP19" s="110"/>
      <c r="TNQ19" s="110"/>
      <c r="TNR19" s="110"/>
      <c r="TNS19" s="110"/>
      <c r="TNT19" s="110"/>
      <c r="TNU19" s="110"/>
      <c r="TNV19" s="110"/>
      <c r="TNW19" s="110"/>
      <c r="TNX19" s="110"/>
      <c r="TNY19" s="110"/>
      <c r="TNZ19" s="110"/>
      <c r="TOA19" s="110"/>
      <c r="TOB19" s="110"/>
      <c r="TOC19" s="110"/>
      <c r="TOD19" s="110"/>
      <c r="TOE19" s="110"/>
      <c r="TOF19" s="110"/>
      <c r="TOG19" s="110"/>
      <c r="TOH19" s="110"/>
      <c r="TOI19" s="110"/>
      <c r="TOJ19" s="110"/>
      <c r="TOK19" s="110"/>
      <c r="TOL19" s="110"/>
      <c r="TOM19" s="110"/>
      <c r="TON19" s="110"/>
      <c r="TOO19" s="110"/>
      <c r="TOP19" s="110"/>
      <c r="TOQ19" s="110"/>
      <c r="TOR19" s="110"/>
      <c r="TOS19" s="110"/>
      <c r="TOT19" s="110"/>
      <c r="TOU19" s="110"/>
      <c r="TOV19" s="110"/>
      <c r="TOW19" s="110"/>
      <c r="TOX19" s="110"/>
      <c r="TOY19" s="110"/>
      <c r="TOZ19" s="110"/>
      <c r="TPA19" s="110"/>
      <c r="TPB19" s="110"/>
      <c r="TPC19" s="110"/>
      <c r="TPD19" s="110"/>
      <c r="TPE19" s="110"/>
      <c r="TPF19" s="110"/>
      <c r="TPG19" s="110"/>
      <c r="TPH19" s="110"/>
      <c r="TPI19" s="110"/>
      <c r="TPJ19" s="110"/>
      <c r="TPK19" s="110"/>
      <c r="TPL19" s="110"/>
      <c r="TPM19" s="110"/>
      <c r="TPN19" s="110"/>
      <c r="TPO19" s="110"/>
      <c r="TPP19" s="110"/>
      <c r="TPQ19" s="110"/>
      <c r="TPR19" s="110"/>
      <c r="TPS19" s="110"/>
      <c r="TPT19" s="110"/>
      <c r="TPU19" s="110"/>
      <c r="TPV19" s="110"/>
      <c r="TPW19" s="110"/>
      <c r="TPX19" s="110"/>
      <c r="TPY19" s="110"/>
      <c r="TPZ19" s="110"/>
      <c r="TQA19" s="110"/>
      <c r="TQB19" s="110"/>
      <c r="TQC19" s="110"/>
      <c r="TQD19" s="110"/>
      <c r="TQE19" s="110"/>
      <c r="TQF19" s="110"/>
      <c r="TQG19" s="110"/>
      <c r="TQH19" s="110"/>
      <c r="TQI19" s="110"/>
      <c r="TQJ19" s="110"/>
      <c r="TQK19" s="110"/>
      <c r="TQL19" s="110"/>
      <c r="TQM19" s="110"/>
      <c r="TQN19" s="110"/>
      <c r="TQO19" s="110"/>
      <c r="TQP19" s="110"/>
      <c r="TQQ19" s="110"/>
      <c r="TQR19" s="110"/>
      <c r="TQS19" s="110"/>
      <c r="TQT19" s="110"/>
      <c r="TQU19" s="110"/>
      <c r="TQV19" s="110"/>
      <c r="TQW19" s="110"/>
      <c r="TQX19" s="110"/>
      <c r="TQY19" s="110"/>
      <c r="TQZ19" s="110"/>
      <c r="TRA19" s="110"/>
      <c r="TRB19" s="110"/>
      <c r="TRC19" s="110"/>
      <c r="TRD19" s="110"/>
      <c r="TRE19" s="110"/>
      <c r="TRF19" s="110"/>
      <c r="TRG19" s="110"/>
      <c r="TRH19" s="110"/>
      <c r="TRI19" s="110"/>
      <c r="TRJ19" s="110"/>
      <c r="TRK19" s="110"/>
      <c r="TRL19" s="110"/>
      <c r="TRM19" s="110"/>
      <c r="TRN19" s="110"/>
      <c r="TRO19" s="110"/>
      <c r="TRP19" s="110"/>
      <c r="TRQ19" s="110"/>
      <c r="TRR19" s="110"/>
      <c r="TRS19" s="110"/>
      <c r="TRT19" s="110"/>
      <c r="TRU19" s="110"/>
      <c r="TRV19" s="110"/>
      <c r="TRW19" s="110"/>
      <c r="TRX19" s="110"/>
      <c r="TRY19" s="110"/>
      <c r="TRZ19" s="110"/>
      <c r="TSA19" s="110"/>
      <c r="TSB19" s="110"/>
      <c r="TSC19" s="110"/>
      <c r="TSD19" s="110"/>
      <c r="TSE19" s="110"/>
      <c r="TSF19" s="110"/>
      <c r="TSG19" s="110"/>
      <c r="TSH19" s="110"/>
      <c r="TSI19" s="110"/>
      <c r="TSJ19" s="110"/>
      <c r="TSK19" s="110"/>
      <c r="TSL19" s="110"/>
      <c r="TSM19" s="110"/>
      <c r="TSN19" s="110"/>
      <c r="TSO19" s="110"/>
      <c r="TSP19" s="110"/>
      <c r="TSQ19" s="110"/>
      <c r="TSR19" s="110"/>
      <c r="TSS19" s="110"/>
      <c r="TST19" s="110"/>
      <c r="TSU19" s="110"/>
      <c r="TSV19" s="110"/>
      <c r="TSW19" s="110"/>
      <c r="TSX19" s="110"/>
      <c r="TSY19" s="110"/>
      <c r="TSZ19" s="110"/>
      <c r="TTA19" s="110"/>
      <c r="TTB19" s="110"/>
      <c r="TTC19" s="110"/>
      <c r="TTD19" s="110"/>
      <c r="TTE19" s="110"/>
      <c r="TTF19" s="110"/>
      <c r="TTG19" s="110"/>
      <c r="TTH19" s="110"/>
      <c r="TTI19" s="110"/>
      <c r="TTJ19" s="110"/>
      <c r="TTK19" s="110"/>
      <c r="TTL19" s="110"/>
      <c r="TTM19" s="110"/>
      <c r="TTN19" s="110"/>
      <c r="TTO19" s="110"/>
      <c r="TTP19" s="110"/>
      <c r="TTQ19" s="110"/>
      <c r="TTR19" s="110"/>
      <c r="TTS19" s="110"/>
      <c r="TTT19" s="110"/>
      <c r="TTU19" s="110"/>
      <c r="TTV19" s="110"/>
      <c r="TTW19" s="110"/>
      <c r="TTX19" s="110"/>
      <c r="TTY19" s="110"/>
      <c r="TTZ19" s="110"/>
      <c r="TUA19" s="110"/>
      <c r="TUB19" s="110"/>
      <c r="TUC19" s="110"/>
      <c r="TUD19" s="110"/>
      <c r="TUE19" s="110"/>
      <c r="TUF19" s="110"/>
      <c r="TUG19" s="110"/>
      <c r="TUH19" s="110"/>
      <c r="TUI19" s="110"/>
      <c r="TUJ19" s="110"/>
      <c r="TUK19" s="110"/>
      <c r="TUL19" s="110"/>
      <c r="TUM19" s="110"/>
      <c r="TUN19" s="110"/>
      <c r="TUO19" s="110"/>
      <c r="TUP19" s="110"/>
      <c r="TUQ19" s="110"/>
      <c r="TUR19" s="110"/>
      <c r="TUS19" s="110"/>
      <c r="TUT19" s="110"/>
      <c r="TUU19" s="110"/>
      <c r="TUV19" s="110"/>
      <c r="TUW19" s="110"/>
      <c r="TUX19" s="110"/>
      <c r="TUY19" s="110"/>
      <c r="TUZ19" s="110"/>
      <c r="TVA19" s="110"/>
      <c r="TVB19" s="110"/>
      <c r="TVC19" s="110"/>
      <c r="TVD19" s="110"/>
      <c r="TVE19" s="110"/>
      <c r="TVF19" s="110"/>
      <c r="TVG19" s="110"/>
      <c r="TVH19" s="110"/>
      <c r="TVI19" s="110"/>
      <c r="TVJ19" s="110"/>
      <c r="TVK19" s="110"/>
      <c r="TVL19" s="110"/>
      <c r="TVM19" s="110"/>
      <c r="TVN19" s="110"/>
      <c r="TVO19" s="110"/>
      <c r="TVP19" s="110"/>
      <c r="TVQ19" s="110"/>
      <c r="TVR19" s="110"/>
      <c r="TVS19" s="110"/>
      <c r="TVT19" s="110"/>
      <c r="TVU19" s="110"/>
      <c r="TVV19" s="110"/>
      <c r="TVW19" s="110"/>
      <c r="TVX19" s="110"/>
      <c r="TVY19" s="110"/>
      <c r="TVZ19" s="110"/>
      <c r="TWA19" s="110"/>
      <c r="TWB19" s="110"/>
      <c r="TWC19" s="110"/>
      <c r="TWD19" s="110"/>
      <c r="TWE19" s="110"/>
      <c r="TWF19" s="110"/>
      <c r="TWG19" s="110"/>
      <c r="TWH19" s="110"/>
      <c r="TWI19" s="110"/>
      <c r="TWJ19" s="110"/>
      <c r="TWK19" s="110"/>
      <c r="TWL19" s="110"/>
      <c r="TWM19" s="110"/>
      <c r="TWN19" s="110"/>
      <c r="TWO19" s="110"/>
      <c r="TWP19" s="110"/>
      <c r="TWQ19" s="110"/>
      <c r="TWR19" s="110"/>
      <c r="TWS19" s="110"/>
      <c r="TWT19" s="110"/>
      <c r="TWU19" s="110"/>
      <c r="TWV19" s="110"/>
      <c r="TWW19" s="110"/>
      <c r="TWX19" s="110"/>
      <c r="TWY19" s="110"/>
      <c r="TWZ19" s="110"/>
      <c r="TXA19" s="110"/>
      <c r="TXB19" s="110"/>
      <c r="TXC19" s="110"/>
      <c r="TXD19" s="110"/>
      <c r="TXE19" s="110"/>
      <c r="TXF19" s="110"/>
      <c r="TXG19" s="110"/>
      <c r="TXH19" s="110"/>
      <c r="TXI19" s="110"/>
      <c r="TXJ19" s="110"/>
      <c r="TXK19" s="110"/>
      <c r="TXL19" s="110"/>
      <c r="TXM19" s="110"/>
      <c r="TXN19" s="110"/>
      <c r="TXO19" s="110"/>
      <c r="TXP19" s="110"/>
      <c r="TXQ19" s="110"/>
      <c r="TXR19" s="110"/>
      <c r="TXS19" s="110"/>
      <c r="TXT19" s="110"/>
      <c r="TXU19" s="110"/>
      <c r="TXV19" s="110"/>
      <c r="TXW19" s="110"/>
      <c r="TXX19" s="110"/>
      <c r="TXY19" s="110"/>
      <c r="TXZ19" s="110"/>
      <c r="TYA19" s="110"/>
      <c r="TYB19" s="110"/>
      <c r="TYC19" s="110"/>
      <c r="TYD19" s="110"/>
      <c r="TYE19" s="110"/>
      <c r="TYF19" s="110"/>
      <c r="TYG19" s="110"/>
      <c r="TYH19" s="110"/>
      <c r="TYI19" s="110"/>
      <c r="TYJ19" s="110"/>
      <c r="TYK19" s="110"/>
      <c r="TYL19" s="110"/>
      <c r="TYM19" s="110"/>
      <c r="TYN19" s="110"/>
      <c r="TYO19" s="110"/>
      <c r="TYP19" s="110"/>
      <c r="TYQ19" s="110"/>
      <c r="TYR19" s="110"/>
      <c r="TYS19" s="110"/>
      <c r="TYT19" s="110"/>
      <c r="TYU19" s="110"/>
      <c r="TYV19" s="110"/>
      <c r="TYW19" s="110"/>
      <c r="TYX19" s="110"/>
      <c r="TYY19" s="110"/>
      <c r="TYZ19" s="110"/>
      <c r="TZA19" s="110"/>
      <c r="TZB19" s="110"/>
      <c r="TZC19" s="110"/>
      <c r="TZD19" s="110"/>
      <c r="TZE19" s="110"/>
      <c r="TZF19" s="110"/>
      <c r="TZG19" s="110"/>
      <c r="TZH19" s="110"/>
      <c r="TZI19" s="110"/>
      <c r="TZJ19" s="110"/>
      <c r="TZK19" s="110"/>
      <c r="TZL19" s="110"/>
      <c r="TZM19" s="110"/>
      <c r="TZN19" s="110"/>
      <c r="TZO19" s="110"/>
      <c r="TZP19" s="110"/>
      <c r="TZQ19" s="110"/>
      <c r="TZR19" s="110"/>
      <c r="TZS19" s="110"/>
      <c r="TZT19" s="110"/>
      <c r="TZU19" s="110"/>
      <c r="TZV19" s="110"/>
      <c r="TZW19" s="110"/>
      <c r="TZX19" s="110"/>
      <c r="TZY19" s="110"/>
      <c r="TZZ19" s="110"/>
      <c r="UAA19" s="110"/>
      <c r="UAB19" s="110"/>
      <c r="UAC19" s="110"/>
      <c r="UAD19" s="110"/>
      <c r="UAE19" s="110"/>
      <c r="UAF19" s="110"/>
      <c r="UAG19" s="110"/>
      <c r="UAH19" s="110"/>
      <c r="UAI19" s="110"/>
      <c r="UAJ19" s="110"/>
      <c r="UAK19" s="110"/>
      <c r="UAL19" s="110"/>
      <c r="UAM19" s="110"/>
      <c r="UAN19" s="110"/>
      <c r="UAO19" s="110"/>
      <c r="UAP19" s="110"/>
      <c r="UAQ19" s="110"/>
      <c r="UAR19" s="110"/>
      <c r="UAS19" s="110"/>
      <c r="UAT19" s="110"/>
      <c r="UAU19" s="110"/>
      <c r="UAV19" s="110"/>
      <c r="UAW19" s="110"/>
      <c r="UAX19" s="110"/>
      <c r="UAY19" s="110"/>
      <c r="UAZ19" s="110"/>
      <c r="UBA19" s="110"/>
      <c r="UBB19" s="110"/>
      <c r="UBC19" s="110"/>
      <c r="UBD19" s="110"/>
      <c r="UBE19" s="110"/>
      <c r="UBF19" s="110"/>
      <c r="UBG19" s="110"/>
      <c r="UBH19" s="110"/>
      <c r="UBI19" s="110"/>
      <c r="UBJ19" s="110"/>
      <c r="UBK19" s="110"/>
      <c r="UBL19" s="110"/>
      <c r="UBM19" s="110"/>
      <c r="UBN19" s="110"/>
      <c r="UBO19" s="110"/>
      <c r="UBP19" s="110"/>
      <c r="UBQ19" s="110"/>
      <c r="UBR19" s="110"/>
      <c r="UBS19" s="110"/>
      <c r="UBT19" s="110"/>
      <c r="UBU19" s="110"/>
      <c r="UBV19" s="110"/>
      <c r="UBW19" s="110"/>
      <c r="UBX19" s="110"/>
      <c r="UBY19" s="110"/>
      <c r="UBZ19" s="110"/>
      <c r="UCA19" s="110"/>
      <c r="UCB19" s="110"/>
      <c r="UCC19" s="110"/>
      <c r="UCD19" s="110"/>
      <c r="UCE19" s="110"/>
      <c r="UCF19" s="110"/>
      <c r="UCG19" s="110"/>
      <c r="UCH19" s="110"/>
      <c r="UCI19" s="110"/>
      <c r="UCJ19" s="110"/>
      <c r="UCK19" s="110"/>
      <c r="UCL19" s="110"/>
      <c r="UCM19" s="110"/>
      <c r="UCN19" s="110"/>
      <c r="UCO19" s="110"/>
      <c r="UCP19" s="110"/>
      <c r="UCQ19" s="110"/>
      <c r="UCR19" s="110"/>
      <c r="UCS19" s="110"/>
      <c r="UCT19" s="110"/>
      <c r="UCU19" s="110"/>
      <c r="UCV19" s="110"/>
      <c r="UCW19" s="110"/>
      <c r="UCX19" s="110"/>
      <c r="UCY19" s="110"/>
      <c r="UCZ19" s="110"/>
      <c r="UDA19" s="110"/>
      <c r="UDB19" s="110"/>
      <c r="UDC19" s="110"/>
      <c r="UDD19" s="110"/>
      <c r="UDE19" s="110"/>
      <c r="UDF19" s="110"/>
      <c r="UDG19" s="110"/>
      <c r="UDH19" s="110"/>
      <c r="UDI19" s="110"/>
      <c r="UDJ19" s="110"/>
      <c r="UDK19" s="110"/>
      <c r="UDL19" s="110"/>
      <c r="UDM19" s="110"/>
      <c r="UDN19" s="110"/>
      <c r="UDO19" s="110"/>
      <c r="UDP19" s="110"/>
      <c r="UDQ19" s="110"/>
      <c r="UDR19" s="110"/>
      <c r="UDS19" s="110"/>
      <c r="UDT19" s="110"/>
      <c r="UDU19" s="110"/>
      <c r="UDV19" s="110"/>
      <c r="UDW19" s="110"/>
      <c r="UDX19" s="110"/>
      <c r="UDY19" s="110"/>
      <c r="UDZ19" s="110"/>
      <c r="UEA19" s="110"/>
      <c r="UEB19" s="110"/>
      <c r="UEC19" s="110"/>
      <c r="UED19" s="110"/>
      <c r="UEE19" s="110"/>
      <c r="UEF19" s="110"/>
      <c r="UEG19" s="110"/>
      <c r="UEH19" s="110"/>
      <c r="UEI19" s="110"/>
      <c r="UEJ19" s="110"/>
      <c r="UEK19" s="110"/>
      <c r="UEL19" s="110"/>
      <c r="UEM19" s="110"/>
      <c r="UEN19" s="110"/>
      <c r="UEO19" s="110"/>
      <c r="UEP19" s="110"/>
      <c r="UEQ19" s="110"/>
      <c r="UER19" s="110"/>
      <c r="UES19" s="110"/>
      <c r="UET19" s="110"/>
      <c r="UEU19" s="110"/>
      <c r="UEV19" s="110"/>
      <c r="UEW19" s="110"/>
      <c r="UEX19" s="110"/>
      <c r="UEY19" s="110"/>
      <c r="UEZ19" s="110"/>
      <c r="UFA19" s="110"/>
      <c r="UFB19" s="110"/>
      <c r="UFC19" s="110"/>
      <c r="UFD19" s="110"/>
      <c r="UFE19" s="110"/>
      <c r="UFF19" s="110"/>
      <c r="UFG19" s="110"/>
      <c r="UFH19" s="110"/>
      <c r="UFI19" s="110"/>
      <c r="UFJ19" s="110"/>
      <c r="UFK19" s="110"/>
      <c r="UFL19" s="110"/>
      <c r="UFM19" s="110"/>
      <c r="UFN19" s="110"/>
      <c r="UFO19" s="110"/>
      <c r="UFP19" s="110"/>
      <c r="UFQ19" s="110"/>
      <c r="UFR19" s="110"/>
      <c r="UFS19" s="110"/>
      <c r="UFT19" s="110"/>
      <c r="UFU19" s="110"/>
      <c r="UFV19" s="110"/>
      <c r="UFW19" s="110"/>
      <c r="UFX19" s="110"/>
      <c r="UFY19" s="110"/>
      <c r="UFZ19" s="110"/>
      <c r="UGA19" s="110"/>
      <c r="UGB19" s="110"/>
      <c r="UGC19" s="110"/>
      <c r="UGD19" s="110"/>
      <c r="UGE19" s="110"/>
      <c r="UGF19" s="110"/>
      <c r="UGG19" s="110"/>
      <c r="UGH19" s="110"/>
      <c r="UGI19" s="110"/>
      <c r="UGJ19" s="110"/>
      <c r="UGK19" s="110"/>
      <c r="UGL19" s="110"/>
      <c r="UGM19" s="110"/>
      <c r="UGN19" s="110"/>
      <c r="UGO19" s="110"/>
      <c r="UGP19" s="110"/>
      <c r="UGQ19" s="110"/>
      <c r="UGR19" s="110"/>
      <c r="UGS19" s="110"/>
      <c r="UGT19" s="110"/>
      <c r="UGU19" s="110"/>
      <c r="UGV19" s="110"/>
      <c r="UGW19" s="110"/>
      <c r="UGX19" s="110"/>
      <c r="UGY19" s="110"/>
      <c r="UGZ19" s="110"/>
      <c r="UHA19" s="110"/>
      <c r="UHB19" s="110"/>
      <c r="UHC19" s="110"/>
      <c r="UHD19" s="110"/>
      <c r="UHE19" s="110"/>
      <c r="UHF19" s="110"/>
      <c r="UHG19" s="110"/>
      <c r="UHH19" s="110"/>
      <c r="UHI19" s="110"/>
      <c r="UHJ19" s="110"/>
      <c r="UHK19" s="110"/>
      <c r="UHL19" s="110"/>
      <c r="UHM19" s="110"/>
      <c r="UHN19" s="110"/>
      <c r="UHO19" s="110"/>
      <c r="UHP19" s="110"/>
      <c r="UHQ19" s="110"/>
      <c r="UHR19" s="110"/>
      <c r="UHS19" s="110"/>
      <c r="UHT19" s="110"/>
      <c r="UHU19" s="110"/>
      <c r="UHV19" s="110"/>
      <c r="UHW19" s="110"/>
      <c r="UHX19" s="110"/>
      <c r="UHY19" s="110"/>
      <c r="UHZ19" s="110"/>
      <c r="UIA19" s="110"/>
      <c r="UIB19" s="110"/>
      <c r="UIC19" s="110"/>
      <c r="UID19" s="110"/>
      <c r="UIE19" s="110"/>
      <c r="UIF19" s="110"/>
      <c r="UIG19" s="110"/>
      <c r="UIH19" s="110"/>
      <c r="UII19" s="110"/>
      <c r="UIJ19" s="110"/>
      <c r="UIK19" s="110"/>
      <c r="UIL19" s="110"/>
      <c r="UIM19" s="110"/>
      <c r="UIN19" s="110"/>
      <c r="UIO19" s="110"/>
      <c r="UIP19" s="110"/>
      <c r="UIQ19" s="110"/>
      <c r="UIR19" s="110"/>
      <c r="UIS19" s="110"/>
      <c r="UIT19" s="110"/>
      <c r="UIU19" s="110"/>
      <c r="UIV19" s="110"/>
      <c r="UIW19" s="110"/>
      <c r="UIX19" s="110"/>
      <c r="UIY19" s="110"/>
      <c r="UIZ19" s="110"/>
      <c r="UJA19" s="110"/>
      <c r="UJB19" s="110"/>
      <c r="UJC19" s="110"/>
      <c r="UJD19" s="110"/>
      <c r="UJE19" s="110"/>
      <c r="UJF19" s="110"/>
      <c r="UJG19" s="110"/>
      <c r="UJH19" s="110"/>
      <c r="UJI19" s="110"/>
      <c r="UJJ19" s="110"/>
      <c r="UJK19" s="110"/>
      <c r="UJL19" s="110"/>
      <c r="UJM19" s="110"/>
      <c r="UJN19" s="110"/>
      <c r="UJO19" s="110"/>
      <c r="UJP19" s="110"/>
      <c r="UJQ19" s="110"/>
      <c r="UJR19" s="110"/>
      <c r="UJS19" s="110"/>
      <c r="UJT19" s="110"/>
      <c r="UJU19" s="110"/>
      <c r="UJV19" s="110"/>
      <c r="UJW19" s="110"/>
      <c r="UJX19" s="110"/>
      <c r="UJY19" s="110"/>
      <c r="UJZ19" s="110"/>
      <c r="UKA19" s="110"/>
      <c r="UKB19" s="110"/>
      <c r="UKC19" s="110"/>
      <c r="UKD19" s="110"/>
      <c r="UKE19" s="110"/>
      <c r="UKF19" s="110"/>
      <c r="UKG19" s="110"/>
      <c r="UKH19" s="110"/>
      <c r="UKI19" s="110"/>
      <c r="UKJ19" s="110"/>
      <c r="UKK19" s="110"/>
      <c r="UKL19" s="110"/>
      <c r="UKM19" s="110"/>
      <c r="UKN19" s="110"/>
      <c r="UKO19" s="110"/>
      <c r="UKP19" s="110"/>
      <c r="UKQ19" s="110"/>
      <c r="UKR19" s="110"/>
      <c r="UKS19" s="110"/>
      <c r="UKT19" s="110"/>
      <c r="UKU19" s="110"/>
      <c r="UKV19" s="110"/>
      <c r="UKW19" s="110"/>
      <c r="UKX19" s="110"/>
      <c r="UKY19" s="110"/>
      <c r="UKZ19" s="110"/>
      <c r="ULA19" s="110"/>
      <c r="ULB19" s="110"/>
      <c r="ULC19" s="110"/>
      <c r="ULD19" s="110"/>
      <c r="ULE19" s="110"/>
      <c r="ULF19" s="110"/>
      <c r="ULG19" s="110"/>
      <c r="ULH19" s="110"/>
      <c r="ULI19" s="110"/>
      <c r="ULJ19" s="110"/>
      <c r="ULK19" s="110"/>
      <c r="ULL19" s="110"/>
      <c r="ULM19" s="110"/>
      <c r="ULN19" s="110"/>
      <c r="ULO19" s="110"/>
      <c r="ULP19" s="110"/>
      <c r="ULQ19" s="110"/>
      <c r="ULR19" s="110"/>
      <c r="ULS19" s="110"/>
      <c r="ULT19" s="110"/>
      <c r="ULU19" s="110"/>
      <c r="ULV19" s="110"/>
      <c r="ULW19" s="110"/>
      <c r="ULX19" s="110"/>
      <c r="ULY19" s="110"/>
      <c r="ULZ19" s="110"/>
      <c r="UMA19" s="110"/>
      <c r="UMB19" s="110"/>
      <c r="UMC19" s="110"/>
      <c r="UMD19" s="110"/>
      <c r="UME19" s="110"/>
      <c r="UMF19" s="110"/>
      <c r="UMG19" s="110"/>
      <c r="UMH19" s="110"/>
      <c r="UMI19" s="110"/>
      <c r="UMJ19" s="110"/>
      <c r="UMK19" s="110"/>
      <c r="UML19" s="110"/>
      <c r="UMM19" s="110"/>
      <c r="UMN19" s="110"/>
      <c r="UMO19" s="110"/>
      <c r="UMP19" s="110"/>
      <c r="UMQ19" s="110"/>
      <c r="UMR19" s="110"/>
      <c r="UMS19" s="110"/>
      <c r="UMT19" s="110"/>
      <c r="UMU19" s="110"/>
      <c r="UMV19" s="110"/>
      <c r="UMW19" s="110"/>
      <c r="UMX19" s="110"/>
      <c r="UMY19" s="110"/>
      <c r="UMZ19" s="110"/>
      <c r="UNA19" s="110"/>
      <c r="UNB19" s="110"/>
      <c r="UNC19" s="110"/>
      <c r="UND19" s="110"/>
      <c r="UNE19" s="110"/>
      <c r="UNF19" s="110"/>
      <c r="UNG19" s="110"/>
      <c r="UNH19" s="110"/>
      <c r="UNI19" s="110"/>
      <c r="UNJ19" s="110"/>
      <c r="UNK19" s="110"/>
      <c r="UNL19" s="110"/>
      <c r="UNM19" s="110"/>
      <c r="UNN19" s="110"/>
      <c r="UNO19" s="110"/>
      <c r="UNP19" s="110"/>
      <c r="UNQ19" s="110"/>
      <c r="UNR19" s="110"/>
      <c r="UNS19" s="110"/>
      <c r="UNT19" s="110"/>
      <c r="UNU19" s="110"/>
      <c r="UNV19" s="110"/>
      <c r="UNW19" s="110"/>
      <c r="UNX19" s="110"/>
      <c r="UNY19" s="110"/>
      <c r="UNZ19" s="110"/>
      <c r="UOA19" s="110"/>
      <c r="UOB19" s="110"/>
      <c r="UOC19" s="110"/>
      <c r="UOD19" s="110"/>
      <c r="UOE19" s="110"/>
      <c r="UOF19" s="110"/>
      <c r="UOG19" s="110"/>
      <c r="UOH19" s="110"/>
      <c r="UOI19" s="110"/>
      <c r="UOJ19" s="110"/>
      <c r="UOK19" s="110"/>
      <c r="UOL19" s="110"/>
      <c r="UOM19" s="110"/>
      <c r="UON19" s="110"/>
      <c r="UOO19" s="110"/>
      <c r="UOP19" s="110"/>
      <c r="UOQ19" s="110"/>
      <c r="UOR19" s="110"/>
      <c r="UOS19" s="110"/>
      <c r="UOT19" s="110"/>
      <c r="UOU19" s="110"/>
      <c r="UOV19" s="110"/>
      <c r="UOW19" s="110"/>
      <c r="UOX19" s="110"/>
      <c r="UOY19" s="110"/>
      <c r="UOZ19" s="110"/>
      <c r="UPA19" s="110"/>
      <c r="UPB19" s="110"/>
      <c r="UPC19" s="110"/>
      <c r="UPD19" s="110"/>
      <c r="UPE19" s="110"/>
      <c r="UPF19" s="110"/>
      <c r="UPG19" s="110"/>
      <c r="UPH19" s="110"/>
      <c r="UPI19" s="110"/>
      <c r="UPJ19" s="110"/>
      <c r="UPK19" s="110"/>
      <c r="UPL19" s="110"/>
      <c r="UPM19" s="110"/>
      <c r="UPN19" s="110"/>
      <c r="UPO19" s="110"/>
      <c r="UPP19" s="110"/>
      <c r="UPQ19" s="110"/>
      <c r="UPR19" s="110"/>
      <c r="UPS19" s="110"/>
      <c r="UPT19" s="110"/>
      <c r="UPU19" s="110"/>
      <c r="UPV19" s="110"/>
      <c r="UPW19" s="110"/>
      <c r="UPX19" s="110"/>
      <c r="UPY19" s="110"/>
      <c r="UPZ19" s="110"/>
      <c r="UQA19" s="110"/>
      <c r="UQB19" s="110"/>
      <c r="UQC19" s="110"/>
      <c r="UQD19" s="110"/>
      <c r="UQE19" s="110"/>
      <c r="UQF19" s="110"/>
      <c r="UQG19" s="110"/>
      <c r="UQH19" s="110"/>
      <c r="UQI19" s="110"/>
      <c r="UQJ19" s="110"/>
      <c r="UQK19" s="110"/>
      <c r="UQL19" s="110"/>
      <c r="UQM19" s="110"/>
      <c r="UQN19" s="110"/>
      <c r="UQO19" s="110"/>
      <c r="UQP19" s="110"/>
      <c r="UQQ19" s="110"/>
      <c r="UQR19" s="110"/>
      <c r="UQS19" s="110"/>
      <c r="UQT19" s="110"/>
      <c r="UQU19" s="110"/>
      <c r="UQV19" s="110"/>
      <c r="UQW19" s="110"/>
      <c r="UQX19" s="110"/>
      <c r="UQY19" s="110"/>
      <c r="UQZ19" s="110"/>
      <c r="URA19" s="110"/>
      <c r="URB19" s="110"/>
      <c r="URC19" s="110"/>
      <c r="URD19" s="110"/>
      <c r="URE19" s="110"/>
      <c r="URF19" s="110"/>
      <c r="URG19" s="110"/>
      <c r="URH19" s="110"/>
      <c r="URI19" s="110"/>
      <c r="URJ19" s="110"/>
      <c r="URK19" s="110"/>
      <c r="URL19" s="110"/>
      <c r="URM19" s="110"/>
      <c r="URN19" s="110"/>
      <c r="URO19" s="110"/>
      <c r="URP19" s="110"/>
      <c r="URQ19" s="110"/>
      <c r="URR19" s="110"/>
      <c r="URS19" s="110"/>
      <c r="URT19" s="110"/>
      <c r="URU19" s="110"/>
      <c r="URV19" s="110"/>
      <c r="URW19" s="110"/>
      <c r="URX19" s="110"/>
      <c r="URY19" s="110"/>
      <c r="URZ19" s="110"/>
      <c r="USA19" s="110"/>
      <c r="USB19" s="110"/>
      <c r="USC19" s="110"/>
      <c r="USD19" s="110"/>
      <c r="USE19" s="110"/>
      <c r="USF19" s="110"/>
      <c r="USG19" s="110"/>
      <c r="USH19" s="110"/>
      <c r="USI19" s="110"/>
      <c r="USJ19" s="110"/>
      <c r="USK19" s="110"/>
      <c r="USL19" s="110"/>
      <c r="USM19" s="110"/>
      <c r="USN19" s="110"/>
      <c r="USO19" s="110"/>
      <c r="USP19" s="110"/>
      <c r="USQ19" s="110"/>
      <c r="USR19" s="110"/>
      <c r="USS19" s="110"/>
      <c r="UST19" s="110"/>
      <c r="USU19" s="110"/>
      <c r="USV19" s="110"/>
      <c r="USW19" s="110"/>
      <c r="USX19" s="110"/>
      <c r="USY19" s="110"/>
      <c r="USZ19" s="110"/>
      <c r="UTA19" s="110"/>
      <c r="UTB19" s="110"/>
      <c r="UTC19" s="110"/>
      <c r="UTD19" s="110"/>
      <c r="UTE19" s="110"/>
      <c r="UTF19" s="110"/>
      <c r="UTG19" s="110"/>
      <c r="UTH19" s="110"/>
      <c r="UTI19" s="110"/>
      <c r="UTJ19" s="110"/>
      <c r="UTK19" s="110"/>
      <c r="UTL19" s="110"/>
      <c r="UTM19" s="110"/>
      <c r="UTN19" s="110"/>
      <c r="UTO19" s="110"/>
      <c r="UTP19" s="110"/>
      <c r="UTQ19" s="110"/>
      <c r="UTR19" s="110"/>
      <c r="UTS19" s="110"/>
      <c r="UTT19" s="110"/>
      <c r="UTU19" s="110"/>
      <c r="UTV19" s="110"/>
      <c r="UTW19" s="110"/>
      <c r="UTX19" s="110"/>
      <c r="UTY19" s="110"/>
      <c r="UTZ19" s="110"/>
      <c r="UUA19" s="110"/>
      <c r="UUB19" s="110"/>
      <c r="UUC19" s="110"/>
      <c r="UUD19" s="110"/>
      <c r="UUE19" s="110"/>
      <c r="UUF19" s="110"/>
      <c r="UUG19" s="110"/>
      <c r="UUH19" s="110"/>
      <c r="UUI19" s="110"/>
      <c r="UUJ19" s="110"/>
      <c r="UUK19" s="110"/>
      <c r="UUL19" s="110"/>
      <c r="UUM19" s="110"/>
      <c r="UUN19" s="110"/>
      <c r="UUO19" s="110"/>
      <c r="UUP19" s="110"/>
      <c r="UUQ19" s="110"/>
      <c r="UUR19" s="110"/>
      <c r="UUS19" s="110"/>
      <c r="UUT19" s="110"/>
      <c r="UUU19" s="110"/>
      <c r="UUV19" s="110"/>
      <c r="UUW19" s="110"/>
      <c r="UUX19" s="110"/>
      <c r="UUY19" s="110"/>
      <c r="UUZ19" s="110"/>
      <c r="UVA19" s="110"/>
      <c r="UVB19" s="110"/>
      <c r="UVC19" s="110"/>
      <c r="UVD19" s="110"/>
      <c r="UVE19" s="110"/>
      <c r="UVF19" s="110"/>
      <c r="UVG19" s="110"/>
      <c r="UVH19" s="110"/>
      <c r="UVI19" s="110"/>
      <c r="UVJ19" s="110"/>
      <c r="UVK19" s="110"/>
      <c r="UVL19" s="110"/>
      <c r="UVM19" s="110"/>
      <c r="UVN19" s="110"/>
      <c r="UVO19" s="110"/>
      <c r="UVP19" s="110"/>
      <c r="UVQ19" s="110"/>
      <c r="UVR19" s="110"/>
      <c r="UVS19" s="110"/>
      <c r="UVT19" s="110"/>
      <c r="UVU19" s="110"/>
      <c r="UVV19" s="110"/>
      <c r="UVW19" s="110"/>
      <c r="UVX19" s="110"/>
      <c r="UVY19" s="110"/>
      <c r="UVZ19" s="110"/>
      <c r="UWA19" s="110"/>
      <c r="UWB19" s="110"/>
      <c r="UWC19" s="110"/>
      <c r="UWD19" s="110"/>
      <c r="UWE19" s="110"/>
      <c r="UWF19" s="110"/>
      <c r="UWG19" s="110"/>
      <c r="UWH19" s="110"/>
      <c r="UWI19" s="110"/>
      <c r="UWJ19" s="110"/>
      <c r="UWK19" s="110"/>
      <c r="UWL19" s="110"/>
      <c r="UWM19" s="110"/>
      <c r="UWN19" s="110"/>
      <c r="UWO19" s="110"/>
      <c r="UWP19" s="110"/>
      <c r="UWQ19" s="110"/>
      <c r="UWR19" s="110"/>
      <c r="UWS19" s="110"/>
      <c r="UWT19" s="110"/>
      <c r="UWU19" s="110"/>
      <c r="UWV19" s="110"/>
      <c r="UWW19" s="110"/>
      <c r="UWX19" s="110"/>
      <c r="UWY19" s="110"/>
      <c r="UWZ19" s="110"/>
      <c r="UXA19" s="110"/>
      <c r="UXB19" s="110"/>
      <c r="UXC19" s="110"/>
      <c r="UXD19" s="110"/>
      <c r="UXE19" s="110"/>
      <c r="UXF19" s="110"/>
      <c r="UXG19" s="110"/>
      <c r="UXH19" s="110"/>
      <c r="UXI19" s="110"/>
      <c r="UXJ19" s="110"/>
      <c r="UXK19" s="110"/>
      <c r="UXL19" s="110"/>
      <c r="UXM19" s="110"/>
      <c r="UXN19" s="110"/>
      <c r="UXO19" s="110"/>
      <c r="UXP19" s="110"/>
      <c r="UXQ19" s="110"/>
      <c r="UXR19" s="110"/>
      <c r="UXS19" s="110"/>
      <c r="UXT19" s="110"/>
      <c r="UXU19" s="110"/>
      <c r="UXV19" s="110"/>
      <c r="UXW19" s="110"/>
      <c r="UXX19" s="110"/>
      <c r="UXY19" s="110"/>
      <c r="UXZ19" s="110"/>
      <c r="UYA19" s="110"/>
      <c r="UYB19" s="110"/>
      <c r="UYC19" s="110"/>
      <c r="UYD19" s="110"/>
      <c r="UYE19" s="110"/>
      <c r="UYF19" s="110"/>
      <c r="UYG19" s="110"/>
      <c r="UYH19" s="110"/>
      <c r="UYI19" s="110"/>
      <c r="UYJ19" s="110"/>
      <c r="UYK19" s="110"/>
      <c r="UYL19" s="110"/>
      <c r="UYM19" s="110"/>
      <c r="UYN19" s="110"/>
      <c r="UYO19" s="110"/>
      <c r="UYP19" s="110"/>
      <c r="UYQ19" s="110"/>
      <c r="UYR19" s="110"/>
      <c r="UYS19" s="110"/>
      <c r="UYT19" s="110"/>
      <c r="UYU19" s="110"/>
      <c r="UYV19" s="110"/>
      <c r="UYW19" s="110"/>
      <c r="UYX19" s="110"/>
      <c r="UYY19" s="110"/>
      <c r="UYZ19" s="110"/>
      <c r="UZA19" s="110"/>
      <c r="UZB19" s="110"/>
      <c r="UZC19" s="110"/>
      <c r="UZD19" s="110"/>
      <c r="UZE19" s="110"/>
      <c r="UZF19" s="110"/>
      <c r="UZG19" s="110"/>
      <c r="UZH19" s="110"/>
      <c r="UZI19" s="110"/>
      <c r="UZJ19" s="110"/>
      <c r="UZK19" s="110"/>
      <c r="UZL19" s="110"/>
      <c r="UZM19" s="110"/>
      <c r="UZN19" s="110"/>
      <c r="UZO19" s="110"/>
      <c r="UZP19" s="110"/>
      <c r="UZQ19" s="110"/>
      <c r="UZR19" s="110"/>
      <c r="UZS19" s="110"/>
      <c r="UZT19" s="110"/>
      <c r="UZU19" s="110"/>
      <c r="UZV19" s="110"/>
      <c r="UZW19" s="110"/>
      <c r="UZX19" s="110"/>
      <c r="UZY19" s="110"/>
      <c r="UZZ19" s="110"/>
      <c r="VAA19" s="110"/>
      <c r="VAB19" s="110"/>
      <c r="VAC19" s="110"/>
      <c r="VAD19" s="110"/>
      <c r="VAE19" s="110"/>
      <c r="VAF19" s="110"/>
      <c r="VAG19" s="110"/>
      <c r="VAH19" s="110"/>
      <c r="VAI19" s="110"/>
      <c r="VAJ19" s="110"/>
      <c r="VAK19" s="110"/>
      <c r="VAL19" s="110"/>
      <c r="VAM19" s="110"/>
      <c r="VAN19" s="110"/>
      <c r="VAO19" s="110"/>
      <c r="VAP19" s="110"/>
      <c r="VAQ19" s="110"/>
      <c r="VAR19" s="110"/>
      <c r="VAS19" s="110"/>
      <c r="VAT19" s="110"/>
      <c r="VAU19" s="110"/>
      <c r="VAV19" s="110"/>
      <c r="VAW19" s="110"/>
      <c r="VAX19" s="110"/>
      <c r="VAY19" s="110"/>
      <c r="VAZ19" s="110"/>
      <c r="VBA19" s="110"/>
      <c r="VBB19" s="110"/>
      <c r="VBC19" s="110"/>
      <c r="VBD19" s="110"/>
      <c r="VBE19" s="110"/>
      <c r="VBF19" s="110"/>
      <c r="VBG19" s="110"/>
      <c r="VBH19" s="110"/>
      <c r="VBI19" s="110"/>
      <c r="VBJ19" s="110"/>
      <c r="VBK19" s="110"/>
      <c r="VBL19" s="110"/>
      <c r="VBM19" s="110"/>
      <c r="VBN19" s="110"/>
      <c r="VBO19" s="110"/>
      <c r="VBP19" s="110"/>
      <c r="VBQ19" s="110"/>
      <c r="VBR19" s="110"/>
      <c r="VBS19" s="110"/>
      <c r="VBT19" s="110"/>
      <c r="VBU19" s="110"/>
      <c r="VBV19" s="110"/>
      <c r="VBW19" s="110"/>
      <c r="VBX19" s="110"/>
      <c r="VBY19" s="110"/>
      <c r="VBZ19" s="110"/>
      <c r="VCA19" s="110"/>
      <c r="VCB19" s="110"/>
      <c r="VCC19" s="110"/>
      <c r="VCD19" s="110"/>
      <c r="VCE19" s="110"/>
      <c r="VCF19" s="110"/>
      <c r="VCG19" s="110"/>
      <c r="VCH19" s="110"/>
      <c r="VCI19" s="110"/>
      <c r="VCJ19" s="110"/>
      <c r="VCK19" s="110"/>
      <c r="VCL19" s="110"/>
      <c r="VCM19" s="110"/>
      <c r="VCN19" s="110"/>
      <c r="VCO19" s="110"/>
      <c r="VCP19" s="110"/>
      <c r="VCQ19" s="110"/>
      <c r="VCR19" s="110"/>
      <c r="VCS19" s="110"/>
      <c r="VCT19" s="110"/>
      <c r="VCU19" s="110"/>
      <c r="VCV19" s="110"/>
      <c r="VCW19" s="110"/>
      <c r="VCX19" s="110"/>
      <c r="VCY19" s="110"/>
      <c r="VCZ19" s="110"/>
      <c r="VDA19" s="110"/>
      <c r="VDB19" s="110"/>
      <c r="VDC19" s="110"/>
      <c r="VDD19" s="110"/>
      <c r="VDE19" s="110"/>
      <c r="VDF19" s="110"/>
      <c r="VDG19" s="110"/>
      <c r="VDH19" s="110"/>
      <c r="VDI19" s="110"/>
      <c r="VDJ19" s="110"/>
      <c r="VDK19" s="110"/>
      <c r="VDL19" s="110"/>
      <c r="VDM19" s="110"/>
      <c r="VDN19" s="110"/>
      <c r="VDO19" s="110"/>
      <c r="VDP19" s="110"/>
      <c r="VDQ19" s="110"/>
      <c r="VDR19" s="110"/>
      <c r="VDS19" s="110"/>
      <c r="VDT19" s="110"/>
      <c r="VDU19" s="110"/>
      <c r="VDV19" s="110"/>
      <c r="VDW19" s="110"/>
      <c r="VDX19" s="110"/>
      <c r="VDY19" s="110"/>
      <c r="VDZ19" s="110"/>
      <c r="VEA19" s="110"/>
      <c r="VEB19" s="110"/>
      <c r="VEC19" s="110"/>
      <c r="VED19" s="110"/>
      <c r="VEE19" s="110"/>
      <c r="VEF19" s="110"/>
      <c r="VEG19" s="110"/>
      <c r="VEH19" s="110"/>
      <c r="VEI19" s="110"/>
      <c r="VEJ19" s="110"/>
      <c r="VEK19" s="110"/>
      <c r="VEL19" s="110"/>
      <c r="VEM19" s="110"/>
      <c r="VEN19" s="110"/>
      <c r="VEO19" s="110"/>
      <c r="VEP19" s="110"/>
      <c r="VEQ19" s="110"/>
      <c r="VER19" s="110"/>
      <c r="VES19" s="110"/>
      <c r="VET19" s="110"/>
      <c r="VEU19" s="110"/>
      <c r="VEV19" s="110"/>
      <c r="VEW19" s="110"/>
      <c r="VEX19" s="110"/>
      <c r="VEY19" s="110"/>
      <c r="VEZ19" s="110"/>
      <c r="VFA19" s="110"/>
      <c r="VFB19" s="110"/>
      <c r="VFC19" s="110"/>
      <c r="VFD19" s="110"/>
      <c r="VFE19" s="110"/>
      <c r="VFF19" s="110"/>
      <c r="VFG19" s="110"/>
      <c r="VFH19" s="110"/>
      <c r="VFI19" s="110"/>
      <c r="VFJ19" s="110"/>
      <c r="VFK19" s="110"/>
      <c r="VFL19" s="110"/>
      <c r="VFM19" s="110"/>
      <c r="VFN19" s="110"/>
      <c r="VFO19" s="110"/>
      <c r="VFP19" s="110"/>
      <c r="VFQ19" s="110"/>
      <c r="VFR19" s="110"/>
      <c r="VFS19" s="110"/>
      <c r="VFT19" s="110"/>
      <c r="VFU19" s="110"/>
      <c r="VFV19" s="110"/>
      <c r="VFW19" s="110"/>
      <c r="VFX19" s="110"/>
      <c r="VFY19" s="110"/>
      <c r="VFZ19" s="110"/>
      <c r="VGA19" s="110"/>
      <c r="VGB19" s="110"/>
      <c r="VGC19" s="110"/>
      <c r="VGD19" s="110"/>
      <c r="VGE19" s="110"/>
      <c r="VGF19" s="110"/>
      <c r="VGG19" s="110"/>
      <c r="VGH19" s="110"/>
      <c r="VGI19" s="110"/>
      <c r="VGJ19" s="110"/>
      <c r="VGK19" s="110"/>
      <c r="VGL19" s="110"/>
      <c r="VGM19" s="110"/>
      <c r="VGN19" s="110"/>
      <c r="VGO19" s="110"/>
      <c r="VGP19" s="110"/>
      <c r="VGQ19" s="110"/>
      <c r="VGR19" s="110"/>
      <c r="VGS19" s="110"/>
      <c r="VGT19" s="110"/>
      <c r="VGU19" s="110"/>
      <c r="VGV19" s="110"/>
      <c r="VGW19" s="110"/>
      <c r="VGX19" s="110"/>
      <c r="VGY19" s="110"/>
      <c r="VGZ19" s="110"/>
      <c r="VHA19" s="110"/>
      <c r="VHB19" s="110"/>
      <c r="VHC19" s="110"/>
      <c r="VHD19" s="110"/>
      <c r="VHE19" s="110"/>
      <c r="VHF19" s="110"/>
      <c r="VHG19" s="110"/>
      <c r="VHH19" s="110"/>
      <c r="VHI19" s="110"/>
      <c r="VHJ19" s="110"/>
      <c r="VHK19" s="110"/>
      <c r="VHL19" s="110"/>
      <c r="VHM19" s="110"/>
      <c r="VHN19" s="110"/>
      <c r="VHO19" s="110"/>
      <c r="VHP19" s="110"/>
      <c r="VHQ19" s="110"/>
      <c r="VHR19" s="110"/>
      <c r="VHS19" s="110"/>
      <c r="VHT19" s="110"/>
      <c r="VHU19" s="110"/>
      <c r="VHV19" s="110"/>
      <c r="VHW19" s="110"/>
      <c r="VHX19" s="110"/>
      <c r="VHY19" s="110"/>
      <c r="VHZ19" s="110"/>
      <c r="VIA19" s="110"/>
      <c r="VIB19" s="110"/>
      <c r="VIC19" s="110"/>
      <c r="VID19" s="110"/>
      <c r="VIE19" s="110"/>
      <c r="VIF19" s="110"/>
      <c r="VIG19" s="110"/>
      <c r="VIH19" s="110"/>
      <c r="VII19" s="110"/>
      <c r="VIJ19" s="110"/>
      <c r="VIK19" s="110"/>
      <c r="VIL19" s="110"/>
      <c r="VIM19" s="110"/>
      <c r="VIN19" s="110"/>
      <c r="VIO19" s="110"/>
      <c r="VIP19" s="110"/>
      <c r="VIQ19" s="110"/>
      <c r="VIR19" s="110"/>
      <c r="VIS19" s="110"/>
      <c r="VIT19" s="110"/>
      <c r="VIU19" s="110"/>
      <c r="VIV19" s="110"/>
      <c r="VIW19" s="110"/>
      <c r="VIX19" s="110"/>
      <c r="VIY19" s="110"/>
      <c r="VIZ19" s="110"/>
      <c r="VJA19" s="110"/>
      <c r="VJB19" s="110"/>
      <c r="VJC19" s="110"/>
      <c r="VJD19" s="110"/>
      <c r="VJE19" s="110"/>
      <c r="VJF19" s="110"/>
      <c r="VJG19" s="110"/>
      <c r="VJH19" s="110"/>
      <c r="VJI19" s="110"/>
      <c r="VJJ19" s="110"/>
      <c r="VJK19" s="110"/>
      <c r="VJL19" s="110"/>
      <c r="VJM19" s="110"/>
      <c r="VJN19" s="110"/>
      <c r="VJO19" s="110"/>
      <c r="VJP19" s="110"/>
      <c r="VJQ19" s="110"/>
      <c r="VJR19" s="110"/>
      <c r="VJS19" s="110"/>
      <c r="VJT19" s="110"/>
      <c r="VJU19" s="110"/>
      <c r="VJV19" s="110"/>
      <c r="VJW19" s="110"/>
      <c r="VJX19" s="110"/>
      <c r="VJY19" s="110"/>
      <c r="VJZ19" s="110"/>
      <c r="VKA19" s="110"/>
      <c r="VKB19" s="110"/>
      <c r="VKC19" s="110"/>
      <c r="VKD19" s="110"/>
      <c r="VKE19" s="110"/>
      <c r="VKF19" s="110"/>
      <c r="VKG19" s="110"/>
      <c r="VKH19" s="110"/>
      <c r="VKI19" s="110"/>
      <c r="VKJ19" s="110"/>
      <c r="VKK19" s="110"/>
      <c r="VKL19" s="110"/>
      <c r="VKM19" s="110"/>
      <c r="VKN19" s="110"/>
      <c r="VKO19" s="110"/>
      <c r="VKP19" s="110"/>
      <c r="VKQ19" s="110"/>
      <c r="VKR19" s="110"/>
      <c r="VKS19" s="110"/>
      <c r="VKT19" s="110"/>
      <c r="VKU19" s="110"/>
      <c r="VKV19" s="110"/>
      <c r="VKW19" s="110"/>
      <c r="VKX19" s="110"/>
      <c r="VKY19" s="110"/>
      <c r="VKZ19" s="110"/>
      <c r="VLA19" s="110"/>
      <c r="VLB19" s="110"/>
      <c r="VLC19" s="110"/>
      <c r="VLD19" s="110"/>
      <c r="VLE19" s="110"/>
      <c r="VLF19" s="110"/>
      <c r="VLG19" s="110"/>
      <c r="VLH19" s="110"/>
      <c r="VLI19" s="110"/>
      <c r="VLJ19" s="110"/>
      <c r="VLK19" s="110"/>
      <c r="VLL19" s="110"/>
      <c r="VLM19" s="110"/>
      <c r="VLN19" s="110"/>
      <c r="VLO19" s="110"/>
      <c r="VLP19" s="110"/>
      <c r="VLQ19" s="110"/>
      <c r="VLR19" s="110"/>
      <c r="VLS19" s="110"/>
      <c r="VLT19" s="110"/>
      <c r="VLU19" s="110"/>
      <c r="VLV19" s="110"/>
      <c r="VLW19" s="110"/>
      <c r="VLX19" s="110"/>
      <c r="VLY19" s="110"/>
      <c r="VLZ19" s="110"/>
      <c r="VMA19" s="110"/>
      <c r="VMB19" s="110"/>
      <c r="VMC19" s="110"/>
      <c r="VMD19" s="110"/>
      <c r="VME19" s="110"/>
      <c r="VMF19" s="110"/>
      <c r="VMG19" s="110"/>
      <c r="VMH19" s="110"/>
      <c r="VMI19" s="110"/>
      <c r="VMJ19" s="110"/>
      <c r="VMK19" s="110"/>
      <c r="VML19" s="110"/>
      <c r="VMM19" s="110"/>
      <c r="VMN19" s="110"/>
      <c r="VMO19" s="110"/>
      <c r="VMP19" s="110"/>
      <c r="VMQ19" s="110"/>
      <c r="VMR19" s="110"/>
      <c r="VMS19" s="110"/>
      <c r="VMT19" s="110"/>
      <c r="VMU19" s="110"/>
      <c r="VMV19" s="110"/>
      <c r="VMW19" s="110"/>
      <c r="VMX19" s="110"/>
      <c r="VMY19" s="110"/>
      <c r="VMZ19" s="110"/>
      <c r="VNA19" s="110"/>
      <c r="VNB19" s="110"/>
      <c r="VNC19" s="110"/>
      <c r="VND19" s="110"/>
      <c r="VNE19" s="110"/>
      <c r="VNF19" s="110"/>
      <c r="VNG19" s="110"/>
      <c r="VNH19" s="110"/>
      <c r="VNI19" s="110"/>
      <c r="VNJ19" s="110"/>
      <c r="VNK19" s="110"/>
      <c r="VNL19" s="110"/>
      <c r="VNM19" s="110"/>
      <c r="VNN19" s="110"/>
      <c r="VNO19" s="110"/>
      <c r="VNP19" s="110"/>
      <c r="VNQ19" s="110"/>
      <c r="VNR19" s="110"/>
      <c r="VNS19" s="110"/>
      <c r="VNT19" s="110"/>
      <c r="VNU19" s="110"/>
      <c r="VNV19" s="110"/>
      <c r="VNW19" s="110"/>
      <c r="VNX19" s="110"/>
      <c r="VNY19" s="110"/>
      <c r="VNZ19" s="110"/>
      <c r="VOA19" s="110"/>
      <c r="VOB19" s="110"/>
      <c r="VOC19" s="110"/>
      <c r="VOD19" s="110"/>
      <c r="VOE19" s="110"/>
      <c r="VOF19" s="110"/>
      <c r="VOG19" s="110"/>
      <c r="VOH19" s="110"/>
      <c r="VOI19" s="110"/>
      <c r="VOJ19" s="110"/>
      <c r="VOK19" s="110"/>
      <c r="VOL19" s="110"/>
      <c r="VOM19" s="110"/>
      <c r="VON19" s="110"/>
      <c r="VOO19" s="110"/>
      <c r="VOP19" s="110"/>
      <c r="VOQ19" s="110"/>
      <c r="VOR19" s="110"/>
      <c r="VOS19" s="110"/>
      <c r="VOT19" s="110"/>
      <c r="VOU19" s="110"/>
      <c r="VOV19" s="110"/>
      <c r="VOW19" s="110"/>
      <c r="VOX19" s="110"/>
      <c r="VOY19" s="110"/>
      <c r="VOZ19" s="110"/>
      <c r="VPA19" s="110"/>
      <c r="VPB19" s="110"/>
      <c r="VPC19" s="110"/>
      <c r="VPD19" s="110"/>
      <c r="VPE19" s="110"/>
      <c r="VPF19" s="110"/>
      <c r="VPG19" s="110"/>
      <c r="VPH19" s="110"/>
      <c r="VPI19" s="110"/>
      <c r="VPJ19" s="110"/>
      <c r="VPK19" s="110"/>
      <c r="VPL19" s="110"/>
      <c r="VPM19" s="110"/>
      <c r="VPN19" s="110"/>
      <c r="VPO19" s="110"/>
      <c r="VPP19" s="110"/>
      <c r="VPQ19" s="110"/>
      <c r="VPR19" s="110"/>
      <c r="VPS19" s="110"/>
      <c r="VPT19" s="110"/>
      <c r="VPU19" s="110"/>
      <c r="VPV19" s="110"/>
      <c r="VPW19" s="110"/>
      <c r="VPX19" s="110"/>
      <c r="VPY19" s="110"/>
      <c r="VPZ19" s="110"/>
      <c r="VQA19" s="110"/>
      <c r="VQB19" s="110"/>
      <c r="VQC19" s="110"/>
      <c r="VQD19" s="110"/>
      <c r="VQE19" s="110"/>
      <c r="VQF19" s="110"/>
      <c r="VQG19" s="110"/>
      <c r="VQH19" s="110"/>
      <c r="VQI19" s="110"/>
      <c r="VQJ19" s="110"/>
      <c r="VQK19" s="110"/>
      <c r="VQL19" s="110"/>
      <c r="VQM19" s="110"/>
      <c r="VQN19" s="110"/>
      <c r="VQO19" s="110"/>
      <c r="VQP19" s="110"/>
      <c r="VQQ19" s="110"/>
      <c r="VQR19" s="110"/>
      <c r="VQS19" s="110"/>
      <c r="VQT19" s="110"/>
      <c r="VQU19" s="110"/>
      <c r="VQV19" s="110"/>
      <c r="VQW19" s="110"/>
      <c r="VQX19" s="110"/>
      <c r="VQY19" s="110"/>
      <c r="VQZ19" s="110"/>
      <c r="VRA19" s="110"/>
      <c r="VRB19" s="110"/>
      <c r="VRC19" s="110"/>
      <c r="VRD19" s="110"/>
      <c r="VRE19" s="110"/>
      <c r="VRF19" s="110"/>
      <c r="VRG19" s="110"/>
      <c r="VRH19" s="110"/>
      <c r="VRI19" s="110"/>
      <c r="VRJ19" s="110"/>
      <c r="VRK19" s="110"/>
      <c r="VRL19" s="110"/>
      <c r="VRM19" s="110"/>
      <c r="VRN19" s="110"/>
      <c r="VRO19" s="110"/>
      <c r="VRP19" s="110"/>
      <c r="VRQ19" s="110"/>
      <c r="VRR19" s="110"/>
      <c r="VRS19" s="110"/>
      <c r="VRT19" s="110"/>
      <c r="VRU19" s="110"/>
      <c r="VRV19" s="110"/>
      <c r="VRW19" s="110"/>
      <c r="VRX19" s="110"/>
      <c r="VRY19" s="110"/>
      <c r="VRZ19" s="110"/>
      <c r="VSA19" s="110"/>
      <c r="VSB19" s="110"/>
      <c r="VSC19" s="110"/>
      <c r="VSD19" s="110"/>
      <c r="VSE19" s="110"/>
      <c r="VSF19" s="110"/>
      <c r="VSG19" s="110"/>
      <c r="VSH19" s="110"/>
      <c r="VSI19" s="110"/>
      <c r="VSJ19" s="110"/>
      <c r="VSK19" s="110"/>
      <c r="VSL19" s="110"/>
      <c r="VSM19" s="110"/>
      <c r="VSN19" s="110"/>
      <c r="VSO19" s="110"/>
      <c r="VSP19" s="110"/>
      <c r="VSQ19" s="110"/>
      <c r="VSR19" s="110"/>
      <c r="VSS19" s="110"/>
      <c r="VST19" s="110"/>
      <c r="VSU19" s="110"/>
      <c r="VSV19" s="110"/>
      <c r="VSW19" s="110"/>
      <c r="VSX19" s="110"/>
      <c r="VSY19" s="110"/>
      <c r="VSZ19" s="110"/>
      <c r="VTA19" s="110"/>
      <c r="VTB19" s="110"/>
      <c r="VTC19" s="110"/>
      <c r="VTD19" s="110"/>
      <c r="VTE19" s="110"/>
      <c r="VTF19" s="110"/>
      <c r="VTG19" s="110"/>
      <c r="VTH19" s="110"/>
      <c r="VTI19" s="110"/>
      <c r="VTJ19" s="110"/>
      <c r="VTK19" s="110"/>
      <c r="VTL19" s="110"/>
      <c r="VTM19" s="110"/>
      <c r="VTN19" s="110"/>
      <c r="VTO19" s="110"/>
      <c r="VTP19" s="110"/>
      <c r="VTQ19" s="110"/>
      <c r="VTR19" s="110"/>
      <c r="VTS19" s="110"/>
      <c r="VTT19" s="110"/>
      <c r="VTU19" s="110"/>
      <c r="VTV19" s="110"/>
      <c r="VTW19" s="110"/>
      <c r="VTX19" s="110"/>
      <c r="VTY19" s="110"/>
      <c r="VTZ19" s="110"/>
      <c r="VUA19" s="110"/>
      <c r="VUB19" s="110"/>
      <c r="VUC19" s="110"/>
      <c r="VUD19" s="110"/>
      <c r="VUE19" s="110"/>
      <c r="VUF19" s="110"/>
      <c r="VUG19" s="110"/>
      <c r="VUH19" s="110"/>
      <c r="VUI19" s="110"/>
      <c r="VUJ19" s="110"/>
      <c r="VUK19" s="110"/>
      <c r="VUL19" s="110"/>
      <c r="VUM19" s="110"/>
      <c r="VUN19" s="110"/>
      <c r="VUO19" s="110"/>
      <c r="VUP19" s="110"/>
      <c r="VUQ19" s="110"/>
      <c r="VUR19" s="110"/>
      <c r="VUS19" s="110"/>
      <c r="VUT19" s="110"/>
      <c r="VUU19" s="110"/>
      <c r="VUV19" s="110"/>
      <c r="VUW19" s="110"/>
      <c r="VUX19" s="110"/>
      <c r="VUY19" s="110"/>
      <c r="VUZ19" s="110"/>
      <c r="VVA19" s="110"/>
      <c r="VVB19" s="110"/>
      <c r="VVC19" s="110"/>
      <c r="VVD19" s="110"/>
      <c r="VVE19" s="110"/>
      <c r="VVF19" s="110"/>
      <c r="VVG19" s="110"/>
      <c r="VVH19" s="110"/>
      <c r="VVI19" s="110"/>
      <c r="VVJ19" s="110"/>
      <c r="VVK19" s="110"/>
      <c r="VVL19" s="110"/>
      <c r="VVM19" s="110"/>
      <c r="VVN19" s="110"/>
      <c r="VVO19" s="110"/>
      <c r="VVP19" s="110"/>
      <c r="VVQ19" s="110"/>
      <c r="VVR19" s="110"/>
      <c r="VVS19" s="110"/>
      <c r="VVT19" s="110"/>
      <c r="VVU19" s="110"/>
      <c r="VVV19" s="110"/>
      <c r="VVW19" s="110"/>
      <c r="VVX19" s="110"/>
      <c r="VVY19" s="110"/>
      <c r="VVZ19" s="110"/>
      <c r="VWA19" s="110"/>
      <c r="VWB19" s="110"/>
      <c r="VWC19" s="110"/>
      <c r="VWD19" s="110"/>
      <c r="VWE19" s="110"/>
      <c r="VWF19" s="110"/>
      <c r="VWG19" s="110"/>
      <c r="VWH19" s="110"/>
      <c r="VWI19" s="110"/>
      <c r="VWJ19" s="110"/>
      <c r="VWK19" s="110"/>
      <c r="VWL19" s="110"/>
      <c r="VWM19" s="110"/>
      <c r="VWN19" s="110"/>
      <c r="VWO19" s="110"/>
      <c r="VWP19" s="110"/>
      <c r="VWQ19" s="110"/>
      <c r="VWR19" s="110"/>
      <c r="VWS19" s="110"/>
      <c r="VWT19" s="110"/>
      <c r="VWU19" s="110"/>
      <c r="VWV19" s="110"/>
      <c r="VWW19" s="110"/>
      <c r="VWX19" s="110"/>
      <c r="VWY19" s="110"/>
      <c r="VWZ19" s="110"/>
      <c r="VXA19" s="110"/>
      <c r="VXB19" s="110"/>
      <c r="VXC19" s="110"/>
      <c r="VXD19" s="110"/>
      <c r="VXE19" s="110"/>
      <c r="VXF19" s="110"/>
      <c r="VXG19" s="110"/>
      <c r="VXH19" s="110"/>
      <c r="VXI19" s="110"/>
      <c r="VXJ19" s="110"/>
      <c r="VXK19" s="110"/>
      <c r="VXL19" s="110"/>
      <c r="VXM19" s="110"/>
      <c r="VXN19" s="110"/>
      <c r="VXO19" s="110"/>
      <c r="VXP19" s="110"/>
      <c r="VXQ19" s="110"/>
      <c r="VXR19" s="110"/>
      <c r="VXS19" s="110"/>
      <c r="VXT19" s="110"/>
      <c r="VXU19" s="110"/>
      <c r="VXV19" s="110"/>
      <c r="VXW19" s="110"/>
      <c r="VXX19" s="110"/>
      <c r="VXY19" s="110"/>
      <c r="VXZ19" s="110"/>
      <c r="VYA19" s="110"/>
      <c r="VYB19" s="110"/>
      <c r="VYC19" s="110"/>
      <c r="VYD19" s="110"/>
      <c r="VYE19" s="110"/>
      <c r="VYF19" s="110"/>
      <c r="VYG19" s="110"/>
      <c r="VYH19" s="110"/>
      <c r="VYI19" s="110"/>
      <c r="VYJ19" s="110"/>
      <c r="VYK19" s="110"/>
      <c r="VYL19" s="110"/>
      <c r="VYM19" s="110"/>
      <c r="VYN19" s="110"/>
      <c r="VYO19" s="110"/>
      <c r="VYP19" s="110"/>
      <c r="VYQ19" s="110"/>
      <c r="VYR19" s="110"/>
      <c r="VYS19" s="110"/>
      <c r="VYT19" s="110"/>
      <c r="VYU19" s="110"/>
      <c r="VYV19" s="110"/>
      <c r="VYW19" s="110"/>
      <c r="VYX19" s="110"/>
      <c r="VYY19" s="110"/>
      <c r="VYZ19" s="110"/>
      <c r="VZA19" s="110"/>
      <c r="VZB19" s="110"/>
      <c r="VZC19" s="110"/>
      <c r="VZD19" s="110"/>
      <c r="VZE19" s="110"/>
      <c r="VZF19" s="110"/>
      <c r="VZG19" s="110"/>
      <c r="VZH19" s="110"/>
      <c r="VZI19" s="110"/>
      <c r="VZJ19" s="110"/>
      <c r="VZK19" s="110"/>
      <c r="VZL19" s="110"/>
      <c r="VZM19" s="110"/>
      <c r="VZN19" s="110"/>
      <c r="VZO19" s="110"/>
      <c r="VZP19" s="110"/>
      <c r="VZQ19" s="110"/>
      <c r="VZR19" s="110"/>
      <c r="VZS19" s="110"/>
      <c r="VZT19" s="110"/>
      <c r="VZU19" s="110"/>
      <c r="VZV19" s="110"/>
      <c r="VZW19" s="110"/>
      <c r="VZX19" s="110"/>
      <c r="VZY19" s="110"/>
      <c r="VZZ19" s="110"/>
      <c r="WAA19" s="110"/>
      <c r="WAB19" s="110"/>
      <c r="WAC19" s="110"/>
      <c r="WAD19" s="110"/>
      <c r="WAE19" s="110"/>
      <c r="WAF19" s="110"/>
      <c r="WAG19" s="110"/>
      <c r="WAH19" s="110"/>
      <c r="WAI19" s="110"/>
      <c r="WAJ19" s="110"/>
      <c r="WAK19" s="110"/>
      <c r="WAL19" s="110"/>
      <c r="WAM19" s="110"/>
      <c r="WAN19" s="110"/>
      <c r="WAO19" s="110"/>
      <c r="WAP19" s="110"/>
      <c r="WAQ19" s="110"/>
      <c r="WAR19" s="110"/>
      <c r="WAS19" s="110"/>
      <c r="WAT19" s="110"/>
      <c r="WAU19" s="110"/>
      <c r="WAV19" s="110"/>
      <c r="WAW19" s="110"/>
      <c r="WAX19" s="110"/>
      <c r="WAY19" s="110"/>
      <c r="WAZ19" s="110"/>
      <c r="WBA19" s="110"/>
      <c r="WBB19" s="110"/>
      <c r="WBC19" s="110"/>
      <c r="WBD19" s="110"/>
      <c r="WBE19" s="110"/>
      <c r="WBF19" s="110"/>
      <c r="WBG19" s="110"/>
      <c r="WBH19" s="110"/>
      <c r="WBI19" s="110"/>
      <c r="WBJ19" s="110"/>
      <c r="WBK19" s="110"/>
      <c r="WBL19" s="110"/>
      <c r="WBM19" s="110"/>
      <c r="WBN19" s="110"/>
      <c r="WBO19" s="110"/>
      <c r="WBP19" s="110"/>
      <c r="WBQ19" s="110"/>
      <c r="WBR19" s="110"/>
      <c r="WBS19" s="110"/>
      <c r="WBT19" s="110"/>
      <c r="WBU19" s="110"/>
      <c r="WBV19" s="110"/>
      <c r="WBW19" s="110"/>
      <c r="WBX19" s="110"/>
      <c r="WBY19" s="110"/>
      <c r="WBZ19" s="110"/>
      <c r="WCA19" s="110"/>
      <c r="WCB19" s="110"/>
      <c r="WCC19" s="110"/>
      <c r="WCD19" s="110"/>
      <c r="WCE19" s="110"/>
      <c r="WCF19" s="110"/>
      <c r="WCG19" s="110"/>
      <c r="WCH19" s="110"/>
      <c r="WCI19" s="110"/>
      <c r="WCJ19" s="110"/>
      <c r="WCK19" s="110"/>
      <c r="WCL19" s="110"/>
      <c r="WCM19" s="110"/>
      <c r="WCN19" s="110"/>
      <c r="WCO19" s="110"/>
      <c r="WCP19" s="110"/>
      <c r="WCQ19" s="110"/>
      <c r="WCR19" s="110"/>
      <c r="WCS19" s="110"/>
      <c r="WCT19" s="110"/>
      <c r="WCU19" s="110"/>
      <c r="WCV19" s="110"/>
      <c r="WCW19" s="110"/>
      <c r="WCX19" s="110"/>
      <c r="WCY19" s="110"/>
      <c r="WCZ19" s="110"/>
      <c r="WDA19" s="110"/>
      <c r="WDB19" s="110"/>
      <c r="WDC19" s="110"/>
      <c r="WDD19" s="110"/>
      <c r="WDE19" s="110"/>
      <c r="WDF19" s="110"/>
      <c r="WDG19" s="110"/>
      <c r="WDH19" s="110"/>
      <c r="WDI19" s="110"/>
      <c r="WDJ19" s="110"/>
      <c r="WDK19" s="110"/>
      <c r="WDL19" s="110"/>
      <c r="WDM19" s="110"/>
      <c r="WDN19" s="110"/>
      <c r="WDO19" s="110"/>
      <c r="WDP19" s="110"/>
      <c r="WDQ19" s="110"/>
      <c r="WDR19" s="110"/>
      <c r="WDS19" s="110"/>
      <c r="WDT19" s="110"/>
      <c r="WDU19" s="110"/>
      <c r="WDV19" s="110"/>
      <c r="WDW19" s="110"/>
      <c r="WDX19" s="110"/>
      <c r="WDY19" s="110"/>
      <c r="WDZ19" s="110"/>
      <c r="WEA19" s="110"/>
      <c r="WEB19" s="110"/>
      <c r="WEC19" s="110"/>
      <c r="WED19" s="110"/>
      <c r="WEE19" s="110"/>
      <c r="WEF19" s="110"/>
      <c r="WEG19" s="110"/>
      <c r="WEH19" s="110"/>
      <c r="WEI19" s="110"/>
      <c r="WEJ19" s="110"/>
      <c r="WEK19" s="110"/>
      <c r="WEL19" s="110"/>
      <c r="WEM19" s="110"/>
      <c r="WEN19" s="110"/>
      <c r="WEO19" s="110"/>
      <c r="WEP19" s="110"/>
      <c r="WEQ19" s="110"/>
      <c r="WER19" s="110"/>
      <c r="WES19" s="110"/>
      <c r="WET19" s="110"/>
      <c r="WEU19" s="110"/>
      <c r="WEV19" s="110"/>
      <c r="WEW19" s="110"/>
      <c r="WEX19" s="110"/>
      <c r="WEY19" s="110"/>
      <c r="WEZ19" s="110"/>
      <c r="WFA19" s="110"/>
      <c r="WFB19" s="110"/>
      <c r="WFC19" s="110"/>
      <c r="WFD19" s="110"/>
      <c r="WFE19" s="110"/>
      <c r="WFF19" s="110"/>
      <c r="WFG19" s="110"/>
      <c r="WFH19" s="110"/>
      <c r="WFI19" s="110"/>
      <c r="WFJ19" s="110"/>
      <c r="WFK19" s="110"/>
      <c r="WFL19" s="110"/>
      <c r="WFM19" s="110"/>
      <c r="WFN19" s="110"/>
      <c r="WFO19" s="110"/>
      <c r="WFP19" s="110"/>
      <c r="WFQ19" s="110"/>
      <c r="WFR19" s="110"/>
      <c r="WFS19" s="110"/>
      <c r="WFT19" s="110"/>
      <c r="WFU19" s="110"/>
      <c r="WFV19" s="110"/>
      <c r="WFW19" s="110"/>
      <c r="WFX19" s="110"/>
      <c r="WFY19" s="110"/>
      <c r="WFZ19" s="110"/>
      <c r="WGA19" s="110"/>
      <c r="WGB19" s="110"/>
      <c r="WGC19" s="110"/>
      <c r="WGD19" s="110"/>
      <c r="WGE19" s="110"/>
      <c r="WGF19" s="110"/>
      <c r="WGG19" s="110"/>
      <c r="WGH19" s="110"/>
      <c r="WGI19" s="110"/>
      <c r="WGJ19" s="110"/>
      <c r="WGK19" s="110"/>
      <c r="WGL19" s="110"/>
      <c r="WGM19" s="110"/>
      <c r="WGN19" s="110"/>
      <c r="WGO19" s="110"/>
      <c r="WGP19" s="110"/>
      <c r="WGQ19" s="110"/>
      <c r="WGR19" s="110"/>
      <c r="WGS19" s="110"/>
      <c r="WGT19" s="110"/>
      <c r="WGU19" s="110"/>
      <c r="WGV19" s="110"/>
      <c r="WGW19" s="110"/>
      <c r="WGX19" s="110"/>
      <c r="WGY19" s="110"/>
      <c r="WGZ19" s="110"/>
      <c r="WHA19" s="110"/>
      <c r="WHB19" s="110"/>
      <c r="WHC19" s="110"/>
      <c r="WHD19" s="110"/>
      <c r="WHE19" s="110"/>
      <c r="WHF19" s="110"/>
      <c r="WHG19" s="110"/>
      <c r="WHH19" s="110"/>
      <c r="WHI19" s="110"/>
      <c r="WHJ19" s="110"/>
      <c r="WHK19" s="110"/>
      <c r="WHL19" s="110"/>
      <c r="WHM19" s="110"/>
      <c r="WHN19" s="110"/>
      <c r="WHO19" s="110"/>
      <c r="WHP19" s="110"/>
      <c r="WHQ19" s="110"/>
      <c r="WHR19" s="110"/>
      <c r="WHS19" s="110"/>
      <c r="WHT19" s="110"/>
      <c r="WHU19" s="110"/>
      <c r="WHV19" s="110"/>
      <c r="WHW19" s="110"/>
      <c r="WHX19" s="110"/>
      <c r="WHY19" s="110"/>
      <c r="WHZ19" s="110"/>
      <c r="WIA19" s="110"/>
      <c r="WIB19" s="110"/>
      <c r="WIC19" s="110"/>
      <c r="WID19" s="110"/>
      <c r="WIE19" s="110"/>
      <c r="WIF19" s="110"/>
      <c r="WIG19" s="110"/>
      <c r="WIH19" s="110"/>
      <c r="WII19" s="110"/>
      <c r="WIJ19" s="110"/>
      <c r="WIK19" s="110"/>
      <c r="WIL19" s="110"/>
      <c r="WIM19" s="110"/>
      <c r="WIN19" s="110"/>
      <c r="WIO19" s="110"/>
      <c r="WIP19" s="110"/>
      <c r="WIQ19" s="110"/>
      <c r="WIR19" s="110"/>
      <c r="WIS19" s="110"/>
      <c r="WIT19" s="110"/>
      <c r="WIU19" s="110"/>
      <c r="WIV19" s="110"/>
      <c r="WIW19" s="110"/>
      <c r="WIX19" s="110"/>
      <c r="WIY19" s="110"/>
      <c r="WIZ19" s="110"/>
      <c r="WJA19" s="110"/>
      <c r="WJB19" s="110"/>
      <c r="WJC19" s="110"/>
      <c r="WJD19" s="110"/>
      <c r="WJE19" s="110"/>
      <c r="WJF19" s="110"/>
      <c r="WJG19" s="110"/>
      <c r="WJH19" s="110"/>
      <c r="WJI19" s="110"/>
      <c r="WJJ19" s="110"/>
      <c r="WJK19" s="110"/>
      <c r="WJL19" s="110"/>
      <c r="WJM19" s="110"/>
      <c r="WJN19" s="110"/>
      <c r="WJO19" s="110"/>
      <c r="WJP19" s="110"/>
      <c r="WJQ19" s="110"/>
      <c r="WJR19" s="110"/>
      <c r="WJS19" s="110"/>
      <c r="WJT19" s="110"/>
      <c r="WJU19" s="110"/>
      <c r="WJV19" s="110"/>
      <c r="WJW19" s="110"/>
      <c r="WJX19" s="110"/>
      <c r="WJY19" s="110"/>
      <c r="WJZ19" s="110"/>
      <c r="WKA19" s="110"/>
      <c r="WKB19" s="110"/>
      <c r="WKC19" s="110"/>
      <c r="WKD19" s="110"/>
      <c r="WKE19" s="110"/>
      <c r="WKF19" s="110"/>
      <c r="WKG19" s="110"/>
      <c r="WKH19" s="110"/>
      <c r="WKI19" s="110"/>
      <c r="WKJ19" s="110"/>
      <c r="WKK19" s="110"/>
      <c r="WKL19" s="110"/>
      <c r="WKM19" s="110"/>
      <c r="WKN19" s="110"/>
      <c r="WKO19" s="110"/>
      <c r="WKP19" s="110"/>
      <c r="WKQ19" s="110"/>
      <c r="WKR19" s="110"/>
      <c r="WKS19" s="110"/>
      <c r="WKT19" s="110"/>
      <c r="WKU19" s="110"/>
      <c r="WKV19" s="110"/>
      <c r="WKW19" s="110"/>
      <c r="WKX19" s="110"/>
      <c r="WKY19" s="110"/>
      <c r="WKZ19" s="110"/>
      <c r="WLA19" s="110"/>
      <c r="WLB19" s="110"/>
      <c r="WLC19" s="110"/>
      <c r="WLD19" s="110"/>
      <c r="WLE19" s="110"/>
      <c r="WLF19" s="110"/>
      <c r="WLG19" s="110"/>
      <c r="WLH19" s="110"/>
      <c r="WLI19" s="110"/>
      <c r="WLJ19" s="110"/>
      <c r="WLK19" s="110"/>
      <c r="WLL19" s="110"/>
      <c r="WLM19" s="110"/>
      <c r="WLN19" s="110"/>
      <c r="WLO19" s="110"/>
      <c r="WLP19" s="110"/>
      <c r="WLQ19" s="110"/>
      <c r="WLR19" s="110"/>
      <c r="WLS19" s="110"/>
      <c r="WLT19" s="110"/>
      <c r="WLU19" s="110"/>
      <c r="WLV19" s="110"/>
      <c r="WLW19" s="110"/>
      <c r="WLX19" s="110"/>
      <c r="WLY19" s="110"/>
      <c r="WLZ19" s="110"/>
      <c r="WMA19" s="110"/>
      <c r="WMB19" s="110"/>
      <c r="WMC19" s="110"/>
      <c r="WMD19" s="110"/>
      <c r="WME19" s="110"/>
      <c r="WMF19" s="110"/>
      <c r="WMG19" s="110"/>
      <c r="WMH19" s="110"/>
      <c r="WMI19" s="110"/>
      <c r="WMJ19" s="110"/>
      <c r="WMK19" s="110"/>
      <c r="WML19" s="110"/>
      <c r="WMM19" s="110"/>
      <c r="WMN19" s="110"/>
      <c r="WMO19" s="110"/>
      <c r="WMP19" s="110"/>
      <c r="WMQ19" s="110"/>
      <c r="WMR19" s="110"/>
      <c r="WMS19" s="110"/>
      <c r="WMT19" s="110"/>
      <c r="WMU19" s="110"/>
      <c r="WMV19" s="110"/>
      <c r="WMW19" s="110"/>
      <c r="WMX19" s="110"/>
      <c r="WMY19" s="110"/>
      <c r="WMZ19" s="110"/>
      <c r="WNA19" s="110"/>
      <c r="WNB19" s="110"/>
      <c r="WNC19" s="110"/>
      <c r="WND19" s="110"/>
      <c r="WNE19" s="110"/>
      <c r="WNF19" s="110"/>
      <c r="WNG19" s="110"/>
      <c r="WNH19" s="110"/>
      <c r="WNI19" s="110"/>
      <c r="WNJ19" s="110"/>
      <c r="WNK19" s="110"/>
      <c r="WNL19" s="110"/>
      <c r="WNM19" s="110"/>
      <c r="WNN19" s="110"/>
      <c r="WNO19" s="110"/>
      <c r="WNP19" s="110"/>
      <c r="WNQ19" s="110"/>
      <c r="WNR19" s="110"/>
      <c r="WNS19" s="110"/>
      <c r="WNT19" s="110"/>
      <c r="WNU19" s="110"/>
      <c r="WNV19" s="110"/>
      <c r="WNW19" s="110"/>
      <c r="WNX19" s="110"/>
      <c r="WNY19" s="110"/>
      <c r="WNZ19" s="110"/>
      <c r="WOA19" s="110"/>
      <c r="WOB19" s="110"/>
      <c r="WOC19" s="110"/>
      <c r="WOD19" s="110"/>
      <c r="WOE19" s="110"/>
      <c r="WOF19" s="110"/>
      <c r="WOG19" s="110"/>
      <c r="WOH19" s="110"/>
      <c r="WOI19" s="110"/>
      <c r="WOJ19" s="110"/>
      <c r="WOK19" s="110"/>
      <c r="WOL19" s="110"/>
      <c r="WOM19" s="110"/>
      <c r="WON19" s="110"/>
      <c r="WOO19" s="110"/>
      <c r="WOP19" s="110"/>
      <c r="WOQ19" s="110"/>
      <c r="WOR19" s="110"/>
      <c r="WOS19" s="110"/>
      <c r="WOT19" s="110"/>
      <c r="WOU19" s="110"/>
      <c r="WOV19" s="110"/>
      <c r="WOW19" s="110"/>
      <c r="WOX19" s="110"/>
      <c r="WOY19" s="110"/>
      <c r="WOZ19" s="110"/>
      <c r="WPA19" s="110"/>
      <c r="WPB19" s="110"/>
      <c r="WPC19" s="110"/>
      <c r="WPD19" s="110"/>
      <c r="WPE19" s="110"/>
      <c r="WPF19" s="110"/>
      <c r="WPG19" s="110"/>
      <c r="WPH19" s="110"/>
      <c r="WPI19" s="110"/>
      <c r="WPJ19" s="110"/>
      <c r="WPK19" s="110"/>
      <c r="WPL19" s="110"/>
      <c r="WPM19" s="110"/>
      <c r="WPN19" s="110"/>
      <c r="WPO19" s="110"/>
      <c r="WPP19" s="110"/>
      <c r="WPQ19" s="110"/>
      <c r="WPR19" s="110"/>
      <c r="WPS19" s="110"/>
      <c r="WPT19" s="110"/>
      <c r="WPU19" s="110"/>
      <c r="WPV19" s="110"/>
      <c r="WPW19" s="110"/>
      <c r="WPX19" s="110"/>
      <c r="WPY19" s="110"/>
      <c r="WPZ19" s="110"/>
      <c r="WQA19" s="110"/>
      <c r="WQB19" s="110"/>
      <c r="WQC19" s="110"/>
      <c r="WQD19" s="110"/>
      <c r="WQE19" s="110"/>
      <c r="WQF19" s="110"/>
      <c r="WQG19" s="110"/>
      <c r="WQH19" s="110"/>
      <c r="WQI19" s="110"/>
      <c r="WQJ19" s="110"/>
      <c r="WQK19" s="110"/>
      <c r="WQL19" s="110"/>
      <c r="WQM19" s="110"/>
      <c r="WQN19" s="110"/>
      <c r="WQO19" s="110"/>
      <c r="WQP19" s="110"/>
      <c r="WQQ19" s="110"/>
      <c r="WQR19" s="110"/>
      <c r="WQS19" s="110"/>
      <c r="WQT19" s="110"/>
      <c r="WQU19" s="110"/>
      <c r="WQV19" s="110"/>
      <c r="WQW19" s="110"/>
      <c r="WQX19" s="110"/>
      <c r="WQY19" s="110"/>
      <c r="WQZ19" s="110"/>
      <c r="WRA19" s="110"/>
      <c r="WRB19" s="110"/>
      <c r="WRC19" s="110"/>
      <c r="WRD19" s="110"/>
      <c r="WRE19" s="110"/>
      <c r="WRF19" s="110"/>
      <c r="WRG19" s="110"/>
      <c r="WRH19" s="110"/>
      <c r="WRI19" s="110"/>
      <c r="WRJ19" s="110"/>
      <c r="WRK19" s="110"/>
      <c r="WRL19" s="110"/>
      <c r="WRM19" s="110"/>
      <c r="WRN19" s="110"/>
      <c r="WRO19" s="110"/>
      <c r="WRP19" s="110"/>
      <c r="WRQ19" s="110"/>
      <c r="WRR19" s="110"/>
      <c r="WRS19" s="110"/>
      <c r="WRT19" s="110"/>
      <c r="WRU19" s="110"/>
      <c r="WRV19" s="110"/>
      <c r="WRW19" s="110"/>
      <c r="WRX19" s="110"/>
      <c r="WRY19" s="110"/>
      <c r="WRZ19" s="110"/>
      <c r="WSA19" s="110"/>
      <c r="WSB19" s="110"/>
      <c r="WSC19" s="110"/>
      <c r="WSD19" s="110"/>
      <c r="WSE19" s="110"/>
      <c r="WSF19" s="110"/>
      <c r="WSG19" s="110"/>
      <c r="WSH19" s="110"/>
      <c r="WSI19" s="110"/>
      <c r="WSJ19" s="110"/>
      <c r="WSK19" s="110"/>
      <c r="WSL19" s="110"/>
      <c r="WSM19" s="110"/>
      <c r="WSN19" s="110"/>
      <c r="WSO19" s="110"/>
      <c r="WSP19" s="110"/>
      <c r="WSQ19" s="110"/>
      <c r="WSR19" s="110"/>
      <c r="WSS19" s="110"/>
      <c r="WST19" s="110"/>
      <c r="WSU19" s="110"/>
      <c r="WSV19" s="110"/>
      <c r="WSW19" s="110"/>
      <c r="WSX19" s="110"/>
      <c r="WSY19" s="110"/>
      <c r="WSZ19" s="110"/>
      <c r="WTA19" s="110"/>
      <c r="WTB19" s="110"/>
      <c r="WTC19" s="110"/>
      <c r="WTD19" s="110"/>
      <c r="WTE19" s="110"/>
      <c r="WTF19" s="110"/>
      <c r="WTG19" s="110"/>
      <c r="WTH19" s="110"/>
      <c r="WTI19" s="110"/>
      <c r="WTJ19" s="110"/>
      <c r="WTK19" s="110"/>
      <c r="WTL19" s="110"/>
      <c r="WTM19" s="110"/>
      <c r="WTN19" s="110"/>
      <c r="WTO19" s="110"/>
      <c r="WTP19" s="110"/>
      <c r="WTQ19" s="110"/>
      <c r="WTR19" s="110"/>
      <c r="WTS19" s="110"/>
      <c r="WTT19" s="110"/>
      <c r="WTU19" s="110"/>
      <c r="WTV19" s="110"/>
      <c r="WTW19" s="110"/>
      <c r="WTX19" s="110"/>
      <c r="WTY19" s="110"/>
      <c r="WTZ19" s="110"/>
      <c r="WUA19" s="110"/>
      <c r="WUB19" s="110"/>
      <c r="WUC19" s="110"/>
      <c r="WUD19" s="110"/>
      <c r="WUE19" s="110"/>
      <c r="WUF19" s="110"/>
      <c r="WUG19" s="110"/>
      <c r="WUH19" s="110"/>
      <c r="WUI19" s="110"/>
      <c r="WUJ19" s="110"/>
      <c r="WUK19" s="110"/>
      <c r="WUL19" s="110"/>
      <c r="WUM19" s="110"/>
      <c r="WUN19" s="110"/>
      <c r="WUO19" s="110"/>
      <c r="WUP19" s="110"/>
      <c r="WUQ19" s="110"/>
      <c r="WUR19" s="110"/>
      <c r="WUS19" s="110"/>
      <c r="WUT19" s="110"/>
      <c r="WUU19" s="110"/>
      <c r="WUV19" s="110"/>
      <c r="WUW19" s="110"/>
      <c r="WUX19" s="110"/>
      <c r="WUY19" s="110"/>
      <c r="WUZ19" s="110"/>
      <c r="WVA19" s="110"/>
      <c r="WVB19" s="110"/>
      <c r="WVC19" s="110"/>
      <c r="WVD19" s="110"/>
      <c r="WVE19" s="110"/>
      <c r="WVF19" s="110"/>
      <c r="WVG19" s="110"/>
      <c r="WVH19" s="110"/>
      <c r="WVI19" s="110"/>
      <c r="WVJ19" s="110"/>
      <c r="WVK19" s="110"/>
      <c r="WVL19" s="110"/>
      <c r="WVM19" s="110"/>
      <c r="WVN19" s="110"/>
      <c r="WVO19" s="110"/>
      <c r="WVP19" s="110"/>
      <c r="WVQ19" s="110"/>
      <c r="WVR19" s="110"/>
      <c r="WVS19" s="110"/>
      <c r="WVT19" s="110"/>
      <c r="WVU19" s="110"/>
      <c r="WVV19" s="110"/>
      <c r="WVW19" s="110"/>
      <c r="WVX19" s="110"/>
      <c r="WVY19" s="110"/>
      <c r="WVZ19" s="110"/>
      <c r="WWA19" s="110"/>
      <c r="WWB19" s="110"/>
      <c r="WWC19" s="110"/>
      <c r="WWD19" s="110"/>
      <c r="WWE19" s="110"/>
      <c r="WWF19" s="110"/>
      <c r="WWG19" s="110"/>
      <c r="WWH19" s="110"/>
      <c r="WWI19" s="110"/>
      <c r="WWJ19" s="110"/>
      <c r="WWK19" s="110"/>
      <c r="WWL19" s="110"/>
      <c r="WWM19" s="110"/>
      <c r="WWN19" s="110"/>
      <c r="WWO19" s="110"/>
      <c r="WWP19" s="110"/>
      <c r="WWQ19" s="110"/>
      <c r="WWR19" s="110"/>
      <c r="WWS19" s="110"/>
      <c r="WWT19" s="110"/>
      <c r="WWU19" s="110"/>
      <c r="WWV19" s="110"/>
      <c r="WWW19" s="110"/>
      <c r="WWX19" s="110"/>
      <c r="WWY19" s="110"/>
      <c r="WWZ19" s="110"/>
      <c r="WXA19" s="110"/>
      <c r="WXB19" s="110"/>
      <c r="WXC19" s="110"/>
      <c r="WXD19" s="110"/>
      <c r="WXE19" s="110"/>
      <c r="WXF19" s="110"/>
      <c r="WXG19" s="110"/>
      <c r="WXH19" s="110"/>
      <c r="WXI19" s="110"/>
      <c r="WXJ19" s="110"/>
      <c r="WXK19" s="110"/>
      <c r="WXL19" s="110"/>
      <c r="WXM19" s="110"/>
      <c r="WXN19" s="110"/>
      <c r="WXO19" s="110"/>
      <c r="WXP19" s="110"/>
      <c r="WXQ19" s="110"/>
      <c r="WXR19" s="110"/>
      <c r="WXS19" s="110"/>
      <c r="WXT19" s="110"/>
      <c r="WXU19" s="110"/>
      <c r="WXV19" s="110"/>
      <c r="WXW19" s="110"/>
      <c r="WXX19" s="110"/>
      <c r="WXY19" s="110"/>
      <c r="WXZ19" s="110"/>
      <c r="WYA19" s="110"/>
      <c r="WYB19" s="110"/>
      <c r="WYC19" s="110"/>
      <c r="WYD19" s="110"/>
      <c r="WYE19" s="110"/>
      <c r="WYF19" s="110"/>
      <c r="WYG19" s="110"/>
      <c r="WYH19" s="110"/>
      <c r="WYI19" s="110"/>
      <c r="WYJ19" s="110"/>
      <c r="WYK19" s="110"/>
      <c r="WYL19" s="110"/>
      <c r="WYM19" s="110"/>
      <c r="WYN19" s="110"/>
      <c r="WYO19" s="110"/>
      <c r="WYP19" s="110"/>
      <c r="WYQ19" s="110"/>
      <c r="WYR19" s="110"/>
      <c r="WYS19" s="110"/>
      <c r="WYT19" s="110"/>
      <c r="WYU19" s="110"/>
      <c r="WYV19" s="110"/>
      <c r="WYW19" s="110"/>
      <c r="WYX19" s="110"/>
      <c r="WYY19" s="110"/>
      <c r="WYZ19" s="110"/>
      <c r="WZA19" s="110"/>
      <c r="WZB19" s="110"/>
      <c r="WZC19" s="110"/>
      <c r="WZD19" s="110"/>
      <c r="WZE19" s="110"/>
      <c r="WZF19" s="110"/>
      <c r="WZG19" s="110"/>
      <c r="WZH19" s="110"/>
      <c r="WZI19" s="110"/>
      <c r="WZJ19" s="110"/>
      <c r="WZK19" s="110"/>
      <c r="WZL19" s="110"/>
      <c r="WZM19" s="110"/>
      <c r="WZN19" s="110"/>
      <c r="WZO19" s="110"/>
      <c r="WZP19" s="110"/>
      <c r="WZQ19" s="110"/>
      <c r="WZR19" s="110"/>
      <c r="WZS19" s="110"/>
      <c r="WZT19" s="110"/>
      <c r="WZU19" s="110"/>
      <c r="WZV19" s="110"/>
      <c r="WZW19" s="110"/>
      <c r="WZX19" s="110"/>
      <c r="WZY19" s="110"/>
      <c r="WZZ19" s="110"/>
      <c r="XAA19" s="110"/>
      <c r="XAB19" s="110"/>
      <c r="XAC19" s="110"/>
      <c r="XAD19" s="110"/>
      <c r="XAE19" s="110"/>
      <c r="XAF19" s="110"/>
      <c r="XAG19" s="110"/>
      <c r="XAH19" s="110"/>
      <c r="XAI19" s="110"/>
      <c r="XAJ19" s="110"/>
      <c r="XAK19" s="110"/>
      <c r="XAL19" s="110"/>
      <c r="XAM19" s="110"/>
      <c r="XAN19" s="110"/>
      <c r="XAO19" s="110"/>
      <c r="XAP19" s="110"/>
      <c r="XAQ19" s="110"/>
      <c r="XAR19" s="110"/>
      <c r="XAS19" s="110"/>
      <c r="XAT19" s="110"/>
      <c r="XAU19" s="110"/>
      <c r="XAV19" s="110"/>
      <c r="XAW19" s="110"/>
      <c r="XAX19" s="110"/>
      <c r="XAY19" s="110"/>
      <c r="XAZ19" s="110"/>
      <c r="XBA19" s="110"/>
      <c r="XBB19" s="110"/>
      <c r="XBC19" s="110"/>
      <c r="XBD19" s="110"/>
      <c r="XBE19" s="110"/>
      <c r="XBF19" s="110"/>
      <c r="XBG19" s="110"/>
      <c r="XBH19" s="110"/>
      <c r="XBI19" s="110"/>
      <c r="XBJ19" s="110"/>
      <c r="XBK19" s="110"/>
      <c r="XBL19" s="110"/>
      <c r="XBM19" s="110"/>
      <c r="XBN19" s="110"/>
      <c r="XBO19" s="110"/>
      <c r="XBP19" s="110"/>
      <c r="XBQ19" s="110"/>
      <c r="XBR19" s="110"/>
      <c r="XBS19" s="110"/>
      <c r="XBT19" s="110"/>
      <c r="XBU19" s="110"/>
      <c r="XBV19" s="110"/>
      <c r="XBW19" s="110"/>
      <c r="XBX19" s="110"/>
      <c r="XBY19" s="110"/>
      <c r="XBZ19" s="110"/>
      <c r="XCA19" s="110"/>
      <c r="XCB19" s="110"/>
      <c r="XCC19" s="110"/>
      <c r="XCD19" s="110"/>
      <c r="XCE19" s="110"/>
      <c r="XCF19" s="110"/>
      <c r="XCG19" s="110"/>
      <c r="XCH19" s="110"/>
      <c r="XCI19" s="110"/>
      <c r="XCJ19" s="110"/>
      <c r="XCK19" s="110"/>
      <c r="XCL19" s="110"/>
      <c r="XCM19" s="110"/>
      <c r="XCN19" s="110"/>
      <c r="XCO19" s="110"/>
      <c r="XCP19" s="110"/>
      <c r="XCQ19" s="110"/>
      <c r="XCR19" s="110"/>
      <c r="XCS19" s="110"/>
      <c r="XCT19" s="110"/>
      <c r="XCU19" s="110"/>
      <c r="XCV19" s="110"/>
      <c r="XCW19" s="110"/>
      <c r="XCX19" s="110"/>
      <c r="XCY19" s="110"/>
      <c r="XCZ19" s="110"/>
      <c r="XDA19" s="110"/>
      <c r="XDB19" s="110"/>
      <c r="XDC19" s="110"/>
      <c r="XDD19" s="110"/>
      <c r="XDE19" s="110"/>
      <c r="XDF19" s="110"/>
      <c r="XDG19" s="110"/>
      <c r="XDH19" s="110"/>
      <c r="XDI19" s="110"/>
      <c r="XDJ19" s="110"/>
      <c r="XDK19" s="110"/>
      <c r="XDL19" s="110"/>
      <c r="XDM19" s="110"/>
      <c r="XDN19" s="110"/>
      <c r="XDO19" s="110"/>
      <c r="XDP19" s="110"/>
      <c r="XDQ19" s="110"/>
      <c r="XDR19" s="110"/>
      <c r="XDS19" s="110"/>
      <c r="XDT19" s="110"/>
      <c r="XDU19" s="110"/>
      <c r="XDV19" s="110"/>
      <c r="XDW19" s="110"/>
      <c r="XDX19" s="110"/>
      <c r="XDY19" s="110"/>
      <c r="XDZ19" s="110"/>
      <c r="XEA19" s="110"/>
      <c r="XEB19" s="110"/>
      <c r="XEC19" s="110"/>
      <c r="XED19" s="110"/>
      <c r="XEE19" s="110"/>
      <c r="XEF19" s="110"/>
      <c r="XEG19" s="110"/>
      <c r="XEH19" s="110"/>
      <c r="XEI19" s="110"/>
      <c r="XEJ19" s="110"/>
      <c r="XEK19" s="110"/>
      <c r="XEL19" s="110"/>
      <c r="XEM19" s="110"/>
      <c r="XEN19" s="110"/>
      <c r="XEO19" s="110"/>
      <c r="XEP19" s="110"/>
      <c r="XEQ19" s="110"/>
      <c r="XER19" s="110"/>
      <c r="XES19" s="110"/>
      <c r="XET19" s="110"/>
      <c r="XEU19" s="110"/>
      <c r="XEV19" s="110"/>
      <c r="XEW19" s="110"/>
      <c r="XEX19" s="110"/>
      <c r="XEY19" s="110"/>
      <c r="XEZ19" s="110"/>
      <c r="XFA19" s="110"/>
      <c r="XFB19" s="110"/>
      <c r="XFC19" s="110"/>
      <c r="XFD19" s="110"/>
    </row>
    <row r="20" spans="1:16384" s="143" customFormat="1" ht="18.600000000000001" customHeight="1" x14ac:dyDescent="0.3">
      <c r="A20" s="526" t="s">
        <v>3643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0"/>
      <c r="BY20" s="110"/>
      <c r="BZ20" s="110"/>
      <c r="CA20" s="110"/>
      <c r="CB20" s="110"/>
      <c r="CC20" s="110"/>
      <c r="CD20" s="110"/>
      <c r="CE20" s="110"/>
      <c r="CF20" s="110"/>
      <c r="CG20" s="110"/>
      <c r="CH20" s="110"/>
      <c r="CI20" s="110"/>
      <c r="CJ20" s="110"/>
      <c r="CK20" s="110"/>
      <c r="CL20" s="110"/>
      <c r="CM20" s="110"/>
      <c r="CN20" s="110"/>
      <c r="CO20" s="110"/>
      <c r="CP20" s="110"/>
      <c r="CQ20" s="110"/>
      <c r="CR20" s="110"/>
      <c r="CS20" s="110"/>
      <c r="CT20" s="110"/>
      <c r="CU20" s="110"/>
      <c r="CV20" s="110"/>
      <c r="CW20" s="110"/>
      <c r="CX20" s="110"/>
      <c r="CY20" s="110"/>
      <c r="CZ20" s="110"/>
      <c r="DA20" s="110"/>
      <c r="DB20" s="110"/>
      <c r="DC20" s="110"/>
      <c r="DD20" s="110"/>
      <c r="DE20" s="110"/>
      <c r="DF20" s="110"/>
      <c r="DG20" s="110"/>
      <c r="DH20" s="110"/>
      <c r="DI20" s="110"/>
      <c r="DJ20" s="110"/>
      <c r="DK20" s="110"/>
      <c r="DL20" s="110"/>
      <c r="DM20" s="110"/>
      <c r="DN20" s="110"/>
      <c r="DO20" s="110"/>
      <c r="DP20" s="110"/>
      <c r="DQ20" s="110"/>
      <c r="DR20" s="110"/>
      <c r="DS20" s="110"/>
      <c r="DT20" s="110"/>
      <c r="DU20" s="110"/>
      <c r="DV20" s="110"/>
      <c r="DW20" s="110"/>
      <c r="DX20" s="110"/>
      <c r="DY20" s="110"/>
      <c r="DZ20" s="110"/>
      <c r="EA20" s="110"/>
      <c r="EB20" s="110"/>
      <c r="EC20" s="110"/>
      <c r="ED20" s="110"/>
      <c r="EE20" s="110"/>
      <c r="EF20" s="110"/>
      <c r="EG20" s="110"/>
      <c r="EH20" s="110"/>
      <c r="EI20" s="110"/>
      <c r="EJ20" s="110"/>
      <c r="EK20" s="110"/>
      <c r="EL20" s="110"/>
      <c r="EM20" s="110"/>
      <c r="EN20" s="110"/>
      <c r="EO20" s="110"/>
      <c r="EP20" s="110"/>
      <c r="EQ20" s="110"/>
      <c r="ER20" s="110"/>
      <c r="ES20" s="110"/>
      <c r="ET20" s="110"/>
      <c r="EU20" s="110"/>
      <c r="EV20" s="110"/>
      <c r="EW20" s="110"/>
      <c r="EX20" s="110"/>
      <c r="EY20" s="110"/>
      <c r="EZ20" s="110"/>
      <c r="FA20" s="110"/>
      <c r="FB20" s="110"/>
      <c r="FC20" s="110"/>
      <c r="FD20" s="110"/>
      <c r="FE20" s="110"/>
      <c r="FF20" s="110"/>
      <c r="FG20" s="110"/>
      <c r="FH20" s="110"/>
      <c r="FI20" s="110"/>
      <c r="FJ20" s="110"/>
      <c r="FK20" s="110"/>
      <c r="FL20" s="110"/>
      <c r="FM20" s="110"/>
      <c r="FN20" s="110"/>
      <c r="FO20" s="110"/>
      <c r="FP20" s="110"/>
      <c r="FQ20" s="110"/>
      <c r="FR20" s="110"/>
      <c r="FS20" s="110"/>
      <c r="FT20" s="110"/>
      <c r="FU20" s="110"/>
      <c r="FV20" s="110"/>
      <c r="FW20" s="110"/>
      <c r="FX20" s="110"/>
      <c r="FY20" s="110"/>
      <c r="FZ20" s="110"/>
      <c r="GA20" s="110"/>
      <c r="GB20" s="110"/>
      <c r="GC20" s="110"/>
      <c r="GD20" s="110"/>
      <c r="GE20" s="110"/>
      <c r="GF20" s="110"/>
      <c r="GG20" s="110"/>
      <c r="GH20" s="110"/>
      <c r="GI20" s="110"/>
      <c r="GJ20" s="110"/>
      <c r="GK20" s="110"/>
      <c r="GL20" s="110"/>
      <c r="GM20" s="110"/>
      <c r="GN20" s="110"/>
      <c r="GO20" s="110"/>
      <c r="GP20" s="110"/>
      <c r="GQ20" s="110"/>
      <c r="GR20" s="110"/>
      <c r="GS20" s="110"/>
      <c r="GT20" s="110"/>
      <c r="GU20" s="110"/>
      <c r="GV20" s="110"/>
      <c r="GW20" s="110"/>
      <c r="GX20" s="110"/>
      <c r="GY20" s="110"/>
      <c r="GZ20" s="110"/>
      <c r="HA20" s="110"/>
      <c r="HB20" s="110"/>
      <c r="HC20" s="110"/>
      <c r="HD20" s="110"/>
      <c r="HE20" s="110"/>
      <c r="HF20" s="110"/>
      <c r="HG20" s="110"/>
      <c r="HH20" s="110"/>
      <c r="HI20" s="110"/>
      <c r="HJ20" s="110"/>
      <c r="HK20" s="110"/>
      <c r="HL20" s="110"/>
      <c r="HM20" s="110"/>
      <c r="HN20" s="110"/>
      <c r="HO20" s="110"/>
      <c r="HP20" s="110"/>
      <c r="HQ20" s="110"/>
      <c r="HR20" s="110"/>
      <c r="HS20" s="110"/>
      <c r="HT20" s="110"/>
      <c r="HU20" s="110"/>
      <c r="HV20" s="110"/>
      <c r="HW20" s="110"/>
      <c r="HX20" s="110"/>
      <c r="HY20" s="110"/>
      <c r="HZ20" s="110"/>
      <c r="IA20" s="110"/>
      <c r="IB20" s="110"/>
      <c r="IC20" s="110"/>
      <c r="ID20" s="110"/>
      <c r="IE20" s="110"/>
      <c r="IF20" s="110"/>
      <c r="IG20" s="110"/>
      <c r="IH20" s="110"/>
      <c r="II20" s="110"/>
      <c r="IJ20" s="110"/>
      <c r="IK20" s="110"/>
      <c r="IL20" s="110"/>
      <c r="IM20" s="110"/>
      <c r="IN20" s="110"/>
      <c r="IO20" s="110"/>
      <c r="IP20" s="110"/>
      <c r="IQ20" s="110"/>
      <c r="IR20" s="110"/>
      <c r="IS20" s="110"/>
      <c r="IT20" s="110"/>
      <c r="IU20" s="110"/>
      <c r="IV20" s="110"/>
      <c r="IW20" s="110"/>
      <c r="IX20" s="110"/>
      <c r="IY20" s="110"/>
      <c r="IZ20" s="110"/>
      <c r="JA20" s="110"/>
      <c r="JB20" s="110"/>
      <c r="JC20" s="110"/>
      <c r="JD20" s="110"/>
      <c r="JE20" s="110"/>
      <c r="JF20" s="110"/>
      <c r="JG20" s="110"/>
      <c r="JH20" s="110"/>
      <c r="JI20" s="110"/>
      <c r="JJ20" s="110"/>
      <c r="JK20" s="110"/>
      <c r="JL20" s="110"/>
      <c r="JM20" s="110"/>
      <c r="JN20" s="110"/>
      <c r="JO20" s="110"/>
      <c r="JP20" s="110"/>
      <c r="JQ20" s="110"/>
      <c r="JR20" s="110"/>
      <c r="JS20" s="110"/>
      <c r="JT20" s="110"/>
      <c r="JU20" s="110"/>
      <c r="JV20" s="110"/>
      <c r="JW20" s="110"/>
      <c r="JX20" s="110"/>
      <c r="JY20" s="110"/>
      <c r="JZ20" s="110"/>
      <c r="KA20" s="110"/>
      <c r="KB20" s="110"/>
      <c r="KC20" s="110"/>
      <c r="KD20" s="110"/>
      <c r="KE20" s="110"/>
      <c r="KF20" s="110"/>
      <c r="KG20" s="110"/>
      <c r="KH20" s="110"/>
      <c r="KI20" s="110"/>
      <c r="KJ20" s="110"/>
      <c r="KK20" s="110"/>
      <c r="KL20" s="110"/>
      <c r="KM20" s="110"/>
      <c r="KN20" s="110"/>
      <c r="KO20" s="110"/>
      <c r="KP20" s="110"/>
      <c r="KQ20" s="110"/>
      <c r="KR20" s="110"/>
      <c r="KS20" s="110"/>
      <c r="KT20" s="110"/>
      <c r="KU20" s="110"/>
      <c r="KV20" s="110"/>
      <c r="KW20" s="110"/>
      <c r="KX20" s="110"/>
      <c r="KY20" s="110"/>
      <c r="KZ20" s="110"/>
      <c r="LA20" s="110"/>
      <c r="LB20" s="110"/>
      <c r="LC20" s="110"/>
      <c r="LD20" s="110"/>
      <c r="LE20" s="110"/>
      <c r="LF20" s="110"/>
      <c r="LG20" s="110"/>
      <c r="LH20" s="110"/>
      <c r="LI20" s="110"/>
      <c r="LJ20" s="110"/>
      <c r="LK20" s="110"/>
      <c r="LL20" s="110"/>
      <c r="LM20" s="110"/>
      <c r="LN20" s="110"/>
      <c r="LO20" s="110"/>
      <c r="LP20" s="110"/>
      <c r="LQ20" s="110"/>
      <c r="LR20" s="110"/>
      <c r="LS20" s="110"/>
      <c r="LT20" s="110"/>
      <c r="LU20" s="110"/>
      <c r="LV20" s="110"/>
      <c r="LW20" s="110"/>
      <c r="LX20" s="110"/>
      <c r="LY20" s="110"/>
      <c r="LZ20" s="110"/>
      <c r="MA20" s="110"/>
      <c r="MB20" s="110"/>
      <c r="MC20" s="110"/>
      <c r="MD20" s="110"/>
      <c r="ME20" s="110"/>
      <c r="MF20" s="110"/>
      <c r="MG20" s="110"/>
      <c r="MH20" s="110"/>
      <c r="MI20" s="110"/>
      <c r="MJ20" s="110"/>
      <c r="MK20" s="110"/>
      <c r="ML20" s="110"/>
      <c r="MM20" s="110"/>
      <c r="MN20" s="110"/>
      <c r="MO20" s="110"/>
      <c r="MP20" s="110"/>
      <c r="MQ20" s="110"/>
      <c r="MR20" s="110"/>
      <c r="MS20" s="110"/>
      <c r="MT20" s="110"/>
      <c r="MU20" s="110"/>
      <c r="MV20" s="110"/>
      <c r="MW20" s="110"/>
      <c r="MX20" s="110"/>
      <c r="MY20" s="110"/>
      <c r="MZ20" s="110"/>
      <c r="NA20" s="110"/>
      <c r="NB20" s="110"/>
      <c r="NC20" s="110"/>
      <c r="ND20" s="110"/>
      <c r="NE20" s="110"/>
      <c r="NF20" s="110"/>
      <c r="NG20" s="110"/>
      <c r="NH20" s="110"/>
      <c r="NI20" s="110"/>
      <c r="NJ20" s="110"/>
      <c r="NK20" s="110"/>
      <c r="NL20" s="110"/>
      <c r="NM20" s="110"/>
      <c r="NN20" s="110"/>
      <c r="NO20" s="110"/>
      <c r="NP20" s="110"/>
      <c r="NQ20" s="110"/>
      <c r="NR20" s="110"/>
      <c r="NS20" s="110"/>
      <c r="NT20" s="110"/>
      <c r="NU20" s="110"/>
      <c r="NV20" s="110"/>
      <c r="NW20" s="110"/>
      <c r="NX20" s="110"/>
      <c r="NY20" s="110"/>
      <c r="NZ20" s="110"/>
      <c r="OA20" s="110"/>
      <c r="OB20" s="110"/>
      <c r="OC20" s="110"/>
      <c r="OD20" s="110"/>
      <c r="OE20" s="110"/>
      <c r="OF20" s="110"/>
      <c r="OG20" s="110"/>
      <c r="OH20" s="110"/>
      <c r="OI20" s="110"/>
      <c r="OJ20" s="110"/>
      <c r="OK20" s="110"/>
      <c r="OL20" s="110"/>
      <c r="OM20" s="110"/>
      <c r="ON20" s="110"/>
      <c r="OO20" s="110"/>
      <c r="OP20" s="110"/>
      <c r="OQ20" s="110"/>
      <c r="OR20" s="110"/>
      <c r="OS20" s="110"/>
      <c r="OT20" s="110"/>
      <c r="OU20" s="110"/>
      <c r="OV20" s="110"/>
      <c r="OW20" s="110"/>
      <c r="OX20" s="110"/>
      <c r="OY20" s="110"/>
      <c r="OZ20" s="110"/>
      <c r="PA20" s="110"/>
      <c r="PB20" s="110"/>
      <c r="PC20" s="110"/>
      <c r="PD20" s="110"/>
      <c r="PE20" s="110"/>
      <c r="PF20" s="110"/>
      <c r="PG20" s="110"/>
      <c r="PH20" s="110"/>
      <c r="PI20" s="110"/>
      <c r="PJ20" s="110"/>
      <c r="PK20" s="110"/>
      <c r="PL20" s="110"/>
      <c r="PM20" s="110"/>
      <c r="PN20" s="110"/>
      <c r="PO20" s="110"/>
      <c r="PP20" s="110"/>
      <c r="PQ20" s="110"/>
      <c r="PR20" s="110"/>
      <c r="PS20" s="110"/>
      <c r="PT20" s="110"/>
      <c r="PU20" s="110"/>
      <c r="PV20" s="110"/>
      <c r="PW20" s="110"/>
      <c r="PX20" s="110"/>
      <c r="PY20" s="110"/>
      <c r="PZ20" s="110"/>
      <c r="QA20" s="110"/>
      <c r="QB20" s="110"/>
      <c r="QC20" s="110"/>
      <c r="QD20" s="110"/>
      <c r="QE20" s="110"/>
      <c r="QF20" s="110"/>
      <c r="QG20" s="110"/>
      <c r="QH20" s="110"/>
      <c r="QI20" s="110"/>
      <c r="QJ20" s="110"/>
      <c r="QK20" s="110"/>
      <c r="QL20" s="110"/>
      <c r="QM20" s="110"/>
      <c r="QN20" s="110"/>
      <c r="QO20" s="110"/>
      <c r="QP20" s="110"/>
      <c r="QQ20" s="110"/>
      <c r="QR20" s="110"/>
      <c r="QS20" s="110"/>
      <c r="QT20" s="110"/>
      <c r="QU20" s="110"/>
      <c r="QV20" s="110"/>
      <c r="QW20" s="110"/>
      <c r="QX20" s="110"/>
      <c r="QY20" s="110"/>
      <c r="QZ20" s="110"/>
      <c r="RA20" s="110"/>
      <c r="RB20" s="110"/>
      <c r="RC20" s="110"/>
      <c r="RD20" s="110"/>
      <c r="RE20" s="110"/>
      <c r="RF20" s="110"/>
      <c r="RG20" s="110"/>
      <c r="RH20" s="110"/>
      <c r="RI20" s="110"/>
      <c r="RJ20" s="110"/>
      <c r="RK20" s="110"/>
      <c r="RL20" s="110"/>
      <c r="RM20" s="110"/>
      <c r="RN20" s="110"/>
      <c r="RO20" s="110"/>
      <c r="RP20" s="110"/>
      <c r="RQ20" s="110"/>
      <c r="RR20" s="110"/>
      <c r="RS20" s="110"/>
      <c r="RT20" s="110"/>
      <c r="RU20" s="110"/>
      <c r="RV20" s="110"/>
      <c r="RW20" s="110"/>
      <c r="RX20" s="110"/>
      <c r="RY20" s="110"/>
      <c r="RZ20" s="110"/>
      <c r="SA20" s="110"/>
      <c r="SB20" s="110"/>
      <c r="SC20" s="110"/>
      <c r="SD20" s="110"/>
      <c r="SE20" s="110"/>
      <c r="SF20" s="110"/>
      <c r="SG20" s="110"/>
      <c r="SH20" s="110"/>
      <c r="SI20" s="110"/>
      <c r="SJ20" s="110"/>
      <c r="SK20" s="110"/>
      <c r="SL20" s="110"/>
      <c r="SM20" s="110"/>
      <c r="SN20" s="110"/>
      <c r="SO20" s="110"/>
      <c r="SP20" s="110"/>
      <c r="SQ20" s="110"/>
      <c r="SR20" s="110"/>
      <c r="SS20" s="110"/>
      <c r="ST20" s="110"/>
      <c r="SU20" s="110"/>
      <c r="SV20" s="110"/>
      <c r="SW20" s="110"/>
      <c r="SX20" s="110"/>
      <c r="SY20" s="110"/>
      <c r="SZ20" s="110"/>
      <c r="TA20" s="110"/>
      <c r="TB20" s="110"/>
      <c r="TC20" s="110"/>
      <c r="TD20" s="110"/>
      <c r="TE20" s="110"/>
      <c r="TF20" s="110"/>
      <c r="TG20" s="110"/>
      <c r="TH20" s="110"/>
      <c r="TI20" s="110"/>
      <c r="TJ20" s="110"/>
      <c r="TK20" s="110"/>
      <c r="TL20" s="110"/>
      <c r="TM20" s="110"/>
      <c r="TN20" s="110"/>
      <c r="TO20" s="110"/>
      <c r="TP20" s="110"/>
      <c r="TQ20" s="110"/>
      <c r="TR20" s="110"/>
      <c r="TS20" s="110"/>
      <c r="TT20" s="110"/>
      <c r="TU20" s="110"/>
      <c r="TV20" s="110"/>
      <c r="TW20" s="110"/>
      <c r="TX20" s="110"/>
      <c r="TY20" s="110"/>
      <c r="TZ20" s="110"/>
      <c r="UA20" s="110"/>
      <c r="UB20" s="110"/>
      <c r="UC20" s="110"/>
      <c r="UD20" s="110"/>
      <c r="UE20" s="110"/>
      <c r="UF20" s="110"/>
      <c r="UG20" s="110"/>
      <c r="UH20" s="110"/>
      <c r="UI20" s="110"/>
      <c r="UJ20" s="110"/>
      <c r="UK20" s="110"/>
      <c r="UL20" s="110"/>
      <c r="UM20" s="110"/>
      <c r="UN20" s="110"/>
      <c r="UO20" s="110"/>
      <c r="UP20" s="110"/>
      <c r="UQ20" s="110"/>
      <c r="UR20" s="110"/>
      <c r="US20" s="110"/>
      <c r="UT20" s="110"/>
      <c r="UU20" s="110"/>
      <c r="UV20" s="110"/>
      <c r="UW20" s="110"/>
      <c r="UX20" s="110"/>
      <c r="UY20" s="110"/>
      <c r="UZ20" s="110"/>
      <c r="VA20" s="110"/>
      <c r="VB20" s="110"/>
      <c r="VC20" s="110"/>
      <c r="VD20" s="110"/>
      <c r="VE20" s="110"/>
      <c r="VF20" s="110"/>
      <c r="VG20" s="110"/>
      <c r="VH20" s="110"/>
      <c r="VI20" s="110"/>
      <c r="VJ20" s="110"/>
      <c r="VK20" s="110"/>
      <c r="VL20" s="110"/>
      <c r="VM20" s="110"/>
      <c r="VN20" s="110"/>
      <c r="VO20" s="110"/>
      <c r="VP20" s="110"/>
      <c r="VQ20" s="110"/>
      <c r="VR20" s="110"/>
      <c r="VS20" s="110"/>
      <c r="VT20" s="110"/>
      <c r="VU20" s="110"/>
      <c r="VV20" s="110"/>
      <c r="VW20" s="110"/>
      <c r="VX20" s="110"/>
      <c r="VY20" s="110"/>
      <c r="VZ20" s="110"/>
      <c r="WA20" s="110"/>
      <c r="WB20" s="110"/>
      <c r="WC20" s="110"/>
      <c r="WD20" s="110"/>
      <c r="WE20" s="110"/>
      <c r="WF20" s="110"/>
      <c r="WG20" s="110"/>
      <c r="WH20" s="110"/>
      <c r="WI20" s="110"/>
      <c r="WJ20" s="110"/>
      <c r="WK20" s="110"/>
      <c r="WL20" s="110"/>
      <c r="WM20" s="110"/>
      <c r="WN20" s="110"/>
      <c r="WO20" s="110"/>
      <c r="WP20" s="110"/>
      <c r="WQ20" s="110"/>
      <c r="WR20" s="110"/>
      <c r="WS20" s="110"/>
      <c r="WT20" s="110"/>
      <c r="WU20" s="110"/>
      <c r="WV20" s="110"/>
      <c r="WW20" s="110"/>
      <c r="WX20" s="110"/>
      <c r="WY20" s="110"/>
      <c r="WZ20" s="110"/>
      <c r="XA20" s="110"/>
      <c r="XB20" s="110"/>
      <c r="XC20" s="110"/>
      <c r="XD20" s="110"/>
      <c r="XE20" s="110"/>
      <c r="XF20" s="110"/>
      <c r="XG20" s="110"/>
      <c r="XH20" s="110"/>
      <c r="XI20" s="110"/>
      <c r="XJ20" s="110"/>
      <c r="XK20" s="110"/>
      <c r="XL20" s="110"/>
      <c r="XM20" s="110"/>
      <c r="XN20" s="110"/>
      <c r="XO20" s="110"/>
      <c r="XP20" s="110"/>
      <c r="XQ20" s="110"/>
      <c r="XR20" s="110"/>
      <c r="XS20" s="110"/>
      <c r="XT20" s="110"/>
      <c r="XU20" s="110"/>
      <c r="XV20" s="110"/>
      <c r="XW20" s="110"/>
      <c r="XX20" s="110"/>
      <c r="XY20" s="110"/>
      <c r="XZ20" s="110"/>
      <c r="YA20" s="110"/>
      <c r="YB20" s="110"/>
      <c r="YC20" s="110"/>
      <c r="YD20" s="110"/>
      <c r="YE20" s="110"/>
      <c r="YF20" s="110"/>
      <c r="YG20" s="110"/>
      <c r="YH20" s="110"/>
      <c r="YI20" s="110"/>
      <c r="YJ20" s="110"/>
      <c r="YK20" s="110"/>
      <c r="YL20" s="110"/>
      <c r="YM20" s="110"/>
      <c r="YN20" s="110"/>
      <c r="YO20" s="110"/>
      <c r="YP20" s="110"/>
      <c r="YQ20" s="110"/>
      <c r="YR20" s="110"/>
      <c r="YS20" s="110"/>
      <c r="YT20" s="110"/>
      <c r="YU20" s="110"/>
      <c r="YV20" s="110"/>
      <c r="YW20" s="110"/>
      <c r="YX20" s="110"/>
      <c r="YY20" s="110"/>
      <c r="YZ20" s="110"/>
      <c r="ZA20" s="110"/>
      <c r="ZB20" s="110"/>
      <c r="ZC20" s="110"/>
      <c r="ZD20" s="110"/>
      <c r="ZE20" s="110"/>
      <c r="ZF20" s="110"/>
      <c r="ZG20" s="110"/>
      <c r="ZH20" s="110"/>
      <c r="ZI20" s="110"/>
      <c r="ZJ20" s="110"/>
      <c r="ZK20" s="110"/>
      <c r="ZL20" s="110"/>
      <c r="ZM20" s="110"/>
      <c r="ZN20" s="110"/>
      <c r="ZO20" s="110"/>
      <c r="ZP20" s="110"/>
      <c r="ZQ20" s="110"/>
      <c r="ZR20" s="110"/>
      <c r="ZS20" s="110"/>
      <c r="ZT20" s="110"/>
      <c r="ZU20" s="110"/>
      <c r="ZV20" s="110"/>
      <c r="ZW20" s="110"/>
      <c r="ZX20" s="110"/>
      <c r="ZY20" s="110"/>
      <c r="ZZ20" s="110"/>
      <c r="AAA20" s="110"/>
      <c r="AAB20" s="110"/>
      <c r="AAC20" s="110"/>
      <c r="AAD20" s="110"/>
      <c r="AAE20" s="110"/>
      <c r="AAF20" s="110"/>
      <c r="AAG20" s="110"/>
      <c r="AAH20" s="110"/>
      <c r="AAI20" s="110"/>
      <c r="AAJ20" s="110"/>
      <c r="AAK20" s="110"/>
      <c r="AAL20" s="110"/>
      <c r="AAM20" s="110"/>
      <c r="AAN20" s="110"/>
      <c r="AAO20" s="110"/>
      <c r="AAP20" s="110"/>
      <c r="AAQ20" s="110"/>
      <c r="AAR20" s="110"/>
      <c r="AAS20" s="110"/>
      <c r="AAT20" s="110"/>
      <c r="AAU20" s="110"/>
      <c r="AAV20" s="110"/>
      <c r="AAW20" s="110"/>
      <c r="AAX20" s="110"/>
      <c r="AAY20" s="110"/>
      <c r="AAZ20" s="110"/>
      <c r="ABA20" s="110"/>
      <c r="ABB20" s="110"/>
      <c r="ABC20" s="110"/>
      <c r="ABD20" s="110"/>
      <c r="ABE20" s="110"/>
      <c r="ABF20" s="110"/>
      <c r="ABG20" s="110"/>
      <c r="ABH20" s="110"/>
      <c r="ABI20" s="110"/>
      <c r="ABJ20" s="110"/>
      <c r="ABK20" s="110"/>
      <c r="ABL20" s="110"/>
      <c r="ABM20" s="110"/>
      <c r="ABN20" s="110"/>
      <c r="ABO20" s="110"/>
      <c r="ABP20" s="110"/>
      <c r="ABQ20" s="110"/>
      <c r="ABR20" s="110"/>
      <c r="ABS20" s="110"/>
      <c r="ABT20" s="110"/>
      <c r="ABU20" s="110"/>
      <c r="ABV20" s="110"/>
      <c r="ABW20" s="110"/>
      <c r="ABX20" s="110"/>
      <c r="ABY20" s="110"/>
      <c r="ABZ20" s="110"/>
      <c r="ACA20" s="110"/>
      <c r="ACB20" s="110"/>
      <c r="ACC20" s="110"/>
      <c r="ACD20" s="110"/>
      <c r="ACE20" s="110"/>
      <c r="ACF20" s="110"/>
      <c r="ACG20" s="110"/>
      <c r="ACH20" s="110"/>
      <c r="ACI20" s="110"/>
      <c r="ACJ20" s="110"/>
      <c r="ACK20" s="110"/>
      <c r="ACL20" s="110"/>
      <c r="ACM20" s="110"/>
      <c r="ACN20" s="110"/>
      <c r="ACO20" s="110"/>
      <c r="ACP20" s="110"/>
      <c r="ACQ20" s="110"/>
      <c r="ACR20" s="110"/>
      <c r="ACS20" s="110"/>
      <c r="ACT20" s="110"/>
      <c r="ACU20" s="110"/>
      <c r="ACV20" s="110"/>
      <c r="ACW20" s="110"/>
      <c r="ACX20" s="110"/>
      <c r="ACY20" s="110"/>
      <c r="ACZ20" s="110"/>
      <c r="ADA20" s="110"/>
      <c r="ADB20" s="110"/>
      <c r="ADC20" s="110"/>
      <c r="ADD20" s="110"/>
      <c r="ADE20" s="110"/>
      <c r="ADF20" s="110"/>
      <c r="ADG20" s="110"/>
      <c r="ADH20" s="110"/>
      <c r="ADI20" s="110"/>
      <c r="ADJ20" s="110"/>
      <c r="ADK20" s="110"/>
      <c r="ADL20" s="110"/>
      <c r="ADM20" s="110"/>
      <c r="ADN20" s="110"/>
      <c r="ADO20" s="110"/>
      <c r="ADP20" s="110"/>
      <c r="ADQ20" s="110"/>
      <c r="ADR20" s="110"/>
      <c r="ADS20" s="110"/>
      <c r="ADT20" s="110"/>
      <c r="ADU20" s="110"/>
      <c r="ADV20" s="110"/>
      <c r="ADW20" s="110"/>
      <c r="ADX20" s="110"/>
      <c r="ADY20" s="110"/>
      <c r="ADZ20" s="110"/>
      <c r="AEA20" s="110"/>
      <c r="AEB20" s="110"/>
      <c r="AEC20" s="110"/>
      <c r="AED20" s="110"/>
      <c r="AEE20" s="110"/>
      <c r="AEF20" s="110"/>
      <c r="AEG20" s="110"/>
      <c r="AEH20" s="110"/>
      <c r="AEI20" s="110"/>
      <c r="AEJ20" s="110"/>
      <c r="AEK20" s="110"/>
      <c r="AEL20" s="110"/>
      <c r="AEM20" s="110"/>
      <c r="AEN20" s="110"/>
      <c r="AEO20" s="110"/>
      <c r="AEP20" s="110"/>
      <c r="AEQ20" s="110"/>
      <c r="AER20" s="110"/>
      <c r="AES20" s="110"/>
      <c r="AET20" s="110"/>
      <c r="AEU20" s="110"/>
      <c r="AEV20" s="110"/>
      <c r="AEW20" s="110"/>
      <c r="AEX20" s="110"/>
      <c r="AEY20" s="110"/>
      <c r="AEZ20" s="110"/>
      <c r="AFA20" s="110"/>
      <c r="AFB20" s="110"/>
      <c r="AFC20" s="110"/>
      <c r="AFD20" s="110"/>
      <c r="AFE20" s="110"/>
      <c r="AFF20" s="110"/>
      <c r="AFG20" s="110"/>
      <c r="AFH20" s="110"/>
      <c r="AFI20" s="110"/>
      <c r="AFJ20" s="110"/>
      <c r="AFK20" s="110"/>
      <c r="AFL20" s="110"/>
      <c r="AFM20" s="110"/>
      <c r="AFN20" s="110"/>
      <c r="AFO20" s="110"/>
      <c r="AFP20" s="110"/>
      <c r="AFQ20" s="110"/>
      <c r="AFR20" s="110"/>
      <c r="AFS20" s="110"/>
      <c r="AFT20" s="110"/>
      <c r="AFU20" s="110"/>
      <c r="AFV20" s="110"/>
      <c r="AFW20" s="110"/>
      <c r="AFX20" s="110"/>
      <c r="AFY20" s="110"/>
      <c r="AFZ20" s="110"/>
      <c r="AGA20" s="110"/>
      <c r="AGB20" s="110"/>
      <c r="AGC20" s="110"/>
      <c r="AGD20" s="110"/>
      <c r="AGE20" s="110"/>
      <c r="AGF20" s="110"/>
      <c r="AGG20" s="110"/>
      <c r="AGH20" s="110"/>
      <c r="AGI20" s="110"/>
      <c r="AGJ20" s="110"/>
      <c r="AGK20" s="110"/>
      <c r="AGL20" s="110"/>
      <c r="AGM20" s="110"/>
      <c r="AGN20" s="110"/>
      <c r="AGO20" s="110"/>
      <c r="AGP20" s="110"/>
      <c r="AGQ20" s="110"/>
      <c r="AGR20" s="110"/>
      <c r="AGS20" s="110"/>
      <c r="AGT20" s="110"/>
      <c r="AGU20" s="110"/>
      <c r="AGV20" s="110"/>
      <c r="AGW20" s="110"/>
      <c r="AGX20" s="110"/>
      <c r="AGY20" s="110"/>
      <c r="AGZ20" s="110"/>
      <c r="AHA20" s="110"/>
      <c r="AHB20" s="110"/>
      <c r="AHC20" s="110"/>
      <c r="AHD20" s="110"/>
      <c r="AHE20" s="110"/>
      <c r="AHF20" s="110"/>
      <c r="AHG20" s="110"/>
      <c r="AHH20" s="110"/>
      <c r="AHI20" s="110"/>
      <c r="AHJ20" s="110"/>
      <c r="AHK20" s="110"/>
      <c r="AHL20" s="110"/>
      <c r="AHM20" s="110"/>
      <c r="AHN20" s="110"/>
      <c r="AHO20" s="110"/>
      <c r="AHP20" s="110"/>
      <c r="AHQ20" s="110"/>
      <c r="AHR20" s="110"/>
      <c r="AHS20" s="110"/>
      <c r="AHT20" s="110"/>
      <c r="AHU20" s="110"/>
      <c r="AHV20" s="110"/>
      <c r="AHW20" s="110"/>
      <c r="AHX20" s="110"/>
      <c r="AHY20" s="110"/>
      <c r="AHZ20" s="110"/>
      <c r="AIA20" s="110"/>
      <c r="AIB20" s="110"/>
      <c r="AIC20" s="110"/>
      <c r="AID20" s="110"/>
      <c r="AIE20" s="110"/>
      <c r="AIF20" s="110"/>
      <c r="AIG20" s="110"/>
      <c r="AIH20" s="110"/>
      <c r="AII20" s="110"/>
      <c r="AIJ20" s="110"/>
      <c r="AIK20" s="110"/>
      <c r="AIL20" s="110"/>
      <c r="AIM20" s="110"/>
      <c r="AIN20" s="110"/>
      <c r="AIO20" s="110"/>
      <c r="AIP20" s="110"/>
      <c r="AIQ20" s="110"/>
      <c r="AIR20" s="110"/>
      <c r="AIS20" s="110"/>
      <c r="AIT20" s="110"/>
      <c r="AIU20" s="110"/>
      <c r="AIV20" s="110"/>
      <c r="AIW20" s="110"/>
      <c r="AIX20" s="110"/>
      <c r="AIY20" s="110"/>
      <c r="AIZ20" s="110"/>
      <c r="AJA20" s="110"/>
      <c r="AJB20" s="110"/>
      <c r="AJC20" s="110"/>
      <c r="AJD20" s="110"/>
      <c r="AJE20" s="110"/>
      <c r="AJF20" s="110"/>
      <c r="AJG20" s="110"/>
      <c r="AJH20" s="110"/>
      <c r="AJI20" s="110"/>
      <c r="AJJ20" s="110"/>
      <c r="AJK20" s="110"/>
      <c r="AJL20" s="110"/>
      <c r="AJM20" s="110"/>
      <c r="AJN20" s="110"/>
      <c r="AJO20" s="110"/>
      <c r="AJP20" s="110"/>
      <c r="AJQ20" s="110"/>
      <c r="AJR20" s="110"/>
      <c r="AJS20" s="110"/>
      <c r="AJT20" s="110"/>
      <c r="AJU20" s="110"/>
      <c r="AJV20" s="110"/>
      <c r="AJW20" s="110"/>
      <c r="AJX20" s="110"/>
      <c r="AJY20" s="110"/>
      <c r="AJZ20" s="110"/>
      <c r="AKA20" s="110"/>
      <c r="AKB20" s="110"/>
      <c r="AKC20" s="110"/>
      <c r="AKD20" s="110"/>
      <c r="AKE20" s="110"/>
      <c r="AKF20" s="110"/>
      <c r="AKG20" s="110"/>
      <c r="AKH20" s="110"/>
      <c r="AKI20" s="110"/>
      <c r="AKJ20" s="110"/>
      <c r="AKK20" s="110"/>
      <c r="AKL20" s="110"/>
      <c r="AKM20" s="110"/>
      <c r="AKN20" s="110"/>
      <c r="AKO20" s="110"/>
      <c r="AKP20" s="110"/>
      <c r="AKQ20" s="110"/>
      <c r="AKR20" s="110"/>
      <c r="AKS20" s="110"/>
      <c r="AKT20" s="110"/>
      <c r="AKU20" s="110"/>
      <c r="AKV20" s="110"/>
      <c r="AKW20" s="110"/>
      <c r="AKX20" s="110"/>
      <c r="AKY20" s="110"/>
      <c r="AKZ20" s="110"/>
      <c r="ALA20" s="110"/>
      <c r="ALB20" s="110"/>
      <c r="ALC20" s="110"/>
      <c r="ALD20" s="110"/>
      <c r="ALE20" s="110"/>
      <c r="ALF20" s="110"/>
      <c r="ALG20" s="110"/>
      <c r="ALH20" s="110"/>
      <c r="ALI20" s="110"/>
      <c r="ALJ20" s="110"/>
      <c r="ALK20" s="110"/>
      <c r="ALL20" s="110"/>
      <c r="ALM20" s="110"/>
      <c r="ALN20" s="110"/>
      <c r="ALO20" s="110"/>
      <c r="ALP20" s="110"/>
      <c r="ALQ20" s="110"/>
      <c r="ALR20" s="110"/>
      <c r="ALS20" s="110"/>
      <c r="ALT20" s="110"/>
      <c r="ALU20" s="110"/>
      <c r="ALV20" s="110"/>
      <c r="ALW20" s="110"/>
      <c r="ALX20" s="110"/>
      <c r="ALY20" s="110"/>
      <c r="ALZ20" s="110"/>
      <c r="AMA20" s="110"/>
      <c r="AMB20" s="110"/>
      <c r="AMC20" s="110"/>
      <c r="AMD20" s="110"/>
      <c r="AME20" s="110"/>
      <c r="AMF20" s="110"/>
      <c r="AMG20" s="110"/>
      <c r="AMH20" s="110"/>
      <c r="AMI20" s="110"/>
      <c r="AMJ20" s="110"/>
      <c r="AMK20" s="110"/>
      <c r="AML20" s="110"/>
      <c r="AMM20" s="110"/>
      <c r="AMN20" s="110"/>
      <c r="AMO20" s="110"/>
      <c r="AMP20" s="110"/>
      <c r="AMQ20" s="110"/>
      <c r="AMR20" s="110"/>
      <c r="AMS20" s="110"/>
      <c r="AMT20" s="110"/>
      <c r="AMU20" s="110"/>
      <c r="AMV20" s="110"/>
      <c r="AMW20" s="110"/>
      <c r="AMX20" s="110"/>
      <c r="AMY20" s="110"/>
      <c r="AMZ20" s="110"/>
      <c r="ANA20" s="110"/>
      <c r="ANB20" s="110"/>
      <c r="ANC20" s="110"/>
      <c r="AND20" s="110"/>
      <c r="ANE20" s="110"/>
      <c r="ANF20" s="110"/>
      <c r="ANG20" s="110"/>
      <c r="ANH20" s="110"/>
      <c r="ANI20" s="110"/>
      <c r="ANJ20" s="110"/>
      <c r="ANK20" s="110"/>
      <c r="ANL20" s="110"/>
      <c r="ANM20" s="110"/>
      <c r="ANN20" s="110"/>
      <c r="ANO20" s="110"/>
      <c r="ANP20" s="110"/>
      <c r="ANQ20" s="110"/>
      <c r="ANR20" s="110"/>
      <c r="ANS20" s="110"/>
      <c r="ANT20" s="110"/>
      <c r="ANU20" s="110"/>
      <c r="ANV20" s="110"/>
      <c r="ANW20" s="110"/>
      <c r="ANX20" s="110"/>
      <c r="ANY20" s="110"/>
      <c r="ANZ20" s="110"/>
      <c r="AOA20" s="110"/>
      <c r="AOB20" s="110"/>
      <c r="AOC20" s="110"/>
      <c r="AOD20" s="110"/>
      <c r="AOE20" s="110"/>
      <c r="AOF20" s="110"/>
      <c r="AOG20" s="110"/>
      <c r="AOH20" s="110"/>
      <c r="AOI20" s="110"/>
      <c r="AOJ20" s="110"/>
      <c r="AOK20" s="110"/>
      <c r="AOL20" s="110"/>
      <c r="AOM20" s="110"/>
      <c r="AON20" s="110"/>
      <c r="AOO20" s="110"/>
      <c r="AOP20" s="110"/>
      <c r="AOQ20" s="110"/>
      <c r="AOR20" s="110"/>
      <c r="AOS20" s="110"/>
      <c r="AOT20" s="110"/>
      <c r="AOU20" s="110"/>
      <c r="AOV20" s="110"/>
      <c r="AOW20" s="110"/>
      <c r="AOX20" s="110"/>
      <c r="AOY20" s="110"/>
      <c r="AOZ20" s="110"/>
      <c r="APA20" s="110"/>
      <c r="APB20" s="110"/>
      <c r="APC20" s="110"/>
      <c r="APD20" s="110"/>
      <c r="APE20" s="110"/>
      <c r="APF20" s="110"/>
      <c r="APG20" s="110"/>
      <c r="APH20" s="110"/>
      <c r="API20" s="110"/>
      <c r="APJ20" s="110"/>
      <c r="APK20" s="110"/>
      <c r="APL20" s="110"/>
      <c r="APM20" s="110"/>
      <c r="APN20" s="110"/>
      <c r="APO20" s="110"/>
      <c r="APP20" s="110"/>
      <c r="APQ20" s="110"/>
      <c r="APR20" s="110"/>
      <c r="APS20" s="110"/>
      <c r="APT20" s="110"/>
      <c r="APU20" s="110"/>
      <c r="APV20" s="110"/>
      <c r="APW20" s="110"/>
      <c r="APX20" s="110"/>
      <c r="APY20" s="110"/>
      <c r="APZ20" s="110"/>
      <c r="AQA20" s="110"/>
      <c r="AQB20" s="110"/>
      <c r="AQC20" s="110"/>
      <c r="AQD20" s="110"/>
      <c r="AQE20" s="110"/>
      <c r="AQF20" s="110"/>
      <c r="AQG20" s="110"/>
      <c r="AQH20" s="110"/>
      <c r="AQI20" s="110"/>
      <c r="AQJ20" s="110"/>
      <c r="AQK20" s="110"/>
      <c r="AQL20" s="110"/>
      <c r="AQM20" s="110"/>
      <c r="AQN20" s="110"/>
      <c r="AQO20" s="110"/>
      <c r="AQP20" s="110"/>
      <c r="AQQ20" s="110"/>
      <c r="AQR20" s="110"/>
      <c r="AQS20" s="110"/>
      <c r="AQT20" s="110"/>
      <c r="AQU20" s="110"/>
      <c r="AQV20" s="110"/>
      <c r="AQW20" s="110"/>
      <c r="AQX20" s="110"/>
      <c r="AQY20" s="110"/>
      <c r="AQZ20" s="110"/>
      <c r="ARA20" s="110"/>
      <c r="ARB20" s="110"/>
      <c r="ARC20" s="110"/>
      <c r="ARD20" s="110"/>
      <c r="ARE20" s="110"/>
      <c r="ARF20" s="110"/>
      <c r="ARG20" s="110"/>
      <c r="ARH20" s="110"/>
      <c r="ARI20" s="110"/>
      <c r="ARJ20" s="110"/>
      <c r="ARK20" s="110"/>
      <c r="ARL20" s="110"/>
      <c r="ARM20" s="110"/>
      <c r="ARN20" s="110"/>
      <c r="ARO20" s="110"/>
      <c r="ARP20" s="110"/>
      <c r="ARQ20" s="110"/>
      <c r="ARR20" s="110"/>
      <c r="ARS20" s="110"/>
      <c r="ART20" s="110"/>
      <c r="ARU20" s="110"/>
      <c r="ARV20" s="110"/>
      <c r="ARW20" s="110"/>
      <c r="ARX20" s="110"/>
      <c r="ARY20" s="110"/>
      <c r="ARZ20" s="110"/>
      <c r="ASA20" s="110"/>
      <c r="ASB20" s="110"/>
      <c r="ASC20" s="110"/>
      <c r="ASD20" s="110"/>
      <c r="ASE20" s="110"/>
      <c r="ASF20" s="110"/>
      <c r="ASG20" s="110"/>
      <c r="ASH20" s="110"/>
      <c r="ASI20" s="110"/>
      <c r="ASJ20" s="110"/>
      <c r="ASK20" s="110"/>
      <c r="ASL20" s="110"/>
      <c r="ASM20" s="110"/>
      <c r="ASN20" s="110"/>
      <c r="ASO20" s="110"/>
      <c r="ASP20" s="110"/>
      <c r="ASQ20" s="110"/>
      <c r="ASR20" s="110"/>
      <c r="ASS20" s="110"/>
      <c r="AST20" s="110"/>
      <c r="ASU20" s="110"/>
      <c r="ASV20" s="110"/>
      <c r="ASW20" s="110"/>
      <c r="ASX20" s="110"/>
      <c r="ASY20" s="110"/>
      <c r="ASZ20" s="110"/>
      <c r="ATA20" s="110"/>
      <c r="ATB20" s="110"/>
      <c r="ATC20" s="110"/>
      <c r="ATD20" s="110"/>
      <c r="ATE20" s="110"/>
      <c r="ATF20" s="110"/>
      <c r="ATG20" s="110"/>
      <c r="ATH20" s="110"/>
      <c r="ATI20" s="110"/>
      <c r="ATJ20" s="110"/>
      <c r="ATK20" s="110"/>
      <c r="ATL20" s="110"/>
      <c r="ATM20" s="110"/>
      <c r="ATN20" s="110"/>
      <c r="ATO20" s="110"/>
      <c r="ATP20" s="110"/>
      <c r="ATQ20" s="110"/>
      <c r="ATR20" s="110"/>
      <c r="ATS20" s="110"/>
      <c r="ATT20" s="110"/>
      <c r="ATU20" s="110"/>
      <c r="ATV20" s="110"/>
      <c r="ATW20" s="110"/>
      <c r="ATX20" s="110"/>
      <c r="ATY20" s="110"/>
      <c r="ATZ20" s="110"/>
      <c r="AUA20" s="110"/>
      <c r="AUB20" s="110"/>
      <c r="AUC20" s="110"/>
      <c r="AUD20" s="110"/>
      <c r="AUE20" s="110"/>
      <c r="AUF20" s="110"/>
      <c r="AUG20" s="110"/>
      <c r="AUH20" s="110"/>
      <c r="AUI20" s="110"/>
      <c r="AUJ20" s="110"/>
      <c r="AUK20" s="110"/>
      <c r="AUL20" s="110"/>
      <c r="AUM20" s="110"/>
      <c r="AUN20" s="110"/>
      <c r="AUO20" s="110"/>
      <c r="AUP20" s="110"/>
      <c r="AUQ20" s="110"/>
      <c r="AUR20" s="110"/>
      <c r="AUS20" s="110"/>
      <c r="AUT20" s="110"/>
      <c r="AUU20" s="110"/>
      <c r="AUV20" s="110"/>
      <c r="AUW20" s="110"/>
      <c r="AUX20" s="110"/>
      <c r="AUY20" s="110"/>
      <c r="AUZ20" s="110"/>
      <c r="AVA20" s="110"/>
      <c r="AVB20" s="110"/>
      <c r="AVC20" s="110"/>
      <c r="AVD20" s="110"/>
      <c r="AVE20" s="110"/>
      <c r="AVF20" s="110"/>
      <c r="AVG20" s="110"/>
      <c r="AVH20" s="110"/>
      <c r="AVI20" s="110"/>
      <c r="AVJ20" s="110"/>
      <c r="AVK20" s="110"/>
      <c r="AVL20" s="110"/>
      <c r="AVM20" s="110"/>
      <c r="AVN20" s="110"/>
      <c r="AVO20" s="110"/>
      <c r="AVP20" s="110"/>
      <c r="AVQ20" s="110"/>
      <c r="AVR20" s="110"/>
      <c r="AVS20" s="110"/>
      <c r="AVT20" s="110"/>
      <c r="AVU20" s="110"/>
      <c r="AVV20" s="110"/>
      <c r="AVW20" s="110"/>
      <c r="AVX20" s="110"/>
      <c r="AVY20" s="110"/>
      <c r="AVZ20" s="110"/>
      <c r="AWA20" s="110"/>
      <c r="AWB20" s="110"/>
      <c r="AWC20" s="110"/>
      <c r="AWD20" s="110"/>
      <c r="AWE20" s="110"/>
      <c r="AWF20" s="110"/>
      <c r="AWG20" s="110"/>
      <c r="AWH20" s="110"/>
      <c r="AWI20" s="110"/>
      <c r="AWJ20" s="110"/>
      <c r="AWK20" s="110"/>
      <c r="AWL20" s="110"/>
      <c r="AWM20" s="110"/>
      <c r="AWN20" s="110"/>
      <c r="AWO20" s="110"/>
      <c r="AWP20" s="110"/>
      <c r="AWQ20" s="110"/>
      <c r="AWR20" s="110"/>
      <c r="AWS20" s="110"/>
      <c r="AWT20" s="110"/>
      <c r="AWU20" s="110"/>
      <c r="AWV20" s="110"/>
      <c r="AWW20" s="110"/>
      <c r="AWX20" s="110"/>
      <c r="AWY20" s="110"/>
      <c r="AWZ20" s="110"/>
      <c r="AXA20" s="110"/>
      <c r="AXB20" s="110"/>
      <c r="AXC20" s="110"/>
      <c r="AXD20" s="110"/>
      <c r="AXE20" s="110"/>
      <c r="AXF20" s="110"/>
      <c r="AXG20" s="110"/>
      <c r="AXH20" s="110"/>
      <c r="AXI20" s="110"/>
      <c r="AXJ20" s="110"/>
      <c r="AXK20" s="110"/>
      <c r="AXL20" s="110"/>
      <c r="AXM20" s="110"/>
      <c r="AXN20" s="110"/>
      <c r="AXO20" s="110"/>
      <c r="AXP20" s="110"/>
      <c r="AXQ20" s="110"/>
      <c r="AXR20" s="110"/>
      <c r="AXS20" s="110"/>
      <c r="AXT20" s="110"/>
      <c r="AXU20" s="110"/>
      <c r="AXV20" s="110"/>
      <c r="AXW20" s="110"/>
      <c r="AXX20" s="110"/>
      <c r="AXY20" s="110"/>
      <c r="AXZ20" s="110"/>
      <c r="AYA20" s="110"/>
      <c r="AYB20" s="110"/>
      <c r="AYC20" s="110"/>
      <c r="AYD20" s="110"/>
      <c r="AYE20" s="110"/>
      <c r="AYF20" s="110"/>
      <c r="AYG20" s="110"/>
      <c r="AYH20" s="110"/>
      <c r="AYI20" s="110"/>
      <c r="AYJ20" s="110"/>
      <c r="AYK20" s="110"/>
      <c r="AYL20" s="110"/>
      <c r="AYM20" s="110"/>
      <c r="AYN20" s="110"/>
      <c r="AYO20" s="110"/>
      <c r="AYP20" s="110"/>
      <c r="AYQ20" s="110"/>
      <c r="AYR20" s="110"/>
      <c r="AYS20" s="110"/>
      <c r="AYT20" s="110"/>
      <c r="AYU20" s="110"/>
      <c r="AYV20" s="110"/>
      <c r="AYW20" s="110"/>
      <c r="AYX20" s="110"/>
      <c r="AYY20" s="110"/>
      <c r="AYZ20" s="110"/>
      <c r="AZA20" s="110"/>
      <c r="AZB20" s="110"/>
      <c r="AZC20" s="110"/>
      <c r="AZD20" s="110"/>
      <c r="AZE20" s="110"/>
      <c r="AZF20" s="110"/>
      <c r="AZG20" s="110"/>
      <c r="AZH20" s="110"/>
      <c r="AZI20" s="110"/>
      <c r="AZJ20" s="110"/>
      <c r="AZK20" s="110"/>
      <c r="AZL20" s="110"/>
      <c r="AZM20" s="110"/>
      <c r="AZN20" s="110"/>
      <c r="AZO20" s="110"/>
      <c r="AZP20" s="110"/>
      <c r="AZQ20" s="110"/>
      <c r="AZR20" s="110"/>
      <c r="AZS20" s="110"/>
      <c r="AZT20" s="110"/>
      <c r="AZU20" s="110"/>
      <c r="AZV20" s="110"/>
      <c r="AZW20" s="110"/>
      <c r="AZX20" s="110"/>
      <c r="AZY20" s="110"/>
      <c r="AZZ20" s="110"/>
      <c r="BAA20" s="110"/>
      <c r="BAB20" s="110"/>
      <c r="BAC20" s="110"/>
      <c r="BAD20" s="110"/>
      <c r="BAE20" s="110"/>
      <c r="BAF20" s="110"/>
      <c r="BAG20" s="110"/>
      <c r="BAH20" s="110"/>
      <c r="BAI20" s="110"/>
      <c r="BAJ20" s="110"/>
      <c r="BAK20" s="110"/>
      <c r="BAL20" s="110"/>
      <c r="BAM20" s="110"/>
      <c r="BAN20" s="110"/>
      <c r="BAO20" s="110"/>
      <c r="BAP20" s="110"/>
      <c r="BAQ20" s="110"/>
      <c r="BAR20" s="110"/>
      <c r="BAS20" s="110"/>
      <c r="BAT20" s="110"/>
      <c r="BAU20" s="110"/>
      <c r="BAV20" s="110"/>
      <c r="BAW20" s="110"/>
      <c r="BAX20" s="110"/>
      <c r="BAY20" s="110"/>
      <c r="BAZ20" s="110"/>
      <c r="BBA20" s="110"/>
      <c r="BBB20" s="110"/>
      <c r="BBC20" s="110"/>
      <c r="BBD20" s="110"/>
      <c r="BBE20" s="110"/>
      <c r="BBF20" s="110"/>
      <c r="BBG20" s="110"/>
      <c r="BBH20" s="110"/>
      <c r="BBI20" s="110"/>
      <c r="BBJ20" s="110"/>
      <c r="BBK20" s="110"/>
      <c r="BBL20" s="110"/>
      <c r="BBM20" s="110"/>
      <c r="BBN20" s="110"/>
      <c r="BBO20" s="110"/>
      <c r="BBP20" s="110"/>
      <c r="BBQ20" s="110"/>
      <c r="BBR20" s="110"/>
      <c r="BBS20" s="110"/>
      <c r="BBT20" s="110"/>
      <c r="BBU20" s="110"/>
      <c r="BBV20" s="110"/>
      <c r="BBW20" s="110"/>
      <c r="BBX20" s="110"/>
      <c r="BBY20" s="110"/>
      <c r="BBZ20" s="110"/>
      <c r="BCA20" s="110"/>
      <c r="BCB20" s="110"/>
      <c r="BCC20" s="110"/>
      <c r="BCD20" s="110"/>
      <c r="BCE20" s="110"/>
      <c r="BCF20" s="110"/>
      <c r="BCG20" s="110"/>
      <c r="BCH20" s="110"/>
      <c r="BCI20" s="110"/>
      <c r="BCJ20" s="110"/>
      <c r="BCK20" s="110"/>
      <c r="BCL20" s="110"/>
      <c r="BCM20" s="110"/>
      <c r="BCN20" s="110"/>
      <c r="BCO20" s="110"/>
      <c r="BCP20" s="110"/>
      <c r="BCQ20" s="110"/>
      <c r="BCR20" s="110"/>
      <c r="BCS20" s="110"/>
      <c r="BCT20" s="110"/>
      <c r="BCU20" s="110"/>
      <c r="BCV20" s="110"/>
      <c r="BCW20" s="110"/>
      <c r="BCX20" s="110"/>
      <c r="BCY20" s="110"/>
      <c r="BCZ20" s="110"/>
      <c r="BDA20" s="110"/>
      <c r="BDB20" s="110"/>
      <c r="BDC20" s="110"/>
      <c r="BDD20" s="110"/>
      <c r="BDE20" s="110"/>
      <c r="BDF20" s="110"/>
      <c r="BDG20" s="110"/>
      <c r="BDH20" s="110"/>
      <c r="BDI20" s="110"/>
      <c r="BDJ20" s="110"/>
      <c r="BDK20" s="110"/>
      <c r="BDL20" s="110"/>
      <c r="BDM20" s="110"/>
      <c r="BDN20" s="110"/>
      <c r="BDO20" s="110"/>
      <c r="BDP20" s="110"/>
      <c r="BDQ20" s="110"/>
      <c r="BDR20" s="110"/>
      <c r="BDS20" s="110"/>
      <c r="BDT20" s="110"/>
      <c r="BDU20" s="110"/>
      <c r="BDV20" s="110"/>
      <c r="BDW20" s="110"/>
      <c r="BDX20" s="110"/>
      <c r="BDY20" s="110"/>
      <c r="BDZ20" s="110"/>
      <c r="BEA20" s="110"/>
      <c r="BEB20" s="110"/>
      <c r="BEC20" s="110"/>
      <c r="BED20" s="110"/>
      <c r="BEE20" s="110"/>
      <c r="BEF20" s="110"/>
      <c r="BEG20" s="110"/>
      <c r="BEH20" s="110"/>
      <c r="BEI20" s="110"/>
      <c r="BEJ20" s="110"/>
      <c r="BEK20" s="110"/>
      <c r="BEL20" s="110"/>
      <c r="BEM20" s="110"/>
      <c r="BEN20" s="110"/>
      <c r="BEO20" s="110"/>
      <c r="BEP20" s="110"/>
      <c r="BEQ20" s="110"/>
      <c r="BER20" s="110"/>
      <c r="BES20" s="110"/>
      <c r="BET20" s="110"/>
      <c r="BEU20" s="110"/>
      <c r="BEV20" s="110"/>
      <c r="BEW20" s="110"/>
      <c r="BEX20" s="110"/>
      <c r="BEY20" s="110"/>
      <c r="BEZ20" s="110"/>
      <c r="BFA20" s="110"/>
      <c r="BFB20" s="110"/>
      <c r="BFC20" s="110"/>
      <c r="BFD20" s="110"/>
      <c r="BFE20" s="110"/>
      <c r="BFF20" s="110"/>
      <c r="BFG20" s="110"/>
      <c r="BFH20" s="110"/>
      <c r="BFI20" s="110"/>
      <c r="BFJ20" s="110"/>
      <c r="BFK20" s="110"/>
      <c r="BFL20" s="110"/>
      <c r="BFM20" s="110"/>
      <c r="BFN20" s="110"/>
      <c r="BFO20" s="110"/>
      <c r="BFP20" s="110"/>
      <c r="BFQ20" s="110"/>
      <c r="BFR20" s="110"/>
      <c r="BFS20" s="110"/>
      <c r="BFT20" s="110"/>
      <c r="BFU20" s="110"/>
      <c r="BFV20" s="110"/>
      <c r="BFW20" s="110"/>
      <c r="BFX20" s="110"/>
      <c r="BFY20" s="110"/>
      <c r="BFZ20" s="110"/>
      <c r="BGA20" s="110"/>
      <c r="BGB20" s="110"/>
      <c r="BGC20" s="110"/>
      <c r="BGD20" s="110"/>
      <c r="BGE20" s="110"/>
      <c r="BGF20" s="110"/>
      <c r="BGG20" s="110"/>
      <c r="BGH20" s="110"/>
      <c r="BGI20" s="110"/>
      <c r="BGJ20" s="110"/>
      <c r="BGK20" s="110"/>
      <c r="BGL20" s="110"/>
      <c r="BGM20" s="110"/>
      <c r="BGN20" s="110"/>
      <c r="BGO20" s="110"/>
      <c r="BGP20" s="110"/>
      <c r="BGQ20" s="110"/>
      <c r="BGR20" s="110"/>
      <c r="BGS20" s="110"/>
      <c r="BGT20" s="110"/>
      <c r="BGU20" s="110"/>
      <c r="BGV20" s="110"/>
      <c r="BGW20" s="110"/>
      <c r="BGX20" s="110"/>
      <c r="BGY20" s="110"/>
      <c r="BGZ20" s="110"/>
      <c r="BHA20" s="110"/>
      <c r="BHB20" s="110"/>
      <c r="BHC20" s="110"/>
      <c r="BHD20" s="110"/>
      <c r="BHE20" s="110"/>
      <c r="BHF20" s="110"/>
      <c r="BHG20" s="110"/>
      <c r="BHH20" s="110"/>
      <c r="BHI20" s="110"/>
      <c r="BHJ20" s="110"/>
      <c r="BHK20" s="110"/>
      <c r="BHL20" s="110"/>
      <c r="BHM20" s="110"/>
      <c r="BHN20" s="110"/>
      <c r="BHO20" s="110"/>
      <c r="BHP20" s="110"/>
      <c r="BHQ20" s="110"/>
      <c r="BHR20" s="110"/>
      <c r="BHS20" s="110"/>
      <c r="BHT20" s="110"/>
      <c r="BHU20" s="110"/>
      <c r="BHV20" s="110"/>
      <c r="BHW20" s="110"/>
      <c r="BHX20" s="110"/>
      <c r="BHY20" s="110"/>
      <c r="BHZ20" s="110"/>
      <c r="BIA20" s="110"/>
      <c r="BIB20" s="110"/>
      <c r="BIC20" s="110"/>
      <c r="BID20" s="110"/>
      <c r="BIE20" s="110"/>
      <c r="BIF20" s="110"/>
      <c r="BIG20" s="110"/>
      <c r="BIH20" s="110"/>
      <c r="BII20" s="110"/>
      <c r="BIJ20" s="110"/>
      <c r="BIK20" s="110"/>
      <c r="BIL20" s="110"/>
      <c r="BIM20" s="110"/>
      <c r="BIN20" s="110"/>
      <c r="BIO20" s="110"/>
      <c r="BIP20" s="110"/>
      <c r="BIQ20" s="110"/>
      <c r="BIR20" s="110"/>
      <c r="BIS20" s="110"/>
      <c r="BIT20" s="110"/>
      <c r="BIU20" s="110"/>
      <c r="BIV20" s="110"/>
      <c r="BIW20" s="110"/>
      <c r="BIX20" s="110"/>
      <c r="BIY20" s="110"/>
      <c r="BIZ20" s="110"/>
      <c r="BJA20" s="110"/>
      <c r="BJB20" s="110"/>
      <c r="BJC20" s="110"/>
      <c r="BJD20" s="110"/>
      <c r="BJE20" s="110"/>
      <c r="BJF20" s="110"/>
      <c r="BJG20" s="110"/>
      <c r="BJH20" s="110"/>
      <c r="BJI20" s="110"/>
      <c r="BJJ20" s="110"/>
      <c r="BJK20" s="110"/>
      <c r="BJL20" s="110"/>
      <c r="BJM20" s="110"/>
      <c r="BJN20" s="110"/>
      <c r="BJO20" s="110"/>
      <c r="BJP20" s="110"/>
      <c r="BJQ20" s="110"/>
      <c r="BJR20" s="110"/>
      <c r="BJS20" s="110"/>
      <c r="BJT20" s="110"/>
      <c r="BJU20" s="110"/>
      <c r="BJV20" s="110"/>
      <c r="BJW20" s="110"/>
      <c r="BJX20" s="110"/>
      <c r="BJY20" s="110"/>
      <c r="BJZ20" s="110"/>
      <c r="BKA20" s="110"/>
      <c r="BKB20" s="110"/>
      <c r="BKC20" s="110"/>
      <c r="BKD20" s="110"/>
      <c r="BKE20" s="110"/>
      <c r="BKF20" s="110"/>
      <c r="BKG20" s="110"/>
      <c r="BKH20" s="110"/>
      <c r="BKI20" s="110"/>
      <c r="BKJ20" s="110"/>
      <c r="BKK20" s="110"/>
      <c r="BKL20" s="110"/>
      <c r="BKM20" s="110"/>
      <c r="BKN20" s="110"/>
      <c r="BKO20" s="110"/>
      <c r="BKP20" s="110"/>
      <c r="BKQ20" s="110"/>
      <c r="BKR20" s="110"/>
      <c r="BKS20" s="110"/>
      <c r="BKT20" s="110"/>
      <c r="BKU20" s="110"/>
      <c r="BKV20" s="110"/>
      <c r="BKW20" s="110"/>
      <c r="BKX20" s="110"/>
      <c r="BKY20" s="110"/>
      <c r="BKZ20" s="110"/>
      <c r="BLA20" s="110"/>
      <c r="BLB20" s="110"/>
      <c r="BLC20" s="110"/>
      <c r="BLD20" s="110"/>
      <c r="BLE20" s="110"/>
      <c r="BLF20" s="110"/>
      <c r="BLG20" s="110"/>
      <c r="BLH20" s="110"/>
      <c r="BLI20" s="110"/>
      <c r="BLJ20" s="110"/>
      <c r="BLK20" s="110"/>
      <c r="BLL20" s="110"/>
      <c r="BLM20" s="110"/>
      <c r="BLN20" s="110"/>
      <c r="BLO20" s="110"/>
      <c r="BLP20" s="110"/>
      <c r="BLQ20" s="110"/>
      <c r="BLR20" s="110"/>
      <c r="BLS20" s="110"/>
      <c r="BLT20" s="110"/>
      <c r="BLU20" s="110"/>
      <c r="BLV20" s="110"/>
      <c r="BLW20" s="110"/>
      <c r="BLX20" s="110"/>
      <c r="BLY20" s="110"/>
      <c r="BLZ20" s="110"/>
      <c r="BMA20" s="110"/>
      <c r="BMB20" s="110"/>
      <c r="BMC20" s="110"/>
      <c r="BMD20" s="110"/>
      <c r="BME20" s="110"/>
      <c r="BMF20" s="110"/>
      <c r="BMG20" s="110"/>
      <c r="BMH20" s="110"/>
      <c r="BMI20" s="110"/>
      <c r="BMJ20" s="110"/>
      <c r="BMK20" s="110"/>
      <c r="BML20" s="110"/>
      <c r="BMM20" s="110"/>
      <c r="BMN20" s="110"/>
      <c r="BMO20" s="110"/>
      <c r="BMP20" s="110"/>
      <c r="BMQ20" s="110"/>
      <c r="BMR20" s="110"/>
      <c r="BMS20" s="110"/>
      <c r="BMT20" s="110"/>
      <c r="BMU20" s="110"/>
      <c r="BMV20" s="110"/>
      <c r="BMW20" s="110"/>
      <c r="BMX20" s="110"/>
      <c r="BMY20" s="110"/>
      <c r="BMZ20" s="110"/>
      <c r="BNA20" s="110"/>
      <c r="BNB20" s="110"/>
      <c r="BNC20" s="110"/>
      <c r="BND20" s="110"/>
      <c r="BNE20" s="110"/>
      <c r="BNF20" s="110"/>
      <c r="BNG20" s="110"/>
      <c r="BNH20" s="110"/>
      <c r="BNI20" s="110"/>
      <c r="BNJ20" s="110"/>
      <c r="BNK20" s="110"/>
      <c r="BNL20" s="110"/>
      <c r="BNM20" s="110"/>
      <c r="BNN20" s="110"/>
      <c r="BNO20" s="110"/>
      <c r="BNP20" s="110"/>
      <c r="BNQ20" s="110"/>
      <c r="BNR20" s="110"/>
      <c r="BNS20" s="110"/>
      <c r="BNT20" s="110"/>
      <c r="BNU20" s="110"/>
      <c r="BNV20" s="110"/>
      <c r="BNW20" s="110"/>
      <c r="BNX20" s="110"/>
      <c r="BNY20" s="110"/>
      <c r="BNZ20" s="110"/>
      <c r="BOA20" s="110"/>
      <c r="BOB20" s="110"/>
      <c r="BOC20" s="110"/>
      <c r="BOD20" s="110"/>
      <c r="BOE20" s="110"/>
      <c r="BOF20" s="110"/>
      <c r="BOG20" s="110"/>
      <c r="BOH20" s="110"/>
      <c r="BOI20" s="110"/>
      <c r="BOJ20" s="110"/>
      <c r="BOK20" s="110"/>
      <c r="BOL20" s="110"/>
      <c r="BOM20" s="110"/>
      <c r="BON20" s="110"/>
      <c r="BOO20" s="110"/>
      <c r="BOP20" s="110"/>
      <c r="BOQ20" s="110"/>
      <c r="BOR20" s="110"/>
      <c r="BOS20" s="110"/>
      <c r="BOT20" s="110"/>
      <c r="BOU20" s="110"/>
      <c r="BOV20" s="110"/>
      <c r="BOW20" s="110"/>
      <c r="BOX20" s="110"/>
      <c r="BOY20" s="110"/>
      <c r="BOZ20" s="110"/>
      <c r="BPA20" s="110"/>
      <c r="BPB20" s="110"/>
      <c r="BPC20" s="110"/>
      <c r="BPD20" s="110"/>
      <c r="BPE20" s="110"/>
      <c r="BPF20" s="110"/>
      <c r="BPG20" s="110"/>
      <c r="BPH20" s="110"/>
      <c r="BPI20" s="110"/>
      <c r="BPJ20" s="110"/>
      <c r="BPK20" s="110"/>
      <c r="BPL20" s="110"/>
      <c r="BPM20" s="110"/>
      <c r="BPN20" s="110"/>
      <c r="BPO20" s="110"/>
      <c r="BPP20" s="110"/>
      <c r="BPQ20" s="110"/>
      <c r="BPR20" s="110"/>
      <c r="BPS20" s="110"/>
      <c r="BPT20" s="110"/>
      <c r="BPU20" s="110"/>
      <c r="BPV20" s="110"/>
      <c r="BPW20" s="110"/>
      <c r="BPX20" s="110"/>
      <c r="BPY20" s="110"/>
      <c r="BPZ20" s="110"/>
      <c r="BQA20" s="110"/>
      <c r="BQB20" s="110"/>
      <c r="BQC20" s="110"/>
      <c r="BQD20" s="110"/>
      <c r="BQE20" s="110"/>
      <c r="BQF20" s="110"/>
      <c r="BQG20" s="110"/>
      <c r="BQH20" s="110"/>
      <c r="BQI20" s="110"/>
      <c r="BQJ20" s="110"/>
      <c r="BQK20" s="110"/>
      <c r="BQL20" s="110"/>
      <c r="BQM20" s="110"/>
      <c r="BQN20" s="110"/>
      <c r="BQO20" s="110"/>
      <c r="BQP20" s="110"/>
      <c r="BQQ20" s="110"/>
      <c r="BQR20" s="110"/>
      <c r="BQS20" s="110"/>
      <c r="BQT20" s="110"/>
      <c r="BQU20" s="110"/>
      <c r="BQV20" s="110"/>
      <c r="BQW20" s="110"/>
      <c r="BQX20" s="110"/>
      <c r="BQY20" s="110"/>
      <c r="BQZ20" s="110"/>
      <c r="BRA20" s="110"/>
      <c r="BRB20" s="110"/>
      <c r="BRC20" s="110"/>
      <c r="BRD20" s="110"/>
      <c r="BRE20" s="110"/>
      <c r="BRF20" s="110"/>
      <c r="BRG20" s="110"/>
      <c r="BRH20" s="110"/>
      <c r="BRI20" s="110"/>
      <c r="BRJ20" s="110"/>
      <c r="BRK20" s="110"/>
      <c r="BRL20" s="110"/>
      <c r="BRM20" s="110"/>
      <c r="BRN20" s="110"/>
      <c r="BRO20" s="110"/>
      <c r="BRP20" s="110"/>
      <c r="BRQ20" s="110"/>
      <c r="BRR20" s="110"/>
      <c r="BRS20" s="110"/>
      <c r="BRT20" s="110"/>
      <c r="BRU20" s="110"/>
      <c r="BRV20" s="110"/>
      <c r="BRW20" s="110"/>
      <c r="BRX20" s="110"/>
      <c r="BRY20" s="110"/>
      <c r="BRZ20" s="110"/>
      <c r="BSA20" s="110"/>
      <c r="BSB20" s="110"/>
      <c r="BSC20" s="110"/>
      <c r="BSD20" s="110"/>
      <c r="BSE20" s="110"/>
      <c r="BSF20" s="110"/>
      <c r="BSG20" s="110"/>
      <c r="BSH20" s="110"/>
      <c r="BSI20" s="110"/>
      <c r="BSJ20" s="110"/>
      <c r="BSK20" s="110"/>
      <c r="BSL20" s="110"/>
      <c r="BSM20" s="110"/>
      <c r="BSN20" s="110"/>
      <c r="BSO20" s="110"/>
      <c r="BSP20" s="110"/>
      <c r="BSQ20" s="110"/>
      <c r="BSR20" s="110"/>
      <c r="BSS20" s="110"/>
      <c r="BST20" s="110"/>
      <c r="BSU20" s="110"/>
      <c r="BSV20" s="110"/>
      <c r="BSW20" s="110"/>
      <c r="BSX20" s="110"/>
      <c r="BSY20" s="110"/>
      <c r="BSZ20" s="110"/>
      <c r="BTA20" s="110"/>
      <c r="BTB20" s="110"/>
      <c r="BTC20" s="110"/>
      <c r="BTD20" s="110"/>
      <c r="BTE20" s="110"/>
      <c r="BTF20" s="110"/>
      <c r="BTG20" s="110"/>
      <c r="BTH20" s="110"/>
      <c r="BTI20" s="110"/>
      <c r="BTJ20" s="110"/>
      <c r="BTK20" s="110"/>
      <c r="BTL20" s="110"/>
      <c r="BTM20" s="110"/>
      <c r="BTN20" s="110"/>
      <c r="BTO20" s="110"/>
      <c r="BTP20" s="110"/>
      <c r="BTQ20" s="110"/>
      <c r="BTR20" s="110"/>
      <c r="BTS20" s="110"/>
      <c r="BTT20" s="110"/>
      <c r="BTU20" s="110"/>
      <c r="BTV20" s="110"/>
      <c r="BTW20" s="110"/>
      <c r="BTX20" s="110"/>
      <c r="BTY20" s="110"/>
      <c r="BTZ20" s="110"/>
      <c r="BUA20" s="110"/>
      <c r="BUB20" s="110"/>
      <c r="BUC20" s="110"/>
      <c r="BUD20" s="110"/>
      <c r="BUE20" s="110"/>
      <c r="BUF20" s="110"/>
      <c r="BUG20" s="110"/>
      <c r="BUH20" s="110"/>
      <c r="BUI20" s="110"/>
      <c r="BUJ20" s="110"/>
      <c r="BUK20" s="110"/>
      <c r="BUL20" s="110"/>
      <c r="BUM20" s="110"/>
      <c r="BUN20" s="110"/>
      <c r="BUO20" s="110"/>
      <c r="BUP20" s="110"/>
      <c r="BUQ20" s="110"/>
      <c r="BUR20" s="110"/>
      <c r="BUS20" s="110"/>
      <c r="BUT20" s="110"/>
      <c r="BUU20" s="110"/>
      <c r="BUV20" s="110"/>
      <c r="BUW20" s="110"/>
      <c r="BUX20" s="110"/>
      <c r="BUY20" s="110"/>
      <c r="BUZ20" s="110"/>
      <c r="BVA20" s="110"/>
      <c r="BVB20" s="110"/>
      <c r="BVC20" s="110"/>
      <c r="BVD20" s="110"/>
      <c r="BVE20" s="110"/>
      <c r="BVF20" s="110"/>
      <c r="BVG20" s="110"/>
      <c r="BVH20" s="110"/>
      <c r="BVI20" s="110"/>
      <c r="BVJ20" s="110"/>
      <c r="BVK20" s="110"/>
      <c r="BVL20" s="110"/>
      <c r="BVM20" s="110"/>
      <c r="BVN20" s="110"/>
      <c r="BVO20" s="110"/>
      <c r="BVP20" s="110"/>
      <c r="BVQ20" s="110"/>
      <c r="BVR20" s="110"/>
      <c r="BVS20" s="110"/>
      <c r="BVT20" s="110"/>
      <c r="BVU20" s="110"/>
      <c r="BVV20" s="110"/>
      <c r="BVW20" s="110"/>
      <c r="BVX20" s="110"/>
      <c r="BVY20" s="110"/>
      <c r="BVZ20" s="110"/>
      <c r="BWA20" s="110"/>
      <c r="BWB20" s="110"/>
      <c r="BWC20" s="110"/>
      <c r="BWD20" s="110"/>
      <c r="BWE20" s="110"/>
      <c r="BWF20" s="110"/>
      <c r="BWG20" s="110"/>
      <c r="BWH20" s="110"/>
      <c r="BWI20" s="110"/>
      <c r="BWJ20" s="110"/>
      <c r="BWK20" s="110"/>
      <c r="BWL20" s="110"/>
      <c r="BWM20" s="110"/>
      <c r="BWN20" s="110"/>
      <c r="BWO20" s="110"/>
      <c r="BWP20" s="110"/>
      <c r="BWQ20" s="110"/>
      <c r="BWR20" s="110"/>
      <c r="BWS20" s="110"/>
      <c r="BWT20" s="110"/>
      <c r="BWU20" s="110"/>
      <c r="BWV20" s="110"/>
      <c r="BWW20" s="110"/>
      <c r="BWX20" s="110"/>
      <c r="BWY20" s="110"/>
      <c r="BWZ20" s="110"/>
      <c r="BXA20" s="110"/>
      <c r="BXB20" s="110"/>
      <c r="BXC20" s="110"/>
      <c r="BXD20" s="110"/>
      <c r="BXE20" s="110"/>
      <c r="BXF20" s="110"/>
      <c r="BXG20" s="110"/>
      <c r="BXH20" s="110"/>
      <c r="BXI20" s="110"/>
      <c r="BXJ20" s="110"/>
      <c r="BXK20" s="110"/>
      <c r="BXL20" s="110"/>
      <c r="BXM20" s="110"/>
      <c r="BXN20" s="110"/>
      <c r="BXO20" s="110"/>
      <c r="BXP20" s="110"/>
      <c r="BXQ20" s="110"/>
      <c r="BXR20" s="110"/>
      <c r="BXS20" s="110"/>
      <c r="BXT20" s="110"/>
      <c r="BXU20" s="110"/>
      <c r="BXV20" s="110"/>
      <c r="BXW20" s="110"/>
      <c r="BXX20" s="110"/>
      <c r="BXY20" s="110"/>
      <c r="BXZ20" s="110"/>
      <c r="BYA20" s="110"/>
      <c r="BYB20" s="110"/>
      <c r="BYC20" s="110"/>
      <c r="BYD20" s="110"/>
      <c r="BYE20" s="110"/>
      <c r="BYF20" s="110"/>
      <c r="BYG20" s="110"/>
      <c r="BYH20" s="110"/>
      <c r="BYI20" s="110"/>
      <c r="BYJ20" s="110"/>
      <c r="BYK20" s="110"/>
      <c r="BYL20" s="110"/>
      <c r="BYM20" s="110"/>
      <c r="BYN20" s="110"/>
      <c r="BYO20" s="110"/>
      <c r="BYP20" s="110"/>
      <c r="BYQ20" s="110"/>
      <c r="BYR20" s="110"/>
      <c r="BYS20" s="110"/>
      <c r="BYT20" s="110"/>
      <c r="BYU20" s="110"/>
      <c r="BYV20" s="110"/>
      <c r="BYW20" s="110"/>
      <c r="BYX20" s="110"/>
      <c r="BYY20" s="110"/>
      <c r="BYZ20" s="110"/>
      <c r="BZA20" s="110"/>
      <c r="BZB20" s="110"/>
      <c r="BZC20" s="110"/>
      <c r="BZD20" s="110"/>
      <c r="BZE20" s="110"/>
      <c r="BZF20" s="110"/>
      <c r="BZG20" s="110"/>
      <c r="BZH20" s="110"/>
      <c r="BZI20" s="110"/>
      <c r="BZJ20" s="110"/>
      <c r="BZK20" s="110"/>
      <c r="BZL20" s="110"/>
      <c r="BZM20" s="110"/>
      <c r="BZN20" s="110"/>
      <c r="BZO20" s="110"/>
      <c r="BZP20" s="110"/>
      <c r="BZQ20" s="110"/>
      <c r="BZR20" s="110"/>
      <c r="BZS20" s="110"/>
      <c r="BZT20" s="110"/>
      <c r="BZU20" s="110"/>
      <c r="BZV20" s="110"/>
      <c r="BZW20" s="110"/>
      <c r="BZX20" s="110"/>
      <c r="BZY20" s="110"/>
      <c r="BZZ20" s="110"/>
      <c r="CAA20" s="110"/>
      <c r="CAB20" s="110"/>
      <c r="CAC20" s="110"/>
      <c r="CAD20" s="110"/>
      <c r="CAE20" s="110"/>
      <c r="CAF20" s="110"/>
      <c r="CAG20" s="110"/>
      <c r="CAH20" s="110"/>
      <c r="CAI20" s="110"/>
      <c r="CAJ20" s="110"/>
      <c r="CAK20" s="110"/>
      <c r="CAL20" s="110"/>
      <c r="CAM20" s="110"/>
      <c r="CAN20" s="110"/>
      <c r="CAO20" s="110"/>
      <c r="CAP20" s="110"/>
      <c r="CAQ20" s="110"/>
      <c r="CAR20" s="110"/>
      <c r="CAS20" s="110"/>
      <c r="CAT20" s="110"/>
      <c r="CAU20" s="110"/>
      <c r="CAV20" s="110"/>
      <c r="CAW20" s="110"/>
      <c r="CAX20" s="110"/>
      <c r="CAY20" s="110"/>
      <c r="CAZ20" s="110"/>
      <c r="CBA20" s="110"/>
      <c r="CBB20" s="110"/>
      <c r="CBC20" s="110"/>
      <c r="CBD20" s="110"/>
      <c r="CBE20" s="110"/>
      <c r="CBF20" s="110"/>
      <c r="CBG20" s="110"/>
      <c r="CBH20" s="110"/>
      <c r="CBI20" s="110"/>
      <c r="CBJ20" s="110"/>
      <c r="CBK20" s="110"/>
      <c r="CBL20" s="110"/>
      <c r="CBM20" s="110"/>
      <c r="CBN20" s="110"/>
      <c r="CBO20" s="110"/>
      <c r="CBP20" s="110"/>
      <c r="CBQ20" s="110"/>
      <c r="CBR20" s="110"/>
      <c r="CBS20" s="110"/>
      <c r="CBT20" s="110"/>
      <c r="CBU20" s="110"/>
      <c r="CBV20" s="110"/>
      <c r="CBW20" s="110"/>
      <c r="CBX20" s="110"/>
      <c r="CBY20" s="110"/>
      <c r="CBZ20" s="110"/>
      <c r="CCA20" s="110"/>
      <c r="CCB20" s="110"/>
      <c r="CCC20" s="110"/>
      <c r="CCD20" s="110"/>
      <c r="CCE20" s="110"/>
      <c r="CCF20" s="110"/>
      <c r="CCG20" s="110"/>
      <c r="CCH20" s="110"/>
      <c r="CCI20" s="110"/>
      <c r="CCJ20" s="110"/>
      <c r="CCK20" s="110"/>
      <c r="CCL20" s="110"/>
      <c r="CCM20" s="110"/>
      <c r="CCN20" s="110"/>
      <c r="CCO20" s="110"/>
      <c r="CCP20" s="110"/>
      <c r="CCQ20" s="110"/>
      <c r="CCR20" s="110"/>
      <c r="CCS20" s="110"/>
      <c r="CCT20" s="110"/>
      <c r="CCU20" s="110"/>
      <c r="CCV20" s="110"/>
      <c r="CCW20" s="110"/>
      <c r="CCX20" s="110"/>
      <c r="CCY20" s="110"/>
      <c r="CCZ20" s="110"/>
      <c r="CDA20" s="110"/>
      <c r="CDB20" s="110"/>
      <c r="CDC20" s="110"/>
      <c r="CDD20" s="110"/>
      <c r="CDE20" s="110"/>
      <c r="CDF20" s="110"/>
      <c r="CDG20" s="110"/>
      <c r="CDH20" s="110"/>
      <c r="CDI20" s="110"/>
      <c r="CDJ20" s="110"/>
      <c r="CDK20" s="110"/>
      <c r="CDL20" s="110"/>
      <c r="CDM20" s="110"/>
      <c r="CDN20" s="110"/>
      <c r="CDO20" s="110"/>
      <c r="CDP20" s="110"/>
      <c r="CDQ20" s="110"/>
      <c r="CDR20" s="110"/>
      <c r="CDS20" s="110"/>
      <c r="CDT20" s="110"/>
      <c r="CDU20" s="110"/>
      <c r="CDV20" s="110"/>
      <c r="CDW20" s="110"/>
      <c r="CDX20" s="110"/>
      <c r="CDY20" s="110"/>
      <c r="CDZ20" s="110"/>
      <c r="CEA20" s="110"/>
      <c r="CEB20" s="110"/>
      <c r="CEC20" s="110"/>
      <c r="CED20" s="110"/>
      <c r="CEE20" s="110"/>
      <c r="CEF20" s="110"/>
      <c r="CEG20" s="110"/>
      <c r="CEH20" s="110"/>
      <c r="CEI20" s="110"/>
      <c r="CEJ20" s="110"/>
      <c r="CEK20" s="110"/>
      <c r="CEL20" s="110"/>
      <c r="CEM20" s="110"/>
      <c r="CEN20" s="110"/>
      <c r="CEO20" s="110"/>
      <c r="CEP20" s="110"/>
      <c r="CEQ20" s="110"/>
      <c r="CER20" s="110"/>
      <c r="CES20" s="110"/>
      <c r="CET20" s="110"/>
      <c r="CEU20" s="110"/>
      <c r="CEV20" s="110"/>
      <c r="CEW20" s="110"/>
      <c r="CEX20" s="110"/>
      <c r="CEY20" s="110"/>
      <c r="CEZ20" s="110"/>
      <c r="CFA20" s="110"/>
      <c r="CFB20" s="110"/>
      <c r="CFC20" s="110"/>
      <c r="CFD20" s="110"/>
      <c r="CFE20" s="110"/>
      <c r="CFF20" s="110"/>
      <c r="CFG20" s="110"/>
      <c r="CFH20" s="110"/>
      <c r="CFI20" s="110"/>
      <c r="CFJ20" s="110"/>
      <c r="CFK20" s="110"/>
      <c r="CFL20" s="110"/>
      <c r="CFM20" s="110"/>
      <c r="CFN20" s="110"/>
      <c r="CFO20" s="110"/>
      <c r="CFP20" s="110"/>
      <c r="CFQ20" s="110"/>
      <c r="CFR20" s="110"/>
      <c r="CFS20" s="110"/>
      <c r="CFT20" s="110"/>
      <c r="CFU20" s="110"/>
      <c r="CFV20" s="110"/>
      <c r="CFW20" s="110"/>
      <c r="CFX20" s="110"/>
      <c r="CFY20" s="110"/>
      <c r="CFZ20" s="110"/>
      <c r="CGA20" s="110"/>
      <c r="CGB20" s="110"/>
      <c r="CGC20" s="110"/>
      <c r="CGD20" s="110"/>
      <c r="CGE20" s="110"/>
      <c r="CGF20" s="110"/>
      <c r="CGG20" s="110"/>
      <c r="CGH20" s="110"/>
      <c r="CGI20" s="110"/>
      <c r="CGJ20" s="110"/>
      <c r="CGK20" s="110"/>
      <c r="CGL20" s="110"/>
      <c r="CGM20" s="110"/>
      <c r="CGN20" s="110"/>
      <c r="CGO20" s="110"/>
      <c r="CGP20" s="110"/>
      <c r="CGQ20" s="110"/>
      <c r="CGR20" s="110"/>
      <c r="CGS20" s="110"/>
      <c r="CGT20" s="110"/>
      <c r="CGU20" s="110"/>
      <c r="CGV20" s="110"/>
      <c r="CGW20" s="110"/>
      <c r="CGX20" s="110"/>
      <c r="CGY20" s="110"/>
      <c r="CGZ20" s="110"/>
      <c r="CHA20" s="110"/>
      <c r="CHB20" s="110"/>
      <c r="CHC20" s="110"/>
      <c r="CHD20" s="110"/>
      <c r="CHE20" s="110"/>
      <c r="CHF20" s="110"/>
      <c r="CHG20" s="110"/>
      <c r="CHH20" s="110"/>
      <c r="CHI20" s="110"/>
      <c r="CHJ20" s="110"/>
      <c r="CHK20" s="110"/>
      <c r="CHL20" s="110"/>
      <c r="CHM20" s="110"/>
      <c r="CHN20" s="110"/>
      <c r="CHO20" s="110"/>
      <c r="CHP20" s="110"/>
      <c r="CHQ20" s="110"/>
      <c r="CHR20" s="110"/>
      <c r="CHS20" s="110"/>
      <c r="CHT20" s="110"/>
      <c r="CHU20" s="110"/>
      <c r="CHV20" s="110"/>
      <c r="CHW20" s="110"/>
      <c r="CHX20" s="110"/>
      <c r="CHY20" s="110"/>
      <c r="CHZ20" s="110"/>
      <c r="CIA20" s="110"/>
      <c r="CIB20" s="110"/>
      <c r="CIC20" s="110"/>
      <c r="CID20" s="110"/>
      <c r="CIE20" s="110"/>
      <c r="CIF20" s="110"/>
      <c r="CIG20" s="110"/>
      <c r="CIH20" s="110"/>
      <c r="CII20" s="110"/>
      <c r="CIJ20" s="110"/>
      <c r="CIK20" s="110"/>
      <c r="CIL20" s="110"/>
      <c r="CIM20" s="110"/>
      <c r="CIN20" s="110"/>
      <c r="CIO20" s="110"/>
      <c r="CIP20" s="110"/>
      <c r="CIQ20" s="110"/>
      <c r="CIR20" s="110"/>
      <c r="CIS20" s="110"/>
      <c r="CIT20" s="110"/>
      <c r="CIU20" s="110"/>
      <c r="CIV20" s="110"/>
      <c r="CIW20" s="110"/>
      <c r="CIX20" s="110"/>
      <c r="CIY20" s="110"/>
      <c r="CIZ20" s="110"/>
      <c r="CJA20" s="110"/>
      <c r="CJB20" s="110"/>
      <c r="CJC20" s="110"/>
      <c r="CJD20" s="110"/>
      <c r="CJE20" s="110"/>
      <c r="CJF20" s="110"/>
      <c r="CJG20" s="110"/>
      <c r="CJH20" s="110"/>
      <c r="CJI20" s="110"/>
      <c r="CJJ20" s="110"/>
      <c r="CJK20" s="110"/>
      <c r="CJL20" s="110"/>
      <c r="CJM20" s="110"/>
      <c r="CJN20" s="110"/>
      <c r="CJO20" s="110"/>
      <c r="CJP20" s="110"/>
      <c r="CJQ20" s="110"/>
      <c r="CJR20" s="110"/>
      <c r="CJS20" s="110"/>
      <c r="CJT20" s="110"/>
      <c r="CJU20" s="110"/>
      <c r="CJV20" s="110"/>
      <c r="CJW20" s="110"/>
      <c r="CJX20" s="110"/>
      <c r="CJY20" s="110"/>
      <c r="CJZ20" s="110"/>
      <c r="CKA20" s="110"/>
      <c r="CKB20" s="110"/>
      <c r="CKC20" s="110"/>
      <c r="CKD20" s="110"/>
      <c r="CKE20" s="110"/>
      <c r="CKF20" s="110"/>
      <c r="CKG20" s="110"/>
      <c r="CKH20" s="110"/>
      <c r="CKI20" s="110"/>
      <c r="CKJ20" s="110"/>
      <c r="CKK20" s="110"/>
      <c r="CKL20" s="110"/>
      <c r="CKM20" s="110"/>
      <c r="CKN20" s="110"/>
      <c r="CKO20" s="110"/>
      <c r="CKP20" s="110"/>
      <c r="CKQ20" s="110"/>
      <c r="CKR20" s="110"/>
      <c r="CKS20" s="110"/>
      <c r="CKT20" s="110"/>
      <c r="CKU20" s="110"/>
      <c r="CKV20" s="110"/>
      <c r="CKW20" s="110"/>
      <c r="CKX20" s="110"/>
      <c r="CKY20" s="110"/>
      <c r="CKZ20" s="110"/>
      <c r="CLA20" s="110"/>
      <c r="CLB20" s="110"/>
      <c r="CLC20" s="110"/>
      <c r="CLD20" s="110"/>
      <c r="CLE20" s="110"/>
      <c r="CLF20" s="110"/>
      <c r="CLG20" s="110"/>
      <c r="CLH20" s="110"/>
      <c r="CLI20" s="110"/>
      <c r="CLJ20" s="110"/>
      <c r="CLK20" s="110"/>
      <c r="CLL20" s="110"/>
      <c r="CLM20" s="110"/>
      <c r="CLN20" s="110"/>
      <c r="CLO20" s="110"/>
      <c r="CLP20" s="110"/>
      <c r="CLQ20" s="110"/>
      <c r="CLR20" s="110"/>
      <c r="CLS20" s="110"/>
      <c r="CLT20" s="110"/>
      <c r="CLU20" s="110"/>
      <c r="CLV20" s="110"/>
      <c r="CLW20" s="110"/>
      <c r="CLX20" s="110"/>
      <c r="CLY20" s="110"/>
      <c r="CLZ20" s="110"/>
      <c r="CMA20" s="110"/>
      <c r="CMB20" s="110"/>
      <c r="CMC20" s="110"/>
      <c r="CMD20" s="110"/>
      <c r="CME20" s="110"/>
      <c r="CMF20" s="110"/>
      <c r="CMG20" s="110"/>
      <c r="CMH20" s="110"/>
      <c r="CMI20" s="110"/>
      <c r="CMJ20" s="110"/>
      <c r="CMK20" s="110"/>
      <c r="CML20" s="110"/>
      <c r="CMM20" s="110"/>
      <c r="CMN20" s="110"/>
      <c r="CMO20" s="110"/>
      <c r="CMP20" s="110"/>
      <c r="CMQ20" s="110"/>
      <c r="CMR20" s="110"/>
      <c r="CMS20" s="110"/>
      <c r="CMT20" s="110"/>
      <c r="CMU20" s="110"/>
      <c r="CMV20" s="110"/>
      <c r="CMW20" s="110"/>
      <c r="CMX20" s="110"/>
      <c r="CMY20" s="110"/>
      <c r="CMZ20" s="110"/>
      <c r="CNA20" s="110"/>
      <c r="CNB20" s="110"/>
      <c r="CNC20" s="110"/>
      <c r="CND20" s="110"/>
      <c r="CNE20" s="110"/>
      <c r="CNF20" s="110"/>
      <c r="CNG20" s="110"/>
      <c r="CNH20" s="110"/>
      <c r="CNI20" s="110"/>
      <c r="CNJ20" s="110"/>
      <c r="CNK20" s="110"/>
      <c r="CNL20" s="110"/>
      <c r="CNM20" s="110"/>
      <c r="CNN20" s="110"/>
      <c r="CNO20" s="110"/>
      <c r="CNP20" s="110"/>
      <c r="CNQ20" s="110"/>
      <c r="CNR20" s="110"/>
      <c r="CNS20" s="110"/>
      <c r="CNT20" s="110"/>
      <c r="CNU20" s="110"/>
      <c r="CNV20" s="110"/>
      <c r="CNW20" s="110"/>
      <c r="CNX20" s="110"/>
      <c r="CNY20" s="110"/>
      <c r="CNZ20" s="110"/>
      <c r="COA20" s="110"/>
      <c r="COB20" s="110"/>
      <c r="COC20" s="110"/>
      <c r="COD20" s="110"/>
      <c r="COE20" s="110"/>
      <c r="COF20" s="110"/>
      <c r="COG20" s="110"/>
      <c r="COH20" s="110"/>
      <c r="COI20" s="110"/>
      <c r="COJ20" s="110"/>
      <c r="COK20" s="110"/>
      <c r="COL20" s="110"/>
      <c r="COM20" s="110"/>
      <c r="CON20" s="110"/>
      <c r="COO20" s="110"/>
      <c r="COP20" s="110"/>
      <c r="COQ20" s="110"/>
      <c r="COR20" s="110"/>
      <c r="COS20" s="110"/>
      <c r="COT20" s="110"/>
      <c r="COU20" s="110"/>
      <c r="COV20" s="110"/>
      <c r="COW20" s="110"/>
      <c r="COX20" s="110"/>
      <c r="COY20" s="110"/>
      <c r="COZ20" s="110"/>
      <c r="CPA20" s="110"/>
      <c r="CPB20" s="110"/>
      <c r="CPC20" s="110"/>
      <c r="CPD20" s="110"/>
      <c r="CPE20" s="110"/>
      <c r="CPF20" s="110"/>
      <c r="CPG20" s="110"/>
      <c r="CPH20" s="110"/>
      <c r="CPI20" s="110"/>
      <c r="CPJ20" s="110"/>
      <c r="CPK20" s="110"/>
      <c r="CPL20" s="110"/>
      <c r="CPM20" s="110"/>
      <c r="CPN20" s="110"/>
      <c r="CPO20" s="110"/>
      <c r="CPP20" s="110"/>
      <c r="CPQ20" s="110"/>
      <c r="CPR20" s="110"/>
      <c r="CPS20" s="110"/>
      <c r="CPT20" s="110"/>
      <c r="CPU20" s="110"/>
      <c r="CPV20" s="110"/>
      <c r="CPW20" s="110"/>
      <c r="CPX20" s="110"/>
      <c r="CPY20" s="110"/>
      <c r="CPZ20" s="110"/>
      <c r="CQA20" s="110"/>
      <c r="CQB20" s="110"/>
      <c r="CQC20" s="110"/>
      <c r="CQD20" s="110"/>
      <c r="CQE20" s="110"/>
      <c r="CQF20" s="110"/>
      <c r="CQG20" s="110"/>
      <c r="CQH20" s="110"/>
      <c r="CQI20" s="110"/>
      <c r="CQJ20" s="110"/>
      <c r="CQK20" s="110"/>
      <c r="CQL20" s="110"/>
      <c r="CQM20" s="110"/>
      <c r="CQN20" s="110"/>
      <c r="CQO20" s="110"/>
      <c r="CQP20" s="110"/>
      <c r="CQQ20" s="110"/>
      <c r="CQR20" s="110"/>
      <c r="CQS20" s="110"/>
      <c r="CQT20" s="110"/>
      <c r="CQU20" s="110"/>
      <c r="CQV20" s="110"/>
      <c r="CQW20" s="110"/>
      <c r="CQX20" s="110"/>
      <c r="CQY20" s="110"/>
      <c r="CQZ20" s="110"/>
      <c r="CRA20" s="110"/>
      <c r="CRB20" s="110"/>
      <c r="CRC20" s="110"/>
      <c r="CRD20" s="110"/>
      <c r="CRE20" s="110"/>
      <c r="CRF20" s="110"/>
      <c r="CRG20" s="110"/>
      <c r="CRH20" s="110"/>
      <c r="CRI20" s="110"/>
      <c r="CRJ20" s="110"/>
      <c r="CRK20" s="110"/>
      <c r="CRL20" s="110"/>
      <c r="CRM20" s="110"/>
      <c r="CRN20" s="110"/>
      <c r="CRO20" s="110"/>
      <c r="CRP20" s="110"/>
      <c r="CRQ20" s="110"/>
      <c r="CRR20" s="110"/>
      <c r="CRS20" s="110"/>
      <c r="CRT20" s="110"/>
      <c r="CRU20" s="110"/>
      <c r="CRV20" s="110"/>
      <c r="CRW20" s="110"/>
      <c r="CRX20" s="110"/>
      <c r="CRY20" s="110"/>
      <c r="CRZ20" s="110"/>
      <c r="CSA20" s="110"/>
      <c r="CSB20" s="110"/>
      <c r="CSC20" s="110"/>
      <c r="CSD20" s="110"/>
      <c r="CSE20" s="110"/>
      <c r="CSF20" s="110"/>
      <c r="CSG20" s="110"/>
      <c r="CSH20" s="110"/>
      <c r="CSI20" s="110"/>
      <c r="CSJ20" s="110"/>
      <c r="CSK20" s="110"/>
      <c r="CSL20" s="110"/>
      <c r="CSM20" s="110"/>
      <c r="CSN20" s="110"/>
      <c r="CSO20" s="110"/>
      <c r="CSP20" s="110"/>
      <c r="CSQ20" s="110"/>
      <c r="CSR20" s="110"/>
      <c r="CSS20" s="110"/>
      <c r="CST20" s="110"/>
      <c r="CSU20" s="110"/>
      <c r="CSV20" s="110"/>
      <c r="CSW20" s="110"/>
      <c r="CSX20" s="110"/>
      <c r="CSY20" s="110"/>
      <c r="CSZ20" s="110"/>
      <c r="CTA20" s="110"/>
      <c r="CTB20" s="110"/>
      <c r="CTC20" s="110"/>
      <c r="CTD20" s="110"/>
      <c r="CTE20" s="110"/>
      <c r="CTF20" s="110"/>
      <c r="CTG20" s="110"/>
      <c r="CTH20" s="110"/>
      <c r="CTI20" s="110"/>
      <c r="CTJ20" s="110"/>
      <c r="CTK20" s="110"/>
      <c r="CTL20" s="110"/>
      <c r="CTM20" s="110"/>
      <c r="CTN20" s="110"/>
      <c r="CTO20" s="110"/>
      <c r="CTP20" s="110"/>
      <c r="CTQ20" s="110"/>
      <c r="CTR20" s="110"/>
      <c r="CTS20" s="110"/>
      <c r="CTT20" s="110"/>
      <c r="CTU20" s="110"/>
      <c r="CTV20" s="110"/>
      <c r="CTW20" s="110"/>
      <c r="CTX20" s="110"/>
      <c r="CTY20" s="110"/>
      <c r="CTZ20" s="110"/>
      <c r="CUA20" s="110"/>
      <c r="CUB20" s="110"/>
      <c r="CUC20" s="110"/>
      <c r="CUD20" s="110"/>
      <c r="CUE20" s="110"/>
      <c r="CUF20" s="110"/>
      <c r="CUG20" s="110"/>
      <c r="CUH20" s="110"/>
      <c r="CUI20" s="110"/>
      <c r="CUJ20" s="110"/>
      <c r="CUK20" s="110"/>
      <c r="CUL20" s="110"/>
      <c r="CUM20" s="110"/>
      <c r="CUN20" s="110"/>
      <c r="CUO20" s="110"/>
      <c r="CUP20" s="110"/>
      <c r="CUQ20" s="110"/>
      <c r="CUR20" s="110"/>
      <c r="CUS20" s="110"/>
      <c r="CUT20" s="110"/>
      <c r="CUU20" s="110"/>
      <c r="CUV20" s="110"/>
      <c r="CUW20" s="110"/>
      <c r="CUX20" s="110"/>
      <c r="CUY20" s="110"/>
      <c r="CUZ20" s="110"/>
      <c r="CVA20" s="110"/>
      <c r="CVB20" s="110"/>
      <c r="CVC20" s="110"/>
      <c r="CVD20" s="110"/>
      <c r="CVE20" s="110"/>
      <c r="CVF20" s="110"/>
      <c r="CVG20" s="110"/>
      <c r="CVH20" s="110"/>
      <c r="CVI20" s="110"/>
      <c r="CVJ20" s="110"/>
      <c r="CVK20" s="110"/>
      <c r="CVL20" s="110"/>
      <c r="CVM20" s="110"/>
      <c r="CVN20" s="110"/>
      <c r="CVO20" s="110"/>
      <c r="CVP20" s="110"/>
      <c r="CVQ20" s="110"/>
      <c r="CVR20" s="110"/>
      <c r="CVS20" s="110"/>
      <c r="CVT20" s="110"/>
      <c r="CVU20" s="110"/>
      <c r="CVV20" s="110"/>
      <c r="CVW20" s="110"/>
      <c r="CVX20" s="110"/>
      <c r="CVY20" s="110"/>
      <c r="CVZ20" s="110"/>
      <c r="CWA20" s="110"/>
      <c r="CWB20" s="110"/>
      <c r="CWC20" s="110"/>
      <c r="CWD20" s="110"/>
      <c r="CWE20" s="110"/>
      <c r="CWF20" s="110"/>
      <c r="CWG20" s="110"/>
      <c r="CWH20" s="110"/>
      <c r="CWI20" s="110"/>
      <c r="CWJ20" s="110"/>
      <c r="CWK20" s="110"/>
      <c r="CWL20" s="110"/>
      <c r="CWM20" s="110"/>
      <c r="CWN20" s="110"/>
      <c r="CWO20" s="110"/>
      <c r="CWP20" s="110"/>
      <c r="CWQ20" s="110"/>
      <c r="CWR20" s="110"/>
      <c r="CWS20" s="110"/>
      <c r="CWT20" s="110"/>
      <c r="CWU20" s="110"/>
      <c r="CWV20" s="110"/>
      <c r="CWW20" s="110"/>
      <c r="CWX20" s="110"/>
      <c r="CWY20" s="110"/>
      <c r="CWZ20" s="110"/>
      <c r="CXA20" s="110"/>
      <c r="CXB20" s="110"/>
      <c r="CXC20" s="110"/>
      <c r="CXD20" s="110"/>
      <c r="CXE20" s="110"/>
      <c r="CXF20" s="110"/>
      <c r="CXG20" s="110"/>
      <c r="CXH20" s="110"/>
      <c r="CXI20" s="110"/>
      <c r="CXJ20" s="110"/>
      <c r="CXK20" s="110"/>
      <c r="CXL20" s="110"/>
      <c r="CXM20" s="110"/>
      <c r="CXN20" s="110"/>
      <c r="CXO20" s="110"/>
      <c r="CXP20" s="110"/>
      <c r="CXQ20" s="110"/>
      <c r="CXR20" s="110"/>
      <c r="CXS20" s="110"/>
      <c r="CXT20" s="110"/>
      <c r="CXU20" s="110"/>
      <c r="CXV20" s="110"/>
      <c r="CXW20" s="110"/>
      <c r="CXX20" s="110"/>
      <c r="CXY20" s="110"/>
      <c r="CXZ20" s="110"/>
      <c r="CYA20" s="110"/>
      <c r="CYB20" s="110"/>
      <c r="CYC20" s="110"/>
      <c r="CYD20" s="110"/>
      <c r="CYE20" s="110"/>
      <c r="CYF20" s="110"/>
      <c r="CYG20" s="110"/>
      <c r="CYH20" s="110"/>
      <c r="CYI20" s="110"/>
      <c r="CYJ20" s="110"/>
      <c r="CYK20" s="110"/>
      <c r="CYL20" s="110"/>
      <c r="CYM20" s="110"/>
      <c r="CYN20" s="110"/>
      <c r="CYO20" s="110"/>
      <c r="CYP20" s="110"/>
      <c r="CYQ20" s="110"/>
      <c r="CYR20" s="110"/>
      <c r="CYS20" s="110"/>
      <c r="CYT20" s="110"/>
      <c r="CYU20" s="110"/>
      <c r="CYV20" s="110"/>
      <c r="CYW20" s="110"/>
      <c r="CYX20" s="110"/>
      <c r="CYY20" s="110"/>
      <c r="CYZ20" s="110"/>
      <c r="CZA20" s="110"/>
      <c r="CZB20" s="110"/>
      <c r="CZC20" s="110"/>
      <c r="CZD20" s="110"/>
      <c r="CZE20" s="110"/>
      <c r="CZF20" s="110"/>
      <c r="CZG20" s="110"/>
      <c r="CZH20" s="110"/>
      <c r="CZI20" s="110"/>
      <c r="CZJ20" s="110"/>
      <c r="CZK20" s="110"/>
      <c r="CZL20" s="110"/>
      <c r="CZM20" s="110"/>
      <c r="CZN20" s="110"/>
      <c r="CZO20" s="110"/>
      <c r="CZP20" s="110"/>
      <c r="CZQ20" s="110"/>
      <c r="CZR20" s="110"/>
      <c r="CZS20" s="110"/>
      <c r="CZT20" s="110"/>
      <c r="CZU20" s="110"/>
      <c r="CZV20" s="110"/>
      <c r="CZW20" s="110"/>
      <c r="CZX20" s="110"/>
      <c r="CZY20" s="110"/>
      <c r="CZZ20" s="110"/>
      <c r="DAA20" s="110"/>
      <c r="DAB20" s="110"/>
      <c r="DAC20" s="110"/>
      <c r="DAD20" s="110"/>
      <c r="DAE20" s="110"/>
      <c r="DAF20" s="110"/>
      <c r="DAG20" s="110"/>
      <c r="DAH20" s="110"/>
      <c r="DAI20" s="110"/>
      <c r="DAJ20" s="110"/>
      <c r="DAK20" s="110"/>
      <c r="DAL20" s="110"/>
      <c r="DAM20" s="110"/>
      <c r="DAN20" s="110"/>
      <c r="DAO20" s="110"/>
      <c r="DAP20" s="110"/>
      <c r="DAQ20" s="110"/>
      <c r="DAR20" s="110"/>
      <c r="DAS20" s="110"/>
      <c r="DAT20" s="110"/>
      <c r="DAU20" s="110"/>
      <c r="DAV20" s="110"/>
      <c r="DAW20" s="110"/>
      <c r="DAX20" s="110"/>
      <c r="DAY20" s="110"/>
      <c r="DAZ20" s="110"/>
      <c r="DBA20" s="110"/>
      <c r="DBB20" s="110"/>
      <c r="DBC20" s="110"/>
      <c r="DBD20" s="110"/>
      <c r="DBE20" s="110"/>
      <c r="DBF20" s="110"/>
      <c r="DBG20" s="110"/>
      <c r="DBH20" s="110"/>
      <c r="DBI20" s="110"/>
      <c r="DBJ20" s="110"/>
      <c r="DBK20" s="110"/>
      <c r="DBL20" s="110"/>
      <c r="DBM20" s="110"/>
      <c r="DBN20" s="110"/>
      <c r="DBO20" s="110"/>
      <c r="DBP20" s="110"/>
      <c r="DBQ20" s="110"/>
      <c r="DBR20" s="110"/>
      <c r="DBS20" s="110"/>
      <c r="DBT20" s="110"/>
      <c r="DBU20" s="110"/>
      <c r="DBV20" s="110"/>
      <c r="DBW20" s="110"/>
      <c r="DBX20" s="110"/>
      <c r="DBY20" s="110"/>
      <c r="DBZ20" s="110"/>
      <c r="DCA20" s="110"/>
      <c r="DCB20" s="110"/>
      <c r="DCC20" s="110"/>
      <c r="DCD20" s="110"/>
      <c r="DCE20" s="110"/>
      <c r="DCF20" s="110"/>
      <c r="DCG20" s="110"/>
      <c r="DCH20" s="110"/>
      <c r="DCI20" s="110"/>
      <c r="DCJ20" s="110"/>
      <c r="DCK20" s="110"/>
      <c r="DCL20" s="110"/>
      <c r="DCM20" s="110"/>
      <c r="DCN20" s="110"/>
      <c r="DCO20" s="110"/>
      <c r="DCP20" s="110"/>
      <c r="DCQ20" s="110"/>
      <c r="DCR20" s="110"/>
      <c r="DCS20" s="110"/>
      <c r="DCT20" s="110"/>
      <c r="DCU20" s="110"/>
      <c r="DCV20" s="110"/>
      <c r="DCW20" s="110"/>
      <c r="DCX20" s="110"/>
      <c r="DCY20" s="110"/>
      <c r="DCZ20" s="110"/>
      <c r="DDA20" s="110"/>
      <c r="DDB20" s="110"/>
      <c r="DDC20" s="110"/>
      <c r="DDD20" s="110"/>
      <c r="DDE20" s="110"/>
      <c r="DDF20" s="110"/>
      <c r="DDG20" s="110"/>
      <c r="DDH20" s="110"/>
      <c r="DDI20" s="110"/>
      <c r="DDJ20" s="110"/>
      <c r="DDK20" s="110"/>
      <c r="DDL20" s="110"/>
      <c r="DDM20" s="110"/>
      <c r="DDN20" s="110"/>
      <c r="DDO20" s="110"/>
      <c r="DDP20" s="110"/>
      <c r="DDQ20" s="110"/>
      <c r="DDR20" s="110"/>
      <c r="DDS20" s="110"/>
      <c r="DDT20" s="110"/>
      <c r="DDU20" s="110"/>
      <c r="DDV20" s="110"/>
      <c r="DDW20" s="110"/>
      <c r="DDX20" s="110"/>
      <c r="DDY20" s="110"/>
      <c r="DDZ20" s="110"/>
      <c r="DEA20" s="110"/>
      <c r="DEB20" s="110"/>
      <c r="DEC20" s="110"/>
      <c r="DED20" s="110"/>
      <c r="DEE20" s="110"/>
      <c r="DEF20" s="110"/>
      <c r="DEG20" s="110"/>
      <c r="DEH20" s="110"/>
      <c r="DEI20" s="110"/>
      <c r="DEJ20" s="110"/>
      <c r="DEK20" s="110"/>
      <c r="DEL20" s="110"/>
      <c r="DEM20" s="110"/>
      <c r="DEN20" s="110"/>
      <c r="DEO20" s="110"/>
      <c r="DEP20" s="110"/>
      <c r="DEQ20" s="110"/>
      <c r="DER20" s="110"/>
      <c r="DES20" s="110"/>
      <c r="DET20" s="110"/>
      <c r="DEU20" s="110"/>
      <c r="DEV20" s="110"/>
      <c r="DEW20" s="110"/>
      <c r="DEX20" s="110"/>
      <c r="DEY20" s="110"/>
      <c r="DEZ20" s="110"/>
      <c r="DFA20" s="110"/>
      <c r="DFB20" s="110"/>
      <c r="DFC20" s="110"/>
      <c r="DFD20" s="110"/>
      <c r="DFE20" s="110"/>
      <c r="DFF20" s="110"/>
      <c r="DFG20" s="110"/>
      <c r="DFH20" s="110"/>
      <c r="DFI20" s="110"/>
      <c r="DFJ20" s="110"/>
      <c r="DFK20" s="110"/>
      <c r="DFL20" s="110"/>
      <c r="DFM20" s="110"/>
      <c r="DFN20" s="110"/>
      <c r="DFO20" s="110"/>
      <c r="DFP20" s="110"/>
      <c r="DFQ20" s="110"/>
      <c r="DFR20" s="110"/>
      <c r="DFS20" s="110"/>
      <c r="DFT20" s="110"/>
      <c r="DFU20" s="110"/>
      <c r="DFV20" s="110"/>
      <c r="DFW20" s="110"/>
      <c r="DFX20" s="110"/>
      <c r="DFY20" s="110"/>
      <c r="DFZ20" s="110"/>
      <c r="DGA20" s="110"/>
      <c r="DGB20" s="110"/>
      <c r="DGC20" s="110"/>
      <c r="DGD20" s="110"/>
      <c r="DGE20" s="110"/>
      <c r="DGF20" s="110"/>
      <c r="DGG20" s="110"/>
      <c r="DGH20" s="110"/>
      <c r="DGI20" s="110"/>
      <c r="DGJ20" s="110"/>
      <c r="DGK20" s="110"/>
      <c r="DGL20" s="110"/>
      <c r="DGM20" s="110"/>
      <c r="DGN20" s="110"/>
      <c r="DGO20" s="110"/>
      <c r="DGP20" s="110"/>
      <c r="DGQ20" s="110"/>
      <c r="DGR20" s="110"/>
      <c r="DGS20" s="110"/>
      <c r="DGT20" s="110"/>
      <c r="DGU20" s="110"/>
      <c r="DGV20" s="110"/>
      <c r="DGW20" s="110"/>
      <c r="DGX20" s="110"/>
      <c r="DGY20" s="110"/>
      <c r="DGZ20" s="110"/>
      <c r="DHA20" s="110"/>
      <c r="DHB20" s="110"/>
      <c r="DHC20" s="110"/>
      <c r="DHD20" s="110"/>
      <c r="DHE20" s="110"/>
      <c r="DHF20" s="110"/>
      <c r="DHG20" s="110"/>
      <c r="DHH20" s="110"/>
      <c r="DHI20" s="110"/>
      <c r="DHJ20" s="110"/>
      <c r="DHK20" s="110"/>
      <c r="DHL20" s="110"/>
      <c r="DHM20" s="110"/>
      <c r="DHN20" s="110"/>
      <c r="DHO20" s="110"/>
      <c r="DHP20" s="110"/>
      <c r="DHQ20" s="110"/>
      <c r="DHR20" s="110"/>
      <c r="DHS20" s="110"/>
      <c r="DHT20" s="110"/>
      <c r="DHU20" s="110"/>
      <c r="DHV20" s="110"/>
      <c r="DHW20" s="110"/>
      <c r="DHX20" s="110"/>
      <c r="DHY20" s="110"/>
      <c r="DHZ20" s="110"/>
      <c r="DIA20" s="110"/>
      <c r="DIB20" s="110"/>
      <c r="DIC20" s="110"/>
      <c r="DID20" s="110"/>
      <c r="DIE20" s="110"/>
      <c r="DIF20" s="110"/>
      <c r="DIG20" s="110"/>
      <c r="DIH20" s="110"/>
      <c r="DII20" s="110"/>
      <c r="DIJ20" s="110"/>
      <c r="DIK20" s="110"/>
      <c r="DIL20" s="110"/>
      <c r="DIM20" s="110"/>
      <c r="DIN20" s="110"/>
      <c r="DIO20" s="110"/>
      <c r="DIP20" s="110"/>
      <c r="DIQ20" s="110"/>
      <c r="DIR20" s="110"/>
      <c r="DIS20" s="110"/>
      <c r="DIT20" s="110"/>
      <c r="DIU20" s="110"/>
      <c r="DIV20" s="110"/>
      <c r="DIW20" s="110"/>
      <c r="DIX20" s="110"/>
      <c r="DIY20" s="110"/>
      <c r="DIZ20" s="110"/>
      <c r="DJA20" s="110"/>
      <c r="DJB20" s="110"/>
      <c r="DJC20" s="110"/>
      <c r="DJD20" s="110"/>
      <c r="DJE20" s="110"/>
      <c r="DJF20" s="110"/>
      <c r="DJG20" s="110"/>
      <c r="DJH20" s="110"/>
      <c r="DJI20" s="110"/>
      <c r="DJJ20" s="110"/>
      <c r="DJK20" s="110"/>
      <c r="DJL20" s="110"/>
      <c r="DJM20" s="110"/>
      <c r="DJN20" s="110"/>
      <c r="DJO20" s="110"/>
      <c r="DJP20" s="110"/>
      <c r="DJQ20" s="110"/>
      <c r="DJR20" s="110"/>
      <c r="DJS20" s="110"/>
      <c r="DJT20" s="110"/>
      <c r="DJU20" s="110"/>
      <c r="DJV20" s="110"/>
      <c r="DJW20" s="110"/>
      <c r="DJX20" s="110"/>
      <c r="DJY20" s="110"/>
      <c r="DJZ20" s="110"/>
      <c r="DKA20" s="110"/>
      <c r="DKB20" s="110"/>
      <c r="DKC20" s="110"/>
      <c r="DKD20" s="110"/>
      <c r="DKE20" s="110"/>
      <c r="DKF20" s="110"/>
      <c r="DKG20" s="110"/>
      <c r="DKH20" s="110"/>
      <c r="DKI20" s="110"/>
      <c r="DKJ20" s="110"/>
      <c r="DKK20" s="110"/>
      <c r="DKL20" s="110"/>
      <c r="DKM20" s="110"/>
      <c r="DKN20" s="110"/>
      <c r="DKO20" s="110"/>
      <c r="DKP20" s="110"/>
      <c r="DKQ20" s="110"/>
      <c r="DKR20" s="110"/>
      <c r="DKS20" s="110"/>
      <c r="DKT20" s="110"/>
      <c r="DKU20" s="110"/>
      <c r="DKV20" s="110"/>
      <c r="DKW20" s="110"/>
      <c r="DKX20" s="110"/>
      <c r="DKY20" s="110"/>
      <c r="DKZ20" s="110"/>
      <c r="DLA20" s="110"/>
      <c r="DLB20" s="110"/>
      <c r="DLC20" s="110"/>
      <c r="DLD20" s="110"/>
      <c r="DLE20" s="110"/>
      <c r="DLF20" s="110"/>
      <c r="DLG20" s="110"/>
      <c r="DLH20" s="110"/>
      <c r="DLI20" s="110"/>
      <c r="DLJ20" s="110"/>
      <c r="DLK20" s="110"/>
      <c r="DLL20" s="110"/>
      <c r="DLM20" s="110"/>
      <c r="DLN20" s="110"/>
      <c r="DLO20" s="110"/>
      <c r="DLP20" s="110"/>
      <c r="DLQ20" s="110"/>
      <c r="DLR20" s="110"/>
      <c r="DLS20" s="110"/>
      <c r="DLT20" s="110"/>
      <c r="DLU20" s="110"/>
      <c r="DLV20" s="110"/>
      <c r="DLW20" s="110"/>
      <c r="DLX20" s="110"/>
      <c r="DLY20" s="110"/>
      <c r="DLZ20" s="110"/>
      <c r="DMA20" s="110"/>
      <c r="DMB20" s="110"/>
      <c r="DMC20" s="110"/>
      <c r="DMD20" s="110"/>
      <c r="DME20" s="110"/>
      <c r="DMF20" s="110"/>
      <c r="DMG20" s="110"/>
      <c r="DMH20" s="110"/>
      <c r="DMI20" s="110"/>
      <c r="DMJ20" s="110"/>
      <c r="DMK20" s="110"/>
      <c r="DML20" s="110"/>
      <c r="DMM20" s="110"/>
      <c r="DMN20" s="110"/>
      <c r="DMO20" s="110"/>
      <c r="DMP20" s="110"/>
      <c r="DMQ20" s="110"/>
      <c r="DMR20" s="110"/>
      <c r="DMS20" s="110"/>
      <c r="DMT20" s="110"/>
      <c r="DMU20" s="110"/>
      <c r="DMV20" s="110"/>
      <c r="DMW20" s="110"/>
      <c r="DMX20" s="110"/>
      <c r="DMY20" s="110"/>
      <c r="DMZ20" s="110"/>
      <c r="DNA20" s="110"/>
      <c r="DNB20" s="110"/>
      <c r="DNC20" s="110"/>
      <c r="DND20" s="110"/>
      <c r="DNE20" s="110"/>
      <c r="DNF20" s="110"/>
      <c r="DNG20" s="110"/>
      <c r="DNH20" s="110"/>
      <c r="DNI20" s="110"/>
      <c r="DNJ20" s="110"/>
      <c r="DNK20" s="110"/>
      <c r="DNL20" s="110"/>
      <c r="DNM20" s="110"/>
      <c r="DNN20" s="110"/>
      <c r="DNO20" s="110"/>
      <c r="DNP20" s="110"/>
      <c r="DNQ20" s="110"/>
      <c r="DNR20" s="110"/>
      <c r="DNS20" s="110"/>
      <c r="DNT20" s="110"/>
      <c r="DNU20" s="110"/>
      <c r="DNV20" s="110"/>
      <c r="DNW20" s="110"/>
      <c r="DNX20" s="110"/>
      <c r="DNY20" s="110"/>
      <c r="DNZ20" s="110"/>
      <c r="DOA20" s="110"/>
      <c r="DOB20" s="110"/>
      <c r="DOC20" s="110"/>
      <c r="DOD20" s="110"/>
      <c r="DOE20" s="110"/>
      <c r="DOF20" s="110"/>
      <c r="DOG20" s="110"/>
      <c r="DOH20" s="110"/>
      <c r="DOI20" s="110"/>
      <c r="DOJ20" s="110"/>
      <c r="DOK20" s="110"/>
      <c r="DOL20" s="110"/>
      <c r="DOM20" s="110"/>
      <c r="DON20" s="110"/>
      <c r="DOO20" s="110"/>
      <c r="DOP20" s="110"/>
      <c r="DOQ20" s="110"/>
      <c r="DOR20" s="110"/>
      <c r="DOS20" s="110"/>
      <c r="DOT20" s="110"/>
      <c r="DOU20" s="110"/>
      <c r="DOV20" s="110"/>
      <c r="DOW20" s="110"/>
      <c r="DOX20" s="110"/>
      <c r="DOY20" s="110"/>
      <c r="DOZ20" s="110"/>
      <c r="DPA20" s="110"/>
      <c r="DPB20" s="110"/>
      <c r="DPC20" s="110"/>
      <c r="DPD20" s="110"/>
      <c r="DPE20" s="110"/>
      <c r="DPF20" s="110"/>
      <c r="DPG20" s="110"/>
      <c r="DPH20" s="110"/>
      <c r="DPI20" s="110"/>
      <c r="DPJ20" s="110"/>
      <c r="DPK20" s="110"/>
      <c r="DPL20" s="110"/>
      <c r="DPM20" s="110"/>
      <c r="DPN20" s="110"/>
      <c r="DPO20" s="110"/>
      <c r="DPP20" s="110"/>
      <c r="DPQ20" s="110"/>
      <c r="DPR20" s="110"/>
      <c r="DPS20" s="110"/>
      <c r="DPT20" s="110"/>
      <c r="DPU20" s="110"/>
      <c r="DPV20" s="110"/>
      <c r="DPW20" s="110"/>
      <c r="DPX20" s="110"/>
      <c r="DPY20" s="110"/>
      <c r="DPZ20" s="110"/>
      <c r="DQA20" s="110"/>
      <c r="DQB20" s="110"/>
      <c r="DQC20" s="110"/>
      <c r="DQD20" s="110"/>
      <c r="DQE20" s="110"/>
      <c r="DQF20" s="110"/>
      <c r="DQG20" s="110"/>
      <c r="DQH20" s="110"/>
      <c r="DQI20" s="110"/>
      <c r="DQJ20" s="110"/>
      <c r="DQK20" s="110"/>
      <c r="DQL20" s="110"/>
      <c r="DQM20" s="110"/>
      <c r="DQN20" s="110"/>
      <c r="DQO20" s="110"/>
      <c r="DQP20" s="110"/>
      <c r="DQQ20" s="110"/>
      <c r="DQR20" s="110"/>
      <c r="DQS20" s="110"/>
      <c r="DQT20" s="110"/>
      <c r="DQU20" s="110"/>
      <c r="DQV20" s="110"/>
      <c r="DQW20" s="110"/>
      <c r="DQX20" s="110"/>
      <c r="DQY20" s="110"/>
      <c r="DQZ20" s="110"/>
      <c r="DRA20" s="110"/>
      <c r="DRB20" s="110"/>
      <c r="DRC20" s="110"/>
      <c r="DRD20" s="110"/>
      <c r="DRE20" s="110"/>
      <c r="DRF20" s="110"/>
      <c r="DRG20" s="110"/>
      <c r="DRH20" s="110"/>
      <c r="DRI20" s="110"/>
      <c r="DRJ20" s="110"/>
      <c r="DRK20" s="110"/>
      <c r="DRL20" s="110"/>
      <c r="DRM20" s="110"/>
      <c r="DRN20" s="110"/>
      <c r="DRO20" s="110"/>
      <c r="DRP20" s="110"/>
      <c r="DRQ20" s="110"/>
      <c r="DRR20" s="110"/>
      <c r="DRS20" s="110"/>
      <c r="DRT20" s="110"/>
      <c r="DRU20" s="110"/>
      <c r="DRV20" s="110"/>
      <c r="DRW20" s="110"/>
      <c r="DRX20" s="110"/>
      <c r="DRY20" s="110"/>
      <c r="DRZ20" s="110"/>
      <c r="DSA20" s="110"/>
      <c r="DSB20" s="110"/>
      <c r="DSC20" s="110"/>
      <c r="DSD20" s="110"/>
      <c r="DSE20" s="110"/>
      <c r="DSF20" s="110"/>
      <c r="DSG20" s="110"/>
      <c r="DSH20" s="110"/>
      <c r="DSI20" s="110"/>
      <c r="DSJ20" s="110"/>
      <c r="DSK20" s="110"/>
      <c r="DSL20" s="110"/>
      <c r="DSM20" s="110"/>
      <c r="DSN20" s="110"/>
      <c r="DSO20" s="110"/>
      <c r="DSP20" s="110"/>
      <c r="DSQ20" s="110"/>
      <c r="DSR20" s="110"/>
      <c r="DSS20" s="110"/>
      <c r="DST20" s="110"/>
      <c r="DSU20" s="110"/>
      <c r="DSV20" s="110"/>
      <c r="DSW20" s="110"/>
      <c r="DSX20" s="110"/>
      <c r="DSY20" s="110"/>
      <c r="DSZ20" s="110"/>
      <c r="DTA20" s="110"/>
      <c r="DTB20" s="110"/>
      <c r="DTC20" s="110"/>
      <c r="DTD20" s="110"/>
      <c r="DTE20" s="110"/>
      <c r="DTF20" s="110"/>
      <c r="DTG20" s="110"/>
      <c r="DTH20" s="110"/>
      <c r="DTI20" s="110"/>
      <c r="DTJ20" s="110"/>
      <c r="DTK20" s="110"/>
      <c r="DTL20" s="110"/>
      <c r="DTM20" s="110"/>
      <c r="DTN20" s="110"/>
      <c r="DTO20" s="110"/>
      <c r="DTP20" s="110"/>
      <c r="DTQ20" s="110"/>
      <c r="DTR20" s="110"/>
      <c r="DTS20" s="110"/>
      <c r="DTT20" s="110"/>
      <c r="DTU20" s="110"/>
      <c r="DTV20" s="110"/>
      <c r="DTW20" s="110"/>
      <c r="DTX20" s="110"/>
      <c r="DTY20" s="110"/>
      <c r="DTZ20" s="110"/>
      <c r="DUA20" s="110"/>
      <c r="DUB20" s="110"/>
      <c r="DUC20" s="110"/>
      <c r="DUD20" s="110"/>
      <c r="DUE20" s="110"/>
      <c r="DUF20" s="110"/>
      <c r="DUG20" s="110"/>
      <c r="DUH20" s="110"/>
      <c r="DUI20" s="110"/>
      <c r="DUJ20" s="110"/>
      <c r="DUK20" s="110"/>
      <c r="DUL20" s="110"/>
      <c r="DUM20" s="110"/>
      <c r="DUN20" s="110"/>
      <c r="DUO20" s="110"/>
      <c r="DUP20" s="110"/>
      <c r="DUQ20" s="110"/>
      <c r="DUR20" s="110"/>
      <c r="DUS20" s="110"/>
      <c r="DUT20" s="110"/>
      <c r="DUU20" s="110"/>
      <c r="DUV20" s="110"/>
      <c r="DUW20" s="110"/>
      <c r="DUX20" s="110"/>
      <c r="DUY20" s="110"/>
      <c r="DUZ20" s="110"/>
      <c r="DVA20" s="110"/>
      <c r="DVB20" s="110"/>
      <c r="DVC20" s="110"/>
      <c r="DVD20" s="110"/>
      <c r="DVE20" s="110"/>
      <c r="DVF20" s="110"/>
      <c r="DVG20" s="110"/>
      <c r="DVH20" s="110"/>
      <c r="DVI20" s="110"/>
      <c r="DVJ20" s="110"/>
      <c r="DVK20" s="110"/>
      <c r="DVL20" s="110"/>
      <c r="DVM20" s="110"/>
      <c r="DVN20" s="110"/>
      <c r="DVO20" s="110"/>
      <c r="DVP20" s="110"/>
      <c r="DVQ20" s="110"/>
      <c r="DVR20" s="110"/>
      <c r="DVS20" s="110"/>
      <c r="DVT20" s="110"/>
      <c r="DVU20" s="110"/>
      <c r="DVV20" s="110"/>
      <c r="DVW20" s="110"/>
      <c r="DVX20" s="110"/>
      <c r="DVY20" s="110"/>
      <c r="DVZ20" s="110"/>
      <c r="DWA20" s="110"/>
      <c r="DWB20" s="110"/>
      <c r="DWC20" s="110"/>
      <c r="DWD20" s="110"/>
      <c r="DWE20" s="110"/>
      <c r="DWF20" s="110"/>
      <c r="DWG20" s="110"/>
      <c r="DWH20" s="110"/>
      <c r="DWI20" s="110"/>
      <c r="DWJ20" s="110"/>
      <c r="DWK20" s="110"/>
      <c r="DWL20" s="110"/>
      <c r="DWM20" s="110"/>
      <c r="DWN20" s="110"/>
      <c r="DWO20" s="110"/>
      <c r="DWP20" s="110"/>
      <c r="DWQ20" s="110"/>
      <c r="DWR20" s="110"/>
      <c r="DWS20" s="110"/>
      <c r="DWT20" s="110"/>
      <c r="DWU20" s="110"/>
      <c r="DWV20" s="110"/>
      <c r="DWW20" s="110"/>
      <c r="DWX20" s="110"/>
      <c r="DWY20" s="110"/>
      <c r="DWZ20" s="110"/>
      <c r="DXA20" s="110"/>
      <c r="DXB20" s="110"/>
      <c r="DXC20" s="110"/>
      <c r="DXD20" s="110"/>
      <c r="DXE20" s="110"/>
      <c r="DXF20" s="110"/>
      <c r="DXG20" s="110"/>
      <c r="DXH20" s="110"/>
      <c r="DXI20" s="110"/>
      <c r="DXJ20" s="110"/>
      <c r="DXK20" s="110"/>
      <c r="DXL20" s="110"/>
      <c r="DXM20" s="110"/>
      <c r="DXN20" s="110"/>
      <c r="DXO20" s="110"/>
      <c r="DXP20" s="110"/>
      <c r="DXQ20" s="110"/>
      <c r="DXR20" s="110"/>
      <c r="DXS20" s="110"/>
      <c r="DXT20" s="110"/>
      <c r="DXU20" s="110"/>
      <c r="DXV20" s="110"/>
      <c r="DXW20" s="110"/>
      <c r="DXX20" s="110"/>
      <c r="DXY20" s="110"/>
      <c r="DXZ20" s="110"/>
      <c r="DYA20" s="110"/>
      <c r="DYB20" s="110"/>
      <c r="DYC20" s="110"/>
      <c r="DYD20" s="110"/>
      <c r="DYE20" s="110"/>
      <c r="DYF20" s="110"/>
      <c r="DYG20" s="110"/>
      <c r="DYH20" s="110"/>
      <c r="DYI20" s="110"/>
      <c r="DYJ20" s="110"/>
      <c r="DYK20" s="110"/>
      <c r="DYL20" s="110"/>
      <c r="DYM20" s="110"/>
      <c r="DYN20" s="110"/>
      <c r="DYO20" s="110"/>
      <c r="DYP20" s="110"/>
      <c r="DYQ20" s="110"/>
      <c r="DYR20" s="110"/>
      <c r="DYS20" s="110"/>
      <c r="DYT20" s="110"/>
      <c r="DYU20" s="110"/>
      <c r="DYV20" s="110"/>
      <c r="DYW20" s="110"/>
      <c r="DYX20" s="110"/>
      <c r="DYY20" s="110"/>
      <c r="DYZ20" s="110"/>
      <c r="DZA20" s="110"/>
      <c r="DZB20" s="110"/>
      <c r="DZC20" s="110"/>
      <c r="DZD20" s="110"/>
      <c r="DZE20" s="110"/>
      <c r="DZF20" s="110"/>
      <c r="DZG20" s="110"/>
      <c r="DZH20" s="110"/>
      <c r="DZI20" s="110"/>
      <c r="DZJ20" s="110"/>
      <c r="DZK20" s="110"/>
      <c r="DZL20" s="110"/>
      <c r="DZM20" s="110"/>
      <c r="DZN20" s="110"/>
      <c r="DZO20" s="110"/>
      <c r="DZP20" s="110"/>
      <c r="DZQ20" s="110"/>
      <c r="DZR20" s="110"/>
      <c r="DZS20" s="110"/>
      <c r="DZT20" s="110"/>
      <c r="DZU20" s="110"/>
      <c r="DZV20" s="110"/>
      <c r="DZW20" s="110"/>
      <c r="DZX20" s="110"/>
      <c r="DZY20" s="110"/>
      <c r="DZZ20" s="110"/>
      <c r="EAA20" s="110"/>
      <c r="EAB20" s="110"/>
      <c r="EAC20" s="110"/>
      <c r="EAD20" s="110"/>
      <c r="EAE20" s="110"/>
      <c r="EAF20" s="110"/>
      <c r="EAG20" s="110"/>
      <c r="EAH20" s="110"/>
      <c r="EAI20" s="110"/>
      <c r="EAJ20" s="110"/>
      <c r="EAK20" s="110"/>
      <c r="EAL20" s="110"/>
      <c r="EAM20" s="110"/>
      <c r="EAN20" s="110"/>
      <c r="EAO20" s="110"/>
      <c r="EAP20" s="110"/>
      <c r="EAQ20" s="110"/>
      <c r="EAR20" s="110"/>
      <c r="EAS20" s="110"/>
      <c r="EAT20" s="110"/>
      <c r="EAU20" s="110"/>
      <c r="EAV20" s="110"/>
      <c r="EAW20" s="110"/>
      <c r="EAX20" s="110"/>
      <c r="EAY20" s="110"/>
      <c r="EAZ20" s="110"/>
      <c r="EBA20" s="110"/>
      <c r="EBB20" s="110"/>
      <c r="EBC20" s="110"/>
      <c r="EBD20" s="110"/>
      <c r="EBE20" s="110"/>
      <c r="EBF20" s="110"/>
      <c r="EBG20" s="110"/>
      <c r="EBH20" s="110"/>
      <c r="EBI20" s="110"/>
      <c r="EBJ20" s="110"/>
      <c r="EBK20" s="110"/>
      <c r="EBL20" s="110"/>
      <c r="EBM20" s="110"/>
      <c r="EBN20" s="110"/>
      <c r="EBO20" s="110"/>
      <c r="EBP20" s="110"/>
      <c r="EBQ20" s="110"/>
      <c r="EBR20" s="110"/>
      <c r="EBS20" s="110"/>
      <c r="EBT20" s="110"/>
      <c r="EBU20" s="110"/>
      <c r="EBV20" s="110"/>
      <c r="EBW20" s="110"/>
      <c r="EBX20" s="110"/>
      <c r="EBY20" s="110"/>
      <c r="EBZ20" s="110"/>
      <c r="ECA20" s="110"/>
      <c r="ECB20" s="110"/>
      <c r="ECC20" s="110"/>
      <c r="ECD20" s="110"/>
      <c r="ECE20" s="110"/>
      <c r="ECF20" s="110"/>
      <c r="ECG20" s="110"/>
      <c r="ECH20" s="110"/>
      <c r="ECI20" s="110"/>
      <c r="ECJ20" s="110"/>
      <c r="ECK20" s="110"/>
      <c r="ECL20" s="110"/>
      <c r="ECM20" s="110"/>
      <c r="ECN20" s="110"/>
      <c r="ECO20" s="110"/>
      <c r="ECP20" s="110"/>
      <c r="ECQ20" s="110"/>
      <c r="ECR20" s="110"/>
      <c r="ECS20" s="110"/>
      <c r="ECT20" s="110"/>
      <c r="ECU20" s="110"/>
      <c r="ECV20" s="110"/>
      <c r="ECW20" s="110"/>
      <c r="ECX20" s="110"/>
      <c r="ECY20" s="110"/>
      <c r="ECZ20" s="110"/>
      <c r="EDA20" s="110"/>
      <c r="EDB20" s="110"/>
      <c r="EDC20" s="110"/>
      <c r="EDD20" s="110"/>
      <c r="EDE20" s="110"/>
      <c r="EDF20" s="110"/>
      <c r="EDG20" s="110"/>
      <c r="EDH20" s="110"/>
      <c r="EDI20" s="110"/>
      <c r="EDJ20" s="110"/>
      <c r="EDK20" s="110"/>
      <c r="EDL20" s="110"/>
      <c r="EDM20" s="110"/>
      <c r="EDN20" s="110"/>
      <c r="EDO20" s="110"/>
      <c r="EDP20" s="110"/>
      <c r="EDQ20" s="110"/>
      <c r="EDR20" s="110"/>
      <c r="EDS20" s="110"/>
      <c r="EDT20" s="110"/>
      <c r="EDU20" s="110"/>
      <c r="EDV20" s="110"/>
      <c r="EDW20" s="110"/>
      <c r="EDX20" s="110"/>
      <c r="EDY20" s="110"/>
      <c r="EDZ20" s="110"/>
      <c r="EEA20" s="110"/>
      <c r="EEB20" s="110"/>
      <c r="EEC20" s="110"/>
      <c r="EED20" s="110"/>
      <c r="EEE20" s="110"/>
      <c r="EEF20" s="110"/>
      <c r="EEG20" s="110"/>
      <c r="EEH20" s="110"/>
      <c r="EEI20" s="110"/>
      <c r="EEJ20" s="110"/>
      <c r="EEK20" s="110"/>
      <c r="EEL20" s="110"/>
      <c r="EEM20" s="110"/>
      <c r="EEN20" s="110"/>
      <c r="EEO20" s="110"/>
      <c r="EEP20" s="110"/>
      <c r="EEQ20" s="110"/>
      <c r="EER20" s="110"/>
      <c r="EES20" s="110"/>
      <c r="EET20" s="110"/>
      <c r="EEU20" s="110"/>
      <c r="EEV20" s="110"/>
      <c r="EEW20" s="110"/>
      <c r="EEX20" s="110"/>
      <c r="EEY20" s="110"/>
      <c r="EEZ20" s="110"/>
      <c r="EFA20" s="110"/>
      <c r="EFB20" s="110"/>
      <c r="EFC20" s="110"/>
      <c r="EFD20" s="110"/>
      <c r="EFE20" s="110"/>
      <c r="EFF20" s="110"/>
      <c r="EFG20" s="110"/>
      <c r="EFH20" s="110"/>
      <c r="EFI20" s="110"/>
      <c r="EFJ20" s="110"/>
      <c r="EFK20" s="110"/>
      <c r="EFL20" s="110"/>
      <c r="EFM20" s="110"/>
      <c r="EFN20" s="110"/>
      <c r="EFO20" s="110"/>
      <c r="EFP20" s="110"/>
      <c r="EFQ20" s="110"/>
      <c r="EFR20" s="110"/>
      <c r="EFS20" s="110"/>
      <c r="EFT20" s="110"/>
      <c r="EFU20" s="110"/>
      <c r="EFV20" s="110"/>
      <c r="EFW20" s="110"/>
      <c r="EFX20" s="110"/>
      <c r="EFY20" s="110"/>
      <c r="EFZ20" s="110"/>
      <c r="EGA20" s="110"/>
      <c r="EGB20" s="110"/>
      <c r="EGC20" s="110"/>
      <c r="EGD20" s="110"/>
      <c r="EGE20" s="110"/>
      <c r="EGF20" s="110"/>
      <c r="EGG20" s="110"/>
      <c r="EGH20" s="110"/>
      <c r="EGI20" s="110"/>
      <c r="EGJ20" s="110"/>
      <c r="EGK20" s="110"/>
      <c r="EGL20" s="110"/>
      <c r="EGM20" s="110"/>
      <c r="EGN20" s="110"/>
      <c r="EGO20" s="110"/>
      <c r="EGP20" s="110"/>
      <c r="EGQ20" s="110"/>
      <c r="EGR20" s="110"/>
      <c r="EGS20" s="110"/>
      <c r="EGT20" s="110"/>
      <c r="EGU20" s="110"/>
      <c r="EGV20" s="110"/>
      <c r="EGW20" s="110"/>
      <c r="EGX20" s="110"/>
      <c r="EGY20" s="110"/>
      <c r="EGZ20" s="110"/>
      <c r="EHA20" s="110"/>
      <c r="EHB20" s="110"/>
      <c r="EHC20" s="110"/>
      <c r="EHD20" s="110"/>
      <c r="EHE20" s="110"/>
      <c r="EHF20" s="110"/>
      <c r="EHG20" s="110"/>
      <c r="EHH20" s="110"/>
      <c r="EHI20" s="110"/>
      <c r="EHJ20" s="110"/>
      <c r="EHK20" s="110"/>
      <c r="EHL20" s="110"/>
      <c r="EHM20" s="110"/>
      <c r="EHN20" s="110"/>
      <c r="EHO20" s="110"/>
      <c r="EHP20" s="110"/>
      <c r="EHQ20" s="110"/>
      <c r="EHR20" s="110"/>
      <c r="EHS20" s="110"/>
      <c r="EHT20" s="110"/>
      <c r="EHU20" s="110"/>
      <c r="EHV20" s="110"/>
      <c r="EHW20" s="110"/>
      <c r="EHX20" s="110"/>
      <c r="EHY20" s="110"/>
      <c r="EHZ20" s="110"/>
      <c r="EIA20" s="110"/>
      <c r="EIB20" s="110"/>
      <c r="EIC20" s="110"/>
      <c r="EID20" s="110"/>
      <c r="EIE20" s="110"/>
      <c r="EIF20" s="110"/>
      <c r="EIG20" s="110"/>
      <c r="EIH20" s="110"/>
      <c r="EII20" s="110"/>
      <c r="EIJ20" s="110"/>
      <c r="EIK20" s="110"/>
      <c r="EIL20" s="110"/>
      <c r="EIM20" s="110"/>
      <c r="EIN20" s="110"/>
      <c r="EIO20" s="110"/>
      <c r="EIP20" s="110"/>
      <c r="EIQ20" s="110"/>
      <c r="EIR20" s="110"/>
      <c r="EIS20" s="110"/>
      <c r="EIT20" s="110"/>
      <c r="EIU20" s="110"/>
      <c r="EIV20" s="110"/>
      <c r="EIW20" s="110"/>
      <c r="EIX20" s="110"/>
      <c r="EIY20" s="110"/>
      <c r="EIZ20" s="110"/>
      <c r="EJA20" s="110"/>
      <c r="EJB20" s="110"/>
      <c r="EJC20" s="110"/>
      <c r="EJD20" s="110"/>
      <c r="EJE20" s="110"/>
      <c r="EJF20" s="110"/>
      <c r="EJG20" s="110"/>
      <c r="EJH20" s="110"/>
      <c r="EJI20" s="110"/>
      <c r="EJJ20" s="110"/>
      <c r="EJK20" s="110"/>
      <c r="EJL20" s="110"/>
      <c r="EJM20" s="110"/>
      <c r="EJN20" s="110"/>
      <c r="EJO20" s="110"/>
      <c r="EJP20" s="110"/>
      <c r="EJQ20" s="110"/>
      <c r="EJR20" s="110"/>
      <c r="EJS20" s="110"/>
      <c r="EJT20" s="110"/>
      <c r="EJU20" s="110"/>
      <c r="EJV20" s="110"/>
      <c r="EJW20" s="110"/>
      <c r="EJX20" s="110"/>
      <c r="EJY20" s="110"/>
      <c r="EJZ20" s="110"/>
      <c r="EKA20" s="110"/>
      <c r="EKB20" s="110"/>
      <c r="EKC20" s="110"/>
      <c r="EKD20" s="110"/>
      <c r="EKE20" s="110"/>
      <c r="EKF20" s="110"/>
      <c r="EKG20" s="110"/>
      <c r="EKH20" s="110"/>
      <c r="EKI20" s="110"/>
      <c r="EKJ20" s="110"/>
      <c r="EKK20" s="110"/>
      <c r="EKL20" s="110"/>
      <c r="EKM20" s="110"/>
      <c r="EKN20" s="110"/>
      <c r="EKO20" s="110"/>
      <c r="EKP20" s="110"/>
      <c r="EKQ20" s="110"/>
      <c r="EKR20" s="110"/>
      <c r="EKS20" s="110"/>
      <c r="EKT20" s="110"/>
      <c r="EKU20" s="110"/>
      <c r="EKV20" s="110"/>
      <c r="EKW20" s="110"/>
      <c r="EKX20" s="110"/>
      <c r="EKY20" s="110"/>
      <c r="EKZ20" s="110"/>
      <c r="ELA20" s="110"/>
      <c r="ELB20" s="110"/>
      <c r="ELC20" s="110"/>
      <c r="ELD20" s="110"/>
      <c r="ELE20" s="110"/>
      <c r="ELF20" s="110"/>
      <c r="ELG20" s="110"/>
      <c r="ELH20" s="110"/>
      <c r="ELI20" s="110"/>
      <c r="ELJ20" s="110"/>
      <c r="ELK20" s="110"/>
      <c r="ELL20" s="110"/>
      <c r="ELM20" s="110"/>
      <c r="ELN20" s="110"/>
      <c r="ELO20" s="110"/>
      <c r="ELP20" s="110"/>
      <c r="ELQ20" s="110"/>
      <c r="ELR20" s="110"/>
      <c r="ELS20" s="110"/>
      <c r="ELT20" s="110"/>
      <c r="ELU20" s="110"/>
      <c r="ELV20" s="110"/>
      <c r="ELW20" s="110"/>
      <c r="ELX20" s="110"/>
      <c r="ELY20" s="110"/>
      <c r="ELZ20" s="110"/>
      <c r="EMA20" s="110"/>
      <c r="EMB20" s="110"/>
      <c r="EMC20" s="110"/>
      <c r="EMD20" s="110"/>
      <c r="EME20" s="110"/>
      <c r="EMF20" s="110"/>
      <c r="EMG20" s="110"/>
      <c r="EMH20" s="110"/>
      <c r="EMI20" s="110"/>
      <c r="EMJ20" s="110"/>
      <c r="EMK20" s="110"/>
      <c r="EML20" s="110"/>
      <c r="EMM20" s="110"/>
      <c r="EMN20" s="110"/>
      <c r="EMO20" s="110"/>
      <c r="EMP20" s="110"/>
      <c r="EMQ20" s="110"/>
      <c r="EMR20" s="110"/>
      <c r="EMS20" s="110"/>
      <c r="EMT20" s="110"/>
      <c r="EMU20" s="110"/>
      <c r="EMV20" s="110"/>
      <c r="EMW20" s="110"/>
      <c r="EMX20" s="110"/>
      <c r="EMY20" s="110"/>
      <c r="EMZ20" s="110"/>
      <c r="ENA20" s="110"/>
      <c r="ENB20" s="110"/>
      <c r="ENC20" s="110"/>
      <c r="END20" s="110"/>
      <c r="ENE20" s="110"/>
      <c r="ENF20" s="110"/>
      <c r="ENG20" s="110"/>
      <c r="ENH20" s="110"/>
      <c r="ENI20" s="110"/>
      <c r="ENJ20" s="110"/>
      <c r="ENK20" s="110"/>
      <c r="ENL20" s="110"/>
      <c r="ENM20" s="110"/>
      <c r="ENN20" s="110"/>
      <c r="ENO20" s="110"/>
      <c r="ENP20" s="110"/>
      <c r="ENQ20" s="110"/>
      <c r="ENR20" s="110"/>
      <c r="ENS20" s="110"/>
      <c r="ENT20" s="110"/>
      <c r="ENU20" s="110"/>
      <c r="ENV20" s="110"/>
      <c r="ENW20" s="110"/>
      <c r="ENX20" s="110"/>
      <c r="ENY20" s="110"/>
      <c r="ENZ20" s="110"/>
      <c r="EOA20" s="110"/>
      <c r="EOB20" s="110"/>
      <c r="EOC20" s="110"/>
      <c r="EOD20" s="110"/>
      <c r="EOE20" s="110"/>
      <c r="EOF20" s="110"/>
      <c r="EOG20" s="110"/>
      <c r="EOH20" s="110"/>
      <c r="EOI20" s="110"/>
      <c r="EOJ20" s="110"/>
      <c r="EOK20" s="110"/>
      <c r="EOL20" s="110"/>
      <c r="EOM20" s="110"/>
      <c r="EON20" s="110"/>
      <c r="EOO20" s="110"/>
      <c r="EOP20" s="110"/>
      <c r="EOQ20" s="110"/>
      <c r="EOR20" s="110"/>
      <c r="EOS20" s="110"/>
      <c r="EOT20" s="110"/>
      <c r="EOU20" s="110"/>
      <c r="EOV20" s="110"/>
      <c r="EOW20" s="110"/>
      <c r="EOX20" s="110"/>
      <c r="EOY20" s="110"/>
      <c r="EOZ20" s="110"/>
      <c r="EPA20" s="110"/>
      <c r="EPB20" s="110"/>
      <c r="EPC20" s="110"/>
      <c r="EPD20" s="110"/>
      <c r="EPE20" s="110"/>
      <c r="EPF20" s="110"/>
      <c r="EPG20" s="110"/>
      <c r="EPH20" s="110"/>
      <c r="EPI20" s="110"/>
      <c r="EPJ20" s="110"/>
      <c r="EPK20" s="110"/>
      <c r="EPL20" s="110"/>
      <c r="EPM20" s="110"/>
      <c r="EPN20" s="110"/>
      <c r="EPO20" s="110"/>
      <c r="EPP20" s="110"/>
      <c r="EPQ20" s="110"/>
      <c r="EPR20" s="110"/>
      <c r="EPS20" s="110"/>
      <c r="EPT20" s="110"/>
      <c r="EPU20" s="110"/>
      <c r="EPV20" s="110"/>
      <c r="EPW20" s="110"/>
      <c r="EPX20" s="110"/>
      <c r="EPY20" s="110"/>
      <c r="EPZ20" s="110"/>
      <c r="EQA20" s="110"/>
      <c r="EQB20" s="110"/>
      <c r="EQC20" s="110"/>
      <c r="EQD20" s="110"/>
      <c r="EQE20" s="110"/>
      <c r="EQF20" s="110"/>
      <c r="EQG20" s="110"/>
      <c r="EQH20" s="110"/>
      <c r="EQI20" s="110"/>
      <c r="EQJ20" s="110"/>
      <c r="EQK20" s="110"/>
      <c r="EQL20" s="110"/>
      <c r="EQM20" s="110"/>
      <c r="EQN20" s="110"/>
      <c r="EQO20" s="110"/>
      <c r="EQP20" s="110"/>
      <c r="EQQ20" s="110"/>
      <c r="EQR20" s="110"/>
      <c r="EQS20" s="110"/>
      <c r="EQT20" s="110"/>
      <c r="EQU20" s="110"/>
      <c r="EQV20" s="110"/>
      <c r="EQW20" s="110"/>
      <c r="EQX20" s="110"/>
      <c r="EQY20" s="110"/>
      <c r="EQZ20" s="110"/>
      <c r="ERA20" s="110"/>
      <c r="ERB20" s="110"/>
      <c r="ERC20" s="110"/>
      <c r="ERD20" s="110"/>
      <c r="ERE20" s="110"/>
      <c r="ERF20" s="110"/>
      <c r="ERG20" s="110"/>
      <c r="ERH20" s="110"/>
      <c r="ERI20" s="110"/>
      <c r="ERJ20" s="110"/>
      <c r="ERK20" s="110"/>
      <c r="ERL20" s="110"/>
      <c r="ERM20" s="110"/>
      <c r="ERN20" s="110"/>
      <c r="ERO20" s="110"/>
      <c r="ERP20" s="110"/>
      <c r="ERQ20" s="110"/>
      <c r="ERR20" s="110"/>
      <c r="ERS20" s="110"/>
      <c r="ERT20" s="110"/>
      <c r="ERU20" s="110"/>
      <c r="ERV20" s="110"/>
      <c r="ERW20" s="110"/>
      <c r="ERX20" s="110"/>
      <c r="ERY20" s="110"/>
      <c r="ERZ20" s="110"/>
      <c r="ESA20" s="110"/>
      <c r="ESB20" s="110"/>
      <c r="ESC20" s="110"/>
      <c r="ESD20" s="110"/>
      <c r="ESE20" s="110"/>
      <c r="ESF20" s="110"/>
      <c r="ESG20" s="110"/>
      <c r="ESH20" s="110"/>
      <c r="ESI20" s="110"/>
      <c r="ESJ20" s="110"/>
      <c r="ESK20" s="110"/>
      <c r="ESL20" s="110"/>
      <c r="ESM20" s="110"/>
      <c r="ESN20" s="110"/>
      <c r="ESO20" s="110"/>
      <c r="ESP20" s="110"/>
      <c r="ESQ20" s="110"/>
      <c r="ESR20" s="110"/>
      <c r="ESS20" s="110"/>
      <c r="EST20" s="110"/>
      <c r="ESU20" s="110"/>
      <c r="ESV20" s="110"/>
      <c r="ESW20" s="110"/>
      <c r="ESX20" s="110"/>
      <c r="ESY20" s="110"/>
      <c r="ESZ20" s="110"/>
      <c r="ETA20" s="110"/>
      <c r="ETB20" s="110"/>
      <c r="ETC20" s="110"/>
      <c r="ETD20" s="110"/>
      <c r="ETE20" s="110"/>
      <c r="ETF20" s="110"/>
      <c r="ETG20" s="110"/>
      <c r="ETH20" s="110"/>
      <c r="ETI20" s="110"/>
      <c r="ETJ20" s="110"/>
      <c r="ETK20" s="110"/>
      <c r="ETL20" s="110"/>
      <c r="ETM20" s="110"/>
      <c r="ETN20" s="110"/>
      <c r="ETO20" s="110"/>
      <c r="ETP20" s="110"/>
      <c r="ETQ20" s="110"/>
      <c r="ETR20" s="110"/>
      <c r="ETS20" s="110"/>
      <c r="ETT20" s="110"/>
      <c r="ETU20" s="110"/>
      <c r="ETV20" s="110"/>
      <c r="ETW20" s="110"/>
      <c r="ETX20" s="110"/>
      <c r="ETY20" s="110"/>
      <c r="ETZ20" s="110"/>
      <c r="EUA20" s="110"/>
      <c r="EUB20" s="110"/>
      <c r="EUC20" s="110"/>
      <c r="EUD20" s="110"/>
      <c r="EUE20" s="110"/>
      <c r="EUF20" s="110"/>
      <c r="EUG20" s="110"/>
      <c r="EUH20" s="110"/>
      <c r="EUI20" s="110"/>
      <c r="EUJ20" s="110"/>
      <c r="EUK20" s="110"/>
      <c r="EUL20" s="110"/>
      <c r="EUM20" s="110"/>
      <c r="EUN20" s="110"/>
      <c r="EUO20" s="110"/>
      <c r="EUP20" s="110"/>
      <c r="EUQ20" s="110"/>
      <c r="EUR20" s="110"/>
      <c r="EUS20" s="110"/>
      <c r="EUT20" s="110"/>
      <c r="EUU20" s="110"/>
      <c r="EUV20" s="110"/>
      <c r="EUW20" s="110"/>
      <c r="EUX20" s="110"/>
      <c r="EUY20" s="110"/>
      <c r="EUZ20" s="110"/>
      <c r="EVA20" s="110"/>
      <c r="EVB20" s="110"/>
      <c r="EVC20" s="110"/>
      <c r="EVD20" s="110"/>
      <c r="EVE20" s="110"/>
      <c r="EVF20" s="110"/>
      <c r="EVG20" s="110"/>
      <c r="EVH20" s="110"/>
      <c r="EVI20" s="110"/>
      <c r="EVJ20" s="110"/>
      <c r="EVK20" s="110"/>
      <c r="EVL20" s="110"/>
      <c r="EVM20" s="110"/>
      <c r="EVN20" s="110"/>
      <c r="EVO20" s="110"/>
      <c r="EVP20" s="110"/>
      <c r="EVQ20" s="110"/>
      <c r="EVR20" s="110"/>
      <c r="EVS20" s="110"/>
      <c r="EVT20" s="110"/>
      <c r="EVU20" s="110"/>
      <c r="EVV20" s="110"/>
      <c r="EVW20" s="110"/>
      <c r="EVX20" s="110"/>
      <c r="EVY20" s="110"/>
      <c r="EVZ20" s="110"/>
      <c r="EWA20" s="110"/>
      <c r="EWB20" s="110"/>
      <c r="EWC20" s="110"/>
      <c r="EWD20" s="110"/>
      <c r="EWE20" s="110"/>
      <c r="EWF20" s="110"/>
      <c r="EWG20" s="110"/>
      <c r="EWH20" s="110"/>
      <c r="EWI20" s="110"/>
      <c r="EWJ20" s="110"/>
      <c r="EWK20" s="110"/>
      <c r="EWL20" s="110"/>
      <c r="EWM20" s="110"/>
      <c r="EWN20" s="110"/>
      <c r="EWO20" s="110"/>
      <c r="EWP20" s="110"/>
      <c r="EWQ20" s="110"/>
      <c r="EWR20" s="110"/>
      <c r="EWS20" s="110"/>
      <c r="EWT20" s="110"/>
      <c r="EWU20" s="110"/>
      <c r="EWV20" s="110"/>
      <c r="EWW20" s="110"/>
      <c r="EWX20" s="110"/>
      <c r="EWY20" s="110"/>
      <c r="EWZ20" s="110"/>
      <c r="EXA20" s="110"/>
      <c r="EXB20" s="110"/>
      <c r="EXC20" s="110"/>
      <c r="EXD20" s="110"/>
      <c r="EXE20" s="110"/>
      <c r="EXF20" s="110"/>
      <c r="EXG20" s="110"/>
      <c r="EXH20" s="110"/>
      <c r="EXI20" s="110"/>
      <c r="EXJ20" s="110"/>
      <c r="EXK20" s="110"/>
      <c r="EXL20" s="110"/>
      <c r="EXM20" s="110"/>
      <c r="EXN20" s="110"/>
      <c r="EXO20" s="110"/>
      <c r="EXP20" s="110"/>
      <c r="EXQ20" s="110"/>
      <c r="EXR20" s="110"/>
      <c r="EXS20" s="110"/>
      <c r="EXT20" s="110"/>
      <c r="EXU20" s="110"/>
      <c r="EXV20" s="110"/>
      <c r="EXW20" s="110"/>
      <c r="EXX20" s="110"/>
      <c r="EXY20" s="110"/>
      <c r="EXZ20" s="110"/>
      <c r="EYA20" s="110"/>
      <c r="EYB20" s="110"/>
      <c r="EYC20" s="110"/>
      <c r="EYD20" s="110"/>
      <c r="EYE20" s="110"/>
      <c r="EYF20" s="110"/>
      <c r="EYG20" s="110"/>
      <c r="EYH20" s="110"/>
      <c r="EYI20" s="110"/>
      <c r="EYJ20" s="110"/>
      <c r="EYK20" s="110"/>
      <c r="EYL20" s="110"/>
      <c r="EYM20" s="110"/>
      <c r="EYN20" s="110"/>
      <c r="EYO20" s="110"/>
      <c r="EYP20" s="110"/>
      <c r="EYQ20" s="110"/>
      <c r="EYR20" s="110"/>
      <c r="EYS20" s="110"/>
      <c r="EYT20" s="110"/>
      <c r="EYU20" s="110"/>
      <c r="EYV20" s="110"/>
      <c r="EYW20" s="110"/>
      <c r="EYX20" s="110"/>
      <c r="EYY20" s="110"/>
      <c r="EYZ20" s="110"/>
      <c r="EZA20" s="110"/>
      <c r="EZB20" s="110"/>
      <c r="EZC20" s="110"/>
      <c r="EZD20" s="110"/>
      <c r="EZE20" s="110"/>
      <c r="EZF20" s="110"/>
      <c r="EZG20" s="110"/>
      <c r="EZH20" s="110"/>
      <c r="EZI20" s="110"/>
      <c r="EZJ20" s="110"/>
      <c r="EZK20" s="110"/>
      <c r="EZL20" s="110"/>
      <c r="EZM20" s="110"/>
      <c r="EZN20" s="110"/>
      <c r="EZO20" s="110"/>
      <c r="EZP20" s="110"/>
      <c r="EZQ20" s="110"/>
      <c r="EZR20" s="110"/>
      <c r="EZS20" s="110"/>
      <c r="EZT20" s="110"/>
      <c r="EZU20" s="110"/>
      <c r="EZV20" s="110"/>
      <c r="EZW20" s="110"/>
      <c r="EZX20" s="110"/>
      <c r="EZY20" s="110"/>
      <c r="EZZ20" s="110"/>
      <c r="FAA20" s="110"/>
      <c r="FAB20" s="110"/>
      <c r="FAC20" s="110"/>
      <c r="FAD20" s="110"/>
      <c r="FAE20" s="110"/>
      <c r="FAF20" s="110"/>
      <c r="FAG20" s="110"/>
      <c r="FAH20" s="110"/>
      <c r="FAI20" s="110"/>
      <c r="FAJ20" s="110"/>
      <c r="FAK20" s="110"/>
      <c r="FAL20" s="110"/>
      <c r="FAM20" s="110"/>
      <c r="FAN20" s="110"/>
      <c r="FAO20" s="110"/>
      <c r="FAP20" s="110"/>
      <c r="FAQ20" s="110"/>
      <c r="FAR20" s="110"/>
      <c r="FAS20" s="110"/>
      <c r="FAT20" s="110"/>
      <c r="FAU20" s="110"/>
      <c r="FAV20" s="110"/>
      <c r="FAW20" s="110"/>
      <c r="FAX20" s="110"/>
      <c r="FAY20" s="110"/>
      <c r="FAZ20" s="110"/>
      <c r="FBA20" s="110"/>
      <c r="FBB20" s="110"/>
      <c r="FBC20" s="110"/>
      <c r="FBD20" s="110"/>
      <c r="FBE20" s="110"/>
      <c r="FBF20" s="110"/>
      <c r="FBG20" s="110"/>
      <c r="FBH20" s="110"/>
      <c r="FBI20" s="110"/>
      <c r="FBJ20" s="110"/>
      <c r="FBK20" s="110"/>
      <c r="FBL20" s="110"/>
      <c r="FBM20" s="110"/>
      <c r="FBN20" s="110"/>
      <c r="FBO20" s="110"/>
      <c r="FBP20" s="110"/>
      <c r="FBQ20" s="110"/>
      <c r="FBR20" s="110"/>
      <c r="FBS20" s="110"/>
      <c r="FBT20" s="110"/>
      <c r="FBU20" s="110"/>
      <c r="FBV20" s="110"/>
      <c r="FBW20" s="110"/>
      <c r="FBX20" s="110"/>
      <c r="FBY20" s="110"/>
      <c r="FBZ20" s="110"/>
      <c r="FCA20" s="110"/>
      <c r="FCB20" s="110"/>
      <c r="FCC20" s="110"/>
      <c r="FCD20" s="110"/>
      <c r="FCE20" s="110"/>
      <c r="FCF20" s="110"/>
      <c r="FCG20" s="110"/>
      <c r="FCH20" s="110"/>
      <c r="FCI20" s="110"/>
      <c r="FCJ20" s="110"/>
      <c r="FCK20" s="110"/>
      <c r="FCL20" s="110"/>
      <c r="FCM20" s="110"/>
      <c r="FCN20" s="110"/>
      <c r="FCO20" s="110"/>
      <c r="FCP20" s="110"/>
      <c r="FCQ20" s="110"/>
      <c r="FCR20" s="110"/>
      <c r="FCS20" s="110"/>
      <c r="FCT20" s="110"/>
      <c r="FCU20" s="110"/>
      <c r="FCV20" s="110"/>
      <c r="FCW20" s="110"/>
      <c r="FCX20" s="110"/>
      <c r="FCY20" s="110"/>
      <c r="FCZ20" s="110"/>
      <c r="FDA20" s="110"/>
      <c r="FDB20" s="110"/>
      <c r="FDC20" s="110"/>
      <c r="FDD20" s="110"/>
      <c r="FDE20" s="110"/>
      <c r="FDF20" s="110"/>
      <c r="FDG20" s="110"/>
      <c r="FDH20" s="110"/>
      <c r="FDI20" s="110"/>
      <c r="FDJ20" s="110"/>
      <c r="FDK20" s="110"/>
      <c r="FDL20" s="110"/>
      <c r="FDM20" s="110"/>
      <c r="FDN20" s="110"/>
      <c r="FDO20" s="110"/>
      <c r="FDP20" s="110"/>
      <c r="FDQ20" s="110"/>
      <c r="FDR20" s="110"/>
      <c r="FDS20" s="110"/>
      <c r="FDT20" s="110"/>
      <c r="FDU20" s="110"/>
      <c r="FDV20" s="110"/>
      <c r="FDW20" s="110"/>
      <c r="FDX20" s="110"/>
      <c r="FDY20" s="110"/>
      <c r="FDZ20" s="110"/>
      <c r="FEA20" s="110"/>
      <c r="FEB20" s="110"/>
      <c r="FEC20" s="110"/>
      <c r="FED20" s="110"/>
      <c r="FEE20" s="110"/>
      <c r="FEF20" s="110"/>
      <c r="FEG20" s="110"/>
      <c r="FEH20" s="110"/>
      <c r="FEI20" s="110"/>
      <c r="FEJ20" s="110"/>
      <c r="FEK20" s="110"/>
      <c r="FEL20" s="110"/>
      <c r="FEM20" s="110"/>
      <c r="FEN20" s="110"/>
      <c r="FEO20" s="110"/>
      <c r="FEP20" s="110"/>
      <c r="FEQ20" s="110"/>
      <c r="FER20" s="110"/>
      <c r="FES20" s="110"/>
      <c r="FET20" s="110"/>
      <c r="FEU20" s="110"/>
      <c r="FEV20" s="110"/>
      <c r="FEW20" s="110"/>
      <c r="FEX20" s="110"/>
      <c r="FEY20" s="110"/>
      <c r="FEZ20" s="110"/>
      <c r="FFA20" s="110"/>
      <c r="FFB20" s="110"/>
      <c r="FFC20" s="110"/>
      <c r="FFD20" s="110"/>
      <c r="FFE20" s="110"/>
      <c r="FFF20" s="110"/>
      <c r="FFG20" s="110"/>
      <c r="FFH20" s="110"/>
      <c r="FFI20" s="110"/>
      <c r="FFJ20" s="110"/>
      <c r="FFK20" s="110"/>
      <c r="FFL20" s="110"/>
      <c r="FFM20" s="110"/>
      <c r="FFN20" s="110"/>
      <c r="FFO20" s="110"/>
      <c r="FFP20" s="110"/>
      <c r="FFQ20" s="110"/>
      <c r="FFR20" s="110"/>
      <c r="FFS20" s="110"/>
      <c r="FFT20" s="110"/>
      <c r="FFU20" s="110"/>
      <c r="FFV20" s="110"/>
      <c r="FFW20" s="110"/>
      <c r="FFX20" s="110"/>
      <c r="FFY20" s="110"/>
      <c r="FFZ20" s="110"/>
      <c r="FGA20" s="110"/>
      <c r="FGB20" s="110"/>
      <c r="FGC20" s="110"/>
      <c r="FGD20" s="110"/>
      <c r="FGE20" s="110"/>
      <c r="FGF20" s="110"/>
      <c r="FGG20" s="110"/>
      <c r="FGH20" s="110"/>
      <c r="FGI20" s="110"/>
      <c r="FGJ20" s="110"/>
      <c r="FGK20" s="110"/>
      <c r="FGL20" s="110"/>
      <c r="FGM20" s="110"/>
      <c r="FGN20" s="110"/>
      <c r="FGO20" s="110"/>
      <c r="FGP20" s="110"/>
      <c r="FGQ20" s="110"/>
      <c r="FGR20" s="110"/>
      <c r="FGS20" s="110"/>
      <c r="FGT20" s="110"/>
      <c r="FGU20" s="110"/>
      <c r="FGV20" s="110"/>
      <c r="FGW20" s="110"/>
      <c r="FGX20" s="110"/>
      <c r="FGY20" s="110"/>
      <c r="FGZ20" s="110"/>
      <c r="FHA20" s="110"/>
      <c r="FHB20" s="110"/>
      <c r="FHC20" s="110"/>
      <c r="FHD20" s="110"/>
      <c r="FHE20" s="110"/>
      <c r="FHF20" s="110"/>
      <c r="FHG20" s="110"/>
      <c r="FHH20" s="110"/>
      <c r="FHI20" s="110"/>
      <c r="FHJ20" s="110"/>
      <c r="FHK20" s="110"/>
      <c r="FHL20" s="110"/>
      <c r="FHM20" s="110"/>
      <c r="FHN20" s="110"/>
      <c r="FHO20" s="110"/>
      <c r="FHP20" s="110"/>
      <c r="FHQ20" s="110"/>
      <c r="FHR20" s="110"/>
      <c r="FHS20" s="110"/>
      <c r="FHT20" s="110"/>
      <c r="FHU20" s="110"/>
      <c r="FHV20" s="110"/>
      <c r="FHW20" s="110"/>
      <c r="FHX20" s="110"/>
      <c r="FHY20" s="110"/>
      <c r="FHZ20" s="110"/>
      <c r="FIA20" s="110"/>
      <c r="FIB20" s="110"/>
      <c r="FIC20" s="110"/>
      <c r="FID20" s="110"/>
      <c r="FIE20" s="110"/>
      <c r="FIF20" s="110"/>
      <c r="FIG20" s="110"/>
      <c r="FIH20" s="110"/>
      <c r="FII20" s="110"/>
      <c r="FIJ20" s="110"/>
      <c r="FIK20" s="110"/>
      <c r="FIL20" s="110"/>
      <c r="FIM20" s="110"/>
      <c r="FIN20" s="110"/>
      <c r="FIO20" s="110"/>
      <c r="FIP20" s="110"/>
      <c r="FIQ20" s="110"/>
      <c r="FIR20" s="110"/>
      <c r="FIS20" s="110"/>
      <c r="FIT20" s="110"/>
      <c r="FIU20" s="110"/>
      <c r="FIV20" s="110"/>
      <c r="FIW20" s="110"/>
      <c r="FIX20" s="110"/>
      <c r="FIY20" s="110"/>
      <c r="FIZ20" s="110"/>
      <c r="FJA20" s="110"/>
      <c r="FJB20" s="110"/>
      <c r="FJC20" s="110"/>
      <c r="FJD20" s="110"/>
      <c r="FJE20" s="110"/>
      <c r="FJF20" s="110"/>
      <c r="FJG20" s="110"/>
      <c r="FJH20" s="110"/>
      <c r="FJI20" s="110"/>
      <c r="FJJ20" s="110"/>
      <c r="FJK20" s="110"/>
      <c r="FJL20" s="110"/>
      <c r="FJM20" s="110"/>
      <c r="FJN20" s="110"/>
      <c r="FJO20" s="110"/>
      <c r="FJP20" s="110"/>
      <c r="FJQ20" s="110"/>
      <c r="FJR20" s="110"/>
      <c r="FJS20" s="110"/>
      <c r="FJT20" s="110"/>
      <c r="FJU20" s="110"/>
      <c r="FJV20" s="110"/>
      <c r="FJW20" s="110"/>
      <c r="FJX20" s="110"/>
      <c r="FJY20" s="110"/>
      <c r="FJZ20" s="110"/>
      <c r="FKA20" s="110"/>
      <c r="FKB20" s="110"/>
      <c r="FKC20" s="110"/>
      <c r="FKD20" s="110"/>
      <c r="FKE20" s="110"/>
      <c r="FKF20" s="110"/>
      <c r="FKG20" s="110"/>
      <c r="FKH20" s="110"/>
      <c r="FKI20" s="110"/>
      <c r="FKJ20" s="110"/>
      <c r="FKK20" s="110"/>
      <c r="FKL20" s="110"/>
      <c r="FKM20" s="110"/>
      <c r="FKN20" s="110"/>
      <c r="FKO20" s="110"/>
      <c r="FKP20" s="110"/>
      <c r="FKQ20" s="110"/>
      <c r="FKR20" s="110"/>
      <c r="FKS20" s="110"/>
      <c r="FKT20" s="110"/>
      <c r="FKU20" s="110"/>
      <c r="FKV20" s="110"/>
      <c r="FKW20" s="110"/>
      <c r="FKX20" s="110"/>
      <c r="FKY20" s="110"/>
      <c r="FKZ20" s="110"/>
      <c r="FLA20" s="110"/>
      <c r="FLB20" s="110"/>
      <c r="FLC20" s="110"/>
      <c r="FLD20" s="110"/>
      <c r="FLE20" s="110"/>
      <c r="FLF20" s="110"/>
      <c r="FLG20" s="110"/>
      <c r="FLH20" s="110"/>
      <c r="FLI20" s="110"/>
      <c r="FLJ20" s="110"/>
      <c r="FLK20" s="110"/>
      <c r="FLL20" s="110"/>
      <c r="FLM20" s="110"/>
      <c r="FLN20" s="110"/>
      <c r="FLO20" s="110"/>
      <c r="FLP20" s="110"/>
      <c r="FLQ20" s="110"/>
      <c r="FLR20" s="110"/>
      <c r="FLS20" s="110"/>
      <c r="FLT20" s="110"/>
      <c r="FLU20" s="110"/>
      <c r="FLV20" s="110"/>
      <c r="FLW20" s="110"/>
      <c r="FLX20" s="110"/>
      <c r="FLY20" s="110"/>
      <c r="FLZ20" s="110"/>
      <c r="FMA20" s="110"/>
      <c r="FMB20" s="110"/>
      <c r="FMC20" s="110"/>
      <c r="FMD20" s="110"/>
      <c r="FME20" s="110"/>
      <c r="FMF20" s="110"/>
      <c r="FMG20" s="110"/>
      <c r="FMH20" s="110"/>
      <c r="FMI20" s="110"/>
      <c r="FMJ20" s="110"/>
      <c r="FMK20" s="110"/>
      <c r="FML20" s="110"/>
      <c r="FMM20" s="110"/>
      <c r="FMN20" s="110"/>
      <c r="FMO20" s="110"/>
      <c r="FMP20" s="110"/>
      <c r="FMQ20" s="110"/>
      <c r="FMR20" s="110"/>
      <c r="FMS20" s="110"/>
      <c r="FMT20" s="110"/>
      <c r="FMU20" s="110"/>
      <c r="FMV20" s="110"/>
      <c r="FMW20" s="110"/>
      <c r="FMX20" s="110"/>
      <c r="FMY20" s="110"/>
      <c r="FMZ20" s="110"/>
      <c r="FNA20" s="110"/>
      <c r="FNB20" s="110"/>
      <c r="FNC20" s="110"/>
      <c r="FND20" s="110"/>
      <c r="FNE20" s="110"/>
      <c r="FNF20" s="110"/>
      <c r="FNG20" s="110"/>
      <c r="FNH20" s="110"/>
      <c r="FNI20" s="110"/>
      <c r="FNJ20" s="110"/>
      <c r="FNK20" s="110"/>
      <c r="FNL20" s="110"/>
      <c r="FNM20" s="110"/>
      <c r="FNN20" s="110"/>
      <c r="FNO20" s="110"/>
      <c r="FNP20" s="110"/>
      <c r="FNQ20" s="110"/>
      <c r="FNR20" s="110"/>
      <c r="FNS20" s="110"/>
      <c r="FNT20" s="110"/>
      <c r="FNU20" s="110"/>
      <c r="FNV20" s="110"/>
      <c r="FNW20" s="110"/>
      <c r="FNX20" s="110"/>
      <c r="FNY20" s="110"/>
      <c r="FNZ20" s="110"/>
      <c r="FOA20" s="110"/>
      <c r="FOB20" s="110"/>
      <c r="FOC20" s="110"/>
      <c r="FOD20" s="110"/>
      <c r="FOE20" s="110"/>
      <c r="FOF20" s="110"/>
      <c r="FOG20" s="110"/>
      <c r="FOH20" s="110"/>
      <c r="FOI20" s="110"/>
      <c r="FOJ20" s="110"/>
      <c r="FOK20" s="110"/>
      <c r="FOL20" s="110"/>
      <c r="FOM20" s="110"/>
      <c r="FON20" s="110"/>
      <c r="FOO20" s="110"/>
      <c r="FOP20" s="110"/>
      <c r="FOQ20" s="110"/>
      <c r="FOR20" s="110"/>
      <c r="FOS20" s="110"/>
      <c r="FOT20" s="110"/>
      <c r="FOU20" s="110"/>
      <c r="FOV20" s="110"/>
      <c r="FOW20" s="110"/>
      <c r="FOX20" s="110"/>
      <c r="FOY20" s="110"/>
      <c r="FOZ20" s="110"/>
      <c r="FPA20" s="110"/>
      <c r="FPB20" s="110"/>
      <c r="FPC20" s="110"/>
      <c r="FPD20" s="110"/>
      <c r="FPE20" s="110"/>
      <c r="FPF20" s="110"/>
      <c r="FPG20" s="110"/>
      <c r="FPH20" s="110"/>
      <c r="FPI20" s="110"/>
      <c r="FPJ20" s="110"/>
      <c r="FPK20" s="110"/>
      <c r="FPL20" s="110"/>
      <c r="FPM20" s="110"/>
      <c r="FPN20" s="110"/>
      <c r="FPO20" s="110"/>
      <c r="FPP20" s="110"/>
      <c r="FPQ20" s="110"/>
      <c r="FPR20" s="110"/>
      <c r="FPS20" s="110"/>
      <c r="FPT20" s="110"/>
      <c r="FPU20" s="110"/>
      <c r="FPV20" s="110"/>
      <c r="FPW20" s="110"/>
      <c r="FPX20" s="110"/>
      <c r="FPY20" s="110"/>
      <c r="FPZ20" s="110"/>
      <c r="FQA20" s="110"/>
      <c r="FQB20" s="110"/>
      <c r="FQC20" s="110"/>
      <c r="FQD20" s="110"/>
      <c r="FQE20" s="110"/>
      <c r="FQF20" s="110"/>
      <c r="FQG20" s="110"/>
      <c r="FQH20" s="110"/>
      <c r="FQI20" s="110"/>
      <c r="FQJ20" s="110"/>
      <c r="FQK20" s="110"/>
      <c r="FQL20" s="110"/>
      <c r="FQM20" s="110"/>
      <c r="FQN20" s="110"/>
      <c r="FQO20" s="110"/>
      <c r="FQP20" s="110"/>
      <c r="FQQ20" s="110"/>
      <c r="FQR20" s="110"/>
      <c r="FQS20" s="110"/>
      <c r="FQT20" s="110"/>
      <c r="FQU20" s="110"/>
      <c r="FQV20" s="110"/>
      <c r="FQW20" s="110"/>
      <c r="FQX20" s="110"/>
      <c r="FQY20" s="110"/>
      <c r="FQZ20" s="110"/>
      <c r="FRA20" s="110"/>
      <c r="FRB20" s="110"/>
      <c r="FRC20" s="110"/>
      <c r="FRD20" s="110"/>
      <c r="FRE20" s="110"/>
      <c r="FRF20" s="110"/>
      <c r="FRG20" s="110"/>
      <c r="FRH20" s="110"/>
      <c r="FRI20" s="110"/>
      <c r="FRJ20" s="110"/>
      <c r="FRK20" s="110"/>
      <c r="FRL20" s="110"/>
      <c r="FRM20" s="110"/>
      <c r="FRN20" s="110"/>
      <c r="FRO20" s="110"/>
      <c r="FRP20" s="110"/>
      <c r="FRQ20" s="110"/>
      <c r="FRR20" s="110"/>
      <c r="FRS20" s="110"/>
      <c r="FRT20" s="110"/>
      <c r="FRU20" s="110"/>
      <c r="FRV20" s="110"/>
      <c r="FRW20" s="110"/>
      <c r="FRX20" s="110"/>
      <c r="FRY20" s="110"/>
      <c r="FRZ20" s="110"/>
      <c r="FSA20" s="110"/>
      <c r="FSB20" s="110"/>
      <c r="FSC20" s="110"/>
      <c r="FSD20" s="110"/>
      <c r="FSE20" s="110"/>
      <c r="FSF20" s="110"/>
      <c r="FSG20" s="110"/>
      <c r="FSH20" s="110"/>
      <c r="FSI20" s="110"/>
      <c r="FSJ20" s="110"/>
      <c r="FSK20" s="110"/>
      <c r="FSL20" s="110"/>
      <c r="FSM20" s="110"/>
      <c r="FSN20" s="110"/>
      <c r="FSO20" s="110"/>
      <c r="FSP20" s="110"/>
      <c r="FSQ20" s="110"/>
      <c r="FSR20" s="110"/>
      <c r="FSS20" s="110"/>
      <c r="FST20" s="110"/>
      <c r="FSU20" s="110"/>
      <c r="FSV20" s="110"/>
      <c r="FSW20" s="110"/>
      <c r="FSX20" s="110"/>
      <c r="FSY20" s="110"/>
      <c r="FSZ20" s="110"/>
      <c r="FTA20" s="110"/>
      <c r="FTB20" s="110"/>
      <c r="FTC20" s="110"/>
      <c r="FTD20" s="110"/>
      <c r="FTE20" s="110"/>
      <c r="FTF20" s="110"/>
      <c r="FTG20" s="110"/>
      <c r="FTH20" s="110"/>
      <c r="FTI20" s="110"/>
      <c r="FTJ20" s="110"/>
      <c r="FTK20" s="110"/>
      <c r="FTL20" s="110"/>
      <c r="FTM20" s="110"/>
      <c r="FTN20" s="110"/>
      <c r="FTO20" s="110"/>
      <c r="FTP20" s="110"/>
      <c r="FTQ20" s="110"/>
      <c r="FTR20" s="110"/>
      <c r="FTS20" s="110"/>
      <c r="FTT20" s="110"/>
      <c r="FTU20" s="110"/>
      <c r="FTV20" s="110"/>
      <c r="FTW20" s="110"/>
      <c r="FTX20" s="110"/>
      <c r="FTY20" s="110"/>
      <c r="FTZ20" s="110"/>
      <c r="FUA20" s="110"/>
      <c r="FUB20" s="110"/>
      <c r="FUC20" s="110"/>
      <c r="FUD20" s="110"/>
      <c r="FUE20" s="110"/>
      <c r="FUF20" s="110"/>
      <c r="FUG20" s="110"/>
      <c r="FUH20" s="110"/>
      <c r="FUI20" s="110"/>
      <c r="FUJ20" s="110"/>
      <c r="FUK20" s="110"/>
      <c r="FUL20" s="110"/>
      <c r="FUM20" s="110"/>
      <c r="FUN20" s="110"/>
      <c r="FUO20" s="110"/>
      <c r="FUP20" s="110"/>
      <c r="FUQ20" s="110"/>
      <c r="FUR20" s="110"/>
      <c r="FUS20" s="110"/>
      <c r="FUT20" s="110"/>
      <c r="FUU20" s="110"/>
      <c r="FUV20" s="110"/>
      <c r="FUW20" s="110"/>
      <c r="FUX20" s="110"/>
      <c r="FUY20" s="110"/>
      <c r="FUZ20" s="110"/>
      <c r="FVA20" s="110"/>
      <c r="FVB20" s="110"/>
      <c r="FVC20" s="110"/>
      <c r="FVD20" s="110"/>
      <c r="FVE20" s="110"/>
      <c r="FVF20" s="110"/>
      <c r="FVG20" s="110"/>
      <c r="FVH20" s="110"/>
      <c r="FVI20" s="110"/>
      <c r="FVJ20" s="110"/>
      <c r="FVK20" s="110"/>
      <c r="FVL20" s="110"/>
      <c r="FVM20" s="110"/>
      <c r="FVN20" s="110"/>
      <c r="FVO20" s="110"/>
      <c r="FVP20" s="110"/>
      <c r="FVQ20" s="110"/>
      <c r="FVR20" s="110"/>
      <c r="FVS20" s="110"/>
      <c r="FVT20" s="110"/>
      <c r="FVU20" s="110"/>
      <c r="FVV20" s="110"/>
      <c r="FVW20" s="110"/>
      <c r="FVX20" s="110"/>
      <c r="FVY20" s="110"/>
      <c r="FVZ20" s="110"/>
      <c r="FWA20" s="110"/>
      <c r="FWB20" s="110"/>
      <c r="FWC20" s="110"/>
      <c r="FWD20" s="110"/>
      <c r="FWE20" s="110"/>
      <c r="FWF20" s="110"/>
      <c r="FWG20" s="110"/>
      <c r="FWH20" s="110"/>
      <c r="FWI20" s="110"/>
      <c r="FWJ20" s="110"/>
      <c r="FWK20" s="110"/>
      <c r="FWL20" s="110"/>
      <c r="FWM20" s="110"/>
      <c r="FWN20" s="110"/>
      <c r="FWO20" s="110"/>
      <c r="FWP20" s="110"/>
      <c r="FWQ20" s="110"/>
      <c r="FWR20" s="110"/>
      <c r="FWS20" s="110"/>
      <c r="FWT20" s="110"/>
      <c r="FWU20" s="110"/>
      <c r="FWV20" s="110"/>
      <c r="FWW20" s="110"/>
      <c r="FWX20" s="110"/>
      <c r="FWY20" s="110"/>
      <c r="FWZ20" s="110"/>
      <c r="FXA20" s="110"/>
      <c r="FXB20" s="110"/>
      <c r="FXC20" s="110"/>
      <c r="FXD20" s="110"/>
      <c r="FXE20" s="110"/>
      <c r="FXF20" s="110"/>
      <c r="FXG20" s="110"/>
      <c r="FXH20" s="110"/>
      <c r="FXI20" s="110"/>
      <c r="FXJ20" s="110"/>
      <c r="FXK20" s="110"/>
      <c r="FXL20" s="110"/>
      <c r="FXM20" s="110"/>
      <c r="FXN20" s="110"/>
      <c r="FXO20" s="110"/>
      <c r="FXP20" s="110"/>
      <c r="FXQ20" s="110"/>
      <c r="FXR20" s="110"/>
      <c r="FXS20" s="110"/>
      <c r="FXT20" s="110"/>
      <c r="FXU20" s="110"/>
      <c r="FXV20" s="110"/>
      <c r="FXW20" s="110"/>
      <c r="FXX20" s="110"/>
      <c r="FXY20" s="110"/>
      <c r="FXZ20" s="110"/>
      <c r="FYA20" s="110"/>
      <c r="FYB20" s="110"/>
      <c r="FYC20" s="110"/>
      <c r="FYD20" s="110"/>
      <c r="FYE20" s="110"/>
      <c r="FYF20" s="110"/>
      <c r="FYG20" s="110"/>
      <c r="FYH20" s="110"/>
      <c r="FYI20" s="110"/>
      <c r="FYJ20" s="110"/>
      <c r="FYK20" s="110"/>
      <c r="FYL20" s="110"/>
      <c r="FYM20" s="110"/>
      <c r="FYN20" s="110"/>
      <c r="FYO20" s="110"/>
      <c r="FYP20" s="110"/>
      <c r="FYQ20" s="110"/>
      <c r="FYR20" s="110"/>
      <c r="FYS20" s="110"/>
      <c r="FYT20" s="110"/>
      <c r="FYU20" s="110"/>
      <c r="FYV20" s="110"/>
      <c r="FYW20" s="110"/>
      <c r="FYX20" s="110"/>
      <c r="FYY20" s="110"/>
      <c r="FYZ20" s="110"/>
      <c r="FZA20" s="110"/>
      <c r="FZB20" s="110"/>
      <c r="FZC20" s="110"/>
      <c r="FZD20" s="110"/>
      <c r="FZE20" s="110"/>
      <c r="FZF20" s="110"/>
      <c r="FZG20" s="110"/>
      <c r="FZH20" s="110"/>
      <c r="FZI20" s="110"/>
      <c r="FZJ20" s="110"/>
      <c r="FZK20" s="110"/>
      <c r="FZL20" s="110"/>
      <c r="FZM20" s="110"/>
      <c r="FZN20" s="110"/>
      <c r="FZO20" s="110"/>
      <c r="FZP20" s="110"/>
      <c r="FZQ20" s="110"/>
      <c r="FZR20" s="110"/>
      <c r="FZS20" s="110"/>
      <c r="FZT20" s="110"/>
      <c r="FZU20" s="110"/>
      <c r="FZV20" s="110"/>
      <c r="FZW20" s="110"/>
      <c r="FZX20" s="110"/>
      <c r="FZY20" s="110"/>
      <c r="FZZ20" s="110"/>
      <c r="GAA20" s="110"/>
      <c r="GAB20" s="110"/>
      <c r="GAC20" s="110"/>
      <c r="GAD20" s="110"/>
      <c r="GAE20" s="110"/>
      <c r="GAF20" s="110"/>
      <c r="GAG20" s="110"/>
      <c r="GAH20" s="110"/>
      <c r="GAI20" s="110"/>
      <c r="GAJ20" s="110"/>
      <c r="GAK20" s="110"/>
      <c r="GAL20" s="110"/>
      <c r="GAM20" s="110"/>
      <c r="GAN20" s="110"/>
      <c r="GAO20" s="110"/>
      <c r="GAP20" s="110"/>
      <c r="GAQ20" s="110"/>
      <c r="GAR20" s="110"/>
      <c r="GAS20" s="110"/>
      <c r="GAT20" s="110"/>
      <c r="GAU20" s="110"/>
      <c r="GAV20" s="110"/>
      <c r="GAW20" s="110"/>
      <c r="GAX20" s="110"/>
      <c r="GAY20" s="110"/>
      <c r="GAZ20" s="110"/>
      <c r="GBA20" s="110"/>
      <c r="GBB20" s="110"/>
      <c r="GBC20" s="110"/>
      <c r="GBD20" s="110"/>
      <c r="GBE20" s="110"/>
      <c r="GBF20" s="110"/>
      <c r="GBG20" s="110"/>
      <c r="GBH20" s="110"/>
      <c r="GBI20" s="110"/>
      <c r="GBJ20" s="110"/>
      <c r="GBK20" s="110"/>
      <c r="GBL20" s="110"/>
      <c r="GBM20" s="110"/>
      <c r="GBN20" s="110"/>
      <c r="GBO20" s="110"/>
      <c r="GBP20" s="110"/>
      <c r="GBQ20" s="110"/>
      <c r="GBR20" s="110"/>
      <c r="GBS20" s="110"/>
      <c r="GBT20" s="110"/>
      <c r="GBU20" s="110"/>
      <c r="GBV20" s="110"/>
      <c r="GBW20" s="110"/>
      <c r="GBX20" s="110"/>
      <c r="GBY20" s="110"/>
      <c r="GBZ20" s="110"/>
      <c r="GCA20" s="110"/>
      <c r="GCB20" s="110"/>
      <c r="GCC20" s="110"/>
      <c r="GCD20" s="110"/>
      <c r="GCE20" s="110"/>
      <c r="GCF20" s="110"/>
      <c r="GCG20" s="110"/>
      <c r="GCH20" s="110"/>
      <c r="GCI20" s="110"/>
      <c r="GCJ20" s="110"/>
      <c r="GCK20" s="110"/>
      <c r="GCL20" s="110"/>
      <c r="GCM20" s="110"/>
      <c r="GCN20" s="110"/>
      <c r="GCO20" s="110"/>
      <c r="GCP20" s="110"/>
      <c r="GCQ20" s="110"/>
      <c r="GCR20" s="110"/>
      <c r="GCS20" s="110"/>
      <c r="GCT20" s="110"/>
      <c r="GCU20" s="110"/>
      <c r="GCV20" s="110"/>
      <c r="GCW20" s="110"/>
      <c r="GCX20" s="110"/>
      <c r="GCY20" s="110"/>
      <c r="GCZ20" s="110"/>
      <c r="GDA20" s="110"/>
      <c r="GDB20" s="110"/>
      <c r="GDC20" s="110"/>
      <c r="GDD20" s="110"/>
      <c r="GDE20" s="110"/>
      <c r="GDF20" s="110"/>
      <c r="GDG20" s="110"/>
      <c r="GDH20" s="110"/>
      <c r="GDI20" s="110"/>
      <c r="GDJ20" s="110"/>
      <c r="GDK20" s="110"/>
      <c r="GDL20" s="110"/>
      <c r="GDM20" s="110"/>
      <c r="GDN20" s="110"/>
      <c r="GDO20" s="110"/>
      <c r="GDP20" s="110"/>
      <c r="GDQ20" s="110"/>
      <c r="GDR20" s="110"/>
      <c r="GDS20" s="110"/>
      <c r="GDT20" s="110"/>
      <c r="GDU20" s="110"/>
      <c r="GDV20" s="110"/>
      <c r="GDW20" s="110"/>
      <c r="GDX20" s="110"/>
      <c r="GDY20" s="110"/>
      <c r="GDZ20" s="110"/>
      <c r="GEA20" s="110"/>
      <c r="GEB20" s="110"/>
      <c r="GEC20" s="110"/>
      <c r="GED20" s="110"/>
      <c r="GEE20" s="110"/>
      <c r="GEF20" s="110"/>
      <c r="GEG20" s="110"/>
      <c r="GEH20" s="110"/>
      <c r="GEI20" s="110"/>
      <c r="GEJ20" s="110"/>
      <c r="GEK20" s="110"/>
      <c r="GEL20" s="110"/>
      <c r="GEM20" s="110"/>
      <c r="GEN20" s="110"/>
      <c r="GEO20" s="110"/>
      <c r="GEP20" s="110"/>
      <c r="GEQ20" s="110"/>
      <c r="GER20" s="110"/>
      <c r="GES20" s="110"/>
      <c r="GET20" s="110"/>
      <c r="GEU20" s="110"/>
      <c r="GEV20" s="110"/>
      <c r="GEW20" s="110"/>
      <c r="GEX20" s="110"/>
      <c r="GEY20" s="110"/>
      <c r="GEZ20" s="110"/>
      <c r="GFA20" s="110"/>
      <c r="GFB20" s="110"/>
      <c r="GFC20" s="110"/>
      <c r="GFD20" s="110"/>
      <c r="GFE20" s="110"/>
      <c r="GFF20" s="110"/>
      <c r="GFG20" s="110"/>
      <c r="GFH20" s="110"/>
      <c r="GFI20" s="110"/>
      <c r="GFJ20" s="110"/>
      <c r="GFK20" s="110"/>
      <c r="GFL20" s="110"/>
      <c r="GFM20" s="110"/>
      <c r="GFN20" s="110"/>
      <c r="GFO20" s="110"/>
      <c r="GFP20" s="110"/>
      <c r="GFQ20" s="110"/>
      <c r="GFR20" s="110"/>
      <c r="GFS20" s="110"/>
      <c r="GFT20" s="110"/>
      <c r="GFU20" s="110"/>
      <c r="GFV20" s="110"/>
      <c r="GFW20" s="110"/>
      <c r="GFX20" s="110"/>
      <c r="GFY20" s="110"/>
      <c r="GFZ20" s="110"/>
      <c r="GGA20" s="110"/>
      <c r="GGB20" s="110"/>
      <c r="GGC20" s="110"/>
      <c r="GGD20" s="110"/>
      <c r="GGE20" s="110"/>
      <c r="GGF20" s="110"/>
      <c r="GGG20" s="110"/>
      <c r="GGH20" s="110"/>
      <c r="GGI20" s="110"/>
      <c r="GGJ20" s="110"/>
      <c r="GGK20" s="110"/>
      <c r="GGL20" s="110"/>
      <c r="GGM20" s="110"/>
      <c r="GGN20" s="110"/>
      <c r="GGO20" s="110"/>
      <c r="GGP20" s="110"/>
      <c r="GGQ20" s="110"/>
      <c r="GGR20" s="110"/>
      <c r="GGS20" s="110"/>
      <c r="GGT20" s="110"/>
      <c r="GGU20" s="110"/>
      <c r="GGV20" s="110"/>
      <c r="GGW20" s="110"/>
      <c r="GGX20" s="110"/>
      <c r="GGY20" s="110"/>
      <c r="GGZ20" s="110"/>
      <c r="GHA20" s="110"/>
      <c r="GHB20" s="110"/>
      <c r="GHC20" s="110"/>
      <c r="GHD20" s="110"/>
      <c r="GHE20" s="110"/>
      <c r="GHF20" s="110"/>
      <c r="GHG20" s="110"/>
      <c r="GHH20" s="110"/>
      <c r="GHI20" s="110"/>
      <c r="GHJ20" s="110"/>
      <c r="GHK20" s="110"/>
      <c r="GHL20" s="110"/>
      <c r="GHM20" s="110"/>
      <c r="GHN20" s="110"/>
      <c r="GHO20" s="110"/>
      <c r="GHP20" s="110"/>
      <c r="GHQ20" s="110"/>
      <c r="GHR20" s="110"/>
      <c r="GHS20" s="110"/>
      <c r="GHT20" s="110"/>
      <c r="GHU20" s="110"/>
      <c r="GHV20" s="110"/>
      <c r="GHW20" s="110"/>
      <c r="GHX20" s="110"/>
      <c r="GHY20" s="110"/>
      <c r="GHZ20" s="110"/>
      <c r="GIA20" s="110"/>
      <c r="GIB20" s="110"/>
      <c r="GIC20" s="110"/>
      <c r="GID20" s="110"/>
      <c r="GIE20" s="110"/>
      <c r="GIF20" s="110"/>
      <c r="GIG20" s="110"/>
      <c r="GIH20" s="110"/>
      <c r="GII20" s="110"/>
      <c r="GIJ20" s="110"/>
      <c r="GIK20" s="110"/>
      <c r="GIL20" s="110"/>
      <c r="GIM20" s="110"/>
      <c r="GIN20" s="110"/>
      <c r="GIO20" s="110"/>
      <c r="GIP20" s="110"/>
      <c r="GIQ20" s="110"/>
      <c r="GIR20" s="110"/>
      <c r="GIS20" s="110"/>
      <c r="GIT20" s="110"/>
      <c r="GIU20" s="110"/>
      <c r="GIV20" s="110"/>
      <c r="GIW20" s="110"/>
      <c r="GIX20" s="110"/>
      <c r="GIY20" s="110"/>
      <c r="GIZ20" s="110"/>
      <c r="GJA20" s="110"/>
      <c r="GJB20" s="110"/>
      <c r="GJC20" s="110"/>
      <c r="GJD20" s="110"/>
      <c r="GJE20" s="110"/>
      <c r="GJF20" s="110"/>
      <c r="GJG20" s="110"/>
      <c r="GJH20" s="110"/>
      <c r="GJI20" s="110"/>
      <c r="GJJ20" s="110"/>
      <c r="GJK20" s="110"/>
      <c r="GJL20" s="110"/>
      <c r="GJM20" s="110"/>
      <c r="GJN20" s="110"/>
      <c r="GJO20" s="110"/>
      <c r="GJP20" s="110"/>
      <c r="GJQ20" s="110"/>
      <c r="GJR20" s="110"/>
      <c r="GJS20" s="110"/>
      <c r="GJT20" s="110"/>
      <c r="GJU20" s="110"/>
      <c r="GJV20" s="110"/>
      <c r="GJW20" s="110"/>
      <c r="GJX20" s="110"/>
      <c r="GJY20" s="110"/>
      <c r="GJZ20" s="110"/>
      <c r="GKA20" s="110"/>
      <c r="GKB20" s="110"/>
      <c r="GKC20" s="110"/>
      <c r="GKD20" s="110"/>
      <c r="GKE20" s="110"/>
      <c r="GKF20" s="110"/>
      <c r="GKG20" s="110"/>
      <c r="GKH20" s="110"/>
      <c r="GKI20" s="110"/>
      <c r="GKJ20" s="110"/>
      <c r="GKK20" s="110"/>
      <c r="GKL20" s="110"/>
      <c r="GKM20" s="110"/>
      <c r="GKN20" s="110"/>
      <c r="GKO20" s="110"/>
      <c r="GKP20" s="110"/>
      <c r="GKQ20" s="110"/>
      <c r="GKR20" s="110"/>
      <c r="GKS20" s="110"/>
      <c r="GKT20" s="110"/>
      <c r="GKU20" s="110"/>
      <c r="GKV20" s="110"/>
      <c r="GKW20" s="110"/>
      <c r="GKX20" s="110"/>
      <c r="GKY20" s="110"/>
      <c r="GKZ20" s="110"/>
      <c r="GLA20" s="110"/>
      <c r="GLB20" s="110"/>
      <c r="GLC20" s="110"/>
      <c r="GLD20" s="110"/>
      <c r="GLE20" s="110"/>
      <c r="GLF20" s="110"/>
      <c r="GLG20" s="110"/>
      <c r="GLH20" s="110"/>
      <c r="GLI20" s="110"/>
      <c r="GLJ20" s="110"/>
      <c r="GLK20" s="110"/>
      <c r="GLL20" s="110"/>
      <c r="GLM20" s="110"/>
      <c r="GLN20" s="110"/>
      <c r="GLO20" s="110"/>
      <c r="GLP20" s="110"/>
      <c r="GLQ20" s="110"/>
      <c r="GLR20" s="110"/>
      <c r="GLS20" s="110"/>
      <c r="GLT20" s="110"/>
      <c r="GLU20" s="110"/>
      <c r="GLV20" s="110"/>
      <c r="GLW20" s="110"/>
      <c r="GLX20" s="110"/>
      <c r="GLY20" s="110"/>
      <c r="GLZ20" s="110"/>
      <c r="GMA20" s="110"/>
      <c r="GMB20" s="110"/>
      <c r="GMC20" s="110"/>
      <c r="GMD20" s="110"/>
      <c r="GME20" s="110"/>
      <c r="GMF20" s="110"/>
      <c r="GMG20" s="110"/>
      <c r="GMH20" s="110"/>
      <c r="GMI20" s="110"/>
      <c r="GMJ20" s="110"/>
      <c r="GMK20" s="110"/>
      <c r="GML20" s="110"/>
      <c r="GMM20" s="110"/>
      <c r="GMN20" s="110"/>
      <c r="GMO20" s="110"/>
      <c r="GMP20" s="110"/>
      <c r="GMQ20" s="110"/>
      <c r="GMR20" s="110"/>
      <c r="GMS20" s="110"/>
      <c r="GMT20" s="110"/>
      <c r="GMU20" s="110"/>
      <c r="GMV20" s="110"/>
      <c r="GMW20" s="110"/>
      <c r="GMX20" s="110"/>
      <c r="GMY20" s="110"/>
      <c r="GMZ20" s="110"/>
      <c r="GNA20" s="110"/>
      <c r="GNB20" s="110"/>
      <c r="GNC20" s="110"/>
      <c r="GND20" s="110"/>
      <c r="GNE20" s="110"/>
      <c r="GNF20" s="110"/>
      <c r="GNG20" s="110"/>
      <c r="GNH20" s="110"/>
      <c r="GNI20" s="110"/>
      <c r="GNJ20" s="110"/>
      <c r="GNK20" s="110"/>
      <c r="GNL20" s="110"/>
      <c r="GNM20" s="110"/>
      <c r="GNN20" s="110"/>
      <c r="GNO20" s="110"/>
      <c r="GNP20" s="110"/>
      <c r="GNQ20" s="110"/>
      <c r="GNR20" s="110"/>
      <c r="GNS20" s="110"/>
      <c r="GNT20" s="110"/>
      <c r="GNU20" s="110"/>
      <c r="GNV20" s="110"/>
      <c r="GNW20" s="110"/>
      <c r="GNX20" s="110"/>
      <c r="GNY20" s="110"/>
      <c r="GNZ20" s="110"/>
      <c r="GOA20" s="110"/>
      <c r="GOB20" s="110"/>
      <c r="GOC20" s="110"/>
      <c r="GOD20" s="110"/>
      <c r="GOE20" s="110"/>
      <c r="GOF20" s="110"/>
      <c r="GOG20" s="110"/>
      <c r="GOH20" s="110"/>
      <c r="GOI20" s="110"/>
      <c r="GOJ20" s="110"/>
      <c r="GOK20" s="110"/>
      <c r="GOL20" s="110"/>
      <c r="GOM20" s="110"/>
      <c r="GON20" s="110"/>
      <c r="GOO20" s="110"/>
      <c r="GOP20" s="110"/>
      <c r="GOQ20" s="110"/>
      <c r="GOR20" s="110"/>
      <c r="GOS20" s="110"/>
      <c r="GOT20" s="110"/>
      <c r="GOU20" s="110"/>
      <c r="GOV20" s="110"/>
      <c r="GOW20" s="110"/>
      <c r="GOX20" s="110"/>
      <c r="GOY20" s="110"/>
      <c r="GOZ20" s="110"/>
      <c r="GPA20" s="110"/>
      <c r="GPB20" s="110"/>
      <c r="GPC20" s="110"/>
      <c r="GPD20" s="110"/>
      <c r="GPE20" s="110"/>
      <c r="GPF20" s="110"/>
      <c r="GPG20" s="110"/>
      <c r="GPH20" s="110"/>
      <c r="GPI20" s="110"/>
      <c r="GPJ20" s="110"/>
      <c r="GPK20" s="110"/>
      <c r="GPL20" s="110"/>
      <c r="GPM20" s="110"/>
      <c r="GPN20" s="110"/>
      <c r="GPO20" s="110"/>
      <c r="GPP20" s="110"/>
      <c r="GPQ20" s="110"/>
      <c r="GPR20" s="110"/>
      <c r="GPS20" s="110"/>
      <c r="GPT20" s="110"/>
      <c r="GPU20" s="110"/>
      <c r="GPV20" s="110"/>
      <c r="GPW20" s="110"/>
      <c r="GPX20" s="110"/>
      <c r="GPY20" s="110"/>
      <c r="GPZ20" s="110"/>
      <c r="GQA20" s="110"/>
      <c r="GQB20" s="110"/>
      <c r="GQC20" s="110"/>
      <c r="GQD20" s="110"/>
      <c r="GQE20" s="110"/>
      <c r="GQF20" s="110"/>
      <c r="GQG20" s="110"/>
      <c r="GQH20" s="110"/>
      <c r="GQI20" s="110"/>
      <c r="GQJ20" s="110"/>
      <c r="GQK20" s="110"/>
      <c r="GQL20" s="110"/>
      <c r="GQM20" s="110"/>
      <c r="GQN20" s="110"/>
      <c r="GQO20" s="110"/>
      <c r="GQP20" s="110"/>
      <c r="GQQ20" s="110"/>
      <c r="GQR20" s="110"/>
      <c r="GQS20" s="110"/>
      <c r="GQT20" s="110"/>
      <c r="GQU20" s="110"/>
      <c r="GQV20" s="110"/>
      <c r="GQW20" s="110"/>
      <c r="GQX20" s="110"/>
      <c r="GQY20" s="110"/>
      <c r="GQZ20" s="110"/>
      <c r="GRA20" s="110"/>
      <c r="GRB20" s="110"/>
      <c r="GRC20" s="110"/>
      <c r="GRD20" s="110"/>
      <c r="GRE20" s="110"/>
      <c r="GRF20" s="110"/>
      <c r="GRG20" s="110"/>
      <c r="GRH20" s="110"/>
      <c r="GRI20" s="110"/>
      <c r="GRJ20" s="110"/>
      <c r="GRK20" s="110"/>
      <c r="GRL20" s="110"/>
      <c r="GRM20" s="110"/>
      <c r="GRN20" s="110"/>
      <c r="GRO20" s="110"/>
      <c r="GRP20" s="110"/>
      <c r="GRQ20" s="110"/>
      <c r="GRR20" s="110"/>
      <c r="GRS20" s="110"/>
      <c r="GRT20" s="110"/>
      <c r="GRU20" s="110"/>
      <c r="GRV20" s="110"/>
      <c r="GRW20" s="110"/>
      <c r="GRX20" s="110"/>
      <c r="GRY20" s="110"/>
      <c r="GRZ20" s="110"/>
      <c r="GSA20" s="110"/>
      <c r="GSB20" s="110"/>
      <c r="GSC20" s="110"/>
      <c r="GSD20" s="110"/>
      <c r="GSE20" s="110"/>
      <c r="GSF20" s="110"/>
      <c r="GSG20" s="110"/>
      <c r="GSH20" s="110"/>
      <c r="GSI20" s="110"/>
      <c r="GSJ20" s="110"/>
      <c r="GSK20" s="110"/>
      <c r="GSL20" s="110"/>
      <c r="GSM20" s="110"/>
      <c r="GSN20" s="110"/>
      <c r="GSO20" s="110"/>
      <c r="GSP20" s="110"/>
      <c r="GSQ20" s="110"/>
      <c r="GSR20" s="110"/>
      <c r="GSS20" s="110"/>
      <c r="GST20" s="110"/>
      <c r="GSU20" s="110"/>
      <c r="GSV20" s="110"/>
      <c r="GSW20" s="110"/>
      <c r="GSX20" s="110"/>
      <c r="GSY20" s="110"/>
      <c r="GSZ20" s="110"/>
      <c r="GTA20" s="110"/>
      <c r="GTB20" s="110"/>
      <c r="GTC20" s="110"/>
      <c r="GTD20" s="110"/>
      <c r="GTE20" s="110"/>
      <c r="GTF20" s="110"/>
      <c r="GTG20" s="110"/>
      <c r="GTH20" s="110"/>
      <c r="GTI20" s="110"/>
      <c r="GTJ20" s="110"/>
      <c r="GTK20" s="110"/>
      <c r="GTL20" s="110"/>
      <c r="GTM20" s="110"/>
      <c r="GTN20" s="110"/>
      <c r="GTO20" s="110"/>
      <c r="GTP20" s="110"/>
      <c r="GTQ20" s="110"/>
      <c r="GTR20" s="110"/>
      <c r="GTS20" s="110"/>
      <c r="GTT20" s="110"/>
      <c r="GTU20" s="110"/>
      <c r="GTV20" s="110"/>
      <c r="GTW20" s="110"/>
      <c r="GTX20" s="110"/>
      <c r="GTY20" s="110"/>
      <c r="GTZ20" s="110"/>
      <c r="GUA20" s="110"/>
      <c r="GUB20" s="110"/>
      <c r="GUC20" s="110"/>
      <c r="GUD20" s="110"/>
      <c r="GUE20" s="110"/>
      <c r="GUF20" s="110"/>
      <c r="GUG20" s="110"/>
      <c r="GUH20" s="110"/>
      <c r="GUI20" s="110"/>
      <c r="GUJ20" s="110"/>
      <c r="GUK20" s="110"/>
      <c r="GUL20" s="110"/>
      <c r="GUM20" s="110"/>
      <c r="GUN20" s="110"/>
      <c r="GUO20" s="110"/>
      <c r="GUP20" s="110"/>
      <c r="GUQ20" s="110"/>
      <c r="GUR20" s="110"/>
      <c r="GUS20" s="110"/>
      <c r="GUT20" s="110"/>
      <c r="GUU20" s="110"/>
      <c r="GUV20" s="110"/>
      <c r="GUW20" s="110"/>
      <c r="GUX20" s="110"/>
      <c r="GUY20" s="110"/>
      <c r="GUZ20" s="110"/>
      <c r="GVA20" s="110"/>
      <c r="GVB20" s="110"/>
      <c r="GVC20" s="110"/>
      <c r="GVD20" s="110"/>
      <c r="GVE20" s="110"/>
      <c r="GVF20" s="110"/>
      <c r="GVG20" s="110"/>
      <c r="GVH20" s="110"/>
      <c r="GVI20" s="110"/>
      <c r="GVJ20" s="110"/>
      <c r="GVK20" s="110"/>
      <c r="GVL20" s="110"/>
      <c r="GVM20" s="110"/>
      <c r="GVN20" s="110"/>
      <c r="GVO20" s="110"/>
      <c r="GVP20" s="110"/>
      <c r="GVQ20" s="110"/>
      <c r="GVR20" s="110"/>
      <c r="GVS20" s="110"/>
      <c r="GVT20" s="110"/>
      <c r="GVU20" s="110"/>
      <c r="GVV20" s="110"/>
      <c r="GVW20" s="110"/>
      <c r="GVX20" s="110"/>
      <c r="GVY20" s="110"/>
      <c r="GVZ20" s="110"/>
      <c r="GWA20" s="110"/>
      <c r="GWB20" s="110"/>
      <c r="GWC20" s="110"/>
      <c r="GWD20" s="110"/>
      <c r="GWE20" s="110"/>
      <c r="GWF20" s="110"/>
      <c r="GWG20" s="110"/>
      <c r="GWH20" s="110"/>
      <c r="GWI20" s="110"/>
      <c r="GWJ20" s="110"/>
      <c r="GWK20" s="110"/>
      <c r="GWL20" s="110"/>
      <c r="GWM20" s="110"/>
      <c r="GWN20" s="110"/>
      <c r="GWO20" s="110"/>
      <c r="GWP20" s="110"/>
      <c r="GWQ20" s="110"/>
      <c r="GWR20" s="110"/>
      <c r="GWS20" s="110"/>
      <c r="GWT20" s="110"/>
      <c r="GWU20" s="110"/>
      <c r="GWV20" s="110"/>
      <c r="GWW20" s="110"/>
      <c r="GWX20" s="110"/>
      <c r="GWY20" s="110"/>
      <c r="GWZ20" s="110"/>
      <c r="GXA20" s="110"/>
      <c r="GXB20" s="110"/>
      <c r="GXC20" s="110"/>
      <c r="GXD20" s="110"/>
      <c r="GXE20" s="110"/>
      <c r="GXF20" s="110"/>
      <c r="GXG20" s="110"/>
      <c r="GXH20" s="110"/>
      <c r="GXI20" s="110"/>
      <c r="GXJ20" s="110"/>
      <c r="GXK20" s="110"/>
      <c r="GXL20" s="110"/>
      <c r="GXM20" s="110"/>
      <c r="GXN20" s="110"/>
      <c r="GXO20" s="110"/>
      <c r="GXP20" s="110"/>
      <c r="GXQ20" s="110"/>
      <c r="GXR20" s="110"/>
      <c r="GXS20" s="110"/>
      <c r="GXT20" s="110"/>
      <c r="GXU20" s="110"/>
      <c r="GXV20" s="110"/>
      <c r="GXW20" s="110"/>
      <c r="GXX20" s="110"/>
      <c r="GXY20" s="110"/>
      <c r="GXZ20" s="110"/>
      <c r="GYA20" s="110"/>
      <c r="GYB20" s="110"/>
      <c r="GYC20" s="110"/>
      <c r="GYD20" s="110"/>
      <c r="GYE20" s="110"/>
      <c r="GYF20" s="110"/>
      <c r="GYG20" s="110"/>
      <c r="GYH20" s="110"/>
      <c r="GYI20" s="110"/>
      <c r="GYJ20" s="110"/>
      <c r="GYK20" s="110"/>
      <c r="GYL20" s="110"/>
      <c r="GYM20" s="110"/>
      <c r="GYN20" s="110"/>
      <c r="GYO20" s="110"/>
      <c r="GYP20" s="110"/>
      <c r="GYQ20" s="110"/>
      <c r="GYR20" s="110"/>
      <c r="GYS20" s="110"/>
      <c r="GYT20" s="110"/>
      <c r="GYU20" s="110"/>
      <c r="GYV20" s="110"/>
      <c r="GYW20" s="110"/>
      <c r="GYX20" s="110"/>
      <c r="GYY20" s="110"/>
      <c r="GYZ20" s="110"/>
      <c r="GZA20" s="110"/>
      <c r="GZB20" s="110"/>
      <c r="GZC20" s="110"/>
      <c r="GZD20" s="110"/>
      <c r="GZE20" s="110"/>
      <c r="GZF20" s="110"/>
      <c r="GZG20" s="110"/>
      <c r="GZH20" s="110"/>
      <c r="GZI20" s="110"/>
      <c r="GZJ20" s="110"/>
      <c r="GZK20" s="110"/>
      <c r="GZL20" s="110"/>
      <c r="GZM20" s="110"/>
      <c r="GZN20" s="110"/>
      <c r="GZO20" s="110"/>
      <c r="GZP20" s="110"/>
      <c r="GZQ20" s="110"/>
      <c r="GZR20" s="110"/>
      <c r="GZS20" s="110"/>
      <c r="GZT20" s="110"/>
      <c r="GZU20" s="110"/>
      <c r="GZV20" s="110"/>
      <c r="GZW20" s="110"/>
      <c r="GZX20" s="110"/>
      <c r="GZY20" s="110"/>
      <c r="GZZ20" s="110"/>
      <c r="HAA20" s="110"/>
      <c r="HAB20" s="110"/>
      <c r="HAC20" s="110"/>
      <c r="HAD20" s="110"/>
      <c r="HAE20" s="110"/>
      <c r="HAF20" s="110"/>
      <c r="HAG20" s="110"/>
      <c r="HAH20" s="110"/>
      <c r="HAI20" s="110"/>
      <c r="HAJ20" s="110"/>
      <c r="HAK20" s="110"/>
      <c r="HAL20" s="110"/>
      <c r="HAM20" s="110"/>
      <c r="HAN20" s="110"/>
      <c r="HAO20" s="110"/>
      <c r="HAP20" s="110"/>
      <c r="HAQ20" s="110"/>
      <c r="HAR20" s="110"/>
      <c r="HAS20" s="110"/>
      <c r="HAT20" s="110"/>
      <c r="HAU20" s="110"/>
      <c r="HAV20" s="110"/>
      <c r="HAW20" s="110"/>
      <c r="HAX20" s="110"/>
      <c r="HAY20" s="110"/>
      <c r="HAZ20" s="110"/>
      <c r="HBA20" s="110"/>
      <c r="HBB20" s="110"/>
      <c r="HBC20" s="110"/>
      <c r="HBD20" s="110"/>
      <c r="HBE20" s="110"/>
      <c r="HBF20" s="110"/>
      <c r="HBG20" s="110"/>
      <c r="HBH20" s="110"/>
      <c r="HBI20" s="110"/>
      <c r="HBJ20" s="110"/>
      <c r="HBK20" s="110"/>
      <c r="HBL20" s="110"/>
      <c r="HBM20" s="110"/>
      <c r="HBN20" s="110"/>
      <c r="HBO20" s="110"/>
      <c r="HBP20" s="110"/>
      <c r="HBQ20" s="110"/>
      <c r="HBR20" s="110"/>
      <c r="HBS20" s="110"/>
      <c r="HBT20" s="110"/>
      <c r="HBU20" s="110"/>
      <c r="HBV20" s="110"/>
      <c r="HBW20" s="110"/>
      <c r="HBX20" s="110"/>
      <c r="HBY20" s="110"/>
      <c r="HBZ20" s="110"/>
      <c r="HCA20" s="110"/>
      <c r="HCB20" s="110"/>
      <c r="HCC20" s="110"/>
      <c r="HCD20" s="110"/>
      <c r="HCE20" s="110"/>
      <c r="HCF20" s="110"/>
      <c r="HCG20" s="110"/>
      <c r="HCH20" s="110"/>
      <c r="HCI20" s="110"/>
      <c r="HCJ20" s="110"/>
      <c r="HCK20" s="110"/>
      <c r="HCL20" s="110"/>
      <c r="HCM20" s="110"/>
      <c r="HCN20" s="110"/>
      <c r="HCO20" s="110"/>
      <c r="HCP20" s="110"/>
      <c r="HCQ20" s="110"/>
      <c r="HCR20" s="110"/>
      <c r="HCS20" s="110"/>
      <c r="HCT20" s="110"/>
      <c r="HCU20" s="110"/>
      <c r="HCV20" s="110"/>
      <c r="HCW20" s="110"/>
      <c r="HCX20" s="110"/>
      <c r="HCY20" s="110"/>
      <c r="HCZ20" s="110"/>
      <c r="HDA20" s="110"/>
      <c r="HDB20" s="110"/>
      <c r="HDC20" s="110"/>
      <c r="HDD20" s="110"/>
      <c r="HDE20" s="110"/>
      <c r="HDF20" s="110"/>
      <c r="HDG20" s="110"/>
      <c r="HDH20" s="110"/>
      <c r="HDI20" s="110"/>
      <c r="HDJ20" s="110"/>
      <c r="HDK20" s="110"/>
      <c r="HDL20" s="110"/>
      <c r="HDM20" s="110"/>
      <c r="HDN20" s="110"/>
      <c r="HDO20" s="110"/>
      <c r="HDP20" s="110"/>
      <c r="HDQ20" s="110"/>
      <c r="HDR20" s="110"/>
      <c r="HDS20" s="110"/>
      <c r="HDT20" s="110"/>
      <c r="HDU20" s="110"/>
      <c r="HDV20" s="110"/>
      <c r="HDW20" s="110"/>
      <c r="HDX20" s="110"/>
      <c r="HDY20" s="110"/>
      <c r="HDZ20" s="110"/>
      <c r="HEA20" s="110"/>
      <c r="HEB20" s="110"/>
      <c r="HEC20" s="110"/>
      <c r="HED20" s="110"/>
      <c r="HEE20" s="110"/>
      <c r="HEF20" s="110"/>
      <c r="HEG20" s="110"/>
      <c r="HEH20" s="110"/>
      <c r="HEI20" s="110"/>
      <c r="HEJ20" s="110"/>
      <c r="HEK20" s="110"/>
      <c r="HEL20" s="110"/>
      <c r="HEM20" s="110"/>
      <c r="HEN20" s="110"/>
      <c r="HEO20" s="110"/>
      <c r="HEP20" s="110"/>
      <c r="HEQ20" s="110"/>
      <c r="HER20" s="110"/>
      <c r="HES20" s="110"/>
      <c r="HET20" s="110"/>
      <c r="HEU20" s="110"/>
      <c r="HEV20" s="110"/>
      <c r="HEW20" s="110"/>
      <c r="HEX20" s="110"/>
      <c r="HEY20" s="110"/>
      <c r="HEZ20" s="110"/>
      <c r="HFA20" s="110"/>
      <c r="HFB20" s="110"/>
      <c r="HFC20" s="110"/>
      <c r="HFD20" s="110"/>
      <c r="HFE20" s="110"/>
      <c r="HFF20" s="110"/>
      <c r="HFG20" s="110"/>
      <c r="HFH20" s="110"/>
      <c r="HFI20" s="110"/>
      <c r="HFJ20" s="110"/>
      <c r="HFK20" s="110"/>
      <c r="HFL20" s="110"/>
      <c r="HFM20" s="110"/>
      <c r="HFN20" s="110"/>
      <c r="HFO20" s="110"/>
      <c r="HFP20" s="110"/>
      <c r="HFQ20" s="110"/>
      <c r="HFR20" s="110"/>
      <c r="HFS20" s="110"/>
      <c r="HFT20" s="110"/>
      <c r="HFU20" s="110"/>
      <c r="HFV20" s="110"/>
      <c r="HFW20" s="110"/>
      <c r="HFX20" s="110"/>
      <c r="HFY20" s="110"/>
      <c r="HFZ20" s="110"/>
      <c r="HGA20" s="110"/>
      <c r="HGB20" s="110"/>
      <c r="HGC20" s="110"/>
      <c r="HGD20" s="110"/>
      <c r="HGE20" s="110"/>
      <c r="HGF20" s="110"/>
      <c r="HGG20" s="110"/>
      <c r="HGH20" s="110"/>
      <c r="HGI20" s="110"/>
      <c r="HGJ20" s="110"/>
      <c r="HGK20" s="110"/>
      <c r="HGL20" s="110"/>
      <c r="HGM20" s="110"/>
      <c r="HGN20" s="110"/>
      <c r="HGO20" s="110"/>
      <c r="HGP20" s="110"/>
      <c r="HGQ20" s="110"/>
      <c r="HGR20" s="110"/>
      <c r="HGS20" s="110"/>
      <c r="HGT20" s="110"/>
      <c r="HGU20" s="110"/>
      <c r="HGV20" s="110"/>
      <c r="HGW20" s="110"/>
      <c r="HGX20" s="110"/>
      <c r="HGY20" s="110"/>
      <c r="HGZ20" s="110"/>
      <c r="HHA20" s="110"/>
      <c r="HHB20" s="110"/>
      <c r="HHC20" s="110"/>
      <c r="HHD20" s="110"/>
      <c r="HHE20" s="110"/>
      <c r="HHF20" s="110"/>
      <c r="HHG20" s="110"/>
      <c r="HHH20" s="110"/>
      <c r="HHI20" s="110"/>
      <c r="HHJ20" s="110"/>
      <c r="HHK20" s="110"/>
      <c r="HHL20" s="110"/>
      <c r="HHM20" s="110"/>
      <c r="HHN20" s="110"/>
      <c r="HHO20" s="110"/>
      <c r="HHP20" s="110"/>
      <c r="HHQ20" s="110"/>
      <c r="HHR20" s="110"/>
      <c r="HHS20" s="110"/>
      <c r="HHT20" s="110"/>
      <c r="HHU20" s="110"/>
      <c r="HHV20" s="110"/>
      <c r="HHW20" s="110"/>
      <c r="HHX20" s="110"/>
      <c r="HHY20" s="110"/>
      <c r="HHZ20" s="110"/>
      <c r="HIA20" s="110"/>
      <c r="HIB20" s="110"/>
      <c r="HIC20" s="110"/>
      <c r="HID20" s="110"/>
      <c r="HIE20" s="110"/>
      <c r="HIF20" s="110"/>
      <c r="HIG20" s="110"/>
      <c r="HIH20" s="110"/>
      <c r="HII20" s="110"/>
      <c r="HIJ20" s="110"/>
      <c r="HIK20" s="110"/>
      <c r="HIL20" s="110"/>
      <c r="HIM20" s="110"/>
      <c r="HIN20" s="110"/>
      <c r="HIO20" s="110"/>
      <c r="HIP20" s="110"/>
      <c r="HIQ20" s="110"/>
      <c r="HIR20" s="110"/>
      <c r="HIS20" s="110"/>
      <c r="HIT20" s="110"/>
      <c r="HIU20" s="110"/>
      <c r="HIV20" s="110"/>
      <c r="HIW20" s="110"/>
      <c r="HIX20" s="110"/>
      <c r="HIY20" s="110"/>
      <c r="HIZ20" s="110"/>
      <c r="HJA20" s="110"/>
      <c r="HJB20" s="110"/>
      <c r="HJC20" s="110"/>
      <c r="HJD20" s="110"/>
      <c r="HJE20" s="110"/>
      <c r="HJF20" s="110"/>
      <c r="HJG20" s="110"/>
      <c r="HJH20" s="110"/>
      <c r="HJI20" s="110"/>
      <c r="HJJ20" s="110"/>
      <c r="HJK20" s="110"/>
      <c r="HJL20" s="110"/>
      <c r="HJM20" s="110"/>
      <c r="HJN20" s="110"/>
      <c r="HJO20" s="110"/>
      <c r="HJP20" s="110"/>
      <c r="HJQ20" s="110"/>
      <c r="HJR20" s="110"/>
      <c r="HJS20" s="110"/>
      <c r="HJT20" s="110"/>
      <c r="HJU20" s="110"/>
      <c r="HJV20" s="110"/>
      <c r="HJW20" s="110"/>
      <c r="HJX20" s="110"/>
      <c r="HJY20" s="110"/>
      <c r="HJZ20" s="110"/>
      <c r="HKA20" s="110"/>
      <c r="HKB20" s="110"/>
      <c r="HKC20" s="110"/>
      <c r="HKD20" s="110"/>
      <c r="HKE20" s="110"/>
      <c r="HKF20" s="110"/>
      <c r="HKG20" s="110"/>
      <c r="HKH20" s="110"/>
      <c r="HKI20" s="110"/>
      <c r="HKJ20" s="110"/>
      <c r="HKK20" s="110"/>
      <c r="HKL20" s="110"/>
      <c r="HKM20" s="110"/>
      <c r="HKN20" s="110"/>
      <c r="HKO20" s="110"/>
      <c r="HKP20" s="110"/>
      <c r="HKQ20" s="110"/>
      <c r="HKR20" s="110"/>
      <c r="HKS20" s="110"/>
      <c r="HKT20" s="110"/>
      <c r="HKU20" s="110"/>
      <c r="HKV20" s="110"/>
      <c r="HKW20" s="110"/>
      <c r="HKX20" s="110"/>
      <c r="HKY20" s="110"/>
      <c r="HKZ20" s="110"/>
      <c r="HLA20" s="110"/>
      <c r="HLB20" s="110"/>
      <c r="HLC20" s="110"/>
      <c r="HLD20" s="110"/>
      <c r="HLE20" s="110"/>
      <c r="HLF20" s="110"/>
      <c r="HLG20" s="110"/>
      <c r="HLH20" s="110"/>
      <c r="HLI20" s="110"/>
      <c r="HLJ20" s="110"/>
      <c r="HLK20" s="110"/>
      <c r="HLL20" s="110"/>
      <c r="HLM20" s="110"/>
      <c r="HLN20" s="110"/>
      <c r="HLO20" s="110"/>
      <c r="HLP20" s="110"/>
      <c r="HLQ20" s="110"/>
      <c r="HLR20" s="110"/>
      <c r="HLS20" s="110"/>
      <c r="HLT20" s="110"/>
      <c r="HLU20" s="110"/>
      <c r="HLV20" s="110"/>
      <c r="HLW20" s="110"/>
      <c r="HLX20" s="110"/>
      <c r="HLY20" s="110"/>
      <c r="HLZ20" s="110"/>
      <c r="HMA20" s="110"/>
      <c r="HMB20" s="110"/>
      <c r="HMC20" s="110"/>
      <c r="HMD20" s="110"/>
      <c r="HME20" s="110"/>
      <c r="HMF20" s="110"/>
      <c r="HMG20" s="110"/>
      <c r="HMH20" s="110"/>
      <c r="HMI20" s="110"/>
      <c r="HMJ20" s="110"/>
      <c r="HMK20" s="110"/>
      <c r="HML20" s="110"/>
      <c r="HMM20" s="110"/>
      <c r="HMN20" s="110"/>
      <c r="HMO20" s="110"/>
      <c r="HMP20" s="110"/>
      <c r="HMQ20" s="110"/>
      <c r="HMR20" s="110"/>
      <c r="HMS20" s="110"/>
      <c r="HMT20" s="110"/>
      <c r="HMU20" s="110"/>
      <c r="HMV20" s="110"/>
      <c r="HMW20" s="110"/>
      <c r="HMX20" s="110"/>
      <c r="HMY20" s="110"/>
      <c r="HMZ20" s="110"/>
      <c r="HNA20" s="110"/>
      <c r="HNB20" s="110"/>
      <c r="HNC20" s="110"/>
      <c r="HND20" s="110"/>
      <c r="HNE20" s="110"/>
      <c r="HNF20" s="110"/>
      <c r="HNG20" s="110"/>
      <c r="HNH20" s="110"/>
      <c r="HNI20" s="110"/>
      <c r="HNJ20" s="110"/>
      <c r="HNK20" s="110"/>
      <c r="HNL20" s="110"/>
      <c r="HNM20" s="110"/>
      <c r="HNN20" s="110"/>
      <c r="HNO20" s="110"/>
      <c r="HNP20" s="110"/>
      <c r="HNQ20" s="110"/>
      <c r="HNR20" s="110"/>
      <c r="HNS20" s="110"/>
      <c r="HNT20" s="110"/>
      <c r="HNU20" s="110"/>
      <c r="HNV20" s="110"/>
      <c r="HNW20" s="110"/>
      <c r="HNX20" s="110"/>
      <c r="HNY20" s="110"/>
      <c r="HNZ20" s="110"/>
      <c r="HOA20" s="110"/>
      <c r="HOB20" s="110"/>
      <c r="HOC20" s="110"/>
      <c r="HOD20" s="110"/>
      <c r="HOE20" s="110"/>
      <c r="HOF20" s="110"/>
      <c r="HOG20" s="110"/>
      <c r="HOH20" s="110"/>
      <c r="HOI20" s="110"/>
      <c r="HOJ20" s="110"/>
      <c r="HOK20" s="110"/>
      <c r="HOL20" s="110"/>
      <c r="HOM20" s="110"/>
      <c r="HON20" s="110"/>
      <c r="HOO20" s="110"/>
      <c r="HOP20" s="110"/>
      <c r="HOQ20" s="110"/>
      <c r="HOR20" s="110"/>
      <c r="HOS20" s="110"/>
      <c r="HOT20" s="110"/>
      <c r="HOU20" s="110"/>
      <c r="HOV20" s="110"/>
      <c r="HOW20" s="110"/>
      <c r="HOX20" s="110"/>
      <c r="HOY20" s="110"/>
      <c r="HOZ20" s="110"/>
      <c r="HPA20" s="110"/>
      <c r="HPB20" s="110"/>
      <c r="HPC20" s="110"/>
      <c r="HPD20" s="110"/>
      <c r="HPE20" s="110"/>
      <c r="HPF20" s="110"/>
      <c r="HPG20" s="110"/>
      <c r="HPH20" s="110"/>
      <c r="HPI20" s="110"/>
      <c r="HPJ20" s="110"/>
      <c r="HPK20" s="110"/>
      <c r="HPL20" s="110"/>
      <c r="HPM20" s="110"/>
      <c r="HPN20" s="110"/>
      <c r="HPO20" s="110"/>
      <c r="HPP20" s="110"/>
      <c r="HPQ20" s="110"/>
      <c r="HPR20" s="110"/>
      <c r="HPS20" s="110"/>
      <c r="HPT20" s="110"/>
      <c r="HPU20" s="110"/>
      <c r="HPV20" s="110"/>
      <c r="HPW20" s="110"/>
      <c r="HPX20" s="110"/>
      <c r="HPY20" s="110"/>
      <c r="HPZ20" s="110"/>
      <c r="HQA20" s="110"/>
      <c r="HQB20" s="110"/>
      <c r="HQC20" s="110"/>
      <c r="HQD20" s="110"/>
      <c r="HQE20" s="110"/>
      <c r="HQF20" s="110"/>
      <c r="HQG20" s="110"/>
      <c r="HQH20" s="110"/>
      <c r="HQI20" s="110"/>
      <c r="HQJ20" s="110"/>
      <c r="HQK20" s="110"/>
      <c r="HQL20" s="110"/>
      <c r="HQM20" s="110"/>
      <c r="HQN20" s="110"/>
      <c r="HQO20" s="110"/>
      <c r="HQP20" s="110"/>
      <c r="HQQ20" s="110"/>
      <c r="HQR20" s="110"/>
      <c r="HQS20" s="110"/>
      <c r="HQT20" s="110"/>
      <c r="HQU20" s="110"/>
      <c r="HQV20" s="110"/>
      <c r="HQW20" s="110"/>
      <c r="HQX20" s="110"/>
      <c r="HQY20" s="110"/>
      <c r="HQZ20" s="110"/>
      <c r="HRA20" s="110"/>
      <c r="HRB20" s="110"/>
      <c r="HRC20" s="110"/>
      <c r="HRD20" s="110"/>
      <c r="HRE20" s="110"/>
      <c r="HRF20" s="110"/>
      <c r="HRG20" s="110"/>
      <c r="HRH20" s="110"/>
      <c r="HRI20" s="110"/>
      <c r="HRJ20" s="110"/>
      <c r="HRK20" s="110"/>
      <c r="HRL20" s="110"/>
      <c r="HRM20" s="110"/>
      <c r="HRN20" s="110"/>
      <c r="HRO20" s="110"/>
      <c r="HRP20" s="110"/>
      <c r="HRQ20" s="110"/>
      <c r="HRR20" s="110"/>
      <c r="HRS20" s="110"/>
      <c r="HRT20" s="110"/>
      <c r="HRU20" s="110"/>
      <c r="HRV20" s="110"/>
      <c r="HRW20" s="110"/>
      <c r="HRX20" s="110"/>
      <c r="HRY20" s="110"/>
      <c r="HRZ20" s="110"/>
      <c r="HSA20" s="110"/>
      <c r="HSB20" s="110"/>
      <c r="HSC20" s="110"/>
      <c r="HSD20" s="110"/>
      <c r="HSE20" s="110"/>
      <c r="HSF20" s="110"/>
      <c r="HSG20" s="110"/>
      <c r="HSH20" s="110"/>
      <c r="HSI20" s="110"/>
      <c r="HSJ20" s="110"/>
      <c r="HSK20" s="110"/>
      <c r="HSL20" s="110"/>
      <c r="HSM20" s="110"/>
      <c r="HSN20" s="110"/>
      <c r="HSO20" s="110"/>
      <c r="HSP20" s="110"/>
      <c r="HSQ20" s="110"/>
      <c r="HSR20" s="110"/>
      <c r="HSS20" s="110"/>
      <c r="HST20" s="110"/>
      <c r="HSU20" s="110"/>
      <c r="HSV20" s="110"/>
      <c r="HSW20" s="110"/>
      <c r="HSX20" s="110"/>
      <c r="HSY20" s="110"/>
      <c r="HSZ20" s="110"/>
      <c r="HTA20" s="110"/>
      <c r="HTB20" s="110"/>
      <c r="HTC20" s="110"/>
      <c r="HTD20" s="110"/>
      <c r="HTE20" s="110"/>
      <c r="HTF20" s="110"/>
      <c r="HTG20" s="110"/>
      <c r="HTH20" s="110"/>
      <c r="HTI20" s="110"/>
      <c r="HTJ20" s="110"/>
      <c r="HTK20" s="110"/>
      <c r="HTL20" s="110"/>
      <c r="HTM20" s="110"/>
      <c r="HTN20" s="110"/>
      <c r="HTO20" s="110"/>
      <c r="HTP20" s="110"/>
      <c r="HTQ20" s="110"/>
      <c r="HTR20" s="110"/>
      <c r="HTS20" s="110"/>
      <c r="HTT20" s="110"/>
      <c r="HTU20" s="110"/>
      <c r="HTV20" s="110"/>
      <c r="HTW20" s="110"/>
      <c r="HTX20" s="110"/>
      <c r="HTY20" s="110"/>
      <c r="HTZ20" s="110"/>
      <c r="HUA20" s="110"/>
      <c r="HUB20" s="110"/>
      <c r="HUC20" s="110"/>
      <c r="HUD20" s="110"/>
      <c r="HUE20" s="110"/>
      <c r="HUF20" s="110"/>
      <c r="HUG20" s="110"/>
      <c r="HUH20" s="110"/>
      <c r="HUI20" s="110"/>
      <c r="HUJ20" s="110"/>
      <c r="HUK20" s="110"/>
      <c r="HUL20" s="110"/>
      <c r="HUM20" s="110"/>
      <c r="HUN20" s="110"/>
      <c r="HUO20" s="110"/>
      <c r="HUP20" s="110"/>
      <c r="HUQ20" s="110"/>
      <c r="HUR20" s="110"/>
      <c r="HUS20" s="110"/>
      <c r="HUT20" s="110"/>
      <c r="HUU20" s="110"/>
      <c r="HUV20" s="110"/>
      <c r="HUW20" s="110"/>
      <c r="HUX20" s="110"/>
      <c r="HUY20" s="110"/>
      <c r="HUZ20" s="110"/>
      <c r="HVA20" s="110"/>
      <c r="HVB20" s="110"/>
      <c r="HVC20" s="110"/>
      <c r="HVD20" s="110"/>
      <c r="HVE20" s="110"/>
      <c r="HVF20" s="110"/>
      <c r="HVG20" s="110"/>
      <c r="HVH20" s="110"/>
      <c r="HVI20" s="110"/>
      <c r="HVJ20" s="110"/>
      <c r="HVK20" s="110"/>
      <c r="HVL20" s="110"/>
      <c r="HVM20" s="110"/>
      <c r="HVN20" s="110"/>
      <c r="HVO20" s="110"/>
      <c r="HVP20" s="110"/>
      <c r="HVQ20" s="110"/>
      <c r="HVR20" s="110"/>
      <c r="HVS20" s="110"/>
      <c r="HVT20" s="110"/>
      <c r="HVU20" s="110"/>
      <c r="HVV20" s="110"/>
      <c r="HVW20" s="110"/>
      <c r="HVX20" s="110"/>
      <c r="HVY20" s="110"/>
      <c r="HVZ20" s="110"/>
      <c r="HWA20" s="110"/>
      <c r="HWB20" s="110"/>
      <c r="HWC20" s="110"/>
      <c r="HWD20" s="110"/>
      <c r="HWE20" s="110"/>
      <c r="HWF20" s="110"/>
      <c r="HWG20" s="110"/>
      <c r="HWH20" s="110"/>
      <c r="HWI20" s="110"/>
      <c r="HWJ20" s="110"/>
      <c r="HWK20" s="110"/>
      <c r="HWL20" s="110"/>
      <c r="HWM20" s="110"/>
      <c r="HWN20" s="110"/>
      <c r="HWO20" s="110"/>
      <c r="HWP20" s="110"/>
      <c r="HWQ20" s="110"/>
      <c r="HWR20" s="110"/>
      <c r="HWS20" s="110"/>
      <c r="HWT20" s="110"/>
      <c r="HWU20" s="110"/>
      <c r="HWV20" s="110"/>
      <c r="HWW20" s="110"/>
      <c r="HWX20" s="110"/>
      <c r="HWY20" s="110"/>
      <c r="HWZ20" s="110"/>
      <c r="HXA20" s="110"/>
      <c r="HXB20" s="110"/>
      <c r="HXC20" s="110"/>
      <c r="HXD20" s="110"/>
      <c r="HXE20" s="110"/>
      <c r="HXF20" s="110"/>
      <c r="HXG20" s="110"/>
      <c r="HXH20" s="110"/>
      <c r="HXI20" s="110"/>
      <c r="HXJ20" s="110"/>
      <c r="HXK20" s="110"/>
      <c r="HXL20" s="110"/>
      <c r="HXM20" s="110"/>
      <c r="HXN20" s="110"/>
      <c r="HXO20" s="110"/>
      <c r="HXP20" s="110"/>
      <c r="HXQ20" s="110"/>
      <c r="HXR20" s="110"/>
      <c r="HXS20" s="110"/>
      <c r="HXT20" s="110"/>
      <c r="HXU20" s="110"/>
      <c r="HXV20" s="110"/>
      <c r="HXW20" s="110"/>
      <c r="HXX20" s="110"/>
      <c r="HXY20" s="110"/>
      <c r="HXZ20" s="110"/>
      <c r="HYA20" s="110"/>
      <c r="HYB20" s="110"/>
      <c r="HYC20" s="110"/>
      <c r="HYD20" s="110"/>
      <c r="HYE20" s="110"/>
      <c r="HYF20" s="110"/>
      <c r="HYG20" s="110"/>
      <c r="HYH20" s="110"/>
      <c r="HYI20" s="110"/>
      <c r="HYJ20" s="110"/>
      <c r="HYK20" s="110"/>
      <c r="HYL20" s="110"/>
      <c r="HYM20" s="110"/>
      <c r="HYN20" s="110"/>
      <c r="HYO20" s="110"/>
      <c r="HYP20" s="110"/>
      <c r="HYQ20" s="110"/>
      <c r="HYR20" s="110"/>
      <c r="HYS20" s="110"/>
      <c r="HYT20" s="110"/>
      <c r="HYU20" s="110"/>
      <c r="HYV20" s="110"/>
      <c r="HYW20" s="110"/>
      <c r="HYX20" s="110"/>
      <c r="HYY20" s="110"/>
      <c r="HYZ20" s="110"/>
      <c r="HZA20" s="110"/>
      <c r="HZB20" s="110"/>
      <c r="HZC20" s="110"/>
      <c r="HZD20" s="110"/>
      <c r="HZE20" s="110"/>
      <c r="HZF20" s="110"/>
      <c r="HZG20" s="110"/>
      <c r="HZH20" s="110"/>
      <c r="HZI20" s="110"/>
      <c r="HZJ20" s="110"/>
      <c r="HZK20" s="110"/>
      <c r="HZL20" s="110"/>
      <c r="HZM20" s="110"/>
      <c r="HZN20" s="110"/>
      <c r="HZO20" s="110"/>
      <c r="HZP20" s="110"/>
      <c r="HZQ20" s="110"/>
      <c r="HZR20" s="110"/>
      <c r="HZS20" s="110"/>
      <c r="HZT20" s="110"/>
      <c r="HZU20" s="110"/>
      <c r="HZV20" s="110"/>
      <c r="HZW20" s="110"/>
      <c r="HZX20" s="110"/>
      <c r="HZY20" s="110"/>
      <c r="HZZ20" s="110"/>
      <c r="IAA20" s="110"/>
      <c r="IAB20" s="110"/>
      <c r="IAC20" s="110"/>
      <c r="IAD20" s="110"/>
      <c r="IAE20" s="110"/>
      <c r="IAF20" s="110"/>
      <c r="IAG20" s="110"/>
      <c r="IAH20" s="110"/>
      <c r="IAI20" s="110"/>
      <c r="IAJ20" s="110"/>
      <c r="IAK20" s="110"/>
      <c r="IAL20" s="110"/>
      <c r="IAM20" s="110"/>
      <c r="IAN20" s="110"/>
      <c r="IAO20" s="110"/>
      <c r="IAP20" s="110"/>
      <c r="IAQ20" s="110"/>
      <c r="IAR20" s="110"/>
      <c r="IAS20" s="110"/>
      <c r="IAT20" s="110"/>
      <c r="IAU20" s="110"/>
      <c r="IAV20" s="110"/>
      <c r="IAW20" s="110"/>
      <c r="IAX20" s="110"/>
      <c r="IAY20" s="110"/>
      <c r="IAZ20" s="110"/>
      <c r="IBA20" s="110"/>
      <c r="IBB20" s="110"/>
      <c r="IBC20" s="110"/>
      <c r="IBD20" s="110"/>
      <c r="IBE20" s="110"/>
      <c r="IBF20" s="110"/>
      <c r="IBG20" s="110"/>
      <c r="IBH20" s="110"/>
      <c r="IBI20" s="110"/>
      <c r="IBJ20" s="110"/>
      <c r="IBK20" s="110"/>
      <c r="IBL20" s="110"/>
      <c r="IBM20" s="110"/>
      <c r="IBN20" s="110"/>
      <c r="IBO20" s="110"/>
      <c r="IBP20" s="110"/>
      <c r="IBQ20" s="110"/>
      <c r="IBR20" s="110"/>
      <c r="IBS20" s="110"/>
      <c r="IBT20" s="110"/>
      <c r="IBU20" s="110"/>
      <c r="IBV20" s="110"/>
      <c r="IBW20" s="110"/>
      <c r="IBX20" s="110"/>
      <c r="IBY20" s="110"/>
      <c r="IBZ20" s="110"/>
      <c r="ICA20" s="110"/>
      <c r="ICB20" s="110"/>
      <c r="ICC20" s="110"/>
      <c r="ICD20" s="110"/>
      <c r="ICE20" s="110"/>
      <c r="ICF20" s="110"/>
      <c r="ICG20" s="110"/>
      <c r="ICH20" s="110"/>
      <c r="ICI20" s="110"/>
      <c r="ICJ20" s="110"/>
      <c r="ICK20" s="110"/>
      <c r="ICL20" s="110"/>
      <c r="ICM20" s="110"/>
      <c r="ICN20" s="110"/>
      <c r="ICO20" s="110"/>
      <c r="ICP20" s="110"/>
      <c r="ICQ20" s="110"/>
      <c r="ICR20" s="110"/>
      <c r="ICS20" s="110"/>
      <c r="ICT20" s="110"/>
      <c r="ICU20" s="110"/>
      <c r="ICV20" s="110"/>
      <c r="ICW20" s="110"/>
      <c r="ICX20" s="110"/>
      <c r="ICY20" s="110"/>
      <c r="ICZ20" s="110"/>
      <c r="IDA20" s="110"/>
      <c r="IDB20" s="110"/>
      <c r="IDC20" s="110"/>
      <c r="IDD20" s="110"/>
      <c r="IDE20" s="110"/>
      <c r="IDF20" s="110"/>
      <c r="IDG20" s="110"/>
      <c r="IDH20" s="110"/>
      <c r="IDI20" s="110"/>
      <c r="IDJ20" s="110"/>
      <c r="IDK20" s="110"/>
      <c r="IDL20" s="110"/>
      <c r="IDM20" s="110"/>
      <c r="IDN20" s="110"/>
      <c r="IDO20" s="110"/>
      <c r="IDP20" s="110"/>
      <c r="IDQ20" s="110"/>
      <c r="IDR20" s="110"/>
      <c r="IDS20" s="110"/>
      <c r="IDT20" s="110"/>
      <c r="IDU20" s="110"/>
      <c r="IDV20" s="110"/>
      <c r="IDW20" s="110"/>
      <c r="IDX20" s="110"/>
      <c r="IDY20" s="110"/>
      <c r="IDZ20" s="110"/>
      <c r="IEA20" s="110"/>
      <c r="IEB20" s="110"/>
      <c r="IEC20" s="110"/>
      <c r="IED20" s="110"/>
      <c r="IEE20" s="110"/>
      <c r="IEF20" s="110"/>
      <c r="IEG20" s="110"/>
      <c r="IEH20" s="110"/>
      <c r="IEI20" s="110"/>
      <c r="IEJ20" s="110"/>
      <c r="IEK20" s="110"/>
      <c r="IEL20" s="110"/>
      <c r="IEM20" s="110"/>
      <c r="IEN20" s="110"/>
      <c r="IEO20" s="110"/>
      <c r="IEP20" s="110"/>
      <c r="IEQ20" s="110"/>
      <c r="IER20" s="110"/>
      <c r="IES20" s="110"/>
      <c r="IET20" s="110"/>
      <c r="IEU20" s="110"/>
      <c r="IEV20" s="110"/>
      <c r="IEW20" s="110"/>
      <c r="IEX20" s="110"/>
      <c r="IEY20" s="110"/>
      <c r="IEZ20" s="110"/>
      <c r="IFA20" s="110"/>
      <c r="IFB20" s="110"/>
      <c r="IFC20" s="110"/>
      <c r="IFD20" s="110"/>
      <c r="IFE20" s="110"/>
      <c r="IFF20" s="110"/>
      <c r="IFG20" s="110"/>
      <c r="IFH20" s="110"/>
      <c r="IFI20" s="110"/>
      <c r="IFJ20" s="110"/>
      <c r="IFK20" s="110"/>
      <c r="IFL20" s="110"/>
      <c r="IFM20" s="110"/>
      <c r="IFN20" s="110"/>
      <c r="IFO20" s="110"/>
      <c r="IFP20" s="110"/>
      <c r="IFQ20" s="110"/>
      <c r="IFR20" s="110"/>
      <c r="IFS20" s="110"/>
      <c r="IFT20" s="110"/>
      <c r="IFU20" s="110"/>
      <c r="IFV20" s="110"/>
      <c r="IFW20" s="110"/>
      <c r="IFX20" s="110"/>
      <c r="IFY20" s="110"/>
      <c r="IFZ20" s="110"/>
      <c r="IGA20" s="110"/>
      <c r="IGB20" s="110"/>
      <c r="IGC20" s="110"/>
      <c r="IGD20" s="110"/>
      <c r="IGE20" s="110"/>
      <c r="IGF20" s="110"/>
      <c r="IGG20" s="110"/>
      <c r="IGH20" s="110"/>
      <c r="IGI20" s="110"/>
      <c r="IGJ20" s="110"/>
      <c r="IGK20" s="110"/>
      <c r="IGL20" s="110"/>
      <c r="IGM20" s="110"/>
      <c r="IGN20" s="110"/>
      <c r="IGO20" s="110"/>
      <c r="IGP20" s="110"/>
      <c r="IGQ20" s="110"/>
      <c r="IGR20" s="110"/>
      <c r="IGS20" s="110"/>
      <c r="IGT20" s="110"/>
      <c r="IGU20" s="110"/>
      <c r="IGV20" s="110"/>
      <c r="IGW20" s="110"/>
      <c r="IGX20" s="110"/>
      <c r="IGY20" s="110"/>
      <c r="IGZ20" s="110"/>
      <c r="IHA20" s="110"/>
      <c r="IHB20" s="110"/>
      <c r="IHC20" s="110"/>
      <c r="IHD20" s="110"/>
      <c r="IHE20" s="110"/>
      <c r="IHF20" s="110"/>
      <c r="IHG20" s="110"/>
      <c r="IHH20" s="110"/>
      <c r="IHI20" s="110"/>
      <c r="IHJ20" s="110"/>
      <c r="IHK20" s="110"/>
      <c r="IHL20" s="110"/>
      <c r="IHM20" s="110"/>
      <c r="IHN20" s="110"/>
      <c r="IHO20" s="110"/>
      <c r="IHP20" s="110"/>
      <c r="IHQ20" s="110"/>
      <c r="IHR20" s="110"/>
      <c r="IHS20" s="110"/>
      <c r="IHT20" s="110"/>
      <c r="IHU20" s="110"/>
      <c r="IHV20" s="110"/>
      <c r="IHW20" s="110"/>
      <c r="IHX20" s="110"/>
      <c r="IHY20" s="110"/>
      <c r="IHZ20" s="110"/>
      <c r="IIA20" s="110"/>
      <c r="IIB20" s="110"/>
      <c r="IIC20" s="110"/>
      <c r="IID20" s="110"/>
      <c r="IIE20" s="110"/>
      <c r="IIF20" s="110"/>
      <c r="IIG20" s="110"/>
      <c r="IIH20" s="110"/>
      <c r="III20" s="110"/>
      <c r="IIJ20" s="110"/>
      <c r="IIK20" s="110"/>
      <c r="IIL20" s="110"/>
      <c r="IIM20" s="110"/>
      <c r="IIN20" s="110"/>
      <c r="IIO20" s="110"/>
      <c r="IIP20" s="110"/>
      <c r="IIQ20" s="110"/>
      <c r="IIR20" s="110"/>
      <c r="IIS20" s="110"/>
      <c r="IIT20" s="110"/>
      <c r="IIU20" s="110"/>
      <c r="IIV20" s="110"/>
      <c r="IIW20" s="110"/>
      <c r="IIX20" s="110"/>
      <c r="IIY20" s="110"/>
      <c r="IIZ20" s="110"/>
      <c r="IJA20" s="110"/>
      <c r="IJB20" s="110"/>
      <c r="IJC20" s="110"/>
      <c r="IJD20" s="110"/>
      <c r="IJE20" s="110"/>
      <c r="IJF20" s="110"/>
      <c r="IJG20" s="110"/>
      <c r="IJH20" s="110"/>
      <c r="IJI20" s="110"/>
      <c r="IJJ20" s="110"/>
      <c r="IJK20" s="110"/>
      <c r="IJL20" s="110"/>
      <c r="IJM20" s="110"/>
      <c r="IJN20" s="110"/>
      <c r="IJO20" s="110"/>
      <c r="IJP20" s="110"/>
      <c r="IJQ20" s="110"/>
      <c r="IJR20" s="110"/>
      <c r="IJS20" s="110"/>
      <c r="IJT20" s="110"/>
      <c r="IJU20" s="110"/>
      <c r="IJV20" s="110"/>
      <c r="IJW20" s="110"/>
      <c r="IJX20" s="110"/>
      <c r="IJY20" s="110"/>
      <c r="IJZ20" s="110"/>
      <c r="IKA20" s="110"/>
      <c r="IKB20" s="110"/>
      <c r="IKC20" s="110"/>
      <c r="IKD20" s="110"/>
      <c r="IKE20" s="110"/>
      <c r="IKF20" s="110"/>
      <c r="IKG20" s="110"/>
      <c r="IKH20" s="110"/>
      <c r="IKI20" s="110"/>
      <c r="IKJ20" s="110"/>
      <c r="IKK20" s="110"/>
      <c r="IKL20" s="110"/>
      <c r="IKM20" s="110"/>
      <c r="IKN20" s="110"/>
      <c r="IKO20" s="110"/>
      <c r="IKP20" s="110"/>
      <c r="IKQ20" s="110"/>
      <c r="IKR20" s="110"/>
      <c r="IKS20" s="110"/>
      <c r="IKT20" s="110"/>
      <c r="IKU20" s="110"/>
      <c r="IKV20" s="110"/>
      <c r="IKW20" s="110"/>
      <c r="IKX20" s="110"/>
      <c r="IKY20" s="110"/>
      <c r="IKZ20" s="110"/>
      <c r="ILA20" s="110"/>
      <c r="ILB20" s="110"/>
      <c r="ILC20" s="110"/>
      <c r="ILD20" s="110"/>
      <c r="ILE20" s="110"/>
      <c r="ILF20" s="110"/>
      <c r="ILG20" s="110"/>
      <c r="ILH20" s="110"/>
      <c r="ILI20" s="110"/>
      <c r="ILJ20" s="110"/>
      <c r="ILK20" s="110"/>
      <c r="ILL20" s="110"/>
      <c r="ILM20" s="110"/>
      <c r="ILN20" s="110"/>
      <c r="ILO20" s="110"/>
      <c r="ILP20" s="110"/>
      <c r="ILQ20" s="110"/>
      <c r="ILR20" s="110"/>
      <c r="ILS20" s="110"/>
      <c r="ILT20" s="110"/>
      <c r="ILU20" s="110"/>
      <c r="ILV20" s="110"/>
      <c r="ILW20" s="110"/>
      <c r="ILX20" s="110"/>
      <c r="ILY20" s="110"/>
      <c r="ILZ20" s="110"/>
      <c r="IMA20" s="110"/>
      <c r="IMB20" s="110"/>
      <c r="IMC20" s="110"/>
      <c r="IMD20" s="110"/>
      <c r="IME20" s="110"/>
      <c r="IMF20" s="110"/>
      <c r="IMG20" s="110"/>
      <c r="IMH20" s="110"/>
      <c r="IMI20" s="110"/>
      <c r="IMJ20" s="110"/>
      <c r="IMK20" s="110"/>
      <c r="IML20" s="110"/>
      <c r="IMM20" s="110"/>
      <c r="IMN20" s="110"/>
      <c r="IMO20" s="110"/>
      <c r="IMP20" s="110"/>
      <c r="IMQ20" s="110"/>
      <c r="IMR20" s="110"/>
      <c r="IMS20" s="110"/>
      <c r="IMT20" s="110"/>
      <c r="IMU20" s="110"/>
      <c r="IMV20" s="110"/>
      <c r="IMW20" s="110"/>
      <c r="IMX20" s="110"/>
      <c r="IMY20" s="110"/>
      <c r="IMZ20" s="110"/>
      <c r="INA20" s="110"/>
      <c r="INB20" s="110"/>
      <c r="INC20" s="110"/>
      <c r="IND20" s="110"/>
      <c r="INE20" s="110"/>
      <c r="INF20" s="110"/>
      <c r="ING20" s="110"/>
      <c r="INH20" s="110"/>
      <c r="INI20" s="110"/>
      <c r="INJ20" s="110"/>
      <c r="INK20" s="110"/>
      <c r="INL20" s="110"/>
      <c r="INM20" s="110"/>
      <c r="INN20" s="110"/>
      <c r="INO20" s="110"/>
      <c r="INP20" s="110"/>
      <c r="INQ20" s="110"/>
      <c r="INR20" s="110"/>
      <c r="INS20" s="110"/>
      <c r="INT20" s="110"/>
      <c r="INU20" s="110"/>
      <c r="INV20" s="110"/>
      <c r="INW20" s="110"/>
      <c r="INX20" s="110"/>
      <c r="INY20" s="110"/>
      <c r="INZ20" s="110"/>
      <c r="IOA20" s="110"/>
      <c r="IOB20" s="110"/>
      <c r="IOC20" s="110"/>
      <c r="IOD20" s="110"/>
      <c r="IOE20" s="110"/>
      <c r="IOF20" s="110"/>
      <c r="IOG20" s="110"/>
      <c r="IOH20" s="110"/>
      <c r="IOI20" s="110"/>
      <c r="IOJ20" s="110"/>
      <c r="IOK20" s="110"/>
      <c r="IOL20" s="110"/>
      <c r="IOM20" s="110"/>
      <c r="ION20" s="110"/>
      <c r="IOO20" s="110"/>
      <c r="IOP20" s="110"/>
      <c r="IOQ20" s="110"/>
      <c r="IOR20" s="110"/>
      <c r="IOS20" s="110"/>
      <c r="IOT20" s="110"/>
      <c r="IOU20" s="110"/>
      <c r="IOV20" s="110"/>
      <c r="IOW20" s="110"/>
      <c r="IOX20" s="110"/>
      <c r="IOY20" s="110"/>
      <c r="IOZ20" s="110"/>
      <c r="IPA20" s="110"/>
      <c r="IPB20" s="110"/>
      <c r="IPC20" s="110"/>
      <c r="IPD20" s="110"/>
      <c r="IPE20" s="110"/>
      <c r="IPF20" s="110"/>
      <c r="IPG20" s="110"/>
      <c r="IPH20" s="110"/>
      <c r="IPI20" s="110"/>
      <c r="IPJ20" s="110"/>
      <c r="IPK20" s="110"/>
      <c r="IPL20" s="110"/>
      <c r="IPM20" s="110"/>
      <c r="IPN20" s="110"/>
      <c r="IPO20" s="110"/>
      <c r="IPP20" s="110"/>
      <c r="IPQ20" s="110"/>
      <c r="IPR20" s="110"/>
      <c r="IPS20" s="110"/>
      <c r="IPT20" s="110"/>
      <c r="IPU20" s="110"/>
      <c r="IPV20" s="110"/>
      <c r="IPW20" s="110"/>
      <c r="IPX20" s="110"/>
      <c r="IPY20" s="110"/>
      <c r="IPZ20" s="110"/>
      <c r="IQA20" s="110"/>
      <c r="IQB20" s="110"/>
      <c r="IQC20" s="110"/>
      <c r="IQD20" s="110"/>
      <c r="IQE20" s="110"/>
      <c r="IQF20" s="110"/>
      <c r="IQG20" s="110"/>
      <c r="IQH20" s="110"/>
      <c r="IQI20" s="110"/>
      <c r="IQJ20" s="110"/>
      <c r="IQK20" s="110"/>
      <c r="IQL20" s="110"/>
      <c r="IQM20" s="110"/>
      <c r="IQN20" s="110"/>
      <c r="IQO20" s="110"/>
      <c r="IQP20" s="110"/>
      <c r="IQQ20" s="110"/>
      <c r="IQR20" s="110"/>
      <c r="IQS20" s="110"/>
      <c r="IQT20" s="110"/>
      <c r="IQU20" s="110"/>
      <c r="IQV20" s="110"/>
      <c r="IQW20" s="110"/>
      <c r="IQX20" s="110"/>
      <c r="IQY20" s="110"/>
      <c r="IQZ20" s="110"/>
      <c r="IRA20" s="110"/>
      <c r="IRB20" s="110"/>
      <c r="IRC20" s="110"/>
      <c r="IRD20" s="110"/>
      <c r="IRE20" s="110"/>
      <c r="IRF20" s="110"/>
      <c r="IRG20" s="110"/>
      <c r="IRH20" s="110"/>
      <c r="IRI20" s="110"/>
      <c r="IRJ20" s="110"/>
      <c r="IRK20" s="110"/>
      <c r="IRL20" s="110"/>
      <c r="IRM20" s="110"/>
      <c r="IRN20" s="110"/>
      <c r="IRO20" s="110"/>
      <c r="IRP20" s="110"/>
      <c r="IRQ20" s="110"/>
      <c r="IRR20" s="110"/>
      <c r="IRS20" s="110"/>
      <c r="IRT20" s="110"/>
      <c r="IRU20" s="110"/>
      <c r="IRV20" s="110"/>
      <c r="IRW20" s="110"/>
      <c r="IRX20" s="110"/>
      <c r="IRY20" s="110"/>
      <c r="IRZ20" s="110"/>
      <c r="ISA20" s="110"/>
      <c r="ISB20" s="110"/>
      <c r="ISC20" s="110"/>
      <c r="ISD20" s="110"/>
      <c r="ISE20" s="110"/>
      <c r="ISF20" s="110"/>
      <c r="ISG20" s="110"/>
      <c r="ISH20" s="110"/>
      <c r="ISI20" s="110"/>
      <c r="ISJ20" s="110"/>
      <c r="ISK20" s="110"/>
      <c r="ISL20" s="110"/>
      <c r="ISM20" s="110"/>
      <c r="ISN20" s="110"/>
      <c r="ISO20" s="110"/>
      <c r="ISP20" s="110"/>
      <c r="ISQ20" s="110"/>
      <c r="ISR20" s="110"/>
      <c r="ISS20" s="110"/>
      <c r="IST20" s="110"/>
      <c r="ISU20" s="110"/>
      <c r="ISV20" s="110"/>
      <c r="ISW20" s="110"/>
      <c r="ISX20" s="110"/>
      <c r="ISY20" s="110"/>
      <c r="ISZ20" s="110"/>
      <c r="ITA20" s="110"/>
      <c r="ITB20" s="110"/>
      <c r="ITC20" s="110"/>
      <c r="ITD20" s="110"/>
      <c r="ITE20" s="110"/>
      <c r="ITF20" s="110"/>
      <c r="ITG20" s="110"/>
      <c r="ITH20" s="110"/>
      <c r="ITI20" s="110"/>
      <c r="ITJ20" s="110"/>
      <c r="ITK20" s="110"/>
      <c r="ITL20" s="110"/>
      <c r="ITM20" s="110"/>
      <c r="ITN20" s="110"/>
      <c r="ITO20" s="110"/>
      <c r="ITP20" s="110"/>
      <c r="ITQ20" s="110"/>
      <c r="ITR20" s="110"/>
      <c r="ITS20" s="110"/>
      <c r="ITT20" s="110"/>
      <c r="ITU20" s="110"/>
      <c r="ITV20" s="110"/>
      <c r="ITW20" s="110"/>
      <c r="ITX20" s="110"/>
      <c r="ITY20" s="110"/>
      <c r="ITZ20" s="110"/>
      <c r="IUA20" s="110"/>
      <c r="IUB20" s="110"/>
      <c r="IUC20" s="110"/>
      <c r="IUD20" s="110"/>
      <c r="IUE20" s="110"/>
      <c r="IUF20" s="110"/>
      <c r="IUG20" s="110"/>
      <c r="IUH20" s="110"/>
      <c r="IUI20" s="110"/>
      <c r="IUJ20" s="110"/>
      <c r="IUK20" s="110"/>
      <c r="IUL20" s="110"/>
      <c r="IUM20" s="110"/>
      <c r="IUN20" s="110"/>
      <c r="IUO20" s="110"/>
      <c r="IUP20" s="110"/>
      <c r="IUQ20" s="110"/>
      <c r="IUR20" s="110"/>
      <c r="IUS20" s="110"/>
      <c r="IUT20" s="110"/>
      <c r="IUU20" s="110"/>
      <c r="IUV20" s="110"/>
      <c r="IUW20" s="110"/>
      <c r="IUX20" s="110"/>
      <c r="IUY20" s="110"/>
      <c r="IUZ20" s="110"/>
      <c r="IVA20" s="110"/>
      <c r="IVB20" s="110"/>
      <c r="IVC20" s="110"/>
      <c r="IVD20" s="110"/>
      <c r="IVE20" s="110"/>
      <c r="IVF20" s="110"/>
      <c r="IVG20" s="110"/>
      <c r="IVH20" s="110"/>
      <c r="IVI20" s="110"/>
      <c r="IVJ20" s="110"/>
      <c r="IVK20" s="110"/>
      <c r="IVL20" s="110"/>
      <c r="IVM20" s="110"/>
      <c r="IVN20" s="110"/>
      <c r="IVO20" s="110"/>
      <c r="IVP20" s="110"/>
      <c r="IVQ20" s="110"/>
      <c r="IVR20" s="110"/>
      <c r="IVS20" s="110"/>
      <c r="IVT20" s="110"/>
      <c r="IVU20" s="110"/>
      <c r="IVV20" s="110"/>
      <c r="IVW20" s="110"/>
      <c r="IVX20" s="110"/>
      <c r="IVY20" s="110"/>
      <c r="IVZ20" s="110"/>
      <c r="IWA20" s="110"/>
      <c r="IWB20" s="110"/>
      <c r="IWC20" s="110"/>
      <c r="IWD20" s="110"/>
      <c r="IWE20" s="110"/>
      <c r="IWF20" s="110"/>
      <c r="IWG20" s="110"/>
      <c r="IWH20" s="110"/>
      <c r="IWI20" s="110"/>
      <c r="IWJ20" s="110"/>
      <c r="IWK20" s="110"/>
      <c r="IWL20" s="110"/>
      <c r="IWM20" s="110"/>
      <c r="IWN20" s="110"/>
      <c r="IWO20" s="110"/>
      <c r="IWP20" s="110"/>
      <c r="IWQ20" s="110"/>
      <c r="IWR20" s="110"/>
      <c r="IWS20" s="110"/>
      <c r="IWT20" s="110"/>
      <c r="IWU20" s="110"/>
      <c r="IWV20" s="110"/>
      <c r="IWW20" s="110"/>
      <c r="IWX20" s="110"/>
      <c r="IWY20" s="110"/>
      <c r="IWZ20" s="110"/>
      <c r="IXA20" s="110"/>
      <c r="IXB20" s="110"/>
      <c r="IXC20" s="110"/>
      <c r="IXD20" s="110"/>
      <c r="IXE20" s="110"/>
      <c r="IXF20" s="110"/>
      <c r="IXG20" s="110"/>
      <c r="IXH20" s="110"/>
      <c r="IXI20" s="110"/>
      <c r="IXJ20" s="110"/>
      <c r="IXK20" s="110"/>
      <c r="IXL20" s="110"/>
      <c r="IXM20" s="110"/>
      <c r="IXN20" s="110"/>
      <c r="IXO20" s="110"/>
      <c r="IXP20" s="110"/>
      <c r="IXQ20" s="110"/>
      <c r="IXR20" s="110"/>
      <c r="IXS20" s="110"/>
      <c r="IXT20" s="110"/>
      <c r="IXU20" s="110"/>
      <c r="IXV20" s="110"/>
      <c r="IXW20" s="110"/>
      <c r="IXX20" s="110"/>
      <c r="IXY20" s="110"/>
      <c r="IXZ20" s="110"/>
      <c r="IYA20" s="110"/>
      <c r="IYB20" s="110"/>
      <c r="IYC20" s="110"/>
      <c r="IYD20" s="110"/>
      <c r="IYE20" s="110"/>
      <c r="IYF20" s="110"/>
      <c r="IYG20" s="110"/>
      <c r="IYH20" s="110"/>
      <c r="IYI20" s="110"/>
      <c r="IYJ20" s="110"/>
      <c r="IYK20" s="110"/>
      <c r="IYL20" s="110"/>
      <c r="IYM20" s="110"/>
      <c r="IYN20" s="110"/>
      <c r="IYO20" s="110"/>
      <c r="IYP20" s="110"/>
      <c r="IYQ20" s="110"/>
      <c r="IYR20" s="110"/>
      <c r="IYS20" s="110"/>
      <c r="IYT20" s="110"/>
      <c r="IYU20" s="110"/>
      <c r="IYV20" s="110"/>
      <c r="IYW20" s="110"/>
      <c r="IYX20" s="110"/>
      <c r="IYY20" s="110"/>
      <c r="IYZ20" s="110"/>
      <c r="IZA20" s="110"/>
      <c r="IZB20" s="110"/>
      <c r="IZC20" s="110"/>
      <c r="IZD20" s="110"/>
      <c r="IZE20" s="110"/>
      <c r="IZF20" s="110"/>
      <c r="IZG20" s="110"/>
      <c r="IZH20" s="110"/>
      <c r="IZI20" s="110"/>
      <c r="IZJ20" s="110"/>
      <c r="IZK20" s="110"/>
      <c r="IZL20" s="110"/>
      <c r="IZM20" s="110"/>
      <c r="IZN20" s="110"/>
      <c r="IZO20" s="110"/>
      <c r="IZP20" s="110"/>
      <c r="IZQ20" s="110"/>
      <c r="IZR20" s="110"/>
      <c r="IZS20" s="110"/>
      <c r="IZT20" s="110"/>
      <c r="IZU20" s="110"/>
      <c r="IZV20" s="110"/>
      <c r="IZW20" s="110"/>
      <c r="IZX20" s="110"/>
      <c r="IZY20" s="110"/>
      <c r="IZZ20" s="110"/>
      <c r="JAA20" s="110"/>
      <c r="JAB20" s="110"/>
      <c r="JAC20" s="110"/>
      <c r="JAD20" s="110"/>
      <c r="JAE20" s="110"/>
      <c r="JAF20" s="110"/>
      <c r="JAG20" s="110"/>
      <c r="JAH20" s="110"/>
      <c r="JAI20" s="110"/>
      <c r="JAJ20" s="110"/>
      <c r="JAK20" s="110"/>
      <c r="JAL20" s="110"/>
      <c r="JAM20" s="110"/>
      <c r="JAN20" s="110"/>
      <c r="JAO20" s="110"/>
      <c r="JAP20" s="110"/>
      <c r="JAQ20" s="110"/>
      <c r="JAR20" s="110"/>
      <c r="JAS20" s="110"/>
      <c r="JAT20" s="110"/>
      <c r="JAU20" s="110"/>
      <c r="JAV20" s="110"/>
      <c r="JAW20" s="110"/>
      <c r="JAX20" s="110"/>
      <c r="JAY20" s="110"/>
      <c r="JAZ20" s="110"/>
      <c r="JBA20" s="110"/>
      <c r="JBB20" s="110"/>
      <c r="JBC20" s="110"/>
      <c r="JBD20" s="110"/>
      <c r="JBE20" s="110"/>
      <c r="JBF20" s="110"/>
      <c r="JBG20" s="110"/>
      <c r="JBH20" s="110"/>
      <c r="JBI20" s="110"/>
      <c r="JBJ20" s="110"/>
      <c r="JBK20" s="110"/>
      <c r="JBL20" s="110"/>
      <c r="JBM20" s="110"/>
      <c r="JBN20" s="110"/>
      <c r="JBO20" s="110"/>
      <c r="JBP20" s="110"/>
      <c r="JBQ20" s="110"/>
      <c r="JBR20" s="110"/>
      <c r="JBS20" s="110"/>
      <c r="JBT20" s="110"/>
      <c r="JBU20" s="110"/>
      <c r="JBV20" s="110"/>
      <c r="JBW20" s="110"/>
      <c r="JBX20" s="110"/>
      <c r="JBY20" s="110"/>
      <c r="JBZ20" s="110"/>
      <c r="JCA20" s="110"/>
      <c r="JCB20" s="110"/>
      <c r="JCC20" s="110"/>
      <c r="JCD20" s="110"/>
      <c r="JCE20" s="110"/>
      <c r="JCF20" s="110"/>
      <c r="JCG20" s="110"/>
      <c r="JCH20" s="110"/>
      <c r="JCI20" s="110"/>
      <c r="JCJ20" s="110"/>
      <c r="JCK20" s="110"/>
      <c r="JCL20" s="110"/>
      <c r="JCM20" s="110"/>
      <c r="JCN20" s="110"/>
      <c r="JCO20" s="110"/>
      <c r="JCP20" s="110"/>
      <c r="JCQ20" s="110"/>
      <c r="JCR20" s="110"/>
      <c r="JCS20" s="110"/>
      <c r="JCT20" s="110"/>
      <c r="JCU20" s="110"/>
      <c r="JCV20" s="110"/>
      <c r="JCW20" s="110"/>
      <c r="JCX20" s="110"/>
      <c r="JCY20" s="110"/>
      <c r="JCZ20" s="110"/>
      <c r="JDA20" s="110"/>
      <c r="JDB20" s="110"/>
      <c r="JDC20" s="110"/>
      <c r="JDD20" s="110"/>
      <c r="JDE20" s="110"/>
      <c r="JDF20" s="110"/>
      <c r="JDG20" s="110"/>
      <c r="JDH20" s="110"/>
      <c r="JDI20" s="110"/>
      <c r="JDJ20" s="110"/>
      <c r="JDK20" s="110"/>
      <c r="JDL20" s="110"/>
      <c r="JDM20" s="110"/>
      <c r="JDN20" s="110"/>
      <c r="JDO20" s="110"/>
      <c r="JDP20" s="110"/>
      <c r="JDQ20" s="110"/>
      <c r="JDR20" s="110"/>
      <c r="JDS20" s="110"/>
      <c r="JDT20" s="110"/>
      <c r="JDU20" s="110"/>
      <c r="JDV20" s="110"/>
      <c r="JDW20" s="110"/>
      <c r="JDX20" s="110"/>
      <c r="JDY20" s="110"/>
      <c r="JDZ20" s="110"/>
      <c r="JEA20" s="110"/>
      <c r="JEB20" s="110"/>
      <c r="JEC20" s="110"/>
      <c r="JED20" s="110"/>
      <c r="JEE20" s="110"/>
      <c r="JEF20" s="110"/>
      <c r="JEG20" s="110"/>
      <c r="JEH20" s="110"/>
      <c r="JEI20" s="110"/>
      <c r="JEJ20" s="110"/>
      <c r="JEK20" s="110"/>
      <c r="JEL20" s="110"/>
      <c r="JEM20" s="110"/>
      <c r="JEN20" s="110"/>
      <c r="JEO20" s="110"/>
      <c r="JEP20" s="110"/>
      <c r="JEQ20" s="110"/>
      <c r="JER20" s="110"/>
      <c r="JES20" s="110"/>
      <c r="JET20" s="110"/>
      <c r="JEU20" s="110"/>
      <c r="JEV20" s="110"/>
      <c r="JEW20" s="110"/>
      <c r="JEX20" s="110"/>
      <c r="JEY20" s="110"/>
      <c r="JEZ20" s="110"/>
      <c r="JFA20" s="110"/>
      <c r="JFB20" s="110"/>
      <c r="JFC20" s="110"/>
      <c r="JFD20" s="110"/>
      <c r="JFE20" s="110"/>
      <c r="JFF20" s="110"/>
      <c r="JFG20" s="110"/>
      <c r="JFH20" s="110"/>
      <c r="JFI20" s="110"/>
      <c r="JFJ20" s="110"/>
      <c r="JFK20" s="110"/>
      <c r="JFL20" s="110"/>
      <c r="JFM20" s="110"/>
      <c r="JFN20" s="110"/>
      <c r="JFO20" s="110"/>
      <c r="JFP20" s="110"/>
      <c r="JFQ20" s="110"/>
      <c r="JFR20" s="110"/>
      <c r="JFS20" s="110"/>
      <c r="JFT20" s="110"/>
      <c r="JFU20" s="110"/>
      <c r="JFV20" s="110"/>
      <c r="JFW20" s="110"/>
      <c r="JFX20" s="110"/>
      <c r="JFY20" s="110"/>
      <c r="JFZ20" s="110"/>
      <c r="JGA20" s="110"/>
      <c r="JGB20" s="110"/>
      <c r="JGC20" s="110"/>
      <c r="JGD20" s="110"/>
      <c r="JGE20" s="110"/>
      <c r="JGF20" s="110"/>
      <c r="JGG20" s="110"/>
      <c r="JGH20" s="110"/>
      <c r="JGI20" s="110"/>
      <c r="JGJ20" s="110"/>
      <c r="JGK20" s="110"/>
      <c r="JGL20" s="110"/>
      <c r="JGM20" s="110"/>
      <c r="JGN20" s="110"/>
      <c r="JGO20" s="110"/>
      <c r="JGP20" s="110"/>
      <c r="JGQ20" s="110"/>
      <c r="JGR20" s="110"/>
      <c r="JGS20" s="110"/>
      <c r="JGT20" s="110"/>
      <c r="JGU20" s="110"/>
      <c r="JGV20" s="110"/>
      <c r="JGW20" s="110"/>
      <c r="JGX20" s="110"/>
      <c r="JGY20" s="110"/>
      <c r="JGZ20" s="110"/>
      <c r="JHA20" s="110"/>
      <c r="JHB20" s="110"/>
      <c r="JHC20" s="110"/>
      <c r="JHD20" s="110"/>
      <c r="JHE20" s="110"/>
      <c r="JHF20" s="110"/>
      <c r="JHG20" s="110"/>
      <c r="JHH20" s="110"/>
      <c r="JHI20" s="110"/>
      <c r="JHJ20" s="110"/>
      <c r="JHK20" s="110"/>
      <c r="JHL20" s="110"/>
      <c r="JHM20" s="110"/>
      <c r="JHN20" s="110"/>
      <c r="JHO20" s="110"/>
      <c r="JHP20" s="110"/>
      <c r="JHQ20" s="110"/>
      <c r="JHR20" s="110"/>
      <c r="JHS20" s="110"/>
      <c r="JHT20" s="110"/>
      <c r="JHU20" s="110"/>
      <c r="JHV20" s="110"/>
      <c r="JHW20" s="110"/>
      <c r="JHX20" s="110"/>
      <c r="JHY20" s="110"/>
      <c r="JHZ20" s="110"/>
      <c r="JIA20" s="110"/>
      <c r="JIB20" s="110"/>
      <c r="JIC20" s="110"/>
      <c r="JID20" s="110"/>
      <c r="JIE20" s="110"/>
      <c r="JIF20" s="110"/>
      <c r="JIG20" s="110"/>
      <c r="JIH20" s="110"/>
      <c r="JII20" s="110"/>
      <c r="JIJ20" s="110"/>
      <c r="JIK20" s="110"/>
      <c r="JIL20" s="110"/>
      <c r="JIM20" s="110"/>
      <c r="JIN20" s="110"/>
      <c r="JIO20" s="110"/>
      <c r="JIP20" s="110"/>
      <c r="JIQ20" s="110"/>
      <c r="JIR20" s="110"/>
      <c r="JIS20" s="110"/>
      <c r="JIT20" s="110"/>
      <c r="JIU20" s="110"/>
      <c r="JIV20" s="110"/>
      <c r="JIW20" s="110"/>
      <c r="JIX20" s="110"/>
      <c r="JIY20" s="110"/>
      <c r="JIZ20" s="110"/>
      <c r="JJA20" s="110"/>
      <c r="JJB20" s="110"/>
      <c r="JJC20" s="110"/>
      <c r="JJD20" s="110"/>
      <c r="JJE20" s="110"/>
      <c r="JJF20" s="110"/>
      <c r="JJG20" s="110"/>
      <c r="JJH20" s="110"/>
      <c r="JJI20" s="110"/>
      <c r="JJJ20" s="110"/>
      <c r="JJK20" s="110"/>
      <c r="JJL20" s="110"/>
      <c r="JJM20" s="110"/>
      <c r="JJN20" s="110"/>
      <c r="JJO20" s="110"/>
      <c r="JJP20" s="110"/>
      <c r="JJQ20" s="110"/>
      <c r="JJR20" s="110"/>
      <c r="JJS20" s="110"/>
      <c r="JJT20" s="110"/>
      <c r="JJU20" s="110"/>
      <c r="JJV20" s="110"/>
      <c r="JJW20" s="110"/>
      <c r="JJX20" s="110"/>
      <c r="JJY20" s="110"/>
      <c r="JJZ20" s="110"/>
      <c r="JKA20" s="110"/>
      <c r="JKB20" s="110"/>
      <c r="JKC20" s="110"/>
      <c r="JKD20" s="110"/>
      <c r="JKE20" s="110"/>
      <c r="JKF20" s="110"/>
      <c r="JKG20" s="110"/>
      <c r="JKH20" s="110"/>
      <c r="JKI20" s="110"/>
      <c r="JKJ20" s="110"/>
      <c r="JKK20" s="110"/>
      <c r="JKL20" s="110"/>
      <c r="JKM20" s="110"/>
      <c r="JKN20" s="110"/>
      <c r="JKO20" s="110"/>
      <c r="JKP20" s="110"/>
      <c r="JKQ20" s="110"/>
      <c r="JKR20" s="110"/>
      <c r="JKS20" s="110"/>
      <c r="JKT20" s="110"/>
      <c r="JKU20" s="110"/>
      <c r="JKV20" s="110"/>
      <c r="JKW20" s="110"/>
      <c r="JKX20" s="110"/>
      <c r="JKY20" s="110"/>
      <c r="JKZ20" s="110"/>
      <c r="JLA20" s="110"/>
      <c r="JLB20" s="110"/>
      <c r="JLC20" s="110"/>
      <c r="JLD20" s="110"/>
      <c r="JLE20" s="110"/>
      <c r="JLF20" s="110"/>
      <c r="JLG20" s="110"/>
      <c r="JLH20" s="110"/>
      <c r="JLI20" s="110"/>
      <c r="JLJ20" s="110"/>
      <c r="JLK20" s="110"/>
      <c r="JLL20" s="110"/>
      <c r="JLM20" s="110"/>
      <c r="JLN20" s="110"/>
      <c r="JLO20" s="110"/>
      <c r="JLP20" s="110"/>
      <c r="JLQ20" s="110"/>
      <c r="JLR20" s="110"/>
      <c r="JLS20" s="110"/>
      <c r="JLT20" s="110"/>
      <c r="JLU20" s="110"/>
      <c r="JLV20" s="110"/>
      <c r="JLW20" s="110"/>
      <c r="JLX20" s="110"/>
      <c r="JLY20" s="110"/>
      <c r="JLZ20" s="110"/>
      <c r="JMA20" s="110"/>
      <c r="JMB20" s="110"/>
      <c r="JMC20" s="110"/>
      <c r="JMD20" s="110"/>
      <c r="JME20" s="110"/>
      <c r="JMF20" s="110"/>
      <c r="JMG20" s="110"/>
      <c r="JMH20" s="110"/>
      <c r="JMI20" s="110"/>
      <c r="JMJ20" s="110"/>
      <c r="JMK20" s="110"/>
      <c r="JML20" s="110"/>
      <c r="JMM20" s="110"/>
      <c r="JMN20" s="110"/>
      <c r="JMO20" s="110"/>
      <c r="JMP20" s="110"/>
      <c r="JMQ20" s="110"/>
      <c r="JMR20" s="110"/>
      <c r="JMS20" s="110"/>
      <c r="JMT20" s="110"/>
      <c r="JMU20" s="110"/>
      <c r="JMV20" s="110"/>
      <c r="JMW20" s="110"/>
      <c r="JMX20" s="110"/>
      <c r="JMY20" s="110"/>
      <c r="JMZ20" s="110"/>
      <c r="JNA20" s="110"/>
      <c r="JNB20" s="110"/>
      <c r="JNC20" s="110"/>
      <c r="JND20" s="110"/>
      <c r="JNE20" s="110"/>
      <c r="JNF20" s="110"/>
      <c r="JNG20" s="110"/>
      <c r="JNH20" s="110"/>
      <c r="JNI20" s="110"/>
      <c r="JNJ20" s="110"/>
      <c r="JNK20" s="110"/>
      <c r="JNL20" s="110"/>
      <c r="JNM20" s="110"/>
      <c r="JNN20" s="110"/>
      <c r="JNO20" s="110"/>
      <c r="JNP20" s="110"/>
      <c r="JNQ20" s="110"/>
      <c r="JNR20" s="110"/>
      <c r="JNS20" s="110"/>
      <c r="JNT20" s="110"/>
      <c r="JNU20" s="110"/>
      <c r="JNV20" s="110"/>
      <c r="JNW20" s="110"/>
      <c r="JNX20" s="110"/>
      <c r="JNY20" s="110"/>
      <c r="JNZ20" s="110"/>
      <c r="JOA20" s="110"/>
      <c r="JOB20" s="110"/>
      <c r="JOC20" s="110"/>
      <c r="JOD20" s="110"/>
      <c r="JOE20" s="110"/>
      <c r="JOF20" s="110"/>
      <c r="JOG20" s="110"/>
      <c r="JOH20" s="110"/>
      <c r="JOI20" s="110"/>
      <c r="JOJ20" s="110"/>
      <c r="JOK20" s="110"/>
      <c r="JOL20" s="110"/>
      <c r="JOM20" s="110"/>
      <c r="JON20" s="110"/>
      <c r="JOO20" s="110"/>
      <c r="JOP20" s="110"/>
      <c r="JOQ20" s="110"/>
      <c r="JOR20" s="110"/>
      <c r="JOS20" s="110"/>
      <c r="JOT20" s="110"/>
      <c r="JOU20" s="110"/>
      <c r="JOV20" s="110"/>
      <c r="JOW20" s="110"/>
      <c r="JOX20" s="110"/>
      <c r="JOY20" s="110"/>
      <c r="JOZ20" s="110"/>
      <c r="JPA20" s="110"/>
      <c r="JPB20" s="110"/>
      <c r="JPC20" s="110"/>
      <c r="JPD20" s="110"/>
      <c r="JPE20" s="110"/>
      <c r="JPF20" s="110"/>
      <c r="JPG20" s="110"/>
      <c r="JPH20" s="110"/>
      <c r="JPI20" s="110"/>
      <c r="JPJ20" s="110"/>
      <c r="JPK20" s="110"/>
      <c r="JPL20" s="110"/>
      <c r="JPM20" s="110"/>
      <c r="JPN20" s="110"/>
      <c r="JPO20" s="110"/>
      <c r="JPP20" s="110"/>
      <c r="JPQ20" s="110"/>
      <c r="JPR20" s="110"/>
      <c r="JPS20" s="110"/>
      <c r="JPT20" s="110"/>
      <c r="JPU20" s="110"/>
      <c r="JPV20" s="110"/>
      <c r="JPW20" s="110"/>
      <c r="JPX20" s="110"/>
      <c r="JPY20" s="110"/>
      <c r="JPZ20" s="110"/>
      <c r="JQA20" s="110"/>
      <c r="JQB20" s="110"/>
      <c r="JQC20" s="110"/>
      <c r="JQD20" s="110"/>
      <c r="JQE20" s="110"/>
      <c r="JQF20" s="110"/>
      <c r="JQG20" s="110"/>
      <c r="JQH20" s="110"/>
      <c r="JQI20" s="110"/>
      <c r="JQJ20" s="110"/>
      <c r="JQK20" s="110"/>
      <c r="JQL20" s="110"/>
      <c r="JQM20" s="110"/>
      <c r="JQN20" s="110"/>
      <c r="JQO20" s="110"/>
      <c r="JQP20" s="110"/>
      <c r="JQQ20" s="110"/>
      <c r="JQR20" s="110"/>
      <c r="JQS20" s="110"/>
      <c r="JQT20" s="110"/>
      <c r="JQU20" s="110"/>
      <c r="JQV20" s="110"/>
      <c r="JQW20" s="110"/>
      <c r="JQX20" s="110"/>
      <c r="JQY20" s="110"/>
      <c r="JQZ20" s="110"/>
      <c r="JRA20" s="110"/>
      <c r="JRB20" s="110"/>
      <c r="JRC20" s="110"/>
      <c r="JRD20" s="110"/>
      <c r="JRE20" s="110"/>
      <c r="JRF20" s="110"/>
      <c r="JRG20" s="110"/>
      <c r="JRH20" s="110"/>
      <c r="JRI20" s="110"/>
      <c r="JRJ20" s="110"/>
      <c r="JRK20" s="110"/>
      <c r="JRL20" s="110"/>
      <c r="JRM20" s="110"/>
      <c r="JRN20" s="110"/>
      <c r="JRO20" s="110"/>
      <c r="JRP20" s="110"/>
      <c r="JRQ20" s="110"/>
      <c r="JRR20" s="110"/>
      <c r="JRS20" s="110"/>
      <c r="JRT20" s="110"/>
      <c r="JRU20" s="110"/>
      <c r="JRV20" s="110"/>
      <c r="JRW20" s="110"/>
      <c r="JRX20" s="110"/>
      <c r="JRY20" s="110"/>
      <c r="JRZ20" s="110"/>
      <c r="JSA20" s="110"/>
      <c r="JSB20" s="110"/>
      <c r="JSC20" s="110"/>
      <c r="JSD20" s="110"/>
      <c r="JSE20" s="110"/>
      <c r="JSF20" s="110"/>
      <c r="JSG20" s="110"/>
      <c r="JSH20" s="110"/>
      <c r="JSI20" s="110"/>
      <c r="JSJ20" s="110"/>
      <c r="JSK20" s="110"/>
      <c r="JSL20" s="110"/>
      <c r="JSM20" s="110"/>
      <c r="JSN20" s="110"/>
      <c r="JSO20" s="110"/>
      <c r="JSP20" s="110"/>
      <c r="JSQ20" s="110"/>
      <c r="JSR20" s="110"/>
      <c r="JSS20" s="110"/>
      <c r="JST20" s="110"/>
      <c r="JSU20" s="110"/>
      <c r="JSV20" s="110"/>
      <c r="JSW20" s="110"/>
      <c r="JSX20" s="110"/>
      <c r="JSY20" s="110"/>
      <c r="JSZ20" s="110"/>
      <c r="JTA20" s="110"/>
      <c r="JTB20" s="110"/>
      <c r="JTC20" s="110"/>
      <c r="JTD20" s="110"/>
      <c r="JTE20" s="110"/>
      <c r="JTF20" s="110"/>
      <c r="JTG20" s="110"/>
      <c r="JTH20" s="110"/>
      <c r="JTI20" s="110"/>
      <c r="JTJ20" s="110"/>
      <c r="JTK20" s="110"/>
      <c r="JTL20" s="110"/>
      <c r="JTM20" s="110"/>
      <c r="JTN20" s="110"/>
      <c r="JTO20" s="110"/>
      <c r="JTP20" s="110"/>
      <c r="JTQ20" s="110"/>
      <c r="JTR20" s="110"/>
      <c r="JTS20" s="110"/>
      <c r="JTT20" s="110"/>
      <c r="JTU20" s="110"/>
      <c r="JTV20" s="110"/>
      <c r="JTW20" s="110"/>
      <c r="JTX20" s="110"/>
      <c r="JTY20" s="110"/>
      <c r="JTZ20" s="110"/>
      <c r="JUA20" s="110"/>
      <c r="JUB20" s="110"/>
      <c r="JUC20" s="110"/>
      <c r="JUD20" s="110"/>
      <c r="JUE20" s="110"/>
      <c r="JUF20" s="110"/>
      <c r="JUG20" s="110"/>
      <c r="JUH20" s="110"/>
      <c r="JUI20" s="110"/>
      <c r="JUJ20" s="110"/>
      <c r="JUK20" s="110"/>
      <c r="JUL20" s="110"/>
      <c r="JUM20" s="110"/>
      <c r="JUN20" s="110"/>
      <c r="JUO20" s="110"/>
      <c r="JUP20" s="110"/>
      <c r="JUQ20" s="110"/>
      <c r="JUR20" s="110"/>
      <c r="JUS20" s="110"/>
      <c r="JUT20" s="110"/>
      <c r="JUU20" s="110"/>
      <c r="JUV20" s="110"/>
      <c r="JUW20" s="110"/>
      <c r="JUX20" s="110"/>
      <c r="JUY20" s="110"/>
      <c r="JUZ20" s="110"/>
      <c r="JVA20" s="110"/>
      <c r="JVB20" s="110"/>
      <c r="JVC20" s="110"/>
      <c r="JVD20" s="110"/>
      <c r="JVE20" s="110"/>
      <c r="JVF20" s="110"/>
      <c r="JVG20" s="110"/>
      <c r="JVH20" s="110"/>
      <c r="JVI20" s="110"/>
      <c r="JVJ20" s="110"/>
      <c r="JVK20" s="110"/>
      <c r="JVL20" s="110"/>
      <c r="JVM20" s="110"/>
      <c r="JVN20" s="110"/>
      <c r="JVO20" s="110"/>
      <c r="JVP20" s="110"/>
      <c r="JVQ20" s="110"/>
      <c r="JVR20" s="110"/>
      <c r="JVS20" s="110"/>
      <c r="JVT20" s="110"/>
      <c r="JVU20" s="110"/>
      <c r="JVV20" s="110"/>
      <c r="JVW20" s="110"/>
      <c r="JVX20" s="110"/>
      <c r="JVY20" s="110"/>
      <c r="JVZ20" s="110"/>
      <c r="JWA20" s="110"/>
      <c r="JWB20" s="110"/>
      <c r="JWC20" s="110"/>
      <c r="JWD20" s="110"/>
      <c r="JWE20" s="110"/>
      <c r="JWF20" s="110"/>
      <c r="JWG20" s="110"/>
      <c r="JWH20" s="110"/>
      <c r="JWI20" s="110"/>
      <c r="JWJ20" s="110"/>
      <c r="JWK20" s="110"/>
      <c r="JWL20" s="110"/>
      <c r="JWM20" s="110"/>
      <c r="JWN20" s="110"/>
      <c r="JWO20" s="110"/>
      <c r="JWP20" s="110"/>
      <c r="JWQ20" s="110"/>
      <c r="JWR20" s="110"/>
      <c r="JWS20" s="110"/>
      <c r="JWT20" s="110"/>
      <c r="JWU20" s="110"/>
      <c r="JWV20" s="110"/>
      <c r="JWW20" s="110"/>
      <c r="JWX20" s="110"/>
      <c r="JWY20" s="110"/>
      <c r="JWZ20" s="110"/>
      <c r="JXA20" s="110"/>
      <c r="JXB20" s="110"/>
      <c r="JXC20" s="110"/>
      <c r="JXD20" s="110"/>
      <c r="JXE20" s="110"/>
      <c r="JXF20" s="110"/>
      <c r="JXG20" s="110"/>
      <c r="JXH20" s="110"/>
      <c r="JXI20" s="110"/>
      <c r="JXJ20" s="110"/>
      <c r="JXK20" s="110"/>
      <c r="JXL20" s="110"/>
      <c r="JXM20" s="110"/>
      <c r="JXN20" s="110"/>
      <c r="JXO20" s="110"/>
      <c r="JXP20" s="110"/>
      <c r="JXQ20" s="110"/>
      <c r="JXR20" s="110"/>
      <c r="JXS20" s="110"/>
      <c r="JXT20" s="110"/>
      <c r="JXU20" s="110"/>
      <c r="JXV20" s="110"/>
      <c r="JXW20" s="110"/>
      <c r="JXX20" s="110"/>
      <c r="JXY20" s="110"/>
      <c r="JXZ20" s="110"/>
      <c r="JYA20" s="110"/>
      <c r="JYB20" s="110"/>
      <c r="JYC20" s="110"/>
      <c r="JYD20" s="110"/>
      <c r="JYE20" s="110"/>
      <c r="JYF20" s="110"/>
      <c r="JYG20" s="110"/>
      <c r="JYH20" s="110"/>
      <c r="JYI20" s="110"/>
      <c r="JYJ20" s="110"/>
      <c r="JYK20" s="110"/>
      <c r="JYL20" s="110"/>
      <c r="JYM20" s="110"/>
      <c r="JYN20" s="110"/>
      <c r="JYO20" s="110"/>
      <c r="JYP20" s="110"/>
      <c r="JYQ20" s="110"/>
      <c r="JYR20" s="110"/>
      <c r="JYS20" s="110"/>
      <c r="JYT20" s="110"/>
      <c r="JYU20" s="110"/>
      <c r="JYV20" s="110"/>
      <c r="JYW20" s="110"/>
      <c r="JYX20" s="110"/>
      <c r="JYY20" s="110"/>
      <c r="JYZ20" s="110"/>
      <c r="JZA20" s="110"/>
      <c r="JZB20" s="110"/>
      <c r="JZC20" s="110"/>
      <c r="JZD20" s="110"/>
      <c r="JZE20" s="110"/>
      <c r="JZF20" s="110"/>
      <c r="JZG20" s="110"/>
      <c r="JZH20" s="110"/>
      <c r="JZI20" s="110"/>
      <c r="JZJ20" s="110"/>
      <c r="JZK20" s="110"/>
      <c r="JZL20" s="110"/>
      <c r="JZM20" s="110"/>
      <c r="JZN20" s="110"/>
      <c r="JZO20" s="110"/>
      <c r="JZP20" s="110"/>
      <c r="JZQ20" s="110"/>
      <c r="JZR20" s="110"/>
      <c r="JZS20" s="110"/>
      <c r="JZT20" s="110"/>
      <c r="JZU20" s="110"/>
      <c r="JZV20" s="110"/>
      <c r="JZW20" s="110"/>
      <c r="JZX20" s="110"/>
      <c r="JZY20" s="110"/>
      <c r="JZZ20" s="110"/>
      <c r="KAA20" s="110"/>
      <c r="KAB20" s="110"/>
      <c r="KAC20" s="110"/>
      <c r="KAD20" s="110"/>
      <c r="KAE20" s="110"/>
      <c r="KAF20" s="110"/>
      <c r="KAG20" s="110"/>
      <c r="KAH20" s="110"/>
      <c r="KAI20" s="110"/>
      <c r="KAJ20" s="110"/>
      <c r="KAK20" s="110"/>
      <c r="KAL20" s="110"/>
      <c r="KAM20" s="110"/>
      <c r="KAN20" s="110"/>
      <c r="KAO20" s="110"/>
      <c r="KAP20" s="110"/>
      <c r="KAQ20" s="110"/>
      <c r="KAR20" s="110"/>
      <c r="KAS20" s="110"/>
      <c r="KAT20" s="110"/>
      <c r="KAU20" s="110"/>
      <c r="KAV20" s="110"/>
      <c r="KAW20" s="110"/>
      <c r="KAX20" s="110"/>
      <c r="KAY20" s="110"/>
      <c r="KAZ20" s="110"/>
      <c r="KBA20" s="110"/>
      <c r="KBB20" s="110"/>
      <c r="KBC20" s="110"/>
      <c r="KBD20" s="110"/>
      <c r="KBE20" s="110"/>
      <c r="KBF20" s="110"/>
      <c r="KBG20" s="110"/>
      <c r="KBH20" s="110"/>
      <c r="KBI20" s="110"/>
      <c r="KBJ20" s="110"/>
      <c r="KBK20" s="110"/>
      <c r="KBL20" s="110"/>
      <c r="KBM20" s="110"/>
      <c r="KBN20" s="110"/>
      <c r="KBO20" s="110"/>
      <c r="KBP20" s="110"/>
      <c r="KBQ20" s="110"/>
      <c r="KBR20" s="110"/>
      <c r="KBS20" s="110"/>
      <c r="KBT20" s="110"/>
      <c r="KBU20" s="110"/>
      <c r="KBV20" s="110"/>
      <c r="KBW20" s="110"/>
      <c r="KBX20" s="110"/>
      <c r="KBY20" s="110"/>
      <c r="KBZ20" s="110"/>
      <c r="KCA20" s="110"/>
      <c r="KCB20" s="110"/>
      <c r="KCC20" s="110"/>
      <c r="KCD20" s="110"/>
      <c r="KCE20" s="110"/>
      <c r="KCF20" s="110"/>
      <c r="KCG20" s="110"/>
      <c r="KCH20" s="110"/>
      <c r="KCI20" s="110"/>
      <c r="KCJ20" s="110"/>
      <c r="KCK20" s="110"/>
      <c r="KCL20" s="110"/>
      <c r="KCM20" s="110"/>
      <c r="KCN20" s="110"/>
      <c r="KCO20" s="110"/>
      <c r="KCP20" s="110"/>
      <c r="KCQ20" s="110"/>
      <c r="KCR20" s="110"/>
      <c r="KCS20" s="110"/>
      <c r="KCT20" s="110"/>
      <c r="KCU20" s="110"/>
      <c r="KCV20" s="110"/>
      <c r="KCW20" s="110"/>
      <c r="KCX20" s="110"/>
      <c r="KCY20" s="110"/>
      <c r="KCZ20" s="110"/>
      <c r="KDA20" s="110"/>
      <c r="KDB20" s="110"/>
      <c r="KDC20" s="110"/>
      <c r="KDD20" s="110"/>
      <c r="KDE20" s="110"/>
      <c r="KDF20" s="110"/>
      <c r="KDG20" s="110"/>
      <c r="KDH20" s="110"/>
      <c r="KDI20" s="110"/>
      <c r="KDJ20" s="110"/>
      <c r="KDK20" s="110"/>
      <c r="KDL20" s="110"/>
      <c r="KDM20" s="110"/>
      <c r="KDN20" s="110"/>
      <c r="KDO20" s="110"/>
      <c r="KDP20" s="110"/>
      <c r="KDQ20" s="110"/>
      <c r="KDR20" s="110"/>
      <c r="KDS20" s="110"/>
      <c r="KDT20" s="110"/>
      <c r="KDU20" s="110"/>
      <c r="KDV20" s="110"/>
      <c r="KDW20" s="110"/>
      <c r="KDX20" s="110"/>
      <c r="KDY20" s="110"/>
      <c r="KDZ20" s="110"/>
      <c r="KEA20" s="110"/>
      <c r="KEB20" s="110"/>
      <c r="KEC20" s="110"/>
      <c r="KED20" s="110"/>
      <c r="KEE20" s="110"/>
      <c r="KEF20" s="110"/>
      <c r="KEG20" s="110"/>
      <c r="KEH20" s="110"/>
      <c r="KEI20" s="110"/>
      <c r="KEJ20" s="110"/>
      <c r="KEK20" s="110"/>
      <c r="KEL20" s="110"/>
      <c r="KEM20" s="110"/>
      <c r="KEN20" s="110"/>
      <c r="KEO20" s="110"/>
      <c r="KEP20" s="110"/>
      <c r="KEQ20" s="110"/>
      <c r="KER20" s="110"/>
      <c r="KES20" s="110"/>
      <c r="KET20" s="110"/>
      <c r="KEU20" s="110"/>
      <c r="KEV20" s="110"/>
      <c r="KEW20" s="110"/>
      <c r="KEX20" s="110"/>
      <c r="KEY20" s="110"/>
      <c r="KEZ20" s="110"/>
      <c r="KFA20" s="110"/>
      <c r="KFB20" s="110"/>
      <c r="KFC20" s="110"/>
      <c r="KFD20" s="110"/>
      <c r="KFE20" s="110"/>
      <c r="KFF20" s="110"/>
      <c r="KFG20" s="110"/>
      <c r="KFH20" s="110"/>
      <c r="KFI20" s="110"/>
      <c r="KFJ20" s="110"/>
      <c r="KFK20" s="110"/>
      <c r="KFL20" s="110"/>
      <c r="KFM20" s="110"/>
      <c r="KFN20" s="110"/>
      <c r="KFO20" s="110"/>
      <c r="KFP20" s="110"/>
      <c r="KFQ20" s="110"/>
      <c r="KFR20" s="110"/>
      <c r="KFS20" s="110"/>
      <c r="KFT20" s="110"/>
      <c r="KFU20" s="110"/>
      <c r="KFV20" s="110"/>
      <c r="KFW20" s="110"/>
      <c r="KFX20" s="110"/>
      <c r="KFY20" s="110"/>
      <c r="KFZ20" s="110"/>
      <c r="KGA20" s="110"/>
      <c r="KGB20" s="110"/>
      <c r="KGC20" s="110"/>
      <c r="KGD20" s="110"/>
      <c r="KGE20" s="110"/>
      <c r="KGF20" s="110"/>
      <c r="KGG20" s="110"/>
      <c r="KGH20" s="110"/>
      <c r="KGI20" s="110"/>
      <c r="KGJ20" s="110"/>
      <c r="KGK20" s="110"/>
      <c r="KGL20" s="110"/>
      <c r="KGM20" s="110"/>
      <c r="KGN20" s="110"/>
      <c r="KGO20" s="110"/>
      <c r="KGP20" s="110"/>
      <c r="KGQ20" s="110"/>
      <c r="KGR20" s="110"/>
      <c r="KGS20" s="110"/>
      <c r="KGT20" s="110"/>
      <c r="KGU20" s="110"/>
      <c r="KGV20" s="110"/>
      <c r="KGW20" s="110"/>
      <c r="KGX20" s="110"/>
      <c r="KGY20" s="110"/>
      <c r="KGZ20" s="110"/>
      <c r="KHA20" s="110"/>
      <c r="KHB20" s="110"/>
      <c r="KHC20" s="110"/>
      <c r="KHD20" s="110"/>
      <c r="KHE20" s="110"/>
      <c r="KHF20" s="110"/>
      <c r="KHG20" s="110"/>
      <c r="KHH20" s="110"/>
      <c r="KHI20" s="110"/>
      <c r="KHJ20" s="110"/>
      <c r="KHK20" s="110"/>
      <c r="KHL20" s="110"/>
      <c r="KHM20" s="110"/>
      <c r="KHN20" s="110"/>
      <c r="KHO20" s="110"/>
      <c r="KHP20" s="110"/>
      <c r="KHQ20" s="110"/>
      <c r="KHR20" s="110"/>
      <c r="KHS20" s="110"/>
      <c r="KHT20" s="110"/>
      <c r="KHU20" s="110"/>
      <c r="KHV20" s="110"/>
      <c r="KHW20" s="110"/>
      <c r="KHX20" s="110"/>
      <c r="KHY20" s="110"/>
      <c r="KHZ20" s="110"/>
      <c r="KIA20" s="110"/>
      <c r="KIB20" s="110"/>
      <c r="KIC20" s="110"/>
      <c r="KID20" s="110"/>
      <c r="KIE20" s="110"/>
      <c r="KIF20" s="110"/>
      <c r="KIG20" s="110"/>
      <c r="KIH20" s="110"/>
      <c r="KII20" s="110"/>
      <c r="KIJ20" s="110"/>
      <c r="KIK20" s="110"/>
      <c r="KIL20" s="110"/>
      <c r="KIM20" s="110"/>
      <c r="KIN20" s="110"/>
      <c r="KIO20" s="110"/>
      <c r="KIP20" s="110"/>
      <c r="KIQ20" s="110"/>
      <c r="KIR20" s="110"/>
      <c r="KIS20" s="110"/>
      <c r="KIT20" s="110"/>
      <c r="KIU20" s="110"/>
      <c r="KIV20" s="110"/>
      <c r="KIW20" s="110"/>
      <c r="KIX20" s="110"/>
      <c r="KIY20" s="110"/>
      <c r="KIZ20" s="110"/>
      <c r="KJA20" s="110"/>
      <c r="KJB20" s="110"/>
      <c r="KJC20" s="110"/>
      <c r="KJD20" s="110"/>
      <c r="KJE20" s="110"/>
      <c r="KJF20" s="110"/>
      <c r="KJG20" s="110"/>
      <c r="KJH20" s="110"/>
      <c r="KJI20" s="110"/>
      <c r="KJJ20" s="110"/>
      <c r="KJK20" s="110"/>
      <c r="KJL20" s="110"/>
      <c r="KJM20" s="110"/>
      <c r="KJN20" s="110"/>
      <c r="KJO20" s="110"/>
      <c r="KJP20" s="110"/>
      <c r="KJQ20" s="110"/>
      <c r="KJR20" s="110"/>
      <c r="KJS20" s="110"/>
      <c r="KJT20" s="110"/>
      <c r="KJU20" s="110"/>
      <c r="KJV20" s="110"/>
      <c r="KJW20" s="110"/>
      <c r="KJX20" s="110"/>
      <c r="KJY20" s="110"/>
      <c r="KJZ20" s="110"/>
      <c r="KKA20" s="110"/>
      <c r="KKB20" s="110"/>
      <c r="KKC20" s="110"/>
      <c r="KKD20" s="110"/>
      <c r="KKE20" s="110"/>
      <c r="KKF20" s="110"/>
      <c r="KKG20" s="110"/>
      <c r="KKH20" s="110"/>
      <c r="KKI20" s="110"/>
      <c r="KKJ20" s="110"/>
      <c r="KKK20" s="110"/>
      <c r="KKL20" s="110"/>
      <c r="KKM20" s="110"/>
      <c r="KKN20" s="110"/>
      <c r="KKO20" s="110"/>
      <c r="KKP20" s="110"/>
      <c r="KKQ20" s="110"/>
      <c r="KKR20" s="110"/>
      <c r="KKS20" s="110"/>
      <c r="KKT20" s="110"/>
      <c r="KKU20" s="110"/>
      <c r="KKV20" s="110"/>
      <c r="KKW20" s="110"/>
      <c r="KKX20" s="110"/>
      <c r="KKY20" s="110"/>
      <c r="KKZ20" s="110"/>
      <c r="KLA20" s="110"/>
      <c r="KLB20" s="110"/>
      <c r="KLC20" s="110"/>
      <c r="KLD20" s="110"/>
      <c r="KLE20" s="110"/>
      <c r="KLF20" s="110"/>
      <c r="KLG20" s="110"/>
      <c r="KLH20" s="110"/>
      <c r="KLI20" s="110"/>
      <c r="KLJ20" s="110"/>
      <c r="KLK20" s="110"/>
      <c r="KLL20" s="110"/>
      <c r="KLM20" s="110"/>
      <c r="KLN20" s="110"/>
      <c r="KLO20" s="110"/>
      <c r="KLP20" s="110"/>
      <c r="KLQ20" s="110"/>
      <c r="KLR20" s="110"/>
      <c r="KLS20" s="110"/>
      <c r="KLT20" s="110"/>
      <c r="KLU20" s="110"/>
      <c r="KLV20" s="110"/>
      <c r="KLW20" s="110"/>
      <c r="KLX20" s="110"/>
      <c r="KLY20" s="110"/>
      <c r="KLZ20" s="110"/>
      <c r="KMA20" s="110"/>
      <c r="KMB20" s="110"/>
      <c r="KMC20" s="110"/>
      <c r="KMD20" s="110"/>
      <c r="KME20" s="110"/>
      <c r="KMF20" s="110"/>
      <c r="KMG20" s="110"/>
      <c r="KMH20" s="110"/>
      <c r="KMI20" s="110"/>
      <c r="KMJ20" s="110"/>
      <c r="KMK20" s="110"/>
      <c r="KML20" s="110"/>
      <c r="KMM20" s="110"/>
      <c r="KMN20" s="110"/>
      <c r="KMO20" s="110"/>
      <c r="KMP20" s="110"/>
      <c r="KMQ20" s="110"/>
      <c r="KMR20" s="110"/>
      <c r="KMS20" s="110"/>
      <c r="KMT20" s="110"/>
      <c r="KMU20" s="110"/>
      <c r="KMV20" s="110"/>
      <c r="KMW20" s="110"/>
      <c r="KMX20" s="110"/>
      <c r="KMY20" s="110"/>
      <c r="KMZ20" s="110"/>
      <c r="KNA20" s="110"/>
      <c r="KNB20" s="110"/>
      <c r="KNC20" s="110"/>
      <c r="KND20" s="110"/>
      <c r="KNE20" s="110"/>
      <c r="KNF20" s="110"/>
      <c r="KNG20" s="110"/>
      <c r="KNH20" s="110"/>
      <c r="KNI20" s="110"/>
      <c r="KNJ20" s="110"/>
      <c r="KNK20" s="110"/>
      <c r="KNL20" s="110"/>
      <c r="KNM20" s="110"/>
      <c r="KNN20" s="110"/>
      <c r="KNO20" s="110"/>
      <c r="KNP20" s="110"/>
      <c r="KNQ20" s="110"/>
      <c r="KNR20" s="110"/>
      <c r="KNS20" s="110"/>
      <c r="KNT20" s="110"/>
      <c r="KNU20" s="110"/>
      <c r="KNV20" s="110"/>
      <c r="KNW20" s="110"/>
      <c r="KNX20" s="110"/>
      <c r="KNY20" s="110"/>
      <c r="KNZ20" s="110"/>
      <c r="KOA20" s="110"/>
      <c r="KOB20" s="110"/>
      <c r="KOC20" s="110"/>
      <c r="KOD20" s="110"/>
      <c r="KOE20" s="110"/>
      <c r="KOF20" s="110"/>
      <c r="KOG20" s="110"/>
      <c r="KOH20" s="110"/>
      <c r="KOI20" s="110"/>
      <c r="KOJ20" s="110"/>
      <c r="KOK20" s="110"/>
      <c r="KOL20" s="110"/>
      <c r="KOM20" s="110"/>
      <c r="KON20" s="110"/>
      <c r="KOO20" s="110"/>
      <c r="KOP20" s="110"/>
      <c r="KOQ20" s="110"/>
      <c r="KOR20" s="110"/>
      <c r="KOS20" s="110"/>
      <c r="KOT20" s="110"/>
      <c r="KOU20" s="110"/>
      <c r="KOV20" s="110"/>
      <c r="KOW20" s="110"/>
      <c r="KOX20" s="110"/>
      <c r="KOY20" s="110"/>
      <c r="KOZ20" s="110"/>
      <c r="KPA20" s="110"/>
      <c r="KPB20" s="110"/>
      <c r="KPC20" s="110"/>
      <c r="KPD20" s="110"/>
      <c r="KPE20" s="110"/>
      <c r="KPF20" s="110"/>
      <c r="KPG20" s="110"/>
      <c r="KPH20" s="110"/>
      <c r="KPI20" s="110"/>
      <c r="KPJ20" s="110"/>
      <c r="KPK20" s="110"/>
      <c r="KPL20" s="110"/>
      <c r="KPM20" s="110"/>
      <c r="KPN20" s="110"/>
      <c r="KPO20" s="110"/>
      <c r="KPP20" s="110"/>
      <c r="KPQ20" s="110"/>
      <c r="KPR20" s="110"/>
      <c r="KPS20" s="110"/>
      <c r="KPT20" s="110"/>
      <c r="KPU20" s="110"/>
      <c r="KPV20" s="110"/>
      <c r="KPW20" s="110"/>
      <c r="KPX20" s="110"/>
      <c r="KPY20" s="110"/>
      <c r="KPZ20" s="110"/>
      <c r="KQA20" s="110"/>
      <c r="KQB20" s="110"/>
      <c r="KQC20" s="110"/>
      <c r="KQD20" s="110"/>
      <c r="KQE20" s="110"/>
      <c r="KQF20" s="110"/>
      <c r="KQG20" s="110"/>
      <c r="KQH20" s="110"/>
      <c r="KQI20" s="110"/>
      <c r="KQJ20" s="110"/>
      <c r="KQK20" s="110"/>
      <c r="KQL20" s="110"/>
      <c r="KQM20" s="110"/>
      <c r="KQN20" s="110"/>
      <c r="KQO20" s="110"/>
      <c r="KQP20" s="110"/>
      <c r="KQQ20" s="110"/>
      <c r="KQR20" s="110"/>
      <c r="KQS20" s="110"/>
      <c r="KQT20" s="110"/>
      <c r="KQU20" s="110"/>
      <c r="KQV20" s="110"/>
      <c r="KQW20" s="110"/>
      <c r="KQX20" s="110"/>
      <c r="KQY20" s="110"/>
      <c r="KQZ20" s="110"/>
      <c r="KRA20" s="110"/>
      <c r="KRB20" s="110"/>
      <c r="KRC20" s="110"/>
      <c r="KRD20" s="110"/>
      <c r="KRE20" s="110"/>
      <c r="KRF20" s="110"/>
      <c r="KRG20" s="110"/>
      <c r="KRH20" s="110"/>
      <c r="KRI20" s="110"/>
      <c r="KRJ20" s="110"/>
      <c r="KRK20" s="110"/>
      <c r="KRL20" s="110"/>
      <c r="KRM20" s="110"/>
      <c r="KRN20" s="110"/>
      <c r="KRO20" s="110"/>
      <c r="KRP20" s="110"/>
      <c r="KRQ20" s="110"/>
      <c r="KRR20" s="110"/>
      <c r="KRS20" s="110"/>
      <c r="KRT20" s="110"/>
      <c r="KRU20" s="110"/>
      <c r="KRV20" s="110"/>
      <c r="KRW20" s="110"/>
      <c r="KRX20" s="110"/>
      <c r="KRY20" s="110"/>
      <c r="KRZ20" s="110"/>
      <c r="KSA20" s="110"/>
      <c r="KSB20" s="110"/>
      <c r="KSC20" s="110"/>
      <c r="KSD20" s="110"/>
      <c r="KSE20" s="110"/>
      <c r="KSF20" s="110"/>
      <c r="KSG20" s="110"/>
      <c r="KSH20" s="110"/>
      <c r="KSI20" s="110"/>
      <c r="KSJ20" s="110"/>
      <c r="KSK20" s="110"/>
      <c r="KSL20" s="110"/>
      <c r="KSM20" s="110"/>
      <c r="KSN20" s="110"/>
      <c r="KSO20" s="110"/>
      <c r="KSP20" s="110"/>
      <c r="KSQ20" s="110"/>
      <c r="KSR20" s="110"/>
      <c r="KSS20" s="110"/>
      <c r="KST20" s="110"/>
      <c r="KSU20" s="110"/>
      <c r="KSV20" s="110"/>
      <c r="KSW20" s="110"/>
      <c r="KSX20" s="110"/>
      <c r="KSY20" s="110"/>
      <c r="KSZ20" s="110"/>
      <c r="KTA20" s="110"/>
      <c r="KTB20" s="110"/>
      <c r="KTC20" s="110"/>
      <c r="KTD20" s="110"/>
      <c r="KTE20" s="110"/>
      <c r="KTF20" s="110"/>
      <c r="KTG20" s="110"/>
      <c r="KTH20" s="110"/>
      <c r="KTI20" s="110"/>
      <c r="KTJ20" s="110"/>
      <c r="KTK20" s="110"/>
      <c r="KTL20" s="110"/>
      <c r="KTM20" s="110"/>
      <c r="KTN20" s="110"/>
      <c r="KTO20" s="110"/>
      <c r="KTP20" s="110"/>
      <c r="KTQ20" s="110"/>
      <c r="KTR20" s="110"/>
      <c r="KTS20" s="110"/>
      <c r="KTT20" s="110"/>
      <c r="KTU20" s="110"/>
      <c r="KTV20" s="110"/>
      <c r="KTW20" s="110"/>
      <c r="KTX20" s="110"/>
      <c r="KTY20" s="110"/>
      <c r="KTZ20" s="110"/>
      <c r="KUA20" s="110"/>
      <c r="KUB20" s="110"/>
      <c r="KUC20" s="110"/>
      <c r="KUD20" s="110"/>
      <c r="KUE20" s="110"/>
      <c r="KUF20" s="110"/>
      <c r="KUG20" s="110"/>
      <c r="KUH20" s="110"/>
      <c r="KUI20" s="110"/>
      <c r="KUJ20" s="110"/>
      <c r="KUK20" s="110"/>
      <c r="KUL20" s="110"/>
      <c r="KUM20" s="110"/>
      <c r="KUN20" s="110"/>
      <c r="KUO20" s="110"/>
      <c r="KUP20" s="110"/>
      <c r="KUQ20" s="110"/>
      <c r="KUR20" s="110"/>
      <c r="KUS20" s="110"/>
      <c r="KUT20" s="110"/>
      <c r="KUU20" s="110"/>
      <c r="KUV20" s="110"/>
      <c r="KUW20" s="110"/>
      <c r="KUX20" s="110"/>
      <c r="KUY20" s="110"/>
      <c r="KUZ20" s="110"/>
      <c r="KVA20" s="110"/>
      <c r="KVB20" s="110"/>
      <c r="KVC20" s="110"/>
      <c r="KVD20" s="110"/>
      <c r="KVE20" s="110"/>
      <c r="KVF20" s="110"/>
      <c r="KVG20" s="110"/>
      <c r="KVH20" s="110"/>
      <c r="KVI20" s="110"/>
      <c r="KVJ20" s="110"/>
      <c r="KVK20" s="110"/>
      <c r="KVL20" s="110"/>
      <c r="KVM20" s="110"/>
      <c r="KVN20" s="110"/>
      <c r="KVO20" s="110"/>
      <c r="KVP20" s="110"/>
      <c r="KVQ20" s="110"/>
      <c r="KVR20" s="110"/>
      <c r="KVS20" s="110"/>
      <c r="KVT20" s="110"/>
      <c r="KVU20" s="110"/>
      <c r="KVV20" s="110"/>
      <c r="KVW20" s="110"/>
      <c r="KVX20" s="110"/>
      <c r="KVY20" s="110"/>
      <c r="KVZ20" s="110"/>
      <c r="KWA20" s="110"/>
      <c r="KWB20" s="110"/>
      <c r="KWC20" s="110"/>
      <c r="KWD20" s="110"/>
      <c r="KWE20" s="110"/>
      <c r="KWF20" s="110"/>
      <c r="KWG20" s="110"/>
      <c r="KWH20" s="110"/>
      <c r="KWI20" s="110"/>
      <c r="KWJ20" s="110"/>
      <c r="KWK20" s="110"/>
      <c r="KWL20" s="110"/>
      <c r="KWM20" s="110"/>
      <c r="KWN20" s="110"/>
      <c r="KWO20" s="110"/>
      <c r="KWP20" s="110"/>
      <c r="KWQ20" s="110"/>
      <c r="KWR20" s="110"/>
      <c r="KWS20" s="110"/>
      <c r="KWT20" s="110"/>
      <c r="KWU20" s="110"/>
      <c r="KWV20" s="110"/>
      <c r="KWW20" s="110"/>
      <c r="KWX20" s="110"/>
      <c r="KWY20" s="110"/>
      <c r="KWZ20" s="110"/>
      <c r="KXA20" s="110"/>
      <c r="KXB20" s="110"/>
      <c r="KXC20" s="110"/>
      <c r="KXD20" s="110"/>
      <c r="KXE20" s="110"/>
      <c r="KXF20" s="110"/>
      <c r="KXG20" s="110"/>
      <c r="KXH20" s="110"/>
      <c r="KXI20" s="110"/>
      <c r="KXJ20" s="110"/>
      <c r="KXK20" s="110"/>
      <c r="KXL20" s="110"/>
      <c r="KXM20" s="110"/>
      <c r="KXN20" s="110"/>
      <c r="KXO20" s="110"/>
      <c r="KXP20" s="110"/>
      <c r="KXQ20" s="110"/>
      <c r="KXR20" s="110"/>
      <c r="KXS20" s="110"/>
      <c r="KXT20" s="110"/>
      <c r="KXU20" s="110"/>
      <c r="KXV20" s="110"/>
      <c r="KXW20" s="110"/>
      <c r="KXX20" s="110"/>
      <c r="KXY20" s="110"/>
      <c r="KXZ20" s="110"/>
      <c r="KYA20" s="110"/>
      <c r="KYB20" s="110"/>
      <c r="KYC20" s="110"/>
      <c r="KYD20" s="110"/>
      <c r="KYE20" s="110"/>
      <c r="KYF20" s="110"/>
      <c r="KYG20" s="110"/>
      <c r="KYH20" s="110"/>
      <c r="KYI20" s="110"/>
      <c r="KYJ20" s="110"/>
      <c r="KYK20" s="110"/>
      <c r="KYL20" s="110"/>
      <c r="KYM20" s="110"/>
      <c r="KYN20" s="110"/>
      <c r="KYO20" s="110"/>
      <c r="KYP20" s="110"/>
      <c r="KYQ20" s="110"/>
      <c r="KYR20" s="110"/>
      <c r="KYS20" s="110"/>
      <c r="KYT20" s="110"/>
      <c r="KYU20" s="110"/>
      <c r="KYV20" s="110"/>
      <c r="KYW20" s="110"/>
      <c r="KYX20" s="110"/>
      <c r="KYY20" s="110"/>
      <c r="KYZ20" s="110"/>
      <c r="KZA20" s="110"/>
      <c r="KZB20" s="110"/>
      <c r="KZC20" s="110"/>
      <c r="KZD20" s="110"/>
      <c r="KZE20" s="110"/>
      <c r="KZF20" s="110"/>
      <c r="KZG20" s="110"/>
      <c r="KZH20" s="110"/>
      <c r="KZI20" s="110"/>
      <c r="KZJ20" s="110"/>
      <c r="KZK20" s="110"/>
      <c r="KZL20" s="110"/>
      <c r="KZM20" s="110"/>
      <c r="KZN20" s="110"/>
      <c r="KZO20" s="110"/>
      <c r="KZP20" s="110"/>
      <c r="KZQ20" s="110"/>
      <c r="KZR20" s="110"/>
      <c r="KZS20" s="110"/>
      <c r="KZT20" s="110"/>
      <c r="KZU20" s="110"/>
      <c r="KZV20" s="110"/>
      <c r="KZW20" s="110"/>
      <c r="KZX20" s="110"/>
      <c r="KZY20" s="110"/>
      <c r="KZZ20" s="110"/>
      <c r="LAA20" s="110"/>
      <c r="LAB20" s="110"/>
      <c r="LAC20" s="110"/>
      <c r="LAD20" s="110"/>
      <c r="LAE20" s="110"/>
      <c r="LAF20" s="110"/>
      <c r="LAG20" s="110"/>
      <c r="LAH20" s="110"/>
      <c r="LAI20" s="110"/>
      <c r="LAJ20" s="110"/>
      <c r="LAK20" s="110"/>
      <c r="LAL20" s="110"/>
      <c r="LAM20" s="110"/>
      <c r="LAN20" s="110"/>
      <c r="LAO20" s="110"/>
      <c r="LAP20" s="110"/>
      <c r="LAQ20" s="110"/>
      <c r="LAR20" s="110"/>
      <c r="LAS20" s="110"/>
      <c r="LAT20" s="110"/>
      <c r="LAU20" s="110"/>
      <c r="LAV20" s="110"/>
      <c r="LAW20" s="110"/>
      <c r="LAX20" s="110"/>
      <c r="LAY20" s="110"/>
      <c r="LAZ20" s="110"/>
      <c r="LBA20" s="110"/>
      <c r="LBB20" s="110"/>
      <c r="LBC20" s="110"/>
      <c r="LBD20" s="110"/>
      <c r="LBE20" s="110"/>
      <c r="LBF20" s="110"/>
      <c r="LBG20" s="110"/>
      <c r="LBH20" s="110"/>
      <c r="LBI20" s="110"/>
      <c r="LBJ20" s="110"/>
      <c r="LBK20" s="110"/>
      <c r="LBL20" s="110"/>
      <c r="LBM20" s="110"/>
      <c r="LBN20" s="110"/>
      <c r="LBO20" s="110"/>
      <c r="LBP20" s="110"/>
      <c r="LBQ20" s="110"/>
      <c r="LBR20" s="110"/>
      <c r="LBS20" s="110"/>
      <c r="LBT20" s="110"/>
      <c r="LBU20" s="110"/>
      <c r="LBV20" s="110"/>
      <c r="LBW20" s="110"/>
      <c r="LBX20" s="110"/>
      <c r="LBY20" s="110"/>
      <c r="LBZ20" s="110"/>
      <c r="LCA20" s="110"/>
      <c r="LCB20" s="110"/>
      <c r="LCC20" s="110"/>
      <c r="LCD20" s="110"/>
      <c r="LCE20" s="110"/>
      <c r="LCF20" s="110"/>
      <c r="LCG20" s="110"/>
      <c r="LCH20" s="110"/>
      <c r="LCI20" s="110"/>
      <c r="LCJ20" s="110"/>
      <c r="LCK20" s="110"/>
      <c r="LCL20" s="110"/>
      <c r="LCM20" s="110"/>
      <c r="LCN20" s="110"/>
      <c r="LCO20" s="110"/>
      <c r="LCP20" s="110"/>
      <c r="LCQ20" s="110"/>
      <c r="LCR20" s="110"/>
      <c r="LCS20" s="110"/>
      <c r="LCT20" s="110"/>
      <c r="LCU20" s="110"/>
      <c r="LCV20" s="110"/>
      <c r="LCW20" s="110"/>
      <c r="LCX20" s="110"/>
      <c r="LCY20" s="110"/>
      <c r="LCZ20" s="110"/>
      <c r="LDA20" s="110"/>
      <c r="LDB20" s="110"/>
      <c r="LDC20" s="110"/>
      <c r="LDD20" s="110"/>
      <c r="LDE20" s="110"/>
      <c r="LDF20" s="110"/>
      <c r="LDG20" s="110"/>
      <c r="LDH20" s="110"/>
      <c r="LDI20" s="110"/>
      <c r="LDJ20" s="110"/>
      <c r="LDK20" s="110"/>
      <c r="LDL20" s="110"/>
      <c r="LDM20" s="110"/>
      <c r="LDN20" s="110"/>
      <c r="LDO20" s="110"/>
      <c r="LDP20" s="110"/>
      <c r="LDQ20" s="110"/>
      <c r="LDR20" s="110"/>
      <c r="LDS20" s="110"/>
      <c r="LDT20" s="110"/>
      <c r="LDU20" s="110"/>
      <c r="LDV20" s="110"/>
      <c r="LDW20" s="110"/>
      <c r="LDX20" s="110"/>
      <c r="LDY20" s="110"/>
      <c r="LDZ20" s="110"/>
      <c r="LEA20" s="110"/>
      <c r="LEB20" s="110"/>
      <c r="LEC20" s="110"/>
      <c r="LED20" s="110"/>
      <c r="LEE20" s="110"/>
      <c r="LEF20" s="110"/>
      <c r="LEG20" s="110"/>
      <c r="LEH20" s="110"/>
      <c r="LEI20" s="110"/>
      <c r="LEJ20" s="110"/>
      <c r="LEK20" s="110"/>
      <c r="LEL20" s="110"/>
      <c r="LEM20" s="110"/>
      <c r="LEN20" s="110"/>
      <c r="LEO20" s="110"/>
      <c r="LEP20" s="110"/>
      <c r="LEQ20" s="110"/>
      <c r="LER20" s="110"/>
      <c r="LES20" s="110"/>
      <c r="LET20" s="110"/>
      <c r="LEU20" s="110"/>
      <c r="LEV20" s="110"/>
      <c r="LEW20" s="110"/>
      <c r="LEX20" s="110"/>
      <c r="LEY20" s="110"/>
      <c r="LEZ20" s="110"/>
      <c r="LFA20" s="110"/>
      <c r="LFB20" s="110"/>
      <c r="LFC20" s="110"/>
      <c r="LFD20" s="110"/>
      <c r="LFE20" s="110"/>
      <c r="LFF20" s="110"/>
      <c r="LFG20" s="110"/>
      <c r="LFH20" s="110"/>
      <c r="LFI20" s="110"/>
      <c r="LFJ20" s="110"/>
      <c r="LFK20" s="110"/>
      <c r="LFL20" s="110"/>
      <c r="LFM20" s="110"/>
      <c r="LFN20" s="110"/>
      <c r="LFO20" s="110"/>
      <c r="LFP20" s="110"/>
      <c r="LFQ20" s="110"/>
      <c r="LFR20" s="110"/>
      <c r="LFS20" s="110"/>
      <c r="LFT20" s="110"/>
      <c r="LFU20" s="110"/>
      <c r="LFV20" s="110"/>
      <c r="LFW20" s="110"/>
      <c r="LFX20" s="110"/>
      <c r="LFY20" s="110"/>
      <c r="LFZ20" s="110"/>
      <c r="LGA20" s="110"/>
      <c r="LGB20" s="110"/>
      <c r="LGC20" s="110"/>
      <c r="LGD20" s="110"/>
      <c r="LGE20" s="110"/>
      <c r="LGF20" s="110"/>
      <c r="LGG20" s="110"/>
      <c r="LGH20" s="110"/>
      <c r="LGI20" s="110"/>
      <c r="LGJ20" s="110"/>
      <c r="LGK20" s="110"/>
      <c r="LGL20" s="110"/>
      <c r="LGM20" s="110"/>
      <c r="LGN20" s="110"/>
      <c r="LGO20" s="110"/>
      <c r="LGP20" s="110"/>
      <c r="LGQ20" s="110"/>
      <c r="LGR20" s="110"/>
      <c r="LGS20" s="110"/>
      <c r="LGT20" s="110"/>
      <c r="LGU20" s="110"/>
      <c r="LGV20" s="110"/>
      <c r="LGW20" s="110"/>
      <c r="LGX20" s="110"/>
      <c r="LGY20" s="110"/>
      <c r="LGZ20" s="110"/>
      <c r="LHA20" s="110"/>
      <c r="LHB20" s="110"/>
      <c r="LHC20" s="110"/>
      <c r="LHD20" s="110"/>
      <c r="LHE20" s="110"/>
      <c r="LHF20" s="110"/>
      <c r="LHG20" s="110"/>
      <c r="LHH20" s="110"/>
      <c r="LHI20" s="110"/>
      <c r="LHJ20" s="110"/>
      <c r="LHK20" s="110"/>
      <c r="LHL20" s="110"/>
      <c r="LHM20" s="110"/>
      <c r="LHN20" s="110"/>
      <c r="LHO20" s="110"/>
      <c r="LHP20" s="110"/>
      <c r="LHQ20" s="110"/>
      <c r="LHR20" s="110"/>
      <c r="LHS20" s="110"/>
      <c r="LHT20" s="110"/>
      <c r="LHU20" s="110"/>
      <c r="LHV20" s="110"/>
      <c r="LHW20" s="110"/>
      <c r="LHX20" s="110"/>
      <c r="LHY20" s="110"/>
      <c r="LHZ20" s="110"/>
      <c r="LIA20" s="110"/>
      <c r="LIB20" s="110"/>
      <c r="LIC20" s="110"/>
      <c r="LID20" s="110"/>
      <c r="LIE20" s="110"/>
      <c r="LIF20" s="110"/>
      <c r="LIG20" s="110"/>
      <c r="LIH20" s="110"/>
      <c r="LII20" s="110"/>
      <c r="LIJ20" s="110"/>
      <c r="LIK20" s="110"/>
      <c r="LIL20" s="110"/>
      <c r="LIM20" s="110"/>
      <c r="LIN20" s="110"/>
      <c r="LIO20" s="110"/>
      <c r="LIP20" s="110"/>
      <c r="LIQ20" s="110"/>
      <c r="LIR20" s="110"/>
      <c r="LIS20" s="110"/>
      <c r="LIT20" s="110"/>
      <c r="LIU20" s="110"/>
      <c r="LIV20" s="110"/>
      <c r="LIW20" s="110"/>
      <c r="LIX20" s="110"/>
      <c r="LIY20" s="110"/>
      <c r="LIZ20" s="110"/>
      <c r="LJA20" s="110"/>
      <c r="LJB20" s="110"/>
      <c r="LJC20" s="110"/>
      <c r="LJD20" s="110"/>
      <c r="LJE20" s="110"/>
      <c r="LJF20" s="110"/>
      <c r="LJG20" s="110"/>
      <c r="LJH20" s="110"/>
      <c r="LJI20" s="110"/>
      <c r="LJJ20" s="110"/>
      <c r="LJK20" s="110"/>
      <c r="LJL20" s="110"/>
      <c r="LJM20" s="110"/>
      <c r="LJN20" s="110"/>
      <c r="LJO20" s="110"/>
      <c r="LJP20" s="110"/>
      <c r="LJQ20" s="110"/>
      <c r="LJR20" s="110"/>
      <c r="LJS20" s="110"/>
      <c r="LJT20" s="110"/>
      <c r="LJU20" s="110"/>
      <c r="LJV20" s="110"/>
      <c r="LJW20" s="110"/>
      <c r="LJX20" s="110"/>
      <c r="LJY20" s="110"/>
      <c r="LJZ20" s="110"/>
      <c r="LKA20" s="110"/>
      <c r="LKB20" s="110"/>
      <c r="LKC20" s="110"/>
      <c r="LKD20" s="110"/>
      <c r="LKE20" s="110"/>
      <c r="LKF20" s="110"/>
      <c r="LKG20" s="110"/>
      <c r="LKH20" s="110"/>
      <c r="LKI20" s="110"/>
      <c r="LKJ20" s="110"/>
      <c r="LKK20" s="110"/>
      <c r="LKL20" s="110"/>
      <c r="LKM20" s="110"/>
      <c r="LKN20" s="110"/>
      <c r="LKO20" s="110"/>
      <c r="LKP20" s="110"/>
      <c r="LKQ20" s="110"/>
      <c r="LKR20" s="110"/>
      <c r="LKS20" s="110"/>
      <c r="LKT20" s="110"/>
      <c r="LKU20" s="110"/>
      <c r="LKV20" s="110"/>
      <c r="LKW20" s="110"/>
      <c r="LKX20" s="110"/>
      <c r="LKY20" s="110"/>
      <c r="LKZ20" s="110"/>
      <c r="LLA20" s="110"/>
      <c r="LLB20" s="110"/>
      <c r="LLC20" s="110"/>
      <c r="LLD20" s="110"/>
      <c r="LLE20" s="110"/>
      <c r="LLF20" s="110"/>
      <c r="LLG20" s="110"/>
      <c r="LLH20" s="110"/>
      <c r="LLI20" s="110"/>
      <c r="LLJ20" s="110"/>
      <c r="LLK20" s="110"/>
      <c r="LLL20" s="110"/>
      <c r="LLM20" s="110"/>
      <c r="LLN20" s="110"/>
      <c r="LLO20" s="110"/>
      <c r="LLP20" s="110"/>
      <c r="LLQ20" s="110"/>
      <c r="LLR20" s="110"/>
      <c r="LLS20" s="110"/>
      <c r="LLT20" s="110"/>
      <c r="LLU20" s="110"/>
      <c r="LLV20" s="110"/>
      <c r="LLW20" s="110"/>
      <c r="LLX20" s="110"/>
      <c r="LLY20" s="110"/>
      <c r="LLZ20" s="110"/>
      <c r="LMA20" s="110"/>
      <c r="LMB20" s="110"/>
      <c r="LMC20" s="110"/>
      <c r="LMD20" s="110"/>
      <c r="LME20" s="110"/>
      <c r="LMF20" s="110"/>
      <c r="LMG20" s="110"/>
      <c r="LMH20" s="110"/>
      <c r="LMI20" s="110"/>
      <c r="LMJ20" s="110"/>
      <c r="LMK20" s="110"/>
      <c r="LML20" s="110"/>
      <c r="LMM20" s="110"/>
      <c r="LMN20" s="110"/>
      <c r="LMO20" s="110"/>
      <c r="LMP20" s="110"/>
      <c r="LMQ20" s="110"/>
      <c r="LMR20" s="110"/>
      <c r="LMS20" s="110"/>
      <c r="LMT20" s="110"/>
      <c r="LMU20" s="110"/>
      <c r="LMV20" s="110"/>
      <c r="LMW20" s="110"/>
      <c r="LMX20" s="110"/>
      <c r="LMY20" s="110"/>
      <c r="LMZ20" s="110"/>
      <c r="LNA20" s="110"/>
      <c r="LNB20" s="110"/>
      <c r="LNC20" s="110"/>
      <c r="LND20" s="110"/>
      <c r="LNE20" s="110"/>
      <c r="LNF20" s="110"/>
      <c r="LNG20" s="110"/>
      <c r="LNH20" s="110"/>
      <c r="LNI20" s="110"/>
      <c r="LNJ20" s="110"/>
      <c r="LNK20" s="110"/>
      <c r="LNL20" s="110"/>
      <c r="LNM20" s="110"/>
      <c r="LNN20" s="110"/>
      <c r="LNO20" s="110"/>
      <c r="LNP20" s="110"/>
      <c r="LNQ20" s="110"/>
      <c r="LNR20" s="110"/>
      <c r="LNS20" s="110"/>
      <c r="LNT20" s="110"/>
      <c r="LNU20" s="110"/>
      <c r="LNV20" s="110"/>
      <c r="LNW20" s="110"/>
      <c r="LNX20" s="110"/>
      <c r="LNY20" s="110"/>
      <c r="LNZ20" s="110"/>
      <c r="LOA20" s="110"/>
      <c r="LOB20" s="110"/>
      <c r="LOC20" s="110"/>
      <c r="LOD20" s="110"/>
      <c r="LOE20" s="110"/>
      <c r="LOF20" s="110"/>
      <c r="LOG20" s="110"/>
      <c r="LOH20" s="110"/>
      <c r="LOI20" s="110"/>
      <c r="LOJ20" s="110"/>
      <c r="LOK20" s="110"/>
      <c r="LOL20" s="110"/>
      <c r="LOM20" s="110"/>
      <c r="LON20" s="110"/>
      <c r="LOO20" s="110"/>
      <c r="LOP20" s="110"/>
      <c r="LOQ20" s="110"/>
      <c r="LOR20" s="110"/>
      <c r="LOS20" s="110"/>
      <c r="LOT20" s="110"/>
      <c r="LOU20" s="110"/>
      <c r="LOV20" s="110"/>
      <c r="LOW20" s="110"/>
      <c r="LOX20" s="110"/>
      <c r="LOY20" s="110"/>
      <c r="LOZ20" s="110"/>
      <c r="LPA20" s="110"/>
      <c r="LPB20" s="110"/>
      <c r="LPC20" s="110"/>
      <c r="LPD20" s="110"/>
      <c r="LPE20" s="110"/>
      <c r="LPF20" s="110"/>
      <c r="LPG20" s="110"/>
      <c r="LPH20" s="110"/>
      <c r="LPI20" s="110"/>
      <c r="LPJ20" s="110"/>
      <c r="LPK20" s="110"/>
      <c r="LPL20" s="110"/>
      <c r="LPM20" s="110"/>
      <c r="LPN20" s="110"/>
      <c r="LPO20" s="110"/>
      <c r="LPP20" s="110"/>
      <c r="LPQ20" s="110"/>
      <c r="LPR20" s="110"/>
      <c r="LPS20" s="110"/>
      <c r="LPT20" s="110"/>
      <c r="LPU20" s="110"/>
      <c r="LPV20" s="110"/>
      <c r="LPW20" s="110"/>
      <c r="LPX20" s="110"/>
      <c r="LPY20" s="110"/>
      <c r="LPZ20" s="110"/>
      <c r="LQA20" s="110"/>
      <c r="LQB20" s="110"/>
      <c r="LQC20" s="110"/>
      <c r="LQD20" s="110"/>
      <c r="LQE20" s="110"/>
      <c r="LQF20" s="110"/>
      <c r="LQG20" s="110"/>
      <c r="LQH20" s="110"/>
      <c r="LQI20" s="110"/>
      <c r="LQJ20" s="110"/>
      <c r="LQK20" s="110"/>
      <c r="LQL20" s="110"/>
      <c r="LQM20" s="110"/>
      <c r="LQN20" s="110"/>
      <c r="LQO20" s="110"/>
      <c r="LQP20" s="110"/>
      <c r="LQQ20" s="110"/>
      <c r="LQR20" s="110"/>
      <c r="LQS20" s="110"/>
      <c r="LQT20" s="110"/>
      <c r="LQU20" s="110"/>
      <c r="LQV20" s="110"/>
      <c r="LQW20" s="110"/>
      <c r="LQX20" s="110"/>
      <c r="LQY20" s="110"/>
      <c r="LQZ20" s="110"/>
      <c r="LRA20" s="110"/>
      <c r="LRB20" s="110"/>
      <c r="LRC20" s="110"/>
      <c r="LRD20" s="110"/>
      <c r="LRE20" s="110"/>
      <c r="LRF20" s="110"/>
      <c r="LRG20" s="110"/>
      <c r="LRH20" s="110"/>
      <c r="LRI20" s="110"/>
      <c r="LRJ20" s="110"/>
      <c r="LRK20" s="110"/>
      <c r="LRL20" s="110"/>
      <c r="LRM20" s="110"/>
      <c r="LRN20" s="110"/>
      <c r="LRO20" s="110"/>
      <c r="LRP20" s="110"/>
      <c r="LRQ20" s="110"/>
      <c r="LRR20" s="110"/>
      <c r="LRS20" s="110"/>
      <c r="LRT20" s="110"/>
      <c r="LRU20" s="110"/>
      <c r="LRV20" s="110"/>
      <c r="LRW20" s="110"/>
      <c r="LRX20" s="110"/>
      <c r="LRY20" s="110"/>
      <c r="LRZ20" s="110"/>
      <c r="LSA20" s="110"/>
      <c r="LSB20" s="110"/>
      <c r="LSC20" s="110"/>
      <c r="LSD20" s="110"/>
      <c r="LSE20" s="110"/>
      <c r="LSF20" s="110"/>
      <c r="LSG20" s="110"/>
      <c r="LSH20" s="110"/>
      <c r="LSI20" s="110"/>
      <c r="LSJ20" s="110"/>
      <c r="LSK20" s="110"/>
      <c r="LSL20" s="110"/>
      <c r="LSM20" s="110"/>
      <c r="LSN20" s="110"/>
      <c r="LSO20" s="110"/>
      <c r="LSP20" s="110"/>
      <c r="LSQ20" s="110"/>
      <c r="LSR20" s="110"/>
      <c r="LSS20" s="110"/>
      <c r="LST20" s="110"/>
      <c r="LSU20" s="110"/>
      <c r="LSV20" s="110"/>
      <c r="LSW20" s="110"/>
      <c r="LSX20" s="110"/>
      <c r="LSY20" s="110"/>
      <c r="LSZ20" s="110"/>
      <c r="LTA20" s="110"/>
      <c r="LTB20" s="110"/>
      <c r="LTC20" s="110"/>
      <c r="LTD20" s="110"/>
      <c r="LTE20" s="110"/>
      <c r="LTF20" s="110"/>
      <c r="LTG20" s="110"/>
      <c r="LTH20" s="110"/>
      <c r="LTI20" s="110"/>
      <c r="LTJ20" s="110"/>
      <c r="LTK20" s="110"/>
      <c r="LTL20" s="110"/>
      <c r="LTM20" s="110"/>
      <c r="LTN20" s="110"/>
      <c r="LTO20" s="110"/>
      <c r="LTP20" s="110"/>
      <c r="LTQ20" s="110"/>
      <c r="LTR20" s="110"/>
      <c r="LTS20" s="110"/>
      <c r="LTT20" s="110"/>
      <c r="LTU20" s="110"/>
      <c r="LTV20" s="110"/>
      <c r="LTW20" s="110"/>
      <c r="LTX20" s="110"/>
      <c r="LTY20" s="110"/>
      <c r="LTZ20" s="110"/>
      <c r="LUA20" s="110"/>
      <c r="LUB20" s="110"/>
      <c r="LUC20" s="110"/>
      <c r="LUD20" s="110"/>
      <c r="LUE20" s="110"/>
      <c r="LUF20" s="110"/>
      <c r="LUG20" s="110"/>
      <c r="LUH20" s="110"/>
      <c r="LUI20" s="110"/>
      <c r="LUJ20" s="110"/>
      <c r="LUK20" s="110"/>
      <c r="LUL20" s="110"/>
      <c r="LUM20" s="110"/>
      <c r="LUN20" s="110"/>
      <c r="LUO20" s="110"/>
      <c r="LUP20" s="110"/>
      <c r="LUQ20" s="110"/>
      <c r="LUR20" s="110"/>
      <c r="LUS20" s="110"/>
      <c r="LUT20" s="110"/>
      <c r="LUU20" s="110"/>
      <c r="LUV20" s="110"/>
      <c r="LUW20" s="110"/>
      <c r="LUX20" s="110"/>
      <c r="LUY20" s="110"/>
      <c r="LUZ20" s="110"/>
      <c r="LVA20" s="110"/>
      <c r="LVB20" s="110"/>
      <c r="LVC20" s="110"/>
      <c r="LVD20" s="110"/>
      <c r="LVE20" s="110"/>
      <c r="LVF20" s="110"/>
      <c r="LVG20" s="110"/>
      <c r="LVH20" s="110"/>
      <c r="LVI20" s="110"/>
      <c r="LVJ20" s="110"/>
      <c r="LVK20" s="110"/>
      <c r="LVL20" s="110"/>
      <c r="LVM20" s="110"/>
      <c r="LVN20" s="110"/>
      <c r="LVO20" s="110"/>
      <c r="LVP20" s="110"/>
      <c r="LVQ20" s="110"/>
      <c r="LVR20" s="110"/>
      <c r="LVS20" s="110"/>
      <c r="LVT20" s="110"/>
      <c r="LVU20" s="110"/>
      <c r="LVV20" s="110"/>
      <c r="LVW20" s="110"/>
      <c r="LVX20" s="110"/>
      <c r="LVY20" s="110"/>
      <c r="LVZ20" s="110"/>
      <c r="LWA20" s="110"/>
      <c r="LWB20" s="110"/>
      <c r="LWC20" s="110"/>
      <c r="LWD20" s="110"/>
      <c r="LWE20" s="110"/>
      <c r="LWF20" s="110"/>
      <c r="LWG20" s="110"/>
      <c r="LWH20" s="110"/>
      <c r="LWI20" s="110"/>
      <c r="LWJ20" s="110"/>
      <c r="LWK20" s="110"/>
      <c r="LWL20" s="110"/>
      <c r="LWM20" s="110"/>
      <c r="LWN20" s="110"/>
      <c r="LWO20" s="110"/>
      <c r="LWP20" s="110"/>
      <c r="LWQ20" s="110"/>
      <c r="LWR20" s="110"/>
      <c r="LWS20" s="110"/>
      <c r="LWT20" s="110"/>
      <c r="LWU20" s="110"/>
      <c r="LWV20" s="110"/>
      <c r="LWW20" s="110"/>
      <c r="LWX20" s="110"/>
      <c r="LWY20" s="110"/>
      <c r="LWZ20" s="110"/>
      <c r="LXA20" s="110"/>
      <c r="LXB20" s="110"/>
      <c r="LXC20" s="110"/>
      <c r="LXD20" s="110"/>
      <c r="LXE20" s="110"/>
      <c r="LXF20" s="110"/>
      <c r="LXG20" s="110"/>
      <c r="LXH20" s="110"/>
      <c r="LXI20" s="110"/>
      <c r="LXJ20" s="110"/>
      <c r="LXK20" s="110"/>
      <c r="LXL20" s="110"/>
      <c r="LXM20" s="110"/>
      <c r="LXN20" s="110"/>
      <c r="LXO20" s="110"/>
      <c r="LXP20" s="110"/>
      <c r="LXQ20" s="110"/>
      <c r="LXR20" s="110"/>
      <c r="LXS20" s="110"/>
      <c r="LXT20" s="110"/>
      <c r="LXU20" s="110"/>
      <c r="LXV20" s="110"/>
      <c r="LXW20" s="110"/>
      <c r="LXX20" s="110"/>
      <c r="LXY20" s="110"/>
      <c r="LXZ20" s="110"/>
      <c r="LYA20" s="110"/>
      <c r="LYB20" s="110"/>
      <c r="LYC20" s="110"/>
      <c r="LYD20" s="110"/>
      <c r="LYE20" s="110"/>
      <c r="LYF20" s="110"/>
      <c r="LYG20" s="110"/>
      <c r="LYH20" s="110"/>
      <c r="LYI20" s="110"/>
      <c r="LYJ20" s="110"/>
      <c r="LYK20" s="110"/>
      <c r="LYL20" s="110"/>
      <c r="LYM20" s="110"/>
      <c r="LYN20" s="110"/>
      <c r="LYO20" s="110"/>
      <c r="LYP20" s="110"/>
      <c r="LYQ20" s="110"/>
      <c r="LYR20" s="110"/>
      <c r="LYS20" s="110"/>
      <c r="LYT20" s="110"/>
      <c r="LYU20" s="110"/>
      <c r="LYV20" s="110"/>
      <c r="LYW20" s="110"/>
      <c r="LYX20" s="110"/>
      <c r="LYY20" s="110"/>
      <c r="LYZ20" s="110"/>
      <c r="LZA20" s="110"/>
      <c r="LZB20" s="110"/>
      <c r="LZC20" s="110"/>
      <c r="LZD20" s="110"/>
      <c r="LZE20" s="110"/>
      <c r="LZF20" s="110"/>
      <c r="LZG20" s="110"/>
      <c r="LZH20" s="110"/>
      <c r="LZI20" s="110"/>
      <c r="LZJ20" s="110"/>
      <c r="LZK20" s="110"/>
      <c r="LZL20" s="110"/>
      <c r="LZM20" s="110"/>
      <c r="LZN20" s="110"/>
      <c r="LZO20" s="110"/>
      <c r="LZP20" s="110"/>
      <c r="LZQ20" s="110"/>
      <c r="LZR20" s="110"/>
      <c r="LZS20" s="110"/>
      <c r="LZT20" s="110"/>
      <c r="LZU20" s="110"/>
      <c r="LZV20" s="110"/>
      <c r="LZW20" s="110"/>
      <c r="LZX20" s="110"/>
      <c r="LZY20" s="110"/>
      <c r="LZZ20" s="110"/>
      <c r="MAA20" s="110"/>
      <c r="MAB20" s="110"/>
      <c r="MAC20" s="110"/>
      <c r="MAD20" s="110"/>
      <c r="MAE20" s="110"/>
      <c r="MAF20" s="110"/>
      <c r="MAG20" s="110"/>
      <c r="MAH20" s="110"/>
      <c r="MAI20" s="110"/>
      <c r="MAJ20" s="110"/>
      <c r="MAK20" s="110"/>
      <c r="MAL20" s="110"/>
      <c r="MAM20" s="110"/>
      <c r="MAN20" s="110"/>
      <c r="MAO20" s="110"/>
      <c r="MAP20" s="110"/>
      <c r="MAQ20" s="110"/>
      <c r="MAR20" s="110"/>
      <c r="MAS20" s="110"/>
      <c r="MAT20" s="110"/>
      <c r="MAU20" s="110"/>
      <c r="MAV20" s="110"/>
      <c r="MAW20" s="110"/>
      <c r="MAX20" s="110"/>
      <c r="MAY20" s="110"/>
      <c r="MAZ20" s="110"/>
      <c r="MBA20" s="110"/>
      <c r="MBB20" s="110"/>
      <c r="MBC20" s="110"/>
      <c r="MBD20" s="110"/>
      <c r="MBE20" s="110"/>
      <c r="MBF20" s="110"/>
      <c r="MBG20" s="110"/>
      <c r="MBH20" s="110"/>
      <c r="MBI20" s="110"/>
      <c r="MBJ20" s="110"/>
      <c r="MBK20" s="110"/>
      <c r="MBL20" s="110"/>
      <c r="MBM20" s="110"/>
      <c r="MBN20" s="110"/>
      <c r="MBO20" s="110"/>
      <c r="MBP20" s="110"/>
      <c r="MBQ20" s="110"/>
      <c r="MBR20" s="110"/>
      <c r="MBS20" s="110"/>
      <c r="MBT20" s="110"/>
      <c r="MBU20" s="110"/>
      <c r="MBV20" s="110"/>
      <c r="MBW20" s="110"/>
      <c r="MBX20" s="110"/>
      <c r="MBY20" s="110"/>
      <c r="MBZ20" s="110"/>
      <c r="MCA20" s="110"/>
      <c r="MCB20" s="110"/>
      <c r="MCC20" s="110"/>
      <c r="MCD20" s="110"/>
      <c r="MCE20" s="110"/>
      <c r="MCF20" s="110"/>
      <c r="MCG20" s="110"/>
      <c r="MCH20" s="110"/>
      <c r="MCI20" s="110"/>
      <c r="MCJ20" s="110"/>
      <c r="MCK20" s="110"/>
      <c r="MCL20" s="110"/>
      <c r="MCM20" s="110"/>
      <c r="MCN20" s="110"/>
      <c r="MCO20" s="110"/>
      <c r="MCP20" s="110"/>
      <c r="MCQ20" s="110"/>
      <c r="MCR20" s="110"/>
      <c r="MCS20" s="110"/>
      <c r="MCT20" s="110"/>
      <c r="MCU20" s="110"/>
      <c r="MCV20" s="110"/>
      <c r="MCW20" s="110"/>
      <c r="MCX20" s="110"/>
      <c r="MCY20" s="110"/>
      <c r="MCZ20" s="110"/>
      <c r="MDA20" s="110"/>
      <c r="MDB20" s="110"/>
      <c r="MDC20" s="110"/>
      <c r="MDD20" s="110"/>
      <c r="MDE20" s="110"/>
      <c r="MDF20" s="110"/>
      <c r="MDG20" s="110"/>
      <c r="MDH20" s="110"/>
      <c r="MDI20" s="110"/>
      <c r="MDJ20" s="110"/>
      <c r="MDK20" s="110"/>
      <c r="MDL20" s="110"/>
      <c r="MDM20" s="110"/>
      <c r="MDN20" s="110"/>
      <c r="MDO20" s="110"/>
      <c r="MDP20" s="110"/>
      <c r="MDQ20" s="110"/>
      <c r="MDR20" s="110"/>
      <c r="MDS20" s="110"/>
      <c r="MDT20" s="110"/>
      <c r="MDU20" s="110"/>
      <c r="MDV20" s="110"/>
      <c r="MDW20" s="110"/>
      <c r="MDX20" s="110"/>
      <c r="MDY20" s="110"/>
      <c r="MDZ20" s="110"/>
      <c r="MEA20" s="110"/>
      <c r="MEB20" s="110"/>
      <c r="MEC20" s="110"/>
      <c r="MED20" s="110"/>
      <c r="MEE20" s="110"/>
      <c r="MEF20" s="110"/>
      <c r="MEG20" s="110"/>
      <c r="MEH20" s="110"/>
      <c r="MEI20" s="110"/>
      <c r="MEJ20" s="110"/>
      <c r="MEK20" s="110"/>
      <c r="MEL20" s="110"/>
      <c r="MEM20" s="110"/>
      <c r="MEN20" s="110"/>
      <c r="MEO20" s="110"/>
      <c r="MEP20" s="110"/>
      <c r="MEQ20" s="110"/>
      <c r="MER20" s="110"/>
      <c r="MES20" s="110"/>
      <c r="MET20" s="110"/>
      <c r="MEU20" s="110"/>
      <c r="MEV20" s="110"/>
      <c r="MEW20" s="110"/>
      <c r="MEX20" s="110"/>
      <c r="MEY20" s="110"/>
      <c r="MEZ20" s="110"/>
      <c r="MFA20" s="110"/>
      <c r="MFB20" s="110"/>
      <c r="MFC20" s="110"/>
      <c r="MFD20" s="110"/>
      <c r="MFE20" s="110"/>
      <c r="MFF20" s="110"/>
      <c r="MFG20" s="110"/>
      <c r="MFH20" s="110"/>
      <c r="MFI20" s="110"/>
      <c r="MFJ20" s="110"/>
      <c r="MFK20" s="110"/>
      <c r="MFL20" s="110"/>
      <c r="MFM20" s="110"/>
      <c r="MFN20" s="110"/>
      <c r="MFO20" s="110"/>
      <c r="MFP20" s="110"/>
      <c r="MFQ20" s="110"/>
      <c r="MFR20" s="110"/>
      <c r="MFS20" s="110"/>
      <c r="MFT20" s="110"/>
      <c r="MFU20" s="110"/>
      <c r="MFV20" s="110"/>
      <c r="MFW20" s="110"/>
      <c r="MFX20" s="110"/>
      <c r="MFY20" s="110"/>
      <c r="MFZ20" s="110"/>
      <c r="MGA20" s="110"/>
      <c r="MGB20" s="110"/>
      <c r="MGC20" s="110"/>
      <c r="MGD20" s="110"/>
      <c r="MGE20" s="110"/>
      <c r="MGF20" s="110"/>
      <c r="MGG20" s="110"/>
      <c r="MGH20" s="110"/>
      <c r="MGI20" s="110"/>
      <c r="MGJ20" s="110"/>
      <c r="MGK20" s="110"/>
      <c r="MGL20" s="110"/>
      <c r="MGM20" s="110"/>
      <c r="MGN20" s="110"/>
      <c r="MGO20" s="110"/>
      <c r="MGP20" s="110"/>
      <c r="MGQ20" s="110"/>
      <c r="MGR20" s="110"/>
      <c r="MGS20" s="110"/>
      <c r="MGT20" s="110"/>
      <c r="MGU20" s="110"/>
      <c r="MGV20" s="110"/>
      <c r="MGW20" s="110"/>
      <c r="MGX20" s="110"/>
      <c r="MGY20" s="110"/>
      <c r="MGZ20" s="110"/>
      <c r="MHA20" s="110"/>
      <c r="MHB20" s="110"/>
      <c r="MHC20" s="110"/>
      <c r="MHD20" s="110"/>
      <c r="MHE20" s="110"/>
      <c r="MHF20" s="110"/>
      <c r="MHG20" s="110"/>
      <c r="MHH20" s="110"/>
      <c r="MHI20" s="110"/>
      <c r="MHJ20" s="110"/>
      <c r="MHK20" s="110"/>
      <c r="MHL20" s="110"/>
      <c r="MHM20" s="110"/>
      <c r="MHN20" s="110"/>
      <c r="MHO20" s="110"/>
      <c r="MHP20" s="110"/>
      <c r="MHQ20" s="110"/>
      <c r="MHR20" s="110"/>
      <c r="MHS20" s="110"/>
      <c r="MHT20" s="110"/>
      <c r="MHU20" s="110"/>
      <c r="MHV20" s="110"/>
      <c r="MHW20" s="110"/>
      <c r="MHX20" s="110"/>
      <c r="MHY20" s="110"/>
      <c r="MHZ20" s="110"/>
      <c r="MIA20" s="110"/>
      <c r="MIB20" s="110"/>
      <c r="MIC20" s="110"/>
      <c r="MID20" s="110"/>
      <c r="MIE20" s="110"/>
      <c r="MIF20" s="110"/>
      <c r="MIG20" s="110"/>
      <c r="MIH20" s="110"/>
      <c r="MII20" s="110"/>
      <c r="MIJ20" s="110"/>
      <c r="MIK20" s="110"/>
      <c r="MIL20" s="110"/>
      <c r="MIM20" s="110"/>
      <c r="MIN20" s="110"/>
      <c r="MIO20" s="110"/>
      <c r="MIP20" s="110"/>
      <c r="MIQ20" s="110"/>
      <c r="MIR20" s="110"/>
      <c r="MIS20" s="110"/>
      <c r="MIT20" s="110"/>
      <c r="MIU20" s="110"/>
      <c r="MIV20" s="110"/>
      <c r="MIW20" s="110"/>
      <c r="MIX20" s="110"/>
      <c r="MIY20" s="110"/>
      <c r="MIZ20" s="110"/>
      <c r="MJA20" s="110"/>
      <c r="MJB20" s="110"/>
      <c r="MJC20" s="110"/>
      <c r="MJD20" s="110"/>
      <c r="MJE20" s="110"/>
      <c r="MJF20" s="110"/>
      <c r="MJG20" s="110"/>
      <c r="MJH20" s="110"/>
      <c r="MJI20" s="110"/>
      <c r="MJJ20" s="110"/>
      <c r="MJK20" s="110"/>
      <c r="MJL20" s="110"/>
      <c r="MJM20" s="110"/>
      <c r="MJN20" s="110"/>
      <c r="MJO20" s="110"/>
      <c r="MJP20" s="110"/>
      <c r="MJQ20" s="110"/>
      <c r="MJR20" s="110"/>
      <c r="MJS20" s="110"/>
      <c r="MJT20" s="110"/>
      <c r="MJU20" s="110"/>
      <c r="MJV20" s="110"/>
      <c r="MJW20" s="110"/>
      <c r="MJX20" s="110"/>
      <c r="MJY20" s="110"/>
      <c r="MJZ20" s="110"/>
      <c r="MKA20" s="110"/>
      <c r="MKB20" s="110"/>
      <c r="MKC20" s="110"/>
      <c r="MKD20" s="110"/>
      <c r="MKE20" s="110"/>
      <c r="MKF20" s="110"/>
      <c r="MKG20" s="110"/>
      <c r="MKH20" s="110"/>
      <c r="MKI20" s="110"/>
      <c r="MKJ20" s="110"/>
      <c r="MKK20" s="110"/>
      <c r="MKL20" s="110"/>
      <c r="MKM20" s="110"/>
      <c r="MKN20" s="110"/>
      <c r="MKO20" s="110"/>
      <c r="MKP20" s="110"/>
      <c r="MKQ20" s="110"/>
      <c r="MKR20" s="110"/>
      <c r="MKS20" s="110"/>
      <c r="MKT20" s="110"/>
      <c r="MKU20" s="110"/>
      <c r="MKV20" s="110"/>
      <c r="MKW20" s="110"/>
      <c r="MKX20" s="110"/>
      <c r="MKY20" s="110"/>
      <c r="MKZ20" s="110"/>
      <c r="MLA20" s="110"/>
      <c r="MLB20" s="110"/>
      <c r="MLC20" s="110"/>
      <c r="MLD20" s="110"/>
      <c r="MLE20" s="110"/>
      <c r="MLF20" s="110"/>
      <c r="MLG20" s="110"/>
      <c r="MLH20" s="110"/>
      <c r="MLI20" s="110"/>
      <c r="MLJ20" s="110"/>
      <c r="MLK20" s="110"/>
      <c r="MLL20" s="110"/>
      <c r="MLM20" s="110"/>
      <c r="MLN20" s="110"/>
      <c r="MLO20" s="110"/>
      <c r="MLP20" s="110"/>
      <c r="MLQ20" s="110"/>
      <c r="MLR20" s="110"/>
      <c r="MLS20" s="110"/>
      <c r="MLT20" s="110"/>
      <c r="MLU20" s="110"/>
      <c r="MLV20" s="110"/>
      <c r="MLW20" s="110"/>
      <c r="MLX20" s="110"/>
      <c r="MLY20" s="110"/>
      <c r="MLZ20" s="110"/>
      <c r="MMA20" s="110"/>
      <c r="MMB20" s="110"/>
      <c r="MMC20" s="110"/>
      <c r="MMD20" s="110"/>
      <c r="MME20" s="110"/>
      <c r="MMF20" s="110"/>
      <c r="MMG20" s="110"/>
      <c r="MMH20" s="110"/>
      <c r="MMI20" s="110"/>
      <c r="MMJ20" s="110"/>
      <c r="MMK20" s="110"/>
      <c r="MML20" s="110"/>
      <c r="MMM20" s="110"/>
      <c r="MMN20" s="110"/>
      <c r="MMO20" s="110"/>
      <c r="MMP20" s="110"/>
      <c r="MMQ20" s="110"/>
      <c r="MMR20" s="110"/>
      <c r="MMS20" s="110"/>
      <c r="MMT20" s="110"/>
      <c r="MMU20" s="110"/>
      <c r="MMV20" s="110"/>
      <c r="MMW20" s="110"/>
      <c r="MMX20" s="110"/>
      <c r="MMY20" s="110"/>
      <c r="MMZ20" s="110"/>
      <c r="MNA20" s="110"/>
      <c r="MNB20" s="110"/>
      <c r="MNC20" s="110"/>
      <c r="MND20" s="110"/>
      <c r="MNE20" s="110"/>
      <c r="MNF20" s="110"/>
      <c r="MNG20" s="110"/>
      <c r="MNH20" s="110"/>
      <c r="MNI20" s="110"/>
      <c r="MNJ20" s="110"/>
      <c r="MNK20" s="110"/>
      <c r="MNL20" s="110"/>
      <c r="MNM20" s="110"/>
      <c r="MNN20" s="110"/>
      <c r="MNO20" s="110"/>
      <c r="MNP20" s="110"/>
      <c r="MNQ20" s="110"/>
      <c r="MNR20" s="110"/>
      <c r="MNS20" s="110"/>
      <c r="MNT20" s="110"/>
      <c r="MNU20" s="110"/>
      <c r="MNV20" s="110"/>
      <c r="MNW20" s="110"/>
      <c r="MNX20" s="110"/>
      <c r="MNY20" s="110"/>
      <c r="MNZ20" s="110"/>
      <c r="MOA20" s="110"/>
      <c r="MOB20" s="110"/>
      <c r="MOC20" s="110"/>
      <c r="MOD20" s="110"/>
      <c r="MOE20" s="110"/>
      <c r="MOF20" s="110"/>
      <c r="MOG20" s="110"/>
      <c r="MOH20" s="110"/>
      <c r="MOI20" s="110"/>
      <c r="MOJ20" s="110"/>
      <c r="MOK20" s="110"/>
      <c r="MOL20" s="110"/>
      <c r="MOM20" s="110"/>
      <c r="MON20" s="110"/>
      <c r="MOO20" s="110"/>
      <c r="MOP20" s="110"/>
      <c r="MOQ20" s="110"/>
      <c r="MOR20" s="110"/>
      <c r="MOS20" s="110"/>
      <c r="MOT20" s="110"/>
      <c r="MOU20" s="110"/>
      <c r="MOV20" s="110"/>
      <c r="MOW20" s="110"/>
      <c r="MOX20" s="110"/>
      <c r="MOY20" s="110"/>
      <c r="MOZ20" s="110"/>
      <c r="MPA20" s="110"/>
      <c r="MPB20" s="110"/>
      <c r="MPC20" s="110"/>
      <c r="MPD20" s="110"/>
      <c r="MPE20" s="110"/>
      <c r="MPF20" s="110"/>
      <c r="MPG20" s="110"/>
      <c r="MPH20" s="110"/>
      <c r="MPI20" s="110"/>
      <c r="MPJ20" s="110"/>
      <c r="MPK20" s="110"/>
      <c r="MPL20" s="110"/>
      <c r="MPM20" s="110"/>
      <c r="MPN20" s="110"/>
      <c r="MPO20" s="110"/>
      <c r="MPP20" s="110"/>
      <c r="MPQ20" s="110"/>
      <c r="MPR20" s="110"/>
      <c r="MPS20" s="110"/>
      <c r="MPT20" s="110"/>
      <c r="MPU20" s="110"/>
      <c r="MPV20" s="110"/>
      <c r="MPW20" s="110"/>
      <c r="MPX20" s="110"/>
      <c r="MPY20" s="110"/>
      <c r="MPZ20" s="110"/>
      <c r="MQA20" s="110"/>
      <c r="MQB20" s="110"/>
      <c r="MQC20" s="110"/>
      <c r="MQD20" s="110"/>
      <c r="MQE20" s="110"/>
      <c r="MQF20" s="110"/>
      <c r="MQG20" s="110"/>
      <c r="MQH20" s="110"/>
      <c r="MQI20" s="110"/>
      <c r="MQJ20" s="110"/>
      <c r="MQK20" s="110"/>
      <c r="MQL20" s="110"/>
      <c r="MQM20" s="110"/>
      <c r="MQN20" s="110"/>
      <c r="MQO20" s="110"/>
      <c r="MQP20" s="110"/>
      <c r="MQQ20" s="110"/>
      <c r="MQR20" s="110"/>
      <c r="MQS20" s="110"/>
      <c r="MQT20" s="110"/>
      <c r="MQU20" s="110"/>
      <c r="MQV20" s="110"/>
      <c r="MQW20" s="110"/>
      <c r="MQX20" s="110"/>
      <c r="MQY20" s="110"/>
      <c r="MQZ20" s="110"/>
      <c r="MRA20" s="110"/>
      <c r="MRB20" s="110"/>
      <c r="MRC20" s="110"/>
      <c r="MRD20" s="110"/>
      <c r="MRE20" s="110"/>
      <c r="MRF20" s="110"/>
      <c r="MRG20" s="110"/>
      <c r="MRH20" s="110"/>
      <c r="MRI20" s="110"/>
      <c r="MRJ20" s="110"/>
      <c r="MRK20" s="110"/>
      <c r="MRL20" s="110"/>
      <c r="MRM20" s="110"/>
      <c r="MRN20" s="110"/>
      <c r="MRO20" s="110"/>
      <c r="MRP20" s="110"/>
      <c r="MRQ20" s="110"/>
      <c r="MRR20" s="110"/>
      <c r="MRS20" s="110"/>
      <c r="MRT20" s="110"/>
      <c r="MRU20" s="110"/>
      <c r="MRV20" s="110"/>
      <c r="MRW20" s="110"/>
      <c r="MRX20" s="110"/>
      <c r="MRY20" s="110"/>
      <c r="MRZ20" s="110"/>
      <c r="MSA20" s="110"/>
      <c r="MSB20" s="110"/>
      <c r="MSC20" s="110"/>
      <c r="MSD20" s="110"/>
      <c r="MSE20" s="110"/>
      <c r="MSF20" s="110"/>
      <c r="MSG20" s="110"/>
      <c r="MSH20" s="110"/>
      <c r="MSI20" s="110"/>
      <c r="MSJ20" s="110"/>
      <c r="MSK20" s="110"/>
      <c r="MSL20" s="110"/>
      <c r="MSM20" s="110"/>
      <c r="MSN20" s="110"/>
      <c r="MSO20" s="110"/>
      <c r="MSP20" s="110"/>
      <c r="MSQ20" s="110"/>
      <c r="MSR20" s="110"/>
      <c r="MSS20" s="110"/>
      <c r="MST20" s="110"/>
      <c r="MSU20" s="110"/>
      <c r="MSV20" s="110"/>
      <c r="MSW20" s="110"/>
      <c r="MSX20" s="110"/>
      <c r="MSY20" s="110"/>
      <c r="MSZ20" s="110"/>
      <c r="MTA20" s="110"/>
      <c r="MTB20" s="110"/>
      <c r="MTC20" s="110"/>
      <c r="MTD20" s="110"/>
      <c r="MTE20" s="110"/>
      <c r="MTF20" s="110"/>
      <c r="MTG20" s="110"/>
      <c r="MTH20" s="110"/>
      <c r="MTI20" s="110"/>
      <c r="MTJ20" s="110"/>
      <c r="MTK20" s="110"/>
      <c r="MTL20" s="110"/>
      <c r="MTM20" s="110"/>
      <c r="MTN20" s="110"/>
      <c r="MTO20" s="110"/>
      <c r="MTP20" s="110"/>
      <c r="MTQ20" s="110"/>
      <c r="MTR20" s="110"/>
      <c r="MTS20" s="110"/>
      <c r="MTT20" s="110"/>
      <c r="MTU20" s="110"/>
      <c r="MTV20" s="110"/>
      <c r="MTW20" s="110"/>
      <c r="MTX20" s="110"/>
      <c r="MTY20" s="110"/>
      <c r="MTZ20" s="110"/>
      <c r="MUA20" s="110"/>
      <c r="MUB20" s="110"/>
      <c r="MUC20" s="110"/>
      <c r="MUD20" s="110"/>
      <c r="MUE20" s="110"/>
      <c r="MUF20" s="110"/>
      <c r="MUG20" s="110"/>
      <c r="MUH20" s="110"/>
      <c r="MUI20" s="110"/>
      <c r="MUJ20" s="110"/>
      <c r="MUK20" s="110"/>
      <c r="MUL20" s="110"/>
      <c r="MUM20" s="110"/>
      <c r="MUN20" s="110"/>
      <c r="MUO20" s="110"/>
      <c r="MUP20" s="110"/>
      <c r="MUQ20" s="110"/>
      <c r="MUR20" s="110"/>
      <c r="MUS20" s="110"/>
      <c r="MUT20" s="110"/>
      <c r="MUU20" s="110"/>
      <c r="MUV20" s="110"/>
      <c r="MUW20" s="110"/>
      <c r="MUX20" s="110"/>
      <c r="MUY20" s="110"/>
      <c r="MUZ20" s="110"/>
      <c r="MVA20" s="110"/>
      <c r="MVB20" s="110"/>
      <c r="MVC20" s="110"/>
      <c r="MVD20" s="110"/>
      <c r="MVE20" s="110"/>
      <c r="MVF20" s="110"/>
      <c r="MVG20" s="110"/>
      <c r="MVH20" s="110"/>
      <c r="MVI20" s="110"/>
      <c r="MVJ20" s="110"/>
      <c r="MVK20" s="110"/>
      <c r="MVL20" s="110"/>
      <c r="MVM20" s="110"/>
      <c r="MVN20" s="110"/>
      <c r="MVO20" s="110"/>
      <c r="MVP20" s="110"/>
      <c r="MVQ20" s="110"/>
      <c r="MVR20" s="110"/>
      <c r="MVS20" s="110"/>
      <c r="MVT20" s="110"/>
      <c r="MVU20" s="110"/>
      <c r="MVV20" s="110"/>
      <c r="MVW20" s="110"/>
      <c r="MVX20" s="110"/>
      <c r="MVY20" s="110"/>
      <c r="MVZ20" s="110"/>
      <c r="MWA20" s="110"/>
      <c r="MWB20" s="110"/>
      <c r="MWC20" s="110"/>
      <c r="MWD20" s="110"/>
      <c r="MWE20" s="110"/>
      <c r="MWF20" s="110"/>
      <c r="MWG20" s="110"/>
      <c r="MWH20" s="110"/>
      <c r="MWI20" s="110"/>
      <c r="MWJ20" s="110"/>
      <c r="MWK20" s="110"/>
      <c r="MWL20" s="110"/>
      <c r="MWM20" s="110"/>
      <c r="MWN20" s="110"/>
      <c r="MWO20" s="110"/>
      <c r="MWP20" s="110"/>
      <c r="MWQ20" s="110"/>
      <c r="MWR20" s="110"/>
      <c r="MWS20" s="110"/>
      <c r="MWT20" s="110"/>
      <c r="MWU20" s="110"/>
      <c r="MWV20" s="110"/>
      <c r="MWW20" s="110"/>
      <c r="MWX20" s="110"/>
      <c r="MWY20" s="110"/>
      <c r="MWZ20" s="110"/>
      <c r="MXA20" s="110"/>
      <c r="MXB20" s="110"/>
      <c r="MXC20" s="110"/>
      <c r="MXD20" s="110"/>
      <c r="MXE20" s="110"/>
      <c r="MXF20" s="110"/>
      <c r="MXG20" s="110"/>
      <c r="MXH20" s="110"/>
      <c r="MXI20" s="110"/>
      <c r="MXJ20" s="110"/>
      <c r="MXK20" s="110"/>
      <c r="MXL20" s="110"/>
      <c r="MXM20" s="110"/>
      <c r="MXN20" s="110"/>
      <c r="MXO20" s="110"/>
      <c r="MXP20" s="110"/>
      <c r="MXQ20" s="110"/>
      <c r="MXR20" s="110"/>
      <c r="MXS20" s="110"/>
      <c r="MXT20" s="110"/>
      <c r="MXU20" s="110"/>
      <c r="MXV20" s="110"/>
      <c r="MXW20" s="110"/>
      <c r="MXX20" s="110"/>
      <c r="MXY20" s="110"/>
      <c r="MXZ20" s="110"/>
      <c r="MYA20" s="110"/>
      <c r="MYB20" s="110"/>
      <c r="MYC20" s="110"/>
      <c r="MYD20" s="110"/>
      <c r="MYE20" s="110"/>
      <c r="MYF20" s="110"/>
      <c r="MYG20" s="110"/>
      <c r="MYH20" s="110"/>
      <c r="MYI20" s="110"/>
      <c r="MYJ20" s="110"/>
      <c r="MYK20" s="110"/>
      <c r="MYL20" s="110"/>
      <c r="MYM20" s="110"/>
      <c r="MYN20" s="110"/>
      <c r="MYO20" s="110"/>
      <c r="MYP20" s="110"/>
      <c r="MYQ20" s="110"/>
      <c r="MYR20" s="110"/>
      <c r="MYS20" s="110"/>
      <c r="MYT20" s="110"/>
      <c r="MYU20" s="110"/>
      <c r="MYV20" s="110"/>
      <c r="MYW20" s="110"/>
      <c r="MYX20" s="110"/>
      <c r="MYY20" s="110"/>
      <c r="MYZ20" s="110"/>
      <c r="MZA20" s="110"/>
      <c r="MZB20" s="110"/>
      <c r="MZC20" s="110"/>
      <c r="MZD20" s="110"/>
      <c r="MZE20" s="110"/>
      <c r="MZF20" s="110"/>
      <c r="MZG20" s="110"/>
      <c r="MZH20" s="110"/>
      <c r="MZI20" s="110"/>
      <c r="MZJ20" s="110"/>
      <c r="MZK20" s="110"/>
      <c r="MZL20" s="110"/>
      <c r="MZM20" s="110"/>
      <c r="MZN20" s="110"/>
      <c r="MZO20" s="110"/>
      <c r="MZP20" s="110"/>
      <c r="MZQ20" s="110"/>
      <c r="MZR20" s="110"/>
      <c r="MZS20" s="110"/>
      <c r="MZT20" s="110"/>
      <c r="MZU20" s="110"/>
      <c r="MZV20" s="110"/>
      <c r="MZW20" s="110"/>
      <c r="MZX20" s="110"/>
      <c r="MZY20" s="110"/>
      <c r="MZZ20" s="110"/>
      <c r="NAA20" s="110"/>
      <c r="NAB20" s="110"/>
      <c r="NAC20" s="110"/>
      <c r="NAD20" s="110"/>
      <c r="NAE20" s="110"/>
      <c r="NAF20" s="110"/>
      <c r="NAG20" s="110"/>
      <c r="NAH20" s="110"/>
      <c r="NAI20" s="110"/>
      <c r="NAJ20" s="110"/>
      <c r="NAK20" s="110"/>
      <c r="NAL20" s="110"/>
      <c r="NAM20" s="110"/>
      <c r="NAN20" s="110"/>
      <c r="NAO20" s="110"/>
      <c r="NAP20" s="110"/>
      <c r="NAQ20" s="110"/>
      <c r="NAR20" s="110"/>
      <c r="NAS20" s="110"/>
      <c r="NAT20" s="110"/>
      <c r="NAU20" s="110"/>
      <c r="NAV20" s="110"/>
      <c r="NAW20" s="110"/>
      <c r="NAX20" s="110"/>
      <c r="NAY20" s="110"/>
      <c r="NAZ20" s="110"/>
      <c r="NBA20" s="110"/>
      <c r="NBB20" s="110"/>
      <c r="NBC20" s="110"/>
      <c r="NBD20" s="110"/>
      <c r="NBE20" s="110"/>
      <c r="NBF20" s="110"/>
      <c r="NBG20" s="110"/>
      <c r="NBH20" s="110"/>
      <c r="NBI20" s="110"/>
      <c r="NBJ20" s="110"/>
      <c r="NBK20" s="110"/>
      <c r="NBL20" s="110"/>
      <c r="NBM20" s="110"/>
      <c r="NBN20" s="110"/>
      <c r="NBO20" s="110"/>
      <c r="NBP20" s="110"/>
      <c r="NBQ20" s="110"/>
      <c r="NBR20" s="110"/>
      <c r="NBS20" s="110"/>
      <c r="NBT20" s="110"/>
      <c r="NBU20" s="110"/>
      <c r="NBV20" s="110"/>
      <c r="NBW20" s="110"/>
      <c r="NBX20" s="110"/>
      <c r="NBY20" s="110"/>
      <c r="NBZ20" s="110"/>
      <c r="NCA20" s="110"/>
      <c r="NCB20" s="110"/>
      <c r="NCC20" s="110"/>
      <c r="NCD20" s="110"/>
      <c r="NCE20" s="110"/>
      <c r="NCF20" s="110"/>
      <c r="NCG20" s="110"/>
      <c r="NCH20" s="110"/>
      <c r="NCI20" s="110"/>
      <c r="NCJ20" s="110"/>
      <c r="NCK20" s="110"/>
      <c r="NCL20" s="110"/>
      <c r="NCM20" s="110"/>
      <c r="NCN20" s="110"/>
      <c r="NCO20" s="110"/>
      <c r="NCP20" s="110"/>
      <c r="NCQ20" s="110"/>
      <c r="NCR20" s="110"/>
      <c r="NCS20" s="110"/>
      <c r="NCT20" s="110"/>
      <c r="NCU20" s="110"/>
      <c r="NCV20" s="110"/>
      <c r="NCW20" s="110"/>
      <c r="NCX20" s="110"/>
      <c r="NCY20" s="110"/>
      <c r="NCZ20" s="110"/>
      <c r="NDA20" s="110"/>
      <c r="NDB20" s="110"/>
      <c r="NDC20" s="110"/>
      <c r="NDD20" s="110"/>
      <c r="NDE20" s="110"/>
      <c r="NDF20" s="110"/>
      <c r="NDG20" s="110"/>
      <c r="NDH20" s="110"/>
      <c r="NDI20" s="110"/>
      <c r="NDJ20" s="110"/>
      <c r="NDK20" s="110"/>
      <c r="NDL20" s="110"/>
      <c r="NDM20" s="110"/>
      <c r="NDN20" s="110"/>
      <c r="NDO20" s="110"/>
      <c r="NDP20" s="110"/>
      <c r="NDQ20" s="110"/>
      <c r="NDR20" s="110"/>
      <c r="NDS20" s="110"/>
      <c r="NDT20" s="110"/>
      <c r="NDU20" s="110"/>
      <c r="NDV20" s="110"/>
      <c r="NDW20" s="110"/>
      <c r="NDX20" s="110"/>
      <c r="NDY20" s="110"/>
      <c r="NDZ20" s="110"/>
      <c r="NEA20" s="110"/>
      <c r="NEB20" s="110"/>
      <c r="NEC20" s="110"/>
      <c r="NED20" s="110"/>
      <c r="NEE20" s="110"/>
      <c r="NEF20" s="110"/>
      <c r="NEG20" s="110"/>
      <c r="NEH20" s="110"/>
      <c r="NEI20" s="110"/>
      <c r="NEJ20" s="110"/>
      <c r="NEK20" s="110"/>
      <c r="NEL20" s="110"/>
      <c r="NEM20" s="110"/>
      <c r="NEN20" s="110"/>
      <c r="NEO20" s="110"/>
      <c r="NEP20" s="110"/>
      <c r="NEQ20" s="110"/>
      <c r="NER20" s="110"/>
      <c r="NES20" s="110"/>
      <c r="NET20" s="110"/>
      <c r="NEU20" s="110"/>
      <c r="NEV20" s="110"/>
      <c r="NEW20" s="110"/>
      <c r="NEX20" s="110"/>
      <c r="NEY20" s="110"/>
      <c r="NEZ20" s="110"/>
      <c r="NFA20" s="110"/>
      <c r="NFB20" s="110"/>
      <c r="NFC20" s="110"/>
      <c r="NFD20" s="110"/>
      <c r="NFE20" s="110"/>
      <c r="NFF20" s="110"/>
      <c r="NFG20" s="110"/>
      <c r="NFH20" s="110"/>
      <c r="NFI20" s="110"/>
      <c r="NFJ20" s="110"/>
      <c r="NFK20" s="110"/>
      <c r="NFL20" s="110"/>
      <c r="NFM20" s="110"/>
      <c r="NFN20" s="110"/>
      <c r="NFO20" s="110"/>
      <c r="NFP20" s="110"/>
      <c r="NFQ20" s="110"/>
      <c r="NFR20" s="110"/>
      <c r="NFS20" s="110"/>
      <c r="NFT20" s="110"/>
      <c r="NFU20" s="110"/>
      <c r="NFV20" s="110"/>
      <c r="NFW20" s="110"/>
      <c r="NFX20" s="110"/>
      <c r="NFY20" s="110"/>
      <c r="NFZ20" s="110"/>
      <c r="NGA20" s="110"/>
      <c r="NGB20" s="110"/>
      <c r="NGC20" s="110"/>
      <c r="NGD20" s="110"/>
      <c r="NGE20" s="110"/>
      <c r="NGF20" s="110"/>
      <c r="NGG20" s="110"/>
      <c r="NGH20" s="110"/>
      <c r="NGI20" s="110"/>
      <c r="NGJ20" s="110"/>
      <c r="NGK20" s="110"/>
      <c r="NGL20" s="110"/>
      <c r="NGM20" s="110"/>
      <c r="NGN20" s="110"/>
      <c r="NGO20" s="110"/>
      <c r="NGP20" s="110"/>
      <c r="NGQ20" s="110"/>
      <c r="NGR20" s="110"/>
      <c r="NGS20" s="110"/>
      <c r="NGT20" s="110"/>
      <c r="NGU20" s="110"/>
      <c r="NGV20" s="110"/>
      <c r="NGW20" s="110"/>
      <c r="NGX20" s="110"/>
      <c r="NGY20" s="110"/>
      <c r="NGZ20" s="110"/>
      <c r="NHA20" s="110"/>
      <c r="NHB20" s="110"/>
      <c r="NHC20" s="110"/>
      <c r="NHD20" s="110"/>
      <c r="NHE20" s="110"/>
      <c r="NHF20" s="110"/>
      <c r="NHG20" s="110"/>
      <c r="NHH20" s="110"/>
      <c r="NHI20" s="110"/>
      <c r="NHJ20" s="110"/>
      <c r="NHK20" s="110"/>
      <c r="NHL20" s="110"/>
      <c r="NHM20" s="110"/>
      <c r="NHN20" s="110"/>
      <c r="NHO20" s="110"/>
      <c r="NHP20" s="110"/>
      <c r="NHQ20" s="110"/>
      <c r="NHR20" s="110"/>
      <c r="NHS20" s="110"/>
      <c r="NHT20" s="110"/>
      <c r="NHU20" s="110"/>
      <c r="NHV20" s="110"/>
      <c r="NHW20" s="110"/>
      <c r="NHX20" s="110"/>
      <c r="NHY20" s="110"/>
      <c r="NHZ20" s="110"/>
      <c r="NIA20" s="110"/>
      <c r="NIB20" s="110"/>
      <c r="NIC20" s="110"/>
      <c r="NID20" s="110"/>
      <c r="NIE20" s="110"/>
      <c r="NIF20" s="110"/>
      <c r="NIG20" s="110"/>
      <c r="NIH20" s="110"/>
      <c r="NII20" s="110"/>
      <c r="NIJ20" s="110"/>
      <c r="NIK20" s="110"/>
      <c r="NIL20" s="110"/>
      <c r="NIM20" s="110"/>
      <c r="NIN20" s="110"/>
      <c r="NIO20" s="110"/>
      <c r="NIP20" s="110"/>
      <c r="NIQ20" s="110"/>
      <c r="NIR20" s="110"/>
      <c r="NIS20" s="110"/>
      <c r="NIT20" s="110"/>
      <c r="NIU20" s="110"/>
      <c r="NIV20" s="110"/>
      <c r="NIW20" s="110"/>
      <c r="NIX20" s="110"/>
      <c r="NIY20" s="110"/>
      <c r="NIZ20" s="110"/>
      <c r="NJA20" s="110"/>
      <c r="NJB20" s="110"/>
      <c r="NJC20" s="110"/>
      <c r="NJD20" s="110"/>
      <c r="NJE20" s="110"/>
      <c r="NJF20" s="110"/>
      <c r="NJG20" s="110"/>
      <c r="NJH20" s="110"/>
      <c r="NJI20" s="110"/>
      <c r="NJJ20" s="110"/>
      <c r="NJK20" s="110"/>
      <c r="NJL20" s="110"/>
      <c r="NJM20" s="110"/>
      <c r="NJN20" s="110"/>
      <c r="NJO20" s="110"/>
      <c r="NJP20" s="110"/>
      <c r="NJQ20" s="110"/>
      <c r="NJR20" s="110"/>
      <c r="NJS20" s="110"/>
      <c r="NJT20" s="110"/>
      <c r="NJU20" s="110"/>
      <c r="NJV20" s="110"/>
      <c r="NJW20" s="110"/>
      <c r="NJX20" s="110"/>
      <c r="NJY20" s="110"/>
      <c r="NJZ20" s="110"/>
      <c r="NKA20" s="110"/>
      <c r="NKB20" s="110"/>
      <c r="NKC20" s="110"/>
      <c r="NKD20" s="110"/>
      <c r="NKE20" s="110"/>
      <c r="NKF20" s="110"/>
      <c r="NKG20" s="110"/>
      <c r="NKH20" s="110"/>
      <c r="NKI20" s="110"/>
      <c r="NKJ20" s="110"/>
      <c r="NKK20" s="110"/>
      <c r="NKL20" s="110"/>
      <c r="NKM20" s="110"/>
      <c r="NKN20" s="110"/>
      <c r="NKO20" s="110"/>
      <c r="NKP20" s="110"/>
      <c r="NKQ20" s="110"/>
      <c r="NKR20" s="110"/>
      <c r="NKS20" s="110"/>
      <c r="NKT20" s="110"/>
      <c r="NKU20" s="110"/>
      <c r="NKV20" s="110"/>
      <c r="NKW20" s="110"/>
      <c r="NKX20" s="110"/>
      <c r="NKY20" s="110"/>
      <c r="NKZ20" s="110"/>
      <c r="NLA20" s="110"/>
      <c r="NLB20" s="110"/>
      <c r="NLC20" s="110"/>
      <c r="NLD20" s="110"/>
      <c r="NLE20" s="110"/>
      <c r="NLF20" s="110"/>
      <c r="NLG20" s="110"/>
      <c r="NLH20" s="110"/>
      <c r="NLI20" s="110"/>
      <c r="NLJ20" s="110"/>
      <c r="NLK20" s="110"/>
      <c r="NLL20" s="110"/>
      <c r="NLM20" s="110"/>
      <c r="NLN20" s="110"/>
      <c r="NLO20" s="110"/>
      <c r="NLP20" s="110"/>
      <c r="NLQ20" s="110"/>
      <c r="NLR20" s="110"/>
      <c r="NLS20" s="110"/>
      <c r="NLT20" s="110"/>
      <c r="NLU20" s="110"/>
      <c r="NLV20" s="110"/>
      <c r="NLW20" s="110"/>
      <c r="NLX20" s="110"/>
      <c r="NLY20" s="110"/>
      <c r="NLZ20" s="110"/>
      <c r="NMA20" s="110"/>
      <c r="NMB20" s="110"/>
      <c r="NMC20" s="110"/>
      <c r="NMD20" s="110"/>
      <c r="NME20" s="110"/>
      <c r="NMF20" s="110"/>
      <c r="NMG20" s="110"/>
      <c r="NMH20" s="110"/>
      <c r="NMI20" s="110"/>
      <c r="NMJ20" s="110"/>
      <c r="NMK20" s="110"/>
      <c r="NML20" s="110"/>
      <c r="NMM20" s="110"/>
      <c r="NMN20" s="110"/>
      <c r="NMO20" s="110"/>
      <c r="NMP20" s="110"/>
      <c r="NMQ20" s="110"/>
      <c r="NMR20" s="110"/>
      <c r="NMS20" s="110"/>
      <c r="NMT20" s="110"/>
      <c r="NMU20" s="110"/>
      <c r="NMV20" s="110"/>
      <c r="NMW20" s="110"/>
      <c r="NMX20" s="110"/>
      <c r="NMY20" s="110"/>
      <c r="NMZ20" s="110"/>
      <c r="NNA20" s="110"/>
      <c r="NNB20" s="110"/>
      <c r="NNC20" s="110"/>
      <c r="NND20" s="110"/>
      <c r="NNE20" s="110"/>
      <c r="NNF20" s="110"/>
      <c r="NNG20" s="110"/>
      <c r="NNH20" s="110"/>
      <c r="NNI20" s="110"/>
      <c r="NNJ20" s="110"/>
      <c r="NNK20" s="110"/>
      <c r="NNL20" s="110"/>
      <c r="NNM20" s="110"/>
      <c r="NNN20" s="110"/>
      <c r="NNO20" s="110"/>
      <c r="NNP20" s="110"/>
      <c r="NNQ20" s="110"/>
      <c r="NNR20" s="110"/>
      <c r="NNS20" s="110"/>
      <c r="NNT20" s="110"/>
      <c r="NNU20" s="110"/>
      <c r="NNV20" s="110"/>
      <c r="NNW20" s="110"/>
      <c r="NNX20" s="110"/>
      <c r="NNY20" s="110"/>
      <c r="NNZ20" s="110"/>
      <c r="NOA20" s="110"/>
      <c r="NOB20" s="110"/>
      <c r="NOC20" s="110"/>
      <c r="NOD20" s="110"/>
      <c r="NOE20" s="110"/>
      <c r="NOF20" s="110"/>
      <c r="NOG20" s="110"/>
      <c r="NOH20" s="110"/>
      <c r="NOI20" s="110"/>
      <c r="NOJ20" s="110"/>
      <c r="NOK20" s="110"/>
      <c r="NOL20" s="110"/>
      <c r="NOM20" s="110"/>
      <c r="NON20" s="110"/>
      <c r="NOO20" s="110"/>
      <c r="NOP20" s="110"/>
      <c r="NOQ20" s="110"/>
      <c r="NOR20" s="110"/>
      <c r="NOS20" s="110"/>
      <c r="NOT20" s="110"/>
      <c r="NOU20" s="110"/>
      <c r="NOV20" s="110"/>
      <c r="NOW20" s="110"/>
      <c r="NOX20" s="110"/>
      <c r="NOY20" s="110"/>
      <c r="NOZ20" s="110"/>
      <c r="NPA20" s="110"/>
      <c r="NPB20" s="110"/>
      <c r="NPC20" s="110"/>
      <c r="NPD20" s="110"/>
      <c r="NPE20" s="110"/>
      <c r="NPF20" s="110"/>
      <c r="NPG20" s="110"/>
      <c r="NPH20" s="110"/>
      <c r="NPI20" s="110"/>
      <c r="NPJ20" s="110"/>
      <c r="NPK20" s="110"/>
      <c r="NPL20" s="110"/>
      <c r="NPM20" s="110"/>
      <c r="NPN20" s="110"/>
      <c r="NPO20" s="110"/>
      <c r="NPP20" s="110"/>
      <c r="NPQ20" s="110"/>
      <c r="NPR20" s="110"/>
      <c r="NPS20" s="110"/>
      <c r="NPT20" s="110"/>
      <c r="NPU20" s="110"/>
      <c r="NPV20" s="110"/>
      <c r="NPW20" s="110"/>
      <c r="NPX20" s="110"/>
      <c r="NPY20" s="110"/>
      <c r="NPZ20" s="110"/>
      <c r="NQA20" s="110"/>
      <c r="NQB20" s="110"/>
      <c r="NQC20" s="110"/>
      <c r="NQD20" s="110"/>
      <c r="NQE20" s="110"/>
      <c r="NQF20" s="110"/>
      <c r="NQG20" s="110"/>
      <c r="NQH20" s="110"/>
      <c r="NQI20" s="110"/>
      <c r="NQJ20" s="110"/>
      <c r="NQK20" s="110"/>
      <c r="NQL20" s="110"/>
      <c r="NQM20" s="110"/>
      <c r="NQN20" s="110"/>
      <c r="NQO20" s="110"/>
      <c r="NQP20" s="110"/>
      <c r="NQQ20" s="110"/>
      <c r="NQR20" s="110"/>
      <c r="NQS20" s="110"/>
      <c r="NQT20" s="110"/>
      <c r="NQU20" s="110"/>
      <c r="NQV20" s="110"/>
      <c r="NQW20" s="110"/>
      <c r="NQX20" s="110"/>
      <c r="NQY20" s="110"/>
      <c r="NQZ20" s="110"/>
      <c r="NRA20" s="110"/>
      <c r="NRB20" s="110"/>
      <c r="NRC20" s="110"/>
      <c r="NRD20" s="110"/>
      <c r="NRE20" s="110"/>
      <c r="NRF20" s="110"/>
      <c r="NRG20" s="110"/>
      <c r="NRH20" s="110"/>
      <c r="NRI20" s="110"/>
      <c r="NRJ20" s="110"/>
      <c r="NRK20" s="110"/>
      <c r="NRL20" s="110"/>
      <c r="NRM20" s="110"/>
      <c r="NRN20" s="110"/>
      <c r="NRO20" s="110"/>
      <c r="NRP20" s="110"/>
      <c r="NRQ20" s="110"/>
      <c r="NRR20" s="110"/>
      <c r="NRS20" s="110"/>
      <c r="NRT20" s="110"/>
      <c r="NRU20" s="110"/>
      <c r="NRV20" s="110"/>
      <c r="NRW20" s="110"/>
      <c r="NRX20" s="110"/>
      <c r="NRY20" s="110"/>
      <c r="NRZ20" s="110"/>
      <c r="NSA20" s="110"/>
      <c r="NSB20" s="110"/>
      <c r="NSC20" s="110"/>
      <c r="NSD20" s="110"/>
      <c r="NSE20" s="110"/>
      <c r="NSF20" s="110"/>
      <c r="NSG20" s="110"/>
      <c r="NSH20" s="110"/>
      <c r="NSI20" s="110"/>
      <c r="NSJ20" s="110"/>
      <c r="NSK20" s="110"/>
      <c r="NSL20" s="110"/>
      <c r="NSM20" s="110"/>
      <c r="NSN20" s="110"/>
      <c r="NSO20" s="110"/>
      <c r="NSP20" s="110"/>
      <c r="NSQ20" s="110"/>
      <c r="NSR20" s="110"/>
      <c r="NSS20" s="110"/>
      <c r="NST20" s="110"/>
      <c r="NSU20" s="110"/>
      <c r="NSV20" s="110"/>
      <c r="NSW20" s="110"/>
      <c r="NSX20" s="110"/>
      <c r="NSY20" s="110"/>
      <c r="NSZ20" s="110"/>
      <c r="NTA20" s="110"/>
      <c r="NTB20" s="110"/>
      <c r="NTC20" s="110"/>
      <c r="NTD20" s="110"/>
      <c r="NTE20" s="110"/>
      <c r="NTF20" s="110"/>
      <c r="NTG20" s="110"/>
      <c r="NTH20" s="110"/>
      <c r="NTI20" s="110"/>
      <c r="NTJ20" s="110"/>
      <c r="NTK20" s="110"/>
      <c r="NTL20" s="110"/>
      <c r="NTM20" s="110"/>
      <c r="NTN20" s="110"/>
      <c r="NTO20" s="110"/>
      <c r="NTP20" s="110"/>
      <c r="NTQ20" s="110"/>
      <c r="NTR20" s="110"/>
      <c r="NTS20" s="110"/>
      <c r="NTT20" s="110"/>
      <c r="NTU20" s="110"/>
      <c r="NTV20" s="110"/>
      <c r="NTW20" s="110"/>
      <c r="NTX20" s="110"/>
      <c r="NTY20" s="110"/>
      <c r="NTZ20" s="110"/>
      <c r="NUA20" s="110"/>
      <c r="NUB20" s="110"/>
      <c r="NUC20" s="110"/>
      <c r="NUD20" s="110"/>
      <c r="NUE20" s="110"/>
      <c r="NUF20" s="110"/>
      <c r="NUG20" s="110"/>
      <c r="NUH20" s="110"/>
      <c r="NUI20" s="110"/>
      <c r="NUJ20" s="110"/>
      <c r="NUK20" s="110"/>
      <c r="NUL20" s="110"/>
      <c r="NUM20" s="110"/>
      <c r="NUN20" s="110"/>
      <c r="NUO20" s="110"/>
      <c r="NUP20" s="110"/>
      <c r="NUQ20" s="110"/>
      <c r="NUR20" s="110"/>
      <c r="NUS20" s="110"/>
      <c r="NUT20" s="110"/>
      <c r="NUU20" s="110"/>
      <c r="NUV20" s="110"/>
      <c r="NUW20" s="110"/>
      <c r="NUX20" s="110"/>
      <c r="NUY20" s="110"/>
      <c r="NUZ20" s="110"/>
      <c r="NVA20" s="110"/>
      <c r="NVB20" s="110"/>
      <c r="NVC20" s="110"/>
      <c r="NVD20" s="110"/>
      <c r="NVE20" s="110"/>
      <c r="NVF20" s="110"/>
      <c r="NVG20" s="110"/>
      <c r="NVH20" s="110"/>
      <c r="NVI20" s="110"/>
      <c r="NVJ20" s="110"/>
      <c r="NVK20" s="110"/>
      <c r="NVL20" s="110"/>
      <c r="NVM20" s="110"/>
      <c r="NVN20" s="110"/>
      <c r="NVO20" s="110"/>
      <c r="NVP20" s="110"/>
      <c r="NVQ20" s="110"/>
      <c r="NVR20" s="110"/>
      <c r="NVS20" s="110"/>
      <c r="NVT20" s="110"/>
      <c r="NVU20" s="110"/>
      <c r="NVV20" s="110"/>
      <c r="NVW20" s="110"/>
      <c r="NVX20" s="110"/>
      <c r="NVY20" s="110"/>
      <c r="NVZ20" s="110"/>
      <c r="NWA20" s="110"/>
      <c r="NWB20" s="110"/>
      <c r="NWC20" s="110"/>
      <c r="NWD20" s="110"/>
      <c r="NWE20" s="110"/>
      <c r="NWF20" s="110"/>
      <c r="NWG20" s="110"/>
      <c r="NWH20" s="110"/>
      <c r="NWI20" s="110"/>
      <c r="NWJ20" s="110"/>
      <c r="NWK20" s="110"/>
      <c r="NWL20" s="110"/>
      <c r="NWM20" s="110"/>
      <c r="NWN20" s="110"/>
      <c r="NWO20" s="110"/>
      <c r="NWP20" s="110"/>
      <c r="NWQ20" s="110"/>
      <c r="NWR20" s="110"/>
      <c r="NWS20" s="110"/>
      <c r="NWT20" s="110"/>
      <c r="NWU20" s="110"/>
      <c r="NWV20" s="110"/>
      <c r="NWW20" s="110"/>
      <c r="NWX20" s="110"/>
      <c r="NWY20" s="110"/>
      <c r="NWZ20" s="110"/>
      <c r="NXA20" s="110"/>
      <c r="NXB20" s="110"/>
      <c r="NXC20" s="110"/>
      <c r="NXD20" s="110"/>
      <c r="NXE20" s="110"/>
      <c r="NXF20" s="110"/>
      <c r="NXG20" s="110"/>
      <c r="NXH20" s="110"/>
      <c r="NXI20" s="110"/>
      <c r="NXJ20" s="110"/>
      <c r="NXK20" s="110"/>
      <c r="NXL20" s="110"/>
      <c r="NXM20" s="110"/>
      <c r="NXN20" s="110"/>
      <c r="NXO20" s="110"/>
      <c r="NXP20" s="110"/>
      <c r="NXQ20" s="110"/>
      <c r="NXR20" s="110"/>
      <c r="NXS20" s="110"/>
      <c r="NXT20" s="110"/>
      <c r="NXU20" s="110"/>
      <c r="NXV20" s="110"/>
      <c r="NXW20" s="110"/>
      <c r="NXX20" s="110"/>
      <c r="NXY20" s="110"/>
      <c r="NXZ20" s="110"/>
      <c r="NYA20" s="110"/>
      <c r="NYB20" s="110"/>
      <c r="NYC20" s="110"/>
      <c r="NYD20" s="110"/>
      <c r="NYE20" s="110"/>
      <c r="NYF20" s="110"/>
      <c r="NYG20" s="110"/>
      <c r="NYH20" s="110"/>
      <c r="NYI20" s="110"/>
      <c r="NYJ20" s="110"/>
      <c r="NYK20" s="110"/>
      <c r="NYL20" s="110"/>
      <c r="NYM20" s="110"/>
      <c r="NYN20" s="110"/>
      <c r="NYO20" s="110"/>
      <c r="NYP20" s="110"/>
      <c r="NYQ20" s="110"/>
      <c r="NYR20" s="110"/>
      <c r="NYS20" s="110"/>
      <c r="NYT20" s="110"/>
      <c r="NYU20" s="110"/>
      <c r="NYV20" s="110"/>
      <c r="NYW20" s="110"/>
      <c r="NYX20" s="110"/>
      <c r="NYY20" s="110"/>
      <c r="NYZ20" s="110"/>
      <c r="NZA20" s="110"/>
      <c r="NZB20" s="110"/>
      <c r="NZC20" s="110"/>
      <c r="NZD20" s="110"/>
      <c r="NZE20" s="110"/>
      <c r="NZF20" s="110"/>
      <c r="NZG20" s="110"/>
      <c r="NZH20" s="110"/>
      <c r="NZI20" s="110"/>
      <c r="NZJ20" s="110"/>
      <c r="NZK20" s="110"/>
      <c r="NZL20" s="110"/>
      <c r="NZM20" s="110"/>
      <c r="NZN20" s="110"/>
      <c r="NZO20" s="110"/>
      <c r="NZP20" s="110"/>
      <c r="NZQ20" s="110"/>
      <c r="NZR20" s="110"/>
      <c r="NZS20" s="110"/>
      <c r="NZT20" s="110"/>
      <c r="NZU20" s="110"/>
      <c r="NZV20" s="110"/>
      <c r="NZW20" s="110"/>
      <c r="NZX20" s="110"/>
      <c r="NZY20" s="110"/>
      <c r="NZZ20" s="110"/>
      <c r="OAA20" s="110"/>
      <c r="OAB20" s="110"/>
      <c r="OAC20" s="110"/>
      <c r="OAD20" s="110"/>
      <c r="OAE20" s="110"/>
      <c r="OAF20" s="110"/>
      <c r="OAG20" s="110"/>
      <c r="OAH20" s="110"/>
      <c r="OAI20" s="110"/>
      <c r="OAJ20" s="110"/>
      <c r="OAK20" s="110"/>
      <c r="OAL20" s="110"/>
      <c r="OAM20" s="110"/>
      <c r="OAN20" s="110"/>
      <c r="OAO20" s="110"/>
      <c r="OAP20" s="110"/>
      <c r="OAQ20" s="110"/>
      <c r="OAR20" s="110"/>
      <c r="OAS20" s="110"/>
      <c r="OAT20" s="110"/>
      <c r="OAU20" s="110"/>
      <c r="OAV20" s="110"/>
      <c r="OAW20" s="110"/>
      <c r="OAX20" s="110"/>
      <c r="OAY20" s="110"/>
      <c r="OAZ20" s="110"/>
      <c r="OBA20" s="110"/>
      <c r="OBB20" s="110"/>
      <c r="OBC20" s="110"/>
      <c r="OBD20" s="110"/>
      <c r="OBE20" s="110"/>
      <c r="OBF20" s="110"/>
      <c r="OBG20" s="110"/>
      <c r="OBH20" s="110"/>
      <c r="OBI20" s="110"/>
      <c r="OBJ20" s="110"/>
      <c r="OBK20" s="110"/>
      <c r="OBL20" s="110"/>
      <c r="OBM20" s="110"/>
      <c r="OBN20" s="110"/>
      <c r="OBO20" s="110"/>
      <c r="OBP20" s="110"/>
      <c r="OBQ20" s="110"/>
      <c r="OBR20" s="110"/>
      <c r="OBS20" s="110"/>
      <c r="OBT20" s="110"/>
      <c r="OBU20" s="110"/>
      <c r="OBV20" s="110"/>
      <c r="OBW20" s="110"/>
      <c r="OBX20" s="110"/>
      <c r="OBY20" s="110"/>
      <c r="OBZ20" s="110"/>
      <c r="OCA20" s="110"/>
      <c r="OCB20" s="110"/>
      <c r="OCC20" s="110"/>
      <c r="OCD20" s="110"/>
      <c r="OCE20" s="110"/>
      <c r="OCF20" s="110"/>
      <c r="OCG20" s="110"/>
      <c r="OCH20" s="110"/>
      <c r="OCI20" s="110"/>
      <c r="OCJ20" s="110"/>
      <c r="OCK20" s="110"/>
      <c r="OCL20" s="110"/>
      <c r="OCM20" s="110"/>
      <c r="OCN20" s="110"/>
      <c r="OCO20" s="110"/>
      <c r="OCP20" s="110"/>
      <c r="OCQ20" s="110"/>
      <c r="OCR20" s="110"/>
      <c r="OCS20" s="110"/>
      <c r="OCT20" s="110"/>
      <c r="OCU20" s="110"/>
      <c r="OCV20" s="110"/>
      <c r="OCW20" s="110"/>
      <c r="OCX20" s="110"/>
      <c r="OCY20" s="110"/>
      <c r="OCZ20" s="110"/>
      <c r="ODA20" s="110"/>
      <c r="ODB20" s="110"/>
      <c r="ODC20" s="110"/>
      <c r="ODD20" s="110"/>
      <c r="ODE20" s="110"/>
      <c r="ODF20" s="110"/>
      <c r="ODG20" s="110"/>
      <c r="ODH20" s="110"/>
      <c r="ODI20" s="110"/>
      <c r="ODJ20" s="110"/>
      <c r="ODK20" s="110"/>
      <c r="ODL20" s="110"/>
      <c r="ODM20" s="110"/>
      <c r="ODN20" s="110"/>
      <c r="ODO20" s="110"/>
      <c r="ODP20" s="110"/>
      <c r="ODQ20" s="110"/>
      <c r="ODR20" s="110"/>
      <c r="ODS20" s="110"/>
      <c r="ODT20" s="110"/>
      <c r="ODU20" s="110"/>
      <c r="ODV20" s="110"/>
      <c r="ODW20" s="110"/>
      <c r="ODX20" s="110"/>
      <c r="ODY20" s="110"/>
      <c r="ODZ20" s="110"/>
      <c r="OEA20" s="110"/>
      <c r="OEB20" s="110"/>
      <c r="OEC20" s="110"/>
      <c r="OED20" s="110"/>
      <c r="OEE20" s="110"/>
      <c r="OEF20" s="110"/>
      <c r="OEG20" s="110"/>
      <c r="OEH20" s="110"/>
      <c r="OEI20" s="110"/>
      <c r="OEJ20" s="110"/>
      <c r="OEK20" s="110"/>
      <c r="OEL20" s="110"/>
      <c r="OEM20" s="110"/>
      <c r="OEN20" s="110"/>
      <c r="OEO20" s="110"/>
      <c r="OEP20" s="110"/>
      <c r="OEQ20" s="110"/>
      <c r="OER20" s="110"/>
      <c r="OES20" s="110"/>
      <c r="OET20" s="110"/>
      <c r="OEU20" s="110"/>
      <c r="OEV20" s="110"/>
      <c r="OEW20" s="110"/>
      <c r="OEX20" s="110"/>
      <c r="OEY20" s="110"/>
      <c r="OEZ20" s="110"/>
      <c r="OFA20" s="110"/>
      <c r="OFB20" s="110"/>
      <c r="OFC20" s="110"/>
      <c r="OFD20" s="110"/>
      <c r="OFE20" s="110"/>
      <c r="OFF20" s="110"/>
      <c r="OFG20" s="110"/>
      <c r="OFH20" s="110"/>
      <c r="OFI20" s="110"/>
      <c r="OFJ20" s="110"/>
      <c r="OFK20" s="110"/>
      <c r="OFL20" s="110"/>
      <c r="OFM20" s="110"/>
      <c r="OFN20" s="110"/>
      <c r="OFO20" s="110"/>
      <c r="OFP20" s="110"/>
      <c r="OFQ20" s="110"/>
      <c r="OFR20" s="110"/>
      <c r="OFS20" s="110"/>
      <c r="OFT20" s="110"/>
      <c r="OFU20" s="110"/>
      <c r="OFV20" s="110"/>
      <c r="OFW20" s="110"/>
      <c r="OFX20" s="110"/>
      <c r="OFY20" s="110"/>
      <c r="OFZ20" s="110"/>
      <c r="OGA20" s="110"/>
      <c r="OGB20" s="110"/>
      <c r="OGC20" s="110"/>
      <c r="OGD20" s="110"/>
      <c r="OGE20" s="110"/>
      <c r="OGF20" s="110"/>
      <c r="OGG20" s="110"/>
      <c r="OGH20" s="110"/>
      <c r="OGI20" s="110"/>
      <c r="OGJ20" s="110"/>
      <c r="OGK20" s="110"/>
      <c r="OGL20" s="110"/>
      <c r="OGM20" s="110"/>
      <c r="OGN20" s="110"/>
      <c r="OGO20" s="110"/>
      <c r="OGP20" s="110"/>
      <c r="OGQ20" s="110"/>
      <c r="OGR20" s="110"/>
      <c r="OGS20" s="110"/>
      <c r="OGT20" s="110"/>
      <c r="OGU20" s="110"/>
      <c r="OGV20" s="110"/>
      <c r="OGW20" s="110"/>
      <c r="OGX20" s="110"/>
      <c r="OGY20" s="110"/>
      <c r="OGZ20" s="110"/>
      <c r="OHA20" s="110"/>
      <c r="OHB20" s="110"/>
      <c r="OHC20" s="110"/>
      <c r="OHD20" s="110"/>
      <c r="OHE20" s="110"/>
      <c r="OHF20" s="110"/>
      <c r="OHG20" s="110"/>
      <c r="OHH20" s="110"/>
      <c r="OHI20" s="110"/>
      <c r="OHJ20" s="110"/>
      <c r="OHK20" s="110"/>
      <c r="OHL20" s="110"/>
      <c r="OHM20" s="110"/>
      <c r="OHN20" s="110"/>
      <c r="OHO20" s="110"/>
      <c r="OHP20" s="110"/>
      <c r="OHQ20" s="110"/>
      <c r="OHR20" s="110"/>
      <c r="OHS20" s="110"/>
      <c r="OHT20" s="110"/>
      <c r="OHU20" s="110"/>
      <c r="OHV20" s="110"/>
      <c r="OHW20" s="110"/>
      <c r="OHX20" s="110"/>
      <c r="OHY20" s="110"/>
      <c r="OHZ20" s="110"/>
      <c r="OIA20" s="110"/>
      <c r="OIB20" s="110"/>
      <c r="OIC20" s="110"/>
      <c r="OID20" s="110"/>
      <c r="OIE20" s="110"/>
      <c r="OIF20" s="110"/>
      <c r="OIG20" s="110"/>
      <c r="OIH20" s="110"/>
      <c r="OII20" s="110"/>
      <c r="OIJ20" s="110"/>
      <c r="OIK20" s="110"/>
      <c r="OIL20" s="110"/>
      <c r="OIM20" s="110"/>
      <c r="OIN20" s="110"/>
      <c r="OIO20" s="110"/>
      <c r="OIP20" s="110"/>
      <c r="OIQ20" s="110"/>
      <c r="OIR20" s="110"/>
      <c r="OIS20" s="110"/>
      <c r="OIT20" s="110"/>
      <c r="OIU20" s="110"/>
      <c r="OIV20" s="110"/>
      <c r="OIW20" s="110"/>
      <c r="OIX20" s="110"/>
      <c r="OIY20" s="110"/>
      <c r="OIZ20" s="110"/>
      <c r="OJA20" s="110"/>
      <c r="OJB20" s="110"/>
      <c r="OJC20" s="110"/>
      <c r="OJD20" s="110"/>
      <c r="OJE20" s="110"/>
      <c r="OJF20" s="110"/>
      <c r="OJG20" s="110"/>
      <c r="OJH20" s="110"/>
      <c r="OJI20" s="110"/>
      <c r="OJJ20" s="110"/>
      <c r="OJK20" s="110"/>
      <c r="OJL20" s="110"/>
      <c r="OJM20" s="110"/>
      <c r="OJN20" s="110"/>
      <c r="OJO20" s="110"/>
      <c r="OJP20" s="110"/>
      <c r="OJQ20" s="110"/>
      <c r="OJR20" s="110"/>
      <c r="OJS20" s="110"/>
      <c r="OJT20" s="110"/>
      <c r="OJU20" s="110"/>
      <c r="OJV20" s="110"/>
      <c r="OJW20" s="110"/>
      <c r="OJX20" s="110"/>
      <c r="OJY20" s="110"/>
      <c r="OJZ20" s="110"/>
      <c r="OKA20" s="110"/>
      <c r="OKB20" s="110"/>
      <c r="OKC20" s="110"/>
      <c r="OKD20" s="110"/>
      <c r="OKE20" s="110"/>
      <c r="OKF20" s="110"/>
      <c r="OKG20" s="110"/>
      <c r="OKH20" s="110"/>
      <c r="OKI20" s="110"/>
      <c r="OKJ20" s="110"/>
      <c r="OKK20" s="110"/>
      <c r="OKL20" s="110"/>
      <c r="OKM20" s="110"/>
      <c r="OKN20" s="110"/>
      <c r="OKO20" s="110"/>
      <c r="OKP20" s="110"/>
      <c r="OKQ20" s="110"/>
      <c r="OKR20" s="110"/>
      <c r="OKS20" s="110"/>
      <c r="OKT20" s="110"/>
      <c r="OKU20" s="110"/>
      <c r="OKV20" s="110"/>
      <c r="OKW20" s="110"/>
      <c r="OKX20" s="110"/>
      <c r="OKY20" s="110"/>
      <c r="OKZ20" s="110"/>
      <c r="OLA20" s="110"/>
      <c r="OLB20" s="110"/>
      <c r="OLC20" s="110"/>
      <c r="OLD20" s="110"/>
      <c r="OLE20" s="110"/>
      <c r="OLF20" s="110"/>
      <c r="OLG20" s="110"/>
      <c r="OLH20" s="110"/>
      <c r="OLI20" s="110"/>
      <c r="OLJ20" s="110"/>
      <c r="OLK20" s="110"/>
      <c r="OLL20" s="110"/>
      <c r="OLM20" s="110"/>
      <c r="OLN20" s="110"/>
      <c r="OLO20" s="110"/>
      <c r="OLP20" s="110"/>
      <c r="OLQ20" s="110"/>
      <c r="OLR20" s="110"/>
      <c r="OLS20" s="110"/>
      <c r="OLT20" s="110"/>
      <c r="OLU20" s="110"/>
      <c r="OLV20" s="110"/>
      <c r="OLW20" s="110"/>
      <c r="OLX20" s="110"/>
      <c r="OLY20" s="110"/>
      <c r="OLZ20" s="110"/>
      <c r="OMA20" s="110"/>
      <c r="OMB20" s="110"/>
      <c r="OMC20" s="110"/>
      <c r="OMD20" s="110"/>
      <c r="OME20" s="110"/>
      <c r="OMF20" s="110"/>
      <c r="OMG20" s="110"/>
      <c r="OMH20" s="110"/>
      <c r="OMI20" s="110"/>
      <c r="OMJ20" s="110"/>
      <c r="OMK20" s="110"/>
      <c r="OML20" s="110"/>
      <c r="OMM20" s="110"/>
      <c r="OMN20" s="110"/>
      <c r="OMO20" s="110"/>
      <c r="OMP20" s="110"/>
      <c r="OMQ20" s="110"/>
      <c r="OMR20" s="110"/>
      <c r="OMS20" s="110"/>
      <c r="OMT20" s="110"/>
      <c r="OMU20" s="110"/>
      <c r="OMV20" s="110"/>
      <c r="OMW20" s="110"/>
      <c r="OMX20" s="110"/>
      <c r="OMY20" s="110"/>
      <c r="OMZ20" s="110"/>
      <c r="ONA20" s="110"/>
      <c r="ONB20" s="110"/>
      <c r="ONC20" s="110"/>
      <c r="OND20" s="110"/>
      <c r="ONE20" s="110"/>
      <c r="ONF20" s="110"/>
      <c r="ONG20" s="110"/>
      <c r="ONH20" s="110"/>
      <c r="ONI20" s="110"/>
      <c r="ONJ20" s="110"/>
      <c r="ONK20" s="110"/>
      <c r="ONL20" s="110"/>
      <c r="ONM20" s="110"/>
      <c r="ONN20" s="110"/>
      <c r="ONO20" s="110"/>
      <c r="ONP20" s="110"/>
      <c r="ONQ20" s="110"/>
      <c r="ONR20" s="110"/>
      <c r="ONS20" s="110"/>
      <c r="ONT20" s="110"/>
      <c r="ONU20" s="110"/>
      <c r="ONV20" s="110"/>
      <c r="ONW20" s="110"/>
      <c r="ONX20" s="110"/>
      <c r="ONY20" s="110"/>
      <c r="ONZ20" s="110"/>
      <c r="OOA20" s="110"/>
      <c r="OOB20" s="110"/>
      <c r="OOC20" s="110"/>
      <c r="OOD20" s="110"/>
      <c r="OOE20" s="110"/>
      <c r="OOF20" s="110"/>
      <c r="OOG20" s="110"/>
      <c r="OOH20" s="110"/>
      <c r="OOI20" s="110"/>
      <c r="OOJ20" s="110"/>
      <c r="OOK20" s="110"/>
      <c r="OOL20" s="110"/>
      <c r="OOM20" s="110"/>
      <c r="OON20" s="110"/>
      <c r="OOO20" s="110"/>
      <c r="OOP20" s="110"/>
      <c r="OOQ20" s="110"/>
      <c r="OOR20" s="110"/>
      <c r="OOS20" s="110"/>
      <c r="OOT20" s="110"/>
      <c r="OOU20" s="110"/>
      <c r="OOV20" s="110"/>
      <c r="OOW20" s="110"/>
      <c r="OOX20" s="110"/>
      <c r="OOY20" s="110"/>
      <c r="OOZ20" s="110"/>
      <c r="OPA20" s="110"/>
      <c r="OPB20" s="110"/>
      <c r="OPC20" s="110"/>
      <c r="OPD20" s="110"/>
      <c r="OPE20" s="110"/>
      <c r="OPF20" s="110"/>
      <c r="OPG20" s="110"/>
      <c r="OPH20" s="110"/>
      <c r="OPI20" s="110"/>
      <c r="OPJ20" s="110"/>
      <c r="OPK20" s="110"/>
      <c r="OPL20" s="110"/>
      <c r="OPM20" s="110"/>
      <c r="OPN20" s="110"/>
      <c r="OPO20" s="110"/>
      <c r="OPP20" s="110"/>
      <c r="OPQ20" s="110"/>
      <c r="OPR20" s="110"/>
      <c r="OPS20" s="110"/>
      <c r="OPT20" s="110"/>
      <c r="OPU20" s="110"/>
      <c r="OPV20" s="110"/>
      <c r="OPW20" s="110"/>
      <c r="OPX20" s="110"/>
      <c r="OPY20" s="110"/>
      <c r="OPZ20" s="110"/>
      <c r="OQA20" s="110"/>
      <c r="OQB20" s="110"/>
      <c r="OQC20" s="110"/>
      <c r="OQD20" s="110"/>
      <c r="OQE20" s="110"/>
      <c r="OQF20" s="110"/>
      <c r="OQG20" s="110"/>
      <c r="OQH20" s="110"/>
      <c r="OQI20" s="110"/>
      <c r="OQJ20" s="110"/>
      <c r="OQK20" s="110"/>
      <c r="OQL20" s="110"/>
      <c r="OQM20" s="110"/>
      <c r="OQN20" s="110"/>
      <c r="OQO20" s="110"/>
      <c r="OQP20" s="110"/>
      <c r="OQQ20" s="110"/>
      <c r="OQR20" s="110"/>
      <c r="OQS20" s="110"/>
      <c r="OQT20" s="110"/>
      <c r="OQU20" s="110"/>
      <c r="OQV20" s="110"/>
      <c r="OQW20" s="110"/>
      <c r="OQX20" s="110"/>
      <c r="OQY20" s="110"/>
      <c r="OQZ20" s="110"/>
      <c r="ORA20" s="110"/>
      <c r="ORB20" s="110"/>
      <c r="ORC20" s="110"/>
      <c r="ORD20" s="110"/>
      <c r="ORE20" s="110"/>
      <c r="ORF20" s="110"/>
      <c r="ORG20" s="110"/>
      <c r="ORH20" s="110"/>
      <c r="ORI20" s="110"/>
      <c r="ORJ20" s="110"/>
      <c r="ORK20" s="110"/>
      <c r="ORL20" s="110"/>
      <c r="ORM20" s="110"/>
      <c r="ORN20" s="110"/>
      <c r="ORO20" s="110"/>
      <c r="ORP20" s="110"/>
      <c r="ORQ20" s="110"/>
      <c r="ORR20" s="110"/>
      <c r="ORS20" s="110"/>
      <c r="ORT20" s="110"/>
      <c r="ORU20" s="110"/>
      <c r="ORV20" s="110"/>
      <c r="ORW20" s="110"/>
      <c r="ORX20" s="110"/>
      <c r="ORY20" s="110"/>
      <c r="ORZ20" s="110"/>
      <c r="OSA20" s="110"/>
      <c r="OSB20" s="110"/>
      <c r="OSC20" s="110"/>
      <c r="OSD20" s="110"/>
      <c r="OSE20" s="110"/>
      <c r="OSF20" s="110"/>
      <c r="OSG20" s="110"/>
      <c r="OSH20" s="110"/>
      <c r="OSI20" s="110"/>
      <c r="OSJ20" s="110"/>
      <c r="OSK20" s="110"/>
      <c r="OSL20" s="110"/>
      <c r="OSM20" s="110"/>
      <c r="OSN20" s="110"/>
      <c r="OSO20" s="110"/>
      <c r="OSP20" s="110"/>
      <c r="OSQ20" s="110"/>
      <c r="OSR20" s="110"/>
      <c r="OSS20" s="110"/>
      <c r="OST20" s="110"/>
      <c r="OSU20" s="110"/>
      <c r="OSV20" s="110"/>
      <c r="OSW20" s="110"/>
      <c r="OSX20" s="110"/>
      <c r="OSY20" s="110"/>
      <c r="OSZ20" s="110"/>
      <c r="OTA20" s="110"/>
      <c r="OTB20" s="110"/>
      <c r="OTC20" s="110"/>
      <c r="OTD20" s="110"/>
      <c r="OTE20" s="110"/>
      <c r="OTF20" s="110"/>
      <c r="OTG20" s="110"/>
      <c r="OTH20" s="110"/>
      <c r="OTI20" s="110"/>
      <c r="OTJ20" s="110"/>
      <c r="OTK20" s="110"/>
      <c r="OTL20" s="110"/>
      <c r="OTM20" s="110"/>
      <c r="OTN20" s="110"/>
      <c r="OTO20" s="110"/>
      <c r="OTP20" s="110"/>
      <c r="OTQ20" s="110"/>
      <c r="OTR20" s="110"/>
      <c r="OTS20" s="110"/>
      <c r="OTT20" s="110"/>
      <c r="OTU20" s="110"/>
      <c r="OTV20" s="110"/>
      <c r="OTW20" s="110"/>
      <c r="OTX20" s="110"/>
      <c r="OTY20" s="110"/>
      <c r="OTZ20" s="110"/>
      <c r="OUA20" s="110"/>
      <c r="OUB20" s="110"/>
      <c r="OUC20" s="110"/>
      <c r="OUD20" s="110"/>
      <c r="OUE20" s="110"/>
      <c r="OUF20" s="110"/>
      <c r="OUG20" s="110"/>
      <c r="OUH20" s="110"/>
      <c r="OUI20" s="110"/>
      <c r="OUJ20" s="110"/>
      <c r="OUK20" s="110"/>
      <c r="OUL20" s="110"/>
      <c r="OUM20" s="110"/>
      <c r="OUN20" s="110"/>
      <c r="OUO20" s="110"/>
      <c r="OUP20" s="110"/>
      <c r="OUQ20" s="110"/>
      <c r="OUR20" s="110"/>
      <c r="OUS20" s="110"/>
      <c r="OUT20" s="110"/>
      <c r="OUU20" s="110"/>
      <c r="OUV20" s="110"/>
      <c r="OUW20" s="110"/>
      <c r="OUX20" s="110"/>
      <c r="OUY20" s="110"/>
      <c r="OUZ20" s="110"/>
      <c r="OVA20" s="110"/>
      <c r="OVB20" s="110"/>
      <c r="OVC20" s="110"/>
      <c r="OVD20" s="110"/>
      <c r="OVE20" s="110"/>
      <c r="OVF20" s="110"/>
      <c r="OVG20" s="110"/>
      <c r="OVH20" s="110"/>
      <c r="OVI20" s="110"/>
      <c r="OVJ20" s="110"/>
      <c r="OVK20" s="110"/>
      <c r="OVL20" s="110"/>
      <c r="OVM20" s="110"/>
      <c r="OVN20" s="110"/>
      <c r="OVO20" s="110"/>
      <c r="OVP20" s="110"/>
      <c r="OVQ20" s="110"/>
      <c r="OVR20" s="110"/>
      <c r="OVS20" s="110"/>
      <c r="OVT20" s="110"/>
      <c r="OVU20" s="110"/>
      <c r="OVV20" s="110"/>
      <c r="OVW20" s="110"/>
      <c r="OVX20" s="110"/>
      <c r="OVY20" s="110"/>
      <c r="OVZ20" s="110"/>
      <c r="OWA20" s="110"/>
      <c r="OWB20" s="110"/>
      <c r="OWC20" s="110"/>
      <c r="OWD20" s="110"/>
      <c r="OWE20" s="110"/>
      <c r="OWF20" s="110"/>
      <c r="OWG20" s="110"/>
      <c r="OWH20" s="110"/>
      <c r="OWI20" s="110"/>
      <c r="OWJ20" s="110"/>
      <c r="OWK20" s="110"/>
      <c r="OWL20" s="110"/>
      <c r="OWM20" s="110"/>
      <c r="OWN20" s="110"/>
      <c r="OWO20" s="110"/>
      <c r="OWP20" s="110"/>
      <c r="OWQ20" s="110"/>
      <c r="OWR20" s="110"/>
      <c r="OWS20" s="110"/>
      <c r="OWT20" s="110"/>
      <c r="OWU20" s="110"/>
      <c r="OWV20" s="110"/>
      <c r="OWW20" s="110"/>
      <c r="OWX20" s="110"/>
      <c r="OWY20" s="110"/>
      <c r="OWZ20" s="110"/>
      <c r="OXA20" s="110"/>
      <c r="OXB20" s="110"/>
      <c r="OXC20" s="110"/>
      <c r="OXD20" s="110"/>
      <c r="OXE20" s="110"/>
      <c r="OXF20" s="110"/>
      <c r="OXG20" s="110"/>
      <c r="OXH20" s="110"/>
      <c r="OXI20" s="110"/>
      <c r="OXJ20" s="110"/>
      <c r="OXK20" s="110"/>
      <c r="OXL20" s="110"/>
      <c r="OXM20" s="110"/>
      <c r="OXN20" s="110"/>
      <c r="OXO20" s="110"/>
      <c r="OXP20" s="110"/>
      <c r="OXQ20" s="110"/>
      <c r="OXR20" s="110"/>
      <c r="OXS20" s="110"/>
      <c r="OXT20" s="110"/>
      <c r="OXU20" s="110"/>
      <c r="OXV20" s="110"/>
      <c r="OXW20" s="110"/>
      <c r="OXX20" s="110"/>
      <c r="OXY20" s="110"/>
      <c r="OXZ20" s="110"/>
      <c r="OYA20" s="110"/>
      <c r="OYB20" s="110"/>
      <c r="OYC20" s="110"/>
      <c r="OYD20" s="110"/>
      <c r="OYE20" s="110"/>
      <c r="OYF20" s="110"/>
      <c r="OYG20" s="110"/>
      <c r="OYH20" s="110"/>
      <c r="OYI20" s="110"/>
      <c r="OYJ20" s="110"/>
      <c r="OYK20" s="110"/>
      <c r="OYL20" s="110"/>
      <c r="OYM20" s="110"/>
      <c r="OYN20" s="110"/>
      <c r="OYO20" s="110"/>
      <c r="OYP20" s="110"/>
      <c r="OYQ20" s="110"/>
      <c r="OYR20" s="110"/>
      <c r="OYS20" s="110"/>
      <c r="OYT20" s="110"/>
      <c r="OYU20" s="110"/>
      <c r="OYV20" s="110"/>
      <c r="OYW20" s="110"/>
      <c r="OYX20" s="110"/>
      <c r="OYY20" s="110"/>
      <c r="OYZ20" s="110"/>
      <c r="OZA20" s="110"/>
      <c r="OZB20" s="110"/>
      <c r="OZC20" s="110"/>
      <c r="OZD20" s="110"/>
      <c r="OZE20" s="110"/>
      <c r="OZF20" s="110"/>
      <c r="OZG20" s="110"/>
      <c r="OZH20" s="110"/>
      <c r="OZI20" s="110"/>
      <c r="OZJ20" s="110"/>
      <c r="OZK20" s="110"/>
      <c r="OZL20" s="110"/>
      <c r="OZM20" s="110"/>
      <c r="OZN20" s="110"/>
      <c r="OZO20" s="110"/>
      <c r="OZP20" s="110"/>
      <c r="OZQ20" s="110"/>
      <c r="OZR20" s="110"/>
      <c r="OZS20" s="110"/>
      <c r="OZT20" s="110"/>
      <c r="OZU20" s="110"/>
      <c r="OZV20" s="110"/>
      <c r="OZW20" s="110"/>
      <c r="OZX20" s="110"/>
      <c r="OZY20" s="110"/>
      <c r="OZZ20" s="110"/>
      <c r="PAA20" s="110"/>
      <c r="PAB20" s="110"/>
      <c r="PAC20" s="110"/>
      <c r="PAD20" s="110"/>
      <c r="PAE20" s="110"/>
      <c r="PAF20" s="110"/>
      <c r="PAG20" s="110"/>
      <c r="PAH20" s="110"/>
      <c r="PAI20" s="110"/>
      <c r="PAJ20" s="110"/>
      <c r="PAK20" s="110"/>
      <c r="PAL20" s="110"/>
      <c r="PAM20" s="110"/>
      <c r="PAN20" s="110"/>
      <c r="PAO20" s="110"/>
      <c r="PAP20" s="110"/>
      <c r="PAQ20" s="110"/>
      <c r="PAR20" s="110"/>
      <c r="PAS20" s="110"/>
      <c r="PAT20" s="110"/>
      <c r="PAU20" s="110"/>
      <c r="PAV20" s="110"/>
      <c r="PAW20" s="110"/>
      <c r="PAX20" s="110"/>
      <c r="PAY20" s="110"/>
      <c r="PAZ20" s="110"/>
      <c r="PBA20" s="110"/>
      <c r="PBB20" s="110"/>
      <c r="PBC20" s="110"/>
      <c r="PBD20" s="110"/>
      <c r="PBE20" s="110"/>
      <c r="PBF20" s="110"/>
      <c r="PBG20" s="110"/>
      <c r="PBH20" s="110"/>
      <c r="PBI20" s="110"/>
      <c r="PBJ20" s="110"/>
      <c r="PBK20" s="110"/>
      <c r="PBL20" s="110"/>
      <c r="PBM20" s="110"/>
      <c r="PBN20" s="110"/>
      <c r="PBO20" s="110"/>
      <c r="PBP20" s="110"/>
      <c r="PBQ20" s="110"/>
      <c r="PBR20" s="110"/>
      <c r="PBS20" s="110"/>
      <c r="PBT20" s="110"/>
      <c r="PBU20" s="110"/>
      <c r="PBV20" s="110"/>
      <c r="PBW20" s="110"/>
      <c r="PBX20" s="110"/>
      <c r="PBY20" s="110"/>
      <c r="PBZ20" s="110"/>
      <c r="PCA20" s="110"/>
      <c r="PCB20" s="110"/>
      <c r="PCC20" s="110"/>
      <c r="PCD20" s="110"/>
      <c r="PCE20" s="110"/>
      <c r="PCF20" s="110"/>
      <c r="PCG20" s="110"/>
      <c r="PCH20" s="110"/>
      <c r="PCI20" s="110"/>
      <c r="PCJ20" s="110"/>
      <c r="PCK20" s="110"/>
      <c r="PCL20" s="110"/>
      <c r="PCM20" s="110"/>
      <c r="PCN20" s="110"/>
      <c r="PCO20" s="110"/>
      <c r="PCP20" s="110"/>
      <c r="PCQ20" s="110"/>
      <c r="PCR20" s="110"/>
      <c r="PCS20" s="110"/>
      <c r="PCT20" s="110"/>
      <c r="PCU20" s="110"/>
      <c r="PCV20" s="110"/>
      <c r="PCW20" s="110"/>
      <c r="PCX20" s="110"/>
      <c r="PCY20" s="110"/>
      <c r="PCZ20" s="110"/>
      <c r="PDA20" s="110"/>
      <c r="PDB20" s="110"/>
      <c r="PDC20" s="110"/>
      <c r="PDD20" s="110"/>
      <c r="PDE20" s="110"/>
      <c r="PDF20" s="110"/>
      <c r="PDG20" s="110"/>
      <c r="PDH20" s="110"/>
      <c r="PDI20" s="110"/>
      <c r="PDJ20" s="110"/>
      <c r="PDK20" s="110"/>
      <c r="PDL20" s="110"/>
      <c r="PDM20" s="110"/>
      <c r="PDN20" s="110"/>
      <c r="PDO20" s="110"/>
      <c r="PDP20" s="110"/>
      <c r="PDQ20" s="110"/>
      <c r="PDR20" s="110"/>
      <c r="PDS20" s="110"/>
      <c r="PDT20" s="110"/>
      <c r="PDU20" s="110"/>
      <c r="PDV20" s="110"/>
      <c r="PDW20" s="110"/>
      <c r="PDX20" s="110"/>
      <c r="PDY20" s="110"/>
      <c r="PDZ20" s="110"/>
      <c r="PEA20" s="110"/>
      <c r="PEB20" s="110"/>
      <c r="PEC20" s="110"/>
      <c r="PED20" s="110"/>
      <c r="PEE20" s="110"/>
      <c r="PEF20" s="110"/>
      <c r="PEG20" s="110"/>
      <c r="PEH20" s="110"/>
      <c r="PEI20" s="110"/>
      <c r="PEJ20" s="110"/>
      <c r="PEK20" s="110"/>
      <c r="PEL20" s="110"/>
      <c r="PEM20" s="110"/>
      <c r="PEN20" s="110"/>
      <c r="PEO20" s="110"/>
      <c r="PEP20" s="110"/>
      <c r="PEQ20" s="110"/>
      <c r="PER20" s="110"/>
      <c r="PES20" s="110"/>
      <c r="PET20" s="110"/>
      <c r="PEU20" s="110"/>
      <c r="PEV20" s="110"/>
      <c r="PEW20" s="110"/>
      <c r="PEX20" s="110"/>
      <c r="PEY20" s="110"/>
      <c r="PEZ20" s="110"/>
      <c r="PFA20" s="110"/>
      <c r="PFB20" s="110"/>
      <c r="PFC20" s="110"/>
      <c r="PFD20" s="110"/>
      <c r="PFE20" s="110"/>
      <c r="PFF20" s="110"/>
      <c r="PFG20" s="110"/>
      <c r="PFH20" s="110"/>
      <c r="PFI20" s="110"/>
      <c r="PFJ20" s="110"/>
      <c r="PFK20" s="110"/>
      <c r="PFL20" s="110"/>
      <c r="PFM20" s="110"/>
      <c r="PFN20" s="110"/>
      <c r="PFO20" s="110"/>
      <c r="PFP20" s="110"/>
      <c r="PFQ20" s="110"/>
      <c r="PFR20" s="110"/>
      <c r="PFS20" s="110"/>
      <c r="PFT20" s="110"/>
      <c r="PFU20" s="110"/>
      <c r="PFV20" s="110"/>
      <c r="PFW20" s="110"/>
      <c r="PFX20" s="110"/>
      <c r="PFY20" s="110"/>
      <c r="PFZ20" s="110"/>
      <c r="PGA20" s="110"/>
      <c r="PGB20" s="110"/>
      <c r="PGC20" s="110"/>
      <c r="PGD20" s="110"/>
      <c r="PGE20" s="110"/>
      <c r="PGF20" s="110"/>
      <c r="PGG20" s="110"/>
      <c r="PGH20" s="110"/>
      <c r="PGI20" s="110"/>
      <c r="PGJ20" s="110"/>
      <c r="PGK20" s="110"/>
      <c r="PGL20" s="110"/>
      <c r="PGM20" s="110"/>
      <c r="PGN20" s="110"/>
      <c r="PGO20" s="110"/>
      <c r="PGP20" s="110"/>
      <c r="PGQ20" s="110"/>
      <c r="PGR20" s="110"/>
      <c r="PGS20" s="110"/>
      <c r="PGT20" s="110"/>
      <c r="PGU20" s="110"/>
      <c r="PGV20" s="110"/>
      <c r="PGW20" s="110"/>
      <c r="PGX20" s="110"/>
      <c r="PGY20" s="110"/>
      <c r="PGZ20" s="110"/>
      <c r="PHA20" s="110"/>
      <c r="PHB20" s="110"/>
      <c r="PHC20" s="110"/>
      <c r="PHD20" s="110"/>
      <c r="PHE20" s="110"/>
      <c r="PHF20" s="110"/>
      <c r="PHG20" s="110"/>
      <c r="PHH20" s="110"/>
      <c r="PHI20" s="110"/>
      <c r="PHJ20" s="110"/>
      <c r="PHK20" s="110"/>
      <c r="PHL20" s="110"/>
      <c r="PHM20" s="110"/>
      <c r="PHN20" s="110"/>
      <c r="PHO20" s="110"/>
      <c r="PHP20" s="110"/>
      <c r="PHQ20" s="110"/>
      <c r="PHR20" s="110"/>
      <c r="PHS20" s="110"/>
      <c r="PHT20" s="110"/>
      <c r="PHU20" s="110"/>
      <c r="PHV20" s="110"/>
      <c r="PHW20" s="110"/>
      <c r="PHX20" s="110"/>
      <c r="PHY20" s="110"/>
      <c r="PHZ20" s="110"/>
      <c r="PIA20" s="110"/>
      <c r="PIB20" s="110"/>
      <c r="PIC20" s="110"/>
      <c r="PID20" s="110"/>
      <c r="PIE20" s="110"/>
      <c r="PIF20" s="110"/>
      <c r="PIG20" s="110"/>
      <c r="PIH20" s="110"/>
      <c r="PII20" s="110"/>
      <c r="PIJ20" s="110"/>
      <c r="PIK20" s="110"/>
      <c r="PIL20" s="110"/>
      <c r="PIM20" s="110"/>
      <c r="PIN20" s="110"/>
      <c r="PIO20" s="110"/>
      <c r="PIP20" s="110"/>
      <c r="PIQ20" s="110"/>
      <c r="PIR20" s="110"/>
      <c r="PIS20" s="110"/>
      <c r="PIT20" s="110"/>
      <c r="PIU20" s="110"/>
      <c r="PIV20" s="110"/>
      <c r="PIW20" s="110"/>
      <c r="PIX20" s="110"/>
      <c r="PIY20" s="110"/>
      <c r="PIZ20" s="110"/>
      <c r="PJA20" s="110"/>
      <c r="PJB20" s="110"/>
      <c r="PJC20" s="110"/>
      <c r="PJD20" s="110"/>
      <c r="PJE20" s="110"/>
      <c r="PJF20" s="110"/>
      <c r="PJG20" s="110"/>
      <c r="PJH20" s="110"/>
      <c r="PJI20" s="110"/>
      <c r="PJJ20" s="110"/>
      <c r="PJK20" s="110"/>
      <c r="PJL20" s="110"/>
      <c r="PJM20" s="110"/>
      <c r="PJN20" s="110"/>
      <c r="PJO20" s="110"/>
      <c r="PJP20" s="110"/>
      <c r="PJQ20" s="110"/>
      <c r="PJR20" s="110"/>
      <c r="PJS20" s="110"/>
      <c r="PJT20" s="110"/>
      <c r="PJU20" s="110"/>
      <c r="PJV20" s="110"/>
      <c r="PJW20" s="110"/>
      <c r="PJX20" s="110"/>
      <c r="PJY20" s="110"/>
      <c r="PJZ20" s="110"/>
      <c r="PKA20" s="110"/>
      <c r="PKB20" s="110"/>
      <c r="PKC20" s="110"/>
      <c r="PKD20" s="110"/>
      <c r="PKE20" s="110"/>
      <c r="PKF20" s="110"/>
      <c r="PKG20" s="110"/>
      <c r="PKH20" s="110"/>
      <c r="PKI20" s="110"/>
      <c r="PKJ20" s="110"/>
      <c r="PKK20" s="110"/>
      <c r="PKL20" s="110"/>
      <c r="PKM20" s="110"/>
      <c r="PKN20" s="110"/>
      <c r="PKO20" s="110"/>
      <c r="PKP20" s="110"/>
      <c r="PKQ20" s="110"/>
      <c r="PKR20" s="110"/>
      <c r="PKS20" s="110"/>
      <c r="PKT20" s="110"/>
      <c r="PKU20" s="110"/>
      <c r="PKV20" s="110"/>
      <c r="PKW20" s="110"/>
      <c r="PKX20" s="110"/>
      <c r="PKY20" s="110"/>
      <c r="PKZ20" s="110"/>
      <c r="PLA20" s="110"/>
      <c r="PLB20" s="110"/>
      <c r="PLC20" s="110"/>
      <c r="PLD20" s="110"/>
      <c r="PLE20" s="110"/>
      <c r="PLF20" s="110"/>
      <c r="PLG20" s="110"/>
      <c r="PLH20" s="110"/>
      <c r="PLI20" s="110"/>
      <c r="PLJ20" s="110"/>
      <c r="PLK20" s="110"/>
      <c r="PLL20" s="110"/>
      <c r="PLM20" s="110"/>
      <c r="PLN20" s="110"/>
      <c r="PLO20" s="110"/>
      <c r="PLP20" s="110"/>
      <c r="PLQ20" s="110"/>
      <c r="PLR20" s="110"/>
      <c r="PLS20" s="110"/>
      <c r="PLT20" s="110"/>
      <c r="PLU20" s="110"/>
      <c r="PLV20" s="110"/>
      <c r="PLW20" s="110"/>
      <c r="PLX20" s="110"/>
      <c r="PLY20" s="110"/>
      <c r="PLZ20" s="110"/>
      <c r="PMA20" s="110"/>
      <c r="PMB20" s="110"/>
      <c r="PMC20" s="110"/>
      <c r="PMD20" s="110"/>
      <c r="PME20" s="110"/>
      <c r="PMF20" s="110"/>
      <c r="PMG20" s="110"/>
      <c r="PMH20" s="110"/>
      <c r="PMI20" s="110"/>
      <c r="PMJ20" s="110"/>
      <c r="PMK20" s="110"/>
      <c r="PML20" s="110"/>
      <c r="PMM20" s="110"/>
      <c r="PMN20" s="110"/>
      <c r="PMO20" s="110"/>
      <c r="PMP20" s="110"/>
      <c r="PMQ20" s="110"/>
      <c r="PMR20" s="110"/>
      <c r="PMS20" s="110"/>
      <c r="PMT20" s="110"/>
      <c r="PMU20" s="110"/>
      <c r="PMV20" s="110"/>
      <c r="PMW20" s="110"/>
      <c r="PMX20" s="110"/>
      <c r="PMY20" s="110"/>
      <c r="PMZ20" s="110"/>
      <c r="PNA20" s="110"/>
      <c r="PNB20" s="110"/>
      <c r="PNC20" s="110"/>
      <c r="PND20" s="110"/>
      <c r="PNE20" s="110"/>
      <c r="PNF20" s="110"/>
      <c r="PNG20" s="110"/>
      <c r="PNH20" s="110"/>
      <c r="PNI20" s="110"/>
      <c r="PNJ20" s="110"/>
      <c r="PNK20" s="110"/>
      <c r="PNL20" s="110"/>
      <c r="PNM20" s="110"/>
      <c r="PNN20" s="110"/>
      <c r="PNO20" s="110"/>
      <c r="PNP20" s="110"/>
      <c r="PNQ20" s="110"/>
      <c r="PNR20" s="110"/>
      <c r="PNS20" s="110"/>
      <c r="PNT20" s="110"/>
      <c r="PNU20" s="110"/>
      <c r="PNV20" s="110"/>
      <c r="PNW20" s="110"/>
      <c r="PNX20" s="110"/>
      <c r="PNY20" s="110"/>
      <c r="PNZ20" s="110"/>
      <c r="POA20" s="110"/>
      <c r="POB20" s="110"/>
      <c r="POC20" s="110"/>
      <c r="POD20" s="110"/>
      <c r="POE20" s="110"/>
      <c r="POF20" s="110"/>
      <c r="POG20" s="110"/>
      <c r="POH20" s="110"/>
      <c r="POI20" s="110"/>
      <c r="POJ20" s="110"/>
      <c r="POK20" s="110"/>
      <c r="POL20" s="110"/>
      <c r="POM20" s="110"/>
      <c r="PON20" s="110"/>
      <c r="POO20" s="110"/>
      <c r="POP20" s="110"/>
      <c r="POQ20" s="110"/>
      <c r="POR20" s="110"/>
      <c r="POS20" s="110"/>
      <c r="POT20" s="110"/>
      <c r="POU20" s="110"/>
      <c r="POV20" s="110"/>
      <c r="POW20" s="110"/>
      <c r="POX20" s="110"/>
      <c r="POY20" s="110"/>
      <c r="POZ20" s="110"/>
      <c r="PPA20" s="110"/>
      <c r="PPB20" s="110"/>
      <c r="PPC20" s="110"/>
      <c r="PPD20" s="110"/>
      <c r="PPE20" s="110"/>
      <c r="PPF20" s="110"/>
      <c r="PPG20" s="110"/>
      <c r="PPH20" s="110"/>
      <c r="PPI20" s="110"/>
      <c r="PPJ20" s="110"/>
      <c r="PPK20" s="110"/>
      <c r="PPL20" s="110"/>
      <c r="PPM20" s="110"/>
      <c r="PPN20" s="110"/>
      <c r="PPO20" s="110"/>
      <c r="PPP20" s="110"/>
      <c r="PPQ20" s="110"/>
      <c r="PPR20" s="110"/>
      <c r="PPS20" s="110"/>
      <c r="PPT20" s="110"/>
      <c r="PPU20" s="110"/>
      <c r="PPV20" s="110"/>
      <c r="PPW20" s="110"/>
      <c r="PPX20" s="110"/>
      <c r="PPY20" s="110"/>
      <c r="PPZ20" s="110"/>
      <c r="PQA20" s="110"/>
      <c r="PQB20" s="110"/>
      <c r="PQC20" s="110"/>
      <c r="PQD20" s="110"/>
      <c r="PQE20" s="110"/>
      <c r="PQF20" s="110"/>
      <c r="PQG20" s="110"/>
      <c r="PQH20" s="110"/>
      <c r="PQI20" s="110"/>
      <c r="PQJ20" s="110"/>
      <c r="PQK20" s="110"/>
      <c r="PQL20" s="110"/>
      <c r="PQM20" s="110"/>
      <c r="PQN20" s="110"/>
      <c r="PQO20" s="110"/>
      <c r="PQP20" s="110"/>
      <c r="PQQ20" s="110"/>
      <c r="PQR20" s="110"/>
      <c r="PQS20" s="110"/>
      <c r="PQT20" s="110"/>
      <c r="PQU20" s="110"/>
      <c r="PQV20" s="110"/>
      <c r="PQW20" s="110"/>
      <c r="PQX20" s="110"/>
      <c r="PQY20" s="110"/>
      <c r="PQZ20" s="110"/>
      <c r="PRA20" s="110"/>
      <c r="PRB20" s="110"/>
      <c r="PRC20" s="110"/>
      <c r="PRD20" s="110"/>
      <c r="PRE20" s="110"/>
      <c r="PRF20" s="110"/>
      <c r="PRG20" s="110"/>
      <c r="PRH20" s="110"/>
      <c r="PRI20" s="110"/>
      <c r="PRJ20" s="110"/>
      <c r="PRK20" s="110"/>
      <c r="PRL20" s="110"/>
      <c r="PRM20" s="110"/>
      <c r="PRN20" s="110"/>
      <c r="PRO20" s="110"/>
      <c r="PRP20" s="110"/>
      <c r="PRQ20" s="110"/>
      <c r="PRR20" s="110"/>
      <c r="PRS20" s="110"/>
      <c r="PRT20" s="110"/>
      <c r="PRU20" s="110"/>
      <c r="PRV20" s="110"/>
      <c r="PRW20" s="110"/>
      <c r="PRX20" s="110"/>
      <c r="PRY20" s="110"/>
      <c r="PRZ20" s="110"/>
      <c r="PSA20" s="110"/>
      <c r="PSB20" s="110"/>
      <c r="PSC20" s="110"/>
      <c r="PSD20" s="110"/>
      <c r="PSE20" s="110"/>
      <c r="PSF20" s="110"/>
      <c r="PSG20" s="110"/>
      <c r="PSH20" s="110"/>
      <c r="PSI20" s="110"/>
      <c r="PSJ20" s="110"/>
      <c r="PSK20" s="110"/>
      <c r="PSL20" s="110"/>
      <c r="PSM20" s="110"/>
      <c r="PSN20" s="110"/>
      <c r="PSO20" s="110"/>
      <c r="PSP20" s="110"/>
      <c r="PSQ20" s="110"/>
      <c r="PSR20" s="110"/>
      <c r="PSS20" s="110"/>
      <c r="PST20" s="110"/>
      <c r="PSU20" s="110"/>
      <c r="PSV20" s="110"/>
      <c r="PSW20" s="110"/>
      <c r="PSX20" s="110"/>
      <c r="PSY20" s="110"/>
      <c r="PSZ20" s="110"/>
      <c r="PTA20" s="110"/>
      <c r="PTB20" s="110"/>
      <c r="PTC20" s="110"/>
      <c r="PTD20" s="110"/>
      <c r="PTE20" s="110"/>
      <c r="PTF20" s="110"/>
      <c r="PTG20" s="110"/>
      <c r="PTH20" s="110"/>
      <c r="PTI20" s="110"/>
      <c r="PTJ20" s="110"/>
      <c r="PTK20" s="110"/>
      <c r="PTL20" s="110"/>
      <c r="PTM20" s="110"/>
      <c r="PTN20" s="110"/>
      <c r="PTO20" s="110"/>
      <c r="PTP20" s="110"/>
      <c r="PTQ20" s="110"/>
      <c r="PTR20" s="110"/>
      <c r="PTS20" s="110"/>
      <c r="PTT20" s="110"/>
      <c r="PTU20" s="110"/>
      <c r="PTV20" s="110"/>
      <c r="PTW20" s="110"/>
      <c r="PTX20" s="110"/>
      <c r="PTY20" s="110"/>
      <c r="PTZ20" s="110"/>
      <c r="PUA20" s="110"/>
      <c r="PUB20" s="110"/>
      <c r="PUC20" s="110"/>
      <c r="PUD20" s="110"/>
      <c r="PUE20" s="110"/>
      <c r="PUF20" s="110"/>
      <c r="PUG20" s="110"/>
      <c r="PUH20" s="110"/>
      <c r="PUI20" s="110"/>
      <c r="PUJ20" s="110"/>
      <c r="PUK20" s="110"/>
      <c r="PUL20" s="110"/>
      <c r="PUM20" s="110"/>
      <c r="PUN20" s="110"/>
      <c r="PUO20" s="110"/>
      <c r="PUP20" s="110"/>
      <c r="PUQ20" s="110"/>
      <c r="PUR20" s="110"/>
      <c r="PUS20" s="110"/>
      <c r="PUT20" s="110"/>
      <c r="PUU20" s="110"/>
      <c r="PUV20" s="110"/>
      <c r="PUW20" s="110"/>
      <c r="PUX20" s="110"/>
      <c r="PUY20" s="110"/>
      <c r="PUZ20" s="110"/>
      <c r="PVA20" s="110"/>
      <c r="PVB20" s="110"/>
      <c r="PVC20" s="110"/>
      <c r="PVD20" s="110"/>
      <c r="PVE20" s="110"/>
      <c r="PVF20" s="110"/>
      <c r="PVG20" s="110"/>
      <c r="PVH20" s="110"/>
      <c r="PVI20" s="110"/>
      <c r="PVJ20" s="110"/>
      <c r="PVK20" s="110"/>
      <c r="PVL20" s="110"/>
      <c r="PVM20" s="110"/>
      <c r="PVN20" s="110"/>
      <c r="PVO20" s="110"/>
      <c r="PVP20" s="110"/>
      <c r="PVQ20" s="110"/>
      <c r="PVR20" s="110"/>
      <c r="PVS20" s="110"/>
      <c r="PVT20" s="110"/>
      <c r="PVU20" s="110"/>
      <c r="PVV20" s="110"/>
      <c r="PVW20" s="110"/>
      <c r="PVX20" s="110"/>
      <c r="PVY20" s="110"/>
      <c r="PVZ20" s="110"/>
      <c r="PWA20" s="110"/>
      <c r="PWB20" s="110"/>
      <c r="PWC20" s="110"/>
      <c r="PWD20" s="110"/>
      <c r="PWE20" s="110"/>
      <c r="PWF20" s="110"/>
      <c r="PWG20" s="110"/>
      <c r="PWH20" s="110"/>
      <c r="PWI20" s="110"/>
      <c r="PWJ20" s="110"/>
      <c r="PWK20" s="110"/>
      <c r="PWL20" s="110"/>
      <c r="PWM20" s="110"/>
      <c r="PWN20" s="110"/>
      <c r="PWO20" s="110"/>
      <c r="PWP20" s="110"/>
      <c r="PWQ20" s="110"/>
      <c r="PWR20" s="110"/>
      <c r="PWS20" s="110"/>
      <c r="PWT20" s="110"/>
      <c r="PWU20" s="110"/>
      <c r="PWV20" s="110"/>
      <c r="PWW20" s="110"/>
      <c r="PWX20" s="110"/>
      <c r="PWY20" s="110"/>
      <c r="PWZ20" s="110"/>
      <c r="PXA20" s="110"/>
      <c r="PXB20" s="110"/>
      <c r="PXC20" s="110"/>
      <c r="PXD20" s="110"/>
      <c r="PXE20" s="110"/>
      <c r="PXF20" s="110"/>
      <c r="PXG20" s="110"/>
      <c r="PXH20" s="110"/>
      <c r="PXI20" s="110"/>
      <c r="PXJ20" s="110"/>
      <c r="PXK20" s="110"/>
      <c r="PXL20" s="110"/>
      <c r="PXM20" s="110"/>
      <c r="PXN20" s="110"/>
      <c r="PXO20" s="110"/>
      <c r="PXP20" s="110"/>
      <c r="PXQ20" s="110"/>
      <c r="PXR20" s="110"/>
      <c r="PXS20" s="110"/>
      <c r="PXT20" s="110"/>
      <c r="PXU20" s="110"/>
      <c r="PXV20" s="110"/>
      <c r="PXW20" s="110"/>
      <c r="PXX20" s="110"/>
      <c r="PXY20" s="110"/>
      <c r="PXZ20" s="110"/>
      <c r="PYA20" s="110"/>
      <c r="PYB20" s="110"/>
      <c r="PYC20" s="110"/>
      <c r="PYD20" s="110"/>
      <c r="PYE20" s="110"/>
      <c r="PYF20" s="110"/>
      <c r="PYG20" s="110"/>
      <c r="PYH20" s="110"/>
      <c r="PYI20" s="110"/>
      <c r="PYJ20" s="110"/>
      <c r="PYK20" s="110"/>
      <c r="PYL20" s="110"/>
      <c r="PYM20" s="110"/>
      <c r="PYN20" s="110"/>
      <c r="PYO20" s="110"/>
      <c r="PYP20" s="110"/>
      <c r="PYQ20" s="110"/>
      <c r="PYR20" s="110"/>
      <c r="PYS20" s="110"/>
      <c r="PYT20" s="110"/>
      <c r="PYU20" s="110"/>
      <c r="PYV20" s="110"/>
      <c r="PYW20" s="110"/>
      <c r="PYX20" s="110"/>
      <c r="PYY20" s="110"/>
      <c r="PYZ20" s="110"/>
      <c r="PZA20" s="110"/>
      <c r="PZB20" s="110"/>
      <c r="PZC20" s="110"/>
      <c r="PZD20" s="110"/>
      <c r="PZE20" s="110"/>
      <c r="PZF20" s="110"/>
      <c r="PZG20" s="110"/>
      <c r="PZH20" s="110"/>
      <c r="PZI20" s="110"/>
      <c r="PZJ20" s="110"/>
      <c r="PZK20" s="110"/>
      <c r="PZL20" s="110"/>
      <c r="PZM20" s="110"/>
      <c r="PZN20" s="110"/>
      <c r="PZO20" s="110"/>
      <c r="PZP20" s="110"/>
      <c r="PZQ20" s="110"/>
      <c r="PZR20" s="110"/>
      <c r="PZS20" s="110"/>
      <c r="PZT20" s="110"/>
      <c r="PZU20" s="110"/>
      <c r="PZV20" s="110"/>
      <c r="PZW20" s="110"/>
      <c r="PZX20" s="110"/>
      <c r="PZY20" s="110"/>
      <c r="PZZ20" s="110"/>
      <c r="QAA20" s="110"/>
      <c r="QAB20" s="110"/>
      <c r="QAC20" s="110"/>
      <c r="QAD20" s="110"/>
      <c r="QAE20" s="110"/>
      <c r="QAF20" s="110"/>
      <c r="QAG20" s="110"/>
      <c r="QAH20" s="110"/>
      <c r="QAI20" s="110"/>
      <c r="QAJ20" s="110"/>
      <c r="QAK20" s="110"/>
      <c r="QAL20" s="110"/>
      <c r="QAM20" s="110"/>
      <c r="QAN20" s="110"/>
      <c r="QAO20" s="110"/>
      <c r="QAP20" s="110"/>
      <c r="QAQ20" s="110"/>
      <c r="QAR20" s="110"/>
      <c r="QAS20" s="110"/>
      <c r="QAT20" s="110"/>
      <c r="QAU20" s="110"/>
      <c r="QAV20" s="110"/>
      <c r="QAW20" s="110"/>
      <c r="QAX20" s="110"/>
      <c r="QAY20" s="110"/>
      <c r="QAZ20" s="110"/>
      <c r="QBA20" s="110"/>
      <c r="QBB20" s="110"/>
      <c r="QBC20" s="110"/>
      <c r="QBD20" s="110"/>
      <c r="QBE20" s="110"/>
      <c r="QBF20" s="110"/>
      <c r="QBG20" s="110"/>
      <c r="QBH20" s="110"/>
      <c r="QBI20" s="110"/>
      <c r="QBJ20" s="110"/>
      <c r="QBK20" s="110"/>
      <c r="QBL20" s="110"/>
      <c r="QBM20" s="110"/>
      <c r="QBN20" s="110"/>
      <c r="QBO20" s="110"/>
      <c r="QBP20" s="110"/>
      <c r="QBQ20" s="110"/>
      <c r="QBR20" s="110"/>
      <c r="QBS20" s="110"/>
      <c r="QBT20" s="110"/>
      <c r="QBU20" s="110"/>
      <c r="QBV20" s="110"/>
      <c r="QBW20" s="110"/>
      <c r="QBX20" s="110"/>
      <c r="QBY20" s="110"/>
      <c r="QBZ20" s="110"/>
      <c r="QCA20" s="110"/>
      <c r="QCB20" s="110"/>
      <c r="QCC20" s="110"/>
      <c r="QCD20" s="110"/>
      <c r="QCE20" s="110"/>
      <c r="QCF20" s="110"/>
      <c r="QCG20" s="110"/>
      <c r="QCH20" s="110"/>
      <c r="QCI20" s="110"/>
      <c r="QCJ20" s="110"/>
      <c r="QCK20" s="110"/>
      <c r="QCL20" s="110"/>
      <c r="QCM20" s="110"/>
      <c r="QCN20" s="110"/>
      <c r="QCO20" s="110"/>
      <c r="QCP20" s="110"/>
      <c r="QCQ20" s="110"/>
      <c r="QCR20" s="110"/>
      <c r="QCS20" s="110"/>
      <c r="QCT20" s="110"/>
      <c r="QCU20" s="110"/>
      <c r="QCV20" s="110"/>
      <c r="QCW20" s="110"/>
      <c r="QCX20" s="110"/>
      <c r="QCY20" s="110"/>
      <c r="QCZ20" s="110"/>
      <c r="QDA20" s="110"/>
      <c r="QDB20" s="110"/>
      <c r="QDC20" s="110"/>
      <c r="QDD20" s="110"/>
      <c r="QDE20" s="110"/>
      <c r="QDF20" s="110"/>
      <c r="QDG20" s="110"/>
      <c r="QDH20" s="110"/>
      <c r="QDI20" s="110"/>
      <c r="QDJ20" s="110"/>
      <c r="QDK20" s="110"/>
      <c r="QDL20" s="110"/>
      <c r="QDM20" s="110"/>
      <c r="QDN20" s="110"/>
      <c r="QDO20" s="110"/>
      <c r="QDP20" s="110"/>
      <c r="QDQ20" s="110"/>
      <c r="QDR20" s="110"/>
      <c r="QDS20" s="110"/>
      <c r="QDT20" s="110"/>
      <c r="QDU20" s="110"/>
      <c r="QDV20" s="110"/>
      <c r="QDW20" s="110"/>
      <c r="QDX20" s="110"/>
      <c r="QDY20" s="110"/>
      <c r="QDZ20" s="110"/>
      <c r="QEA20" s="110"/>
      <c r="QEB20" s="110"/>
      <c r="QEC20" s="110"/>
      <c r="QED20" s="110"/>
      <c r="QEE20" s="110"/>
      <c r="QEF20" s="110"/>
      <c r="QEG20" s="110"/>
      <c r="QEH20" s="110"/>
      <c r="QEI20" s="110"/>
      <c r="QEJ20" s="110"/>
      <c r="QEK20" s="110"/>
      <c r="QEL20" s="110"/>
      <c r="QEM20" s="110"/>
      <c r="QEN20" s="110"/>
      <c r="QEO20" s="110"/>
      <c r="QEP20" s="110"/>
      <c r="QEQ20" s="110"/>
      <c r="QER20" s="110"/>
      <c r="QES20" s="110"/>
      <c r="QET20" s="110"/>
      <c r="QEU20" s="110"/>
      <c r="QEV20" s="110"/>
      <c r="QEW20" s="110"/>
      <c r="QEX20" s="110"/>
      <c r="QEY20" s="110"/>
      <c r="QEZ20" s="110"/>
      <c r="QFA20" s="110"/>
      <c r="QFB20" s="110"/>
      <c r="QFC20" s="110"/>
      <c r="QFD20" s="110"/>
      <c r="QFE20" s="110"/>
      <c r="QFF20" s="110"/>
      <c r="QFG20" s="110"/>
      <c r="QFH20" s="110"/>
      <c r="QFI20" s="110"/>
      <c r="QFJ20" s="110"/>
      <c r="QFK20" s="110"/>
      <c r="QFL20" s="110"/>
      <c r="QFM20" s="110"/>
      <c r="QFN20" s="110"/>
      <c r="QFO20" s="110"/>
      <c r="QFP20" s="110"/>
      <c r="QFQ20" s="110"/>
      <c r="QFR20" s="110"/>
      <c r="QFS20" s="110"/>
      <c r="QFT20" s="110"/>
      <c r="QFU20" s="110"/>
      <c r="QFV20" s="110"/>
      <c r="QFW20" s="110"/>
      <c r="QFX20" s="110"/>
      <c r="QFY20" s="110"/>
      <c r="QFZ20" s="110"/>
      <c r="QGA20" s="110"/>
      <c r="QGB20" s="110"/>
      <c r="QGC20" s="110"/>
      <c r="QGD20" s="110"/>
      <c r="QGE20" s="110"/>
      <c r="QGF20" s="110"/>
      <c r="QGG20" s="110"/>
      <c r="QGH20" s="110"/>
      <c r="QGI20" s="110"/>
      <c r="QGJ20" s="110"/>
      <c r="QGK20" s="110"/>
      <c r="QGL20" s="110"/>
      <c r="QGM20" s="110"/>
      <c r="QGN20" s="110"/>
      <c r="QGO20" s="110"/>
      <c r="QGP20" s="110"/>
      <c r="QGQ20" s="110"/>
      <c r="QGR20" s="110"/>
      <c r="QGS20" s="110"/>
      <c r="QGT20" s="110"/>
      <c r="QGU20" s="110"/>
      <c r="QGV20" s="110"/>
      <c r="QGW20" s="110"/>
      <c r="QGX20" s="110"/>
      <c r="QGY20" s="110"/>
      <c r="QGZ20" s="110"/>
      <c r="QHA20" s="110"/>
      <c r="QHB20" s="110"/>
      <c r="QHC20" s="110"/>
      <c r="QHD20" s="110"/>
      <c r="QHE20" s="110"/>
      <c r="QHF20" s="110"/>
      <c r="QHG20" s="110"/>
      <c r="QHH20" s="110"/>
      <c r="QHI20" s="110"/>
      <c r="QHJ20" s="110"/>
      <c r="QHK20" s="110"/>
      <c r="QHL20" s="110"/>
      <c r="QHM20" s="110"/>
      <c r="QHN20" s="110"/>
      <c r="QHO20" s="110"/>
      <c r="QHP20" s="110"/>
      <c r="QHQ20" s="110"/>
      <c r="QHR20" s="110"/>
      <c r="QHS20" s="110"/>
      <c r="QHT20" s="110"/>
      <c r="QHU20" s="110"/>
      <c r="QHV20" s="110"/>
      <c r="QHW20" s="110"/>
      <c r="QHX20" s="110"/>
      <c r="QHY20" s="110"/>
      <c r="QHZ20" s="110"/>
      <c r="QIA20" s="110"/>
      <c r="QIB20" s="110"/>
      <c r="QIC20" s="110"/>
      <c r="QID20" s="110"/>
      <c r="QIE20" s="110"/>
      <c r="QIF20" s="110"/>
      <c r="QIG20" s="110"/>
      <c r="QIH20" s="110"/>
      <c r="QII20" s="110"/>
      <c r="QIJ20" s="110"/>
      <c r="QIK20" s="110"/>
      <c r="QIL20" s="110"/>
      <c r="QIM20" s="110"/>
      <c r="QIN20" s="110"/>
      <c r="QIO20" s="110"/>
      <c r="QIP20" s="110"/>
      <c r="QIQ20" s="110"/>
      <c r="QIR20" s="110"/>
      <c r="QIS20" s="110"/>
      <c r="QIT20" s="110"/>
      <c r="QIU20" s="110"/>
      <c r="QIV20" s="110"/>
      <c r="QIW20" s="110"/>
      <c r="QIX20" s="110"/>
      <c r="QIY20" s="110"/>
      <c r="QIZ20" s="110"/>
      <c r="QJA20" s="110"/>
      <c r="QJB20" s="110"/>
      <c r="QJC20" s="110"/>
      <c r="QJD20" s="110"/>
      <c r="QJE20" s="110"/>
      <c r="QJF20" s="110"/>
      <c r="QJG20" s="110"/>
      <c r="QJH20" s="110"/>
      <c r="QJI20" s="110"/>
      <c r="QJJ20" s="110"/>
      <c r="QJK20" s="110"/>
      <c r="QJL20" s="110"/>
      <c r="QJM20" s="110"/>
      <c r="QJN20" s="110"/>
      <c r="QJO20" s="110"/>
      <c r="QJP20" s="110"/>
      <c r="QJQ20" s="110"/>
      <c r="QJR20" s="110"/>
      <c r="QJS20" s="110"/>
      <c r="QJT20" s="110"/>
      <c r="QJU20" s="110"/>
      <c r="QJV20" s="110"/>
      <c r="QJW20" s="110"/>
      <c r="QJX20" s="110"/>
      <c r="QJY20" s="110"/>
      <c r="QJZ20" s="110"/>
      <c r="QKA20" s="110"/>
      <c r="QKB20" s="110"/>
      <c r="QKC20" s="110"/>
      <c r="QKD20" s="110"/>
      <c r="QKE20" s="110"/>
      <c r="QKF20" s="110"/>
      <c r="QKG20" s="110"/>
      <c r="QKH20" s="110"/>
      <c r="QKI20" s="110"/>
      <c r="QKJ20" s="110"/>
      <c r="QKK20" s="110"/>
      <c r="QKL20" s="110"/>
      <c r="QKM20" s="110"/>
      <c r="QKN20" s="110"/>
      <c r="QKO20" s="110"/>
      <c r="QKP20" s="110"/>
      <c r="QKQ20" s="110"/>
      <c r="QKR20" s="110"/>
      <c r="QKS20" s="110"/>
      <c r="QKT20" s="110"/>
      <c r="QKU20" s="110"/>
      <c r="QKV20" s="110"/>
      <c r="QKW20" s="110"/>
      <c r="QKX20" s="110"/>
      <c r="QKY20" s="110"/>
      <c r="QKZ20" s="110"/>
      <c r="QLA20" s="110"/>
      <c r="QLB20" s="110"/>
      <c r="QLC20" s="110"/>
      <c r="QLD20" s="110"/>
      <c r="QLE20" s="110"/>
      <c r="QLF20" s="110"/>
      <c r="QLG20" s="110"/>
      <c r="QLH20" s="110"/>
      <c r="QLI20" s="110"/>
      <c r="QLJ20" s="110"/>
      <c r="QLK20" s="110"/>
      <c r="QLL20" s="110"/>
      <c r="QLM20" s="110"/>
      <c r="QLN20" s="110"/>
      <c r="QLO20" s="110"/>
      <c r="QLP20" s="110"/>
      <c r="QLQ20" s="110"/>
      <c r="QLR20" s="110"/>
      <c r="QLS20" s="110"/>
      <c r="QLT20" s="110"/>
      <c r="QLU20" s="110"/>
      <c r="QLV20" s="110"/>
      <c r="QLW20" s="110"/>
      <c r="QLX20" s="110"/>
      <c r="QLY20" s="110"/>
      <c r="QLZ20" s="110"/>
      <c r="QMA20" s="110"/>
      <c r="QMB20" s="110"/>
      <c r="QMC20" s="110"/>
      <c r="QMD20" s="110"/>
      <c r="QME20" s="110"/>
      <c r="QMF20" s="110"/>
      <c r="QMG20" s="110"/>
      <c r="QMH20" s="110"/>
      <c r="QMI20" s="110"/>
      <c r="QMJ20" s="110"/>
      <c r="QMK20" s="110"/>
      <c r="QML20" s="110"/>
      <c r="QMM20" s="110"/>
      <c r="QMN20" s="110"/>
      <c r="QMO20" s="110"/>
      <c r="QMP20" s="110"/>
      <c r="QMQ20" s="110"/>
      <c r="QMR20" s="110"/>
      <c r="QMS20" s="110"/>
      <c r="QMT20" s="110"/>
      <c r="QMU20" s="110"/>
      <c r="QMV20" s="110"/>
      <c r="QMW20" s="110"/>
      <c r="QMX20" s="110"/>
      <c r="QMY20" s="110"/>
      <c r="QMZ20" s="110"/>
      <c r="QNA20" s="110"/>
      <c r="QNB20" s="110"/>
      <c r="QNC20" s="110"/>
      <c r="QND20" s="110"/>
      <c r="QNE20" s="110"/>
      <c r="QNF20" s="110"/>
      <c r="QNG20" s="110"/>
      <c r="QNH20" s="110"/>
      <c r="QNI20" s="110"/>
      <c r="QNJ20" s="110"/>
      <c r="QNK20" s="110"/>
      <c r="QNL20" s="110"/>
      <c r="QNM20" s="110"/>
      <c r="QNN20" s="110"/>
      <c r="QNO20" s="110"/>
      <c r="QNP20" s="110"/>
      <c r="QNQ20" s="110"/>
      <c r="QNR20" s="110"/>
      <c r="QNS20" s="110"/>
      <c r="QNT20" s="110"/>
      <c r="QNU20" s="110"/>
      <c r="QNV20" s="110"/>
      <c r="QNW20" s="110"/>
      <c r="QNX20" s="110"/>
      <c r="QNY20" s="110"/>
      <c r="QNZ20" s="110"/>
      <c r="QOA20" s="110"/>
      <c r="QOB20" s="110"/>
      <c r="QOC20" s="110"/>
      <c r="QOD20" s="110"/>
      <c r="QOE20" s="110"/>
      <c r="QOF20" s="110"/>
      <c r="QOG20" s="110"/>
      <c r="QOH20" s="110"/>
      <c r="QOI20" s="110"/>
      <c r="QOJ20" s="110"/>
      <c r="QOK20" s="110"/>
      <c r="QOL20" s="110"/>
      <c r="QOM20" s="110"/>
      <c r="QON20" s="110"/>
      <c r="QOO20" s="110"/>
      <c r="QOP20" s="110"/>
      <c r="QOQ20" s="110"/>
      <c r="QOR20" s="110"/>
      <c r="QOS20" s="110"/>
      <c r="QOT20" s="110"/>
      <c r="QOU20" s="110"/>
      <c r="QOV20" s="110"/>
      <c r="QOW20" s="110"/>
      <c r="QOX20" s="110"/>
      <c r="QOY20" s="110"/>
      <c r="QOZ20" s="110"/>
      <c r="QPA20" s="110"/>
      <c r="QPB20" s="110"/>
      <c r="QPC20" s="110"/>
      <c r="QPD20" s="110"/>
      <c r="QPE20" s="110"/>
      <c r="QPF20" s="110"/>
      <c r="QPG20" s="110"/>
      <c r="QPH20" s="110"/>
      <c r="QPI20" s="110"/>
      <c r="QPJ20" s="110"/>
      <c r="QPK20" s="110"/>
      <c r="QPL20" s="110"/>
      <c r="QPM20" s="110"/>
      <c r="QPN20" s="110"/>
      <c r="QPO20" s="110"/>
      <c r="QPP20" s="110"/>
      <c r="QPQ20" s="110"/>
      <c r="QPR20" s="110"/>
      <c r="QPS20" s="110"/>
      <c r="QPT20" s="110"/>
      <c r="QPU20" s="110"/>
      <c r="QPV20" s="110"/>
      <c r="QPW20" s="110"/>
      <c r="QPX20" s="110"/>
      <c r="QPY20" s="110"/>
      <c r="QPZ20" s="110"/>
      <c r="QQA20" s="110"/>
      <c r="QQB20" s="110"/>
      <c r="QQC20" s="110"/>
      <c r="QQD20" s="110"/>
      <c r="QQE20" s="110"/>
      <c r="QQF20" s="110"/>
      <c r="QQG20" s="110"/>
      <c r="QQH20" s="110"/>
      <c r="QQI20" s="110"/>
      <c r="QQJ20" s="110"/>
      <c r="QQK20" s="110"/>
      <c r="QQL20" s="110"/>
      <c r="QQM20" s="110"/>
      <c r="QQN20" s="110"/>
      <c r="QQO20" s="110"/>
      <c r="QQP20" s="110"/>
      <c r="QQQ20" s="110"/>
      <c r="QQR20" s="110"/>
      <c r="QQS20" s="110"/>
      <c r="QQT20" s="110"/>
      <c r="QQU20" s="110"/>
      <c r="QQV20" s="110"/>
      <c r="QQW20" s="110"/>
      <c r="QQX20" s="110"/>
      <c r="QQY20" s="110"/>
      <c r="QQZ20" s="110"/>
      <c r="QRA20" s="110"/>
      <c r="QRB20" s="110"/>
      <c r="QRC20" s="110"/>
      <c r="QRD20" s="110"/>
      <c r="QRE20" s="110"/>
      <c r="QRF20" s="110"/>
      <c r="QRG20" s="110"/>
      <c r="QRH20" s="110"/>
      <c r="QRI20" s="110"/>
      <c r="QRJ20" s="110"/>
      <c r="QRK20" s="110"/>
      <c r="QRL20" s="110"/>
      <c r="QRM20" s="110"/>
      <c r="QRN20" s="110"/>
      <c r="QRO20" s="110"/>
      <c r="QRP20" s="110"/>
      <c r="QRQ20" s="110"/>
      <c r="QRR20" s="110"/>
      <c r="QRS20" s="110"/>
      <c r="QRT20" s="110"/>
      <c r="QRU20" s="110"/>
      <c r="QRV20" s="110"/>
      <c r="QRW20" s="110"/>
      <c r="QRX20" s="110"/>
      <c r="QRY20" s="110"/>
      <c r="QRZ20" s="110"/>
      <c r="QSA20" s="110"/>
      <c r="QSB20" s="110"/>
      <c r="QSC20" s="110"/>
      <c r="QSD20" s="110"/>
      <c r="QSE20" s="110"/>
      <c r="QSF20" s="110"/>
      <c r="QSG20" s="110"/>
      <c r="QSH20" s="110"/>
      <c r="QSI20" s="110"/>
      <c r="QSJ20" s="110"/>
      <c r="QSK20" s="110"/>
      <c r="QSL20" s="110"/>
      <c r="QSM20" s="110"/>
      <c r="QSN20" s="110"/>
      <c r="QSO20" s="110"/>
      <c r="QSP20" s="110"/>
      <c r="QSQ20" s="110"/>
      <c r="QSR20" s="110"/>
      <c r="QSS20" s="110"/>
      <c r="QST20" s="110"/>
      <c r="QSU20" s="110"/>
      <c r="QSV20" s="110"/>
      <c r="QSW20" s="110"/>
      <c r="QSX20" s="110"/>
      <c r="QSY20" s="110"/>
      <c r="QSZ20" s="110"/>
      <c r="QTA20" s="110"/>
      <c r="QTB20" s="110"/>
      <c r="QTC20" s="110"/>
      <c r="QTD20" s="110"/>
      <c r="QTE20" s="110"/>
      <c r="QTF20" s="110"/>
      <c r="QTG20" s="110"/>
      <c r="QTH20" s="110"/>
      <c r="QTI20" s="110"/>
      <c r="QTJ20" s="110"/>
      <c r="QTK20" s="110"/>
      <c r="QTL20" s="110"/>
      <c r="QTM20" s="110"/>
      <c r="QTN20" s="110"/>
      <c r="QTO20" s="110"/>
      <c r="QTP20" s="110"/>
      <c r="QTQ20" s="110"/>
      <c r="QTR20" s="110"/>
      <c r="QTS20" s="110"/>
      <c r="QTT20" s="110"/>
      <c r="QTU20" s="110"/>
      <c r="QTV20" s="110"/>
      <c r="QTW20" s="110"/>
      <c r="QTX20" s="110"/>
      <c r="QTY20" s="110"/>
      <c r="QTZ20" s="110"/>
      <c r="QUA20" s="110"/>
      <c r="QUB20" s="110"/>
      <c r="QUC20" s="110"/>
      <c r="QUD20" s="110"/>
      <c r="QUE20" s="110"/>
      <c r="QUF20" s="110"/>
      <c r="QUG20" s="110"/>
      <c r="QUH20" s="110"/>
      <c r="QUI20" s="110"/>
      <c r="QUJ20" s="110"/>
      <c r="QUK20" s="110"/>
      <c r="QUL20" s="110"/>
      <c r="QUM20" s="110"/>
      <c r="QUN20" s="110"/>
      <c r="QUO20" s="110"/>
      <c r="QUP20" s="110"/>
      <c r="QUQ20" s="110"/>
      <c r="QUR20" s="110"/>
      <c r="QUS20" s="110"/>
      <c r="QUT20" s="110"/>
      <c r="QUU20" s="110"/>
      <c r="QUV20" s="110"/>
      <c r="QUW20" s="110"/>
      <c r="QUX20" s="110"/>
      <c r="QUY20" s="110"/>
      <c r="QUZ20" s="110"/>
      <c r="QVA20" s="110"/>
      <c r="QVB20" s="110"/>
      <c r="QVC20" s="110"/>
      <c r="QVD20" s="110"/>
      <c r="QVE20" s="110"/>
      <c r="QVF20" s="110"/>
      <c r="QVG20" s="110"/>
      <c r="QVH20" s="110"/>
      <c r="QVI20" s="110"/>
      <c r="QVJ20" s="110"/>
      <c r="QVK20" s="110"/>
      <c r="QVL20" s="110"/>
      <c r="QVM20" s="110"/>
      <c r="QVN20" s="110"/>
      <c r="QVO20" s="110"/>
      <c r="QVP20" s="110"/>
      <c r="QVQ20" s="110"/>
      <c r="QVR20" s="110"/>
      <c r="QVS20" s="110"/>
      <c r="QVT20" s="110"/>
      <c r="QVU20" s="110"/>
      <c r="QVV20" s="110"/>
      <c r="QVW20" s="110"/>
      <c r="QVX20" s="110"/>
      <c r="QVY20" s="110"/>
      <c r="QVZ20" s="110"/>
      <c r="QWA20" s="110"/>
      <c r="QWB20" s="110"/>
      <c r="QWC20" s="110"/>
      <c r="QWD20" s="110"/>
      <c r="QWE20" s="110"/>
      <c r="QWF20" s="110"/>
      <c r="QWG20" s="110"/>
      <c r="QWH20" s="110"/>
      <c r="QWI20" s="110"/>
      <c r="QWJ20" s="110"/>
      <c r="QWK20" s="110"/>
      <c r="QWL20" s="110"/>
      <c r="QWM20" s="110"/>
      <c r="QWN20" s="110"/>
      <c r="QWO20" s="110"/>
      <c r="QWP20" s="110"/>
      <c r="QWQ20" s="110"/>
      <c r="QWR20" s="110"/>
      <c r="QWS20" s="110"/>
      <c r="QWT20" s="110"/>
      <c r="QWU20" s="110"/>
      <c r="QWV20" s="110"/>
      <c r="QWW20" s="110"/>
      <c r="QWX20" s="110"/>
      <c r="QWY20" s="110"/>
      <c r="QWZ20" s="110"/>
      <c r="QXA20" s="110"/>
      <c r="QXB20" s="110"/>
      <c r="QXC20" s="110"/>
      <c r="QXD20" s="110"/>
      <c r="QXE20" s="110"/>
      <c r="QXF20" s="110"/>
      <c r="QXG20" s="110"/>
      <c r="QXH20" s="110"/>
      <c r="QXI20" s="110"/>
      <c r="QXJ20" s="110"/>
      <c r="QXK20" s="110"/>
      <c r="QXL20" s="110"/>
      <c r="QXM20" s="110"/>
      <c r="QXN20" s="110"/>
      <c r="QXO20" s="110"/>
      <c r="QXP20" s="110"/>
      <c r="QXQ20" s="110"/>
      <c r="QXR20" s="110"/>
      <c r="QXS20" s="110"/>
      <c r="QXT20" s="110"/>
      <c r="QXU20" s="110"/>
      <c r="QXV20" s="110"/>
      <c r="QXW20" s="110"/>
      <c r="QXX20" s="110"/>
      <c r="QXY20" s="110"/>
      <c r="QXZ20" s="110"/>
      <c r="QYA20" s="110"/>
      <c r="QYB20" s="110"/>
      <c r="QYC20" s="110"/>
      <c r="QYD20" s="110"/>
      <c r="QYE20" s="110"/>
      <c r="QYF20" s="110"/>
      <c r="QYG20" s="110"/>
      <c r="QYH20" s="110"/>
      <c r="QYI20" s="110"/>
      <c r="QYJ20" s="110"/>
      <c r="QYK20" s="110"/>
      <c r="QYL20" s="110"/>
      <c r="QYM20" s="110"/>
      <c r="QYN20" s="110"/>
      <c r="QYO20" s="110"/>
      <c r="QYP20" s="110"/>
      <c r="QYQ20" s="110"/>
      <c r="QYR20" s="110"/>
      <c r="QYS20" s="110"/>
      <c r="QYT20" s="110"/>
      <c r="QYU20" s="110"/>
      <c r="QYV20" s="110"/>
      <c r="QYW20" s="110"/>
      <c r="QYX20" s="110"/>
      <c r="QYY20" s="110"/>
      <c r="QYZ20" s="110"/>
      <c r="QZA20" s="110"/>
      <c r="QZB20" s="110"/>
      <c r="QZC20" s="110"/>
      <c r="QZD20" s="110"/>
      <c r="QZE20" s="110"/>
      <c r="QZF20" s="110"/>
      <c r="QZG20" s="110"/>
      <c r="QZH20" s="110"/>
      <c r="QZI20" s="110"/>
      <c r="QZJ20" s="110"/>
      <c r="QZK20" s="110"/>
      <c r="QZL20" s="110"/>
      <c r="QZM20" s="110"/>
      <c r="QZN20" s="110"/>
      <c r="QZO20" s="110"/>
      <c r="QZP20" s="110"/>
      <c r="QZQ20" s="110"/>
      <c r="QZR20" s="110"/>
      <c r="QZS20" s="110"/>
      <c r="QZT20" s="110"/>
      <c r="QZU20" s="110"/>
      <c r="QZV20" s="110"/>
      <c r="QZW20" s="110"/>
      <c r="QZX20" s="110"/>
      <c r="QZY20" s="110"/>
      <c r="QZZ20" s="110"/>
      <c r="RAA20" s="110"/>
      <c r="RAB20" s="110"/>
      <c r="RAC20" s="110"/>
      <c r="RAD20" s="110"/>
      <c r="RAE20" s="110"/>
      <c r="RAF20" s="110"/>
      <c r="RAG20" s="110"/>
      <c r="RAH20" s="110"/>
      <c r="RAI20" s="110"/>
      <c r="RAJ20" s="110"/>
      <c r="RAK20" s="110"/>
      <c r="RAL20" s="110"/>
      <c r="RAM20" s="110"/>
      <c r="RAN20" s="110"/>
      <c r="RAO20" s="110"/>
      <c r="RAP20" s="110"/>
      <c r="RAQ20" s="110"/>
      <c r="RAR20" s="110"/>
      <c r="RAS20" s="110"/>
      <c r="RAT20" s="110"/>
      <c r="RAU20" s="110"/>
      <c r="RAV20" s="110"/>
      <c r="RAW20" s="110"/>
      <c r="RAX20" s="110"/>
      <c r="RAY20" s="110"/>
      <c r="RAZ20" s="110"/>
      <c r="RBA20" s="110"/>
      <c r="RBB20" s="110"/>
      <c r="RBC20" s="110"/>
      <c r="RBD20" s="110"/>
      <c r="RBE20" s="110"/>
      <c r="RBF20" s="110"/>
      <c r="RBG20" s="110"/>
      <c r="RBH20" s="110"/>
      <c r="RBI20" s="110"/>
      <c r="RBJ20" s="110"/>
      <c r="RBK20" s="110"/>
      <c r="RBL20" s="110"/>
      <c r="RBM20" s="110"/>
      <c r="RBN20" s="110"/>
      <c r="RBO20" s="110"/>
      <c r="RBP20" s="110"/>
      <c r="RBQ20" s="110"/>
      <c r="RBR20" s="110"/>
      <c r="RBS20" s="110"/>
      <c r="RBT20" s="110"/>
      <c r="RBU20" s="110"/>
      <c r="RBV20" s="110"/>
      <c r="RBW20" s="110"/>
      <c r="RBX20" s="110"/>
      <c r="RBY20" s="110"/>
      <c r="RBZ20" s="110"/>
      <c r="RCA20" s="110"/>
      <c r="RCB20" s="110"/>
      <c r="RCC20" s="110"/>
      <c r="RCD20" s="110"/>
      <c r="RCE20" s="110"/>
      <c r="RCF20" s="110"/>
      <c r="RCG20" s="110"/>
      <c r="RCH20" s="110"/>
      <c r="RCI20" s="110"/>
      <c r="RCJ20" s="110"/>
      <c r="RCK20" s="110"/>
      <c r="RCL20" s="110"/>
      <c r="RCM20" s="110"/>
      <c r="RCN20" s="110"/>
      <c r="RCO20" s="110"/>
      <c r="RCP20" s="110"/>
      <c r="RCQ20" s="110"/>
      <c r="RCR20" s="110"/>
      <c r="RCS20" s="110"/>
      <c r="RCT20" s="110"/>
      <c r="RCU20" s="110"/>
      <c r="RCV20" s="110"/>
      <c r="RCW20" s="110"/>
      <c r="RCX20" s="110"/>
      <c r="RCY20" s="110"/>
      <c r="RCZ20" s="110"/>
      <c r="RDA20" s="110"/>
      <c r="RDB20" s="110"/>
      <c r="RDC20" s="110"/>
      <c r="RDD20" s="110"/>
      <c r="RDE20" s="110"/>
      <c r="RDF20" s="110"/>
      <c r="RDG20" s="110"/>
      <c r="RDH20" s="110"/>
      <c r="RDI20" s="110"/>
      <c r="RDJ20" s="110"/>
      <c r="RDK20" s="110"/>
      <c r="RDL20" s="110"/>
      <c r="RDM20" s="110"/>
      <c r="RDN20" s="110"/>
      <c r="RDO20" s="110"/>
      <c r="RDP20" s="110"/>
      <c r="RDQ20" s="110"/>
      <c r="RDR20" s="110"/>
      <c r="RDS20" s="110"/>
      <c r="RDT20" s="110"/>
      <c r="RDU20" s="110"/>
      <c r="RDV20" s="110"/>
      <c r="RDW20" s="110"/>
      <c r="RDX20" s="110"/>
      <c r="RDY20" s="110"/>
      <c r="RDZ20" s="110"/>
      <c r="REA20" s="110"/>
      <c r="REB20" s="110"/>
      <c r="REC20" s="110"/>
      <c r="RED20" s="110"/>
      <c r="REE20" s="110"/>
      <c r="REF20" s="110"/>
      <c r="REG20" s="110"/>
      <c r="REH20" s="110"/>
      <c r="REI20" s="110"/>
      <c r="REJ20" s="110"/>
      <c r="REK20" s="110"/>
      <c r="REL20" s="110"/>
      <c r="REM20" s="110"/>
      <c r="REN20" s="110"/>
      <c r="REO20" s="110"/>
      <c r="REP20" s="110"/>
      <c r="REQ20" s="110"/>
      <c r="RER20" s="110"/>
      <c r="RES20" s="110"/>
      <c r="RET20" s="110"/>
      <c r="REU20" s="110"/>
      <c r="REV20" s="110"/>
      <c r="REW20" s="110"/>
      <c r="REX20" s="110"/>
      <c r="REY20" s="110"/>
      <c r="REZ20" s="110"/>
      <c r="RFA20" s="110"/>
      <c r="RFB20" s="110"/>
      <c r="RFC20" s="110"/>
      <c r="RFD20" s="110"/>
      <c r="RFE20" s="110"/>
      <c r="RFF20" s="110"/>
      <c r="RFG20" s="110"/>
      <c r="RFH20" s="110"/>
      <c r="RFI20" s="110"/>
      <c r="RFJ20" s="110"/>
      <c r="RFK20" s="110"/>
      <c r="RFL20" s="110"/>
      <c r="RFM20" s="110"/>
      <c r="RFN20" s="110"/>
      <c r="RFO20" s="110"/>
      <c r="RFP20" s="110"/>
      <c r="RFQ20" s="110"/>
      <c r="RFR20" s="110"/>
      <c r="RFS20" s="110"/>
      <c r="RFT20" s="110"/>
      <c r="RFU20" s="110"/>
      <c r="RFV20" s="110"/>
      <c r="RFW20" s="110"/>
      <c r="RFX20" s="110"/>
      <c r="RFY20" s="110"/>
      <c r="RFZ20" s="110"/>
      <c r="RGA20" s="110"/>
      <c r="RGB20" s="110"/>
      <c r="RGC20" s="110"/>
      <c r="RGD20" s="110"/>
      <c r="RGE20" s="110"/>
      <c r="RGF20" s="110"/>
      <c r="RGG20" s="110"/>
      <c r="RGH20" s="110"/>
      <c r="RGI20" s="110"/>
      <c r="RGJ20" s="110"/>
      <c r="RGK20" s="110"/>
      <c r="RGL20" s="110"/>
      <c r="RGM20" s="110"/>
      <c r="RGN20" s="110"/>
      <c r="RGO20" s="110"/>
      <c r="RGP20" s="110"/>
      <c r="RGQ20" s="110"/>
      <c r="RGR20" s="110"/>
      <c r="RGS20" s="110"/>
      <c r="RGT20" s="110"/>
      <c r="RGU20" s="110"/>
      <c r="RGV20" s="110"/>
      <c r="RGW20" s="110"/>
      <c r="RGX20" s="110"/>
      <c r="RGY20" s="110"/>
      <c r="RGZ20" s="110"/>
      <c r="RHA20" s="110"/>
      <c r="RHB20" s="110"/>
      <c r="RHC20" s="110"/>
      <c r="RHD20" s="110"/>
      <c r="RHE20" s="110"/>
      <c r="RHF20" s="110"/>
      <c r="RHG20" s="110"/>
      <c r="RHH20" s="110"/>
      <c r="RHI20" s="110"/>
      <c r="RHJ20" s="110"/>
      <c r="RHK20" s="110"/>
      <c r="RHL20" s="110"/>
      <c r="RHM20" s="110"/>
      <c r="RHN20" s="110"/>
      <c r="RHO20" s="110"/>
      <c r="RHP20" s="110"/>
      <c r="RHQ20" s="110"/>
      <c r="RHR20" s="110"/>
      <c r="RHS20" s="110"/>
      <c r="RHT20" s="110"/>
      <c r="RHU20" s="110"/>
      <c r="RHV20" s="110"/>
      <c r="RHW20" s="110"/>
      <c r="RHX20" s="110"/>
      <c r="RHY20" s="110"/>
      <c r="RHZ20" s="110"/>
      <c r="RIA20" s="110"/>
      <c r="RIB20" s="110"/>
      <c r="RIC20" s="110"/>
      <c r="RID20" s="110"/>
      <c r="RIE20" s="110"/>
      <c r="RIF20" s="110"/>
      <c r="RIG20" s="110"/>
      <c r="RIH20" s="110"/>
      <c r="RII20" s="110"/>
      <c r="RIJ20" s="110"/>
      <c r="RIK20" s="110"/>
      <c r="RIL20" s="110"/>
      <c r="RIM20" s="110"/>
      <c r="RIN20" s="110"/>
      <c r="RIO20" s="110"/>
      <c r="RIP20" s="110"/>
      <c r="RIQ20" s="110"/>
      <c r="RIR20" s="110"/>
      <c r="RIS20" s="110"/>
      <c r="RIT20" s="110"/>
      <c r="RIU20" s="110"/>
      <c r="RIV20" s="110"/>
      <c r="RIW20" s="110"/>
      <c r="RIX20" s="110"/>
      <c r="RIY20" s="110"/>
      <c r="RIZ20" s="110"/>
      <c r="RJA20" s="110"/>
      <c r="RJB20" s="110"/>
      <c r="RJC20" s="110"/>
      <c r="RJD20" s="110"/>
      <c r="RJE20" s="110"/>
      <c r="RJF20" s="110"/>
      <c r="RJG20" s="110"/>
      <c r="RJH20" s="110"/>
      <c r="RJI20" s="110"/>
      <c r="RJJ20" s="110"/>
      <c r="RJK20" s="110"/>
      <c r="RJL20" s="110"/>
      <c r="RJM20" s="110"/>
      <c r="RJN20" s="110"/>
      <c r="RJO20" s="110"/>
      <c r="RJP20" s="110"/>
      <c r="RJQ20" s="110"/>
      <c r="RJR20" s="110"/>
      <c r="RJS20" s="110"/>
      <c r="RJT20" s="110"/>
      <c r="RJU20" s="110"/>
      <c r="RJV20" s="110"/>
      <c r="RJW20" s="110"/>
      <c r="RJX20" s="110"/>
      <c r="RJY20" s="110"/>
      <c r="RJZ20" s="110"/>
      <c r="RKA20" s="110"/>
      <c r="RKB20" s="110"/>
      <c r="RKC20" s="110"/>
      <c r="RKD20" s="110"/>
      <c r="RKE20" s="110"/>
      <c r="RKF20" s="110"/>
      <c r="RKG20" s="110"/>
      <c r="RKH20" s="110"/>
      <c r="RKI20" s="110"/>
      <c r="RKJ20" s="110"/>
      <c r="RKK20" s="110"/>
      <c r="RKL20" s="110"/>
      <c r="RKM20" s="110"/>
      <c r="RKN20" s="110"/>
      <c r="RKO20" s="110"/>
      <c r="RKP20" s="110"/>
      <c r="RKQ20" s="110"/>
      <c r="RKR20" s="110"/>
      <c r="RKS20" s="110"/>
      <c r="RKT20" s="110"/>
      <c r="RKU20" s="110"/>
      <c r="RKV20" s="110"/>
      <c r="RKW20" s="110"/>
      <c r="RKX20" s="110"/>
      <c r="RKY20" s="110"/>
      <c r="RKZ20" s="110"/>
      <c r="RLA20" s="110"/>
      <c r="RLB20" s="110"/>
      <c r="RLC20" s="110"/>
      <c r="RLD20" s="110"/>
      <c r="RLE20" s="110"/>
      <c r="RLF20" s="110"/>
      <c r="RLG20" s="110"/>
      <c r="RLH20" s="110"/>
      <c r="RLI20" s="110"/>
      <c r="RLJ20" s="110"/>
      <c r="RLK20" s="110"/>
      <c r="RLL20" s="110"/>
      <c r="RLM20" s="110"/>
      <c r="RLN20" s="110"/>
      <c r="RLO20" s="110"/>
      <c r="RLP20" s="110"/>
      <c r="RLQ20" s="110"/>
      <c r="RLR20" s="110"/>
      <c r="RLS20" s="110"/>
      <c r="RLT20" s="110"/>
      <c r="RLU20" s="110"/>
      <c r="RLV20" s="110"/>
      <c r="RLW20" s="110"/>
      <c r="RLX20" s="110"/>
      <c r="RLY20" s="110"/>
      <c r="RLZ20" s="110"/>
      <c r="RMA20" s="110"/>
      <c r="RMB20" s="110"/>
      <c r="RMC20" s="110"/>
      <c r="RMD20" s="110"/>
      <c r="RME20" s="110"/>
      <c r="RMF20" s="110"/>
      <c r="RMG20" s="110"/>
      <c r="RMH20" s="110"/>
      <c r="RMI20" s="110"/>
      <c r="RMJ20" s="110"/>
      <c r="RMK20" s="110"/>
      <c r="RML20" s="110"/>
      <c r="RMM20" s="110"/>
      <c r="RMN20" s="110"/>
      <c r="RMO20" s="110"/>
      <c r="RMP20" s="110"/>
      <c r="RMQ20" s="110"/>
      <c r="RMR20" s="110"/>
      <c r="RMS20" s="110"/>
      <c r="RMT20" s="110"/>
      <c r="RMU20" s="110"/>
      <c r="RMV20" s="110"/>
      <c r="RMW20" s="110"/>
      <c r="RMX20" s="110"/>
      <c r="RMY20" s="110"/>
      <c r="RMZ20" s="110"/>
      <c r="RNA20" s="110"/>
      <c r="RNB20" s="110"/>
      <c r="RNC20" s="110"/>
      <c r="RND20" s="110"/>
      <c r="RNE20" s="110"/>
      <c r="RNF20" s="110"/>
      <c r="RNG20" s="110"/>
      <c r="RNH20" s="110"/>
      <c r="RNI20" s="110"/>
      <c r="RNJ20" s="110"/>
      <c r="RNK20" s="110"/>
      <c r="RNL20" s="110"/>
      <c r="RNM20" s="110"/>
      <c r="RNN20" s="110"/>
      <c r="RNO20" s="110"/>
      <c r="RNP20" s="110"/>
      <c r="RNQ20" s="110"/>
      <c r="RNR20" s="110"/>
      <c r="RNS20" s="110"/>
      <c r="RNT20" s="110"/>
      <c r="RNU20" s="110"/>
      <c r="RNV20" s="110"/>
      <c r="RNW20" s="110"/>
      <c r="RNX20" s="110"/>
      <c r="RNY20" s="110"/>
      <c r="RNZ20" s="110"/>
      <c r="ROA20" s="110"/>
      <c r="ROB20" s="110"/>
      <c r="ROC20" s="110"/>
      <c r="ROD20" s="110"/>
      <c r="ROE20" s="110"/>
      <c r="ROF20" s="110"/>
      <c r="ROG20" s="110"/>
      <c r="ROH20" s="110"/>
      <c r="ROI20" s="110"/>
      <c r="ROJ20" s="110"/>
      <c r="ROK20" s="110"/>
      <c r="ROL20" s="110"/>
      <c r="ROM20" s="110"/>
      <c r="RON20" s="110"/>
      <c r="ROO20" s="110"/>
      <c r="ROP20" s="110"/>
      <c r="ROQ20" s="110"/>
      <c r="ROR20" s="110"/>
      <c r="ROS20" s="110"/>
      <c r="ROT20" s="110"/>
      <c r="ROU20" s="110"/>
      <c r="ROV20" s="110"/>
      <c r="ROW20" s="110"/>
      <c r="ROX20" s="110"/>
      <c r="ROY20" s="110"/>
      <c r="ROZ20" s="110"/>
      <c r="RPA20" s="110"/>
      <c r="RPB20" s="110"/>
      <c r="RPC20" s="110"/>
      <c r="RPD20" s="110"/>
      <c r="RPE20" s="110"/>
      <c r="RPF20" s="110"/>
      <c r="RPG20" s="110"/>
      <c r="RPH20" s="110"/>
      <c r="RPI20" s="110"/>
      <c r="RPJ20" s="110"/>
      <c r="RPK20" s="110"/>
      <c r="RPL20" s="110"/>
      <c r="RPM20" s="110"/>
      <c r="RPN20" s="110"/>
      <c r="RPO20" s="110"/>
      <c r="RPP20" s="110"/>
      <c r="RPQ20" s="110"/>
      <c r="RPR20" s="110"/>
      <c r="RPS20" s="110"/>
      <c r="RPT20" s="110"/>
      <c r="RPU20" s="110"/>
      <c r="RPV20" s="110"/>
      <c r="RPW20" s="110"/>
      <c r="RPX20" s="110"/>
      <c r="RPY20" s="110"/>
      <c r="RPZ20" s="110"/>
      <c r="RQA20" s="110"/>
      <c r="RQB20" s="110"/>
      <c r="RQC20" s="110"/>
      <c r="RQD20" s="110"/>
      <c r="RQE20" s="110"/>
      <c r="RQF20" s="110"/>
      <c r="RQG20" s="110"/>
      <c r="RQH20" s="110"/>
      <c r="RQI20" s="110"/>
      <c r="RQJ20" s="110"/>
      <c r="RQK20" s="110"/>
      <c r="RQL20" s="110"/>
      <c r="RQM20" s="110"/>
      <c r="RQN20" s="110"/>
      <c r="RQO20" s="110"/>
      <c r="RQP20" s="110"/>
      <c r="RQQ20" s="110"/>
      <c r="RQR20" s="110"/>
      <c r="RQS20" s="110"/>
      <c r="RQT20" s="110"/>
      <c r="RQU20" s="110"/>
      <c r="RQV20" s="110"/>
      <c r="RQW20" s="110"/>
      <c r="RQX20" s="110"/>
      <c r="RQY20" s="110"/>
      <c r="RQZ20" s="110"/>
      <c r="RRA20" s="110"/>
      <c r="RRB20" s="110"/>
      <c r="RRC20" s="110"/>
      <c r="RRD20" s="110"/>
      <c r="RRE20" s="110"/>
      <c r="RRF20" s="110"/>
      <c r="RRG20" s="110"/>
      <c r="RRH20" s="110"/>
      <c r="RRI20" s="110"/>
      <c r="RRJ20" s="110"/>
      <c r="RRK20" s="110"/>
      <c r="RRL20" s="110"/>
      <c r="RRM20" s="110"/>
      <c r="RRN20" s="110"/>
      <c r="RRO20" s="110"/>
      <c r="RRP20" s="110"/>
      <c r="RRQ20" s="110"/>
      <c r="RRR20" s="110"/>
      <c r="RRS20" s="110"/>
      <c r="RRT20" s="110"/>
      <c r="RRU20" s="110"/>
      <c r="RRV20" s="110"/>
      <c r="RRW20" s="110"/>
      <c r="RRX20" s="110"/>
      <c r="RRY20" s="110"/>
      <c r="RRZ20" s="110"/>
      <c r="RSA20" s="110"/>
      <c r="RSB20" s="110"/>
      <c r="RSC20" s="110"/>
      <c r="RSD20" s="110"/>
      <c r="RSE20" s="110"/>
      <c r="RSF20" s="110"/>
      <c r="RSG20" s="110"/>
      <c r="RSH20" s="110"/>
      <c r="RSI20" s="110"/>
      <c r="RSJ20" s="110"/>
      <c r="RSK20" s="110"/>
      <c r="RSL20" s="110"/>
      <c r="RSM20" s="110"/>
      <c r="RSN20" s="110"/>
      <c r="RSO20" s="110"/>
      <c r="RSP20" s="110"/>
      <c r="RSQ20" s="110"/>
      <c r="RSR20" s="110"/>
      <c r="RSS20" s="110"/>
      <c r="RST20" s="110"/>
      <c r="RSU20" s="110"/>
      <c r="RSV20" s="110"/>
      <c r="RSW20" s="110"/>
      <c r="RSX20" s="110"/>
      <c r="RSY20" s="110"/>
      <c r="RSZ20" s="110"/>
      <c r="RTA20" s="110"/>
      <c r="RTB20" s="110"/>
      <c r="RTC20" s="110"/>
      <c r="RTD20" s="110"/>
      <c r="RTE20" s="110"/>
      <c r="RTF20" s="110"/>
      <c r="RTG20" s="110"/>
      <c r="RTH20" s="110"/>
      <c r="RTI20" s="110"/>
      <c r="RTJ20" s="110"/>
      <c r="RTK20" s="110"/>
      <c r="RTL20" s="110"/>
      <c r="RTM20" s="110"/>
      <c r="RTN20" s="110"/>
      <c r="RTO20" s="110"/>
      <c r="RTP20" s="110"/>
      <c r="RTQ20" s="110"/>
      <c r="RTR20" s="110"/>
      <c r="RTS20" s="110"/>
      <c r="RTT20" s="110"/>
      <c r="RTU20" s="110"/>
      <c r="RTV20" s="110"/>
      <c r="RTW20" s="110"/>
      <c r="RTX20" s="110"/>
      <c r="RTY20" s="110"/>
      <c r="RTZ20" s="110"/>
      <c r="RUA20" s="110"/>
      <c r="RUB20" s="110"/>
      <c r="RUC20" s="110"/>
      <c r="RUD20" s="110"/>
      <c r="RUE20" s="110"/>
      <c r="RUF20" s="110"/>
      <c r="RUG20" s="110"/>
      <c r="RUH20" s="110"/>
      <c r="RUI20" s="110"/>
      <c r="RUJ20" s="110"/>
      <c r="RUK20" s="110"/>
      <c r="RUL20" s="110"/>
      <c r="RUM20" s="110"/>
      <c r="RUN20" s="110"/>
      <c r="RUO20" s="110"/>
      <c r="RUP20" s="110"/>
      <c r="RUQ20" s="110"/>
      <c r="RUR20" s="110"/>
      <c r="RUS20" s="110"/>
      <c r="RUT20" s="110"/>
      <c r="RUU20" s="110"/>
      <c r="RUV20" s="110"/>
      <c r="RUW20" s="110"/>
      <c r="RUX20" s="110"/>
      <c r="RUY20" s="110"/>
      <c r="RUZ20" s="110"/>
      <c r="RVA20" s="110"/>
      <c r="RVB20" s="110"/>
      <c r="RVC20" s="110"/>
      <c r="RVD20" s="110"/>
      <c r="RVE20" s="110"/>
      <c r="RVF20" s="110"/>
      <c r="RVG20" s="110"/>
      <c r="RVH20" s="110"/>
      <c r="RVI20" s="110"/>
      <c r="RVJ20" s="110"/>
      <c r="RVK20" s="110"/>
      <c r="RVL20" s="110"/>
      <c r="RVM20" s="110"/>
      <c r="RVN20" s="110"/>
      <c r="RVO20" s="110"/>
      <c r="RVP20" s="110"/>
      <c r="RVQ20" s="110"/>
      <c r="RVR20" s="110"/>
      <c r="RVS20" s="110"/>
      <c r="RVT20" s="110"/>
      <c r="RVU20" s="110"/>
      <c r="RVV20" s="110"/>
      <c r="RVW20" s="110"/>
      <c r="RVX20" s="110"/>
      <c r="RVY20" s="110"/>
      <c r="RVZ20" s="110"/>
      <c r="RWA20" s="110"/>
      <c r="RWB20" s="110"/>
      <c r="RWC20" s="110"/>
      <c r="RWD20" s="110"/>
      <c r="RWE20" s="110"/>
      <c r="RWF20" s="110"/>
      <c r="RWG20" s="110"/>
      <c r="RWH20" s="110"/>
      <c r="RWI20" s="110"/>
      <c r="RWJ20" s="110"/>
      <c r="RWK20" s="110"/>
      <c r="RWL20" s="110"/>
      <c r="RWM20" s="110"/>
      <c r="RWN20" s="110"/>
      <c r="RWO20" s="110"/>
      <c r="RWP20" s="110"/>
      <c r="RWQ20" s="110"/>
      <c r="RWR20" s="110"/>
      <c r="RWS20" s="110"/>
      <c r="RWT20" s="110"/>
      <c r="RWU20" s="110"/>
      <c r="RWV20" s="110"/>
      <c r="RWW20" s="110"/>
      <c r="RWX20" s="110"/>
      <c r="RWY20" s="110"/>
      <c r="RWZ20" s="110"/>
      <c r="RXA20" s="110"/>
      <c r="RXB20" s="110"/>
      <c r="RXC20" s="110"/>
      <c r="RXD20" s="110"/>
      <c r="RXE20" s="110"/>
      <c r="RXF20" s="110"/>
      <c r="RXG20" s="110"/>
      <c r="RXH20" s="110"/>
      <c r="RXI20" s="110"/>
      <c r="RXJ20" s="110"/>
      <c r="RXK20" s="110"/>
      <c r="RXL20" s="110"/>
      <c r="RXM20" s="110"/>
      <c r="RXN20" s="110"/>
      <c r="RXO20" s="110"/>
      <c r="RXP20" s="110"/>
      <c r="RXQ20" s="110"/>
      <c r="RXR20" s="110"/>
      <c r="RXS20" s="110"/>
      <c r="RXT20" s="110"/>
      <c r="RXU20" s="110"/>
      <c r="RXV20" s="110"/>
      <c r="RXW20" s="110"/>
      <c r="RXX20" s="110"/>
      <c r="RXY20" s="110"/>
      <c r="RXZ20" s="110"/>
      <c r="RYA20" s="110"/>
      <c r="RYB20" s="110"/>
      <c r="RYC20" s="110"/>
      <c r="RYD20" s="110"/>
      <c r="RYE20" s="110"/>
      <c r="RYF20" s="110"/>
      <c r="RYG20" s="110"/>
      <c r="RYH20" s="110"/>
      <c r="RYI20" s="110"/>
      <c r="RYJ20" s="110"/>
      <c r="RYK20" s="110"/>
      <c r="RYL20" s="110"/>
      <c r="RYM20" s="110"/>
      <c r="RYN20" s="110"/>
      <c r="RYO20" s="110"/>
      <c r="RYP20" s="110"/>
      <c r="RYQ20" s="110"/>
      <c r="RYR20" s="110"/>
      <c r="RYS20" s="110"/>
      <c r="RYT20" s="110"/>
      <c r="RYU20" s="110"/>
      <c r="RYV20" s="110"/>
      <c r="RYW20" s="110"/>
      <c r="RYX20" s="110"/>
      <c r="RYY20" s="110"/>
      <c r="RYZ20" s="110"/>
      <c r="RZA20" s="110"/>
      <c r="RZB20" s="110"/>
      <c r="RZC20" s="110"/>
      <c r="RZD20" s="110"/>
      <c r="RZE20" s="110"/>
      <c r="RZF20" s="110"/>
      <c r="RZG20" s="110"/>
      <c r="RZH20" s="110"/>
      <c r="RZI20" s="110"/>
      <c r="RZJ20" s="110"/>
      <c r="RZK20" s="110"/>
      <c r="RZL20" s="110"/>
      <c r="RZM20" s="110"/>
      <c r="RZN20" s="110"/>
      <c r="RZO20" s="110"/>
      <c r="RZP20" s="110"/>
      <c r="RZQ20" s="110"/>
      <c r="RZR20" s="110"/>
      <c r="RZS20" s="110"/>
      <c r="RZT20" s="110"/>
      <c r="RZU20" s="110"/>
      <c r="RZV20" s="110"/>
      <c r="RZW20" s="110"/>
      <c r="RZX20" s="110"/>
      <c r="RZY20" s="110"/>
      <c r="RZZ20" s="110"/>
      <c r="SAA20" s="110"/>
      <c r="SAB20" s="110"/>
      <c r="SAC20" s="110"/>
      <c r="SAD20" s="110"/>
      <c r="SAE20" s="110"/>
      <c r="SAF20" s="110"/>
      <c r="SAG20" s="110"/>
      <c r="SAH20" s="110"/>
      <c r="SAI20" s="110"/>
      <c r="SAJ20" s="110"/>
      <c r="SAK20" s="110"/>
      <c r="SAL20" s="110"/>
      <c r="SAM20" s="110"/>
      <c r="SAN20" s="110"/>
      <c r="SAO20" s="110"/>
      <c r="SAP20" s="110"/>
      <c r="SAQ20" s="110"/>
      <c r="SAR20" s="110"/>
      <c r="SAS20" s="110"/>
      <c r="SAT20" s="110"/>
      <c r="SAU20" s="110"/>
      <c r="SAV20" s="110"/>
      <c r="SAW20" s="110"/>
      <c r="SAX20" s="110"/>
      <c r="SAY20" s="110"/>
      <c r="SAZ20" s="110"/>
      <c r="SBA20" s="110"/>
      <c r="SBB20" s="110"/>
      <c r="SBC20" s="110"/>
      <c r="SBD20" s="110"/>
      <c r="SBE20" s="110"/>
      <c r="SBF20" s="110"/>
      <c r="SBG20" s="110"/>
      <c r="SBH20" s="110"/>
      <c r="SBI20" s="110"/>
      <c r="SBJ20" s="110"/>
      <c r="SBK20" s="110"/>
      <c r="SBL20" s="110"/>
      <c r="SBM20" s="110"/>
      <c r="SBN20" s="110"/>
      <c r="SBO20" s="110"/>
      <c r="SBP20" s="110"/>
      <c r="SBQ20" s="110"/>
      <c r="SBR20" s="110"/>
      <c r="SBS20" s="110"/>
      <c r="SBT20" s="110"/>
      <c r="SBU20" s="110"/>
      <c r="SBV20" s="110"/>
      <c r="SBW20" s="110"/>
      <c r="SBX20" s="110"/>
      <c r="SBY20" s="110"/>
      <c r="SBZ20" s="110"/>
      <c r="SCA20" s="110"/>
      <c r="SCB20" s="110"/>
      <c r="SCC20" s="110"/>
      <c r="SCD20" s="110"/>
      <c r="SCE20" s="110"/>
      <c r="SCF20" s="110"/>
      <c r="SCG20" s="110"/>
      <c r="SCH20" s="110"/>
      <c r="SCI20" s="110"/>
      <c r="SCJ20" s="110"/>
      <c r="SCK20" s="110"/>
      <c r="SCL20" s="110"/>
      <c r="SCM20" s="110"/>
      <c r="SCN20" s="110"/>
      <c r="SCO20" s="110"/>
      <c r="SCP20" s="110"/>
      <c r="SCQ20" s="110"/>
      <c r="SCR20" s="110"/>
      <c r="SCS20" s="110"/>
      <c r="SCT20" s="110"/>
      <c r="SCU20" s="110"/>
      <c r="SCV20" s="110"/>
      <c r="SCW20" s="110"/>
      <c r="SCX20" s="110"/>
      <c r="SCY20" s="110"/>
      <c r="SCZ20" s="110"/>
      <c r="SDA20" s="110"/>
      <c r="SDB20" s="110"/>
      <c r="SDC20" s="110"/>
      <c r="SDD20" s="110"/>
      <c r="SDE20" s="110"/>
      <c r="SDF20" s="110"/>
      <c r="SDG20" s="110"/>
      <c r="SDH20" s="110"/>
      <c r="SDI20" s="110"/>
      <c r="SDJ20" s="110"/>
      <c r="SDK20" s="110"/>
      <c r="SDL20" s="110"/>
      <c r="SDM20" s="110"/>
      <c r="SDN20" s="110"/>
      <c r="SDO20" s="110"/>
      <c r="SDP20" s="110"/>
      <c r="SDQ20" s="110"/>
      <c r="SDR20" s="110"/>
      <c r="SDS20" s="110"/>
      <c r="SDT20" s="110"/>
      <c r="SDU20" s="110"/>
      <c r="SDV20" s="110"/>
      <c r="SDW20" s="110"/>
      <c r="SDX20" s="110"/>
      <c r="SDY20" s="110"/>
      <c r="SDZ20" s="110"/>
      <c r="SEA20" s="110"/>
      <c r="SEB20" s="110"/>
      <c r="SEC20" s="110"/>
      <c r="SED20" s="110"/>
      <c r="SEE20" s="110"/>
      <c r="SEF20" s="110"/>
      <c r="SEG20" s="110"/>
      <c r="SEH20" s="110"/>
      <c r="SEI20" s="110"/>
      <c r="SEJ20" s="110"/>
      <c r="SEK20" s="110"/>
      <c r="SEL20" s="110"/>
      <c r="SEM20" s="110"/>
      <c r="SEN20" s="110"/>
      <c r="SEO20" s="110"/>
      <c r="SEP20" s="110"/>
      <c r="SEQ20" s="110"/>
      <c r="SER20" s="110"/>
      <c r="SES20" s="110"/>
      <c r="SET20" s="110"/>
      <c r="SEU20" s="110"/>
      <c r="SEV20" s="110"/>
      <c r="SEW20" s="110"/>
      <c r="SEX20" s="110"/>
      <c r="SEY20" s="110"/>
      <c r="SEZ20" s="110"/>
      <c r="SFA20" s="110"/>
      <c r="SFB20" s="110"/>
      <c r="SFC20" s="110"/>
      <c r="SFD20" s="110"/>
      <c r="SFE20" s="110"/>
      <c r="SFF20" s="110"/>
      <c r="SFG20" s="110"/>
      <c r="SFH20" s="110"/>
      <c r="SFI20" s="110"/>
      <c r="SFJ20" s="110"/>
      <c r="SFK20" s="110"/>
      <c r="SFL20" s="110"/>
      <c r="SFM20" s="110"/>
      <c r="SFN20" s="110"/>
      <c r="SFO20" s="110"/>
      <c r="SFP20" s="110"/>
      <c r="SFQ20" s="110"/>
      <c r="SFR20" s="110"/>
      <c r="SFS20" s="110"/>
      <c r="SFT20" s="110"/>
      <c r="SFU20" s="110"/>
      <c r="SFV20" s="110"/>
      <c r="SFW20" s="110"/>
      <c r="SFX20" s="110"/>
      <c r="SFY20" s="110"/>
      <c r="SFZ20" s="110"/>
      <c r="SGA20" s="110"/>
      <c r="SGB20" s="110"/>
      <c r="SGC20" s="110"/>
      <c r="SGD20" s="110"/>
      <c r="SGE20" s="110"/>
      <c r="SGF20" s="110"/>
      <c r="SGG20" s="110"/>
      <c r="SGH20" s="110"/>
      <c r="SGI20" s="110"/>
      <c r="SGJ20" s="110"/>
      <c r="SGK20" s="110"/>
      <c r="SGL20" s="110"/>
      <c r="SGM20" s="110"/>
      <c r="SGN20" s="110"/>
      <c r="SGO20" s="110"/>
      <c r="SGP20" s="110"/>
      <c r="SGQ20" s="110"/>
      <c r="SGR20" s="110"/>
      <c r="SGS20" s="110"/>
      <c r="SGT20" s="110"/>
      <c r="SGU20" s="110"/>
      <c r="SGV20" s="110"/>
      <c r="SGW20" s="110"/>
      <c r="SGX20" s="110"/>
      <c r="SGY20" s="110"/>
      <c r="SGZ20" s="110"/>
      <c r="SHA20" s="110"/>
      <c r="SHB20" s="110"/>
      <c r="SHC20" s="110"/>
      <c r="SHD20" s="110"/>
      <c r="SHE20" s="110"/>
      <c r="SHF20" s="110"/>
      <c r="SHG20" s="110"/>
      <c r="SHH20" s="110"/>
      <c r="SHI20" s="110"/>
      <c r="SHJ20" s="110"/>
      <c r="SHK20" s="110"/>
      <c r="SHL20" s="110"/>
      <c r="SHM20" s="110"/>
      <c r="SHN20" s="110"/>
      <c r="SHO20" s="110"/>
      <c r="SHP20" s="110"/>
      <c r="SHQ20" s="110"/>
      <c r="SHR20" s="110"/>
      <c r="SHS20" s="110"/>
      <c r="SHT20" s="110"/>
      <c r="SHU20" s="110"/>
      <c r="SHV20" s="110"/>
      <c r="SHW20" s="110"/>
      <c r="SHX20" s="110"/>
      <c r="SHY20" s="110"/>
      <c r="SHZ20" s="110"/>
      <c r="SIA20" s="110"/>
      <c r="SIB20" s="110"/>
      <c r="SIC20" s="110"/>
      <c r="SID20" s="110"/>
      <c r="SIE20" s="110"/>
      <c r="SIF20" s="110"/>
      <c r="SIG20" s="110"/>
      <c r="SIH20" s="110"/>
      <c r="SII20" s="110"/>
      <c r="SIJ20" s="110"/>
      <c r="SIK20" s="110"/>
      <c r="SIL20" s="110"/>
      <c r="SIM20" s="110"/>
      <c r="SIN20" s="110"/>
      <c r="SIO20" s="110"/>
      <c r="SIP20" s="110"/>
      <c r="SIQ20" s="110"/>
      <c r="SIR20" s="110"/>
      <c r="SIS20" s="110"/>
      <c r="SIT20" s="110"/>
      <c r="SIU20" s="110"/>
      <c r="SIV20" s="110"/>
      <c r="SIW20" s="110"/>
      <c r="SIX20" s="110"/>
      <c r="SIY20" s="110"/>
      <c r="SIZ20" s="110"/>
      <c r="SJA20" s="110"/>
      <c r="SJB20" s="110"/>
      <c r="SJC20" s="110"/>
      <c r="SJD20" s="110"/>
      <c r="SJE20" s="110"/>
      <c r="SJF20" s="110"/>
      <c r="SJG20" s="110"/>
      <c r="SJH20" s="110"/>
      <c r="SJI20" s="110"/>
      <c r="SJJ20" s="110"/>
      <c r="SJK20" s="110"/>
      <c r="SJL20" s="110"/>
      <c r="SJM20" s="110"/>
      <c r="SJN20" s="110"/>
      <c r="SJO20" s="110"/>
      <c r="SJP20" s="110"/>
      <c r="SJQ20" s="110"/>
      <c r="SJR20" s="110"/>
      <c r="SJS20" s="110"/>
      <c r="SJT20" s="110"/>
      <c r="SJU20" s="110"/>
      <c r="SJV20" s="110"/>
      <c r="SJW20" s="110"/>
      <c r="SJX20" s="110"/>
      <c r="SJY20" s="110"/>
      <c r="SJZ20" s="110"/>
      <c r="SKA20" s="110"/>
      <c r="SKB20" s="110"/>
      <c r="SKC20" s="110"/>
      <c r="SKD20" s="110"/>
      <c r="SKE20" s="110"/>
      <c r="SKF20" s="110"/>
      <c r="SKG20" s="110"/>
      <c r="SKH20" s="110"/>
      <c r="SKI20" s="110"/>
      <c r="SKJ20" s="110"/>
      <c r="SKK20" s="110"/>
      <c r="SKL20" s="110"/>
      <c r="SKM20" s="110"/>
      <c r="SKN20" s="110"/>
      <c r="SKO20" s="110"/>
      <c r="SKP20" s="110"/>
      <c r="SKQ20" s="110"/>
      <c r="SKR20" s="110"/>
      <c r="SKS20" s="110"/>
      <c r="SKT20" s="110"/>
      <c r="SKU20" s="110"/>
      <c r="SKV20" s="110"/>
      <c r="SKW20" s="110"/>
      <c r="SKX20" s="110"/>
      <c r="SKY20" s="110"/>
      <c r="SKZ20" s="110"/>
      <c r="SLA20" s="110"/>
      <c r="SLB20" s="110"/>
      <c r="SLC20" s="110"/>
      <c r="SLD20" s="110"/>
      <c r="SLE20" s="110"/>
      <c r="SLF20" s="110"/>
      <c r="SLG20" s="110"/>
      <c r="SLH20" s="110"/>
      <c r="SLI20" s="110"/>
      <c r="SLJ20" s="110"/>
      <c r="SLK20" s="110"/>
      <c r="SLL20" s="110"/>
      <c r="SLM20" s="110"/>
      <c r="SLN20" s="110"/>
      <c r="SLO20" s="110"/>
      <c r="SLP20" s="110"/>
      <c r="SLQ20" s="110"/>
      <c r="SLR20" s="110"/>
      <c r="SLS20" s="110"/>
      <c r="SLT20" s="110"/>
      <c r="SLU20" s="110"/>
      <c r="SLV20" s="110"/>
      <c r="SLW20" s="110"/>
      <c r="SLX20" s="110"/>
      <c r="SLY20" s="110"/>
      <c r="SLZ20" s="110"/>
      <c r="SMA20" s="110"/>
      <c r="SMB20" s="110"/>
      <c r="SMC20" s="110"/>
      <c r="SMD20" s="110"/>
      <c r="SME20" s="110"/>
      <c r="SMF20" s="110"/>
      <c r="SMG20" s="110"/>
      <c r="SMH20" s="110"/>
      <c r="SMI20" s="110"/>
      <c r="SMJ20" s="110"/>
      <c r="SMK20" s="110"/>
      <c r="SML20" s="110"/>
      <c r="SMM20" s="110"/>
      <c r="SMN20" s="110"/>
      <c r="SMO20" s="110"/>
      <c r="SMP20" s="110"/>
      <c r="SMQ20" s="110"/>
      <c r="SMR20" s="110"/>
      <c r="SMS20" s="110"/>
      <c r="SMT20" s="110"/>
      <c r="SMU20" s="110"/>
      <c r="SMV20" s="110"/>
      <c r="SMW20" s="110"/>
      <c r="SMX20" s="110"/>
      <c r="SMY20" s="110"/>
      <c r="SMZ20" s="110"/>
      <c r="SNA20" s="110"/>
      <c r="SNB20" s="110"/>
      <c r="SNC20" s="110"/>
      <c r="SND20" s="110"/>
      <c r="SNE20" s="110"/>
      <c r="SNF20" s="110"/>
      <c r="SNG20" s="110"/>
      <c r="SNH20" s="110"/>
      <c r="SNI20" s="110"/>
      <c r="SNJ20" s="110"/>
      <c r="SNK20" s="110"/>
      <c r="SNL20" s="110"/>
      <c r="SNM20" s="110"/>
      <c r="SNN20" s="110"/>
      <c r="SNO20" s="110"/>
      <c r="SNP20" s="110"/>
      <c r="SNQ20" s="110"/>
      <c r="SNR20" s="110"/>
      <c r="SNS20" s="110"/>
      <c r="SNT20" s="110"/>
      <c r="SNU20" s="110"/>
      <c r="SNV20" s="110"/>
      <c r="SNW20" s="110"/>
      <c r="SNX20" s="110"/>
      <c r="SNY20" s="110"/>
      <c r="SNZ20" s="110"/>
      <c r="SOA20" s="110"/>
      <c r="SOB20" s="110"/>
      <c r="SOC20" s="110"/>
      <c r="SOD20" s="110"/>
      <c r="SOE20" s="110"/>
      <c r="SOF20" s="110"/>
      <c r="SOG20" s="110"/>
      <c r="SOH20" s="110"/>
      <c r="SOI20" s="110"/>
      <c r="SOJ20" s="110"/>
      <c r="SOK20" s="110"/>
      <c r="SOL20" s="110"/>
      <c r="SOM20" s="110"/>
      <c r="SON20" s="110"/>
      <c r="SOO20" s="110"/>
      <c r="SOP20" s="110"/>
      <c r="SOQ20" s="110"/>
      <c r="SOR20" s="110"/>
      <c r="SOS20" s="110"/>
      <c r="SOT20" s="110"/>
      <c r="SOU20" s="110"/>
      <c r="SOV20" s="110"/>
      <c r="SOW20" s="110"/>
      <c r="SOX20" s="110"/>
      <c r="SOY20" s="110"/>
      <c r="SOZ20" s="110"/>
      <c r="SPA20" s="110"/>
      <c r="SPB20" s="110"/>
      <c r="SPC20" s="110"/>
      <c r="SPD20" s="110"/>
      <c r="SPE20" s="110"/>
      <c r="SPF20" s="110"/>
      <c r="SPG20" s="110"/>
      <c r="SPH20" s="110"/>
      <c r="SPI20" s="110"/>
      <c r="SPJ20" s="110"/>
      <c r="SPK20" s="110"/>
      <c r="SPL20" s="110"/>
      <c r="SPM20" s="110"/>
      <c r="SPN20" s="110"/>
      <c r="SPO20" s="110"/>
      <c r="SPP20" s="110"/>
      <c r="SPQ20" s="110"/>
      <c r="SPR20" s="110"/>
      <c r="SPS20" s="110"/>
      <c r="SPT20" s="110"/>
      <c r="SPU20" s="110"/>
      <c r="SPV20" s="110"/>
      <c r="SPW20" s="110"/>
      <c r="SPX20" s="110"/>
      <c r="SPY20" s="110"/>
      <c r="SPZ20" s="110"/>
      <c r="SQA20" s="110"/>
      <c r="SQB20" s="110"/>
      <c r="SQC20" s="110"/>
      <c r="SQD20" s="110"/>
      <c r="SQE20" s="110"/>
      <c r="SQF20" s="110"/>
      <c r="SQG20" s="110"/>
      <c r="SQH20" s="110"/>
      <c r="SQI20" s="110"/>
      <c r="SQJ20" s="110"/>
      <c r="SQK20" s="110"/>
      <c r="SQL20" s="110"/>
      <c r="SQM20" s="110"/>
      <c r="SQN20" s="110"/>
      <c r="SQO20" s="110"/>
      <c r="SQP20" s="110"/>
      <c r="SQQ20" s="110"/>
      <c r="SQR20" s="110"/>
      <c r="SQS20" s="110"/>
      <c r="SQT20" s="110"/>
      <c r="SQU20" s="110"/>
      <c r="SQV20" s="110"/>
      <c r="SQW20" s="110"/>
      <c r="SQX20" s="110"/>
      <c r="SQY20" s="110"/>
      <c r="SQZ20" s="110"/>
      <c r="SRA20" s="110"/>
      <c r="SRB20" s="110"/>
      <c r="SRC20" s="110"/>
      <c r="SRD20" s="110"/>
      <c r="SRE20" s="110"/>
      <c r="SRF20" s="110"/>
      <c r="SRG20" s="110"/>
      <c r="SRH20" s="110"/>
      <c r="SRI20" s="110"/>
      <c r="SRJ20" s="110"/>
      <c r="SRK20" s="110"/>
      <c r="SRL20" s="110"/>
      <c r="SRM20" s="110"/>
      <c r="SRN20" s="110"/>
      <c r="SRO20" s="110"/>
      <c r="SRP20" s="110"/>
      <c r="SRQ20" s="110"/>
      <c r="SRR20" s="110"/>
      <c r="SRS20" s="110"/>
      <c r="SRT20" s="110"/>
      <c r="SRU20" s="110"/>
      <c r="SRV20" s="110"/>
      <c r="SRW20" s="110"/>
      <c r="SRX20" s="110"/>
      <c r="SRY20" s="110"/>
      <c r="SRZ20" s="110"/>
      <c r="SSA20" s="110"/>
      <c r="SSB20" s="110"/>
      <c r="SSC20" s="110"/>
      <c r="SSD20" s="110"/>
      <c r="SSE20" s="110"/>
      <c r="SSF20" s="110"/>
      <c r="SSG20" s="110"/>
      <c r="SSH20" s="110"/>
      <c r="SSI20" s="110"/>
      <c r="SSJ20" s="110"/>
      <c r="SSK20" s="110"/>
      <c r="SSL20" s="110"/>
      <c r="SSM20" s="110"/>
      <c r="SSN20" s="110"/>
      <c r="SSO20" s="110"/>
      <c r="SSP20" s="110"/>
      <c r="SSQ20" s="110"/>
      <c r="SSR20" s="110"/>
      <c r="SSS20" s="110"/>
      <c r="SST20" s="110"/>
      <c r="SSU20" s="110"/>
      <c r="SSV20" s="110"/>
      <c r="SSW20" s="110"/>
      <c r="SSX20" s="110"/>
      <c r="SSY20" s="110"/>
      <c r="SSZ20" s="110"/>
      <c r="STA20" s="110"/>
      <c r="STB20" s="110"/>
      <c r="STC20" s="110"/>
      <c r="STD20" s="110"/>
      <c r="STE20" s="110"/>
      <c r="STF20" s="110"/>
      <c r="STG20" s="110"/>
      <c r="STH20" s="110"/>
      <c r="STI20" s="110"/>
      <c r="STJ20" s="110"/>
      <c r="STK20" s="110"/>
      <c r="STL20" s="110"/>
      <c r="STM20" s="110"/>
      <c r="STN20" s="110"/>
      <c r="STO20" s="110"/>
      <c r="STP20" s="110"/>
      <c r="STQ20" s="110"/>
      <c r="STR20" s="110"/>
      <c r="STS20" s="110"/>
      <c r="STT20" s="110"/>
      <c r="STU20" s="110"/>
      <c r="STV20" s="110"/>
      <c r="STW20" s="110"/>
      <c r="STX20" s="110"/>
      <c r="STY20" s="110"/>
      <c r="STZ20" s="110"/>
      <c r="SUA20" s="110"/>
      <c r="SUB20" s="110"/>
      <c r="SUC20" s="110"/>
      <c r="SUD20" s="110"/>
      <c r="SUE20" s="110"/>
      <c r="SUF20" s="110"/>
      <c r="SUG20" s="110"/>
      <c r="SUH20" s="110"/>
      <c r="SUI20" s="110"/>
      <c r="SUJ20" s="110"/>
      <c r="SUK20" s="110"/>
      <c r="SUL20" s="110"/>
      <c r="SUM20" s="110"/>
      <c r="SUN20" s="110"/>
      <c r="SUO20" s="110"/>
      <c r="SUP20" s="110"/>
      <c r="SUQ20" s="110"/>
      <c r="SUR20" s="110"/>
      <c r="SUS20" s="110"/>
      <c r="SUT20" s="110"/>
      <c r="SUU20" s="110"/>
      <c r="SUV20" s="110"/>
      <c r="SUW20" s="110"/>
      <c r="SUX20" s="110"/>
      <c r="SUY20" s="110"/>
      <c r="SUZ20" s="110"/>
      <c r="SVA20" s="110"/>
      <c r="SVB20" s="110"/>
      <c r="SVC20" s="110"/>
      <c r="SVD20" s="110"/>
      <c r="SVE20" s="110"/>
      <c r="SVF20" s="110"/>
      <c r="SVG20" s="110"/>
      <c r="SVH20" s="110"/>
      <c r="SVI20" s="110"/>
      <c r="SVJ20" s="110"/>
      <c r="SVK20" s="110"/>
      <c r="SVL20" s="110"/>
      <c r="SVM20" s="110"/>
      <c r="SVN20" s="110"/>
      <c r="SVO20" s="110"/>
      <c r="SVP20" s="110"/>
      <c r="SVQ20" s="110"/>
      <c r="SVR20" s="110"/>
      <c r="SVS20" s="110"/>
      <c r="SVT20" s="110"/>
      <c r="SVU20" s="110"/>
      <c r="SVV20" s="110"/>
      <c r="SVW20" s="110"/>
      <c r="SVX20" s="110"/>
      <c r="SVY20" s="110"/>
      <c r="SVZ20" s="110"/>
      <c r="SWA20" s="110"/>
      <c r="SWB20" s="110"/>
      <c r="SWC20" s="110"/>
      <c r="SWD20" s="110"/>
      <c r="SWE20" s="110"/>
      <c r="SWF20" s="110"/>
      <c r="SWG20" s="110"/>
      <c r="SWH20" s="110"/>
      <c r="SWI20" s="110"/>
      <c r="SWJ20" s="110"/>
      <c r="SWK20" s="110"/>
      <c r="SWL20" s="110"/>
      <c r="SWM20" s="110"/>
      <c r="SWN20" s="110"/>
      <c r="SWO20" s="110"/>
      <c r="SWP20" s="110"/>
      <c r="SWQ20" s="110"/>
      <c r="SWR20" s="110"/>
      <c r="SWS20" s="110"/>
      <c r="SWT20" s="110"/>
      <c r="SWU20" s="110"/>
      <c r="SWV20" s="110"/>
      <c r="SWW20" s="110"/>
      <c r="SWX20" s="110"/>
      <c r="SWY20" s="110"/>
      <c r="SWZ20" s="110"/>
      <c r="SXA20" s="110"/>
      <c r="SXB20" s="110"/>
      <c r="SXC20" s="110"/>
      <c r="SXD20" s="110"/>
      <c r="SXE20" s="110"/>
      <c r="SXF20" s="110"/>
      <c r="SXG20" s="110"/>
      <c r="SXH20" s="110"/>
      <c r="SXI20" s="110"/>
      <c r="SXJ20" s="110"/>
      <c r="SXK20" s="110"/>
      <c r="SXL20" s="110"/>
      <c r="SXM20" s="110"/>
      <c r="SXN20" s="110"/>
      <c r="SXO20" s="110"/>
      <c r="SXP20" s="110"/>
      <c r="SXQ20" s="110"/>
      <c r="SXR20" s="110"/>
      <c r="SXS20" s="110"/>
      <c r="SXT20" s="110"/>
      <c r="SXU20" s="110"/>
      <c r="SXV20" s="110"/>
      <c r="SXW20" s="110"/>
      <c r="SXX20" s="110"/>
      <c r="SXY20" s="110"/>
      <c r="SXZ20" s="110"/>
      <c r="SYA20" s="110"/>
      <c r="SYB20" s="110"/>
      <c r="SYC20" s="110"/>
      <c r="SYD20" s="110"/>
      <c r="SYE20" s="110"/>
      <c r="SYF20" s="110"/>
      <c r="SYG20" s="110"/>
      <c r="SYH20" s="110"/>
      <c r="SYI20" s="110"/>
      <c r="SYJ20" s="110"/>
      <c r="SYK20" s="110"/>
      <c r="SYL20" s="110"/>
      <c r="SYM20" s="110"/>
      <c r="SYN20" s="110"/>
      <c r="SYO20" s="110"/>
      <c r="SYP20" s="110"/>
      <c r="SYQ20" s="110"/>
      <c r="SYR20" s="110"/>
      <c r="SYS20" s="110"/>
      <c r="SYT20" s="110"/>
      <c r="SYU20" s="110"/>
      <c r="SYV20" s="110"/>
      <c r="SYW20" s="110"/>
      <c r="SYX20" s="110"/>
      <c r="SYY20" s="110"/>
      <c r="SYZ20" s="110"/>
      <c r="SZA20" s="110"/>
      <c r="SZB20" s="110"/>
      <c r="SZC20" s="110"/>
      <c r="SZD20" s="110"/>
      <c r="SZE20" s="110"/>
      <c r="SZF20" s="110"/>
      <c r="SZG20" s="110"/>
      <c r="SZH20" s="110"/>
      <c r="SZI20" s="110"/>
      <c r="SZJ20" s="110"/>
      <c r="SZK20" s="110"/>
      <c r="SZL20" s="110"/>
      <c r="SZM20" s="110"/>
      <c r="SZN20" s="110"/>
      <c r="SZO20" s="110"/>
      <c r="SZP20" s="110"/>
      <c r="SZQ20" s="110"/>
      <c r="SZR20" s="110"/>
      <c r="SZS20" s="110"/>
      <c r="SZT20" s="110"/>
      <c r="SZU20" s="110"/>
      <c r="SZV20" s="110"/>
      <c r="SZW20" s="110"/>
      <c r="SZX20" s="110"/>
      <c r="SZY20" s="110"/>
      <c r="SZZ20" s="110"/>
      <c r="TAA20" s="110"/>
      <c r="TAB20" s="110"/>
      <c r="TAC20" s="110"/>
      <c r="TAD20" s="110"/>
      <c r="TAE20" s="110"/>
      <c r="TAF20" s="110"/>
      <c r="TAG20" s="110"/>
      <c r="TAH20" s="110"/>
      <c r="TAI20" s="110"/>
      <c r="TAJ20" s="110"/>
      <c r="TAK20" s="110"/>
      <c r="TAL20" s="110"/>
      <c r="TAM20" s="110"/>
      <c r="TAN20" s="110"/>
      <c r="TAO20" s="110"/>
      <c r="TAP20" s="110"/>
      <c r="TAQ20" s="110"/>
      <c r="TAR20" s="110"/>
      <c r="TAS20" s="110"/>
      <c r="TAT20" s="110"/>
      <c r="TAU20" s="110"/>
      <c r="TAV20" s="110"/>
      <c r="TAW20" s="110"/>
      <c r="TAX20" s="110"/>
      <c r="TAY20" s="110"/>
      <c r="TAZ20" s="110"/>
      <c r="TBA20" s="110"/>
      <c r="TBB20" s="110"/>
      <c r="TBC20" s="110"/>
      <c r="TBD20" s="110"/>
      <c r="TBE20" s="110"/>
      <c r="TBF20" s="110"/>
      <c r="TBG20" s="110"/>
      <c r="TBH20" s="110"/>
      <c r="TBI20" s="110"/>
      <c r="TBJ20" s="110"/>
      <c r="TBK20" s="110"/>
      <c r="TBL20" s="110"/>
      <c r="TBM20" s="110"/>
      <c r="TBN20" s="110"/>
      <c r="TBO20" s="110"/>
      <c r="TBP20" s="110"/>
      <c r="TBQ20" s="110"/>
      <c r="TBR20" s="110"/>
      <c r="TBS20" s="110"/>
      <c r="TBT20" s="110"/>
      <c r="TBU20" s="110"/>
      <c r="TBV20" s="110"/>
      <c r="TBW20" s="110"/>
      <c r="TBX20" s="110"/>
      <c r="TBY20" s="110"/>
      <c r="TBZ20" s="110"/>
      <c r="TCA20" s="110"/>
      <c r="TCB20" s="110"/>
      <c r="TCC20" s="110"/>
      <c r="TCD20" s="110"/>
      <c r="TCE20" s="110"/>
      <c r="TCF20" s="110"/>
      <c r="TCG20" s="110"/>
      <c r="TCH20" s="110"/>
      <c r="TCI20" s="110"/>
      <c r="TCJ20" s="110"/>
      <c r="TCK20" s="110"/>
      <c r="TCL20" s="110"/>
      <c r="TCM20" s="110"/>
      <c r="TCN20" s="110"/>
      <c r="TCO20" s="110"/>
      <c r="TCP20" s="110"/>
      <c r="TCQ20" s="110"/>
      <c r="TCR20" s="110"/>
      <c r="TCS20" s="110"/>
      <c r="TCT20" s="110"/>
      <c r="TCU20" s="110"/>
      <c r="TCV20" s="110"/>
      <c r="TCW20" s="110"/>
      <c r="TCX20" s="110"/>
      <c r="TCY20" s="110"/>
      <c r="TCZ20" s="110"/>
      <c r="TDA20" s="110"/>
      <c r="TDB20" s="110"/>
      <c r="TDC20" s="110"/>
      <c r="TDD20" s="110"/>
      <c r="TDE20" s="110"/>
      <c r="TDF20" s="110"/>
      <c r="TDG20" s="110"/>
      <c r="TDH20" s="110"/>
      <c r="TDI20" s="110"/>
      <c r="TDJ20" s="110"/>
      <c r="TDK20" s="110"/>
      <c r="TDL20" s="110"/>
      <c r="TDM20" s="110"/>
      <c r="TDN20" s="110"/>
      <c r="TDO20" s="110"/>
      <c r="TDP20" s="110"/>
      <c r="TDQ20" s="110"/>
      <c r="TDR20" s="110"/>
      <c r="TDS20" s="110"/>
      <c r="TDT20" s="110"/>
      <c r="TDU20" s="110"/>
      <c r="TDV20" s="110"/>
      <c r="TDW20" s="110"/>
      <c r="TDX20" s="110"/>
      <c r="TDY20" s="110"/>
      <c r="TDZ20" s="110"/>
      <c r="TEA20" s="110"/>
      <c r="TEB20" s="110"/>
      <c r="TEC20" s="110"/>
      <c r="TED20" s="110"/>
      <c r="TEE20" s="110"/>
      <c r="TEF20" s="110"/>
      <c r="TEG20" s="110"/>
      <c r="TEH20" s="110"/>
      <c r="TEI20" s="110"/>
      <c r="TEJ20" s="110"/>
      <c r="TEK20" s="110"/>
      <c r="TEL20" s="110"/>
      <c r="TEM20" s="110"/>
      <c r="TEN20" s="110"/>
      <c r="TEO20" s="110"/>
      <c r="TEP20" s="110"/>
      <c r="TEQ20" s="110"/>
      <c r="TER20" s="110"/>
      <c r="TES20" s="110"/>
      <c r="TET20" s="110"/>
      <c r="TEU20" s="110"/>
      <c r="TEV20" s="110"/>
      <c r="TEW20" s="110"/>
      <c r="TEX20" s="110"/>
      <c r="TEY20" s="110"/>
      <c r="TEZ20" s="110"/>
      <c r="TFA20" s="110"/>
      <c r="TFB20" s="110"/>
      <c r="TFC20" s="110"/>
      <c r="TFD20" s="110"/>
      <c r="TFE20" s="110"/>
      <c r="TFF20" s="110"/>
      <c r="TFG20" s="110"/>
      <c r="TFH20" s="110"/>
      <c r="TFI20" s="110"/>
      <c r="TFJ20" s="110"/>
      <c r="TFK20" s="110"/>
      <c r="TFL20" s="110"/>
      <c r="TFM20" s="110"/>
      <c r="TFN20" s="110"/>
      <c r="TFO20" s="110"/>
      <c r="TFP20" s="110"/>
      <c r="TFQ20" s="110"/>
      <c r="TFR20" s="110"/>
      <c r="TFS20" s="110"/>
      <c r="TFT20" s="110"/>
      <c r="TFU20" s="110"/>
      <c r="TFV20" s="110"/>
      <c r="TFW20" s="110"/>
      <c r="TFX20" s="110"/>
      <c r="TFY20" s="110"/>
      <c r="TFZ20" s="110"/>
      <c r="TGA20" s="110"/>
      <c r="TGB20" s="110"/>
      <c r="TGC20" s="110"/>
      <c r="TGD20" s="110"/>
      <c r="TGE20" s="110"/>
      <c r="TGF20" s="110"/>
      <c r="TGG20" s="110"/>
      <c r="TGH20" s="110"/>
      <c r="TGI20" s="110"/>
      <c r="TGJ20" s="110"/>
      <c r="TGK20" s="110"/>
      <c r="TGL20" s="110"/>
      <c r="TGM20" s="110"/>
      <c r="TGN20" s="110"/>
      <c r="TGO20" s="110"/>
      <c r="TGP20" s="110"/>
      <c r="TGQ20" s="110"/>
      <c r="TGR20" s="110"/>
      <c r="TGS20" s="110"/>
      <c r="TGT20" s="110"/>
      <c r="TGU20" s="110"/>
      <c r="TGV20" s="110"/>
      <c r="TGW20" s="110"/>
      <c r="TGX20" s="110"/>
      <c r="TGY20" s="110"/>
      <c r="TGZ20" s="110"/>
      <c r="THA20" s="110"/>
      <c r="THB20" s="110"/>
      <c r="THC20" s="110"/>
      <c r="THD20" s="110"/>
      <c r="THE20" s="110"/>
      <c r="THF20" s="110"/>
      <c r="THG20" s="110"/>
      <c r="THH20" s="110"/>
      <c r="THI20" s="110"/>
      <c r="THJ20" s="110"/>
      <c r="THK20" s="110"/>
      <c r="THL20" s="110"/>
      <c r="THM20" s="110"/>
      <c r="THN20" s="110"/>
      <c r="THO20" s="110"/>
      <c r="THP20" s="110"/>
      <c r="THQ20" s="110"/>
      <c r="THR20" s="110"/>
      <c r="THS20" s="110"/>
      <c r="THT20" s="110"/>
      <c r="THU20" s="110"/>
      <c r="THV20" s="110"/>
      <c r="THW20" s="110"/>
      <c r="THX20" s="110"/>
      <c r="THY20" s="110"/>
      <c r="THZ20" s="110"/>
      <c r="TIA20" s="110"/>
      <c r="TIB20" s="110"/>
      <c r="TIC20" s="110"/>
      <c r="TID20" s="110"/>
      <c r="TIE20" s="110"/>
      <c r="TIF20" s="110"/>
      <c r="TIG20" s="110"/>
      <c r="TIH20" s="110"/>
      <c r="TII20" s="110"/>
      <c r="TIJ20" s="110"/>
      <c r="TIK20" s="110"/>
      <c r="TIL20" s="110"/>
      <c r="TIM20" s="110"/>
      <c r="TIN20" s="110"/>
      <c r="TIO20" s="110"/>
      <c r="TIP20" s="110"/>
      <c r="TIQ20" s="110"/>
      <c r="TIR20" s="110"/>
      <c r="TIS20" s="110"/>
      <c r="TIT20" s="110"/>
      <c r="TIU20" s="110"/>
      <c r="TIV20" s="110"/>
      <c r="TIW20" s="110"/>
      <c r="TIX20" s="110"/>
      <c r="TIY20" s="110"/>
      <c r="TIZ20" s="110"/>
      <c r="TJA20" s="110"/>
      <c r="TJB20" s="110"/>
      <c r="TJC20" s="110"/>
      <c r="TJD20" s="110"/>
      <c r="TJE20" s="110"/>
      <c r="TJF20" s="110"/>
      <c r="TJG20" s="110"/>
      <c r="TJH20" s="110"/>
      <c r="TJI20" s="110"/>
      <c r="TJJ20" s="110"/>
      <c r="TJK20" s="110"/>
      <c r="TJL20" s="110"/>
      <c r="TJM20" s="110"/>
      <c r="TJN20" s="110"/>
      <c r="TJO20" s="110"/>
      <c r="TJP20" s="110"/>
      <c r="TJQ20" s="110"/>
      <c r="TJR20" s="110"/>
      <c r="TJS20" s="110"/>
      <c r="TJT20" s="110"/>
      <c r="TJU20" s="110"/>
      <c r="TJV20" s="110"/>
      <c r="TJW20" s="110"/>
      <c r="TJX20" s="110"/>
      <c r="TJY20" s="110"/>
      <c r="TJZ20" s="110"/>
      <c r="TKA20" s="110"/>
      <c r="TKB20" s="110"/>
      <c r="TKC20" s="110"/>
      <c r="TKD20" s="110"/>
      <c r="TKE20" s="110"/>
      <c r="TKF20" s="110"/>
      <c r="TKG20" s="110"/>
      <c r="TKH20" s="110"/>
      <c r="TKI20" s="110"/>
      <c r="TKJ20" s="110"/>
      <c r="TKK20" s="110"/>
      <c r="TKL20" s="110"/>
      <c r="TKM20" s="110"/>
      <c r="TKN20" s="110"/>
      <c r="TKO20" s="110"/>
      <c r="TKP20" s="110"/>
      <c r="TKQ20" s="110"/>
      <c r="TKR20" s="110"/>
      <c r="TKS20" s="110"/>
      <c r="TKT20" s="110"/>
      <c r="TKU20" s="110"/>
      <c r="TKV20" s="110"/>
      <c r="TKW20" s="110"/>
      <c r="TKX20" s="110"/>
      <c r="TKY20" s="110"/>
      <c r="TKZ20" s="110"/>
      <c r="TLA20" s="110"/>
      <c r="TLB20" s="110"/>
      <c r="TLC20" s="110"/>
      <c r="TLD20" s="110"/>
      <c r="TLE20" s="110"/>
      <c r="TLF20" s="110"/>
      <c r="TLG20" s="110"/>
      <c r="TLH20" s="110"/>
      <c r="TLI20" s="110"/>
      <c r="TLJ20" s="110"/>
      <c r="TLK20" s="110"/>
      <c r="TLL20" s="110"/>
      <c r="TLM20" s="110"/>
      <c r="TLN20" s="110"/>
      <c r="TLO20" s="110"/>
      <c r="TLP20" s="110"/>
      <c r="TLQ20" s="110"/>
      <c r="TLR20" s="110"/>
      <c r="TLS20" s="110"/>
      <c r="TLT20" s="110"/>
      <c r="TLU20" s="110"/>
      <c r="TLV20" s="110"/>
      <c r="TLW20" s="110"/>
      <c r="TLX20" s="110"/>
      <c r="TLY20" s="110"/>
      <c r="TLZ20" s="110"/>
      <c r="TMA20" s="110"/>
      <c r="TMB20" s="110"/>
      <c r="TMC20" s="110"/>
      <c r="TMD20" s="110"/>
      <c r="TME20" s="110"/>
      <c r="TMF20" s="110"/>
      <c r="TMG20" s="110"/>
      <c r="TMH20" s="110"/>
      <c r="TMI20" s="110"/>
      <c r="TMJ20" s="110"/>
      <c r="TMK20" s="110"/>
      <c r="TML20" s="110"/>
      <c r="TMM20" s="110"/>
      <c r="TMN20" s="110"/>
      <c r="TMO20" s="110"/>
      <c r="TMP20" s="110"/>
      <c r="TMQ20" s="110"/>
      <c r="TMR20" s="110"/>
      <c r="TMS20" s="110"/>
      <c r="TMT20" s="110"/>
      <c r="TMU20" s="110"/>
      <c r="TMV20" s="110"/>
      <c r="TMW20" s="110"/>
      <c r="TMX20" s="110"/>
      <c r="TMY20" s="110"/>
      <c r="TMZ20" s="110"/>
      <c r="TNA20" s="110"/>
      <c r="TNB20" s="110"/>
      <c r="TNC20" s="110"/>
      <c r="TND20" s="110"/>
      <c r="TNE20" s="110"/>
      <c r="TNF20" s="110"/>
      <c r="TNG20" s="110"/>
      <c r="TNH20" s="110"/>
      <c r="TNI20" s="110"/>
      <c r="TNJ20" s="110"/>
      <c r="TNK20" s="110"/>
      <c r="TNL20" s="110"/>
      <c r="TNM20" s="110"/>
      <c r="TNN20" s="110"/>
      <c r="TNO20" s="110"/>
      <c r="TNP20" s="110"/>
      <c r="TNQ20" s="110"/>
      <c r="TNR20" s="110"/>
      <c r="TNS20" s="110"/>
      <c r="TNT20" s="110"/>
      <c r="TNU20" s="110"/>
      <c r="TNV20" s="110"/>
      <c r="TNW20" s="110"/>
      <c r="TNX20" s="110"/>
      <c r="TNY20" s="110"/>
      <c r="TNZ20" s="110"/>
      <c r="TOA20" s="110"/>
      <c r="TOB20" s="110"/>
      <c r="TOC20" s="110"/>
      <c r="TOD20" s="110"/>
      <c r="TOE20" s="110"/>
      <c r="TOF20" s="110"/>
      <c r="TOG20" s="110"/>
      <c r="TOH20" s="110"/>
      <c r="TOI20" s="110"/>
      <c r="TOJ20" s="110"/>
      <c r="TOK20" s="110"/>
      <c r="TOL20" s="110"/>
      <c r="TOM20" s="110"/>
      <c r="TON20" s="110"/>
      <c r="TOO20" s="110"/>
      <c r="TOP20" s="110"/>
      <c r="TOQ20" s="110"/>
      <c r="TOR20" s="110"/>
      <c r="TOS20" s="110"/>
      <c r="TOT20" s="110"/>
      <c r="TOU20" s="110"/>
      <c r="TOV20" s="110"/>
      <c r="TOW20" s="110"/>
      <c r="TOX20" s="110"/>
      <c r="TOY20" s="110"/>
      <c r="TOZ20" s="110"/>
      <c r="TPA20" s="110"/>
      <c r="TPB20" s="110"/>
      <c r="TPC20" s="110"/>
      <c r="TPD20" s="110"/>
      <c r="TPE20" s="110"/>
      <c r="TPF20" s="110"/>
      <c r="TPG20" s="110"/>
      <c r="TPH20" s="110"/>
      <c r="TPI20" s="110"/>
      <c r="TPJ20" s="110"/>
      <c r="TPK20" s="110"/>
      <c r="TPL20" s="110"/>
      <c r="TPM20" s="110"/>
      <c r="TPN20" s="110"/>
      <c r="TPO20" s="110"/>
      <c r="TPP20" s="110"/>
      <c r="TPQ20" s="110"/>
      <c r="TPR20" s="110"/>
      <c r="TPS20" s="110"/>
      <c r="TPT20" s="110"/>
      <c r="TPU20" s="110"/>
      <c r="TPV20" s="110"/>
      <c r="TPW20" s="110"/>
      <c r="TPX20" s="110"/>
      <c r="TPY20" s="110"/>
      <c r="TPZ20" s="110"/>
      <c r="TQA20" s="110"/>
      <c r="TQB20" s="110"/>
      <c r="TQC20" s="110"/>
      <c r="TQD20" s="110"/>
      <c r="TQE20" s="110"/>
      <c r="TQF20" s="110"/>
      <c r="TQG20" s="110"/>
      <c r="TQH20" s="110"/>
      <c r="TQI20" s="110"/>
      <c r="TQJ20" s="110"/>
      <c r="TQK20" s="110"/>
      <c r="TQL20" s="110"/>
      <c r="TQM20" s="110"/>
      <c r="TQN20" s="110"/>
      <c r="TQO20" s="110"/>
      <c r="TQP20" s="110"/>
      <c r="TQQ20" s="110"/>
      <c r="TQR20" s="110"/>
      <c r="TQS20" s="110"/>
      <c r="TQT20" s="110"/>
      <c r="TQU20" s="110"/>
      <c r="TQV20" s="110"/>
      <c r="TQW20" s="110"/>
      <c r="TQX20" s="110"/>
      <c r="TQY20" s="110"/>
      <c r="TQZ20" s="110"/>
      <c r="TRA20" s="110"/>
      <c r="TRB20" s="110"/>
      <c r="TRC20" s="110"/>
      <c r="TRD20" s="110"/>
      <c r="TRE20" s="110"/>
      <c r="TRF20" s="110"/>
      <c r="TRG20" s="110"/>
      <c r="TRH20" s="110"/>
      <c r="TRI20" s="110"/>
      <c r="TRJ20" s="110"/>
      <c r="TRK20" s="110"/>
      <c r="TRL20" s="110"/>
      <c r="TRM20" s="110"/>
      <c r="TRN20" s="110"/>
      <c r="TRO20" s="110"/>
      <c r="TRP20" s="110"/>
      <c r="TRQ20" s="110"/>
      <c r="TRR20" s="110"/>
      <c r="TRS20" s="110"/>
      <c r="TRT20" s="110"/>
      <c r="TRU20" s="110"/>
      <c r="TRV20" s="110"/>
      <c r="TRW20" s="110"/>
      <c r="TRX20" s="110"/>
      <c r="TRY20" s="110"/>
      <c r="TRZ20" s="110"/>
      <c r="TSA20" s="110"/>
      <c r="TSB20" s="110"/>
      <c r="TSC20" s="110"/>
      <c r="TSD20" s="110"/>
      <c r="TSE20" s="110"/>
      <c r="TSF20" s="110"/>
      <c r="TSG20" s="110"/>
      <c r="TSH20" s="110"/>
      <c r="TSI20" s="110"/>
      <c r="TSJ20" s="110"/>
      <c r="TSK20" s="110"/>
      <c r="TSL20" s="110"/>
      <c r="TSM20" s="110"/>
      <c r="TSN20" s="110"/>
      <c r="TSO20" s="110"/>
      <c r="TSP20" s="110"/>
      <c r="TSQ20" s="110"/>
      <c r="TSR20" s="110"/>
      <c r="TSS20" s="110"/>
      <c r="TST20" s="110"/>
      <c r="TSU20" s="110"/>
      <c r="TSV20" s="110"/>
      <c r="TSW20" s="110"/>
      <c r="TSX20" s="110"/>
      <c r="TSY20" s="110"/>
      <c r="TSZ20" s="110"/>
      <c r="TTA20" s="110"/>
      <c r="TTB20" s="110"/>
      <c r="TTC20" s="110"/>
      <c r="TTD20" s="110"/>
      <c r="TTE20" s="110"/>
      <c r="TTF20" s="110"/>
      <c r="TTG20" s="110"/>
      <c r="TTH20" s="110"/>
      <c r="TTI20" s="110"/>
      <c r="TTJ20" s="110"/>
      <c r="TTK20" s="110"/>
      <c r="TTL20" s="110"/>
      <c r="TTM20" s="110"/>
      <c r="TTN20" s="110"/>
      <c r="TTO20" s="110"/>
      <c r="TTP20" s="110"/>
      <c r="TTQ20" s="110"/>
      <c r="TTR20" s="110"/>
      <c r="TTS20" s="110"/>
      <c r="TTT20" s="110"/>
      <c r="TTU20" s="110"/>
      <c r="TTV20" s="110"/>
      <c r="TTW20" s="110"/>
      <c r="TTX20" s="110"/>
      <c r="TTY20" s="110"/>
      <c r="TTZ20" s="110"/>
      <c r="TUA20" s="110"/>
      <c r="TUB20" s="110"/>
      <c r="TUC20" s="110"/>
      <c r="TUD20" s="110"/>
      <c r="TUE20" s="110"/>
      <c r="TUF20" s="110"/>
      <c r="TUG20" s="110"/>
      <c r="TUH20" s="110"/>
      <c r="TUI20" s="110"/>
      <c r="TUJ20" s="110"/>
      <c r="TUK20" s="110"/>
      <c r="TUL20" s="110"/>
      <c r="TUM20" s="110"/>
      <c r="TUN20" s="110"/>
      <c r="TUO20" s="110"/>
      <c r="TUP20" s="110"/>
      <c r="TUQ20" s="110"/>
      <c r="TUR20" s="110"/>
      <c r="TUS20" s="110"/>
      <c r="TUT20" s="110"/>
      <c r="TUU20" s="110"/>
      <c r="TUV20" s="110"/>
      <c r="TUW20" s="110"/>
      <c r="TUX20" s="110"/>
      <c r="TUY20" s="110"/>
      <c r="TUZ20" s="110"/>
      <c r="TVA20" s="110"/>
      <c r="TVB20" s="110"/>
      <c r="TVC20" s="110"/>
      <c r="TVD20" s="110"/>
      <c r="TVE20" s="110"/>
      <c r="TVF20" s="110"/>
      <c r="TVG20" s="110"/>
      <c r="TVH20" s="110"/>
      <c r="TVI20" s="110"/>
      <c r="TVJ20" s="110"/>
      <c r="TVK20" s="110"/>
      <c r="TVL20" s="110"/>
      <c r="TVM20" s="110"/>
      <c r="TVN20" s="110"/>
      <c r="TVO20" s="110"/>
      <c r="TVP20" s="110"/>
      <c r="TVQ20" s="110"/>
      <c r="TVR20" s="110"/>
      <c r="TVS20" s="110"/>
      <c r="TVT20" s="110"/>
      <c r="TVU20" s="110"/>
      <c r="TVV20" s="110"/>
      <c r="TVW20" s="110"/>
      <c r="TVX20" s="110"/>
      <c r="TVY20" s="110"/>
      <c r="TVZ20" s="110"/>
      <c r="TWA20" s="110"/>
      <c r="TWB20" s="110"/>
      <c r="TWC20" s="110"/>
      <c r="TWD20" s="110"/>
      <c r="TWE20" s="110"/>
      <c r="TWF20" s="110"/>
      <c r="TWG20" s="110"/>
      <c r="TWH20" s="110"/>
      <c r="TWI20" s="110"/>
      <c r="TWJ20" s="110"/>
      <c r="TWK20" s="110"/>
      <c r="TWL20" s="110"/>
      <c r="TWM20" s="110"/>
      <c r="TWN20" s="110"/>
      <c r="TWO20" s="110"/>
      <c r="TWP20" s="110"/>
      <c r="TWQ20" s="110"/>
      <c r="TWR20" s="110"/>
      <c r="TWS20" s="110"/>
      <c r="TWT20" s="110"/>
      <c r="TWU20" s="110"/>
      <c r="TWV20" s="110"/>
      <c r="TWW20" s="110"/>
      <c r="TWX20" s="110"/>
      <c r="TWY20" s="110"/>
      <c r="TWZ20" s="110"/>
      <c r="TXA20" s="110"/>
      <c r="TXB20" s="110"/>
      <c r="TXC20" s="110"/>
      <c r="TXD20" s="110"/>
      <c r="TXE20" s="110"/>
      <c r="TXF20" s="110"/>
      <c r="TXG20" s="110"/>
      <c r="TXH20" s="110"/>
      <c r="TXI20" s="110"/>
      <c r="TXJ20" s="110"/>
      <c r="TXK20" s="110"/>
      <c r="TXL20" s="110"/>
      <c r="TXM20" s="110"/>
      <c r="TXN20" s="110"/>
      <c r="TXO20" s="110"/>
      <c r="TXP20" s="110"/>
      <c r="TXQ20" s="110"/>
      <c r="TXR20" s="110"/>
      <c r="TXS20" s="110"/>
      <c r="TXT20" s="110"/>
      <c r="TXU20" s="110"/>
      <c r="TXV20" s="110"/>
      <c r="TXW20" s="110"/>
      <c r="TXX20" s="110"/>
      <c r="TXY20" s="110"/>
      <c r="TXZ20" s="110"/>
      <c r="TYA20" s="110"/>
      <c r="TYB20" s="110"/>
      <c r="TYC20" s="110"/>
      <c r="TYD20" s="110"/>
      <c r="TYE20" s="110"/>
      <c r="TYF20" s="110"/>
      <c r="TYG20" s="110"/>
      <c r="TYH20" s="110"/>
      <c r="TYI20" s="110"/>
      <c r="TYJ20" s="110"/>
      <c r="TYK20" s="110"/>
      <c r="TYL20" s="110"/>
      <c r="TYM20" s="110"/>
      <c r="TYN20" s="110"/>
      <c r="TYO20" s="110"/>
      <c r="TYP20" s="110"/>
      <c r="TYQ20" s="110"/>
      <c r="TYR20" s="110"/>
      <c r="TYS20" s="110"/>
      <c r="TYT20" s="110"/>
      <c r="TYU20" s="110"/>
      <c r="TYV20" s="110"/>
      <c r="TYW20" s="110"/>
      <c r="TYX20" s="110"/>
      <c r="TYY20" s="110"/>
      <c r="TYZ20" s="110"/>
      <c r="TZA20" s="110"/>
      <c r="TZB20" s="110"/>
      <c r="TZC20" s="110"/>
      <c r="TZD20" s="110"/>
      <c r="TZE20" s="110"/>
      <c r="TZF20" s="110"/>
      <c r="TZG20" s="110"/>
      <c r="TZH20" s="110"/>
      <c r="TZI20" s="110"/>
      <c r="TZJ20" s="110"/>
      <c r="TZK20" s="110"/>
      <c r="TZL20" s="110"/>
      <c r="TZM20" s="110"/>
      <c r="TZN20" s="110"/>
      <c r="TZO20" s="110"/>
      <c r="TZP20" s="110"/>
      <c r="TZQ20" s="110"/>
      <c r="TZR20" s="110"/>
      <c r="TZS20" s="110"/>
      <c r="TZT20" s="110"/>
      <c r="TZU20" s="110"/>
      <c r="TZV20" s="110"/>
      <c r="TZW20" s="110"/>
      <c r="TZX20" s="110"/>
      <c r="TZY20" s="110"/>
      <c r="TZZ20" s="110"/>
      <c r="UAA20" s="110"/>
      <c r="UAB20" s="110"/>
      <c r="UAC20" s="110"/>
      <c r="UAD20" s="110"/>
      <c r="UAE20" s="110"/>
      <c r="UAF20" s="110"/>
      <c r="UAG20" s="110"/>
      <c r="UAH20" s="110"/>
      <c r="UAI20" s="110"/>
      <c r="UAJ20" s="110"/>
      <c r="UAK20" s="110"/>
      <c r="UAL20" s="110"/>
      <c r="UAM20" s="110"/>
      <c r="UAN20" s="110"/>
      <c r="UAO20" s="110"/>
      <c r="UAP20" s="110"/>
      <c r="UAQ20" s="110"/>
      <c r="UAR20" s="110"/>
      <c r="UAS20" s="110"/>
      <c r="UAT20" s="110"/>
      <c r="UAU20" s="110"/>
      <c r="UAV20" s="110"/>
      <c r="UAW20" s="110"/>
      <c r="UAX20" s="110"/>
      <c r="UAY20" s="110"/>
      <c r="UAZ20" s="110"/>
      <c r="UBA20" s="110"/>
      <c r="UBB20" s="110"/>
      <c r="UBC20" s="110"/>
      <c r="UBD20" s="110"/>
      <c r="UBE20" s="110"/>
      <c r="UBF20" s="110"/>
      <c r="UBG20" s="110"/>
      <c r="UBH20" s="110"/>
      <c r="UBI20" s="110"/>
      <c r="UBJ20" s="110"/>
      <c r="UBK20" s="110"/>
      <c r="UBL20" s="110"/>
      <c r="UBM20" s="110"/>
      <c r="UBN20" s="110"/>
      <c r="UBO20" s="110"/>
      <c r="UBP20" s="110"/>
      <c r="UBQ20" s="110"/>
      <c r="UBR20" s="110"/>
      <c r="UBS20" s="110"/>
      <c r="UBT20" s="110"/>
      <c r="UBU20" s="110"/>
      <c r="UBV20" s="110"/>
      <c r="UBW20" s="110"/>
      <c r="UBX20" s="110"/>
      <c r="UBY20" s="110"/>
      <c r="UBZ20" s="110"/>
      <c r="UCA20" s="110"/>
      <c r="UCB20" s="110"/>
      <c r="UCC20" s="110"/>
      <c r="UCD20" s="110"/>
      <c r="UCE20" s="110"/>
      <c r="UCF20" s="110"/>
      <c r="UCG20" s="110"/>
      <c r="UCH20" s="110"/>
      <c r="UCI20" s="110"/>
      <c r="UCJ20" s="110"/>
      <c r="UCK20" s="110"/>
      <c r="UCL20" s="110"/>
      <c r="UCM20" s="110"/>
      <c r="UCN20" s="110"/>
      <c r="UCO20" s="110"/>
      <c r="UCP20" s="110"/>
      <c r="UCQ20" s="110"/>
      <c r="UCR20" s="110"/>
      <c r="UCS20" s="110"/>
      <c r="UCT20" s="110"/>
      <c r="UCU20" s="110"/>
      <c r="UCV20" s="110"/>
      <c r="UCW20" s="110"/>
      <c r="UCX20" s="110"/>
      <c r="UCY20" s="110"/>
      <c r="UCZ20" s="110"/>
      <c r="UDA20" s="110"/>
      <c r="UDB20" s="110"/>
      <c r="UDC20" s="110"/>
      <c r="UDD20" s="110"/>
      <c r="UDE20" s="110"/>
      <c r="UDF20" s="110"/>
      <c r="UDG20" s="110"/>
      <c r="UDH20" s="110"/>
      <c r="UDI20" s="110"/>
      <c r="UDJ20" s="110"/>
      <c r="UDK20" s="110"/>
      <c r="UDL20" s="110"/>
      <c r="UDM20" s="110"/>
      <c r="UDN20" s="110"/>
      <c r="UDO20" s="110"/>
      <c r="UDP20" s="110"/>
      <c r="UDQ20" s="110"/>
      <c r="UDR20" s="110"/>
      <c r="UDS20" s="110"/>
      <c r="UDT20" s="110"/>
      <c r="UDU20" s="110"/>
      <c r="UDV20" s="110"/>
      <c r="UDW20" s="110"/>
      <c r="UDX20" s="110"/>
      <c r="UDY20" s="110"/>
      <c r="UDZ20" s="110"/>
      <c r="UEA20" s="110"/>
      <c r="UEB20" s="110"/>
      <c r="UEC20" s="110"/>
      <c r="UED20" s="110"/>
      <c r="UEE20" s="110"/>
      <c r="UEF20" s="110"/>
      <c r="UEG20" s="110"/>
      <c r="UEH20" s="110"/>
      <c r="UEI20" s="110"/>
      <c r="UEJ20" s="110"/>
      <c r="UEK20" s="110"/>
      <c r="UEL20" s="110"/>
      <c r="UEM20" s="110"/>
      <c r="UEN20" s="110"/>
      <c r="UEO20" s="110"/>
      <c r="UEP20" s="110"/>
      <c r="UEQ20" s="110"/>
      <c r="UER20" s="110"/>
      <c r="UES20" s="110"/>
      <c r="UET20" s="110"/>
      <c r="UEU20" s="110"/>
      <c r="UEV20" s="110"/>
      <c r="UEW20" s="110"/>
      <c r="UEX20" s="110"/>
      <c r="UEY20" s="110"/>
      <c r="UEZ20" s="110"/>
      <c r="UFA20" s="110"/>
      <c r="UFB20" s="110"/>
      <c r="UFC20" s="110"/>
      <c r="UFD20" s="110"/>
      <c r="UFE20" s="110"/>
      <c r="UFF20" s="110"/>
      <c r="UFG20" s="110"/>
      <c r="UFH20" s="110"/>
      <c r="UFI20" s="110"/>
      <c r="UFJ20" s="110"/>
      <c r="UFK20" s="110"/>
      <c r="UFL20" s="110"/>
      <c r="UFM20" s="110"/>
      <c r="UFN20" s="110"/>
      <c r="UFO20" s="110"/>
      <c r="UFP20" s="110"/>
      <c r="UFQ20" s="110"/>
      <c r="UFR20" s="110"/>
      <c r="UFS20" s="110"/>
      <c r="UFT20" s="110"/>
      <c r="UFU20" s="110"/>
      <c r="UFV20" s="110"/>
      <c r="UFW20" s="110"/>
      <c r="UFX20" s="110"/>
      <c r="UFY20" s="110"/>
      <c r="UFZ20" s="110"/>
      <c r="UGA20" s="110"/>
      <c r="UGB20" s="110"/>
      <c r="UGC20" s="110"/>
      <c r="UGD20" s="110"/>
      <c r="UGE20" s="110"/>
      <c r="UGF20" s="110"/>
      <c r="UGG20" s="110"/>
      <c r="UGH20" s="110"/>
      <c r="UGI20" s="110"/>
      <c r="UGJ20" s="110"/>
      <c r="UGK20" s="110"/>
      <c r="UGL20" s="110"/>
      <c r="UGM20" s="110"/>
      <c r="UGN20" s="110"/>
      <c r="UGO20" s="110"/>
      <c r="UGP20" s="110"/>
      <c r="UGQ20" s="110"/>
      <c r="UGR20" s="110"/>
      <c r="UGS20" s="110"/>
      <c r="UGT20" s="110"/>
      <c r="UGU20" s="110"/>
      <c r="UGV20" s="110"/>
      <c r="UGW20" s="110"/>
      <c r="UGX20" s="110"/>
      <c r="UGY20" s="110"/>
      <c r="UGZ20" s="110"/>
      <c r="UHA20" s="110"/>
      <c r="UHB20" s="110"/>
      <c r="UHC20" s="110"/>
      <c r="UHD20" s="110"/>
      <c r="UHE20" s="110"/>
      <c r="UHF20" s="110"/>
      <c r="UHG20" s="110"/>
      <c r="UHH20" s="110"/>
      <c r="UHI20" s="110"/>
      <c r="UHJ20" s="110"/>
      <c r="UHK20" s="110"/>
      <c r="UHL20" s="110"/>
      <c r="UHM20" s="110"/>
      <c r="UHN20" s="110"/>
      <c r="UHO20" s="110"/>
      <c r="UHP20" s="110"/>
      <c r="UHQ20" s="110"/>
      <c r="UHR20" s="110"/>
      <c r="UHS20" s="110"/>
      <c r="UHT20" s="110"/>
      <c r="UHU20" s="110"/>
      <c r="UHV20" s="110"/>
      <c r="UHW20" s="110"/>
      <c r="UHX20" s="110"/>
      <c r="UHY20" s="110"/>
      <c r="UHZ20" s="110"/>
      <c r="UIA20" s="110"/>
      <c r="UIB20" s="110"/>
      <c r="UIC20" s="110"/>
      <c r="UID20" s="110"/>
      <c r="UIE20" s="110"/>
      <c r="UIF20" s="110"/>
      <c r="UIG20" s="110"/>
      <c r="UIH20" s="110"/>
      <c r="UII20" s="110"/>
      <c r="UIJ20" s="110"/>
      <c r="UIK20" s="110"/>
      <c r="UIL20" s="110"/>
      <c r="UIM20" s="110"/>
      <c r="UIN20" s="110"/>
      <c r="UIO20" s="110"/>
      <c r="UIP20" s="110"/>
      <c r="UIQ20" s="110"/>
      <c r="UIR20" s="110"/>
      <c r="UIS20" s="110"/>
      <c r="UIT20" s="110"/>
      <c r="UIU20" s="110"/>
      <c r="UIV20" s="110"/>
      <c r="UIW20" s="110"/>
      <c r="UIX20" s="110"/>
      <c r="UIY20" s="110"/>
      <c r="UIZ20" s="110"/>
      <c r="UJA20" s="110"/>
      <c r="UJB20" s="110"/>
      <c r="UJC20" s="110"/>
      <c r="UJD20" s="110"/>
      <c r="UJE20" s="110"/>
      <c r="UJF20" s="110"/>
      <c r="UJG20" s="110"/>
      <c r="UJH20" s="110"/>
      <c r="UJI20" s="110"/>
      <c r="UJJ20" s="110"/>
      <c r="UJK20" s="110"/>
      <c r="UJL20" s="110"/>
      <c r="UJM20" s="110"/>
      <c r="UJN20" s="110"/>
      <c r="UJO20" s="110"/>
      <c r="UJP20" s="110"/>
      <c r="UJQ20" s="110"/>
      <c r="UJR20" s="110"/>
      <c r="UJS20" s="110"/>
      <c r="UJT20" s="110"/>
      <c r="UJU20" s="110"/>
      <c r="UJV20" s="110"/>
      <c r="UJW20" s="110"/>
      <c r="UJX20" s="110"/>
      <c r="UJY20" s="110"/>
      <c r="UJZ20" s="110"/>
      <c r="UKA20" s="110"/>
      <c r="UKB20" s="110"/>
      <c r="UKC20" s="110"/>
      <c r="UKD20" s="110"/>
      <c r="UKE20" s="110"/>
      <c r="UKF20" s="110"/>
      <c r="UKG20" s="110"/>
      <c r="UKH20" s="110"/>
      <c r="UKI20" s="110"/>
      <c r="UKJ20" s="110"/>
      <c r="UKK20" s="110"/>
      <c r="UKL20" s="110"/>
      <c r="UKM20" s="110"/>
      <c r="UKN20" s="110"/>
      <c r="UKO20" s="110"/>
      <c r="UKP20" s="110"/>
      <c r="UKQ20" s="110"/>
      <c r="UKR20" s="110"/>
      <c r="UKS20" s="110"/>
      <c r="UKT20" s="110"/>
      <c r="UKU20" s="110"/>
      <c r="UKV20" s="110"/>
      <c r="UKW20" s="110"/>
      <c r="UKX20" s="110"/>
      <c r="UKY20" s="110"/>
      <c r="UKZ20" s="110"/>
      <c r="ULA20" s="110"/>
      <c r="ULB20" s="110"/>
      <c r="ULC20" s="110"/>
      <c r="ULD20" s="110"/>
      <c r="ULE20" s="110"/>
      <c r="ULF20" s="110"/>
      <c r="ULG20" s="110"/>
      <c r="ULH20" s="110"/>
      <c r="ULI20" s="110"/>
      <c r="ULJ20" s="110"/>
      <c r="ULK20" s="110"/>
      <c r="ULL20" s="110"/>
      <c r="ULM20" s="110"/>
      <c r="ULN20" s="110"/>
      <c r="ULO20" s="110"/>
      <c r="ULP20" s="110"/>
      <c r="ULQ20" s="110"/>
      <c r="ULR20" s="110"/>
      <c r="ULS20" s="110"/>
      <c r="ULT20" s="110"/>
      <c r="ULU20" s="110"/>
      <c r="ULV20" s="110"/>
      <c r="ULW20" s="110"/>
      <c r="ULX20" s="110"/>
      <c r="ULY20" s="110"/>
      <c r="ULZ20" s="110"/>
      <c r="UMA20" s="110"/>
      <c r="UMB20" s="110"/>
      <c r="UMC20" s="110"/>
      <c r="UMD20" s="110"/>
      <c r="UME20" s="110"/>
      <c r="UMF20" s="110"/>
      <c r="UMG20" s="110"/>
      <c r="UMH20" s="110"/>
      <c r="UMI20" s="110"/>
      <c r="UMJ20" s="110"/>
      <c r="UMK20" s="110"/>
      <c r="UML20" s="110"/>
      <c r="UMM20" s="110"/>
      <c r="UMN20" s="110"/>
      <c r="UMO20" s="110"/>
      <c r="UMP20" s="110"/>
      <c r="UMQ20" s="110"/>
      <c r="UMR20" s="110"/>
      <c r="UMS20" s="110"/>
      <c r="UMT20" s="110"/>
      <c r="UMU20" s="110"/>
      <c r="UMV20" s="110"/>
      <c r="UMW20" s="110"/>
      <c r="UMX20" s="110"/>
      <c r="UMY20" s="110"/>
      <c r="UMZ20" s="110"/>
      <c r="UNA20" s="110"/>
      <c r="UNB20" s="110"/>
      <c r="UNC20" s="110"/>
      <c r="UND20" s="110"/>
      <c r="UNE20" s="110"/>
      <c r="UNF20" s="110"/>
      <c r="UNG20" s="110"/>
      <c r="UNH20" s="110"/>
      <c r="UNI20" s="110"/>
      <c r="UNJ20" s="110"/>
      <c r="UNK20" s="110"/>
      <c r="UNL20" s="110"/>
      <c r="UNM20" s="110"/>
      <c r="UNN20" s="110"/>
      <c r="UNO20" s="110"/>
      <c r="UNP20" s="110"/>
      <c r="UNQ20" s="110"/>
      <c r="UNR20" s="110"/>
      <c r="UNS20" s="110"/>
      <c r="UNT20" s="110"/>
      <c r="UNU20" s="110"/>
      <c r="UNV20" s="110"/>
      <c r="UNW20" s="110"/>
      <c r="UNX20" s="110"/>
      <c r="UNY20" s="110"/>
      <c r="UNZ20" s="110"/>
      <c r="UOA20" s="110"/>
      <c r="UOB20" s="110"/>
      <c r="UOC20" s="110"/>
      <c r="UOD20" s="110"/>
      <c r="UOE20" s="110"/>
      <c r="UOF20" s="110"/>
      <c r="UOG20" s="110"/>
      <c r="UOH20" s="110"/>
      <c r="UOI20" s="110"/>
      <c r="UOJ20" s="110"/>
      <c r="UOK20" s="110"/>
      <c r="UOL20" s="110"/>
      <c r="UOM20" s="110"/>
      <c r="UON20" s="110"/>
      <c r="UOO20" s="110"/>
      <c r="UOP20" s="110"/>
      <c r="UOQ20" s="110"/>
      <c r="UOR20" s="110"/>
      <c r="UOS20" s="110"/>
      <c r="UOT20" s="110"/>
      <c r="UOU20" s="110"/>
      <c r="UOV20" s="110"/>
      <c r="UOW20" s="110"/>
      <c r="UOX20" s="110"/>
      <c r="UOY20" s="110"/>
      <c r="UOZ20" s="110"/>
      <c r="UPA20" s="110"/>
      <c r="UPB20" s="110"/>
      <c r="UPC20" s="110"/>
      <c r="UPD20" s="110"/>
      <c r="UPE20" s="110"/>
      <c r="UPF20" s="110"/>
      <c r="UPG20" s="110"/>
      <c r="UPH20" s="110"/>
      <c r="UPI20" s="110"/>
      <c r="UPJ20" s="110"/>
      <c r="UPK20" s="110"/>
      <c r="UPL20" s="110"/>
      <c r="UPM20" s="110"/>
      <c r="UPN20" s="110"/>
      <c r="UPO20" s="110"/>
      <c r="UPP20" s="110"/>
      <c r="UPQ20" s="110"/>
      <c r="UPR20" s="110"/>
      <c r="UPS20" s="110"/>
      <c r="UPT20" s="110"/>
      <c r="UPU20" s="110"/>
      <c r="UPV20" s="110"/>
      <c r="UPW20" s="110"/>
      <c r="UPX20" s="110"/>
      <c r="UPY20" s="110"/>
      <c r="UPZ20" s="110"/>
      <c r="UQA20" s="110"/>
      <c r="UQB20" s="110"/>
      <c r="UQC20" s="110"/>
      <c r="UQD20" s="110"/>
      <c r="UQE20" s="110"/>
      <c r="UQF20" s="110"/>
      <c r="UQG20" s="110"/>
      <c r="UQH20" s="110"/>
      <c r="UQI20" s="110"/>
      <c r="UQJ20" s="110"/>
      <c r="UQK20" s="110"/>
      <c r="UQL20" s="110"/>
      <c r="UQM20" s="110"/>
      <c r="UQN20" s="110"/>
      <c r="UQO20" s="110"/>
      <c r="UQP20" s="110"/>
      <c r="UQQ20" s="110"/>
      <c r="UQR20" s="110"/>
      <c r="UQS20" s="110"/>
      <c r="UQT20" s="110"/>
      <c r="UQU20" s="110"/>
      <c r="UQV20" s="110"/>
      <c r="UQW20" s="110"/>
      <c r="UQX20" s="110"/>
      <c r="UQY20" s="110"/>
      <c r="UQZ20" s="110"/>
      <c r="URA20" s="110"/>
      <c r="URB20" s="110"/>
      <c r="URC20" s="110"/>
      <c r="URD20" s="110"/>
      <c r="URE20" s="110"/>
      <c r="URF20" s="110"/>
      <c r="URG20" s="110"/>
      <c r="URH20" s="110"/>
      <c r="URI20" s="110"/>
      <c r="URJ20" s="110"/>
      <c r="URK20" s="110"/>
      <c r="URL20" s="110"/>
      <c r="URM20" s="110"/>
      <c r="URN20" s="110"/>
      <c r="URO20" s="110"/>
      <c r="URP20" s="110"/>
      <c r="URQ20" s="110"/>
      <c r="URR20" s="110"/>
      <c r="URS20" s="110"/>
      <c r="URT20" s="110"/>
      <c r="URU20" s="110"/>
      <c r="URV20" s="110"/>
      <c r="URW20" s="110"/>
      <c r="URX20" s="110"/>
      <c r="URY20" s="110"/>
      <c r="URZ20" s="110"/>
      <c r="USA20" s="110"/>
      <c r="USB20" s="110"/>
      <c r="USC20" s="110"/>
      <c r="USD20" s="110"/>
      <c r="USE20" s="110"/>
      <c r="USF20" s="110"/>
      <c r="USG20" s="110"/>
      <c r="USH20" s="110"/>
      <c r="USI20" s="110"/>
      <c r="USJ20" s="110"/>
      <c r="USK20" s="110"/>
      <c r="USL20" s="110"/>
      <c r="USM20" s="110"/>
      <c r="USN20" s="110"/>
      <c r="USO20" s="110"/>
      <c r="USP20" s="110"/>
      <c r="USQ20" s="110"/>
      <c r="USR20" s="110"/>
      <c r="USS20" s="110"/>
      <c r="UST20" s="110"/>
      <c r="USU20" s="110"/>
      <c r="USV20" s="110"/>
      <c r="USW20" s="110"/>
      <c r="USX20" s="110"/>
      <c r="USY20" s="110"/>
      <c r="USZ20" s="110"/>
      <c r="UTA20" s="110"/>
      <c r="UTB20" s="110"/>
      <c r="UTC20" s="110"/>
      <c r="UTD20" s="110"/>
      <c r="UTE20" s="110"/>
      <c r="UTF20" s="110"/>
      <c r="UTG20" s="110"/>
      <c r="UTH20" s="110"/>
      <c r="UTI20" s="110"/>
      <c r="UTJ20" s="110"/>
      <c r="UTK20" s="110"/>
      <c r="UTL20" s="110"/>
      <c r="UTM20" s="110"/>
      <c r="UTN20" s="110"/>
      <c r="UTO20" s="110"/>
      <c r="UTP20" s="110"/>
      <c r="UTQ20" s="110"/>
      <c r="UTR20" s="110"/>
      <c r="UTS20" s="110"/>
      <c r="UTT20" s="110"/>
      <c r="UTU20" s="110"/>
      <c r="UTV20" s="110"/>
      <c r="UTW20" s="110"/>
      <c r="UTX20" s="110"/>
      <c r="UTY20" s="110"/>
      <c r="UTZ20" s="110"/>
      <c r="UUA20" s="110"/>
      <c r="UUB20" s="110"/>
      <c r="UUC20" s="110"/>
      <c r="UUD20" s="110"/>
      <c r="UUE20" s="110"/>
      <c r="UUF20" s="110"/>
      <c r="UUG20" s="110"/>
      <c r="UUH20" s="110"/>
      <c r="UUI20" s="110"/>
      <c r="UUJ20" s="110"/>
      <c r="UUK20" s="110"/>
      <c r="UUL20" s="110"/>
      <c r="UUM20" s="110"/>
      <c r="UUN20" s="110"/>
      <c r="UUO20" s="110"/>
      <c r="UUP20" s="110"/>
      <c r="UUQ20" s="110"/>
      <c r="UUR20" s="110"/>
      <c r="UUS20" s="110"/>
      <c r="UUT20" s="110"/>
      <c r="UUU20" s="110"/>
      <c r="UUV20" s="110"/>
      <c r="UUW20" s="110"/>
      <c r="UUX20" s="110"/>
      <c r="UUY20" s="110"/>
      <c r="UUZ20" s="110"/>
      <c r="UVA20" s="110"/>
      <c r="UVB20" s="110"/>
      <c r="UVC20" s="110"/>
      <c r="UVD20" s="110"/>
      <c r="UVE20" s="110"/>
      <c r="UVF20" s="110"/>
      <c r="UVG20" s="110"/>
      <c r="UVH20" s="110"/>
      <c r="UVI20" s="110"/>
      <c r="UVJ20" s="110"/>
      <c r="UVK20" s="110"/>
      <c r="UVL20" s="110"/>
      <c r="UVM20" s="110"/>
      <c r="UVN20" s="110"/>
      <c r="UVO20" s="110"/>
      <c r="UVP20" s="110"/>
      <c r="UVQ20" s="110"/>
      <c r="UVR20" s="110"/>
      <c r="UVS20" s="110"/>
      <c r="UVT20" s="110"/>
      <c r="UVU20" s="110"/>
      <c r="UVV20" s="110"/>
      <c r="UVW20" s="110"/>
      <c r="UVX20" s="110"/>
      <c r="UVY20" s="110"/>
      <c r="UVZ20" s="110"/>
      <c r="UWA20" s="110"/>
      <c r="UWB20" s="110"/>
      <c r="UWC20" s="110"/>
      <c r="UWD20" s="110"/>
      <c r="UWE20" s="110"/>
      <c r="UWF20" s="110"/>
      <c r="UWG20" s="110"/>
      <c r="UWH20" s="110"/>
      <c r="UWI20" s="110"/>
      <c r="UWJ20" s="110"/>
      <c r="UWK20" s="110"/>
      <c r="UWL20" s="110"/>
      <c r="UWM20" s="110"/>
      <c r="UWN20" s="110"/>
      <c r="UWO20" s="110"/>
      <c r="UWP20" s="110"/>
      <c r="UWQ20" s="110"/>
      <c r="UWR20" s="110"/>
      <c r="UWS20" s="110"/>
      <c r="UWT20" s="110"/>
      <c r="UWU20" s="110"/>
      <c r="UWV20" s="110"/>
      <c r="UWW20" s="110"/>
      <c r="UWX20" s="110"/>
      <c r="UWY20" s="110"/>
      <c r="UWZ20" s="110"/>
      <c r="UXA20" s="110"/>
      <c r="UXB20" s="110"/>
      <c r="UXC20" s="110"/>
      <c r="UXD20" s="110"/>
      <c r="UXE20" s="110"/>
      <c r="UXF20" s="110"/>
      <c r="UXG20" s="110"/>
      <c r="UXH20" s="110"/>
      <c r="UXI20" s="110"/>
      <c r="UXJ20" s="110"/>
      <c r="UXK20" s="110"/>
      <c r="UXL20" s="110"/>
      <c r="UXM20" s="110"/>
      <c r="UXN20" s="110"/>
      <c r="UXO20" s="110"/>
      <c r="UXP20" s="110"/>
      <c r="UXQ20" s="110"/>
      <c r="UXR20" s="110"/>
      <c r="UXS20" s="110"/>
      <c r="UXT20" s="110"/>
      <c r="UXU20" s="110"/>
      <c r="UXV20" s="110"/>
      <c r="UXW20" s="110"/>
      <c r="UXX20" s="110"/>
      <c r="UXY20" s="110"/>
      <c r="UXZ20" s="110"/>
      <c r="UYA20" s="110"/>
      <c r="UYB20" s="110"/>
      <c r="UYC20" s="110"/>
      <c r="UYD20" s="110"/>
      <c r="UYE20" s="110"/>
      <c r="UYF20" s="110"/>
      <c r="UYG20" s="110"/>
      <c r="UYH20" s="110"/>
      <c r="UYI20" s="110"/>
      <c r="UYJ20" s="110"/>
      <c r="UYK20" s="110"/>
      <c r="UYL20" s="110"/>
      <c r="UYM20" s="110"/>
      <c r="UYN20" s="110"/>
      <c r="UYO20" s="110"/>
      <c r="UYP20" s="110"/>
      <c r="UYQ20" s="110"/>
      <c r="UYR20" s="110"/>
      <c r="UYS20" s="110"/>
      <c r="UYT20" s="110"/>
      <c r="UYU20" s="110"/>
      <c r="UYV20" s="110"/>
      <c r="UYW20" s="110"/>
      <c r="UYX20" s="110"/>
      <c r="UYY20" s="110"/>
      <c r="UYZ20" s="110"/>
      <c r="UZA20" s="110"/>
      <c r="UZB20" s="110"/>
      <c r="UZC20" s="110"/>
      <c r="UZD20" s="110"/>
      <c r="UZE20" s="110"/>
      <c r="UZF20" s="110"/>
      <c r="UZG20" s="110"/>
      <c r="UZH20" s="110"/>
      <c r="UZI20" s="110"/>
      <c r="UZJ20" s="110"/>
      <c r="UZK20" s="110"/>
      <c r="UZL20" s="110"/>
      <c r="UZM20" s="110"/>
      <c r="UZN20" s="110"/>
      <c r="UZO20" s="110"/>
      <c r="UZP20" s="110"/>
      <c r="UZQ20" s="110"/>
      <c r="UZR20" s="110"/>
      <c r="UZS20" s="110"/>
      <c r="UZT20" s="110"/>
      <c r="UZU20" s="110"/>
      <c r="UZV20" s="110"/>
      <c r="UZW20" s="110"/>
      <c r="UZX20" s="110"/>
      <c r="UZY20" s="110"/>
      <c r="UZZ20" s="110"/>
      <c r="VAA20" s="110"/>
      <c r="VAB20" s="110"/>
      <c r="VAC20" s="110"/>
      <c r="VAD20" s="110"/>
      <c r="VAE20" s="110"/>
      <c r="VAF20" s="110"/>
      <c r="VAG20" s="110"/>
      <c r="VAH20" s="110"/>
      <c r="VAI20" s="110"/>
      <c r="VAJ20" s="110"/>
      <c r="VAK20" s="110"/>
      <c r="VAL20" s="110"/>
      <c r="VAM20" s="110"/>
      <c r="VAN20" s="110"/>
      <c r="VAO20" s="110"/>
      <c r="VAP20" s="110"/>
      <c r="VAQ20" s="110"/>
      <c r="VAR20" s="110"/>
      <c r="VAS20" s="110"/>
      <c r="VAT20" s="110"/>
      <c r="VAU20" s="110"/>
      <c r="VAV20" s="110"/>
      <c r="VAW20" s="110"/>
      <c r="VAX20" s="110"/>
      <c r="VAY20" s="110"/>
      <c r="VAZ20" s="110"/>
      <c r="VBA20" s="110"/>
      <c r="VBB20" s="110"/>
      <c r="VBC20" s="110"/>
      <c r="VBD20" s="110"/>
      <c r="VBE20" s="110"/>
      <c r="VBF20" s="110"/>
      <c r="VBG20" s="110"/>
      <c r="VBH20" s="110"/>
      <c r="VBI20" s="110"/>
      <c r="VBJ20" s="110"/>
      <c r="VBK20" s="110"/>
      <c r="VBL20" s="110"/>
      <c r="VBM20" s="110"/>
      <c r="VBN20" s="110"/>
      <c r="VBO20" s="110"/>
      <c r="VBP20" s="110"/>
      <c r="VBQ20" s="110"/>
      <c r="VBR20" s="110"/>
      <c r="VBS20" s="110"/>
      <c r="VBT20" s="110"/>
      <c r="VBU20" s="110"/>
      <c r="VBV20" s="110"/>
      <c r="VBW20" s="110"/>
      <c r="VBX20" s="110"/>
      <c r="VBY20" s="110"/>
      <c r="VBZ20" s="110"/>
      <c r="VCA20" s="110"/>
      <c r="VCB20" s="110"/>
      <c r="VCC20" s="110"/>
      <c r="VCD20" s="110"/>
      <c r="VCE20" s="110"/>
      <c r="VCF20" s="110"/>
      <c r="VCG20" s="110"/>
      <c r="VCH20" s="110"/>
      <c r="VCI20" s="110"/>
      <c r="VCJ20" s="110"/>
      <c r="VCK20" s="110"/>
      <c r="VCL20" s="110"/>
      <c r="VCM20" s="110"/>
      <c r="VCN20" s="110"/>
      <c r="VCO20" s="110"/>
      <c r="VCP20" s="110"/>
      <c r="VCQ20" s="110"/>
      <c r="VCR20" s="110"/>
      <c r="VCS20" s="110"/>
      <c r="VCT20" s="110"/>
      <c r="VCU20" s="110"/>
      <c r="VCV20" s="110"/>
      <c r="VCW20" s="110"/>
      <c r="VCX20" s="110"/>
      <c r="VCY20" s="110"/>
      <c r="VCZ20" s="110"/>
      <c r="VDA20" s="110"/>
      <c r="VDB20" s="110"/>
      <c r="VDC20" s="110"/>
      <c r="VDD20" s="110"/>
      <c r="VDE20" s="110"/>
      <c r="VDF20" s="110"/>
      <c r="VDG20" s="110"/>
      <c r="VDH20" s="110"/>
      <c r="VDI20" s="110"/>
      <c r="VDJ20" s="110"/>
      <c r="VDK20" s="110"/>
      <c r="VDL20" s="110"/>
      <c r="VDM20" s="110"/>
      <c r="VDN20" s="110"/>
      <c r="VDO20" s="110"/>
      <c r="VDP20" s="110"/>
      <c r="VDQ20" s="110"/>
      <c r="VDR20" s="110"/>
      <c r="VDS20" s="110"/>
      <c r="VDT20" s="110"/>
      <c r="VDU20" s="110"/>
      <c r="VDV20" s="110"/>
      <c r="VDW20" s="110"/>
      <c r="VDX20" s="110"/>
      <c r="VDY20" s="110"/>
      <c r="VDZ20" s="110"/>
      <c r="VEA20" s="110"/>
      <c r="VEB20" s="110"/>
      <c r="VEC20" s="110"/>
      <c r="VED20" s="110"/>
      <c r="VEE20" s="110"/>
      <c r="VEF20" s="110"/>
      <c r="VEG20" s="110"/>
      <c r="VEH20" s="110"/>
      <c r="VEI20" s="110"/>
      <c r="VEJ20" s="110"/>
      <c r="VEK20" s="110"/>
      <c r="VEL20" s="110"/>
      <c r="VEM20" s="110"/>
      <c r="VEN20" s="110"/>
      <c r="VEO20" s="110"/>
      <c r="VEP20" s="110"/>
      <c r="VEQ20" s="110"/>
      <c r="VER20" s="110"/>
      <c r="VES20" s="110"/>
      <c r="VET20" s="110"/>
      <c r="VEU20" s="110"/>
      <c r="VEV20" s="110"/>
      <c r="VEW20" s="110"/>
      <c r="VEX20" s="110"/>
      <c r="VEY20" s="110"/>
      <c r="VEZ20" s="110"/>
      <c r="VFA20" s="110"/>
      <c r="VFB20" s="110"/>
      <c r="VFC20" s="110"/>
      <c r="VFD20" s="110"/>
      <c r="VFE20" s="110"/>
      <c r="VFF20" s="110"/>
      <c r="VFG20" s="110"/>
      <c r="VFH20" s="110"/>
      <c r="VFI20" s="110"/>
      <c r="VFJ20" s="110"/>
      <c r="VFK20" s="110"/>
      <c r="VFL20" s="110"/>
      <c r="VFM20" s="110"/>
      <c r="VFN20" s="110"/>
      <c r="VFO20" s="110"/>
      <c r="VFP20" s="110"/>
      <c r="VFQ20" s="110"/>
      <c r="VFR20" s="110"/>
      <c r="VFS20" s="110"/>
      <c r="VFT20" s="110"/>
      <c r="VFU20" s="110"/>
      <c r="VFV20" s="110"/>
      <c r="VFW20" s="110"/>
      <c r="VFX20" s="110"/>
      <c r="VFY20" s="110"/>
      <c r="VFZ20" s="110"/>
      <c r="VGA20" s="110"/>
      <c r="VGB20" s="110"/>
      <c r="VGC20" s="110"/>
      <c r="VGD20" s="110"/>
      <c r="VGE20" s="110"/>
      <c r="VGF20" s="110"/>
      <c r="VGG20" s="110"/>
      <c r="VGH20" s="110"/>
      <c r="VGI20" s="110"/>
      <c r="VGJ20" s="110"/>
      <c r="VGK20" s="110"/>
      <c r="VGL20" s="110"/>
      <c r="VGM20" s="110"/>
      <c r="VGN20" s="110"/>
      <c r="VGO20" s="110"/>
      <c r="VGP20" s="110"/>
      <c r="VGQ20" s="110"/>
      <c r="VGR20" s="110"/>
      <c r="VGS20" s="110"/>
      <c r="VGT20" s="110"/>
      <c r="VGU20" s="110"/>
      <c r="VGV20" s="110"/>
      <c r="VGW20" s="110"/>
      <c r="VGX20" s="110"/>
      <c r="VGY20" s="110"/>
      <c r="VGZ20" s="110"/>
      <c r="VHA20" s="110"/>
      <c r="VHB20" s="110"/>
      <c r="VHC20" s="110"/>
      <c r="VHD20" s="110"/>
      <c r="VHE20" s="110"/>
      <c r="VHF20" s="110"/>
      <c r="VHG20" s="110"/>
      <c r="VHH20" s="110"/>
      <c r="VHI20" s="110"/>
      <c r="VHJ20" s="110"/>
      <c r="VHK20" s="110"/>
      <c r="VHL20" s="110"/>
      <c r="VHM20" s="110"/>
      <c r="VHN20" s="110"/>
      <c r="VHO20" s="110"/>
      <c r="VHP20" s="110"/>
      <c r="VHQ20" s="110"/>
      <c r="VHR20" s="110"/>
      <c r="VHS20" s="110"/>
      <c r="VHT20" s="110"/>
      <c r="VHU20" s="110"/>
      <c r="VHV20" s="110"/>
      <c r="VHW20" s="110"/>
      <c r="VHX20" s="110"/>
      <c r="VHY20" s="110"/>
      <c r="VHZ20" s="110"/>
      <c r="VIA20" s="110"/>
      <c r="VIB20" s="110"/>
      <c r="VIC20" s="110"/>
      <c r="VID20" s="110"/>
      <c r="VIE20" s="110"/>
      <c r="VIF20" s="110"/>
      <c r="VIG20" s="110"/>
      <c r="VIH20" s="110"/>
      <c r="VII20" s="110"/>
      <c r="VIJ20" s="110"/>
      <c r="VIK20" s="110"/>
      <c r="VIL20" s="110"/>
      <c r="VIM20" s="110"/>
      <c r="VIN20" s="110"/>
      <c r="VIO20" s="110"/>
      <c r="VIP20" s="110"/>
      <c r="VIQ20" s="110"/>
      <c r="VIR20" s="110"/>
      <c r="VIS20" s="110"/>
      <c r="VIT20" s="110"/>
      <c r="VIU20" s="110"/>
      <c r="VIV20" s="110"/>
      <c r="VIW20" s="110"/>
      <c r="VIX20" s="110"/>
      <c r="VIY20" s="110"/>
      <c r="VIZ20" s="110"/>
      <c r="VJA20" s="110"/>
      <c r="VJB20" s="110"/>
      <c r="VJC20" s="110"/>
      <c r="VJD20" s="110"/>
      <c r="VJE20" s="110"/>
      <c r="VJF20" s="110"/>
      <c r="VJG20" s="110"/>
      <c r="VJH20" s="110"/>
      <c r="VJI20" s="110"/>
      <c r="VJJ20" s="110"/>
      <c r="VJK20" s="110"/>
      <c r="VJL20" s="110"/>
      <c r="VJM20" s="110"/>
      <c r="VJN20" s="110"/>
      <c r="VJO20" s="110"/>
      <c r="VJP20" s="110"/>
      <c r="VJQ20" s="110"/>
      <c r="VJR20" s="110"/>
      <c r="VJS20" s="110"/>
      <c r="VJT20" s="110"/>
      <c r="VJU20" s="110"/>
      <c r="VJV20" s="110"/>
      <c r="VJW20" s="110"/>
      <c r="VJX20" s="110"/>
      <c r="VJY20" s="110"/>
      <c r="VJZ20" s="110"/>
      <c r="VKA20" s="110"/>
      <c r="VKB20" s="110"/>
      <c r="VKC20" s="110"/>
      <c r="VKD20" s="110"/>
      <c r="VKE20" s="110"/>
      <c r="VKF20" s="110"/>
      <c r="VKG20" s="110"/>
      <c r="VKH20" s="110"/>
      <c r="VKI20" s="110"/>
      <c r="VKJ20" s="110"/>
      <c r="VKK20" s="110"/>
      <c r="VKL20" s="110"/>
      <c r="VKM20" s="110"/>
      <c r="VKN20" s="110"/>
      <c r="VKO20" s="110"/>
      <c r="VKP20" s="110"/>
      <c r="VKQ20" s="110"/>
      <c r="VKR20" s="110"/>
      <c r="VKS20" s="110"/>
      <c r="VKT20" s="110"/>
      <c r="VKU20" s="110"/>
      <c r="VKV20" s="110"/>
      <c r="VKW20" s="110"/>
      <c r="VKX20" s="110"/>
      <c r="VKY20" s="110"/>
      <c r="VKZ20" s="110"/>
      <c r="VLA20" s="110"/>
      <c r="VLB20" s="110"/>
      <c r="VLC20" s="110"/>
      <c r="VLD20" s="110"/>
      <c r="VLE20" s="110"/>
      <c r="VLF20" s="110"/>
      <c r="VLG20" s="110"/>
      <c r="VLH20" s="110"/>
      <c r="VLI20" s="110"/>
      <c r="VLJ20" s="110"/>
      <c r="VLK20" s="110"/>
      <c r="VLL20" s="110"/>
      <c r="VLM20" s="110"/>
      <c r="VLN20" s="110"/>
      <c r="VLO20" s="110"/>
      <c r="VLP20" s="110"/>
      <c r="VLQ20" s="110"/>
      <c r="VLR20" s="110"/>
      <c r="VLS20" s="110"/>
      <c r="VLT20" s="110"/>
      <c r="VLU20" s="110"/>
      <c r="VLV20" s="110"/>
      <c r="VLW20" s="110"/>
      <c r="VLX20" s="110"/>
      <c r="VLY20" s="110"/>
      <c r="VLZ20" s="110"/>
      <c r="VMA20" s="110"/>
      <c r="VMB20" s="110"/>
      <c r="VMC20" s="110"/>
      <c r="VMD20" s="110"/>
      <c r="VME20" s="110"/>
      <c r="VMF20" s="110"/>
      <c r="VMG20" s="110"/>
      <c r="VMH20" s="110"/>
      <c r="VMI20" s="110"/>
      <c r="VMJ20" s="110"/>
      <c r="VMK20" s="110"/>
      <c r="VML20" s="110"/>
      <c r="VMM20" s="110"/>
      <c r="VMN20" s="110"/>
      <c r="VMO20" s="110"/>
      <c r="VMP20" s="110"/>
      <c r="VMQ20" s="110"/>
      <c r="VMR20" s="110"/>
      <c r="VMS20" s="110"/>
      <c r="VMT20" s="110"/>
      <c r="VMU20" s="110"/>
      <c r="VMV20" s="110"/>
      <c r="VMW20" s="110"/>
      <c r="VMX20" s="110"/>
      <c r="VMY20" s="110"/>
      <c r="VMZ20" s="110"/>
      <c r="VNA20" s="110"/>
      <c r="VNB20" s="110"/>
      <c r="VNC20" s="110"/>
      <c r="VND20" s="110"/>
      <c r="VNE20" s="110"/>
      <c r="VNF20" s="110"/>
      <c r="VNG20" s="110"/>
      <c r="VNH20" s="110"/>
      <c r="VNI20" s="110"/>
      <c r="VNJ20" s="110"/>
      <c r="VNK20" s="110"/>
      <c r="VNL20" s="110"/>
      <c r="VNM20" s="110"/>
      <c r="VNN20" s="110"/>
      <c r="VNO20" s="110"/>
      <c r="VNP20" s="110"/>
      <c r="VNQ20" s="110"/>
      <c r="VNR20" s="110"/>
      <c r="VNS20" s="110"/>
      <c r="VNT20" s="110"/>
      <c r="VNU20" s="110"/>
      <c r="VNV20" s="110"/>
      <c r="VNW20" s="110"/>
      <c r="VNX20" s="110"/>
      <c r="VNY20" s="110"/>
      <c r="VNZ20" s="110"/>
      <c r="VOA20" s="110"/>
      <c r="VOB20" s="110"/>
      <c r="VOC20" s="110"/>
      <c r="VOD20" s="110"/>
      <c r="VOE20" s="110"/>
      <c r="VOF20" s="110"/>
      <c r="VOG20" s="110"/>
      <c r="VOH20" s="110"/>
      <c r="VOI20" s="110"/>
      <c r="VOJ20" s="110"/>
      <c r="VOK20" s="110"/>
      <c r="VOL20" s="110"/>
      <c r="VOM20" s="110"/>
      <c r="VON20" s="110"/>
      <c r="VOO20" s="110"/>
      <c r="VOP20" s="110"/>
      <c r="VOQ20" s="110"/>
      <c r="VOR20" s="110"/>
      <c r="VOS20" s="110"/>
      <c r="VOT20" s="110"/>
      <c r="VOU20" s="110"/>
      <c r="VOV20" s="110"/>
      <c r="VOW20" s="110"/>
      <c r="VOX20" s="110"/>
      <c r="VOY20" s="110"/>
      <c r="VOZ20" s="110"/>
      <c r="VPA20" s="110"/>
      <c r="VPB20" s="110"/>
      <c r="VPC20" s="110"/>
      <c r="VPD20" s="110"/>
      <c r="VPE20" s="110"/>
      <c r="VPF20" s="110"/>
      <c r="VPG20" s="110"/>
      <c r="VPH20" s="110"/>
      <c r="VPI20" s="110"/>
      <c r="VPJ20" s="110"/>
      <c r="VPK20" s="110"/>
      <c r="VPL20" s="110"/>
      <c r="VPM20" s="110"/>
      <c r="VPN20" s="110"/>
      <c r="VPO20" s="110"/>
      <c r="VPP20" s="110"/>
      <c r="VPQ20" s="110"/>
      <c r="VPR20" s="110"/>
      <c r="VPS20" s="110"/>
      <c r="VPT20" s="110"/>
      <c r="VPU20" s="110"/>
      <c r="VPV20" s="110"/>
      <c r="VPW20" s="110"/>
      <c r="VPX20" s="110"/>
      <c r="VPY20" s="110"/>
      <c r="VPZ20" s="110"/>
      <c r="VQA20" s="110"/>
      <c r="VQB20" s="110"/>
      <c r="VQC20" s="110"/>
      <c r="VQD20" s="110"/>
      <c r="VQE20" s="110"/>
      <c r="VQF20" s="110"/>
      <c r="VQG20" s="110"/>
      <c r="VQH20" s="110"/>
      <c r="VQI20" s="110"/>
      <c r="VQJ20" s="110"/>
      <c r="VQK20" s="110"/>
      <c r="VQL20" s="110"/>
      <c r="VQM20" s="110"/>
      <c r="VQN20" s="110"/>
      <c r="VQO20" s="110"/>
      <c r="VQP20" s="110"/>
      <c r="VQQ20" s="110"/>
      <c r="VQR20" s="110"/>
      <c r="VQS20" s="110"/>
      <c r="VQT20" s="110"/>
      <c r="VQU20" s="110"/>
      <c r="VQV20" s="110"/>
      <c r="VQW20" s="110"/>
      <c r="VQX20" s="110"/>
      <c r="VQY20" s="110"/>
      <c r="VQZ20" s="110"/>
      <c r="VRA20" s="110"/>
      <c r="VRB20" s="110"/>
      <c r="VRC20" s="110"/>
      <c r="VRD20" s="110"/>
      <c r="VRE20" s="110"/>
      <c r="VRF20" s="110"/>
      <c r="VRG20" s="110"/>
      <c r="VRH20" s="110"/>
      <c r="VRI20" s="110"/>
      <c r="VRJ20" s="110"/>
      <c r="VRK20" s="110"/>
      <c r="VRL20" s="110"/>
      <c r="VRM20" s="110"/>
      <c r="VRN20" s="110"/>
      <c r="VRO20" s="110"/>
      <c r="VRP20" s="110"/>
      <c r="VRQ20" s="110"/>
      <c r="VRR20" s="110"/>
      <c r="VRS20" s="110"/>
      <c r="VRT20" s="110"/>
      <c r="VRU20" s="110"/>
      <c r="VRV20" s="110"/>
      <c r="VRW20" s="110"/>
      <c r="VRX20" s="110"/>
      <c r="VRY20" s="110"/>
      <c r="VRZ20" s="110"/>
      <c r="VSA20" s="110"/>
      <c r="VSB20" s="110"/>
      <c r="VSC20" s="110"/>
      <c r="VSD20" s="110"/>
      <c r="VSE20" s="110"/>
      <c r="VSF20" s="110"/>
      <c r="VSG20" s="110"/>
      <c r="VSH20" s="110"/>
      <c r="VSI20" s="110"/>
      <c r="VSJ20" s="110"/>
      <c r="VSK20" s="110"/>
      <c r="VSL20" s="110"/>
      <c r="VSM20" s="110"/>
      <c r="VSN20" s="110"/>
      <c r="VSO20" s="110"/>
      <c r="VSP20" s="110"/>
      <c r="VSQ20" s="110"/>
      <c r="VSR20" s="110"/>
      <c r="VSS20" s="110"/>
      <c r="VST20" s="110"/>
      <c r="VSU20" s="110"/>
      <c r="VSV20" s="110"/>
      <c r="VSW20" s="110"/>
      <c r="VSX20" s="110"/>
      <c r="VSY20" s="110"/>
      <c r="VSZ20" s="110"/>
      <c r="VTA20" s="110"/>
      <c r="VTB20" s="110"/>
      <c r="VTC20" s="110"/>
      <c r="VTD20" s="110"/>
      <c r="VTE20" s="110"/>
      <c r="VTF20" s="110"/>
      <c r="VTG20" s="110"/>
      <c r="VTH20" s="110"/>
      <c r="VTI20" s="110"/>
      <c r="VTJ20" s="110"/>
      <c r="VTK20" s="110"/>
      <c r="VTL20" s="110"/>
      <c r="VTM20" s="110"/>
      <c r="VTN20" s="110"/>
      <c r="VTO20" s="110"/>
      <c r="VTP20" s="110"/>
      <c r="VTQ20" s="110"/>
      <c r="VTR20" s="110"/>
      <c r="VTS20" s="110"/>
      <c r="VTT20" s="110"/>
      <c r="VTU20" s="110"/>
      <c r="VTV20" s="110"/>
      <c r="VTW20" s="110"/>
      <c r="VTX20" s="110"/>
      <c r="VTY20" s="110"/>
      <c r="VTZ20" s="110"/>
      <c r="VUA20" s="110"/>
      <c r="VUB20" s="110"/>
      <c r="VUC20" s="110"/>
      <c r="VUD20" s="110"/>
      <c r="VUE20" s="110"/>
      <c r="VUF20" s="110"/>
      <c r="VUG20" s="110"/>
      <c r="VUH20" s="110"/>
      <c r="VUI20" s="110"/>
      <c r="VUJ20" s="110"/>
      <c r="VUK20" s="110"/>
      <c r="VUL20" s="110"/>
      <c r="VUM20" s="110"/>
      <c r="VUN20" s="110"/>
      <c r="VUO20" s="110"/>
      <c r="VUP20" s="110"/>
      <c r="VUQ20" s="110"/>
      <c r="VUR20" s="110"/>
      <c r="VUS20" s="110"/>
      <c r="VUT20" s="110"/>
      <c r="VUU20" s="110"/>
      <c r="VUV20" s="110"/>
      <c r="VUW20" s="110"/>
      <c r="VUX20" s="110"/>
      <c r="VUY20" s="110"/>
      <c r="VUZ20" s="110"/>
      <c r="VVA20" s="110"/>
      <c r="VVB20" s="110"/>
      <c r="VVC20" s="110"/>
      <c r="VVD20" s="110"/>
      <c r="VVE20" s="110"/>
      <c r="VVF20" s="110"/>
      <c r="VVG20" s="110"/>
      <c r="VVH20" s="110"/>
      <c r="VVI20" s="110"/>
      <c r="VVJ20" s="110"/>
      <c r="VVK20" s="110"/>
      <c r="VVL20" s="110"/>
      <c r="VVM20" s="110"/>
      <c r="VVN20" s="110"/>
      <c r="VVO20" s="110"/>
      <c r="VVP20" s="110"/>
      <c r="VVQ20" s="110"/>
      <c r="VVR20" s="110"/>
      <c r="VVS20" s="110"/>
      <c r="VVT20" s="110"/>
      <c r="VVU20" s="110"/>
      <c r="VVV20" s="110"/>
      <c r="VVW20" s="110"/>
      <c r="VVX20" s="110"/>
      <c r="VVY20" s="110"/>
      <c r="VVZ20" s="110"/>
      <c r="VWA20" s="110"/>
      <c r="VWB20" s="110"/>
      <c r="VWC20" s="110"/>
      <c r="VWD20" s="110"/>
      <c r="VWE20" s="110"/>
      <c r="VWF20" s="110"/>
      <c r="VWG20" s="110"/>
      <c r="VWH20" s="110"/>
      <c r="VWI20" s="110"/>
      <c r="VWJ20" s="110"/>
      <c r="VWK20" s="110"/>
      <c r="VWL20" s="110"/>
      <c r="VWM20" s="110"/>
      <c r="VWN20" s="110"/>
      <c r="VWO20" s="110"/>
      <c r="VWP20" s="110"/>
      <c r="VWQ20" s="110"/>
      <c r="VWR20" s="110"/>
      <c r="VWS20" s="110"/>
      <c r="VWT20" s="110"/>
      <c r="VWU20" s="110"/>
      <c r="VWV20" s="110"/>
      <c r="VWW20" s="110"/>
      <c r="VWX20" s="110"/>
      <c r="VWY20" s="110"/>
      <c r="VWZ20" s="110"/>
      <c r="VXA20" s="110"/>
      <c r="VXB20" s="110"/>
      <c r="VXC20" s="110"/>
      <c r="VXD20" s="110"/>
      <c r="VXE20" s="110"/>
      <c r="VXF20" s="110"/>
      <c r="VXG20" s="110"/>
      <c r="VXH20" s="110"/>
      <c r="VXI20" s="110"/>
      <c r="VXJ20" s="110"/>
      <c r="VXK20" s="110"/>
      <c r="VXL20" s="110"/>
      <c r="VXM20" s="110"/>
      <c r="VXN20" s="110"/>
      <c r="VXO20" s="110"/>
      <c r="VXP20" s="110"/>
      <c r="VXQ20" s="110"/>
      <c r="VXR20" s="110"/>
      <c r="VXS20" s="110"/>
      <c r="VXT20" s="110"/>
      <c r="VXU20" s="110"/>
      <c r="VXV20" s="110"/>
      <c r="VXW20" s="110"/>
      <c r="VXX20" s="110"/>
      <c r="VXY20" s="110"/>
      <c r="VXZ20" s="110"/>
      <c r="VYA20" s="110"/>
      <c r="VYB20" s="110"/>
      <c r="VYC20" s="110"/>
      <c r="VYD20" s="110"/>
      <c r="VYE20" s="110"/>
      <c r="VYF20" s="110"/>
      <c r="VYG20" s="110"/>
      <c r="VYH20" s="110"/>
      <c r="VYI20" s="110"/>
      <c r="VYJ20" s="110"/>
      <c r="VYK20" s="110"/>
      <c r="VYL20" s="110"/>
      <c r="VYM20" s="110"/>
      <c r="VYN20" s="110"/>
      <c r="VYO20" s="110"/>
      <c r="VYP20" s="110"/>
      <c r="VYQ20" s="110"/>
      <c r="VYR20" s="110"/>
      <c r="VYS20" s="110"/>
      <c r="VYT20" s="110"/>
      <c r="VYU20" s="110"/>
      <c r="VYV20" s="110"/>
      <c r="VYW20" s="110"/>
      <c r="VYX20" s="110"/>
      <c r="VYY20" s="110"/>
      <c r="VYZ20" s="110"/>
      <c r="VZA20" s="110"/>
      <c r="VZB20" s="110"/>
      <c r="VZC20" s="110"/>
      <c r="VZD20" s="110"/>
      <c r="VZE20" s="110"/>
      <c r="VZF20" s="110"/>
      <c r="VZG20" s="110"/>
      <c r="VZH20" s="110"/>
      <c r="VZI20" s="110"/>
      <c r="VZJ20" s="110"/>
      <c r="VZK20" s="110"/>
      <c r="VZL20" s="110"/>
      <c r="VZM20" s="110"/>
      <c r="VZN20" s="110"/>
      <c r="VZO20" s="110"/>
      <c r="VZP20" s="110"/>
      <c r="VZQ20" s="110"/>
      <c r="VZR20" s="110"/>
      <c r="VZS20" s="110"/>
      <c r="VZT20" s="110"/>
      <c r="VZU20" s="110"/>
      <c r="VZV20" s="110"/>
      <c r="VZW20" s="110"/>
      <c r="VZX20" s="110"/>
      <c r="VZY20" s="110"/>
      <c r="VZZ20" s="110"/>
      <c r="WAA20" s="110"/>
      <c r="WAB20" s="110"/>
      <c r="WAC20" s="110"/>
      <c r="WAD20" s="110"/>
      <c r="WAE20" s="110"/>
      <c r="WAF20" s="110"/>
      <c r="WAG20" s="110"/>
      <c r="WAH20" s="110"/>
      <c r="WAI20" s="110"/>
      <c r="WAJ20" s="110"/>
      <c r="WAK20" s="110"/>
      <c r="WAL20" s="110"/>
      <c r="WAM20" s="110"/>
      <c r="WAN20" s="110"/>
      <c r="WAO20" s="110"/>
      <c r="WAP20" s="110"/>
      <c r="WAQ20" s="110"/>
      <c r="WAR20" s="110"/>
      <c r="WAS20" s="110"/>
      <c r="WAT20" s="110"/>
      <c r="WAU20" s="110"/>
      <c r="WAV20" s="110"/>
      <c r="WAW20" s="110"/>
      <c r="WAX20" s="110"/>
      <c r="WAY20" s="110"/>
      <c r="WAZ20" s="110"/>
      <c r="WBA20" s="110"/>
      <c r="WBB20" s="110"/>
      <c r="WBC20" s="110"/>
      <c r="WBD20" s="110"/>
      <c r="WBE20" s="110"/>
      <c r="WBF20" s="110"/>
      <c r="WBG20" s="110"/>
      <c r="WBH20" s="110"/>
      <c r="WBI20" s="110"/>
      <c r="WBJ20" s="110"/>
      <c r="WBK20" s="110"/>
      <c r="WBL20" s="110"/>
      <c r="WBM20" s="110"/>
      <c r="WBN20" s="110"/>
      <c r="WBO20" s="110"/>
      <c r="WBP20" s="110"/>
      <c r="WBQ20" s="110"/>
      <c r="WBR20" s="110"/>
      <c r="WBS20" s="110"/>
      <c r="WBT20" s="110"/>
      <c r="WBU20" s="110"/>
      <c r="WBV20" s="110"/>
      <c r="WBW20" s="110"/>
      <c r="WBX20" s="110"/>
      <c r="WBY20" s="110"/>
      <c r="WBZ20" s="110"/>
      <c r="WCA20" s="110"/>
      <c r="WCB20" s="110"/>
      <c r="WCC20" s="110"/>
      <c r="WCD20" s="110"/>
      <c r="WCE20" s="110"/>
      <c r="WCF20" s="110"/>
      <c r="WCG20" s="110"/>
      <c r="WCH20" s="110"/>
      <c r="WCI20" s="110"/>
      <c r="WCJ20" s="110"/>
      <c r="WCK20" s="110"/>
      <c r="WCL20" s="110"/>
      <c r="WCM20" s="110"/>
      <c r="WCN20" s="110"/>
      <c r="WCO20" s="110"/>
      <c r="WCP20" s="110"/>
      <c r="WCQ20" s="110"/>
      <c r="WCR20" s="110"/>
      <c r="WCS20" s="110"/>
      <c r="WCT20" s="110"/>
      <c r="WCU20" s="110"/>
      <c r="WCV20" s="110"/>
      <c r="WCW20" s="110"/>
      <c r="WCX20" s="110"/>
      <c r="WCY20" s="110"/>
      <c r="WCZ20" s="110"/>
      <c r="WDA20" s="110"/>
      <c r="WDB20" s="110"/>
      <c r="WDC20" s="110"/>
      <c r="WDD20" s="110"/>
      <c r="WDE20" s="110"/>
      <c r="WDF20" s="110"/>
      <c r="WDG20" s="110"/>
      <c r="WDH20" s="110"/>
      <c r="WDI20" s="110"/>
      <c r="WDJ20" s="110"/>
      <c r="WDK20" s="110"/>
      <c r="WDL20" s="110"/>
      <c r="WDM20" s="110"/>
      <c r="WDN20" s="110"/>
      <c r="WDO20" s="110"/>
      <c r="WDP20" s="110"/>
      <c r="WDQ20" s="110"/>
      <c r="WDR20" s="110"/>
      <c r="WDS20" s="110"/>
      <c r="WDT20" s="110"/>
      <c r="WDU20" s="110"/>
      <c r="WDV20" s="110"/>
      <c r="WDW20" s="110"/>
      <c r="WDX20" s="110"/>
      <c r="WDY20" s="110"/>
      <c r="WDZ20" s="110"/>
      <c r="WEA20" s="110"/>
      <c r="WEB20" s="110"/>
      <c r="WEC20" s="110"/>
      <c r="WED20" s="110"/>
      <c r="WEE20" s="110"/>
      <c r="WEF20" s="110"/>
      <c r="WEG20" s="110"/>
      <c r="WEH20" s="110"/>
      <c r="WEI20" s="110"/>
      <c r="WEJ20" s="110"/>
      <c r="WEK20" s="110"/>
      <c r="WEL20" s="110"/>
      <c r="WEM20" s="110"/>
      <c r="WEN20" s="110"/>
      <c r="WEO20" s="110"/>
      <c r="WEP20" s="110"/>
      <c r="WEQ20" s="110"/>
      <c r="WER20" s="110"/>
      <c r="WES20" s="110"/>
      <c r="WET20" s="110"/>
      <c r="WEU20" s="110"/>
      <c r="WEV20" s="110"/>
      <c r="WEW20" s="110"/>
      <c r="WEX20" s="110"/>
      <c r="WEY20" s="110"/>
      <c r="WEZ20" s="110"/>
      <c r="WFA20" s="110"/>
      <c r="WFB20" s="110"/>
      <c r="WFC20" s="110"/>
      <c r="WFD20" s="110"/>
      <c r="WFE20" s="110"/>
      <c r="WFF20" s="110"/>
      <c r="WFG20" s="110"/>
      <c r="WFH20" s="110"/>
      <c r="WFI20" s="110"/>
      <c r="WFJ20" s="110"/>
      <c r="WFK20" s="110"/>
      <c r="WFL20" s="110"/>
      <c r="WFM20" s="110"/>
      <c r="WFN20" s="110"/>
      <c r="WFO20" s="110"/>
      <c r="WFP20" s="110"/>
      <c r="WFQ20" s="110"/>
      <c r="WFR20" s="110"/>
      <c r="WFS20" s="110"/>
      <c r="WFT20" s="110"/>
      <c r="WFU20" s="110"/>
      <c r="WFV20" s="110"/>
      <c r="WFW20" s="110"/>
      <c r="WFX20" s="110"/>
      <c r="WFY20" s="110"/>
      <c r="WFZ20" s="110"/>
      <c r="WGA20" s="110"/>
      <c r="WGB20" s="110"/>
      <c r="WGC20" s="110"/>
      <c r="WGD20" s="110"/>
      <c r="WGE20" s="110"/>
      <c r="WGF20" s="110"/>
      <c r="WGG20" s="110"/>
      <c r="WGH20" s="110"/>
      <c r="WGI20" s="110"/>
      <c r="WGJ20" s="110"/>
      <c r="WGK20" s="110"/>
      <c r="WGL20" s="110"/>
      <c r="WGM20" s="110"/>
      <c r="WGN20" s="110"/>
      <c r="WGO20" s="110"/>
      <c r="WGP20" s="110"/>
      <c r="WGQ20" s="110"/>
      <c r="WGR20" s="110"/>
      <c r="WGS20" s="110"/>
      <c r="WGT20" s="110"/>
      <c r="WGU20" s="110"/>
      <c r="WGV20" s="110"/>
      <c r="WGW20" s="110"/>
      <c r="WGX20" s="110"/>
      <c r="WGY20" s="110"/>
      <c r="WGZ20" s="110"/>
      <c r="WHA20" s="110"/>
      <c r="WHB20" s="110"/>
      <c r="WHC20" s="110"/>
      <c r="WHD20" s="110"/>
      <c r="WHE20" s="110"/>
      <c r="WHF20" s="110"/>
      <c r="WHG20" s="110"/>
      <c r="WHH20" s="110"/>
      <c r="WHI20" s="110"/>
      <c r="WHJ20" s="110"/>
      <c r="WHK20" s="110"/>
      <c r="WHL20" s="110"/>
      <c r="WHM20" s="110"/>
      <c r="WHN20" s="110"/>
      <c r="WHO20" s="110"/>
      <c r="WHP20" s="110"/>
      <c r="WHQ20" s="110"/>
      <c r="WHR20" s="110"/>
      <c r="WHS20" s="110"/>
      <c r="WHT20" s="110"/>
      <c r="WHU20" s="110"/>
      <c r="WHV20" s="110"/>
      <c r="WHW20" s="110"/>
      <c r="WHX20" s="110"/>
      <c r="WHY20" s="110"/>
      <c r="WHZ20" s="110"/>
      <c r="WIA20" s="110"/>
      <c r="WIB20" s="110"/>
      <c r="WIC20" s="110"/>
      <c r="WID20" s="110"/>
      <c r="WIE20" s="110"/>
      <c r="WIF20" s="110"/>
      <c r="WIG20" s="110"/>
      <c r="WIH20" s="110"/>
      <c r="WII20" s="110"/>
      <c r="WIJ20" s="110"/>
      <c r="WIK20" s="110"/>
      <c r="WIL20" s="110"/>
      <c r="WIM20" s="110"/>
      <c r="WIN20" s="110"/>
      <c r="WIO20" s="110"/>
      <c r="WIP20" s="110"/>
      <c r="WIQ20" s="110"/>
      <c r="WIR20" s="110"/>
      <c r="WIS20" s="110"/>
      <c r="WIT20" s="110"/>
      <c r="WIU20" s="110"/>
      <c r="WIV20" s="110"/>
      <c r="WIW20" s="110"/>
      <c r="WIX20" s="110"/>
      <c r="WIY20" s="110"/>
      <c r="WIZ20" s="110"/>
      <c r="WJA20" s="110"/>
      <c r="WJB20" s="110"/>
      <c r="WJC20" s="110"/>
      <c r="WJD20" s="110"/>
      <c r="WJE20" s="110"/>
      <c r="WJF20" s="110"/>
      <c r="WJG20" s="110"/>
      <c r="WJH20" s="110"/>
      <c r="WJI20" s="110"/>
      <c r="WJJ20" s="110"/>
      <c r="WJK20" s="110"/>
      <c r="WJL20" s="110"/>
      <c r="WJM20" s="110"/>
      <c r="WJN20" s="110"/>
      <c r="WJO20" s="110"/>
      <c r="WJP20" s="110"/>
      <c r="WJQ20" s="110"/>
      <c r="WJR20" s="110"/>
      <c r="WJS20" s="110"/>
      <c r="WJT20" s="110"/>
      <c r="WJU20" s="110"/>
      <c r="WJV20" s="110"/>
      <c r="WJW20" s="110"/>
      <c r="WJX20" s="110"/>
      <c r="WJY20" s="110"/>
      <c r="WJZ20" s="110"/>
      <c r="WKA20" s="110"/>
      <c r="WKB20" s="110"/>
      <c r="WKC20" s="110"/>
      <c r="WKD20" s="110"/>
      <c r="WKE20" s="110"/>
      <c r="WKF20" s="110"/>
      <c r="WKG20" s="110"/>
      <c r="WKH20" s="110"/>
      <c r="WKI20" s="110"/>
      <c r="WKJ20" s="110"/>
      <c r="WKK20" s="110"/>
      <c r="WKL20" s="110"/>
      <c r="WKM20" s="110"/>
      <c r="WKN20" s="110"/>
      <c r="WKO20" s="110"/>
      <c r="WKP20" s="110"/>
      <c r="WKQ20" s="110"/>
      <c r="WKR20" s="110"/>
      <c r="WKS20" s="110"/>
      <c r="WKT20" s="110"/>
      <c r="WKU20" s="110"/>
      <c r="WKV20" s="110"/>
      <c r="WKW20" s="110"/>
      <c r="WKX20" s="110"/>
      <c r="WKY20" s="110"/>
      <c r="WKZ20" s="110"/>
      <c r="WLA20" s="110"/>
      <c r="WLB20" s="110"/>
      <c r="WLC20" s="110"/>
      <c r="WLD20" s="110"/>
      <c r="WLE20" s="110"/>
      <c r="WLF20" s="110"/>
      <c r="WLG20" s="110"/>
      <c r="WLH20" s="110"/>
      <c r="WLI20" s="110"/>
      <c r="WLJ20" s="110"/>
      <c r="WLK20" s="110"/>
      <c r="WLL20" s="110"/>
      <c r="WLM20" s="110"/>
      <c r="WLN20" s="110"/>
      <c r="WLO20" s="110"/>
      <c r="WLP20" s="110"/>
      <c r="WLQ20" s="110"/>
      <c r="WLR20" s="110"/>
      <c r="WLS20" s="110"/>
      <c r="WLT20" s="110"/>
      <c r="WLU20" s="110"/>
      <c r="WLV20" s="110"/>
      <c r="WLW20" s="110"/>
      <c r="WLX20" s="110"/>
      <c r="WLY20" s="110"/>
      <c r="WLZ20" s="110"/>
      <c r="WMA20" s="110"/>
      <c r="WMB20" s="110"/>
      <c r="WMC20" s="110"/>
      <c r="WMD20" s="110"/>
      <c r="WME20" s="110"/>
      <c r="WMF20" s="110"/>
      <c r="WMG20" s="110"/>
      <c r="WMH20" s="110"/>
      <c r="WMI20" s="110"/>
      <c r="WMJ20" s="110"/>
      <c r="WMK20" s="110"/>
      <c r="WML20" s="110"/>
      <c r="WMM20" s="110"/>
      <c r="WMN20" s="110"/>
      <c r="WMO20" s="110"/>
      <c r="WMP20" s="110"/>
      <c r="WMQ20" s="110"/>
      <c r="WMR20" s="110"/>
      <c r="WMS20" s="110"/>
      <c r="WMT20" s="110"/>
      <c r="WMU20" s="110"/>
      <c r="WMV20" s="110"/>
      <c r="WMW20" s="110"/>
      <c r="WMX20" s="110"/>
      <c r="WMY20" s="110"/>
      <c r="WMZ20" s="110"/>
      <c r="WNA20" s="110"/>
      <c r="WNB20" s="110"/>
      <c r="WNC20" s="110"/>
      <c r="WND20" s="110"/>
      <c r="WNE20" s="110"/>
      <c r="WNF20" s="110"/>
      <c r="WNG20" s="110"/>
      <c r="WNH20" s="110"/>
      <c r="WNI20" s="110"/>
      <c r="WNJ20" s="110"/>
      <c r="WNK20" s="110"/>
      <c r="WNL20" s="110"/>
      <c r="WNM20" s="110"/>
      <c r="WNN20" s="110"/>
      <c r="WNO20" s="110"/>
      <c r="WNP20" s="110"/>
      <c r="WNQ20" s="110"/>
      <c r="WNR20" s="110"/>
      <c r="WNS20" s="110"/>
      <c r="WNT20" s="110"/>
      <c r="WNU20" s="110"/>
      <c r="WNV20" s="110"/>
      <c r="WNW20" s="110"/>
      <c r="WNX20" s="110"/>
      <c r="WNY20" s="110"/>
      <c r="WNZ20" s="110"/>
      <c r="WOA20" s="110"/>
      <c r="WOB20" s="110"/>
      <c r="WOC20" s="110"/>
      <c r="WOD20" s="110"/>
      <c r="WOE20" s="110"/>
      <c r="WOF20" s="110"/>
      <c r="WOG20" s="110"/>
      <c r="WOH20" s="110"/>
      <c r="WOI20" s="110"/>
      <c r="WOJ20" s="110"/>
      <c r="WOK20" s="110"/>
      <c r="WOL20" s="110"/>
      <c r="WOM20" s="110"/>
      <c r="WON20" s="110"/>
      <c r="WOO20" s="110"/>
      <c r="WOP20" s="110"/>
      <c r="WOQ20" s="110"/>
      <c r="WOR20" s="110"/>
      <c r="WOS20" s="110"/>
      <c r="WOT20" s="110"/>
      <c r="WOU20" s="110"/>
      <c r="WOV20" s="110"/>
      <c r="WOW20" s="110"/>
      <c r="WOX20" s="110"/>
      <c r="WOY20" s="110"/>
      <c r="WOZ20" s="110"/>
      <c r="WPA20" s="110"/>
      <c r="WPB20" s="110"/>
      <c r="WPC20" s="110"/>
      <c r="WPD20" s="110"/>
      <c r="WPE20" s="110"/>
      <c r="WPF20" s="110"/>
      <c r="WPG20" s="110"/>
      <c r="WPH20" s="110"/>
      <c r="WPI20" s="110"/>
      <c r="WPJ20" s="110"/>
      <c r="WPK20" s="110"/>
      <c r="WPL20" s="110"/>
      <c r="WPM20" s="110"/>
      <c r="WPN20" s="110"/>
      <c r="WPO20" s="110"/>
      <c r="WPP20" s="110"/>
      <c r="WPQ20" s="110"/>
      <c r="WPR20" s="110"/>
      <c r="WPS20" s="110"/>
      <c r="WPT20" s="110"/>
      <c r="WPU20" s="110"/>
      <c r="WPV20" s="110"/>
      <c r="WPW20" s="110"/>
      <c r="WPX20" s="110"/>
      <c r="WPY20" s="110"/>
      <c r="WPZ20" s="110"/>
      <c r="WQA20" s="110"/>
      <c r="WQB20" s="110"/>
      <c r="WQC20" s="110"/>
      <c r="WQD20" s="110"/>
      <c r="WQE20" s="110"/>
      <c r="WQF20" s="110"/>
      <c r="WQG20" s="110"/>
      <c r="WQH20" s="110"/>
      <c r="WQI20" s="110"/>
      <c r="WQJ20" s="110"/>
      <c r="WQK20" s="110"/>
      <c r="WQL20" s="110"/>
      <c r="WQM20" s="110"/>
      <c r="WQN20" s="110"/>
      <c r="WQO20" s="110"/>
      <c r="WQP20" s="110"/>
      <c r="WQQ20" s="110"/>
      <c r="WQR20" s="110"/>
      <c r="WQS20" s="110"/>
      <c r="WQT20" s="110"/>
      <c r="WQU20" s="110"/>
      <c r="WQV20" s="110"/>
      <c r="WQW20" s="110"/>
      <c r="WQX20" s="110"/>
      <c r="WQY20" s="110"/>
      <c r="WQZ20" s="110"/>
      <c r="WRA20" s="110"/>
      <c r="WRB20" s="110"/>
      <c r="WRC20" s="110"/>
      <c r="WRD20" s="110"/>
      <c r="WRE20" s="110"/>
      <c r="WRF20" s="110"/>
      <c r="WRG20" s="110"/>
      <c r="WRH20" s="110"/>
      <c r="WRI20" s="110"/>
      <c r="WRJ20" s="110"/>
      <c r="WRK20" s="110"/>
      <c r="WRL20" s="110"/>
      <c r="WRM20" s="110"/>
      <c r="WRN20" s="110"/>
      <c r="WRO20" s="110"/>
      <c r="WRP20" s="110"/>
      <c r="WRQ20" s="110"/>
      <c r="WRR20" s="110"/>
      <c r="WRS20" s="110"/>
      <c r="WRT20" s="110"/>
      <c r="WRU20" s="110"/>
      <c r="WRV20" s="110"/>
      <c r="WRW20" s="110"/>
      <c r="WRX20" s="110"/>
      <c r="WRY20" s="110"/>
      <c r="WRZ20" s="110"/>
      <c r="WSA20" s="110"/>
      <c r="WSB20" s="110"/>
      <c r="WSC20" s="110"/>
      <c r="WSD20" s="110"/>
      <c r="WSE20" s="110"/>
      <c r="WSF20" s="110"/>
      <c r="WSG20" s="110"/>
      <c r="WSH20" s="110"/>
      <c r="WSI20" s="110"/>
      <c r="WSJ20" s="110"/>
      <c r="WSK20" s="110"/>
      <c r="WSL20" s="110"/>
      <c r="WSM20" s="110"/>
      <c r="WSN20" s="110"/>
      <c r="WSO20" s="110"/>
      <c r="WSP20" s="110"/>
      <c r="WSQ20" s="110"/>
      <c r="WSR20" s="110"/>
      <c r="WSS20" s="110"/>
      <c r="WST20" s="110"/>
      <c r="WSU20" s="110"/>
      <c r="WSV20" s="110"/>
      <c r="WSW20" s="110"/>
      <c r="WSX20" s="110"/>
      <c r="WSY20" s="110"/>
      <c r="WSZ20" s="110"/>
      <c r="WTA20" s="110"/>
      <c r="WTB20" s="110"/>
      <c r="WTC20" s="110"/>
      <c r="WTD20" s="110"/>
      <c r="WTE20" s="110"/>
      <c r="WTF20" s="110"/>
      <c r="WTG20" s="110"/>
      <c r="WTH20" s="110"/>
      <c r="WTI20" s="110"/>
      <c r="WTJ20" s="110"/>
      <c r="WTK20" s="110"/>
      <c r="WTL20" s="110"/>
      <c r="WTM20" s="110"/>
      <c r="WTN20" s="110"/>
      <c r="WTO20" s="110"/>
      <c r="WTP20" s="110"/>
      <c r="WTQ20" s="110"/>
      <c r="WTR20" s="110"/>
      <c r="WTS20" s="110"/>
      <c r="WTT20" s="110"/>
      <c r="WTU20" s="110"/>
      <c r="WTV20" s="110"/>
      <c r="WTW20" s="110"/>
      <c r="WTX20" s="110"/>
      <c r="WTY20" s="110"/>
      <c r="WTZ20" s="110"/>
      <c r="WUA20" s="110"/>
      <c r="WUB20" s="110"/>
      <c r="WUC20" s="110"/>
      <c r="WUD20" s="110"/>
      <c r="WUE20" s="110"/>
      <c r="WUF20" s="110"/>
      <c r="WUG20" s="110"/>
      <c r="WUH20" s="110"/>
      <c r="WUI20" s="110"/>
      <c r="WUJ20" s="110"/>
      <c r="WUK20" s="110"/>
      <c r="WUL20" s="110"/>
      <c r="WUM20" s="110"/>
      <c r="WUN20" s="110"/>
      <c r="WUO20" s="110"/>
      <c r="WUP20" s="110"/>
      <c r="WUQ20" s="110"/>
      <c r="WUR20" s="110"/>
      <c r="WUS20" s="110"/>
      <c r="WUT20" s="110"/>
      <c r="WUU20" s="110"/>
      <c r="WUV20" s="110"/>
      <c r="WUW20" s="110"/>
      <c r="WUX20" s="110"/>
      <c r="WUY20" s="110"/>
      <c r="WUZ20" s="110"/>
      <c r="WVA20" s="110"/>
      <c r="WVB20" s="110"/>
      <c r="WVC20" s="110"/>
      <c r="WVD20" s="110"/>
      <c r="WVE20" s="110"/>
      <c r="WVF20" s="110"/>
      <c r="WVG20" s="110"/>
      <c r="WVH20" s="110"/>
      <c r="WVI20" s="110"/>
      <c r="WVJ20" s="110"/>
      <c r="WVK20" s="110"/>
      <c r="WVL20" s="110"/>
      <c r="WVM20" s="110"/>
      <c r="WVN20" s="110"/>
      <c r="WVO20" s="110"/>
      <c r="WVP20" s="110"/>
      <c r="WVQ20" s="110"/>
      <c r="WVR20" s="110"/>
      <c r="WVS20" s="110"/>
      <c r="WVT20" s="110"/>
      <c r="WVU20" s="110"/>
      <c r="WVV20" s="110"/>
      <c r="WVW20" s="110"/>
      <c r="WVX20" s="110"/>
      <c r="WVY20" s="110"/>
      <c r="WVZ20" s="110"/>
      <c r="WWA20" s="110"/>
      <c r="WWB20" s="110"/>
      <c r="WWC20" s="110"/>
      <c r="WWD20" s="110"/>
      <c r="WWE20" s="110"/>
      <c r="WWF20" s="110"/>
      <c r="WWG20" s="110"/>
      <c r="WWH20" s="110"/>
      <c r="WWI20" s="110"/>
      <c r="WWJ20" s="110"/>
      <c r="WWK20" s="110"/>
      <c r="WWL20" s="110"/>
      <c r="WWM20" s="110"/>
      <c r="WWN20" s="110"/>
      <c r="WWO20" s="110"/>
      <c r="WWP20" s="110"/>
      <c r="WWQ20" s="110"/>
      <c r="WWR20" s="110"/>
      <c r="WWS20" s="110"/>
      <c r="WWT20" s="110"/>
      <c r="WWU20" s="110"/>
      <c r="WWV20" s="110"/>
      <c r="WWW20" s="110"/>
      <c r="WWX20" s="110"/>
      <c r="WWY20" s="110"/>
      <c r="WWZ20" s="110"/>
      <c r="WXA20" s="110"/>
      <c r="WXB20" s="110"/>
      <c r="WXC20" s="110"/>
      <c r="WXD20" s="110"/>
      <c r="WXE20" s="110"/>
      <c r="WXF20" s="110"/>
      <c r="WXG20" s="110"/>
      <c r="WXH20" s="110"/>
      <c r="WXI20" s="110"/>
      <c r="WXJ20" s="110"/>
      <c r="WXK20" s="110"/>
      <c r="WXL20" s="110"/>
      <c r="WXM20" s="110"/>
      <c r="WXN20" s="110"/>
      <c r="WXO20" s="110"/>
      <c r="WXP20" s="110"/>
      <c r="WXQ20" s="110"/>
      <c r="WXR20" s="110"/>
      <c r="WXS20" s="110"/>
      <c r="WXT20" s="110"/>
      <c r="WXU20" s="110"/>
      <c r="WXV20" s="110"/>
      <c r="WXW20" s="110"/>
      <c r="WXX20" s="110"/>
      <c r="WXY20" s="110"/>
      <c r="WXZ20" s="110"/>
      <c r="WYA20" s="110"/>
      <c r="WYB20" s="110"/>
      <c r="WYC20" s="110"/>
      <c r="WYD20" s="110"/>
      <c r="WYE20" s="110"/>
      <c r="WYF20" s="110"/>
      <c r="WYG20" s="110"/>
      <c r="WYH20" s="110"/>
      <c r="WYI20" s="110"/>
      <c r="WYJ20" s="110"/>
      <c r="WYK20" s="110"/>
      <c r="WYL20" s="110"/>
      <c r="WYM20" s="110"/>
      <c r="WYN20" s="110"/>
      <c r="WYO20" s="110"/>
      <c r="WYP20" s="110"/>
      <c r="WYQ20" s="110"/>
      <c r="WYR20" s="110"/>
      <c r="WYS20" s="110"/>
      <c r="WYT20" s="110"/>
      <c r="WYU20" s="110"/>
      <c r="WYV20" s="110"/>
      <c r="WYW20" s="110"/>
      <c r="WYX20" s="110"/>
      <c r="WYY20" s="110"/>
      <c r="WYZ20" s="110"/>
      <c r="WZA20" s="110"/>
      <c r="WZB20" s="110"/>
      <c r="WZC20" s="110"/>
      <c r="WZD20" s="110"/>
      <c r="WZE20" s="110"/>
      <c r="WZF20" s="110"/>
      <c r="WZG20" s="110"/>
      <c r="WZH20" s="110"/>
      <c r="WZI20" s="110"/>
      <c r="WZJ20" s="110"/>
      <c r="WZK20" s="110"/>
      <c r="WZL20" s="110"/>
      <c r="WZM20" s="110"/>
      <c r="WZN20" s="110"/>
      <c r="WZO20" s="110"/>
      <c r="WZP20" s="110"/>
      <c r="WZQ20" s="110"/>
      <c r="WZR20" s="110"/>
      <c r="WZS20" s="110"/>
      <c r="WZT20" s="110"/>
      <c r="WZU20" s="110"/>
      <c r="WZV20" s="110"/>
      <c r="WZW20" s="110"/>
      <c r="WZX20" s="110"/>
      <c r="WZY20" s="110"/>
      <c r="WZZ20" s="110"/>
      <c r="XAA20" s="110"/>
      <c r="XAB20" s="110"/>
      <c r="XAC20" s="110"/>
      <c r="XAD20" s="110"/>
      <c r="XAE20" s="110"/>
      <c r="XAF20" s="110"/>
      <c r="XAG20" s="110"/>
      <c r="XAH20" s="110"/>
      <c r="XAI20" s="110"/>
      <c r="XAJ20" s="110"/>
      <c r="XAK20" s="110"/>
      <c r="XAL20" s="110"/>
      <c r="XAM20" s="110"/>
      <c r="XAN20" s="110"/>
      <c r="XAO20" s="110"/>
      <c r="XAP20" s="110"/>
      <c r="XAQ20" s="110"/>
      <c r="XAR20" s="110"/>
      <c r="XAS20" s="110"/>
      <c r="XAT20" s="110"/>
      <c r="XAU20" s="110"/>
      <c r="XAV20" s="110"/>
      <c r="XAW20" s="110"/>
      <c r="XAX20" s="110"/>
      <c r="XAY20" s="110"/>
      <c r="XAZ20" s="110"/>
      <c r="XBA20" s="110"/>
      <c r="XBB20" s="110"/>
      <c r="XBC20" s="110"/>
      <c r="XBD20" s="110"/>
      <c r="XBE20" s="110"/>
      <c r="XBF20" s="110"/>
      <c r="XBG20" s="110"/>
      <c r="XBH20" s="110"/>
      <c r="XBI20" s="110"/>
      <c r="XBJ20" s="110"/>
      <c r="XBK20" s="110"/>
      <c r="XBL20" s="110"/>
      <c r="XBM20" s="110"/>
      <c r="XBN20" s="110"/>
      <c r="XBO20" s="110"/>
      <c r="XBP20" s="110"/>
      <c r="XBQ20" s="110"/>
      <c r="XBR20" s="110"/>
      <c r="XBS20" s="110"/>
      <c r="XBT20" s="110"/>
      <c r="XBU20" s="110"/>
      <c r="XBV20" s="110"/>
      <c r="XBW20" s="110"/>
      <c r="XBX20" s="110"/>
      <c r="XBY20" s="110"/>
      <c r="XBZ20" s="110"/>
      <c r="XCA20" s="110"/>
      <c r="XCB20" s="110"/>
      <c r="XCC20" s="110"/>
      <c r="XCD20" s="110"/>
      <c r="XCE20" s="110"/>
      <c r="XCF20" s="110"/>
      <c r="XCG20" s="110"/>
      <c r="XCH20" s="110"/>
      <c r="XCI20" s="110"/>
      <c r="XCJ20" s="110"/>
      <c r="XCK20" s="110"/>
      <c r="XCL20" s="110"/>
      <c r="XCM20" s="110"/>
      <c r="XCN20" s="110"/>
      <c r="XCO20" s="110"/>
      <c r="XCP20" s="110"/>
      <c r="XCQ20" s="110"/>
      <c r="XCR20" s="110"/>
      <c r="XCS20" s="110"/>
      <c r="XCT20" s="110"/>
      <c r="XCU20" s="110"/>
      <c r="XCV20" s="110"/>
      <c r="XCW20" s="110"/>
      <c r="XCX20" s="110"/>
      <c r="XCY20" s="110"/>
      <c r="XCZ20" s="110"/>
      <c r="XDA20" s="110"/>
      <c r="XDB20" s="110"/>
      <c r="XDC20" s="110"/>
      <c r="XDD20" s="110"/>
      <c r="XDE20" s="110"/>
      <c r="XDF20" s="110"/>
      <c r="XDG20" s="110"/>
      <c r="XDH20" s="110"/>
      <c r="XDI20" s="110"/>
      <c r="XDJ20" s="110"/>
      <c r="XDK20" s="110"/>
      <c r="XDL20" s="110"/>
      <c r="XDM20" s="110"/>
      <c r="XDN20" s="110"/>
      <c r="XDO20" s="110"/>
      <c r="XDP20" s="110"/>
      <c r="XDQ20" s="110"/>
      <c r="XDR20" s="110"/>
      <c r="XDS20" s="110"/>
      <c r="XDT20" s="110"/>
      <c r="XDU20" s="110"/>
      <c r="XDV20" s="110"/>
      <c r="XDW20" s="110"/>
      <c r="XDX20" s="110"/>
      <c r="XDY20" s="110"/>
      <c r="XDZ20" s="110"/>
      <c r="XEA20" s="110"/>
      <c r="XEB20" s="110"/>
      <c r="XEC20" s="110"/>
      <c r="XED20" s="110"/>
      <c r="XEE20" s="110"/>
      <c r="XEF20" s="110"/>
      <c r="XEG20" s="110"/>
      <c r="XEH20" s="110"/>
      <c r="XEI20" s="110"/>
      <c r="XEJ20" s="110"/>
      <c r="XEK20" s="110"/>
      <c r="XEL20" s="110"/>
      <c r="XEM20" s="110"/>
      <c r="XEN20" s="110"/>
      <c r="XEO20" s="110"/>
      <c r="XEP20" s="110"/>
      <c r="XEQ20" s="110"/>
      <c r="XER20" s="110"/>
      <c r="XES20" s="110"/>
      <c r="XET20" s="110"/>
      <c r="XEU20" s="110"/>
      <c r="XEV20" s="110"/>
      <c r="XEW20" s="110"/>
      <c r="XEX20" s="110"/>
      <c r="XEY20" s="110"/>
      <c r="XEZ20" s="110"/>
      <c r="XFA20" s="110"/>
      <c r="XFB20" s="110"/>
      <c r="XFC20" s="110"/>
      <c r="XFD20" s="110"/>
    </row>
    <row r="21" spans="1:16384" s="184" customFormat="1" ht="18" customHeight="1" x14ac:dyDescent="0.3">
      <c r="A21" s="41"/>
      <c r="B21" s="183"/>
      <c r="C21" s="39"/>
      <c r="D21" s="39"/>
      <c r="E21" s="39"/>
      <c r="F21" s="21"/>
      <c r="G21" s="21"/>
      <c r="H21" s="39"/>
      <c r="I21" s="77"/>
      <c r="J21" s="105"/>
      <c r="K21" s="76"/>
      <c r="L21" s="77"/>
      <c r="M21" s="77"/>
      <c r="N21" s="77"/>
      <c r="O21" s="523"/>
      <c r="P21" s="183"/>
      <c r="Q21" s="39"/>
      <c r="R21" s="78"/>
      <c r="S21" s="145"/>
    </row>
    <row r="22" spans="1:16384" s="184" customFormat="1" ht="18" customHeight="1" x14ac:dyDescent="0.3">
      <c r="A22" s="528" t="s">
        <v>3668</v>
      </c>
      <c r="B22" s="183"/>
      <c r="C22" s="39"/>
      <c r="D22" s="39"/>
      <c r="E22" s="39"/>
      <c r="F22" s="75"/>
      <c r="G22" s="75"/>
      <c r="H22" s="39"/>
      <c r="I22" s="77"/>
      <c r="J22" s="105"/>
      <c r="K22" s="76"/>
      <c r="L22" s="77"/>
      <c r="M22" s="77"/>
      <c r="N22" s="77"/>
      <c r="O22" s="77"/>
      <c r="P22" s="183"/>
      <c r="Q22" s="39"/>
      <c r="R22" s="78"/>
      <c r="S22" s="151"/>
    </row>
    <row r="23" spans="1:16384" s="184" customFormat="1" ht="37.9" customHeight="1" x14ac:dyDescent="0.3">
      <c r="A23" s="524" t="s">
        <v>3641</v>
      </c>
      <c r="B23" s="525" t="s">
        <v>3642</v>
      </c>
      <c r="C23" s="519" t="s">
        <v>837</v>
      </c>
      <c r="D23" s="519" t="s">
        <v>190</v>
      </c>
      <c r="E23" s="520" t="s">
        <v>2368</v>
      </c>
      <c r="F23" s="519" t="s">
        <v>1</v>
      </c>
      <c r="G23" s="519" t="s">
        <v>0</v>
      </c>
      <c r="H23" s="521" t="s">
        <v>1209</v>
      </c>
      <c r="I23" s="522" t="s">
        <v>2980</v>
      </c>
      <c r="J23" s="187" t="s">
        <v>2981</v>
      </c>
      <c r="K23" s="520" t="s">
        <v>2369</v>
      </c>
      <c r="L23" s="186" t="s">
        <v>2983</v>
      </c>
      <c r="M23" s="519" t="s">
        <v>2726</v>
      </c>
      <c r="N23" s="521" t="s">
        <v>843</v>
      </c>
      <c r="O23" s="521" t="s">
        <v>2370</v>
      </c>
      <c r="P23" s="521" t="s">
        <v>844</v>
      </c>
      <c r="Q23" s="39"/>
      <c r="R23" s="78"/>
      <c r="S23" s="151"/>
    </row>
    <row r="24" spans="1:16384" s="184" customFormat="1" ht="18" customHeight="1" x14ac:dyDescent="0.3">
      <c r="A24" s="595">
        <v>1</v>
      </c>
      <c r="B24" s="567" t="s">
        <v>3639</v>
      </c>
      <c r="C24" s="567" t="s">
        <v>193</v>
      </c>
      <c r="D24" s="567" t="s">
        <v>6</v>
      </c>
      <c r="E24" s="568">
        <v>4</v>
      </c>
      <c r="F24" s="569" t="s">
        <v>3705</v>
      </c>
      <c r="G24" s="570" t="s">
        <v>1055</v>
      </c>
      <c r="H24" s="567" t="s">
        <v>150</v>
      </c>
      <c r="I24" s="567" t="s">
        <v>851</v>
      </c>
      <c r="J24" s="568">
        <v>170</v>
      </c>
      <c r="K24" s="567" t="s">
        <v>1221</v>
      </c>
      <c r="L24" s="567" t="s">
        <v>1221</v>
      </c>
      <c r="M24" s="567" t="s">
        <v>1239</v>
      </c>
      <c r="N24" s="567" t="s">
        <v>1221</v>
      </c>
      <c r="O24" s="567" t="s">
        <v>1239</v>
      </c>
      <c r="P24" s="571" t="s">
        <v>3640</v>
      </c>
      <c r="Q24" s="39"/>
      <c r="R24" s="78"/>
      <c r="S24" s="79"/>
    </row>
    <row r="25" spans="1:16384" s="60" customFormat="1" ht="18" customHeight="1" x14ac:dyDescent="0.3">
      <c r="A25" s="595">
        <v>2</v>
      </c>
      <c r="B25" s="572" t="s">
        <v>3078</v>
      </c>
      <c r="C25" s="567" t="s">
        <v>193</v>
      </c>
      <c r="D25" s="567" t="s">
        <v>15</v>
      </c>
      <c r="E25" s="568">
        <v>13</v>
      </c>
      <c r="F25" s="569" t="s">
        <v>3706</v>
      </c>
      <c r="G25" s="570" t="s">
        <v>1054</v>
      </c>
      <c r="H25" s="567" t="s">
        <v>150</v>
      </c>
      <c r="I25" s="567" t="s">
        <v>854</v>
      </c>
      <c r="J25" s="568">
        <v>133</v>
      </c>
      <c r="K25" s="567" t="s">
        <v>1521</v>
      </c>
      <c r="L25" s="567" t="s">
        <v>847</v>
      </c>
      <c r="M25" s="567" t="s">
        <v>1239</v>
      </c>
      <c r="N25" s="567" t="s">
        <v>1221</v>
      </c>
      <c r="O25" s="567" t="s">
        <v>1239</v>
      </c>
      <c r="P25" s="573" t="s">
        <v>2739</v>
      </c>
      <c r="Q25" s="184"/>
      <c r="R25" s="184"/>
      <c r="S25" s="518"/>
    </row>
    <row r="26" spans="1:16384" s="60" customFormat="1" ht="18" customHeight="1" x14ac:dyDescent="0.3">
      <c r="A26" s="595">
        <v>3</v>
      </c>
      <c r="B26" s="572" t="s">
        <v>3079</v>
      </c>
      <c r="C26" s="567" t="s">
        <v>193</v>
      </c>
      <c r="D26" s="567" t="s">
        <v>15</v>
      </c>
      <c r="E26" s="568">
        <v>13</v>
      </c>
      <c r="F26" s="569" t="s">
        <v>3707</v>
      </c>
      <c r="G26" s="570" t="s">
        <v>1054</v>
      </c>
      <c r="H26" s="567" t="s">
        <v>150</v>
      </c>
      <c r="I26" s="567" t="s">
        <v>855</v>
      </c>
      <c r="J26" s="568">
        <v>127</v>
      </c>
      <c r="K26" s="567" t="s">
        <v>1221</v>
      </c>
      <c r="L26" s="567" t="s">
        <v>847</v>
      </c>
      <c r="M26" s="567" t="s">
        <v>1239</v>
      </c>
      <c r="N26" s="567" t="s">
        <v>1221</v>
      </c>
      <c r="O26" s="567" t="s">
        <v>1239</v>
      </c>
      <c r="P26" s="573" t="s">
        <v>2739</v>
      </c>
      <c r="Q26" s="184"/>
      <c r="R26" s="184"/>
      <c r="S26" s="518"/>
    </row>
    <row r="27" spans="1:16384" s="60" customFormat="1" ht="18" customHeight="1" x14ac:dyDescent="0.3">
      <c r="A27" s="595">
        <v>4</v>
      </c>
      <c r="B27" s="572" t="s">
        <v>2740</v>
      </c>
      <c r="C27" s="567" t="s">
        <v>193</v>
      </c>
      <c r="D27" s="567" t="s">
        <v>16</v>
      </c>
      <c r="E27" s="568">
        <v>14</v>
      </c>
      <c r="F27" s="569" t="s">
        <v>3708</v>
      </c>
      <c r="G27" s="574" t="s">
        <v>362</v>
      </c>
      <c r="H27" s="567" t="s">
        <v>150</v>
      </c>
      <c r="I27" s="567" t="s">
        <v>845</v>
      </c>
      <c r="J27" s="568">
        <v>186</v>
      </c>
      <c r="K27" s="575" t="s">
        <v>1221</v>
      </c>
      <c r="L27" s="567" t="s">
        <v>847</v>
      </c>
      <c r="M27" s="567" t="s">
        <v>1239</v>
      </c>
      <c r="N27" s="567" t="s">
        <v>1221</v>
      </c>
      <c r="O27" s="567" t="s">
        <v>1239</v>
      </c>
      <c r="P27" s="573"/>
      <c r="Q27" s="39"/>
      <c r="R27" s="78"/>
      <c r="S27" s="518"/>
    </row>
    <row r="28" spans="1:16384" s="60" customFormat="1" ht="18" customHeight="1" x14ac:dyDescent="0.3">
      <c r="A28" s="595">
        <v>5</v>
      </c>
      <c r="B28" s="572" t="s">
        <v>3079</v>
      </c>
      <c r="C28" s="567" t="s">
        <v>193</v>
      </c>
      <c r="D28" s="567" t="s">
        <v>26</v>
      </c>
      <c r="E28" s="568">
        <v>24</v>
      </c>
      <c r="F28" s="569" t="s">
        <v>3709</v>
      </c>
      <c r="G28" s="570" t="s">
        <v>1056</v>
      </c>
      <c r="H28" s="567" t="s">
        <v>150</v>
      </c>
      <c r="I28" s="567" t="s">
        <v>854</v>
      </c>
      <c r="J28" s="568">
        <v>263</v>
      </c>
      <c r="K28" s="567" t="s">
        <v>2372</v>
      </c>
      <c r="L28" s="567" t="s">
        <v>847</v>
      </c>
      <c r="M28" s="567" t="s">
        <v>2373</v>
      </c>
      <c r="N28" s="567" t="s">
        <v>2372</v>
      </c>
      <c r="O28" s="567" t="s">
        <v>2373</v>
      </c>
      <c r="P28" s="573"/>
      <c r="Q28" s="184"/>
      <c r="R28" s="184"/>
      <c r="S28" s="518"/>
    </row>
    <row r="29" spans="1:16384" s="184" customFormat="1" ht="18" customHeight="1" x14ac:dyDescent="0.3">
      <c r="A29" s="595">
        <v>6</v>
      </c>
      <c r="B29" s="567" t="s">
        <v>3503</v>
      </c>
      <c r="C29" s="567" t="s">
        <v>193</v>
      </c>
      <c r="D29" s="567" t="s">
        <v>26</v>
      </c>
      <c r="E29" s="568">
        <v>24</v>
      </c>
      <c r="F29" s="569" t="s">
        <v>3710</v>
      </c>
      <c r="G29" s="574" t="s">
        <v>379</v>
      </c>
      <c r="H29" s="567" t="s">
        <v>150</v>
      </c>
      <c r="I29" s="567" t="s">
        <v>922</v>
      </c>
      <c r="J29" s="568">
        <v>96</v>
      </c>
      <c r="K29" s="575" t="s">
        <v>2372</v>
      </c>
      <c r="L29" s="567" t="s">
        <v>2372</v>
      </c>
      <c r="M29" s="567" t="s">
        <v>2373</v>
      </c>
      <c r="N29" s="567" t="s">
        <v>2374</v>
      </c>
      <c r="O29" s="567" t="s">
        <v>2440</v>
      </c>
      <c r="P29" s="570"/>
      <c r="Q29" s="39"/>
      <c r="R29" s="78"/>
      <c r="S29" s="21"/>
    </row>
    <row r="30" spans="1:16384" s="184" customFormat="1" ht="18" customHeight="1" x14ac:dyDescent="0.3">
      <c r="A30" s="192" t="s">
        <v>3644</v>
      </c>
      <c r="B30" s="183"/>
      <c r="C30" s="183"/>
      <c r="D30" s="183"/>
      <c r="E30" s="76"/>
      <c r="F30" s="504"/>
      <c r="G30" s="21"/>
      <c r="H30" s="183"/>
      <c r="I30" s="183"/>
      <c r="J30" s="76"/>
      <c r="K30" s="183"/>
      <c r="L30" s="183"/>
      <c r="M30" s="183"/>
      <c r="N30" s="183"/>
      <c r="O30" s="183"/>
      <c r="P30" s="183"/>
      <c r="Q30" s="39"/>
      <c r="R30" s="78"/>
      <c r="S30" s="79"/>
    </row>
    <row r="31" spans="1:16384" s="184" customFormat="1" ht="18" customHeight="1" x14ac:dyDescent="0.3">
      <c r="A31" s="192" t="s">
        <v>3645</v>
      </c>
      <c r="B31" s="183"/>
      <c r="C31" s="183"/>
      <c r="D31" s="183"/>
      <c r="E31" s="76"/>
      <c r="F31" s="504"/>
      <c r="G31" s="21"/>
      <c r="H31" s="183"/>
      <c r="I31" s="183"/>
      <c r="J31" s="76"/>
      <c r="K31" s="183"/>
      <c r="L31" s="183"/>
      <c r="M31" s="183"/>
      <c r="N31" s="183"/>
      <c r="O31" s="183"/>
      <c r="P31" s="183"/>
      <c r="Q31" s="39"/>
      <c r="R31" s="78"/>
      <c r="S31" s="79"/>
    </row>
    <row r="32" spans="1:16384" s="184" customFormat="1" ht="18" customHeight="1" x14ac:dyDescent="0.3">
      <c r="A32" s="41"/>
      <c r="B32" s="183"/>
      <c r="C32" s="183"/>
      <c r="D32" s="183"/>
      <c r="E32" s="76"/>
      <c r="F32" s="504"/>
      <c r="G32" s="21"/>
      <c r="H32" s="183"/>
      <c r="I32" s="183"/>
      <c r="J32" s="76"/>
      <c r="K32" s="183"/>
      <c r="L32" s="183"/>
      <c r="M32" s="183"/>
      <c r="N32" s="183"/>
      <c r="O32" s="183"/>
      <c r="P32" s="183"/>
      <c r="Q32" s="39"/>
      <c r="R32" s="78"/>
      <c r="S32" s="79"/>
    </row>
    <row r="33" spans="1:19" s="184" customFormat="1" ht="18" customHeight="1" x14ac:dyDescent="0.3">
      <c r="A33" s="41"/>
      <c r="B33" s="183"/>
      <c r="C33" s="183"/>
      <c r="D33" s="183"/>
      <c r="E33" s="76"/>
      <c r="F33" s="504"/>
      <c r="G33" s="21"/>
      <c r="H33" s="183"/>
      <c r="I33" s="183"/>
      <c r="J33" s="76"/>
      <c r="K33" s="183"/>
      <c r="L33" s="183"/>
      <c r="M33" s="183"/>
      <c r="N33" s="183"/>
      <c r="O33" s="183"/>
      <c r="P33" s="183"/>
      <c r="Q33" s="39"/>
      <c r="R33" s="78"/>
      <c r="S33" s="79"/>
    </row>
  </sheetData>
  <autoFilter ref="A1:S33"/>
  <sortState ref="A2:S23">
    <sortCondition ref="B2:B23"/>
    <sortCondition ref="E2:E23"/>
  </sortState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2023년 전국극장현황</vt:lpstr>
      <vt:lpstr>2023년 행정구역(시군구)별 극장현황</vt:lpstr>
      <vt:lpstr>2023년 전국멀티플렉스현황</vt:lpstr>
      <vt:lpstr>2023년 전국 4대 멀티플렉스체인현황</vt:lpstr>
      <vt:lpstr>특별관 유형 분류 및 통계</vt:lpstr>
      <vt:lpstr>2023년 전국 극장 리스트</vt:lpstr>
      <vt:lpstr>2023년 전국 스크린별 상세 리스트</vt:lpstr>
      <vt:lpstr>2023년 신규개관 극장 리스트</vt:lpstr>
      <vt:lpstr>2023년 전국 멀티3사 장애인석 현황</vt:lpstr>
      <vt:lpstr>2023년 휴폐관리스트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김자연</dc:creator>
  <cp:lastModifiedBy>박영관</cp:lastModifiedBy>
  <dcterms:created xsi:type="dcterms:W3CDTF">2019-11-26T11:48:26Z</dcterms:created>
  <dcterms:modified xsi:type="dcterms:W3CDTF">2024-02-05T05:11:35Z</dcterms:modified>
</cp:coreProperties>
</file>