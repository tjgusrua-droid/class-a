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45" yWindow="-30" windowWidth="28860" windowHeight="6360" tabRatio="733" firstSheet="3" activeTab="18"/>
  </bookViews>
  <sheets>
    <sheet name="총계" sheetId="6" r:id="rId1"/>
    <sheet name="서울" sheetId="7" r:id="rId2"/>
    <sheet name="부산" sheetId="8" r:id="rId3"/>
    <sheet name="대구" sheetId="9" r:id="rId4"/>
    <sheet name="인천" sheetId="14" r:id="rId5"/>
    <sheet name="광주" sheetId="10" r:id="rId6"/>
    <sheet name="대전" sheetId="11" r:id="rId7"/>
    <sheet name="울산" sheetId="12" r:id="rId8"/>
    <sheet name="경기" sheetId="13" r:id="rId9"/>
    <sheet name="강원" sheetId="15" r:id="rId10"/>
    <sheet name="충북" sheetId="16" r:id="rId11"/>
    <sheet name="충남" sheetId="17" r:id="rId12"/>
    <sheet name="전북" sheetId="18" r:id="rId13"/>
    <sheet name="전남" sheetId="19" r:id="rId14"/>
    <sheet name="경북" sheetId="20" r:id="rId15"/>
    <sheet name="경남" sheetId="21" r:id="rId16"/>
    <sheet name="제주" sheetId="22" r:id="rId17"/>
    <sheet name="전국" sheetId="23" r:id="rId18"/>
    <sheet name="시군구별" sheetId="25" r:id="rId19"/>
    <sheet name="Sheet1" sheetId="24" r:id="rId20"/>
  </sheets>
  <definedNames>
    <definedName name="_xlnm._FilterDatabase" localSheetId="9" hidden="1">강원!$A$1:$S$14</definedName>
    <definedName name="_xlnm._FilterDatabase" localSheetId="8" hidden="1">경기!$A$1:$R$83</definedName>
    <definedName name="_xlnm._FilterDatabase" localSheetId="15" hidden="1">경남!$A$1:$R$22</definedName>
    <definedName name="_xlnm._FilterDatabase" localSheetId="14" hidden="1">경북!$A$1:$V$19</definedName>
    <definedName name="_xlnm._FilterDatabase" localSheetId="5" hidden="1">광주!$A$1:$R$14</definedName>
    <definedName name="_xlnm._FilterDatabase" localSheetId="3" hidden="1">대구!$A$1:$W$22</definedName>
    <definedName name="_xlnm._FilterDatabase" localSheetId="6" hidden="1">대전!$A$1:$IV$9</definedName>
    <definedName name="_xlnm._FilterDatabase" localSheetId="2" hidden="1">부산!$A$1:$T$28</definedName>
    <definedName name="_xlnm._FilterDatabase" localSheetId="1" hidden="1">서울!$A$1:$R$78</definedName>
    <definedName name="_xlnm._FilterDatabase" localSheetId="7" hidden="1">울산!$A$1:$R$8</definedName>
    <definedName name="_xlnm._FilterDatabase" localSheetId="4" hidden="1">인천!$A$1:$R$18</definedName>
    <definedName name="_xlnm._FilterDatabase" localSheetId="17" hidden="1">전국!$A$1:$R$357</definedName>
    <definedName name="_xlnm._FilterDatabase" localSheetId="13" hidden="1">전남!$A$1:$S$11</definedName>
    <definedName name="_xlnm._FilterDatabase" localSheetId="12" hidden="1">전북!$A$1:$S$20</definedName>
    <definedName name="_xlnm._FilterDatabase" localSheetId="16" hidden="1">제주!$A$1:$V$9</definedName>
    <definedName name="_xlnm._FilterDatabase" localSheetId="11" hidden="1">충남!$A$1:$V$14</definedName>
    <definedName name="_xlnm._FilterDatabase" localSheetId="10" hidden="1">충북!$A$1:$V$14</definedName>
    <definedName name="_xlnm.Print_Area" localSheetId="9">강원!$A$1:$R$10</definedName>
    <definedName name="_xlnm.Print_Area" localSheetId="6">대전!$A$1:$R$9</definedName>
    <definedName name="_xlnm.Print_Area" localSheetId="12">전북!$A$1:$R$18</definedName>
    <definedName name="_xlnm.Print_Area" localSheetId="11">충남!$A$1:$R$14</definedName>
    <definedName name="_xlnm.Print_Area" localSheetId="10">충북!$A$1:$R$14</definedName>
  </definedNames>
  <calcPr calcId="125725"/>
</workbook>
</file>

<file path=xl/calcChain.xml><?xml version="1.0" encoding="utf-8"?>
<calcChain xmlns="http://schemas.openxmlformats.org/spreadsheetml/2006/main">
  <c r="E5" i="25"/>
  <c r="F5"/>
  <c r="G5"/>
  <c r="E31"/>
  <c r="F31"/>
  <c r="G31"/>
  <c r="G4" s="1"/>
  <c r="E48"/>
  <c r="F48"/>
  <c r="G48"/>
  <c r="E57"/>
  <c r="F57"/>
  <c r="G57"/>
  <c r="E68"/>
  <c r="F68"/>
  <c r="G68"/>
  <c r="E74"/>
  <c r="F74"/>
  <c r="G74"/>
  <c r="E80"/>
  <c r="F80"/>
  <c r="G80"/>
  <c r="E88"/>
  <c r="E89"/>
  <c r="F89"/>
  <c r="G89"/>
  <c r="G88" s="1"/>
  <c r="E94"/>
  <c r="F94"/>
  <c r="F88" s="1"/>
  <c r="G94"/>
  <c r="E99"/>
  <c r="F99"/>
  <c r="G99"/>
  <c r="E102"/>
  <c r="F102"/>
  <c r="G102"/>
  <c r="E109"/>
  <c r="F109"/>
  <c r="G109"/>
  <c r="E112"/>
  <c r="F112"/>
  <c r="G112"/>
  <c r="E124"/>
  <c r="F124"/>
  <c r="G124"/>
  <c r="E140"/>
  <c r="F140"/>
  <c r="G140"/>
  <c r="E160"/>
  <c r="E159" s="1"/>
  <c r="F160"/>
  <c r="F159" s="1"/>
  <c r="G160"/>
  <c r="G159" s="1"/>
  <c r="E175"/>
  <c r="F175"/>
  <c r="G175"/>
  <c r="G193"/>
  <c r="E194"/>
  <c r="E193" s="1"/>
  <c r="F194"/>
  <c r="F193" s="1"/>
  <c r="G194"/>
  <c r="E210"/>
  <c r="F210"/>
  <c r="G210"/>
  <c r="E233"/>
  <c r="F233"/>
  <c r="G233"/>
  <c r="E234"/>
  <c r="F234"/>
  <c r="G234"/>
  <c r="E259"/>
  <c r="F259"/>
  <c r="G259"/>
  <c r="E260"/>
  <c r="F260"/>
  <c r="G260"/>
  <c r="E283"/>
  <c r="F283"/>
  <c r="G283"/>
  <c r="I354" i="23"/>
  <c r="I348"/>
  <c r="I347"/>
  <c r="I343"/>
  <c r="I342"/>
  <c r="I341"/>
  <c r="I340"/>
  <c r="I339"/>
  <c r="I334"/>
  <c r="I331"/>
  <c r="I330"/>
  <c r="I329"/>
  <c r="I328"/>
  <c r="I323"/>
  <c r="I314"/>
  <c r="I313"/>
  <c r="I311"/>
  <c r="I310"/>
  <c r="I307"/>
  <c r="I306"/>
  <c r="I302"/>
  <c r="I301"/>
  <c r="I300"/>
  <c r="I298"/>
  <c r="I296"/>
  <c r="I295"/>
  <c r="I287"/>
  <c r="I286"/>
  <c r="I285"/>
  <c r="I281"/>
  <c r="I279"/>
  <c r="I278"/>
  <c r="I273"/>
  <c r="I270"/>
  <c r="I263"/>
  <c r="I259"/>
  <c r="I257"/>
  <c r="I254"/>
  <c r="I251"/>
  <c r="I250"/>
  <c r="I249"/>
  <c r="I248"/>
  <c r="I245"/>
  <c r="I241"/>
  <c r="I235"/>
  <c r="I225"/>
  <c r="I223"/>
  <c r="I219"/>
  <c r="I218"/>
  <c r="I217"/>
  <c r="I215"/>
  <c r="I209"/>
  <c r="I208"/>
  <c r="I207"/>
  <c r="I202"/>
  <c r="I201"/>
  <c r="I197"/>
  <c r="I196"/>
  <c r="I194"/>
  <c r="I188"/>
  <c r="I186"/>
  <c r="I183"/>
  <c r="I181"/>
  <c r="I177"/>
  <c r="I176"/>
  <c r="I174"/>
  <c r="I173"/>
  <c r="I171"/>
  <c r="I168"/>
  <c r="I166"/>
  <c r="I165"/>
  <c r="I162"/>
  <c r="I161"/>
  <c r="I159"/>
  <c r="I157"/>
  <c r="I156"/>
  <c r="I155"/>
  <c r="I152"/>
  <c r="I150"/>
  <c r="I149"/>
  <c r="I148"/>
  <c r="I147"/>
  <c r="I146"/>
  <c r="I143"/>
  <c r="I140"/>
  <c r="I138"/>
  <c r="I136"/>
  <c r="I135"/>
  <c r="I133"/>
  <c r="I131"/>
  <c r="I130"/>
  <c r="I129"/>
  <c r="I126"/>
  <c r="I124"/>
  <c r="I122"/>
  <c r="I119"/>
  <c r="I116"/>
  <c r="I115"/>
  <c r="I113"/>
  <c r="I111"/>
  <c r="I108"/>
  <c r="I106"/>
  <c r="I105"/>
  <c r="I104"/>
  <c r="I99"/>
  <c r="I95"/>
  <c r="I92"/>
  <c r="I91"/>
  <c r="I88"/>
  <c r="I87"/>
  <c r="I86"/>
  <c r="I85"/>
  <c r="I84"/>
  <c r="I83"/>
  <c r="I82"/>
  <c r="I80"/>
  <c r="I78"/>
  <c r="I75"/>
  <c r="I73"/>
  <c r="I71"/>
  <c r="I69"/>
  <c r="I68"/>
  <c r="I67"/>
  <c r="I66"/>
  <c r="I63"/>
  <c r="I61"/>
  <c r="I60"/>
  <c r="I57"/>
  <c r="I55"/>
  <c r="I54"/>
  <c r="I53"/>
  <c r="I51"/>
  <c r="I50"/>
  <c r="I49"/>
  <c r="I46"/>
  <c r="I45"/>
  <c r="I43"/>
  <c r="I40"/>
  <c r="I38"/>
  <c r="I37"/>
  <c r="I33"/>
  <c r="I30"/>
  <c r="I22"/>
  <c r="I21"/>
  <c r="I19"/>
  <c r="I17"/>
  <c r="I16"/>
  <c r="I14"/>
  <c r="I12"/>
  <c r="I11"/>
  <c r="I10"/>
  <c r="I6"/>
  <c r="I5"/>
  <c r="I3"/>
  <c r="I2"/>
  <c r="I4" i="22"/>
  <c r="I19" i="21"/>
  <c r="I18"/>
  <c r="I14"/>
  <c r="I13"/>
  <c r="I12"/>
  <c r="I11"/>
  <c r="I10"/>
  <c r="I5"/>
  <c r="I2"/>
  <c r="I17" i="20"/>
  <c r="I16"/>
  <c r="I15"/>
  <c r="I10"/>
  <c r="I11" i="19"/>
  <c r="I10"/>
  <c r="I8"/>
  <c r="I7"/>
  <c r="I4"/>
  <c r="I3"/>
  <c r="I18" i="18"/>
  <c r="I17"/>
  <c r="I16"/>
  <c r="I14"/>
  <c r="I12"/>
  <c r="I11"/>
  <c r="I3"/>
  <c r="I2"/>
  <c r="I14" i="17"/>
  <c r="I10"/>
  <c r="I8"/>
  <c r="I7"/>
  <c r="I2"/>
  <c r="I9" i="16"/>
  <c r="I2"/>
  <c r="I9" i="15"/>
  <c r="I7"/>
  <c r="I4"/>
  <c r="I88" i="13"/>
  <c r="I82"/>
  <c r="I81"/>
  <c r="I80"/>
  <c r="I79"/>
  <c r="E4" i="25" l="1"/>
  <c r="F4"/>
  <c r="I76" i="13"/>
  <c r="I72"/>
  <c r="I66"/>
  <c r="I56"/>
  <c r="I54"/>
  <c r="I50"/>
  <c r="I49"/>
  <c r="I48"/>
  <c r="I46"/>
  <c r="I40"/>
  <c r="I39"/>
  <c r="I38"/>
  <c r="I33"/>
  <c r="I32"/>
  <c r="I28"/>
  <c r="I27"/>
  <c r="I25"/>
  <c r="I19"/>
  <c r="I17"/>
  <c r="I14"/>
  <c r="I12"/>
  <c r="I8"/>
  <c r="I7"/>
  <c r="I5"/>
  <c r="I4"/>
  <c r="I2"/>
  <c r="I4" i="12"/>
  <c r="I2"/>
  <c r="I10" i="11"/>
  <c r="I7"/>
  <c r="I6"/>
  <c r="I4"/>
  <c r="I2"/>
  <c r="I15" i="10"/>
  <c r="I14"/>
  <c r="I11"/>
  <c r="I9"/>
  <c r="I8"/>
  <c r="I7"/>
  <c r="I6"/>
  <c r="I5"/>
  <c r="I2"/>
  <c r="I18" i="14"/>
  <c r="I16"/>
  <c r="I14"/>
  <c r="I13"/>
  <c r="I11"/>
  <c r="I9"/>
  <c r="I8"/>
  <c r="I7"/>
  <c r="I4"/>
  <c r="I2"/>
  <c r="J22" i="9"/>
  <c r="H22"/>
  <c r="G22"/>
  <c r="I20"/>
  <c r="I17"/>
  <c r="I14"/>
  <c r="I13"/>
  <c r="I11"/>
  <c r="I9"/>
  <c r="I6"/>
  <c r="I4"/>
  <c r="I3"/>
  <c r="I2"/>
  <c r="I31" i="8"/>
  <c r="I23"/>
  <c r="I19"/>
  <c r="I16"/>
  <c r="I15"/>
  <c r="I12"/>
  <c r="I11"/>
  <c r="I10"/>
  <c r="I9"/>
  <c r="I8"/>
  <c r="I7"/>
  <c r="I6"/>
  <c r="I4"/>
  <c r="I2"/>
  <c r="I83" i="7"/>
  <c r="I81"/>
  <c r="I75"/>
  <c r="I73"/>
  <c r="I71"/>
  <c r="I69"/>
  <c r="I68"/>
  <c r="I67"/>
  <c r="I66"/>
  <c r="I63"/>
  <c r="I61"/>
  <c r="I60"/>
  <c r="I57"/>
  <c r="I55"/>
  <c r="I54"/>
  <c r="I53"/>
  <c r="I51"/>
  <c r="I50"/>
  <c r="I49"/>
  <c r="I46"/>
  <c r="I45"/>
  <c r="I43"/>
  <c r="I40"/>
  <c r="I38"/>
  <c r="I37"/>
  <c r="I33"/>
  <c r="I30"/>
  <c r="I22"/>
  <c r="I21"/>
  <c r="I19"/>
  <c r="I17"/>
  <c r="I16"/>
  <c r="I14"/>
  <c r="I12"/>
  <c r="I11"/>
  <c r="I10"/>
  <c r="I6"/>
  <c r="I5"/>
  <c r="I3"/>
  <c r="I2"/>
  <c r="L21" i="6"/>
  <c r="K21"/>
  <c r="J21"/>
  <c r="I22" i="9" l="1"/>
  <c r="I21" i="6"/>
  <c r="H21" s="1"/>
  <c r="G21" s="1"/>
  <c r="F21"/>
  <c r="E21"/>
  <c r="B21"/>
  <c r="L20" l="1"/>
  <c r="K20"/>
  <c r="J20"/>
  <c r="I20"/>
  <c r="H20"/>
  <c r="G20" l="1"/>
  <c r="F20"/>
  <c r="E20"/>
  <c r="B20"/>
  <c r="M19" l="1"/>
  <c r="J19"/>
  <c r="I19"/>
  <c r="G19"/>
  <c r="F19"/>
  <c r="M18"/>
  <c r="J18"/>
  <c r="I18"/>
  <c r="G18"/>
  <c r="F18"/>
  <c r="M17"/>
  <c r="J17"/>
  <c r="I17"/>
  <c r="G17"/>
  <c r="F17"/>
  <c r="M16"/>
  <c r="J16"/>
  <c r="I16"/>
  <c r="G16"/>
  <c r="F16"/>
  <c r="M15"/>
  <c r="J15"/>
  <c r="I15"/>
  <c r="G15"/>
  <c r="F15"/>
  <c r="M14"/>
  <c r="J14"/>
  <c r="I14"/>
  <c r="G14"/>
  <c r="F14"/>
  <c r="M13"/>
  <c r="J13"/>
  <c r="I13"/>
  <c r="G13"/>
  <c r="F13"/>
  <c r="M12"/>
  <c r="J12"/>
  <c r="I12"/>
  <c r="G12"/>
  <c r="F12"/>
  <c r="M11"/>
  <c r="J11"/>
  <c r="I11"/>
  <c r="G11"/>
  <c r="F11"/>
  <c r="M10"/>
  <c r="J10"/>
  <c r="I10"/>
  <c r="G10"/>
  <c r="F10"/>
  <c r="M9" s="1"/>
  <c r="J9"/>
  <c r="I9"/>
  <c r="G9"/>
  <c r="F9"/>
  <c r="M8" s="1"/>
  <c r="J8"/>
  <c r="I8"/>
  <c r="G8"/>
  <c r="F8"/>
  <c r="M7"/>
  <c r="J7"/>
  <c r="I7"/>
  <c r="G7"/>
  <c r="F7"/>
  <c r="M6" s="1"/>
  <c r="J6"/>
  <c r="I6"/>
  <c r="G6"/>
  <c r="F6"/>
  <c r="M5"/>
  <c r="J5"/>
  <c r="I5"/>
  <c r="M20" l="1"/>
  <c r="M21" s="1"/>
  <c r="G5"/>
  <c r="F5"/>
  <c r="M4"/>
  <c r="J4"/>
  <c r="I4"/>
  <c r="G4"/>
  <c r="F4"/>
</calcChain>
</file>

<file path=xl/comments1.xml><?xml version="1.0" encoding="utf-8"?>
<comments xmlns="http://schemas.openxmlformats.org/spreadsheetml/2006/main">
  <authors>
    <author>Windows XP</author>
    <author>민채</author>
  </authors>
  <commentList>
    <comment ref="L4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부분폐관 포함
</t>
        </r>
      </text>
    </comment>
    <comment ref="L6" authorId="1">
      <text>
        <r>
          <rPr>
            <b/>
            <sz val="9"/>
            <color indexed="81"/>
            <rFont val="돋움"/>
            <family val="3"/>
            <charset val="129"/>
          </rPr>
          <t>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폐관
</t>
        </r>
      </text>
    </comment>
    <comment ref="L15" authorId="1">
      <text>
        <r>
          <rPr>
            <b/>
            <sz val="9"/>
            <color indexed="81"/>
            <rFont val="돋움"/>
            <family val="3"/>
            <charset val="129"/>
          </rPr>
          <t>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L18" authorId="1">
      <text>
        <r>
          <rPr>
            <b/>
            <sz val="9"/>
            <color indexed="81"/>
            <rFont val="돋움"/>
            <family val="3"/>
            <charset val="129"/>
          </rPr>
          <t>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L19" authorId="1">
      <text>
        <r>
          <rPr>
            <b/>
            <sz val="9"/>
            <color indexed="81"/>
            <rFont val="돋움"/>
            <family val="3"/>
            <charset val="129"/>
          </rPr>
          <t>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폐관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민채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관은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비상설로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통계제외
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인디플러스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제외
</t>
        </r>
      </text>
    </comment>
    <comment ref="D8" authorId="0">
      <text>
        <r>
          <rPr>
            <b/>
            <sz val="9"/>
            <color indexed="81"/>
            <rFont val="Tahoma"/>
            <family val="2"/>
          </rPr>
          <t>2014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집계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2" authorId="0">
      <text>
        <r>
          <rPr>
            <b/>
            <sz val="9"/>
            <color indexed="81"/>
            <rFont val="돋움"/>
            <family val="3"/>
            <charset val="129"/>
          </rPr>
          <t>상영관명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프라임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신도림</t>
        </r>
        <r>
          <rPr>
            <b/>
            <sz val="9"/>
            <color indexed="81"/>
            <rFont val="Tahoma"/>
            <family val="2"/>
          </rPr>
          <t xml:space="preserve">--&gt; </t>
        </r>
        <r>
          <rPr>
            <b/>
            <sz val="9"/>
            <color indexed="81"/>
            <rFont val="돋움"/>
            <family val="3"/>
            <charset val="129"/>
          </rPr>
          <t xml:space="preserve">신도림
</t>
        </r>
      </text>
    </comment>
    <comment ref="D24" authorId="0">
      <text>
        <r>
          <rPr>
            <b/>
            <sz val="9"/>
            <color indexed="81"/>
            <rFont val="돋움"/>
            <family val="3"/>
            <charset val="129"/>
          </rPr>
          <t>가산하이힐</t>
        </r>
        <r>
          <rPr>
            <b/>
            <sz val="9"/>
            <color indexed="81"/>
            <rFont val="Tahoma"/>
            <family val="2"/>
          </rPr>
          <t xml:space="preserve"> -&gt;</t>
        </r>
        <r>
          <rPr>
            <b/>
            <sz val="9"/>
            <color indexed="81"/>
            <rFont val="돋움"/>
            <family val="3"/>
            <charset val="129"/>
          </rPr>
          <t>가산디지털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영화관명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J64" authorId="0">
      <text>
        <r>
          <rPr>
            <b/>
            <sz val="9"/>
            <color indexed="81"/>
            <rFont val="Tahoma"/>
            <family val="2"/>
          </rPr>
          <t xml:space="preserve">DV CAM </t>
        </r>
        <r>
          <rPr>
            <b/>
            <sz val="9"/>
            <color indexed="81"/>
            <rFont val="돋움"/>
            <family val="3"/>
            <charset val="129"/>
          </rPr>
          <t xml:space="preserve">상영
</t>
        </r>
      </text>
    </comment>
    <comment ref="J67" authorId="0">
      <text>
        <r>
          <rPr>
            <b/>
            <sz val="9"/>
            <color indexed="81"/>
            <rFont val="Tahoma"/>
            <family val="2"/>
          </rPr>
          <t xml:space="preserve">DV CAM </t>
        </r>
        <r>
          <rPr>
            <b/>
            <sz val="9"/>
            <color indexed="81"/>
            <rFont val="돋움"/>
            <family val="3"/>
            <charset val="129"/>
          </rPr>
          <t xml:space="preserve">상영
</t>
        </r>
      </text>
    </comment>
    <comment ref="J74" authorId="0">
      <text>
        <r>
          <rPr>
            <b/>
            <sz val="9"/>
            <color indexed="81"/>
            <rFont val="Tahoma"/>
            <family val="2"/>
          </rPr>
          <t xml:space="preserve">DV CAM </t>
        </r>
        <r>
          <rPr>
            <b/>
            <sz val="9"/>
            <color indexed="81"/>
            <rFont val="돋움"/>
            <family val="3"/>
            <charset val="129"/>
          </rPr>
          <t xml:space="preserve">상영
</t>
        </r>
      </text>
    </comment>
    <comment ref="J76" authorId="0">
      <text>
        <r>
          <rPr>
            <b/>
            <sz val="9"/>
            <color indexed="81"/>
            <rFont val="Tahoma"/>
            <family val="2"/>
          </rPr>
          <t xml:space="preserve">DV CAM </t>
        </r>
        <r>
          <rPr>
            <b/>
            <sz val="9"/>
            <color indexed="81"/>
            <rFont val="돋움"/>
            <family val="3"/>
            <charset val="129"/>
          </rPr>
          <t>상영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D82" authorId="0">
      <text>
        <r>
          <rPr>
            <b/>
            <sz val="9"/>
            <color indexed="81"/>
            <rFont val="Tahoma"/>
            <family val="2"/>
          </rPr>
          <t>2014.12.17</t>
        </r>
        <r>
          <rPr>
            <b/>
            <sz val="9"/>
            <color indexed="81"/>
            <rFont val="돋움"/>
            <family val="3"/>
            <charset val="129"/>
          </rPr>
          <t>일부터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휴관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. 12.31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휴관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중이므로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통계제외함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민채</author>
  </authors>
  <commentList>
    <comment ref="D19" authorId="0">
      <text>
        <r>
          <rPr>
            <b/>
            <sz val="9"/>
            <color indexed="81"/>
            <rFont val="돋움"/>
            <family val="3"/>
            <charset val="129"/>
          </rPr>
          <t>상영관명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부산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 xml:space="preserve">부산극장
</t>
        </r>
      </text>
    </comment>
  </commentList>
</comments>
</file>

<file path=xl/comments4.xml><?xml version="1.0" encoding="utf-8"?>
<comments xmlns="http://schemas.openxmlformats.org/spreadsheetml/2006/main">
  <authors>
    <author>민채</author>
  </authors>
  <commentList>
    <comment ref="D3" authorId="0">
      <text>
        <r>
          <rPr>
            <b/>
            <sz val="9"/>
            <color indexed="81"/>
            <rFont val="돋움"/>
            <family val="3"/>
            <charset val="129"/>
          </rPr>
          <t>상영관명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대구이시아폴리스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대구이시아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" authorId="0">
      <text>
        <r>
          <rPr>
            <b/>
            <sz val="9"/>
            <color indexed="81"/>
            <rFont val="돋움"/>
            <family val="3"/>
            <charset val="129"/>
          </rPr>
          <t>상영관명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율하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 xml:space="preserve">대구율하
</t>
        </r>
      </text>
    </comment>
    <comment ref="D5" authorId="0">
      <text>
        <r>
          <rPr>
            <b/>
            <sz val="9"/>
            <color indexed="81"/>
            <rFont val="돋움"/>
            <family val="3"/>
            <charset val="129"/>
          </rPr>
          <t>상영관명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칠곡</t>
        </r>
        <r>
          <rPr>
            <b/>
            <sz val="9"/>
            <color indexed="81"/>
            <rFont val="Tahoma"/>
            <family val="2"/>
          </rPr>
          <t xml:space="preserve">--&gt; </t>
        </r>
        <r>
          <rPr>
            <b/>
            <sz val="9"/>
            <color indexed="81"/>
            <rFont val="돋움"/>
            <family val="3"/>
            <charset val="129"/>
          </rPr>
          <t xml:space="preserve">대구칠곡
</t>
        </r>
      </text>
    </comment>
    <comment ref="D7" authorId="0">
      <text>
        <r>
          <rPr>
            <b/>
            <sz val="9"/>
            <color indexed="81"/>
            <rFont val="돋움"/>
            <family val="3"/>
            <charset val="129"/>
          </rPr>
          <t>상영관명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칠곡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 xml:space="preserve">프리미엄칠곡
</t>
        </r>
      </text>
    </comment>
  </commentList>
</comments>
</file>

<file path=xl/comments5.xml><?xml version="1.0" encoding="utf-8"?>
<comments xmlns="http://schemas.openxmlformats.org/spreadsheetml/2006/main">
  <authors>
    <author>민채</author>
    <author>Windows XP</author>
  </authors>
  <commentList>
    <comment ref="D6" authorId="0">
      <text>
        <r>
          <rPr>
            <b/>
            <sz val="9"/>
            <color indexed="81"/>
            <rFont val="돋움"/>
            <family val="3"/>
            <charset val="129"/>
          </rPr>
          <t>오픈</t>
        </r>
        <r>
          <rPr>
            <b/>
            <sz val="9"/>
            <color indexed="81"/>
            <rFont val="Tahoma"/>
            <family val="2"/>
          </rPr>
          <t>M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제외
</t>
        </r>
      </text>
    </comment>
    <comment ref="D30" authorId="1">
      <text>
        <r>
          <rPr>
            <sz val="9"/>
            <color indexed="81"/>
            <rFont val="Tahoma"/>
            <family val="2"/>
          </rPr>
          <t>2012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통계 추가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9" authorId="1">
      <text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돋움"/>
            <family val="3"/>
            <charset val="129"/>
          </rPr>
          <t xml:space="preserve">관은 비상설 상영관으로 통계제외함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민채</author>
  </authors>
  <commentList>
    <comment ref="D8" authorId="0">
      <text>
        <r>
          <rPr>
            <sz val="9"/>
            <color indexed="81"/>
            <rFont val="돋움"/>
            <family val="3"/>
            <charset val="129"/>
          </rPr>
          <t>상영관명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구미원평</t>
        </r>
        <r>
          <rPr>
            <sz val="9"/>
            <color indexed="81"/>
            <rFont val="Tahoma"/>
            <family val="2"/>
          </rPr>
          <t xml:space="preserve">-&gt; </t>
        </r>
        <r>
          <rPr>
            <sz val="9"/>
            <color indexed="81"/>
            <rFont val="돋움"/>
            <family val="3"/>
            <charset val="129"/>
          </rPr>
          <t xml:space="preserve">구미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Windows XP</author>
  </authors>
  <commentList>
    <comment ref="D2" authorId="0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없음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민채</author>
    <author>Windows XP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관은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비상설로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통계제외
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인디플러스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제외
</t>
        </r>
      </text>
    </comment>
    <comment ref="D8" authorId="0">
      <text>
        <r>
          <rPr>
            <b/>
            <sz val="9"/>
            <color indexed="81"/>
            <rFont val="Tahoma"/>
            <family val="2"/>
          </rPr>
          <t>2014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집계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2" authorId="0">
      <text>
        <r>
          <rPr>
            <b/>
            <sz val="9"/>
            <color indexed="81"/>
            <rFont val="돋움"/>
            <family val="3"/>
            <charset val="129"/>
          </rPr>
          <t>상영관명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프라임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신도림</t>
        </r>
        <r>
          <rPr>
            <b/>
            <sz val="9"/>
            <color indexed="81"/>
            <rFont val="Tahoma"/>
            <family val="2"/>
          </rPr>
          <t xml:space="preserve">--&gt; </t>
        </r>
        <r>
          <rPr>
            <b/>
            <sz val="9"/>
            <color indexed="81"/>
            <rFont val="돋움"/>
            <family val="3"/>
            <charset val="129"/>
          </rPr>
          <t xml:space="preserve">신도림
</t>
        </r>
      </text>
    </comment>
    <comment ref="D24" authorId="0">
      <text>
        <r>
          <rPr>
            <b/>
            <sz val="9"/>
            <color indexed="81"/>
            <rFont val="돋움"/>
            <family val="3"/>
            <charset val="129"/>
          </rPr>
          <t>가산하이힐</t>
        </r>
        <r>
          <rPr>
            <b/>
            <sz val="9"/>
            <color indexed="81"/>
            <rFont val="Tahoma"/>
            <family val="2"/>
          </rPr>
          <t xml:space="preserve"> -&gt;</t>
        </r>
        <r>
          <rPr>
            <b/>
            <sz val="9"/>
            <color indexed="81"/>
            <rFont val="돋움"/>
            <family val="3"/>
            <charset val="129"/>
          </rPr>
          <t>가산디지털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영화관명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J64" authorId="0">
      <text>
        <r>
          <rPr>
            <b/>
            <sz val="9"/>
            <color indexed="81"/>
            <rFont val="Tahoma"/>
            <family val="2"/>
          </rPr>
          <t xml:space="preserve">DV CAM </t>
        </r>
        <r>
          <rPr>
            <b/>
            <sz val="9"/>
            <color indexed="81"/>
            <rFont val="돋움"/>
            <family val="3"/>
            <charset val="129"/>
          </rPr>
          <t xml:space="preserve">상영
</t>
        </r>
      </text>
    </comment>
    <comment ref="J67" authorId="0">
      <text>
        <r>
          <rPr>
            <b/>
            <sz val="9"/>
            <color indexed="81"/>
            <rFont val="Tahoma"/>
            <family val="2"/>
          </rPr>
          <t xml:space="preserve">DV CAM </t>
        </r>
        <r>
          <rPr>
            <b/>
            <sz val="9"/>
            <color indexed="81"/>
            <rFont val="돋움"/>
            <family val="3"/>
            <charset val="129"/>
          </rPr>
          <t xml:space="preserve">상영
</t>
        </r>
      </text>
    </comment>
    <comment ref="J74" authorId="0">
      <text>
        <r>
          <rPr>
            <b/>
            <sz val="9"/>
            <color indexed="81"/>
            <rFont val="Tahoma"/>
            <family val="2"/>
          </rPr>
          <t xml:space="preserve">DV CAM </t>
        </r>
        <r>
          <rPr>
            <b/>
            <sz val="9"/>
            <color indexed="81"/>
            <rFont val="돋움"/>
            <family val="3"/>
            <charset val="129"/>
          </rPr>
          <t xml:space="preserve">상영
</t>
        </r>
      </text>
    </comment>
    <comment ref="J76" authorId="0">
      <text>
        <r>
          <rPr>
            <b/>
            <sz val="9"/>
            <color indexed="81"/>
            <rFont val="Tahoma"/>
            <family val="2"/>
          </rPr>
          <t xml:space="preserve">DV CAM </t>
        </r>
        <r>
          <rPr>
            <b/>
            <sz val="9"/>
            <color indexed="81"/>
            <rFont val="돋움"/>
            <family val="3"/>
            <charset val="129"/>
          </rPr>
          <t>상영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D95" authorId="0">
      <text>
        <r>
          <rPr>
            <b/>
            <sz val="9"/>
            <color indexed="81"/>
            <rFont val="돋움"/>
            <family val="3"/>
            <charset val="129"/>
          </rPr>
          <t>상영관명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부산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 xml:space="preserve">부산극장
</t>
        </r>
      </text>
    </comment>
    <comment ref="D105" authorId="0">
      <text>
        <r>
          <rPr>
            <b/>
            <sz val="9"/>
            <color indexed="81"/>
            <rFont val="돋움"/>
            <family val="3"/>
            <charset val="129"/>
          </rPr>
          <t>상영관명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대구이시아폴리스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대구이시아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6" authorId="0">
      <text>
        <r>
          <rPr>
            <b/>
            <sz val="9"/>
            <color indexed="81"/>
            <rFont val="돋움"/>
            <family val="3"/>
            <charset val="129"/>
          </rPr>
          <t>상영관명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율하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 xml:space="preserve">대구율하
</t>
        </r>
      </text>
    </comment>
    <comment ref="D107" authorId="0">
      <text>
        <r>
          <rPr>
            <b/>
            <sz val="9"/>
            <color indexed="81"/>
            <rFont val="돋움"/>
            <family val="3"/>
            <charset val="129"/>
          </rPr>
          <t>상영관명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칠곡</t>
        </r>
        <r>
          <rPr>
            <b/>
            <sz val="9"/>
            <color indexed="81"/>
            <rFont val="Tahoma"/>
            <family val="2"/>
          </rPr>
          <t xml:space="preserve">--&gt; </t>
        </r>
        <r>
          <rPr>
            <b/>
            <sz val="9"/>
            <color indexed="81"/>
            <rFont val="돋움"/>
            <family val="3"/>
            <charset val="129"/>
          </rPr>
          <t xml:space="preserve">대구칠곡
</t>
        </r>
      </text>
    </comment>
    <comment ref="D109" authorId="0">
      <text>
        <r>
          <rPr>
            <b/>
            <sz val="9"/>
            <color indexed="81"/>
            <rFont val="돋움"/>
            <family val="3"/>
            <charset val="129"/>
          </rPr>
          <t>상영관명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칠곡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 xml:space="preserve">프리미엄칠곡
</t>
        </r>
      </text>
    </comment>
    <comment ref="D175" authorId="0">
      <text>
        <r>
          <rPr>
            <b/>
            <sz val="9"/>
            <color indexed="81"/>
            <rFont val="돋움"/>
            <family val="3"/>
            <charset val="129"/>
          </rPr>
          <t>오픈</t>
        </r>
        <r>
          <rPr>
            <b/>
            <sz val="9"/>
            <color indexed="81"/>
            <rFont val="Tahoma"/>
            <family val="2"/>
          </rPr>
          <t>M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제외
</t>
        </r>
      </text>
    </comment>
    <comment ref="D199" authorId="1">
      <text>
        <r>
          <rPr>
            <sz val="9"/>
            <color indexed="81"/>
            <rFont val="Tahoma"/>
            <family val="2"/>
          </rPr>
          <t>2012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통계 추가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38" authorId="1">
      <text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돋움"/>
            <family val="3"/>
            <charset val="129"/>
          </rPr>
          <t xml:space="preserve">관은 비상설 상영관으로 통계제외함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21" authorId="0">
      <text>
        <r>
          <rPr>
            <sz val="9"/>
            <color indexed="81"/>
            <rFont val="돋움"/>
            <family val="3"/>
            <charset val="129"/>
          </rPr>
          <t>상영관명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구미원평</t>
        </r>
        <r>
          <rPr>
            <sz val="9"/>
            <color indexed="81"/>
            <rFont val="Tahoma"/>
            <family val="2"/>
          </rPr>
          <t xml:space="preserve">-&gt; </t>
        </r>
        <r>
          <rPr>
            <sz val="9"/>
            <color indexed="81"/>
            <rFont val="돋움"/>
            <family val="3"/>
            <charset val="129"/>
          </rPr>
          <t xml:space="preserve">구미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52" authorId="1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없음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<sst xmlns="http://schemas.openxmlformats.org/spreadsheetml/2006/main" count="7176" uniqueCount="1935">
  <si>
    <t>cafe.naver.com/artsonjearthall</t>
  </si>
  <si>
    <t>롯데시네마 구미공단</t>
  </si>
  <si>
    <t>롯데시네마 마산터미널</t>
  </si>
  <si>
    <t>2008-06-13</t>
  </si>
  <si>
    <t>www.mcv.co.kr</t>
  </si>
  <si>
    <t>스폰지하우스 (광화문)</t>
  </si>
  <si>
    <t>2006-04-07</t>
  </si>
  <si>
    <t>2000-09-00</t>
  </si>
  <si>
    <t>2005-01-20</t>
  </si>
  <si>
    <t>www.hyundai-artscenter.co.kr</t>
  </si>
  <si>
    <t>cafe.naver.com/cinemagwangju/</t>
  </si>
  <si>
    <t xml:space="preserve">www.yedangcinema.com/ </t>
  </si>
  <si>
    <t>광명시 광명동 150-9 ㈜크로앙스 7층</t>
  </si>
  <si>
    <t>강서구 방화2동 712-1 스카이시티몰 3층 영상관</t>
  </si>
  <si>
    <t>hannuri.ccine.co.kr</t>
  </si>
  <si>
    <t>www.cinespacejuan.com</t>
  </si>
  <si>
    <t>메가박스 코엑스</t>
  </si>
  <si>
    <t>전화번호(02)</t>
  </si>
  <si>
    <t>733-2004</t>
  </si>
  <si>
    <t>롯데시네마 동해</t>
  </si>
  <si>
    <t>CGV 아시아드</t>
  </si>
  <si>
    <t>CGV 광주터미널</t>
  </si>
  <si>
    <t>CGV 영등포</t>
  </si>
  <si>
    <t>CGV 북포항</t>
  </si>
  <si>
    <t>메가박스 상봉</t>
  </si>
  <si>
    <t>1544-1122</t>
  </si>
  <si>
    <t>롯데시네마 제주</t>
  </si>
  <si>
    <t>www.lottecinema.co.kr</t>
  </si>
  <si>
    <t>www.primuscinema.com</t>
  </si>
  <si>
    <t>www.spongehouse.com</t>
  </si>
  <si>
    <t>cafe.naver.com/cnctheater</t>
  </si>
  <si>
    <t>www.cinematheque.seoul.kr</t>
  </si>
  <si>
    <t>cafe.naver.com/filmforum</t>
  </si>
  <si>
    <t>cinema.sangsangmadang.com</t>
  </si>
  <si>
    <t>www.daeyoungcinema.com</t>
  </si>
  <si>
    <t>www.seoulcinema.com</t>
  </si>
  <si>
    <t>www.daehancinema.com</t>
  </si>
  <si>
    <t>통영시 무전동 986 통영줌아울렛 3층</t>
  </si>
  <si>
    <t>www.osancinema.com</t>
  </si>
  <si>
    <t>djt.movieplus.or.kr</t>
  </si>
  <si>
    <t>유성구 지족동 905-4 노은타운</t>
  </si>
  <si>
    <t>CGV 대구</t>
  </si>
  <si>
    <t>535-5170</t>
  </si>
  <si>
    <t>롯데시네마 창원</t>
  </si>
  <si>
    <t>롯데시네마 울산</t>
  </si>
  <si>
    <t>메가박스 울산</t>
  </si>
  <si>
    <t>야우리멀티플렉스</t>
  </si>
  <si>
    <t>롯데시네마 진주</t>
  </si>
  <si>
    <t>945-0555</t>
  </si>
  <si>
    <t>CGV 김해</t>
  </si>
  <si>
    <t>롯데시네마 노원</t>
  </si>
  <si>
    <t>CGV 상암</t>
  </si>
  <si>
    <t>메가박스 신촌</t>
  </si>
  <si>
    <t>CGV 목동</t>
  </si>
  <si>
    <t>롯데시네마 영등포</t>
  </si>
  <si>
    <t>CGV 용산</t>
  </si>
  <si>
    <t>CGV 불광</t>
  </si>
  <si>
    <t>CGV 명동</t>
  </si>
  <si>
    <t>전화번호(051)</t>
  </si>
  <si>
    <t>전화번호(053)</t>
  </si>
  <si>
    <t>전화번호(032)</t>
  </si>
  <si>
    <t>전화번호(062)</t>
  </si>
  <si>
    <t>전화번호(042)</t>
  </si>
  <si>
    <t>전화번호(052)</t>
  </si>
  <si>
    <t>전화번호(033)</t>
  </si>
  <si>
    <t>전화번호(043)</t>
  </si>
  <si>
    <t>전화번호(041)</t>
  </si>
  <si>
    <t>전화번호(063)</t>
  </si>
  <si>
    <t>전화번호(061)</t>
  </si>
  <si>
    <t>전화번호(055)</t>
  </si>
  <si>
    <t>전화번호(064)</t>
  </si>
  <si>
    <t>메가박스 킨텍스</t>
  </si>
  <si>
    <t>롯데시네마 시화</t>
  </si>
  <si>
    <t>시네마상상마당</t>
  </si>
  <si>
    <t>영화공간 주안</t>
  </si>
  <si>
    <t>CGV 익산</t>
  </si>
  <si>
    <t>CGV 전주</t>
  </si>
  <si>
    <t xml:space="preserve">730-3200 </t>
  </si>
  <si>
    <t>CGV 마산</t>
  </si>
  <si>
    <t>356-3606</t>
  </si>
  <si>
    <t>CGV 창원</t>
  </si>
  <si>
    <t>1544-5522</t>
  </si>
  <si>
    <t>CGV 대학로</t>
  </si>
  <si>
    <t>3672-4233</t>
  </si>
  <si>
    <t>씨네큐브광화문</t>
  </si>
  <si>
    <t>서울아트시네마</t>
  </si>
  <si>
    <t>서울애니시네마</t>
  </si>
  <si>
    <t>CGV 대한</t>
  </si>
  <si>
    <t>CGV 서면</t>
  </si>
  <si>
    <t>롯데시네마 성서</t>
  </si>
  <si>
    <t>744-6114</t>
  </si>
  <si>
    <t>1588-5362</t>
  </si>
  <si>
    <t>355-2116</t>
  </si>
  <si>
    <t>640-6200</t>
  </si>
  <si>
    <t>833-9999</t>
  </si>
  <si>
    <t>CGV 거제</t>
  </si>
  <si>
    <t>롯데시네마 군산</t>
  </si>
  <si>
    <t>전주시네마타운</t>
  </si>
  <si>
    <t>CGV 제주</t>
  </si>
  <si>
    <t>224-5858</t>
  </si>
  <si>
    <t>메가박스 창원</t>
  </si>
  <si>
    <t>CGV 동래</t>
  </si>
  <si>
    <t>CGV 왕십리</t>
  </si>
  <si>
    <t>롯데시네마 동성로</t>
  </si>
  <si>
    <t>롯데시네마 남원주</t>
  </si>
  <si>
    <t>총 스크린 수</t>
  </si>
  <si>
    <t>메가박스 목동</t>
  </si>
  <si>
    <t>메가박스 동대문</t>
  </si>
  <si>
    <t>메가박스 해운대</t>
  </si>
  <si>
    <t>메가박스 수원</t>
  </si>
  <si>
    <t>메가박스 영통</t>
  </si>
  <si>
    <t>CGV 청주(북문)</t>
  </si>
  <si>
    <t>롯데시네마 부평역사</t>
  </si>
  <si>
    <t xml:space="preserve"> 2000-05-05 </t>
  </si>
  <si>
    <t>롯데시네마 성남신흥</t>
  </si>
  <si>
    <t>대기업 운영 여부</t>
  </si>
  <si>
    <t>CGV 구로</t>
  </si>
  <si>
    <t>CGV 미아</t>
  </si>
  <si>
    <t>CGV 강변</t>
  </si>
  <si>
    <t>CGV 강동</t>
  </si>
  <si>
    <t>롯데시네마 강동</t>
  </si>
  <si>
    <t>CGV 강남</t>
  </si>
  <si>
    <t>CGV 압구정</t>
  </si>
  <si>
    <t>330-6200</t>
  </si>
  <si>
    <t>425-2845</t>
  </si>
  <si>
    <t>~</t>
  </si>
  <si>
    <t xml:space="preserve">아트씨어터 씨앤씨 </t>
  </si>
  <si>
    <t>www.cgv.co.kr</t>
  </si>
  <si>
    <t>2000-12-00</t>
  </si>
  <si>
    <t>송파구 잠실동 40-1</t>
  </si>
  <si>
    <t>2004-05-01</t>
  </si>
  <si>
    <t>1997-07-00</t>
  </si>
  <si>
    <t>롯데시네마 홍대입구</t>
  </si>
  <si>
    <t>2007-09-00</t>
  </si>
  <si>
    <t>롯데시네마 건대입구</t>
  </si>
  <si>
    <t>www.cinei.org</t>
  </si>
  <si>
    <t>롯데시네마 통영줌아울렛</t>
  </si>
  <si>
    <t xml:space="preserve">3291-5540 </t>
  </si>
  <si>
    <t>CGV 성신여대입구</t>
  </si>
  <si>
    <t>2008-09-11</t>
  </si>
  <si>
    <t>2004-12-00</t>
  </si>
  <si>
    <t>1933-00-00</t>
  </si>
  <si>
    <t>관악구</t>
  </si>
  <si>
    <t>광진구</t>
  </si>
  <si>
    <t>직영</t>
  </si>
  <si>
    <t>중랑구</t>
  </si>
  <si>
    <t>위탁</t>
  </si>
  <si>
    <t>경상북도</t>
  </si>
  <si>
    <t>경상남도</t>
  </si>
  <si>
    <t>제주도</t>
  </si>
  <si>
    <t>제주시</t>
  </si>
  <si>
    <t>부산시</t>
  </si>
  <si>
    <t>금정구</t>
  </si>
  <si>
    <t>번호</t>
  </si>
  <si>
    <t>홈페이지</t>
  </si>
  <si>
    <t>비고</t>
  </si>
  <si>
    <t>서울시</t>
  </si>
  <si>
    <t>강남구</t>
  </si>
  <si>
    <t>강동구</t>
  </si>
  <si>
    <t>강북구</t>
  </si>
  <si>
    <t>강서구</t>
  </si>
  <si>
    <t>구로구</t>
  </si>
  <si>
    <t>영화관명</t>
  </si>
  <si>
    <t>중앙시네마</t>
  </si>
  <si>
    <t>밀양시네마</t>
  </si>
  <si>
    <t>동작구</t>
  </si>
  <si>
    <t>성북구</t>
  </si>
  <si>
    <t>은평구</t>
  </si>
  <si>
    <t>종로구</t>
  </si>
  <si>
    <t>평택시</t>
  </si>
  <si>
    <t>충청남도</t>
  </si>
  <si>
    <t>전주시</t>
  </si>
  <si>
    <t>대전시</t>
  </si>
  <si>
    <t>유성구</t>
  </si>
  <si>
    <t>부평구</t>
  </si>
  <si>
    <t>경기도</t>
  </si>
  <si>
    <t>광명시</t>
  </si>
  <si>
    <t>군포시</t>
  </si>
  <si>
    <t>남양주시</t>
  </si>
  <si>
    <t>수원시</t>
  </si>
  <si>
    <t>안산시</t>
  </si>
  <si>
    <t>오산시</t>
  </si>
  <si>
    <t>화성시</t>
  </si>
  <si>
    <t>거제시</t>
  </si>
  <si>
    <t>구미시</t>
  </si>
  <si>
    <t>광주시</t>
  </si>
  <si>
    <t>광산구</t>
  </si>
  <si>
    <t>동구</t>
  </si>
  <si>
    <t>북구</t>
  </si>
  <si>
    <t>대구시</t>
  </si>
  <si>
    <t>달서구</t>
  </si>
  <si>
    <t>동래구</t>
  </si>
  <si>
    <t>인천시</t>
  </si>
  <si>
    <t>계양구</t>
  </si>
  <si>
    <t>서구</t>
  </si>
  <si>
    <t>전라남도</t>
  </si>
  <si>
    <t>목포시</t>
  </si>
  <si>
    <t>순천시</t>
  </si>
  <si>
    <t>여수시</t>
  </si>
  <si>
    <t>전라북도</t>
  </si>
  <si>
    <t>군산시</t>
  </si>
  <si>
    <t>중구</t>
  </si>
  <si>
    <t>사상구</t>
  </si>
  <si>
    <t>연제구</t>
  </si>
  <si>
    <t>거창군</t>
  </si>
  <si>
    <t>부산</t>
  </si>
  <si>
    <t>광역단체</t>
  </si>
  <si>
    <t>기초단체</t>
  </si>
  <si>
    <t>지방 합계</t>
  </si>
  <si>
    <t>지역</t>
  </si>
  <si>
    <t>총계</t>
  </si>
  <si>
    <t>서울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</si>
  <si>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</si>
  <si>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</si>
  <si>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</si>
  <si>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</si>
  <si>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</si>
  <si>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</si>
  <si>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</si>
  <si>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</si>
  <si>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</si>
  <si>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</si>
  <si>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</si>
  <si>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</si>
  <si>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제주</t>
  </si>
  <si>
    <t>대한극장</t>
  </si>
  <si>
    <t>영등포구</t>
  </si>
  <si>
    <t>남구</t>
  </si>
  <si>
    <t>고양시</t>
  </si>
  <si>
    <t>부천시</t>
  </si>
  <si>
    <t>용인시</t>
  </si>
  <si>
    <t>강원도</t>
  </si>
  <si>
    <t>속초시</t>
  </si>
  <si>
    <t>원주시</t>
  </si>
  <si>
    <t>충청북도</t>
  </si>
  <si>
    <t>청주시</t>
  </si>
  <si>
    <t>천안시</t>
  </si>
  <si>
    <t>대영시네마</t>
  </si>
  <si>
    <t>부산진구</t>
  </si>
  <si>
    <t>수성구</t>
  </si>
  <si>
    <t>울산시</t>
  </si>
  <si>
    <t>동해시</t>
  </si>
  <si>
    <t>춘천시</t>
  </si>
  <si>
    <t>공주시</t>
  </si>
  <si>
    <t>당진군</t>
  </si>
  <si>
    <t>논산시</t>
  </si>
  <si>
    <t>남원시</t>
  </si>
  <si>
    <t>익산시</t>
  </si>
  <si>
    <t>정읍시</t>
  </si>
  <si>
    <t>김해시</t>
  </si>
  <si>
    <t>밀양시</t>
  </si>
  <si>
    <t>진주시</t>
  </si>
  <si>
    <t>창원시</t>
  </si>
  <si>
    <t>서귀포시</t>
  </si>
  <si>
    <t xml:space="preserve"> 경남 </t>
  </si>
  <si>
    <t>노원구</t>
  </si>
  <si>
    <t>서대문구</t>
  </si>
  <si>
    <t>소재지</t>
  </si>
  <si>
    <t>서울극장</t>
  </si>
  <si>
    <t>씨네위</t>
  </si>
  <si>
    <t>부여군</t>
  </si>
  <si>
    <t>논산시네마</t>
  </si>
  <si>
    <t>광주극장</t>
  </si>
  <si>
    <t>동대문구</t>
  </si>
  <si>
    <t>마포구</t>
  </si>
  <si>
    <t>서초구</t>
  </si>
  <si>
    <t>용산구</t>
  </si>
  <si>
    <t>개관일</t>
  </si>
  <si>
    <t>연수구</t>
  </si>
  <si>
    <t>파주시</t>
  </si>
  <si>
    <t>총 좌석수</t>
  </si>
  <si>
    <t>시흥시</t>
  </si>
  <si>
    <t>송파구</t>
  </si>
  <si>
    <t>성동구</t>
  </si>
  <si>
    <t>양천구</t>
  </si>
  <si>
    <t>해운대구</t>
  </si>
  <si>
    <t>남동구</t>
  </si>
  <si>
    <t>성남시</t>
  </si>
  <si>
    <t>안양시</t>
  </si>
  <si>
    <t>포항시</t>
  </si>
  <si>
    <t>구리시</t>
  </si>
  <si>
    <t>안동시</t>
  </si>
  <si>
    <t>현대예술관</t>
  </si>
  <si>
    <t>건국대학교</t>
  </si>
  <si>
    <t>양산시</t>
  </si>
  <si>
    <t>동성아트홀</t>
  </si>
  <si>
    <t>금성시네마</t>
  </si>
  <si>
    <t>시네마M</t>
  </si>
  <si>
    <t>장수군</t>
  </si>
  <si>
    <t>필름포럼</t>
  </si>
  <si>
    <t>총스크린수</t>
  </si>
  <si>
    <t>총좌석수</t>
  </si>
  <si>
    <t>동두천시</t>
  </si>
  <si>
    <t>문화극장</t>
  </si>
  <si>
    <t xml:space="preserve">경기도 </t>
  </si>
  <si>
    <t>월드시네마</t>
  </si>
  <si>
    <t>양평군</t>
  </si>
  <si>
    <t>양평시네마</t>
  </si>
  <si>
    <t>오산시네마</t>
  </si>
  <si>
    <t>의정부시</t>
  </si>
  <si>
    <t>이천시</t>
  </si>
  <si>
    <t>씨네7</t>
  </si>
  <si>
    <t>김천시</t>
  </si>
  <si>
    <t>영주시</t>
  </si>
  <si>
    <t>예당시네마</t>
  </si>
  <si>
    <t xml:space="preserve">인천시 </t>
  </si>
  <si>
    <t>애관극장</t>
  </si>
  <si>
    <t>당진시네마</t>
  </si>
  <si>
    <t>www.megabox.co.kr</t>
  </si>
  <si>
    <t>www.mmc24.co.kr</t>
  </si>
  <si>
    <t>www.cineart.co.kr</t>
  </si>
  <si>
    <t>광주영상복합문화관 G시네마</t>
  </si>
  <si>
    <t>www.cinewe.co.kr</t>
  </si>
  <si>
    <t>www.jcinema.co.kr</t>
  </si>
  <si>
    <t>롯데시네마 에비뉴엘(명동)</t>
  </si>
  <si>
    <t>www.ypcinema.com</t>
  </si>
  <si>
    <t>wdcinema.co.kr</t>
  </si>
  <si>
    <t>www.thc9.co.kr</t>
  </si>
  <si>
    <t>www.cine7.co.kr</t>
  </si>
  <si>
    <t>금정구 부곡 2동 298번지</t>
  </si>
  <si>
    <t>www.cinemam.co.kr</t>
  </si>
  <si>
    <t>www.aekwan.co.kr</t>
  </si>
  <si>
    <t>www.isfx.co.kr</t>
  </si>
  <si>
    <t>전년 대비 
스크린 수 증감수</t>
  </si>
  <si>
    <t>전년 대비 
스크린 수 증감율</t>
  </si>
  <si>
    <t>CGV 순천</t>
  </si>
  <si>
    <t>CGV 동탄</t>
  </si>
  <si>
    <t>CGV 인천논현</t>
  </si>
  <si>
    <t>CGV 평촌</t>
  </si>
  <si>
    <t>CGV 동탄스타</t>
  </si>
  <si>
    <t>CGV 군자</t>
  </si>
  <si>
    <t>CGV 송파</t>
  </si>
  <si>
    <t>CGV 센텀시티</t>
  </si>
  <si>
    <t>CGV 인천</t>
  </si>
  <si>
    <t>CGV 대연</t>
  </si>
  <si>
    <t>CGV 남포</t>
  </si>
  <si>
    <t>CGV 계양</t>
  </si>
  <si>
    <t>CGV 주안</t>
  </si>
  <si>
    <t>CGV 대전</t>
  </si>
  <si>
    <t>CGV 일산</t>
  </si>
  <si>
    <t>CGV 부천</t>
  </si>
  <si>
    <t>CGV 역곡</t>
  </si>
  <si>
    <t>CGV 야탑</t>
  </si>
  <si>
    <t>CGV 오리</t>
  </si>
  <si>
    <t>CGV 동수원</t>
  </si>
  <si>
    <t>CGV 북수원</t>
  </si>
  <si>
    <t>CGV 수원</t>
  </si>
  <si>
    <t>CGV 시흥</t>
  </si>
  <si>
    <t>CGV 안양</t>
  </si>
  <si>
    <t>CGV 죽전</t>
  </si>
  <si>
    <t>CGV 평택</t>
  </si>
  <si>
    <t>CGV 춘천</t>
  </si>
  <si>
    <t>CGV 천안</t>
  </si>
  <si>
    <t>CGV 목포</t>
  </si>
  <si>
    <t>CGV 포항</t>
  </si>
  <si>
    <t>CGV 진주</t>
  </si>
  <si>
    <t>롯데시네마 신림</t>
  </si>
  <si>
    <t>롯데시네마 청량리</t>
  </si>
  <si>
    <t>롯데시네마 동래</t>
  </si>
  <si>
    <t>롯데시네마 대구</t>
  </si>
  <si>
    <t>롯데시네마 인천</t>
  </si>
  <si>
    <t>롯데시네마 부평</t>
  </si>
  <si>
    <t>롯데시네마 검단</t>
  </si>
  <si>
    <t>롯데시네마 대전</t>
  </si>
  <si>
    <t>롯데시네마 구리</t>
  </si>
  <si>
    <t>롯데시네마 산본</t>
  </si>
  <si>
    <t>롯데시네마 진접</t>
  </si>
  <si>
    <t>롯데시네마 성남</t>
  </si>
  <si>
    <t>롯데시네마 용인</t>
  </si>
  <si>
    <t>롯데시네마 송탄</t>
  </si>
  <si>
    <t>롯데시네마 병점</t>
  </si>
  <si>
    <t>롯데시네마 청주</t>
  </si>
  <si>
    <t>롯데시네마 목포</t>
  </si>
  <si>
    <t>롯데시네마 구미</t>
  </si>
  <si>
    <t>235-2100</t>
  </si>
  <si>
    <t>KU 시네마테크</t>
  </si>
  <si>
    <t>350-0341</t>
  </si>
  <si>
    <t>롯데시네마 양산</t>
  </si>
  <si>
    <t>롯데시네마 서귀포</t>
  </si>
  <si>
    <t>SFX시네마</t>
  </si>
  <si>
    <t>2277-3014</t>
  </si>
  <si>
    <t>741-9782</t>
  </si>
  <si>
    <t>764-4231</t>
  </si>
  <si>
    <t>대전아트시네마</t>
  </si>
  <si>
    <t>CGV 군산</t>
  </si>
  <si>
    <t>MMC만경관</t>
  </si>
  <si>
    <t>257-2041</t>
  </si>
  <si>
    <t>한누리시네마</t>
  </si>
  <si>
    <t>352-7050</t>
  </si>
  <si>
    <t>아트하우스모모</t>
  </si>
  <si>
    <t>씨네코드 선재</t>
  </si>
  <si>
    <t>472-1138</t>
  </si>
  <si>
    <t>특별관 운영 여부</t>
  </si>
  <si>
    <t>867-3030</t>
  </si>
  <si>
    <t>863-3000</t>
  </si>
  <si>
    <t>771-2154</t>
  </si>
  <si>
    <t>886-2603</t>
  </si>
  <si>
    <t>1588-5342</t>
  </si>
  <si>
    <t>870-2222</t>
  </si>
  <si>
    <t>1544-3391</t>
  </si>
  <si>
    <t>MCV아카데미</t>
  </si>
  <si>
    <t>476-1001</t>
  </si>
  <si>
    <t>747-7782</t>
  </si>
  <si>
    <t>2002-7770</t>
  </si>
  <si>
    <t>3393-3500</t>
  </si>
  <si>
    <t>3455-8342</t>
  </si>
  <si>
    <t>2285-2102</t>
  </si>
  <si>
    <t>245-5441</t>
  </si>
  <si>
    <t>446-6579</t>
  </si>
  <si>
    <t>3D 가능관수</t>
  </si>
  <si>
    <t>4D 상영관수</t>
  </si>
  <si>
    <t>442-0602</t>
  </si>
  <si>
    <t>247-1384</t>
  </si>
  <si>
    <t>전화번호(054)</t>
  </si>
  <si>
    <t>854-5500</t>
  </si>
  <si>
    <t>634-8855</t>
  </si>
  <si>
    <t>CGV 명동역</t>
  </si>
  <si>
    <t>427-6777</t>
  </si>
  <si>
    <t>503-3330</t>
  </si>
  <si>
    <t>CGV 부평</t>
  </si>
  <si>
    <t>761-5951</t>
  </si>
  <si>
    <t>283-7722</t>
  </si>
  <si>
    <t>290-1500</t>
  </si>
  <si>
    <t>폐관
극장 수</t>
  </si>
  <si>
    <t>폐관 
스크린 수</t>
  </si>
  <si>
    <t>의정부시 의정부동 494 센트럴타워 15층</t>
  </si>
  <si>
    <t>정읍시 연지동 39-5</t>
  </si>
  <si>
    <t>전화번호 (031)</t>
  </si>
  <si>
    <t>cine.arirang.go.kr</t>
  </si>
  <si>
    <t>cinema.ani.seoul.kr</t>
  </si>
  <si>
    <t>전년 대비 
극장 수
증감수</t>
    <phoneticPr fontId="28" type="noConversion"/>
  </si>
  <si>
    <t>전년 대비 
극장 수 
증감율</t>
    <phoneticPr fontId="28" type="noConversion"/>
  </si>
  <si>
    <t>~</t>
    <phoneticPr fontId="28" type="noConversion"/>
  </si>
  <si>
    <t>청춘극장</t>
    <phoneticPr fontId="28" type="noConversion"/>
  </si>
  <si>
    <t>2231-8869</t>
    <phoneticPr fontId="28" type="noConversion"/>
  </si>
  <si>
    <t>영화의 전당</t>
    <phoneticPr fontId="28" type="noConversion"/>
  </si>
  <si>
    <t>~</t>
    <phoneticPr fontId="28" type="noConversion"/>
  </si>
  <si>
    <t>780-6050</t>
    <phoneticPr fontId="28" type="noConversion"/>
  </si>
  <si>
    <t>전주시</t>
    <phoneticPr fontId="28" type="noConversion"/>
  </si>
  <si>
    <t>전주디지털독립영화관</t>
    <phoneticPr fontId="28" type="noConversion"/>
  </si>
  <si>
    <t>~</t>
    <phoneticPr fontId="28" type="noConversion"/>
  </si>
  <si>
    <t>231-3377</t>
    <phoneticPr fontId="28" type="noConversion"/>
  </si>
  <si>
    <t>전주국제영화제 운영</t>
    <phoneticPr fontId="28" type="noConversion"/>
  </si>
  <si>
    <t xml:space="preserve">(구)영보소극장 </t>
    <phoneticPr fontId="28" type="noConversion"/>
  </si>
  <si>
    <t>메가박스 전산망 사용</t>
    <phoneticPr fontId="28" type="noConversion"/>
  </si>
  <si>
    <t>www.dureraum.org</t>
  </si>
  <si>
    <t>1973-07-01</t>
    <phoneticPr fontId="28" type="noConversion"/>
  </si>
  <si>
    <t>2003-09-10</t>
    <phoneticPr fontId="28" type="noConversion"/>
  </si>
  <si>
    <t>2008-02-28</t>
    <phoneticPr fontId="28" type="noConversion"/>
  </si>
  <si>
    <t>2010-08-30</t>
    <phoneticPr fontId="28" type="noConversion"/>
  </si>
  <si>
    <t>1544-8855</t>
  </si>
  <si>
    <t>1544-0070</t>
  </si>
  <si>
    <t>씨너스명동-&gt;CGV명동역 변경 (2010. 8.19)</t>
  </si>
  <si>
    <t>3관 영화진흥위원회 독립영화전용관</t>
    <phoneticPr fontId="28" type="noConversion"/>
  </si>
  <si>
    <t>허리우드 클래식</t>
    <phoneticPr fontId="28" type="noConversion"/>
  </si>
  <si>
    <t>(구)허리우드 극장</t>
    <phoneticPr fontId="28" type="noConversion"/>
  </si>
  <si>
    <t>인디스페이스</t>
    <phoneticPr fontId="28" type="noConversion"/>
  </si>
  <si>
    <t>(구)미로스페이스</t>
    <phoneticPr fontId="28" type="noConversion"/>
  </si>
  <si>
    <t>café.naver.com/indiespace</t>
    <phoneticPr fontId="28" type="noConversion"/>
  </si>
  <si>
    <t>738-0366</t>
    <phoneticPr fontId="28" type="noConversion"/>
  </si>
  <si>
    <t>메가박스 전산망 사용/HDV캠 대여상영가능</t>
    <phoneticPr fontId="28" type="noConversion"/>
  </si>
  <si>
    <t>KU 시네마트랩</t>
    <phoneticPr fontId="28" type="noConversion"/>
  </si>
  <si>
    <t>~</t>
    <phoneticPr fontId="28" type="noConversion"/>
  </si>
  <si>
    <t>성북구 안암로 145 고려대미디어관4층</t>
    <phoneticPr fontId="28" type="noConversion"/>
  </si>
  <si>
    <t>924-6579</t>
    <phoneticPr fontId="28" type="noConversion"/>
  </si>
  <si>
    <t>café.naver.com/kucinematrap</t>
    <phoneticPr fontId="28" type="noConversion"/>
  </si>
  <si>
    <t>은평구</t>
    <phoneticPr fontId="28" type="noConversion"/>
  </si>
  <si>
    <t>café.naver.com/seoulsilvercinema</t>
    <phoneticPr fontId="28" type="noConversion"/>
  </si>
  <si>
    <t>www.kucine.kr</t>
    <phoneticPr fontId="28" type="noConversion"/>
  </si>
  <si>
    <t>09년 3월 CGV 아시아드로 상호변경</t>
  </si>
  <si>
    <t>cafe.naver.com/gukdo</t>
    <phoneticPr fontId="28" type="noConversion"/>
  </si>
  <si>
    <t>4,5관은 공연장으로 등록. 통계제외함</t>
    <phoneticPr fontId="28" type="noConversion"/>
  </si>
  <si>
    <t>café.naver.com/dartholic</t>
    <phoneticPr fontId="28" type="noConversion"/>
  </si>
  <si>
    <t>dht.movieplus.or.kr</t>
    <phoneticPr fontId="28" type="noConversion"/>
  </si>
  <si>
    <t>cafe.naver.com/gcinema</t>
    <phoneticPr fontId="28" type="noConversion"/>
  </si>
  <si>
    <t>경기도</t>
    <phoneticPr fontId="28" type="noConversion"/>
  </si>
  <si>
    <t>부천시</t>
    <phoneticPr fontId="28" type="noConversion"/>
  </si>
  <si>
    <t>mht.movieplus.or.kr/</t>
    <phoneticPr fontId="28" type="noConversion"/>
  </si>
  <si>
    <t>dgt.movieplus.or.kr/</t>
    <phoneticPr fontId="28" type="noConversion"/>
  </si>
  <si>
    <t>(구)동광극장</t>
    <phoneticPr fontId="28" type="noConversion"/>
  </si>
  <si>
    <t>2012.12.28 디지털상영관으로 전환</t>
    <phoneticPr fontId="28" type="noConversion"/>
  </si>
  <si>
    <t>강원도</t>
    <phoneticPr fontId="28" type="noConversion"/>
  </si>
  <si>
    <t>강릉시</t>
    <phoneticPr fontId="28" type="noConversion"/>
  </si>
  <si>
    <t>café.daum.net/jifftheque</t>
    <phoneticPr fontId="28" type="noConversion"/>
  </si>
  <si>
    <t>06.09.28재개관</t>
  </si>
  <si>
    <t>uhmuna.tnaru.net/tnaru/top</t>
    <phoneticPr fontId="28" type="noConversion"/>
  </si>
  <si>
    <t>강릉독립예술극장 신영</t>
    <phoneticPr fontId="28" type="noConversion"/>
  </si>
  <si>
    <t>645-7415</t>
    <phoneticPr fontId="28" type="noConversion"/>
  </si>
  <si>
    <t>theque.tistory.com/</t>
    <phoneticPr fontId="28" type="noConversion"/>
  </si>
  <si>
    <t>(구)신영극장/2012년 개관</t>
    <phoneticPr fontId="28" type="noConversion"/>
  </si>
  <si>
    <t>경상남도</t>
    <phoneticPr fontId="28" type="noConversion"/>
  </si>
  <si>
    <t>거제시</t>
    <phoneticPr fontId="28" type="noConversion"/>
  </si>
  <si>
    <t>거제아트시네마</t>
    <phoneticPr fontId="28" type="noConversion"/>
  </si>
  <si>
    <t>거제시 고현동 44-5</t>
    <phoneticPr fontId="28" type="noConversion"/>
  </si>
  <si>
    <t>636-5441</t>
    <phoneticPr fontId="28" type="noConversion"/>
  </si>
  <si>
    <t>cafe.naver.com/geojeartcinema/</t>
    <phoneticPr fontId="28" type="noConversion"/>
  </si>
  <si>
    <t>씨네세븐 거제</t>
    <phoneticPr fontId="28" type="noConversion"/>
  </si>
  <si>
    <t>거제시 고현동 고현로 11길 20</t>
    <phoneticPr fontId="28" type="noConversion"/>
  </si>
  <si>
    <t>638-2091</t>
    <phoneticPr fontId="28" type="noConversion"/>
  </si>
  <si>
    <t>www.cine7.kr</t>
    <phoneticPr fontId="28" type="noConversion"/>
  </si>
  <si>
    <t>한국만화영상진흥원</t>
    <phoneticPr fontId="28" type="noConversion"/>
  </si>
  <si>
    <t>310-3093</t>
    <phoneticPr fontId="28" type="noConversion"/>
  </si>
  <si>
    <t>www.comicsmuseum.org</t>
    <phoneticPr fontId="28" type="noConversion"/>
  </si>
  <si>
    <t xml:space="preserve">실버극장 </t>
    <phoneticPr fontId="28" type="noConversion"/>
  </si>
  <si>
    <t>~</t>
    <phoneticPr fontId="28" type="noConversion"/>
  </si>
  <si>
    <t xml:space="preserve">서울시 </t>
    <phoneticPr fontId="28" type="noConversion"/>
  </si>
  <si>
    <t>중구</t>
    <phoneticPr fontId="28" type="noConversion"/>
  </si>
  <si>
    <t xml:space="preserve">지평선시네마 </t>
    <phoneticPr fontId="28" type="noConversion"/>
  </si>
  <si>
    <t>전라북도</t>
    <phoneticPr fontId="28" type="noConversion"/>
  </si>
  <si>
    <t>김제시</t>
    <phoneticPr fontId="28" type="noConversion"/>
  </si>
  <si>
    <t xml:space="preserve">아트나인 </t>
    <phoneticPr fontId="28" type="noConversion"/>
  </si>
  <si>
    <t xml:space="preserve">동작구 동작대로 89 골든시네마 12층 </t>
    <phoneticPr fontId="28" type="noConversion"/>
  </si>
  <si>
    <t>동작구</t>
    <phoneticPr fontId="28" type="noConversion"/>
  </si>
  <si>
    <t xml:space="preserve">명화극장 </t>
    <phoneticPr fontId="28" type="noConversion"/>
  </si>
  <si>
    <t xml:space="preserve">경기도 </t>
    <phoneticPr fontId="28" type="noConversion"/>
  </si>
  <si>
    <t>안산시</t>
    <phoneticPr fontId="28" type="noConversion"/>
  </si>
  <si>
    <t xml:space="preserve">1관 폐관 </t>
    <phoneticPr fontId="28" type="noConversion"/>
  </si>
  <si>
    <t xml:space="preserve">임실군 </t>
    <phoneticPr fontId="28" type="noConversion"/>
  </si>
  <si>
    <t xml:space="preserve">작은별 영화관 </t>
    <phoneticPr fontId="28" type="noConversion"/>
  </si>
  <si>
    <t xml:space="preserve">영화문화예술센터 </t>
    <phoneticPr fontId="28" type="noConversion"/>
  </si>
  <si>
    <t>제주도</t>
    <phoneticPr fontId="28" type="noConversion"/>
  </si>
  <si>
    <t>제주시</t>
    <phoneticPr fontId="28" type="noConversion"/>
  </si>
  <si>
    <t xml:space="preserve">5,6,7관 휴관 </t>
    <phoneticPr fontId="28" type="noConversion"/>
  </si>
  <si>
    <t xml:space="preserve">추억극장 미림 </t>
    <phoneticPr fontId="28" type="noConversion"/>
  </si>
  <si>
    <t>인천시</t>
    <phoneticPr fontId="28" type="noConversion"/>
  </si>
  <si>
    <t>동구</t>
    <phoneticPr fontId="28" type="noConversion"/>
  </si>
  <si>
    <t>032-764-6920</t>
    <phoneticPr fontId="28" type="noConversion"/>
  </si>
  <si>
    <t>마포구에서 이전/ 1개관</t>
    <phoneticPr fontId="28" type="noConversion"/>
  </si>
  <si>
    <t>DV CAM 상영</t>
    <phoneticPr fontId="28" type="noConversion"/>
  </si>
  <si>
    <t xml:space="preserve">1관 영화관, 2관 공연장 </t>
    <phoneticPr fontId="28" type="noConversion"/>
  </si>
  <si>
    <t>489-2807</t>
    <phoneticPr fontId="28" type="noConversion"/>
  </si>
  <si>
    <t>2012-00-00</t>
    <phoneticPr fontId="28" type="noConversion"/>
  </si>
  <si>
    <t>imsil.ccine.co.kr</t>
    <phoneticPr fontId="28" type="noConversion"/>
  </si>
  <si>
    <t>2013-00-00</t>
    <phoneticPr fontId="28" type="noConversion"/>
  </si>
  <si>
    <t>필름 전용관수</t>
    <phoneticPr fontId="28" type="noConversion"/>
  </si>
  <si>
    <t>디지털 2D 상영관수</t>
    <phoneticPr fontId="28" type="noConversion"/>
  </si>
  <si>
    <t>필름 전용관수</t>
    <phoneticPr fontId="28" type="noConversion"/>
  </si>
  <si>
    <t>디지털 2D 상영관수</t>
    <phoneticPr fontId="28" type="noConversion"/>
  </si>
  <si>
    <t>위탁</t>
    <phoneticPr fontId="28" type="noConversion"/>
  </si>
  <si>
    <t>필름 전용관수</t>
    <phoneticPr fontId="28" type="noConversion"/>
  </si>
  <si>
    <t>디지털 2D 상영관수</t>
    <phoneticPr fontId="28" type="noConversion"/>
  </si>
  <si>
    <t>필름 전용관수</t>
    <phoneticPr fontId="28" type="noConversion"/>
  </si>
  <si>
    <t>디지털 2D 상영관수</t>
    <phoneticPr fontId="28" type="noConversion"/>
  </si>
  <si>
    <t>THC9(태흥시네플렉스)</t>
    <phoneticPr fontId="28" type="noConversion"/>
  </si>
  <si>
    <t>필름 전용관수</t>
    <phoneticPr fontId="28" type="noConversion"/>
  </si>
  <si>
    <t>디지털 2D 상영관수</t>
    <phoneticPr fontId="28" type="noConversion"/>
  </si>
  <si>
    <t>필름 전용관수</t>
    <phoneticPr fontId="28" type="noConversion"/>
  </si>
  <si>
    <t>디지털 2D 상영관수</t>
    <phoneticPr fontId="28" type="noConversion"/>
  </si>
  <si>
    <t xml:space="preserve"> &lt; 2014년 전국 극장 현황 &gt;</t>
    <phoneticPr fontId="28" type="noConversion"/>
  </si>
  <si>
    <t>2014년 
극장 수</t>
    <phoneticPr fontId="28" type="noConversion"/>
  </si>
  <si>
    <t>2014년 
스크린 수</t>
    <phoneticPr fontId="28" type="noConversion"/>
  </si>
  <si>
    <t xml:space="preserve">2014년
좌석 수 </t>
    <phoneticPr fontId="28" type="noConversion"/>
  </si>
  <si>
    <t>2013년
극장 수</t>
    <phoneticPr fontId="28" type="noConversion"/>
  </si>
  <si>
    <t>2013년 
스크린 수</t>
    <phoneticPr fontId="28" type="noConversion"/>
  </si>
  <si>
    <t xml:space="preserve">IMAX 상영관 수 </t>
    <phoneticPr fontId="28" type="noConversion"/>
  </si>
  <si>
    <t>1544-0070</t>
    <phoneticPr fontId="28" type="noConversion"/>
  </si>
  <si>
    <t>메가박스와 전산망 공유</t>
    <phoneticPr fontId="28" type="noConversion"/>
  </si>
  <si>
    <t>강원도</t>
    <phoneticPr fontId="28" type="noConversion"/>
  </si>
  <si>
    <t xml:space="preserve">홍천군 </t>
    <phoneticPr fontId="28" type="noConversion"/>
  </si>
  <si>
    <t xml:space="preserve">홍천시네마 </t>
    <phoneticPr fontId="28" type="noConversion"/>
  </si>
  <si>
    <t>~</t>
    <phoneticPr fontId="28" type="noConversion"/>
  </si>
  <si>
    <t>433-7053</t>
    <phoneticPr fontId="28" type="noConversion"/>
  </si>
  <si>
    <t>동광극장</t>
    <phoneticPr fontId="28" type="noConversion"/>
  </si>
  <si>
    <t xml:space="preserve">IMAX 상영관 수 </t>
    <phoneticPr fontId="28" type="noConversion"/>
  </si>
  <si>
    <t>480-3827</t>
    <phoneticPr fontId="28" type="noConversion"/>
  </si>
  <si>
    <t xml:space="preserve">IMAX 상영관 수 </t>
    <phoneticPr fontId="28" type="noConversion"/>
  </si>
  <si>
    <t xml:space="preserve">고센시네마 </t>
    <phoneticPr fontId="28" type="noConversion"/>
  </si>
  <si>
    <t xml:space="preserve">그레이스실버영화관 </t>
    <phoneticPr fontId="28" type="noConversion"/>
  </si>
  <si>
    <t xml:space="preserve">대구시 </t>
    <phoneticPr fontId="28" type="noConversion"/>
  </si>
  <si>
    <t xml:space="preserve">중구 </t>
    <phoneticPr fontId="28" type="noConversion"/>
  </si>
  <si>
    <t>~</t>
    <phoneticPr fontId="28" type="noConversion"/>
  </si>
  <si>
    <t>중구 경상감영길 137</t>
    <phoneticPr fontId="28" type="noConversion"/>
  </si>
  <si>
    <t>431-1571</t>
    <phoneticPr fontId="28" type="noConversion"/>
  </si>
  <si>
    <t>blog.daum.net/ghdae</t>
  </si>
  <si>
    <t xml:space="preserve">IMAX 상영관 수 </t>
    <phoneticPr fontId="28" type="noConversion"/>
  </si>
  <si>
    <t>국도예술관</t>
    <phoneticPr fontId="28" type="noConversion"/>
  </si>
  <si>
    <t xml:space="preserve">조이앤시네마 </t>
    <phoneticPr fontId="28" type="noConversion"/>
  </si>
  <si>
    <t xml:space="preserve">서울시 </t>
    <phoneticPr fontId="28" type="noConversion"/>
  </si>
  <si>
    <t xml:space="preserve">강남구 </t>
    <phoneticPr fontId="28" type="noConversion"/>
  </si>
  <si>
    <t>~</t>
    <phoneticPr fontId="28" type="noConversion"/>
  </si>
  <si>
    <t>강남구 압구정로 10길 9</t>
    <phoneticPr fontId="28" type="noConversion"/>
  </si>
  <si>
    <t>070-8233-4321</t>
    <phoneticPr fontId="28" type="noConversion"/>
  </si>
  <si>
    <t>아리랑시네미디어센터</t>
    <phoneticPr fontId="28" type="noConversion"/>
  </si>
  <si>
    <t>성북구 아리랑로 82 (돈암동 538-98)</t>
    <phoneticPr fontId="28" type="noConversion"/>
  </si>
  <si>
    <t>2014.3.29 재개관</t>
    <phoneticPr fontId="28" type="noConversion"/>
  </si>
  <si>
    <t>전라남도</t>
    <phoneticPr fontId="28" type="noConversion"/>
  </si>
  <si>
    <t xml:space="preserve">구례군 </t>
    <phoneticPr fontId="28" type="noConversion"/>
  </si>
  <si>
    <t>~</t>
    <phoneticPr fontId="28" type="noConversion"/>
  </si>
  <si>
    <t>783-8993</t>
    <phoneticPr fontId="28" type="noConversion"/>
  </si>
  <si>
    <t>547-1501</t>
    <phoneticPr fontId="28" type="noConversion"/>
  </si>
  <si>
    <t>644-7050</t>
    <phoneticPr fontId="28" type="noConversion"/>
  </si>
  <si>
    <t>전라북도</t>
    <phoneticPr fontId="28" type="noConversion"/>
  </si>
  <si>
    <t xml:space="preserve">무주군 </t>
    <phoneticPr fontId="28" type="noConversion"/>
  </si>
  <si>
    <t xml:space="preserve">무주산골영화관 </t>
    <phoneticPr fontId="28" type="noConversion"/>
  </si>
  <si>
    <t xml:space="preserve">무주군 무주읍 한풍루로 326-17 무주예체문화관 2층 </t>
    <phoneticPr fontId="28" type="noConversion"/>
  </si>
  <si>
    <t>322-7053</t>
    <phoneticPr fontId="28" type="noConversion"/>
  </si>
  <si>
    <t xml:space="preserve">부안군 </t>
    <phoneticPr fontId="28" type="noConversion"/>
  </si>
  <si>
    <t xml:space="preserve">마실영화관 </t>
    <phoneticPr fontId="28" type="noConversion"/>
  </si>
  <si>
    <t xml:space="preserve">부안군 부안읍 예술회관길 11 </t>
    <phoneticPr fontId="28" type="noConversion"/>
  </si>
  <si>
    <t>582-1228</t>
    <phoneticPr fontId="28" type="noConversion"/>
  </si>
  <si>
    <t>www.buanmasilcinema.co.kr</t>
  </si>
  <si>
    <t xml:space="preserve">완주군 </t>
    <phoneticPr fontId="28" type="noConversion"/>
  </si>
  <si>
    <t xml:space="preserve">완주군 봉동읍 둔산3로 94 </t>
    <phoneticPr fontId="28" type="noConversion"/>
  </si>
  <si>
    <t>263-9012</t>
    <phoneticPr fontId="28" type="noConversion"/>
  </si>
  <si>
    <t>wanjumovie.kr</t>
  </si>
  <si>
    <t xml:space="preserve">완주 휴 시네마 </t>
    <phoneticPr fontId="28" type="noConversion"/>
  </si>
  <si>
    <t xml:space="preserve">IMAX 상영관 수 </t>
    <phoneticPr fontId="28" type="noConversion"/>
  </si>
  <si>
    <t>2014.9.30 영업종료</t>
    <phoneticPr fontId="28" type="noConversion"/>
  </si>
  <si>
    <t xml:space="preserve">2014년 휴폐관 극장 </t>
    <phoneticPr fontId="28" type="noConversion"/>
  </si>
  <si>
    <t>2014.1.18 영업종료</t>
    <phoneticPr fontId="28" type="noConversion"/>
  </si>
  <si>
    <t>2014년 휴폐관 극장</t>
    <phoneticPr fontId="28" type="noConversion"/>
  </si>
  <si>
    <t>CGV 의정부태흥으로 전환</t>
    <phoneticPr fontId="28" type="noConversion"/>
  </si>
  <si>
    <t xml:space="preserve">서울시 </t>
    <phoneticPr fontId="28" type="noConversion"/>
  </si>
  <si>
    <t xml:space="preserve">강남구 </t>
    <phoneticPr fontId="28" type="noConversion"/>
  </si>
  <si>
    <t xml:space="preserve">인디플러스 </t>
    <phoneticPr fontId="28" type="noConversion"/>
  </si>
  <si>
    <t>~</t>
    <phoneticPr fontId="28" type="noConversion"/>
  </si>
  <si>
    <t xml:space="preserve">강남구 도산대로 8길 8 </t>
    <phoneticPr fontId="28" type="noConversion"/>
  </si>
  <si>
    <t>3447-0650</t>
    <phoneticPr fontId="28" type="noConversion"/>
  </si>
  <si>
    <t>www.indieplus.or.kr</t>
  </si>
  <si>
    <t>영진위 독립영화전용관</t>
    <phoneticPr fontId="28" type="noConversion"/>
  </si>
  <si>
    <t xml:space="preserve">강남구 강남대로 438 (역삼동 814-6 스타플렉스) </t>
    <phoneticPr fontId="28" type="noConversion"/>
  </si>
  <si>
    <t>Sweetbox, ScreenX, Veatbox</t>
    <phoneticPr fontId="28" type="noConversion"/>
  </si>
  <si>
    <t>1544-1122</t>
    <phoneticPr fontId="28" type="noConversion"/>
  </si>
  <si>
    <t>서울시</t>
    <phoneticPr fontId="28" type="noConversion"/>
  </si>
  <si>
    <t>강남구</t>
    <phoneticPr fontId="28" type="noConversion"/>
  </si>
  <si>
    <t>직영</t>
    <phoneticPr fontId="28" type="noConversion"/>
  </si>
  <si>
    <t>Sweetbox, Veatbox</t>
    <phoneticPr fontId="28" type="noConversion"/>
  </si>
  <si>
    <t>~</t>
    <phoneticPr fontId="28" type="noConversion"/>
  </si>
  <si>
    <t>Sweetbox</t>
    <phoneticPr fontId="28" type="noConversion"/>
  </si>
  <si>
    <t>4DX, Sweetbox, ScreenX, Veatbox</t>
    <phoneticPr fontId="28" type="noConversion"/>
  </si>
  <si>
    <t>Sweetbox, Veatbox, ScreenX</t>
    <phoneticPr fontId="28" type="noConversion"/>
  </si>
  <si>
    <t>Sweetbox, Veatbox</t>
    <phoneticPr fontId="28" type="noConversion"/>
  </si>
  <si>
    <t>직영</t>
    <phoneticPr fontId="28" type="noConversion"/>
  </si>
  <si>
    <t>~</t>
    <phoneticPr fontId="28" type="noConversion"/>
  </si>
  <si>
    <t>위탁</t>
    <phoneticPr fontId="28" type="noConversion"/>
  </si>
  <si>
    <t xml:space="preserve">직영 </t>
    <phoneticPr fontId="28" type="noConversion"/>
  </si>
  <si>
    <t>CGV 청담씨네시티</t>
    <phoneticPr fontId="28" type="noConversion"/>
  </si>
  <si>
    <t>직영</t>
    <phoneticPr fontId="28" type="noConversion"/>
  </si>
  <si>
    <t>강남구 도산대로 323 (신사동 651-21)</t>
    <phoneticPr fontId="28" type="noConversion"/>
  </si>
  <si>
    <t>Sweetbox, 4DX, Beats br dr.dre, The Private Cinema, ScreenX, SoundX</t>
    <phoneticPr fontId="28" type="noConversion"/>
  </si>
  <si>
    <t>강남구 봉은사로 524 코엑스몰 B1 (삼성동 159)</t>
    <phoneticPr fontId="28" type="noConversion"/>
  </si>
  <si>
    <t>Boutique M, M2, 프리미엄</t>
    <phoneticPr fontId="28" type="noConversion"/>
  </si>
  <si>
    <t>1544-0070</t>
    <phoneticPr fontId="28" type="noConversion"/>
  </si>
  <si>
    <t>강남구 압구정로 30길 45 (신사동 603-2)</t>
    <phoneticPr fontId="28" type="noConversion"/>
  </si>
  <si>
    <t>Sweetbox, Cine de Chef, CGV 아트하우스, Veatbox</t>
    <phoneticPr fontId="28" type="noConversion"/>
  </si>
  <si>
    <t>강동구 성내로 48 (성내동 549-1)</t>
    <phoneticPr fontId="28" type="noConversion"/>
  </si>
  <si>
    <t>강동구 천호옛길 85 (성내동 44-1)</t>
    <phoneticPr fontId="28" type="noConversion"/>
  </si>
  <si>
    <t>1544-8855</t>
    <phoneticPr fontId="28" type="noConversion"/>
  </si>
  <si>
    <t>강북구 도봉로 34, 9층 (미아동 35-4 트레지오 쇼핑몰 9층)</t>
    <phoneticPr fontId="28" type="noConversion"/>
  </si>
  <si>
    <t>Sweetbox, Veatbox</t>
    <phoneticPr fontId="28" type="noConversion"/>
  </si>
  <si>
    <t>강북구</t>
    <phoneticPr fontId="28" type="noConversion"/>
  </si>
  <si>
    <t>메가박스 수유</t>
    <phoneticPr fontId="28" type="noConversion"/>
  </si>
  <si>
    <t>위탁</t>
    <phoneticPr fontId="28" type="noConversion"/>
  </si>
  <si>
    <t>강북구 도봉로 399 (수유동 168-12)</t>
    <phoneticPr fontId="28" type="noConversion"/>
  </si>
  <si>
    <t>~</t>
    <phoneticPr fontId="28" type="noConversion"/>
  </si>
  <si>
    <t>강서구</t>
    <phoneticPr fontId="28" type="noConversion"/>
  </si>
  <si>
    <t>롯데시네마 김포공항</t>
    <phoneticPr fontId="28" type="noConversion"/>
  </si>
  <si>
    <t>강서구 하늘길 77 롯데몰 (방화동 하늘길 38)</t>
    <phoneticPr fontId="28" type="noConversion"/>
  </si>
  <si>
    <t>샤롯데, 수퍼4D</t>
    <phoneticPr fontId="28" type="noConversion"/>
  </si>
  <si>
    <t>관악구</t>
    <phoneticPr fontId="28" type="noConversion"/>
  </si>
  <si>
    <t>롯데시네마 서울대입구</t>
    <phoneticPr fontId="28" type="noConversion"/>
  </si>
  <si>
    <t>관악구 남부순환로 1820 (봉천동 862-1 에그옐로우 10층)</t>
    <phoneticPr fontId="28" type="noConversion"/>
  </si>
  <si>
    <t>(구)메가박스 서울대</t>
    <phoneticPr fontId="28" type="noConversion"/>
  </si>
  <si>
    <t>관악구 신림로 330, 10층 (신림동 1641-2 포도몰 10층)</t>
    <phoneticPr fontId="28" type="noConversion"/>
  </si>
  <si>
    <t>광진구 광나루로 56길 85 (구의동 546-4 테크노마트 10층)</t>
    <phoneticPr fontId="28" type="noConversion"/>
  </si>
  <si>
    <t>Sweetbox, 4DX, CGV 아트하우스, ScreenX, Veatbox</t>
    <phoneticPr fontId="28" type="noConversion"/>
  </si>
  <si>
    <t>광진구 능동로 289 (군자동 477-12)</t>
    <phoneticPr fontId="28" type="noConversion"/>
  </si>
  <si>
    <t>광진구 아차산로 272 (자양동 227-7번지 스타시티 2층)</t>
    <phoneticPr fontId="28" type="noConversion"/>
  </si>
  <si>
    <t>샤롯데, 수퍼바이브, 아르떼</t>
    <phoneticPr fontId="28" type="noConversion"/>
  </si>
  <si>
    <t>구로구 구로중앙로 152 (구로동 573 애경백화점 5층)</t>
    <phoneticPr fontId="28" type="noConversion"/>
  </si>
  <si>
    <t>Sweetbox, CGV 아트하우스, ScreenX, Veatbox</t>
    <phoneticPr fontId="28" type="noConversion"/>
  </si>
  <si>
    <t>CGV 신도림</t>
    <phoneticPr fontId="28" type="noConversion"/>
  </si>
  <si>
    <t>구로구 새말로 12층 (구로동 3-25번지 테크노 마트 12층)</t>
    <phoneticPr fontId="28" type="noConversion"/>
  </si>
  <si>
    <t>Sweetbox, Premium</t>
    <phoneticPr fontId="28" type="noConversion"/>
  </si>
  <si>
    <t>노원구 동일로 1414 롯데백화점 10층 (상계동 713)</t>
    <phoneticPr fontId="28" type="noConversion"/>
  </si>
  <si>
    <t>수퍼4D, 씨네커플</t>
    <phoneticPr fontId="28" type="noConversion"/>
  </si>
  <si>
    <t>노원구</t>
    <phoneticPr fontId="28" type="noConversion"/>
  </si>
  <si>
    <t>CGV 중계</t>
    <phoneticPr fontId="28" type="noConversion"/>
  </si>
  <si>
    <t>노원구 동일로 204가길 12, 8층 (중계동 509-2)</t>
    <phoneticPr fontId="28" type="noConversion"/>
  </si>
  <si>
    <t>ScreenX</t>
    <phoneticPr fontId="28" type="noConversion"/>
  </si>
  <si>
    <t xml:space="preserve">CGV 하계 </t>
    <phoneticPr fontId="28" type="noConversion"/>
  </si>
  <si>
    <t xml:space="preserve">노원구 섬밭로 258 지하 1층 (중계동 506-1 건영백화점 지하1층) </t>
    <phoneticPr fontId="28" type="noConversion"/>
  </si>
  <si>
    <t>CINE KIDS</t>
    <phoneticPr fontId="28" type="noConversion"/>
  </si>
  <si>
    <t xml:space="preserve">(구)프리머스 노원 </t>
    <phoneticPr fontId="28" type="noConversion"/>
  </si>
  <si>
    <t>동대문구</t>
    <phoneticPr fontId="28" type="noConversion"/>
  </si>
  <si>
    <t>롯데시네마 장안</t>
    <phoneticPr fontId="28" type="noConversion"/>
  </si>
  <si>
    <t>동대문구 답십리로 288 바우하우스 11층 (장안동 368-1)</t>
    <phoneticPr fontId="28" type="noConversion"/>
  </si>
  <si>
    <t>동대문구 왕산로 214 (전농동)</t>
    <phoneticPr fontId="28" type="noConversion"/>
  </si>
  <si>
    <t>수퍼4D</t>
    <phoneticPr fontId="28" type="noConversion"/>
  </si>
  <si>
    <t>메가박스 이수</t>
    <phoneticPr fontId="28" type="noConversion"/>
  </si>
  <si>
    <t>동작구 동작대로 89 골든시네마타워 7층 (사당1동 147-53)</t>
    <phoneticPr fontId="28" type="noConversion"/>
  </si>
  <si>
    <t>마포구 양화로 176 와이즈파크 8층 (동교동166-6번지)</t>
    <phoneticPr fontId="28" type="noConversion"/>
  </si>
  <si>
    <t>롯데시네마 합정</t>
    <phoneticPr fontId="28" type="noConversion"/>
  </si>
  <si>
    <t>마포구 양화로 45 메세나폴리스 2층 (합정동 481-1)</t>
    <phoneticPr fontId="28" type="noConversion"/>
  </si>
  <si>
    <t>마포구 월드컵로 240, 1층 (성산동 515 월드컵쇼핑몰1층)</t>
    <phoneticPr fontId="28" type="noConversion"/>
  </si>
  <si>
    <t>IMAX, SweetBox, ScreenX, 4DX, CGV 아트하우스, Gold Class</t>
    <phoneticPr fontId="28" type="noConversion"/>
  </si>
  <si>
    <t>롯데시네마 누리꿈(상암)</t>
    <phoneticPr fontId="28" type="noConversion"/>
  </si>
  <si>
    <t>마포구 월드컵북로 396 (상암동 1605 누리꿈스퀘어빌딩 디지털파빌리온 4층)</t>
    <phoneticPr fontId="28" type="noConversion"/>
  </si>
  <si>
    <t>서대문구</t>
    <phoneticPr fontId="28" type="noConversion"/>
  </si>
  <si>
    <t>CGV 신촌아트레온</t>
    <phoneticPr fontId="28" type="noConversion"/>
  </si>
  <si>
    <t xml:space="preserve">서대문구 신촌로 129, 2층 (창천동 20-24, 20-25) </t>
    <phoneticPr fontId="28" type="noConversion"/>
  </si>
  <si>
    <t>4DX, CGV 아트하우스, Premium, ScreenX</t>
    <phoneticPr fontId="28" type="noConversion"/>
  </si>
  <si>
    <t xml:space="preserve">(구)아트레온 </t>
    <phoneticPr fontId="28" type="noConversion"/>
  </si>
  <si>
    <t>서대문구 신촌역로 30 밀리오레 5층 (신촌동 74-12)</t>
    <phoneticPr fontId="28" type="noConversion"/>
  </si>
  <si>
    <t>1관 M관</t>
    <phoneticPr fontId="28" type="noConversion"/>
  </si>
  <si>
    <t>메가박스 강남</t>
    <phoneticPr fontId="28" type="noConversion"/>
  </si>
  <si>
    <t>서초구 서초대로 77길 3 아라타워 8층 (서초동 1317-20)</t>
    <phoneticPr fontId="28" type="noConversion"/>
  </si>
  <si>
    <t>성동구 왕십리광장로 17, 5층 (행당동 왕십리 민자역사 4층~6층)</t>
    <phoneticPr fontId="28" type="noConversion"/>
  </si>
  <si>
    <t>4DX, IMAX,골드클래스, Sweetbox, ScreenX, Veatbox</t>
    <phoneticPr fontId="28" type="noConversion"/>
  </si>
  <si>
    <t>성북구 동소문로 106, 10~12층 (동선동 1가 1-2 10층~12층)</t>
    <phoneticPr fontId="28" type="noConversion"/>
  </si>
  <si>
    <t>Sweetbox</t>
    <phoneticPr fontId="28" type="noConversion"/>
  </si>
  <si>
    <t>송파구 충민로 66, 10층 (장지동 201-27 가든파이브 라이프 영관 10층)</t>
    <phoneticPr fontId="28" type="noConversion"/>
  </si>
  <si>
    <t>4DX, Sweetbox, ScreenX, Veatbox</t>
    <phoneticPr fontId="28" type="noConversion"/>
  </si>
  <si>
    <t>양천구 목동동로 309 행복한세상백화점 6층 (목동 917-6)</t>
    <phoneticPr fontId="28" type="noConversion"/>
  </si>
  <si>
    <t>Table M관, M2</t>
    <phoneticPr fontId="28" type="noConversion"/>
  </si>
  <si>
    <t>양천구 목동로 257, 지하2층 (목동 916 현대백화점 지하2층)</t>
    <phoneticPr fontId="28" type="noConversion"/>
  </si>
  <si>
    <t>Sweetbox, Veatbox, ScreenX</t>
    <phoneticPr fontId="28" type="noConversion"/>
  </si>
  <si>
    <t>영등포구 경인로 102길 13 (영등포동 618-496)</t>
    <phoneticPr fontId="28" type="noConversion"/>
  </si>
  <si>
    <t>영등포구</t>
    <phoneticPr fontId="28" type="noConversion"/>
  </si>
  <si>
    <t>CGV 여의도</t>
    <phoneticPr fontId="28" type="noConversion"/>
  </si>
  <si>
    <t>영등포구 국제금융로 10, 지하3층 (여의도동 국제금융로 10)</t>
    <phoneticPr fontId="28" type="noConversion"/>
  </si>
  <si>
    <t>Premium, 4DX, CGV 아트하우스, ScreenX, SoundX, Veatbox</t>
    <phoneticPr fontId="28" type="noConversion"/>
  </si>
  <si>
    <t>영등포구 영산로 15, 4층 (영등포동 4가 441-10번지 경방 타임스퀘어 4~7층)</t>
    <phoneticPr fontId="28" type="noConversion"/>
  </si>
  <si>
    <t>4DX,  Gold Class, STARIUM, Sweetbox, ScreenX, SoundX</t>
    <phoneticPr fontId="28" type="noConversion"/>
  </si>
  <si>
    <t>용산구 한강대로 23길 55, 6층 (한강로 3가 40-1 용산민자역사 6층)</t>
    <phoneticPr fontId="28" type="noConversion"/>
  </si>
  <si>
    <t>4DX, IMAX, Gold Class, Sweetbox, ScreenX, Veatbox</t>
    <phoneticPr fontId="28" type="noConversion"/>
  </si>
  <si>
    <t>은평구 불광로 20, 11층 (대조동 14-24 팜스퀘어 11층)</t>
    <phoneticPr fontId="28" type="noConversion"/>
  </si>
  <si>
    <t>메가박스 은평</t>
    <phoneticPr fontId="28" type="noConversion"/>
  </si>
  <si>
    <t>은평구 통일로 830 파레제페 5층 (불광2동 304-2)</t>
    <phoneticPr fontId="28" type="noConversion"/>
  </si>
  <si>
    <t>종로구 대명길 (명륜동 2가 41-9)</t>
    <phoneticPr fontId="28" type="noConversion"/>
  </si>
  <si>
    <t>CGV 아트하우스, Veatbox</t>
    <phoneticPr fontId="28" type="noConversion"/>
  </si>
  <si>
    <t>종로구 돈화문로 13 (관수동 59-7)</t>
    <phoneticPr fontId="28" type="noConversion"/>
  </si>
  <si>
    <t>1관 폐관</t>
    <phoneticPr fontId="28" type="noConversion"/>
  </si>
  <si>
    <t>롯데시네마 피카디리(종로)</t>
    <phoneticPr fontId="28" type="noConversion"/>
  </si>
  <si>
    <t>종로구 돈화문로 5가길 1 (돈의동 137)</t>
    <phoneticPr fontId="28" type="noConversion"/>
  </si>
  <si>
    <t xml:space="preserve">중구 남대문로 2가 130 (소공동 에비뉴엘 6층, 7층) </t>
    <phoneticPr fontId="28" type="noConversion"/>
  </si>
  <si>
    <t>4관 샤롯데</t>
    <phoneticPr fontId="28" type="noConversion"/>
  </si>
  <si>
    <t>중구 명동길 14 (명동2가 83-5번지 눈스퀘어 8층)</t>
    <phoneticPr fontId="28" type="noConversion"/>
  </si>
  <si>
    <t>중구 장충단로 247 굿모닝시티 9층 (을지로 6가 21번지)</t>
    <phoneticPr fontId="28" type="noConversion"/>
  </si>
  <si>
    <t>롯데시네마 황학</t>
    <phoneticPr fontId="28" type="noConversion"/>
  </si>
  <si>
    <t>중구 청계천로 400 (황학동 롯데캐슬배니치아 1층)</t>
    <phoneticPr fontId="28" type="noConversion"/>
  </si>
  <si>
    <t xml:space="preserve">중구 퇴계로 123 (충무로2가65-9 하이해리엇 10, 11층) </t>
    <phoneticPr fontId="28" type="noConversion"/>
  </si>
  <si>
    <t>중구 퇴계로 212 (충무로 4가 125)</t>
    <phoneticPr fontId="28" type="noConversion"/>
  </si>
  <si>
    <t>중랑구 망우로 30길 3 (상봉동 130-3번지)</t>
    <phoneticPr fontId="28" type="noConversion"/>
  </si>
  <si>
    <t xml:space="preserve">서울시 </t>
    <phoneticPr fontId="28" type="noConversion"/>
  </si>
  <si>
    <t>롯데시네마 씨티(강남)</t>
    <phoneticPr fontId="28" type="noConversion"/>
  </si>
  <si>
    <t>강남구 강남대로 422 (역삼동 816-7)</t>
    <phoneticPr fontId="28" type="noConversion"/>
  </si>
  <si>
    <t xml:space="preserve">강남구 </t>
    <phoneticPr fontId="28" type="noConversion"/>
  </si>
  <si>
    <t xml:space="preserve">롯데시네마 브로드웨이(신사) </t>
    <phoneticPr fontId="28" type="noConversion"/>
  </si>
  <si>
    <t xml:space="preserve">강남구 도산대로 8길 8 (논현동 3-5) </t>
    <phoneticPr fontId="28" type="noConversion"/>
  </si>
  <si>
    <t>3관 인디플러스</t>
    <phoneticPr fontId="28" type="noConversion"/>
  </si>
  <si>
    <t>(구)브로드웨이 극장</t>
    <phoneticPr fontId="28" type="noConversion"/>
  </si>
  <si>
    <t xml:space="preserve">구로구 </t>
    <phoneticPr fontId="28" type="noConversion"/>
  </si>
  <si>
    <t>롯데시네마 신도림(디큐브)</t>
    <phoneticPr fontId="28" type="noConversion"/>
  </si>
  <si>
    <t>구로구 경인로 662 디큐브시티 7층 (신도림동 692)</t>
    <phoneticPr fontId="28" type="noConversion"/>
  </si>
  <si>
    <t>씨네커플, 아르떼</t>
    <phoneticPr fontId="28" type="noConversion"/>
  </si>
  <si>
    <t xml:space="preserve">금천구 </t>
    <phoneticPr fontId="28" type="noConversion"/>
  </si>
  <si>
    <t xml:space="preserve">롯데시네마 가산디지털 </t>
    <phoneticPr fontId="28" type="noConversion"/>
  </si>
  <si>
    <t xml:space="preserve">직영 </t>
    <phoneticPr fontId="28" type="noConversion"/>
  </si>
  <si>
    <t>금천구 디지털로 10길 9 현대아울렛쇼핑몰 (가산동)</t>
    <phoneticPr fontId="28" type="noConversion"/>
  </si>
  <si>
    <t>수퍼4D, 수퍼바이브</t>
    <phoneticPr fontId="28" type="noConversion"/>
  </si>
  <si>
    <t>롯데시네마 독산</t>
    <phoneticPr fontId="28" type="noConversion"/>
  </si>
  <si>
    <t xml:space="preserve">금천구 시흥대로 399 시티렉스 6층 </t>
    <phoneticPr fontId="28" type="noConversion"/>
  </si>
  <si>
    <t>마포구</t>
    <phoneticPr fontId="28" type="noConversion"/>
  </si>
  <si>
    <t xml:space="preserve">CGV 홍대 </t>
    <phoneticPr fontId="28" type="noConversion"/>
  </si>
  <si>
    <t xml:space="preserve">마포구 양화로 153 (동교동) 3층 </t>
    <phoneticPr fontId="28" type="noConversion"/>
  </si>
  <si>
    <t xml:space="preserve">용산구 </t>
    <phoneticPr fontId="28" type="noConversion"/>
  </si>
  <si>
    <t>롯데시네마 용산(전자랜드)</t>
    <phoneticPr fontId="28" type="noConversion"/>
  </si>
  <si>
    <t>용산구 청파로 3가 74 용산전자랜드 4~5층 (한강로 3가 16-9)</t>
    <phoneticPr fontId="28" type="noConversion"/>
  </si>
  <si>
    <t>CGV 김포공항</t>
    <phoneticPr fontId="28" type="noConversion"/>
  </si>
  <si>
    <t>2014.10.29 영업종료</t>
    <phoneticPr fontId="28" type="noConversion"/>
  </si>
  <si>
    <t>~</t>
    <phoneticPr fontId="28" type="noConversion"/>
  </si>
  <si>
    <t>2014 휴폐관 극장</t>
    <phoneticPr fontId="28" type="noConversion"/>
  </si>
  <si>
    <t xml:space="preserve">서울시 </t>
    <phoneticPr fontId="28" type="noConversion"/>
  </si>
  <si>
    <t xml:space="preserve">송파구 </t>
    <phoneticPr fontId="28" type="noConversion"/>
  </si>
  <si>
    <t xml:space="preserve">롯데시네마 월드타워 </t>
    <phoneticPr fontId="28" type="noConversion"/>
  </si>
  <si>
    <t>송파구 올림픽로 300 엔터동 5~11층</t>
    <phoneticPr fontId="28" type="noConversion"/>
  </si>
  <si>
    <t>샤롯데, 수퍼G, 수퍼4D, 수퍼사운드, 
씨네패밀리, 씨네커플, 씨네비즈, 아르떼</t>
    <phoneticPr fontId="28" type="noConversion"/>
  </si>
  <si>
    <t xml:space="preserve">2014.12.17~임시 휴관 </t>
    <phoneticPr fontId="28" type="noConversion"/>
  </si>
  <si>
    <t>롯데시네마 롯데월드</t>
    <phoneticPr fontId="28" type="noConversion"/>
  </si>
  <si>
    <t>2014.11.30 영업종료</t>
    <phoneticPr fontId="28" type="noConversion"/>
  </si>
  <si>
    <t>(구)CGV 독산</t>
    <phoneticPr fontId="28" type="noConversion"/>
  </si>
  <si>
    <t>부산시</t>
    <phoneticPr fontId="28" type="noConversion"/>
  </si>
  <si>
    <t>금정구</t>
    <phoneticPr fontId="28" type="noConversion"/>
  </si>
  <si>
    <t>CGV 부산대</t>
    <phoneticPr fontId="28" type="noConversion"/>
  </si>
  <si>
    <t>금정구 장전로 12번길 55 (장전동 292-4)</t>
    <phoneticPr fontId="28" type="noConversion"/>
  </si>
  <si>
    <t>씨네커플</t>
    <phoneticPr fontId="28" type="noConversion"/>
  </si>
  <si>
    <t>IMAX, CGV 아트하우스</t>
    <phoneticPr fontId="28" type="noConversion"/>
  </si>
  <si>
    <t xml:space="preserve">북구 </t>
    <phoneticPr fontId="28" type="noConversion"/>
  </si>
  <si>
    <t xml:space="preserve">위탁 </t>
    <phoneticPr fontId="28" type="noConversion"/>
  </si>
  <si>
    <t xml:space="preserve">Table M관 </t>
    <phoneticPr fontId="28" type="noConversion"/>
  </si>
  <si>
    <t xml:space="preserve">직영 </t>
    <phoneticPr fontId="28" type="noConversion"/>
  </si>
  <si>
    <t>Table M관, M관</t>
    <phoneticPr fontId="28" type="noConversion"/>
  </si>
  <si>
    <t xml:space="preserve">부산시 </t>
    <phoneticPr fontId="28" type="noConversion"/>
  </si>
  <si>
    <t xml:space="preserve">기장군 </t>
    <phoneticPr fontId="28" type="noConversion"/>
  </si>
  <si>
    <t xml:space="preserve">롯데시네마 동부산 </t>
    <phoneticPr fontId="28" type="noConversion"/>
  </si>
  <si>
    <t>기장군 기장해안로 147 동부산롯데몰 3층</t>
    <phoneticPr fontId="28" type="noConversion"/>
  </si>
  <si>
    <t>남구 수영로 305, 5층 (대연동 73-15번지 스파크 5층)</t>
    <phoneticPr fontId="28" type="noConversion"/>
  </si>
  <si>
    <t xml:space="preserve">동래구 중앙대로 1393 </t>
    <phoneticPr fontId="28" type="noConversion"/>
  </si>
  <si>
    <t>씨네커플</t>
    <phoneticPr fontId="28" type="noConversion"/>
  </si>
  <si>
    <t>동래구 중앙대로 1523, 6층 (온천동 153-8 SK허브스카이 6층)</t>
    <phoneticPr fontId="28" type="noConversion"/>
  </si>
  <si>
    <t>롯데시네마 부산본점(백화점)</t>
    <phoneticPr fontId="28" type="noConversion"/>
  </si>
  <si>
    <t>부산진구 가야대로 772 롯데백화점 10층 (부전동 503-15)</t>
    <phoneticPr fontId="28" type="noConversion"/>
  </si>
  <si>
    <t>수퍼사운드, 씨네커플</t>
    <phoneticPr fontId="28" type="noConversion"/>
  </si>
  <si>
    <t>부산진구 동천로 4, 6층 (전포동 892-20 지오플레이스 6층)</t>
    <phoneticPr fontId="28" type="noConversion"/>
  </si>
  <si>
    <t>IMAX, CGV 아트하우스</t>
    <phoneticPr fontId="28" type="noConversion"/>
  </si>
  <si>
    <t>롯데시네마 서면(디시티)</t>
    <phoneticPr fontId="28" type="noConversion"/>
  </si>
  <si>
    <t>부산진구 동천로 92, 6층 (전포동 668-1번지)</t>
    <phoneticPr fontId="28" type="noConversion"/>
  </si>
  <si>
    <t>메가박스 서면</t>
    <phoneticPr fontId="28" type="noConversion"/>
  </si>
  <si>
    <t>부산진구 서면로 39 효성엑센시티 8층 (부전동 521-1)</t>
    <phoneticPr fontId="28" type="noConversion"/>
  </si>
  <si>
    <t>부산진구 중앙대로 692번길 16, 4층 (부전동 199 대한프라자 4층)</t>
    <phoneticPr fontId="28" type="noConversion"/>
  </si>
  <si>
    <t xml:space="preserve">북구 </t>
    <phoneticPr fontId="28" type="noConversion"/>
  </si>
  <si>
    <t xml:space="preserve">메가박스 덕천 </t>
    <phoneticPr fontId="28" type="noConversion"/>
  </si>
  <si>
    <t xml:space="preserve">위탁 </t>
    <phoneticPr fontId="28" type="noConversion"/>
  </si>
  <si>
    <t>북구 만덕대로 23 뉴코아아울렛 7~10층</t>
    <phoneticPr fontId="28" type="noConversion"/>
  </si>
  <si>
    <t xml:space="preserve">Table M관 </t>
    <phoneticPr fontId="28" type="noConversion"/>
  </si>
  <si>
    <t xml:space="preserve">(구)프리머스 덕천 </t>
    <phoneticPr fontId="28" type="noConversion"/>
  </si>
  <si>
    <t xml:space="preserve">CGV 화명 </t>
    <phoneticPr fontId="28" type="noConversion"/>
  </si>
  <si>
    <t xml:space="preserve">북구 화명대로 16 (화명동 2275-1 센추리빌딩) </t>
    <phoneticPr fontId="28" type="noConversion"/>
  </si>
  <si>
    <t xml:space="preserve">(구)프리머스 화명 </t>
    <phoneticPr fontId="28" type="noConversion"/>
  </si>
  <si>
    <t>롯데시네마 사상(애플아울렛)</t>
    <phoneticPr fontId="28" type="noConversion"/>
  </si>
  <si>
    <t>사상구 사상로 201 애플아울렛 본관 3~4층 (괘법동 533-1)</t>
    <phoneticPr fontId="28" type="noConversion"/>
  </si>
  <si>
    <t>연제구 종합운동장로 7 (거제2동 1208번지 홈플러스)</t>
    <phoneticPr fontId="28" type="noConversion"/>
  </si>
  <si>
    <t>중구 비프광장로 18 (남포동 6가 92-1 국도타운 6층)</t>
    <phoneticPr fontId="28" type="noConversion"/>
  </si>
  <si>
    <t>메가박스 부산극장</t>
    <phoneticPr fontId="28" type="noConversion"/>
  </si>
  <si>
    <t>중구 비프광장로 36 (남포동 5가 18)</t>
    <phoneticPr fontId="28" type="noConversion"/>
  </si>
  <si>
    <t>(구)부산극장</t>
    <phoneticPr fontId="28" type="noConversion"/>
  </si>
  <si>
    <t>중구 비프광장로 37 (남포동 5가 12-1)</t>
    <phoneticPr fontId="28" type="noConversion"/>
  </si>
  <si>
    <t xml:space="preserve">중구 </t>
    <phoneticPr fontId="28" type="noConversion"/>
  </si>
  <si>
    <t xml:space="preserve">롯데시네마 광복 </t>
    <phoneticPr fontId="28" type="noConversion"/>
  </si>
  <si>
    <t xml:space="preserve">중구 중앙대로 2 마트/시네마동 9층 </t>
    <phoneticPr fontId="28" type="noConversion"/>
  </si>
  <si>
    <t>샤롯데, 씨네커플, 수퍼플렉스, 수퍼4D, 씨네비즈</t>
    <phoneticPr fontId="28" type="noConversion"/>
  </si>
  <si>
    <t>부산 해운대구 센텀남대로 35, 7층 (우동 1495번지 신세계센텀시티 7층)</t>
    <phoneticPr fontId="28" type="noConversion"/>
  </si>
  <si>
    <t>4DX, STARIUM, Cine de Chef, 4DX, ScreenX, CGV 아트하우스</t>
    <phoneticPr fontId="28" type="noConversion"/>
  </si>
  <si>
    <t>롯데시네마 센텀시티(백화점)</t>
    <phoneticPr fontId="28" type="noConversion"/>
  </si>
  <si>
    <t>해운대구 센텀남대로 50 롯데백화점 8층 (우동 센텀시티 1496)</t>
    <phoneticPr fontId="28" type="noConversion"/>
  </si>
  <si>
    <t>1관 샤롯데, 8관 아르떼</t>
    <phoneticPr fontId="28" type="noConversion"/>
  </si>
  <si>
    <t>해운대구 해운대로 648 스펀지몰 6층 (우1동 587-1)</t>
    <phoneticPr fontId="28" type="noConversion"/>
  </si>
  <si>
    <t>Table M관, M관</t>
    <phoneticPr fontId="28" type="noConversion"/>
  </si>
  <si>
    <t>해운대구</t>
    <phoneticPr fontId="28" type="noConversion"/>
  </si>
  <si>
    <t xml:space="preserve">롯데시네마 해운대 </t>
    <phoneticPr fontId="28" type="noConversion"/>
  </si>
  <si>
    <t xml:space="preserve">해운대구 해운대로 802, 7층 </t>
    <phoneticPr fontId="28" type="noConversion"/>
  </si>
  <si>
    <t xml:space="preserve">(구)프리머스 해운대 </t>
    <phoneticPr fontId="28" type="noConversion"/>
  </si>
  <si>
    <t>메가박스 장산</t>
    <phoneticPr fontId="28" type="noConversion"/>
  </si>
  <si>
    <t>해운대구 해운대로 813 NC백화점 8층 (좌동 1467-4)</t>
    <phoneticPr fontId="28" type="noConversion"/>
  </si>
  <si>
    <t>메가박스 오투</t>
    <phoneticPr fontId="28" type="noConversion"/>
  </si>
  <si>
    <t>2014.12.22 영업종료 / 2015.1.1 롯데시네마 오투로 전환</t>
    <phoneticPr fontId="28" type="noConversion"/>
  </si>
  <si>
    <t>2014년 휴폐관 극장</t>
    <phoneticPr fontId="28" type="noConversion"/>
  </si>
  <si>
    <t>달서구 성서로 414 (이곡동 1244-1)</t>
    <phoneticPr fontId="28" type="noConversion"/>
  </si>
  <si>
    <t>롯데시네마 대구율하</t>
    <phoneticPr fontId="28" type="noConversion"/>
  </si>
  <si>
    <t>동구 안심로 80 (율하동 1117)</t>
    <phoneticPr fontId="28" type="noConversion"/>
  </si>
  <si>
    <t>대구시</t>
    <phoneticPr fontId="28" type="noConversion"/>
  </si>
  <si>
    <t>동구</t>
    <phoneticPr fontId="28" type="noConversion"/>
  </si>
  <si>
    <t>CGV 대구이시아</t>
    <phoneticPr fontId="28" type="noConversion"/>
  </si>
  <si>
    <t>위탁</t>
    <phoneticPr fontId="28" type="noConversion"/>
  </si>
  <si>
    <t>동구 팔공로 49길 16, 3층 (봉무동 1545 롯데몰13층)</t>
    <phoneticPr fontId="28" type="noConversion"/>
  </si>
  <si>
    <t>메가박스 북대구(칠곡)</t>
    <phoneticPr fontId="28" type="noConversion"/>
  </si>
  <si>
    <t>북구 동암로 100 (동천동 895-2)</t>
    <phoneticPr fontId="28" type="noConversion"/>
  </si>
  <si>
    <t>CGV 대구칠곡</t>
    <phoneticPr fontId="28" type="noConversion"/>
  </si>
  <si>
    <t>북구 동암로 90 (동천동 894-1번지 세븐밸리 5층)</t>
    <phoneticPr fontId="28" type="noConversion"/>
  </si>
  <si>
    <t>메가박스 대구(칠성로)</t>
    <phoneticPr fontId="28" type="noConversion"/>
  </si>
  <si>
    <t>북구 침산로 93 스펙트럼시티 4층 (칠성동 2가 20)</t>
    <phoneticPr fontId="28" type="noConversion"/>
  </si>
  <si>
    <t>Table M관,M관</t>
    <phoneticPr fontId="28" type="noConversion"/>
  </si>
  <si>
    <t>북구 태평로 161 (칠성동 2가 302-155)</t>
    <phoneticPr fontId="28" type="noConversion"/>
  </si>
  <si>
    <t>9관 아르떼</t>
    <phoneticPr fontId="28" type="noConversion"/>
  </si>
  <si>
    <t>대구시</t>
    <phoneticPr fontId="28" type="noConversion"/>
  </si>
  <si>
    <t>북구</t>
    <phoneticPr fontId="28" type="noConversion"/>
  </si>
  <si>
    <t>롯데시네마 프리미엄칠곡</t>
    <phoneticPr fontId="28" type="noConversion"/>
  </si>
  <si>
    <t xml:space="preserve">위탁 </t>
    <phoneticPr fontId="28" type="noConversion"/>
  </si>
  <si>
    <t xml:space="preserve">북구 학정로 422 태을빌딩 5층 (구암동 769-1) </t>
    <phoneticPr fontId="28" type="noConversion"/>
  </si>
  <si>
    <t>서구</t>
    <phoneticPr fontId="28" type="noConversion"/>
  </si>
  <si>
    <t>롯데시네마 대구광장</t>
    <phoneticPr fontId="28" type="noConversion"/>
  </si>
  <si>
    <t xml:space="preserve">서구 달구벌대로 1691 엠프라자 4층 (내당동) </t>
    <phoneticPr fontId="28" type="noConversion"/>
  </si>
  <si>
    <t xml:space="preserve">수성구 </t>
    <phoneticPr fontId="28" type="noConversion"/>
  </si>
  <si>
    <t>CGV 대구스타디움</t>
    <phoneticPr fontId="28" type="noConversion"/>
  </si>
  <si>
    <t>수성구 유니버시아드로 140 (대흥동 504번지)</t>
    <phoneticPr fontId="28" type="noConversion"/>
  </si>
  <si>
    <t xml:space="preserve">대구시 </t>
    <phoneticPr fontId="28" type="noConversion"/>
  </si>
  <si>
    <t xml:space="preserve">CGV 대구수성 </t>
    <phoneticPr fontId="28" type="noConversion"/>
  </si>
  <si>
    <t>수성구 지범로 191, 8층 (범물동 1273)</t>
    <phoneticPr fontId="28" type="noConversion"/>
  </si>
  <si>
    <t xml:space="preserve">(구)프리머스 수성 </t>
    <phoneticPr fontId="28" type="noConversion"/>
  </si>
  <si>
    <t>중구 국채보상로 57 (동성로1가 29-4)</t>
    <phoneticPr fontId="28" type="noConversion"/>
  </si>
  <si>
    <t xml:space="preserve">10관~15관 폐관 </t>
    <phoneticPr fontId="28" type="noConversion"/>
  </si>
  <si>
    <t>중구 국채보상로 585, 5층~9층 (사일동 15-1)</t>
    <phoneticPr fontId="28" type="noConversion"/>
  </si>
  <si>
    <t>4DX, IMAX, sweetbox, CGV 아트하우스, ScreenX, Veatbox</t>
    <phoneticPr fontId="28" type="noConversion"/>
  </si>
  <si>
    <t>CGV 대구현대</t>
    <phoneticPr fontId="28" type="noConversion"/>
  </si>
  <si>
    <t>중구 달구벌대로 2077, 지하2층 (계산동 2가 200번지 지하2층)</t>
    <phoneticPr fontId="28" type="noConversion"/>
  </si>
  <si>
    <t>중구 동성로 2길 95</t>
    <phoneticPr fontId="28" type="noConversion"/>
  </si>
  <si>
    <t>1관 샤롯데</t>
    <phoneticPr fontId="28" type="noConversion"/>
  </si>
  <si>
    <t>대구시</t>
    <phoneticPr fontId="28" type="noConversion"/>
  </si>
  <si>
    <t>중구</t>
    <phoneticPr fontId="28" type="noConversion"/>
  </si>
  <si>
    <t>CGV 대구한일</t>
    <phoneticPr fontId="28" type="noConversion"/>
  </si>
  <si>
    <t xml:space="preserve">중구 동성로 39, 7층 (동성로 2가 88-2 씨네시티한일 7층) </t>
    <phoneticPr fontId="28" type="noConversion"/>
  </si>
  <si>
    <t>Sweetbox</t>
    <phoneticPr fontId="28" type="noConversion"/>
  </si>
  <si>
    <t xml:space="preserve">(구)대구한일극장 -&gt;(구)메가박스 대구한일 </t>
    <phoneticPr fontId="28" type="noConversion"/>
  </si>
  <si>
    <t xml:space="preserve">CGV 대구아카데미 </t>
    <phoneticPr fontId="28" type="noConversion"/>
  </si>
  <si>
    <t>중구 중앙대로 412 (남일동)</t>
    <phoneticPr fontId="28" type="noConversion"/>
  </si>
  <si>
    <t>(구)롯데시네마 대구아카데미</t>
    <phoneticPr fontId="28" type="noConversion"/>
  </si>
  <si>
    <t>~</t>
    <phoneticPr fontId="28" type="noConversion"/>
  </si>
  <si>
    <t>계양구 장제로 738, 8층 (작전동 899-1 8~11층)</t>
    <phoneticPr fontId="28" type="noConversion"/>
  </si>
  <si>
    <t>CGV 인천터미널</t>
    <phoneticPr fontId="28" type="noConversion"/>
  </si>
  <si>
    <t>남구 연남로 35, 지하1층 (관교동 15 신세계백화점 지하1층)</t>
    <phoneticPr fontId="28" type="noConversion"/>
  </si>
  <si>
    <t>(구)CGV 관교</t>
    <phoneticPr fontId="28" type="noConversion"/>
  </si>
  <si>
    <t>남구 염창로 58, 6층 (주안동 30-1 카라아울렛 6~10층)</t>
    <phoneticPr fontId="28" type="noConversion"/>
  </si>
  <si>
    <t>인천시</t>
    <phoneticPr fontId="28" type="noConversion"/>
  </si>
  <si>
    <t xml:space="preserve">남구 </t>
    <phoneticPr fontId="28" type="noConversion"/>
  </si>
  <si>
    <t xml:space="preserve">CGV 남주안 </t>
    <phoneticPr fontId="28" type="noConversion"/>
  </si>
  <si>
    <t>남구 미추홀대로 736 (주안동 9층 18호)</t>
    <phoneticPr fontId="28" type="noConversion"/>
  </si>
  <si>
    <t>남동구 논현로 26번길34, 4층 (논현동 646-2 시네마타워4층)</t>
    <phoneticPr fontId="28" type="noConversion"/>
  </si>
  <si>
    <t>남동구 예술로 148 롯데백화점 7층 (구월동 1455)</t>
    <phoneticPr fontId="28" type="noConversion"/>
  </si>
  <si>
    <t>1관 샤롯데</t>
    <phoneticPr fontId="28" type="noConversion"/>
  </si>
  <si>
    <t>남동구 예술로 198, 4층 (구월동 1130 씨엔씨빌딩 4층)</t>
    <phoneticPr fontId="28" type="noConversion"/>
  </si>
  <si>
    <t>IMAX, ScreenX, Sweetbox, CGV 아트하우스, 4DX, Veatbox</t>
    <phoneticPr fontId="28" type="noConversion"/>
  </si>
  <si>
    <t>부평구 광장로 16 (부평동 738-21)</t>
    <phoneticPr fontId="28" type="noConversion"/>
  </si>
  <si>
    <t>부평구 대정로 66 (부평동 152-1)</t>
    <phoneticPr fontId="28" type="noConversion"/>
  </si>
  <si>
    <t xml:space="preserve"> 9관 아르떼</t>
    <phoneticPr fontId="28" type="noConversion"/>
  </si>
  <si>
    <t xml:space="preserve">인천시 </t>
    <phoneticPr fontId="28" type="noConversion"/>
  </si>
  <si>
    <t xml:space="preserve">부평구 </t>
    <phoneticPr fontId="28" type="noConversion"/>
  </si>
  <si>
    <t xml:space="preserve">CGV 부평역 </t>
    <phoneticPr fontId="28" type="noConversion"/>
  </si>
  <si>
    <t>부평구 경원대로 1395</t>
    <phoneticPr fontId="28" type="noConversion"/>
  </si>
  <si>
    <t>부평구</t>
    <phoneticPr fontId="28" type="noConversion"/>
  </si>
  <si>
    <t>부평구 마장로 489 (청천동 386)</t>
    <phoneticPr fontId="28" type="noConversion"/>
  </si>
  <si>
    <t>서구 완정로 163 (마천동 698-7)</t>
    <phoneticPr fontId="28" type="noConversion"/>
  </si>
  <si>
    <t>메가박스 연수</t>
    <phoneticPr fontId="28" type="noConversion"/>
  </si>
  <si>
    <t>연수구 벚꽃로 106 광장프라자 (청학동 496-4)</t>
    <phoneticPr fontId="28" type="noConversion"/>
  </si>
  <si>
    <t>인천시</t>
    <phoneticPr fontId="28" type="noConversion"/>
  </si>
  <si>
    <t>연수구</t>
    <phoneticPr fontId="28" type="noConversion"/>
  </si>
  <si>
    <t xml:space="preserve">CGV 인천연수 </t>
    <phoneticPr fontId="28" type="noConversion"/>
  </si>
  <si>
    <t>위탁</t>
    <phoneticPr fontId="28" type="noConversion"/>
  </si>
  <si>
    <t>연수구 청능대로 210, 4층 (동춘동 926 스퀘어원쇼핑몰 4층)</t>
    <phoneticPr fontId="28" type="noConversion"/>
  </si>
  <si>
    <t>~</t>
    <phoneticPr fontId="28" type="noConversion"/>
  </si>
  <si>
    <t>1544-1122</t>
    <phoneticPr fontId="28" type="noConversion"/>
  </si>
  <si>
    <t>인천시</t>
    <phoneticPr fontId="28" type="noConversion"/>
  </si>
  <si>
    <t>중구</t>
    <phoneticPr fontId="28" type="noConversion"/>
  </si>
  <si>
    <t>CGV 인천공항</t>
    <phoneticPr fontId="28" type="noConversion"/>
  </si>
  <si>
    <t>직영</t>
    <phoneticPr fontId="28" type="noConversion"/>
  </si>
  <si>
    <t>중구 공항로 272, 지하1층 (운서동 2850)</t>
    <phoneticPr fontId="28" type="noConversion"/>
  </si>
  <si>
    <t>메가박스 첨단</t>
    <phoneticPr fontId="28" type="noConversion"/>
  </si>
  <si>
    <t>광산구 앰코로 35 (쌍암동 688-4)</t>
    <phoneticPr fontId="28" type="noConversion"/>
  </si>
  <si>
    <t>CGV 광주첨단</t>
    <phoneticPr fontId="28" type="noConversion"/>
  </si>
  <si>
    <t>광산구 임방울대로 826번길, 2층 (쌍암동 667-9)</t>
    <phoneticPr fontId="28" type="noConversion"/>
  </si>
  <si>
    <t>Sweetbox</t>
    <phoneticPr fontId="28" type="noConversion"/>
  </si>
  <si>
    <t>광주시</t>
    <phoneticPr fontId="28" type="noConversion"/>
  </si>
  <si>
    <t>광산구</t>
    <phoneticPr fontId="28" type="noConversion"/>
  </si>
  <si>
    <t>롯데시네마 수완</t>
    <phoneticPr fontId="28" type="noConversion"/>
  </si>
  <si>
    <t>직영</t>
    <phoneticPr fontId="28" type="noConversion"/>
  </si>
  <si>
    <t>광산구 장신로 98 롯데아울렛 (장신동)</t>
    <phoneticPr fontId="28" type="noConversion"/>
  </si>
  <si>
    <t>수퍼4D, 수퍼사운드</t>
    <phoneticPr fontId="28" type="noConversion"/>
  </si>
  <si>
    <t>메가박스 콜롬버스 하남</t>
    <phoneticPr fontId="28" type="noConversion"/>
  </si>
  <si>
    <t>광산구 풍영철길로 15 (우산동1587-1)</t>
    <phoneticPr fontId="28" type="noConversion"/>
  </si>
  <si>
    <t>롯데시네마 광주(롯데백화점)</t>
    <phoneticPr fontId="28" type="noConversion"/>
  </si>
  <si>
    <t>동구 독립로 268 롯데백화점 9층 (대인동 7-1)</t>
    <phoneticPr fontId="28" type="noConversion"/>
  </si>
  <si>
    <t>2000-07-00</t>
    <phoneticPr fontId="28" type="noConversion"/>
  </si>
  <si>
    <t>메가박스 광주(충장로)</t>
    <phoneticPr fontId="28" type="noConversion"/>
  </si>
  <si>
    <t>동구 중앙로 160번길 16-7 (불로동 1-21)</t>
    <phoneticPr fontId="28" type="noConversion"/>
  </si>
  <si>
    <t>1관 Table M관, M관</t>
    <phoneticPr fontId="28" type="noConversion"/>
  </si>
  <si>
    <t>(구)씨네씨티</t>
    <phoneticPr fontId="28" type="noConversion"/>
  </si>
  <si>
    <t xml:space="preserve">광주시 </t>
    <phoneticPr fontId="28" type="noConversion"/>
  </si>
  <si>
    <t xml:space="preserve">동구 </t>
    <phoneticPr fontId="28" type="noConversion"/>
  </si>
  <si>
    <t xml:space="preserve">롯데시네마 충장로 </t>
    <phoneticPr fontId="28" type="noConversion"/>
  </si>
  <si>
    <t xml:space="preserve">동구 충장로안길 12 (황금동 12-2) </t>
    <phoneticPr fontId="28" type="noConversion"/>
  </si>
  <si>
    <t xml:space="preserve">CGV 광주용봉 </t>
    <phoneticPr fontId="28" type="noConversion"/>
  </si>
  <si>
    <t xml:space="preserve">북구 문화소통로 170 (용봉동 17-1 굿모닝타운 4층) </t>
    <phoneticPr fontId="28" type="noConversion"/>
  </si>
  <si>
    <t>메가박스 전대(광주)</t>
    <phoneticPr fontId="28" type="noConversion"/>
  </si>
  <si>
    <t>북구 우치로 60 (중흥동 362-3)</t>
    <phoneticPr fontId="28" type="noConversion"/>
  </si>
  <si>
    <t>서구 무진대로 904, 2층~6층 (광천동 49-1 유스퀘어 2~6층)</t>
    <phoneticPr fontId="28" type="noConversion"/>
  </si>
  <si>
    <t>IMAX, 4DX, Sweetbox, Veatbox, ScreenX, CGV 아트하우스</t>
    <phoneticPr fontId="28" type="noConversion"/>
  </si>
  <si>
    <t>메가박스 콜롬버스 상무</t>
    <phoneticPr fontId="28" type="noConversion"/>
  </si>
  <si>
    <t>서구 시청로 60번길 21-6 (치평동 1223-3)</t>
    <phoneticPr fontId="28" type="noConversion"/>
  </si>
  <si>
    <t>서구</t>
    <phoneticPr fontId="28" type="noConversion"/>
  </si>
  <si>
    <t xml:space="preserve">CGV 광주상무 </t>
    <phoneticPr fontId="28" type="noConversion"/>
  </si>
  <si>
    <t xml:space="preserve">서구 시청로 67 (프리미엄아울렛) 6층 </t>
    <phoneticPr fontId="28" type="noConversion"/>
  </si>
  <si>
    <t>2014-06-05</t>
    <phoneticPr fontId="28" type="noConversion"/>
  </si>
  <si>
    <t>(구)롯데시네마 상무</t>
    <phoneticPr fontId="28" type="noConversion"/>
  </si>
  <si>
    <t>대전시</t>
    <phoneticPr fontId="28" type="noConversion"/>
  </si>
  <si>
    <t>동구</t>
    <phoneticPr fontId="28" type="noConversion"/>
  </si>
  <si>
    <t>CGV 대전터미널</t>
    <phoneticPr fontId="28" type="noConversion"/>
  </si>
  <si>
    <t>동구 동서대로 1689, 3층 (용전동 63-3, 68-2)</t>
    <phoneticPr fontId="28" type="noConversion"/>
  </si>
  <si>
    <t>ScreenX, Sweetbox, Veatbox</t>
    <phoneticPr fontId="28" type="noConversion"/>
  </si>
  <si>
    <t xml:space="preserve">대전시 </t>
    <phoneticPr fontId="28" type="noConversion"/>
  </si>
  <si>
    <t xml:space="preserve">CGV 대전가오 </t>
    <phoneticPr fontId="28" type="noConversion"/>
  </si>
  <si>
    <t xml:space="preserve">동구 은어송로 72, 4층 (가오동 72 홈플러스 4층) </t>
    <phoneticPr fontId="28" type="noConversion"/>
  </si>
  <si>
    <t>(구)롯데시네마 대전가오</t>
    <phoneticPr fontId="28" type="noConversion"/>
  </si>
  <si>
    <t>서구 계룡로 598 롯데백화점 10층 (괴정동 423-1)</t>
    <phoneticPr fontId="28" type="noConversion"/>
  </si>
  <si>
    <t xml:space="preserve">서구 </t>
    <phoneticPr fontId="28" type="noConversion"/>
  </si>
  <si>
    <t xml:space="preserve">롯데시네마 대전둔산 </t>
    <phoneticPr fontId="28" type="noConversion"/>
  </si>
  <si>
    <t>서구 대덕대로 325 스타게이트 12층 (월평동)</t>
    <phoneticPr fontId="28" type="noConversion"/>
  </si>
  <si>
    <t>(구)CGV 대전둔산</t>
    <phoneticPr fontId="28" type="noConversion"/>
  </si>
  <si>
    <t>메가박스 대전</t>
    <phoneticPr fontId="28" type="noConversion"/>
  </si>
  <si>
    <t>서구 문정로 77 로데오타운 5층 (탄방동 746)</t>
    <phoneticPr fontId="28" type="noConversion"/>
  </si>
  <si>
    <t xml:space="preserve">유성구 </t>
    <phoneticPr fontId="28" type="noConversion"/>
  </si>
  <si>
    <t xml:space="preserve">CGV 유성노은 </t>
    <phoneticPr fontId="28" type="noConversion"/>
  </si>
  <si>
    <t xml:space="preserve">유성구 노은로 144 노은타운 7층 </t>
    <phoneticPr fontId="28" type="noConversion"/>
  </si>
  <si>
    <t xml:space="preserve">(구)씨네위 </t>
    <phoneticPr fontId="28" type="noConversion"/>
  </si>
  <si>
    <t>중구 계백로 1700, 6층 (문화동 1-16 세이백화점 6층)</t>
    <phoneticPr fontId="28" type="noConversion"/>
  </si>
  <si>
    <t>4DX, IMAX, sweetbox, CGV 아트하우스, ScreenX, Veatbox</t>
    <phoneticPr fontId="28" type="noConversion"/>
  </si>
  <si>
    <t>2014.11.5 CGV 유성노은으로 재개관</t>
    <phoneticPr fontId="28" type="noConversion"/>
  </si>
  <si>
    <t>직영</t>
    <phoneticPr fontId="28" type="noConversion"/>
  </si>
  <si>
    <t>남구 삼산로 288 (삼산동 1480-1)</t>
    <phoneticPr fontId="28" type="noConversion"/>
  </si>
  <si>
    <t xml:space="preserve">수퍼4D, 수퍼바이브, 수퍼사운드 </t>
    <phoneticPr fontId="28" type="noConversion"/>
  </si>
  <si>
    <t>울산시</t>
    <phoneticPr fontId="28" type="noConversion"/>
  </si>
  <si>
    <t xml:space="preserve">CGV 울산삼산 </t>
    <phoneticPr fontId="28" type="noConversion"/>
  </si>
  <si>
    <t xml:space="preserve">직영 </t>
    <phoneticPr fontId="28" type="noConversion"/>
  </si>
  <si>
    <t>남구 화합로 185, 5층 (삼산동 1569-1 업스퀘어 5층)</t>
    <phoneticPr fontId="28" type="noConversion"/>
  </si>
  <si>
    <t>4DX, IMAX, Sweetbox, Gold Class, ScreenX, Veatbox</t>
    <phoneticPr fontId="28" type="noConversion"/>
  </si>
  <si>
    <t>중구 젊음의 거리 73 (성남동 251-8)</t>
    <phoneticPr fontId="28" type="noConversion"/>
  </si>
  <si>
    <t xml:space="preserve">울산시 </t>
    <phoneticPr fontId="28" type="noConversion"/>
  </si>
  <si>
    <t xml:space="preserve">중구 </t>
    <phoneticPr fontId="28" type="noConversion"/>
  </si>
  <si>
    <t xml:space="preserve">롯데시네마 울산성남 </t>
    <phoneticPr fontId="28" type="noConversion"/>
  </si>
  <si>
    <t>중구 젊음의 2거리 33 리버플레이스 10층 (성남동)</t>
    <phoneticPr fontId="28" type="noConversion"/>
  </si>
  <si>
    <t>(구)CGV 울산</t>
    <phoneticPr fontId="28" type="noConversion"/>
  </si>
  <si>
    <t>경기도</t>
    <phoneticPr fontId="28" type="noConversion"/>
  </si>
  <si>
    <t>고양시</t>
    <phoneticPr fontId="28" type="noConversion"/>
  </si>
  <si>
    <t>CGV 화정</t>
    <phoneticPr fontId="28" type="noConversion"/>
  </si>
  <si>
    <t>고양시 덕양구 화중로 104번길 28, 3층 (화정동 966-1 시네마플러스 401호)</t>
    <phoneticPr fontId="28" type="noConversion"/>
  </si>
  <si>
    <t>롯데시네마 라페스타(일산)</t>
    <phoneticPr fontId="28" type="noConversion"/>
  </si>
  <si>
    <t>고양시 일산동구 무궁화로 32-34, 3층 (장항동 764, 765 라페스타 C,D동 3층)</t>
    <phoneticPr fontId="28" type="noConversion"/>
  </si>
  <si>
    <t xml:space="preserve">고양시 일산동구 정발산로 24 (장항동 867번지 웨스턴돔 3층) </t>
    <phoneticPr fontId="28" type="noConversion"/>
  </si>
  <si>
    <t>4DX, IMAX, Sweetbox, ScreenX, Veatbox</t>
    <phoneticPr fontId="28" type="noConversion"/>
  </si>
  <si>
    <t>경기도</t>
    <phoneticPr fontId="28" type="noConversion"/>
  </si>
  <si>
    <t>고양시</t>
    <phoneticPr fontId="28" type="noConversion"/>
  </si>
  <si>
    <t>메가박스 백석</t>
    <phoneticPr fontId="28" type="noConversion"/>
  </si>
  <si>
    <t>고양시 일산동구 중앙로 1036 고양종합터미널 5층</t>
    <phoneticPr fontId="28" type="noConversion"/>
  </si>
  <si>
    <t>메가박스 일산</t>
    <phoneticPr fontId="28" type="noConversion"/>
  </si>
  <si>
    <t>고양시 일산서구 덕이로 20 (덕이동 219-8)</t>
    <phoneticPr fontId="28" type="noConversion"/>
  </si>
  <si>
    <t>롯데시네마 주엽(일산)</t>
    <phoneticPr fontId="28" type="noConversion"/>
  </si>
  <si>
    <t>고양시 일산서구 중앙로 1436 그랜드백화점 9층 (주엽2동)</t>
    <phoneticPr fontId="28" type="noConversion"/>
  </si>
  <si>
    <t>아르떼</t>
    <phoneticPr fontId="28" type="noConversion"/>
  </si>
  <si>
    <t>고양시 일산서구 호수로 817 레이킨스몰 3층 (대화동)</t>
    <phoneticPr fontId="28" type="noConversion"/>
  </si>
  <si>
    <t>Table M관, M관, The First Club</t>
    <phoneticPr fontId="28" type="noConversion"/>
  </si>
  <si>
    <t xml:space="preserve">CGV 광명철산 </t>
    <phoneticPr fontId="28" type="noConversion"/>
  </si>
  <si>
    <t>광명시 철산로 30번길 14 (철산동 436 덕수빌딩 4층)</t>
    <phoneticPr fontId="28" type="noConversion"/>
  </si>
  <si>
    <t>(구)프리머스 광명</t>
    <phoneticPr fontId="28" type="noConversion"/>
  </si>
  <si>
    <t xml:space="preserve">광명시 </t>
    <phoneticPr fontId="28" type="noConversion"/>
  </si>
  <si>
    <t xml:space="preserve">롯데시네마 광명아울렛 </t>
    <phoneticPr fontId="28" type="noConversion"/>
  </si>
  <si>
    <t>광명시 일직로 17 롯데프리미엄아울렛 광명점 5층</t>
    <phoneticPr fontId="28" type="noConversion"/>
  </si>
  <si>
    <t xml:space="preserve">수퍼플렉스 </t>
    <phoneticPr fontId="28" type="noConversion"/>
  </si>
  <si>
    <t>광주시</t>
    <phoneticPr fontId="28" type="noConversion"/>
  </si>
  <si>
    <t>롯데시네마 광주터미널</t>
    <phoneticPr fontId="28" type="noConversion"/>
  </si>
  <si>
    <t>광주시 광주대로 30 2층 (경안동 25-3 광주버스터미널 2층)</t>
    <phoneticPr fontId="28" type="noConversion"/>
  </si>
  <si>
    <t>구리시 경춘로 243 (인창동 676-2)</t>
    <phoneticPr fontId="28" type="noConversion"/>
  </si>
  <si>
    <t xml:space="preserve">경기도 </t>
    <phoneticPr fontId="28" type="noConversion"/>
  </si>
  <si>
    <t>구리시</t>
    <phoneticPr fontId="28" type="noConversion"/>
  </si>
  <si>
    <t>롯데시네마 구리아울렛</t>
    <phoneticPr fontId="28" type="noConversion"/>
  </si>
  <si>
    <t xml:space="preserve">구리시 동구릉로 136번길 47 </t>
    <phoneticPr fontId="28" type="noConversion"/>
  </si>
  <si>
    <t>군포시 번영로 505 (산본동 1142-2,3 대우디오플러스 4층)</t>
    <phoneticPr fontId="28" type="noConversion"/>
  </si>
  <si>
    <t xml:space="preserve">(구)CNI시네마 </t>
    <phoneticPr fontId="28" type="noConversion"/>
  </si>
  <si>
    <t xml:space="preserve">김포시 </t>
    <phoneticPr fontId="28" type="noConversion"/>
  </si>
  <si>
    <t xml:space="preserve">메가박스 김포 </t>
    <phoneticPr fontId="28" type="noConversion"/>
  </si>
  <si>
    <t>김포시 걸포로 6 (걸포동 미도프라자 7~8층)</t>
    <phoneticPr fontId="28" type="noConversion"/>
  </si>
  <si>
    <t xml:space="preserve">CGV 김포운양 </t>
    <phoneticPr fontId="28" type="noConversion"/>
  </si>
  <si>
    <t xml:space="preserve">김포시 김포한강 11로 288-31 에이스프라자 7층 </t>
    <phoneticPr fontId="28" type="noConversion"/>
  </si>
  <si>
    <t xml:space="preserve">CGV 김포 </t>
    <phoneticPr fontId="28" type="noConversion"/>
  </si>
  <si>
    <t xml:space="preserve">김포시 사우동 928 </t>
    <phoneticPr fontId="28" type="noConversion"/>
  </si>
  <si>
    <t xml:space="preserve">(구)프리머스 김포 </t>
    <phoneticPr fontId="28" type="noConversion"/>
  </si>
  <si>
    <t>경기도</t>
    <phoneticPr fontId="28" type="noConversion"/>
  </si>
  <si>
    <t xml:space="preserve">김포시 </t>
    <phoneticPr fontId="28" type="noConversion"/>
  </si>
  <si>
    <t>CGV 김포풍무</t>
    <phoneticPr fontId="28" type="noConversion"/>
  </si>
  <si>
    <t>김포시 풍무로 167, 지하1층 (풍무동 38-1 홈플러스 지하1층)</t>
    <phoneticPr fontId="28" type="noConversion"/>
  </si>
  <si>
    <t>남양주시</t>
    <phoneticPr fontId="28" type="noConversion"/>
  </si>
  <si>
    <t>메가박스 남양주</t>
    <phoneticPr fontId="28" type="noConversion"/>
  </si>
  <si>
    <t>남양주시 늘을2로 26 메인씨네마타워 8,9층 (호평동 640)</t>
    <phoneticPr fontId="28" type="noConversion"/>
  </si>
  <si>
    <t xml:space="preserve">경기도 </t>
    <phoneticPr fontId="28" type="noConversion"/>
  </si>
  <si>
    <t xml:space="preserve">메가박스 별내 </t>
    <phoneticPr fontId="28" type="noConversion"/>
  </si>
  <si>
    <t>남양주시 두물로 19 (별내동 황산빌딩)</t>
    <phoneticPr fontId="28" type="noConversion"/>
  </si>
  <si>
    <t>남양주시 진접읍 해밀예당1로 36 래일스타 9층 (금곡리 1081-2)</t>
    <phoneticPr fontId="28" type="noConversion"/>
  </si>
  <si>
    <t xml:space="preserve">남양주시 </t>
    <phoneticPr fontId="28" type="noConversion"/>
  </si>
  <si>
    <t xml:space="preserve">롯데시네마 마석 </t>
    <phoneticPr fontId="28" type="noConversion"/>
  </si>
  <si>
    <t xml:space="preserve">남양주시 화도읍 경춘로 1992 (마석우리 255-24) </t>
    <phoneticPr fontId="28" type="noConversion"/>
  </si>
  <si>
    <t>부천시 소사구 경인로 505, 6층 (괴안동 역곡하이뷰 6층)</t>
    <phoneticPr fontId="28" type="noConversion"/>
  </si>
  <si>
    <t>부천시 원미구 길주로 180, 5층 (중동 1164 로담코 플라자 5~7층)</t>
    <phoneticPr fontId="28" type="noConversion"/>
  </si>
  <si>
    <t>부천시</t>
    <phoneticPr fontId="28" type="noConversion"/>
  </si>
  <si>
    <t xml:space="preserve">CGV 소풍 </t>
    <phoneticPr fontId="28" type="noConversion"/>
  </si>
  <si>
    <t>부천시 원미구 송내대로 239, 6층 (상동 539-1 소풍 6,7층)</t>
    <phoneticPr fontId="28" type="noConversion"/>
  </si>
  <si>
    <t xml:space="preserve">(구)프리머스 소풍 </t>
    <phoneticPr fontId="28" type="noConversion"/>
  </si>
  <si>
    <t>롯데시네마 부천(신중동역)</t>
    <phoneticPr fontId="28" type="noConversion"/>
  </si>
  <si>
    <t>원미구 길주로 289 (중동 1141-2)</t>
    <phoneticPr fontId="28" type="noConversion"/>
  </si>
  <si>
    <t xml:space="preserve">롯데시네마 부천역 </t>
    <phoneticPr fontId="28" type="noConversion"/>
  </si>
  <si>
    <t>원미구 부천로 11 (심곡동)</t>
    <phoneticPr fontId="28" type="noConversion"/>
  </si>
  <si>
    <t xml:space="preserve">(구)더잼 </t>
    <phoneticPr fontId="28" type="noConversion"/>
  </si>
  <si>
    <t xml:space="preserve">부천시 </t>
    <phoneticPr fontId="28" type="noConversion"/>
  </si>
  <si>
    <t xml:space="preserve">CGV 부천역 </t>
    <phoneticPr fontId="28" type="noConversion"/>
  </si>
  <si>
    <t>부천시 원미구 부일로 460</t>
    <phoneticPr fontId="28" type="noConversion"/>
  </si>
  <si>
    <t>(구)MMC부천 -&gt;(구)메가박스 부천MMC</t>
    <phoneticPr fontId="28" type="noConversion"/>
  </si>
  <si>
    <t>성남시 분당구 성남대로 925번길 16, 지하2층 (야탑동 341 테마폴리스빌딩 지하2층)</t>
    <phoneticPr fontId="28" type="noConversion"/>
  </si>
  <si>
    <t>성남시 분당구 탄천상로 151번길 20 (구미동 159 월드쇼핑 4층)</t>
    <phoneticPr fontId="28" type="noConversion"/>
  </si>
  <si>
    <t>Gold Class, CGV 아트하우스,  Sweetbox, Screenx</t>
    <phoneticPr fontId="28" type="noConversion"/>
  </si>
  <si>
    <t>메가박스 분당</t>
    <phoneticPr fontId="28" type="noConversion"/>
  </si>
  <si>
    <t>성남시 분당구 황새울로 32 (서현동 262-2)</t>
    <phoneticPr fontId="28" type="noConversion"/>
  </si>
  <si>
    <t>Boutique M, Balcony M</t>
    <phoneticPr fontId="28" type="noConversion"/>
  </si>
  <si>
    <t>(구) 시네플라자</t>
    <phoneticPr fontId="28" type="noConversion"/>
  </si>
  <si>
    <t>성남시 수정구 산성대로 331 (신흥동2동 2463-4)</t>
    <phoneticPr fontId="28" type="noConversion"/>
  </si>
  <si>
    <t>성남시 중원구 성남대로 1136 (성남동 3499)</t>
    <phoneticPr fontId="28" type="noConversion"/>
  </si>
  <si>
    <t xml:space="preserve">성남시 </t>
    <phoneticPr fontId="28" type="noConversion"/>
  </si>
  <si>
    <t xml:space="preserve">CGV 서현 </t>
    <phoneticPr fontId="28" type="noConversion"/>
  </si>
  <si>
    <t xml:space="preserve">성남시 분당구 서현로 180번길 19 비전월드빌딩 1층 </t>
    <phoneticPr fontId="28" type="noConversion"/>
  </si>
  <si>
    <t>수원시 권선구 경수대로 270 (권선동 1189)</t>
    <phoneticPr fontId="28" type="noConversion"/>
  </si>
  <si>
    <t>수원시 영통구 봉영로 1579 롯데쇼핑플라자 5층 (영통동 960-1)</t>
    <phoneticPr fontId="28" type="noConversion"/>
  </si>
  <si>
    <t>1관 M2관, Mega Kids Box</t>
    <phoneticPr fontId="28" type="noConversion"/>
  </si>
  <si>
    <t xml:space="preserve">수원시 </t>
    <phoneticPr fontId="28" type="noConversion"/>
  </si>
  <si>
    <t xml:space="preserve">롯데시네마 수원 </t>
    <phoneticPr fontId="28" type="noConversion"/>
  </si>
  <si>
    <t>수원시 권선구 세화로 134 롯데몰수원 5층</t>
    <phoneticPr fontId="28" type="noConversion"/>
  </si>
  <si>
    <t>1관 수퍼플렉스, 2관 수퍼사운드, 수퍼4D</t>
    <phoneticPr fontId="28" type="noConversion"/>
  </si>
  <si>
    <t>수원시 장안구 경수대로 950, 4층 (조원동 893 아일렛타운 4층)</t>
    <phoneticPr fontId="28" type="noConversion"/>
  </si>
  <si>
    <t>수원시 팔달구 권광로 181, 7층 (인계동 113-11 12번지 7~10)</t>
    <phoneticPr fontId="28" type="noConversion"/>
  </si>
  <si>
    <t>4DX, CGV 아트하우스, ScreenX, Veatbox</t>
    <phoneticPr fontId="28" type="noConversion"/>
  </si>
  <si>
    <t>수원시 팔달구 덕영대로 924, 6층 (매산로 1가)</t>
    <phoneticPr fontId="28" type="noConversion"/>
  </si>
  <si>
    <t>IMAX, Sweetbox, Veatbox, ScreenX</t>
    <phoneticPr fontId="28" type="noConversion"/>
  </si>
  <si>
    <t>수원시</t>
    <phoneticPr fontId="28" type="noConversion"/>
  </si>
  <si>
    <t xml:space="preserve">메가박스 수원남문 </t>
    <phoneticPr fontId="28" type="noConversion"/>
  </si>
  <si>
    <t xml:space="preserve">수원시 팔달구 행궁로 71 </t>
    <phoneticPr fontId="28" type="noConversion"/>
  </si>
  <si>
    <t>시흥시 마유로 418번길 10 (정왕동 876-408)</t>
    <phoneticPr fontId="28" type="noConversion"/>
  </si>
  <si>
    <t>시흥시 복지로 90 (대야동 568-1 시네마타워 6층)</t>
    <phoneticPr fontId="28" type="noConversion"/>
  </si>
  <si>
    <t>프리머스 안산 메가넥스</t>
    <phoneticPr fontId="28" type="noConversion"/>
  </si>
  <si>
    <t>안산시 단원구 고잔2길 41 (고잔2동 535-1)</t>
    <phoneticPr fontId="28" type="noConversion"/>
  </si>
  <si>
    <t>롯데시네마 센트럴락(안산)</t>
    <phoneticPr fontId="28" type="noConversion"/>
  </si>
  <si>
    <t xml:space="preserve">안산시 단원구 고잔로 108, 7층 (고잔2동) </t>
    <phoneticPr fontId="28" type="noConversion"/>
  </si>
  <si>
    <t>메가박스 안산</t>
    <phoneticPr fontId="28" type="noConversion"/>
  </si>
  <si>
    <t>안산시 단원구 광덕대로 141 밀레니엄빌딩 7층 (고잔동 717-2)</t>
    <phoneticPr fontId="28" type="noConversion"/>
  </si>
  <si>
    <t>CGV 안산</t>
    <phoneticPr fontId="28" type="noConversion"/>
  </si>
  <si>
    <t xml:space="preserve">안산시 단원구 광덕대로 194 (고잔동 725-1 스타맥스타워 5층) </t>
    <phoneticPr fontId="28" type="noConversion"/>
  </si>
  <si>
    <t>롯데시네마 안산(롯데마트)</t>
    <phoneticPr fontId="28" type="noConversion"/>
  </si>
  <si>
    <t>안산시 상록구 충장로 427 롯데마트 안산점 4층 (성포동 590)</t>
    <phoneticPr fontId="28" type="noConversion"/>
  </si>
  <si>
    <t xml:space="preserve">안성시 </t>
    <phoneticPr fontId="28" type="noConversion"/>
  </si>
  <si>
    <t>롯데시네마 안성</t>
    <phoneticPr fontId="28" type="noConversion"/>
  </si>
  <si>
    <t>안성시 공도읍 서동대로 4478 롯데마트 1층 (양기리 306-1)</t>
    <phoneticPr fontId="28" type="noConversion"/>
  </si>
  <si>
    <t xml:space="preserve">안양시 </t>
    <phoneticPr fontId="28" type="noConversion"/>
  </si>
  <si>
    <t xml:space="preserve">CGV 범계 </t>
    <phoneticPr fontId="28" type="noConversion"/>
  </si>
  <si>
    <t>안양시 동안구 동안로 119, 11층 (호계동 1139-3 뉴코아아울렛 11층)</t>
    <phoneticPr fontId="28" type="noConversion"/>
  </si>
  <si>
    <t xml:space="preserve">(구)프리머스 평촌 </t>
    <phoneticPr fontId="28" type="noConversion"/>
  </si>
  <si>
    <t>안양시 동안구 관평로 170번길 33, 8층 (관양동 1606)</t>
    <phoneticPr fontId="28" type="noConversion"/>
  </si>
  <si>
    <t>안양시</t>
    <phoneticPr fontId="28" type="noConversion"/>
  </si>
  <si>
    <t>롯데시네마 평촌</t>
    <phoneticPr fontId="28" type="noConversion"/>
  </si>
  <si>
    <t>안양시 동안구 시민대로 180, 8층 (호계동 1039)</t>
    <phoneticPr fontId="28" type="noConversion"/>
  </si>
  <si>
    <t xml:space="preserve">샤롯데, 수퍼4D, 수퍼바이브, 수퍼사운드 </t>
    <phoneticPr fontId="28" type="noConversion"/>
  </si>
  <si>
    <t xml:space="preserve">롯데시네마 인덕원 </t>
    <phoneticPr fontId="28" type="noConversion"/>
  </si>
  <si>
    <t>안양시 동안구 흥안대로 519번길 아이퍼스트타워 7층 (관양동 1502-6)</t>
    <phoneticPr fontId="28" type="noConversion"/>
  </si>
  <si>
    <t xml:space="preserve">(구)메가박스 인덕원 </t>
    <phoneticPr fontId="28" type="noConversion"/>
  </si>
  <si>
    <t>롯데시네마 안양(안양역)</t>
    <phoneticPr fontId="28" type="noConversion"/>
  </si>
  <si>
    <t>안양시 만안구 만안로 244 롯데백화점 8층 (안양1동 88-1)</t>
    <phoneticPr fontId="28" type="noConversion"/>
  </si>
  <si>
    <t>안양시 만안구 안양로 311, 9층 (안양동 676-1 CGV 일번가 빌딩 9층)</t>
    <phoneticPr fontId="28" type="noConversion"/>
  </si>
  <si>
    <t>양주시</t>
    <phoneticPr fontId="28" type="noConversion"/>
  </si>
  <si>
    <t>롯데시네마 양주고읍</t>
    <phoneticPr fontId="28" type="noConversion"/>
  </si>
  <si>
    <t>양주시 고읍남로 6-16 (광사동 651-6)</t>
    <phoneticPr fontId="28" type="noConversion"/>
  </si>
  <si>
    <t xml:space="preserve">양주시 </t>
    <phoneticPr fontId="28" type="noConversion"/>
  </si>
  <si>
    <t>메가박스 양주</t>
    <phoneticPr fontId="28" type="noConversion"/>
  </si>
  <si>
    <t>양주시 고읍남로 6-6 해동센트럴타워 9층 (광사동 651)</t>
    <phoneticPr fontId="28" type="noConversion"/>
  </si>
  <si>
    <t>프리머스 오산</t>
    <phoneticPr fontId="28" type="noConversion"/>
  </si>
  <si>
    <t>오산시 경기대로 198, 4~6층 (원동 300-8 씨네마아울렛 4층~6층)</t>
    <phoneticPr fontId="28" type="noConversion"/>
  </si>
  <si>
    <t>용인시</t>
    <phoneticPr fontId="28" type="noConversion"/>
  </si>
  <si>
    <t>CGV 동백</t>
    <phoneticPr fontId="28" type="noConversion"/>
  </si>
  <si>
    <t xml:space="preserve">용인시 기흥구 동백죽전대로 444 (중동 833 쥬네브썬월드) </t>
    <phoneticPr fontId="28" type="noConversion"/>
  </si>
  <si>
    <t>용인시 수지구 포은대로 536, 8층 (죽전동 1285번지 신세계백화점)</t>
    <phoneticPr fontId="28" type="noConversion"/>
  </si>
  <si>
    <t>용인시 처인구 금령로 86 (김량장동 301-3)</t>
    <phoneticPr fontId="28" type="noConversion"/>
  </si>
  <si>
    <t>의정부시</t>
    <phoneticPr fontId="28" type="noConversion"/>
  </si>
  <si>
    <t xml:space="preserve">CGV 의정부태흥 </t>
    <phoneticPr fontId="28" type="noConversion"/>
  </si>
  <si>
    <t xml:space="preserve">의정부시 시민로 80 (센트럴타워) 15층 </t>
    <phoneticPr fontId="28" type="noConversion"/>
  </si>
  <si>
    <t>CGV 의정부</t>
    <phoneticPr fontId="28" type="noConversion"/>
  </si>
  <si>
    <t>의정부시 평화로 525, 10층 (의정부동 168)</t>
    <phoneticPr fontId="28" type="noConversion"/>
  </si>
  <si>
    <t>이천시 영창로 196 (창전동 162 혜성빌딩 4~5층)</t>
    <phoneticPr fontId="28" type="noConversion"/>
  </si>
  <si>
    <t>메가박스 파주출판도시</t>
    <phoneticPr fontId="28" type="noConversion"/>
  </si>
  <si>
    <t>파주시 문발로 220 이채쇼핑몰 C동 (교하읍 문발리 510-)</t>
    <phoneticPr fontId="28" type="noConversion"/>
  </si>
  <si>
    <t>2012.5.8 메가박스 이채-&gt;메가박스 파주출판도시로 명칭변경</t>
    <phoneticPr fontId="28" type="noConversion"/>
  </si>
  <si>
    <t>파주시</t>
    <phoneticPr fontId="28" type="noConversion"/>
  </si>
  <si>
    <t>롯데시네마 파주아울렛</t>
    <phoneticPr fontId="28" type="noConversion"/>
  </si>
  <si>
    <t>파주시 문발로 284 롯데프리미엄아울렛파주점 B블럭 3,4층 (교하읍 문발리 104-1)</t>
    <phoneticPr fontId="28" type="noConversion"/>
  </si>
  <si>
    <t xml:space="preserve">파주시 </t>
    <phoneticPr fontId="28" type="noConversion"/>
  </si>
  <si>
    <t xml:space="preserve">CGV 파주문산 </t>
    <phoneticPr fontId="28" type="noConversion"/>
  </si>
  <si>
    <t xml:space="preserve">파주시 문산읍 방촌로 1719-10, 3층 </t>
    <phoneticPr fontId="28" type="noConversion"/>
  </si>
  <si>
    <t xml:space="preserve">메가박스 파주금촌 </t>
    <phoneticPr fontId="28" type="noConversion"/>
  </si>
  <si>
    <t>파주시 중앙로 328 MH타워 4층 (금촌동)</t>
    <phoneticPr fontId="28" type="noConversion"/>
  </si>
  <si>
    <t>Table M관</t>
    <phoneticPr fontId="28" type="noConversion"/>
  </si>
  <si>
    <t xml:space="preserve">CGV 평택비전 </t>
    <phoneticPr fontId="28" type="noConversion"/>
  </si>
  <si>
    <t>평택시 경기대로 279, 10층 (비전2동 830번지)</t>
    <phoneticPr fontId="28" type="noConversion"/>
  </si>
  <si>
    <t xml:space="preserve">(구)프리머스 평택 </t>
    <phoneticPr fontId="28" type="noConversion"/>
  </si>
  <si>
    <t>평택시 관광특구로 17 (서정동 818-35)</t>
    <phoneticPr fontId="28" type="noConversion"/>
  </si>
  <si>
    <t>메가박스 평택</t>
    <phoneticPr fontId="28" type="noConversion"/>
  </si>
  <si>
    <t>평택시 중앙로 46, 6층 (평택동 35-3)</t>
    <phoneticPr fontId="28" type="noConversion"/>
  </si>
  <si>
    <t>화성시 동탄중앙로 220, 3층 (반송동 96,98번지 메타폴리스복합단지)</t>
    <phoneticPr fontId="28" type="noConversion"/>
  </si>
  <si>
    <t>화성시 동탄지성로 11, 7층 (반송동 93-2 동탄 시네스타 7층)</t>
    <phoneticPr fontId="28" type="noConversion"/>
  </si>
  <si>
    <t>화성시 효행로 1052 (병점동 844-1번지)</t>
    <phoneticPr fontId="28" type="noConversion"/>
  </si>
  <si>
    <t>CGV 광명</t>
    <phoneticPr fontId="28" type="noConversion"/>
  </si>
  <si>
    <t>2014.12.23 영업종료</t>
    <phoneticPr fontId="28" type="noConversion"/>
  </si>
  <si>
    <t xml:space="preserve">위탁 </t>
    <phoneticPr fontId="28" type="noConversion"/>
  </si>
  <si>
    <t>강원도</t>
    <phoneticPr fontId="28" type="noConversion"/>
  </si>
  <si>
    <t>강릉시</t>
    <phoneticPr fontId="28" type="noConversion"/>
  </si>
  <si>
    <t>CGV 강릉</t>
    <phoneticPr fontId="28" type="noConversion"/>
  </si>
  <si>
    <t>강릉시 경강로 2120, 6층~8층 (옥천동 189)</t>
    <phoneticPr fontId="28" type="noConversion"/>
  </si>
  <si>
    <t>Sweetbox, ScreenX</t>
    <phoneticPr fontId="28" type="noConversion"/>
  </si>
  <si>
    <t>1544-1122</t>
    <phoneticPr fontId="28" type="noConversion"/>
  </si>
  <si>
    <t xml:space="preserve">동해시 한섬로 111-7 현진빌딩 5층 (천곡동) </t>
    <phoneticPr fontId="28" type="noConversion"/>
  </si>
  <si>
    <t>메가박스 속초</t>
    <phoneticPr fontId="28" type="noConversion"/>
  </si>
  <si>
    <t>속초시 조양로142번길 20 (조양동 1506-1)</t>
    <phoneticPr fontId="28" type="noConversion"/>
  </si>
  <si>
    <t>Table M관</t>
    <phoneticPr fontId="28" type="noConversion"/>
  </si>
  <si>
    <t>메가박스 원주</t>
    <phoneticPr fontId="28" type="noConversion"/>
  </si>
  <si>
    <t>원주시 서원대로 165-3 아트스페이스빌딩 6층 (단계동 873)</t>
    <phoneticPr fontId="28" type="noConversion"/>
  </si>
  <si>
    <t>원주시 서원대로 396 (단구동 1511-2,3)</t>
    <phoneticPr fontId="28" type="noConversion"/>
  </si>
  <si>
    <t>강원도</t>
    <phoneticPr fontId="28" type="noConversion"/>
  </si>
  <si>
    <t xml:space="preserve">원주시 </t>
    <phoneticPr fontId="28" type="noConversion"/>
  </si>
  <si>
    <t>CGV 원주</t>
    <phoneticPr fontId="28" type="noConversion"/>
  </si>
  <si>
    <t>원주시 서원대로 171, 7층 (단계동)</t>
    <phoneticPr fontId="28" type="noConversion"/>
  </si>
  <si>
    <t xml:space="preserve">CGV 춘천명동 </t>
    <phoneticPr fontId="28" type="noConversion"/>
  </si>
  <si>
    <t>춘천시 중앙로 3가 67 (조양동 144-3)</t>
    <phoneticPr fontId="28" type="noConversion"/>
  </si>
  <si>
    <t>(구)프리머스 춘천</t>
    <phoneticPr fontId="28" type="noConversion"/>
  </si>
  <si>
    <t>춘천시 지석로 80, 3층~8층 (퇴계동 1017투탑시티 3층~8층)</t>
    <phoneticPr fontId="28" type="noConversion"/>
  </si>
  <si>
    <t>Sweet Box, IMAX, Premium, ScreenX</t>
    <phoneticPr fontId="28" type="noConversion"/>
  </si>
  <si>
    <t>충청북도</t>
    <phoneticPr fontId="28" type="noConversion"/>
  </si>
  <si>
    <t>제천시</t>
    <phoneticPr fontId="28" type="noConversion"/>
  </si>
  <si>
    <t>메가박스 제천</t>
    <phoneticPr fontId="28" type="noConversion"/>
  </si>
  <si>
    <t>제천시 의병대로 18길 1 (남천동 1145)</t>
    <phoneticPr fontId="28" type="noConversion"/>
  </si>
  <si>
    <t>(구)제천TTC7</t>
    <phoneticPr fontId="28" type="noConversion"/>
  </si>
  <si>
    <t>청주시 상당구 상당로 81번길 33 (북문로1가 170-1)</t>
    <phoneticPr fontId="28" type="noConversion"/>
  </si>
  <si>
    <t>CGV 청주(서문)</t>
    <phoneticPr fontId="28" type="noConversion"/>
  </si>
  <si>
    <t>청주시 상당구 상당로 81번길 63 (서문동 29-2)</t>
    <phoneticPr fontId="28" type="noConversion"/>
  </si>
  <si>
    <t>청주시 상당구 성안로 13 씨유멀티플렉스 3층 (북문로1가 90-1)</t>
    <phoneticPr fontId="28" type="noConversion"/>
  </si>
  <si>
    <t>아르떼</t>
    <phoneticPr fontId="28" type="noConversion"/>
  </si>
  <si>
    <t>청주시 상당구 충청대로 114 (율량동 500-3)</t>
    <phoneticPr fontId="28" type="noConversion"/>
  </si>
  <si>
    <t>충청북도</t>
    <phoneticPr fontId="28" type="noConversion"/>
  </si>
  <si>
    <t>청주시</t>
    <phoneticPr fontId="28" type="noConversion"/>
  </si>
  <si>
    <t xml:space="preserve">롯데시네마 청주충대 </t>
    <phoneticPr fontId="28" type="noConversion"/>
  </si>
  <si>
    <t>청주시 흥덕구 1순환로 682 (사창동 488)</t>
    <phoneticPr fontId="28" type="noConversion"/>
  </si>
  <si>
    <t xml:space="preserve">(구)키노피아 </t>
    <phoneticPr fontId="28" type="noConversion"/>
  </si>
  <si>
    <t xml:space="preserve">롯데시네마 서청주 </t>
    <phoneticPr fontId="28" type="noConversion"/>
  </si>
  <si>
    <t>청주시 흥덕구 2순환로 1004 (비하동 332-1)</t>
    <phoneticPr fontId="28" type="noConversion"/>
  </si>
  <si>
    <t>수퍼4D, 수퍼사운드</t>
    <phoneticPr fontId="28" type="noConversion"/>
  </si>
  <si>
    <t xml:space="preserve">CGV 청주터미널 </t>
    <phoneticPr fontId="28" type="noConversion"/>
  </si>
  <si>
    <t>청주시 흥덕구 흥덕구2순환로 1233 (가경동 1233 드림플러스 8층)</t>
    <phoneticPr fontId="28" type="noConversion"/>
  </si>
  <si>
    <t>(구)프리머스 청주</t>
    <phoneticPr fontId="28" type="noConversion"/>
  </si>
  <si>
    <t xml:space="preserve">충청북도 </t>
    <phoneticPr fontId="28" type="noConversion"/>
  </si>
  <si>
    <t xml:space="preserve">CGV 청주지웰시티 </t>
    <phoneticPr fontId="28" type="noConversion"/>
  </si>
  <si>
    <t xml:space="preserve">청주시 흥덕구 대농로 47-1 </t>
    <phoneticPr fontId="28" type="noConversion"/>
  </si>
  <si>
    <t>충주시</t>
    <phoneticPr fontId="28" type="noConversion"/>
  </si>
  <si>
    <t xml:space="preserve">메가박스 충주 </t>
    <phoneticPr fontId="28" type="noConversion"/>
  </si>
  <si>
    <t>충주시 성서3길 19 (성서동 273)</t>
    <phoneticPr fontId="28" type="noConversion"/>
  </si>
  <si>
    <t>(구)충주TTC/2012년 메가박스 충주로 전환</t>
    <phoneticPr fontId="28" type="noConversion"/>
  </si>
  <si>
    <t xml:space="preserve">2014년 휴폐관 극장 </t>
    <phoneticPr fontId="28" type="noConversion"/>
  </si>
  <si>
    <t>메가박스 공주</t>
    <phoneticPr fontId="28" type="noConversion"/>
  </si>
  <si>
    <t>공주시 흑수골길 12 (신관동 248-3)</t>
    <phoneticPr fontId="28" type="noConversion"/>
  </si>
  <si>
    <t>충청남도</t>
    <phoneticPr fontId="28" type="noConversion"/>
  </si>
  <si>
    <t>서산시</t>
    <phoneticPr fontId="28" type="noConversion"/>
  </si>
  <si>
    <t>롯데시네마 서산</t>
    <phoneticPr fontId="28" type="noConversion"/>
  </si>
  <si>
    <t>위탁</t>
    <phoneticPr fontId="28" type="noConversion"/>
  </si>
  <si>
    <t>서산시 율지18로 38 (동문동 193-1)</t>
    <phoneticPr fontId="28" type="noConversion"/>
  </si>
  <si>
    <t>세종시</t>
    <phoneticPr fontId="28" type="noConversion"/>
  </si>
  <si>
    <t>메가박스 세종</t>
    <phoneticPr fontId="28" type="noConversion"/>
  </si>
  <si>
    <t>세종시 조치원읍 새내로 122 (교리 24-1)</t>
    <phoneticPr fontId="28" type="noConversion"/>
  </si>
  <si>
    <t>(구)메가박스 조치원</t>
    <phoneticPr fontId="28" type="noConversion"/>
  </si>
  <si>
    <t>충청남도</t>
    <phoneticPr fontId="28" type="noConversion"/>
  </si>
  <si>
    <t>아산시</t>
    <phoneticPr fontId="28" type="noConversion"/>
  </si>
  <si>
    <t xml:space="preserve">롯데시네마 아산터미널 </t>
    <phoneticPr fontId="28" type="noConversion"/>
  </si>
  <si>
    <t>아산시 번영로 225</t>
    <phoneticPr fontId="28" type="noConversion"/>
  </si>
  <si>
    <t>천안시 동남구 명동길 47, 5층 (대흥동102-10번지 5층)</t>
    <phoneticPr fontId="28" type="noConversion"/>
  </si>
  <si>
    <t>천안시 만남로 43 (동남구 354-1)</t>
    <phoneticPr fontId="28" type="noConversion"/>
  </si>
  <si>
    <t>15관 프리미엄관</t>
    <phoneticPr fontId="28" type="noConversion"/>
  </si>
  <si>
    <t>www.yawooricinema.com</t>
    <phoneticPr fontId="28" type="noConversion"/>
  </si>
  <si>
    <t>메가박스 천안</t>
    <phoneticPr fontId="28" type="noConversion"/>
  </si>
  <si>
    <t>천안시 서북구 1공단1길 52 센트하임 3층 (두정동 68-1)</t>
    <phoneticPr fontId="28" type="noConversion"/>
  </si>
  <si>
    <t>프리미엄</t>
    <phoneticPr fontId="28" type="noConversion"/>
  </si>
  <si>
    <t xml:space="preserve">충청남도 </t>
    <phoneticPr fontId="28" type="noConversion"/>
  </si>
  <si>
    <t>천안시</t>
    <phoneticPr fontId="28" type="noConversion"/>
  </si>
  <si>
    <t xml:space="preserve">CGV 천안펜타포트 </t>
    <phoneticPr fontId="28" type="noConversion"/>
  </si>
  <si>
    <t>천안시 서북구 공원로 196, 5층 (불당동 1289 펜타포트 주상복합상가 5층)</t>
    <phoneticPr fontId="28" type="noConversion"/>
  </si>
  <si>
    <t>4DX, Sweetbox, ScreenX, Veatbox, CGV 아트하우스</t>
    <phoneticPr fontId="28" type="noConversion"/>
  </si>
  <si>
    <t>홍성군</t>
    <phoneticPr fontId="28" type="noConversion"/>
  </si>
  <si>
    <t>CGV 홍성</t>
    <phoneticPr fontId="28" type="noConversion"/>
  </si>
  <si>
    <t>홍성군 홍성읍 고암리 1042</t>
    <phoneticPr fontId="28" type="noConversion"/>
  </si>
  <si>
    <t>보령시</t>
    <phoneticPr fontId="28" type="noConversion"/>
  </si>
  <si>
    <t>롯데시네마 보령</t>
    <phoneticPr fontId="28" type="noConversion"/>
  </si>
  <si>
    <t>보령시 대천동 대흥로 51</t>
    <phoneticPr fontId="28" type="noConversion"/>
  </si>
  <si>
    <t>2014.8.31 영업종료</t>
    <phoneticPr fontId="28" type="noConversion"/>
  </si>
  <si>
    <t>군산시 백토로 166 (나운동 124-4)</t>
    <phoneticPr fontId="28" type="noConversion"/>
  </si>
  <si>
    <t>군산시 백토로 198 (나운동 114-34)</t>
    <phoneticPr fontId="28" type="noConversion"/>
  </si>
  <si>
    <t>08.11.27 CGV로 재개관</t>
    <phoneticPr fontId="28" type="noConversion"/>
  </si>
  <si>
    <t>메가박스 남원</t>
    <phoneticPr fontId="28" type="noConversion"/>
  </si>
  <si>
    <t>남원시 향단로 26 (쌍교동82-1)</t>
    <phoneticPr fontId="28" type="noConversion"/>
  </si>
  <si>
    <t>익산시 무왕로 1052, 3층~5층 (영등동 149-1)</t>
    <phoneticPr fontId="28" type="noConversion"/>
  </si>
  <si>
    <t>Sweetbox</t>
    <phoneticPr fontId="28" type="noConversion"/>
  </si>
  <si>
    <t>메가박스 송천</t>
    <phoneticPr fontId="28" type="noConversion"/>
  </si>
  <si>
    <r>
      <rPr>
        <sz val="11"/>
        <rFont val="돋움"/>
        <family val="3"/>
        <charset val="129"/>
      </rPr>
      <t>전주시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덕진구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동부대로</t>
    </r>
    <r>
      <rPr>
        <sz val="11"/>
        <rFont val="Arial"/>
        <family val="2"/>
      </rPr>
      <t xml:space="preserve"> 1215 (</t>
    </r>
    <r>
      <rPr>
        <sz val="11"/>
        <rFont val="돋움"/>
        <family val="3"/>
        <charset val="129"/>
      </rPr>
      <t>송천동</t>
    </r>
    <r>
      <rPr>
        <sz val="11"/>
        <rFont val="Arial"/>
        <family val="2"/>
      </rPr>
      <t xml:space="preserve"> 2</t>
    </r>
    <r>
      <rPr>
        <sz val="11"/>
        <rFont val="돋움"/>
        <family val="3"/>
        <charset val="129"/>
      </rPr>
      <t>가</t>
    </r>
    <r>
      <rPr>
        <sz val="11"/>
        <rFont val="Arial"/>
        <family val="2"/>
      </rPr>
      <t xml:space="preserve"> 661-15)</t>
    </r>
    <phoneticPr fontId="28" type="noConversion"/>
  </si>
  <si>
    <t>롯데시네마 전주평화</t>
    <phoneticPr fontId="28" type="noConversion"/>
  </si>
  <si>
    <t>전주시 완산구 백제대로 10 (평화동 1가 604-1)</t>
    <phoneticPr fontId="28" type="noConversion"/>
  </si>
  <si>
    <t>롯데시네마 전주(롯데백화점)</t>
    <phoneticPr fontId="28" type="noConversion"/>
  </si>
  <si>
    <t>전주시 완산구 온고을로 2 (서신동 971)</t>
    <phoneticPr fontId="28" type="noConversion"/>
  </si>
  <si>
    <t>전라북도</t>
    <phoneticPr fontId="28" type="noConversion"/>
  </si>
  <si>
    <t>전주시</t>
    <phoneticPr fontId="28" type="noConversion"/>
  </si>
  <si>
    <t xml:space="preserve">CGV 전주효자 </t>
    <phoneticPr fontId="28" type="noConversion"/>
  </si>
  <si>
    <t>전주시 완산구 용머리로 45 (Mall of Hyoja 2층)</t>
    <phoneticPr fontId="28" type="noConversion"/>
  </si>
  <si>
    <t>IMAX</t>
    <phoneticPr fontId="28" type="noConversion"/>
  </si>
  <si>
    <t>전주시 완산구 전주객사3길 74-25 (고사동 288-2)</t>
    <phoneticPr fontId="28" type="noConversion"/>
  </si>
  <si>
    <t>(구)피카디리극장</t>
    <phoneticPr fontId="28" type="noConversion"/>
  </si>
  <si>
    <t>메가박스 전주(객사)</t>
    <phoneticPr fontId="28" type="noConversion"/>
  </si>
  <si>
    <t>전주시 전주객사4길 74-10 (고사동 181)</t>
    <phoneticPr fontId="28" type="noConversion"/>
  </si>
  <si>
    <t>Table M관</t>
    <phoneticPr fontId="28" type="noConversion"/>
  </si>
  <si>
    <t xml:space="preserve">전라북도 </t>
    <phoneticPr fontId="28" type="noConversion"/>
  </si>
  <si>
    <t xml:space="preserve">정읍시 </t>
    <phoneticPr fontId="28" type="noConversion"/>
  </si>
  <si>
    <t xml:space="preserve">CGV 정읍 </t>
    <phoneticPr fontId="28" type="noConversion"/>
  </si>
  <si>
    <t>정읍시 중앙1길 1</t>
    <phoneticPr fontId="28" type="noConversion"/>
  </si>
  <si>
    <t>목포시 교육로 63 (상동 892)</t>
    <phoneticPr fontId="28" type="noConversion"/>
  </si>
  <si>
    <t>프리머스 목포</t>
    <phoneticPr fontId="28" type="noConversion"/>
  </si>
  <si>
    <t>목포시 옥암로 95 포르모쇼핑몰 (상동 860-1)</t>
    <phoneticPr fontId="28" type="noConversion"/>
  </si>
  <si>
    <t>목포시 원형동로 53 (상동 1129-6)</t>
    <phoneticPr fontId="28" type="noConversion"/>
  </si>
  <si>
    <t>전라남도</t>
    <phoneticPr fontId="28" type="noConversion"/>
  </si>
  <si>
    <t xml:space="preserve">목포시 </t>
    <phoneticPr fontId="28" type="noConversion"/>
  </si>
  <si>
    <t xml:space="preserve">메가박스 목포 </t>
    <phoneticPr fontId="28" type="noConversion"/>
  </si>
  <si>
    <t xml:space="preserve">목포시 영산로 59번길 30, 3층 </t>
    <phoneticPr fontId="28" type="noConversion"/>
  </si>
  <si>
    <t>순천시 장명로 22, 2층~6층 (장천동 54-1)</t>
    <phoneticPr fontId="28" type="noConversion"/>
  </si>
  <si>
    <t>순천시</t>
    <phoneticPr fontId="28" type="noConversion"/>
  </si>
  <si>
    <t>메가박스 순천</t>
    <phoneticPr fontId="28" type="noConversion"/>
  </si>
  <si>
    <t>순천시 충효로 15 제701호 (덕암동 151)</t>
    <phoneticPr fontId="28" type="noConversion"/>
  </si>
  <si>
    <t>(구)롯데시네마 순천</t>
    <phoneticPr fontId="28" type="noConversion"/>
  </si>
  <si>
    <t>메가박스 신대</t>
    <phoneticPr fontId="28" type="noConversion"/>
  </si>
  <si>
    <t>순천시 해룡로 해광로 199</t>
    <phoneticPr fontId="28" type="noConversion"/>
  </si>
  <si>
    <t>M관, 프리미엄</t>
    <phoneticPr fontId="28" type="noConversion"/>
  </si>
  <si>
    <t>메가박스 여수</t>
    <phoneticPr fontId="28" type="noConversion"/>
  </si>
  <si>
    <t>여수시 쌍봉로 208 (신기동 11)</t>
    <phoneticPr fontId="28" type="noConversion"/>
  </si>
  <si>
    <t>M관</t>
    <phoneticPr fontId="28" type="noConversion"/>
  </si>
  <si>
    <t>여수시</t>
    <phoneticPr fontId="28" type="noConversion"/>
  </si>
  <si>
    <t>롯데시네마 여수</t>
    <phoneticPr fontId="28" type="noConversion"/>
  </si>
  <si>
    <t>여수시 여서로 224 (여서동 916)</t>
    <phoneticPr fontId="28" type="noConversion"/>
  </si>
  <si>
    <t>경상북도</t>
    <phoneticPr fontId="28" type="noConversion"/>
  </si>
  <si>
    <t>경산시</t>
    <phoneticPr fontId="28" type="noConversion"/>
  </si>
  <si>
    <t>롯데시네마 경산</t>
    <phoneticPr fontId="28" type="noConversion"/>
  </si>
  <si>
    <t>경산시 강변동로 278 (대평동 278)</t>
    <phoneticPr fontId="28" type="noConversion"/>
  </si>
  <si>
    <t>(구)메가박스 경산</t>
    <phoneticPr fontId="28" type="noConversion"/>
  </si>
  <si>
    <t>경주시</t>
    <phoneticPr fontId="28" type="noConversion"/>
  </si>
  <si>
    <t>롯데시네마 경주</t>
    <phoneticPr fontId="28" type="noConversion"/>
  </si>
  <si>
    <t>경주시 계림로 83 (노동동)</t>
    <phoneticPr fontId="28" type="noConversion"/>
  </si>
  <si>
    <t>메가박스 경주</t>
    <phoneticPr fontId="28" type="noConversion"/>
  </si>
  <si>
    <t>경주시 원효로 112 (노동동 55-1)</t>
    <phoneticPr fontId="28" type="noConversion"/>
  </si>
  <si>
    <t>구미시 구미중앙로 120 (원평동 353-4)</t>
    <phoneticPr fontId="28" type="noConversion"/>
  </si>
  <si>
    <t>경상북도</t>
    <phoneticPr fontId="28" type="noConversion"/>
  </si>
  <si>
    <t>구미시</t>
    <phoneticPr fontId="28" type="noConversion"/>
  </si>
  <si>
    <t>메가박스 구미</t>
    <phoneticPr fontId="28" type="noConversion"/>
  </si>
  <si>
    <t>구미시 구미중앙로 17길 16 (원평동 147-9)</t>
    <phoneticPr fontId="28" type="noConversion"/>
  </si>
  <si>
    <t>CGV 구미</t>
    <phoneticPr fontId="28" type="noConversion"/>
  </si>
  <si>
    <t>구미시 구미중앙로 44, 4층 (원평동 68-1번지)</t>
    <phoneticPr fontId="28" type="noConversion"/>
  </si>
  <si>
    <t>구미시 산호대로 233, 4층 (공단동 253-2)</t>
    <phoneticPr fontId="28" type="noConversion"/>
  </si>
  <si>
    <t>메가박스 구미강동</t>
    <phoneticPr fontId="28" type="noConversion"/>
  </si>
  <si>
    <t>구미시 인동가산로 14 시네마월드 7층 (진평동 1023-1)</t>
    <phoneticPr fontId="28" type="noConversion"/>
  </si>
  <si>
    <t>프리머스 김천</t>
    <phoneticPr fontId="28" type="noConversion"/>
  </si>
  <si>
    <t>김천시 김천로 74 (평화동 245-82)</t>
    <phoneticPr fontId="28" type="noConversion"/>
  </si>
  <si>
    <t xml:space="preserve">안동시 </t>
    <phoneticPr fontId="28" type="noConversion"/>
  </si>
  <si>
    <t xml:space="preserve">CGV 안동 </t>
    <phoneticPr fontId="28" type="noConversion"/>
  </si>
  <si>
    <t xml:space="preserve">안동시 경동로 841 </t>
    <phoneticPr fontId="28" type="noConversion"/>
  </si>
  <si>
    <t>(구)롯데시네마 안동</t>
    <phoneticPr fontId="28" type="noConversion"/>
  </si>
  <si>
    <t xml:space="preserve">메가박스 안동 </t>
    <phoneticPr fontId="28" type="noConversion"/>
  </si>
  <si>
    <t xml:space="preserve">안동시 경북대로 418 테마프라자 5층 </t>
    <phoneticPr fontId="28" type="noConversion"/>
  </si>
  <si>
    <t>(구)프리머스 안동</t>
    <phoneticPr fontId="28" type="noConversion"/>
  </si>
  <si>
    <t xml:space="preserve">포항시 남구 중흥로 77, 7층 (상도동 582번지) </t>
    <phoneticPr fontId="28" type="noConversion"/>
  </si>
  <si>
    <t>포항시 북구 서동로 93 (덕산동 235-4)</t>
    <phoneticPr fontId="28" type="noConversion"/>
  </si>
  <si>
    <t>롯데시네마 포항</t>
    <phoneticPr fontId="28" type="noConversion"/>
  </si>
  <si>
    <t>포항시 북구 중앙상가길 16 (대흥동 563-3)</t>
    <phoneticPr fontId="28" type="noConversion"/>
  </si>
  <si>
    <t>거제시 장평로 6층 (고현동 958-15 디큐브백화점 6층)</t>
    <phoneticPr fontId="28" type="noConversion"/>
  </si>
  <si>
    <t>김해시 내외중앙로 137, 4층 (내동 1131-4 휴앤락 4층)</t>
    <phoneticPr fontId="28" type="noConversion"/>
  </si>
  <si>
    <t>경상남도</t>
    <phoneticPr fontId="28" type="noConversion"/>
  </si>
  <si>
    <t xml:space="preserve">김해시 </t>
    <phoneticPr fontId="28" type="noConversion"/>
  </si>
  <si>
    <t>롯데시네마 김해부원</t>
    <phoneticPr fontId="28" type="noConversion"/>
  </si>
  <si>
    <t xml:space="preserve">직영 </t>
    <phoneticPr fontId="28" type="noConversion"/>
  </si>
  <si>
    <t xml:space="preserve">김해시 김해대로 2352번길 아이스퀘어 3층 </t>
    <phoneticPr fontId="28" type="noConversion"/>
  </si>
  <si>
    <t xml:space="preserve">경상남도 </t>
    <phoneticPr fontId="28" type="noConversion"/>
  </si>
  <si>
    <t xml:space="preserve">김해시 </t>
    <phoneticPr fontId="28" type="noConversion"/>
  </si>
  <si>
    <t xml:space="preserve">롯데시네마 김해아울렛 </t>
    <phoneticPr fontId="28" type="noConversion"/>
  </si>
  <si>
    <t xml:space="preserve">김해시 장유로 469 롯데아울렛 신관 (장유면 신문리 75-5) </t>
    <phoneticPr fontId="28" type="noConversion"/>
  </si>
  <si>
    <t>양산시 강변로 440 바나나빌딩 6층 (중부동 685-6)</t>
    <phoneticPr fontId="28" type="noConversion"/>
  </si>
  <si>
    <t>진주시 가호로 13 (가좌동 700-1)</t>
    <phoneticPr fontId="28" type="noConversion"/>
  </si>
  <si>
    <t>Veatbox</t>
    <phoneticPr fontId="28" type="noConversion"/>
  </si>
  <si>
    <t>(구)엠비씨네8</t>
    <phoneticPr fontId="28" type="noConversion"/>
  </si>
  <si>
    <t>진주시 진양호로 521 (중안동 2-13)</t>
    <phoneticPr fontId="28" type="noConversion"/>
  </si>
  <si>
    <t>창원시</t>
    <phoneticPr fontId="28" type="noConversion"/>
  </si>
  <si>
    <t>롯데시네마 마산(경남대)</t>
    <phoneticPr fontId="28" type="noConversion"/>
  </si>
  <si>
    <t>창원시 마산합포구 해안대로 51 (해운동 68번지)</t>
    <phoneticPr fontId="28" type="noConversion"/>
  </si>
  <si>
    <t>메가박스 경남대</t>
    <phoneticPr fontId="28" type="noConversion"/>
  </si>
  <si>
    <t>창원시 마산합포구 해안대로 7 남부시네마타운 7층 (월남동 5가 4-1)</t>
    <phoneticPr fontId="28" type="noConversion"/>
  </si>
  <si>
    <r>
      <t>(</t>
    </r>
    <r>
      <rPr>
        <sz val="11"/>
        <rFont val="돋움"/>
        <family val="3"/>
        <charset val="129"/>
      </rPr>
      <t>구</t>
    </r>
    <r>
      <rPr>
        <sz val="11"/>
        <rFont val="돋움"/>
        <family val="3"/>
        <charset val="129"/>
      </rPr>
      <t xml:space="preserve">) </t>
    </r>
    <r>
      <rPr>
        <sz val="11"/>
        <rFont val="돋움"/>
        <family val="3"/>
        <charset val="129"/>
      </rPr>
      <t>남부씨네마</t>
    </r>
    <phoneticPr fontId="28" type="noConversion"/>
  </si>
  <si>
    <t>창원시 마산회원구 3.15대로 736, 8층 (합성동 126-4 보보스존빌딩)</t>
    <phoneticPr fontId="28" type="noConversion"/>
  </si>
  <si>
    <t>Veatbox</t>
    <phoneticPr fontId="28" type="noConversion"/>
  </si>
  <si>
    <t>창원시 마산회원구 3.15대로 750 (합성동 267)</t>
    <phoneticPr fontId="28" type="noConversion"/>
  </si>
  <si>
    <t>(구)마산시네마</t>
    <phoneticPr fontId="28" type="noConversion"/>
  </si>
  <si>
    <t>창원시 성산구 용지로 58 메가플렉스 8층 (중앙동 99-1)</t>
    <phoneticPr fontId="28" type="noConversion"/>
  </si>
  <si>
    <t>창원시 성산구 중앙대로 124 (상남동 79)</t>
    <phoneticPr fontId="28" type="noConversion"/>
  </si>
  <si>
    <t>CGV 창원더시티</t>
    <phoneticPr fontId="28" type="noConversion"/>
  </si>
  <si>
    <t xml:space="preserve">창원시 원이대로 332 (두대동 1B1L 더시티세븐) </t>
    <phoneticPr fontId="28" type="noConversion"/>
  </si>
  <si>
    <t>IMAX, SweetBox, ScreenX, Veatbox</t>
    <phoneticPr fontId="28" type="noConversion"/>
  </si>
  <si>
    <t>창원시 의창구 창원대로 397번길 6, 8층~11층 (의창구 팔용동 30-1 파비뉴21)</t>
    <phoneticPr fontId="28" type="noConversion"/>
  </si>
  <si>
    <t>4DX</t>
    <phoneticPr fontId="28" type="noConversion"/>
  </si>
  <si>
    <t xml:space="preserve">롯데시네마 진해 </t>
    <phoneticPr fontId="28" type="noConversion"/>
  </si>
  <si>
    <t>창원시 진해구 진해대로 752 (석동 543-3)</t>
    <phoneticPr fontId="28" type="noConversion"/>
  </si>
  <si>
    <t>수퍼바이브</t>
    <phoneticPr fontId="28" type="noConversion"/>
  </si>
  <si>
    <t>통영시</t>
    <phoneticPr fontId="28" type="noConversion"/>
  </si>
  <si>
    <t xml:space="preserve">경상남도 </t>
    <phoneticPr fontId="28" type="noConversion"/>
  </si>
  <si>
    <t xml:space="preserve">통영시 </t>
    <phoneticPr fontId="28" type="noConversion"/>
  </si>
  <si>
    <t xml:space="preserve">CGV 통영 </t>
    <phoneticPr fontId="28" type="noConversion"/>
  </si>
  <si>
    <t xml:space="preserve">통영시 원문로 27, 5층 (북신동 월드지브이존) </t>
    <phoneticPr fontId="28" type="noConversion"/>
  </si>
  <si>
    <t>(구)롯데시네마 통영</t>
    <phoneticPr fontId="28" type="noConversion"/>
  </si>
  <si>
    <t>서귀포시 월드컵로 31 (법환동 914)</t>
    <phoneticPr fontId="28" type="noConversion"/>
  </si>
  <si>
    <t>제주시 노형로 407, 5층 (노형동 1288-5)</t>
    <phoneticPr fontId="28" type="noConversion"/>
  </si>
  <si>
    <t>제주시 서광로 288, 2층~7층 (이도2동 1776-3)</t>
    <phoneticPr fontId="28" type="noConversion"/>
  </si>
  <si>
    <t>Premium</t>
    <phoneticPr fontId="28" type="noConversion"/>
  </si>
  <si>
    <t>메가박스 제주</t>
    <phoneticPr fontId="28" type="noConversion"/>
  </si>
  <si>
    <t>제주시 중앙로14길 18 (삼도2동 108-13)</t>
    <phoneticPr fontId="28" type="noConversion"/>
  </si>
  <si>
    <t xml:space="preserve">9개관 중 3개관 폐관 </t>
    <phoneticPr fontId="28" type="noConversion"/>
  </si>
  <si>
    <t>제주도</t>
    <phoneticPr fontId="28" type="noConversion"/>
  </si>
  <si>
    <t xml:space="preserve">제주시 </t>
    <phoneticPr fontId="28" type="noConversion"/>
  </si>
  <si>
    <t xml:space="preserve">메가박스 제주아라 </t>
    <phoneticPr fontId="28" type="noConversion"/>
  </si>
  <si>
    <t>제주시 구산로 4 (아라1동 2574)</t>
    <phoneticPr fontId="28" type="noConversion"/>
  </si>
  <si>
    <t>* 3대 멀티플렉스 내 상호변경은 폐관극장에 포함하지 않음(예_CGV 독산 -&gt; 롯데시네마 독산으로 전환시 CGV 독산은 폐관극장으로 간주하지 않음)</t>
    <phoneticPr fontId="28" type="noConversion"/>
  </si>
  <si>
    <t>* 개별극장이 3대 멀티플렉스 체인극장으로 전환시에는 폐관극장으로 간주함 (예_씨네위 -&gt; CGV 유성노은으로 전환시 씨네위는 폐관극장으로 간주함)</t>
    <phoneticPr fontId="28" type="noConversion"/>
  </si>
  <si>
    <t xml:space="preserve">2014년  휴폐관 극장 </t>
    <phoneticPr fontId="28" type="noConversion"/>
  </si>
  <si>
    <t>(구)롯데시네마 목포센트럴</t>
    <phoneticPr fontId="28" type="noConversion"/>
  </si>
  <si>
    <t>키노키노</t>
  </si>
  <si>
    <t>당진군 당진읍 읍내리 253-8</t>
  </si>
  <si>
    <t>356-8300</t>
  </si>
  <si>
    <t>2009-07-01</t>
    <phoneticPr fontId="28" type="noConversion"/>
  </si>
  <si>
    <t>~</t>
    <phoneticPr fontId="28" type="noConversion"/>
  </si>
  <si>
    <t>2014.11 폐관 / 2015.1.1. 조이앤시네마로 재개관 예정</t>
    <phoneticPr fontId="28" type="noConversion"/>
  </si>
  <si>
    <t>hongcheon.ccine.co.kr</t>
  </si>
  <si>
    <t>movie.muju.go.kr</t>
  </si>
  <si>
    <t xml:space="preserve">구례자연드림시네마 </t>
    <phoneticPr fontId="28" type="noConversion"/>
  </si>
  <si>
    <t>영화관 2개관</t>
    <phoneticPr fontId="28" type="noConversion"/>
  </si>
  <si>
    <t>광진구 능동로 120 건국대학요 예술문화대학 B108 (화양동 1번지)</t>
    <phoneticPr fontId="28" type="noConversion"/>
  </si>
  <si>
    <t>마포구 어울마당로 65 지하4층 (서교동 367-5)</t>
    <phoneticPr fontId="28" type="noConversion"/>
  </si>
  <si>
    <t>서대문구 이화여대길 52 이화여자대학교 ECC 402-4 (대현동)</t>
    <phoneticPr fontId="28" type="noConversion"/>
  </si>
  <si>
    <t>서대문구 성산로 527 지하1층 (대신동 85-1 하늬솔빌딩)</t>
    <phoneticPr fontId="28" type="noConversion"/>
  </si>
  <si>
    <t>은평구 통일로 830, 8층 (불광동 304-2 파레제페8층)</t>
    <phoneticPr fontId="28" type="noConversion"/>
  </si>
  <si>
    <t>종로구 삼일대로 428 낙원상가 4층 (낙원동 284-6)</t>
    <phoneticPr fontId="28" type="noConversion"/>
  </si>
  <si>
    <t>종로구 율곡로 3길 87 (소격동 144-2)</t>
    <phoneticPr fontId="28" type="noConversion"/>
  </si>
  <si>
    <t>종로구 경희궁1길 1 가든플레이스 2층 (신문로2가 1-153)</t>
    <phoneticPr fontId="28" type="noConversion"/>
  </si>
  <si>
    <t>종로구 새문안로 68 지하2층 (신문로1가 흥국생명빌딩)</t>
    <phoneticPr fontId="28" type="noConversion"/>
  </si>
  <si>
    <t>종로구 삼일대로 428, 4층 (낙원동 284-6 낙원상가 4층)</t>
    <phoneticPr fontId="28" type="noConversion"/>
  </si>
  <si>
    <t>중구 소파로 126 (예장동 8-145)</t>
    <phoneticPr fontId="28" type="noConversion"/>
  </si>
  <si>
    <t>중구 세종대로 21길 40 씨스퀘어빌딩 1층 (태평로1가 61-21)</t>
    <phoneticPr fontId="28" type="noConversion"/>
  </si>
  <si>
    <t>중구 마른내로 47 (초동 18-5 명보아트홀)</t>
    <phoneticPr fontId="28" type="noConversion"/>
  </si>
  <si>
    <t>남구 유엔평화로 70번길 23 (대연4동 965-2)</t>
    <phoneticPr fontId="28" type="noConversion"/>
  </si>
  <si>
    <t>중구 중구로 71 가톨릭센터 1층 (대청동4가 81-1)</t>
    <phoneticPr fontId="28" type="noConversion"/>
  </si>
  <si>
    <t>해운대구 수영강변대로 120 (우1동 1467)</t>
    <phoneticPr fontId="28" type="noConversion"/>
  </si>
  <si>
    <t>수성구 동대구로 400 대구문화방송 (범어2동)</t>
    <phoneticPr fontId="28" type="noConversion"/>
  </si>
  <si>
    <t>중구 동성로 69 (동성로1가 22)</t>
    <phoneticPr fontId="28" type="noConversion"/>
  </si>
  <si>
    <t>남구 미추홀대로 716 메인프라자7층 (주안1동 166-1)</t>
    <phoneticPr fontId="28" type="noConversion"/>
  </si>
  <si>
    <t>동구 화도진로 31 (송현동 92-7)</t>
    <phoneticPr fontId="28" type="noConversion"/>
  </si>
  <si>
    <t>부평구 경원대로 1382 (부평1동 201-9)</t>
    <phoneticPr fontId="28" type="noConversion"/>
  </si>
  <si>
    <t>중구 개항로 63-2 (경동 238번지)</t>
    <phoneticPr fontId="28" type="noConversion"/>
  </si>
  <si>
    <t>동구 충장로 46번길 10 (충장로 5가 62)</t>
    <phoneticPr fontId="28" type="noConversion"/>
  </si>
  <si>
    <t>동구 제봉로 96 (서석동 47번지 1호)</t>
    <phoneticPr fontId="28" type="noConversion"/>
  </si>
  <si>
    <t>동구 대전로 813번길 9 (정동 26-10)</t>
    <phoneticPr fontId="28" type="noConversion"/>
  </si>
  <si>
    <t>동구 중앙로 192, 3층 (중동 27-11)</t>
    <phoneticPr fontId="28" type="noConversion"/>
  </si>
  <si>
    <t>동구 명덕로 10 (서부동 110-1)</t>
    <phoneticPr fontId="28" type="noConversion"/>
  </si>
  <si>
    <t>동두천시 동광로 33 (중앙동 828)</t>
    <phoneticPr fontId="28" type="noConversion"/>
  </si>
  <si>
    <t>동두천시 동광로 66 (생연3동 616)</t>
    <phoneticPr fontId="28" type="noConversion"/>
  </si>
  <si>
    <t xml:space="preserve">부천시 원미구 길주로 1 (상3동 529-2) </t>
    <phoneticPr fontId="28" type="noConversion"/>
  </si>
  <si>
    <t>안산시 단원구 중앙대로 921 (고잔동)</t>
    <phoneticPr fontId="28" type="noConversion"/>
  </si>
  <si>
    <t>양평군 양평읍 양근로 167 (양근리 422-2)</t>
    <phoneticPr fontId="28" type="noConversion"/>
  </si>
  <si>
    <t>여주시 세종로 79번길 8 (홍문동 273)</t>
    <phoneticPr fontId="28" type="noConversion"/>
  </si>
  <si>
    <t>여주시</t>
    <phoneticPr fontId="28" type="noConversion"/>
  </si>
  <si>
    <t>오산시 원동로 37번길 46 (원동 763-21)</t>
    <phoneticPr fontId="28" type="noConversion"/>
  </si>
  <si>
    <t>강릉시 경강로 2100 (임당동 152-2)</t>
    <phoneticPr fontId="28" type="noConversion"/>
  </si>
  <si>
    <t>홍천군 홍천읍 연봉중앙로 11-8</t>
    <phoneticPr fontId="28" type="noConversion"/>
  </si>
  <si>
    <t>논산시 해월로 167번길 8 (반월동 68-19)</t>
    <phoneticPr fontId="28" type="noConversion"/>
  </si>
  <si>
    <t>당진시 당진중앙2로 76 (읍내동 543-39)</t>
    <phoneticPr fontId="28" type="noConversion"/>
  </si>
  <si>
    <t>당진시</t>
    <phoneticPr fontId="28" type="noConversion"/>
  </si>
  <si>
    <t>부여군 부여읍 사비로 100번길 12 (구아리 209-1)</t>
    <phoneticPr fontId="28" type="noConversion"/>
  </si>
  <si>
    <t xml:space="preserve">김제시 도작로 224-32 (검산동 산 62-1) </t>
    <phoneticPr fontId="28" type="noConversion"/>
  </si>
  <si>
    <t xml:space="preserve">임실군 임실읍 호국로 1703 (이도리 277 임실군민회관) </t>
    <phoneticPr fontId="28" type="noConversion"/>
  </si>
  <si>
    <t>장수군 장수읍 한누리로 393 (두산리 472)</t>
    <phoneticPr fontId="28" type="noConversion"/>
  </si>
  <si>
    <t>전주시 완산구 고사동 객사 3길 22 전주영화제작소 4층</t>
    <phoneticPr fontId="28" type="noConversion"/>
  </si>
  <si>
    <t>전주시 완산구 전주객사3길 67 (고사동 340-3)</t>
    <phoneticPr fontId="28" type="noConversion"/>
  </si>
  <si>
    <t xml:space="preserve">구례군 용방면 용산로 107-73 </t>
    <phoneticPr fontId="28" type="noConversion"/>
  </si>
  <si>
    <t>안동시 문화광장길 45 (삼산동 140-5)</t>
    <phoneticPr fontId="28" type="noConversion"/>
  </si>
  <si>
    <t>영주시 구성로350번길 24 (영주1동 377-18)</t>
    <phoneticPr fontId="28" type="noConversion"/>
  </si>
  <si>
    <t>거창군 거창읍 중앙로1길 1 (중앙리 90-2)</t>
    <phoneticPr fontId="28" type="noConversion"/>
  </si>
  <si>
    <t>밀양시 백민로 75-1 (내이동 1565-16)</t>
    <phoneticPr fontId="28" type="noConversion"/>
  </si>
  <si>
    <t xml:space="preserve">제주시 중앙로5길 6 (일도1동 1298-16) </t>
    <phoneticPr fontId="28" type="noConversion"/>
  </si>
  <si>
    <t>7관 폐관</t>
    <phoneticPr fontId="28" type="noConversion"/>
  </si>
  <si>
    <t>2007년 4월 이전 개관 / 2관 HDV 상영</t>
    <phoneticPr fontId="28" type="noConversion"/>
  </si>
  <si>
    <t>구 프리머스 주안/ 1,3관은 DLP프로젝터 상영</t>
    <phoneticPr fontId="28" type="noConversion"/>
  </si>
  <si>
    <t>756-5757</t>
    <phoneticPr fontId="28" type="noConversion"/>
  </si>
  <si>
    <t>jejumovie.kr</t>
  </si>
  <si>
    <t>화천군</t>
    <phoneticPr fontId="28" type="noConversion"/>
  </si>
  <si>
    <t xml:space="preserve">산천어시네마 </t>
    <phoneticPr fontId="28" type="noConversion"/>
  </si>
  <si>
    <t xml:space="preserve">화천군 화천읍 상승로2길 25-10, 2층 </t>
    <phoneticPr fontId="28" type="noConversion"/>
  </si>
  <si>
    <t>441-7053</t>
    <phoneticPr fontId="28" type="noConversion"/>
  </si>
  <si>
    <t>www.sancheoneocinema.co.kr</t>
  </si>
  <si>
    <t>메가박스 센트럴</t>
    <phoneticPr fontId="28" type="noConversion"/>
  </si>
  <si>
    <t>위탁</t>
    <phoneticPr fontId="28" type="noConversion"/>
  </si>
  <si>
    <t>서초구 신반포로 176 센트럴시티빌딩 지하1층 (반포동 19-3)</t>
    <phoneticPr fontId="28" type="noConversion"/>
  </si>
  <si>
    <t>7,8관 폐관(2014.12.9)</t>
    <phoneticPr fontId="28" type="noConversion"/>
  </si>
  <si>
    <t>평택시 평택로 51, 8층 (평택동 186-3 평택민자역사 8층)</t>
    <phoneticPr fontId="28" type="noConversion"/>
  </si>
  <si>
    <t>Sweetbox, Veatbox, ScreenX</t>
    <phoneticPr fontId="28" type="noConversion"/>
  </si>
  <si>
    <t>2014.12.17 8관 116석 추가</t>
    <phoneticPr fontId="28" type="noConversion"/>
  </si>
  <si>
    <t>충청남도</t>
    <phoneticPr fontId="28" type="noConversion"/>
  </si>
  <si>
    <t>당진시</t>
    <phoneticPr fontId="28" type="noConversion"/>
  </si>
  <si>
    <t xml:space="preserve">CGV 당진 </t>
    <phoneticPr fontId="28" type="noConversion"/>
  </si>
  <si>
    <t xml:space="preserve">위탁 </t>
    <phoneticPr fontId="28" type="noConversion"/>
  </si>
  <si>
    <t>당진시 우두1로 88 (읍내동)</t>
    <phoneticPr fontId="28" type="noConversion"/>
  </si>
  <si>
    <t>Sweetbox</t>
    <phoneticPr fontId="28" type="noConversion"/>
  </si>
  <si>
    <t>2014. 12. 31 기준</t>
  </si>
  <si>
    <t>* 집계 대상 극장은 전국 상설 영화관으로, 특수 목적의 비상설 상영 시설 및 자동차극장은 제외함 (영비법 제2조*상세 하단 참고)</t>
    <phoneticPr fontId="28" type="noConversion"/>
  </si>
  <si>
    <t>* 기준일 당시 휴관 및 폐관극장은 극장 수 합계에서 제외</t>
    <phoneticPr fontId="28" type="noConversion"/>
  </si>
  <si>
    <t>* 각 지방자치단체 폐관 신고를 한 극장은 폐관으로 처리함(영비법 제36조*상세 하단 참고)</t>
    <phoneticPr fontId="28" type="noConversion"/>
  </si>
  <si>
    <t>* 영화 및 비디오물의 진흥에 관한 법률 참고</t>
    <phoneticPr fontId="28" type="noConversion"/>
  </si>
  <si>
    <t>* 법 제2조(정의) : “영화상영관”은 영리를 목적으로 영화를 상영하는 장소 또는 시설(단, 비상설상영장은 제외함)</t>
    <phoneticPr fontId="28" type="noConversion"/>
  </si>
  <si>
    <t>* 시행령 제2조(비상설상영장) : 영화상영일수가 120일 이내이고 계속상영기간이 30일 이내인 영화상영 장소 또는 시설</t>
    <phoneticPr fontId="28" type="noConversion"/>
  </si>
  <si>
    <t>* 법 제36조(영화상영관의 등록) : “영화상영관”은 소재지를 관할하는 시군구에 영화상영관 등록을 하여야 함</t>
    <phoneticPr fontId="28" type="noConversion"/>
  </si>
  <si>
    <t>CGV 부산대</t>
    <phoneticPr fontId="28" type="noConversion"/>
  </si>
  <si>
    <t xml:space="preserve">롯데시네마 동부산 </t>
    <phoneticPr fontId="28" type="noConversion"/>
  </si>
  <si>
    <t>롯데시네마 동래</t>
    <phoneticPr fontId="28" type="noConversion"/>
  </si>
  <si>
    <t>CGV 대한</t>
    <phoneticPr fontId="28" type="noConversion"/>
  </si>
  <si>
    <t>남구</t>
    <phoneticPr fontId="28" type="noConversion"/>
  </si>
  <si>
    <t xml:space="preserve">창원시 의창구 원이대로 332 (두대동 1B1L 더시티세븐) </t>
    <phoneticPr fontId="28" type="noConversion"/>
  </si>
  <si>
    <t>롯데시네마 서귀포</t>
    <phoneticPr fontId="43" type="noConversion"/>
  </si>
  <si>
    <t>　　　서귀포시</t>
  </si>
  <si>
    <t>CGV 제주, 롯데시네마 제주, 메가박스 제주, 영화문화예술센터, 메가박스 제주아라</t>
    <phoneticPr fontId="43" type="noConversion"/>
  </si>
  <si>
    <t>　　　제주시</t>
  </si>
  <si>
    <t>제주특별자치도</t>
  </si>
  <si>
    <t>-</t>
    <phoneticPr fontId="43" type="noConversion"/>
  </si>
  <si>
    <t>　　　합천군</t>
  </si>
  <si>
    <t>고센시네마</t>
    <phoneticPr fontId="43" type="noConversion"/>
  </si>
  <si>
    <t>　　　거창군</t>
  </si>
  <si>
    <t>　　　함양군</t>
  </si>
  <si>
    <t>　　　산청군</t>
  </si>
  <si>
    <t>　　　하동군</t>
  </si>
  <si>
    <t>　　　남해군</t>
  </si>
  <si>
    <t>　　　고성군</t>
  </si>
  <si>
    <t>　　　창녕군</t>
  </si>
  <si>
    <t>　　　함안군</t>
  </si>
  <si>
    <t>　　　의령군</t>
  </si>
  <si>
    <t>롯데시네마 양산</t>
    <phoneticPr fontId="43" type="noConversion"/>
  </si>
  <si>
    <t>　　　양산시</t>
  </si>
  <si>
    <t>CGV 거제, 씨네세븐 거제</t>
    <phoneticPr fontId="43" type="noConversion"/>
  </si>
  <si>
    <t>　　　거제시</t>
  </si>
  <si>
    <t>밀양시네마</t>
    <phoneticPr fontId="43" type="noConversion"/>
  </si>
  <si>
    <t>　　　밀양시</t>
  </si>
  <si>
    <t>롯데시네마 김해부원, CGV 김해, 롯데시네마 김해아울렛</t>
    <phoneticPr fontId="43" type="noConversion"/>
  </si>
  <si>
    <t>　　　김해시</t>
  </si>
  <si>
    <t>　　　사천시</t>
  </si>
  <si>
    <t>롯데시네마 통영줌아울렛, CGV 통영</t>
    <phoneticPr fontId="43" type="noConversion"/>
  </si>
  <si>
    <t>　　　통영시</t>
  </si>
  <si>
    <t>CGV 진주, 롯데시네마 진주</t>
    <phoneticPr fontId="43" type="noConversion"/>
  </si>
  <si>
    <t>　　　진주시</t>
  </si>
  <si>
    <t>롯데시네마 진해</t>
    <phoneticPr fontId="43" type="noConversion"/>
  </si>
  <si>
    <t>　　　　　　진해구</t>
  </si>
  <si>
    <t>CGV 마산, 롯데시네마 마산터미널</t>
    <phoneticPr fontId="43" type="noConversion"/>
  </si>
  <si>
    <t>　　　　　　마산회원구</t>
  </si>
  <si>
    <t>롯데시네마 마산(경남대), 메가박스 경남대</t>
    <phoneticPr fontId="43" type="noConversion"/>
  </si>
  <si>
    <t>　　　　　　마산합포구</t>
  </si>
  <si>
    <t>롯데시네마 창원, 메가박스 창원</t>
    <phoneticPr fontId="43" type="noConversion"/>
  </si>
  <si>
    <t>　　　　　　성산구</t>
  </si>
  <si>
    <t>CGV 창원, CGV 창원더시티</t>
    <phoneticPr fontId="43" type="noConversion"/>
  </si>
  <si>
    <t>　　　　　　의창구</t>
  </si>
  <si>
    <t>CGV 마산, CGV 창원, CGV 창원더시티, 롯데시네마 마산(경남대), 롯데시네마 마산터미널, 롯데시네마 진해, 롯데시네마 창원, 메가박스 경남대, 메가박스 창원</t>
    <phoneticPr fontId="43" type="noConversion"/>
  </si>
  <si>
    <t>　　　창원시</t>
  </si>
  <si>
    <t>　　　울릉군</t>
  </si>
  <si>
    <t>　　　울진군</t>
  </si>
  <si>
    <t>　　　봉화군</t>
  </si>
  <si>
    <t>　　　예천군</t>
  </si>
  <si>
    <t>　　　칠곡군</t>
  </si>
  <si>
    <t>　　　성주군</t>
  </si>
  <si>
    <t>　　　고령군</t>
  </si>
  <si>
    <t>　　　청도군</t>
  </si>
  <si>
    <t>　　　영덕군</t>
  </si>
  <si>
    <t>　　　영양군</t>
  </si>
  <si>
    <t>　　　청송군</t>
  </si>
  <si>
    <t>　　　의성군</t>
  </si>
  <si>
    <t>　　　군위군</t>
  </si>
  <si>
    <t>롯데시네마 경산</t>
    <phoneticPr fontId="43" type="noConversion"/>
  </si>
  <si>
    <t>　　　경산시</t>
  </si>
  <si>
    <t>　　　문경시</t>
  </si>
  <si>
    <t>　　　상주시</t>
  </si>
  <si>
    <t>　　　영천시</t>
  </si>
  <si>
    <t>예당시네마</t>
    <phoneticPr fontId="43" type="noConversion"/>
  </si>
  <si>
    <t>　　　영주시</t>
  </si>
  <si>
    <t>CGV 구미, 롯데시네마 구미, 롯데시네마 구미공단, 메가박스 구미, 메가박스 구미강동</t>
    <phoneticPr fontId="43" type="noConversion"/>
  </si>
  <si>
    <t>　　　구미시</t>
  </si>
  <si>
    <t>중앙시네마, CGV 안동, 메가박스 안동</t>
    <phoneticPr fontId="43" type="noConversion"/>
  </si>
  <si>
    <t>　　　안동시</t>
  </si>
  <si>
    <t>프리머스 김천</t>
    <phoneticPr fontId="43" type="noConversion"/>
  </si>
  <si>
    <t>　　　김천시</t>
  </si>
  <si>
    <t>롯데시네마 경주, 메가박스 경주</t>
    <phoneticPr fontId="43" type="noConversion"/>
  </si>
  <si>
    <t>　　　경주시</t>
  </si>
  <si>
    <t>CGV 북포항, 롯데시네마 포항</t>
    <phoneticPr fontId="43" type="noConversion"/>
  </si>
  <si>
    <t>　　　　　　북구</t>
  </si>
  <si>
    <t>CGV 포항</t>
    <phoneticPr fontId="43" type="noConversion"/>
  </si>
  <si>
    <t>　　　　　　남구</t>
  </si>
  <si>
    <t>CGV 북포항, 롯데시네마 포항, CGV 포항</t>
    <phoneticPr fontId="43" type="noConversion"/>
  </si>
  <si>
    <t>　　　포항시</t>
  </si>
  <si>
    <t>　　　신안군</t>
  </si>
  <si>
    <t>　　　진도군</t>
  </si>
  <si>
    <t>　　　완도군</t>
  </si>
  <si>
    <t>　　　장성군</t>
  </si>
  <si>
    <t>　　　영광군</t>
  </si>
  <si>
    <t>　　　함평군</t>
  </si>
  <si>
    <t>　　　무안군</t>
  </si>
  <si>
    <t>　　　영암군</t>
  </si>
  <si>
    <t>　　　해남군</t>
  </si>
  <si>
    <t>　　　강진군</t>
  </si>
  <si>
    <t>　　　장흥군</t>
  </si>
  <si>
    <t>　　　화순군</t>
  </si>
  <si>
    <t>　　　보성군</t>
  </si>
  <si>
    <t>　　　고흥군</t>
  </si>
  <si>
    <t>구례자연드림시네마</t>
    <phoneticPr fontId="43" type="noConversion"/>
  </si>
  <si>
    <t>　　　구례군</t>
  </si>
  <si>
    <t>　　　곡성군</t>
  </si>
  <si>
    <t>　　　담양군</t>
  </si>
  <si>
    <t>　　　광양시</t>
  </si>
  <si>
    <t>　　　나주시</t>
  </si>
  <si>
    <t>메가박스 순천, 메가박스 신대, CGV 순천</t>
    <phoneticPr fontId="43" type="noConversion"/>
  </si>
  <si>
    <t>　　　순천시</t>
  </si>
  <si>
    <t>롯데시네마 여수, 메가박스 여수</t>
    <phoneticPr fontId="43" type="noConversion"/>
  </si>
  <si>
    <t>　　　여수시</t>
  </si>
  <si>
    <t>CGV 목포, 롯데시네마 목포, 프리머스 목포, 메가박스 목포</t>
    <phoneticPr fontId="43" type="noConversion"/>
  </si>
  <si>
    <t>　　　목포시</t>
  </si>
  <si>
    <t>마실영화관</t>
    <phoneticPr fontId="43" type="noConversion"/>
  </si>
  <si>
    <t>　　　부안군</t>
  </si>
  <si>
    <t>　　　고창군</t>
  </si>
  <si>
    <t>　　　순창군</t>
  </si>
  <si>
    <t>작은별 영화관</t>
    <phoneticPr fontId="43" type="noConversion"/>
  </si>
  <si>
    <t>　　　임실군</t>
  </si>
  <si>
    <t>한누리시네마</t>
    <phoneticPr fontId="43" type="noConversion"/>
  </si>
  <si>
    <t>　　　장수군</t>
  </si>
  <si>
    <t>무주산골영화관</t>
    <phoneticPr fontId="43" type="noConversion"/>
  </si>
  <si>
    <t>　　　무주군</t>
  </si>
  <si>
    <t>　　　진안군</t>
  </si>
  <si>
    <t>완주 휴 시네마</t>
    <phoneticPr fontId="43" type="noConversion"/>
  </si>
  <si>
    <t>　　　완주군</t>
  </si>
  <si>
    <t>지평선시네마</t>
    <phoneticPr fontId="43" type="noConversion"/>
  </si>
  <si>
    <t>　　　김제시</t>
  </si>
  <si>
    <t>메가박스 남원</t>
    <phoneticPr fontId="43" type="noConversion"/>
  </si>
  <si>
    <t>　　　남원시</t>
  </si>
  <si>
    <t>CGV 정읍</t>
    <phoneticPr fontId="43" type="noConversion"/>
  </si>
  <si>
    <t>　　　정읍시</t>
  </si>
  <si>
    <t>CGV 익산</t>
    <phoneticPr fontId="43" type="noConversion"/>
  </si>
  <si>
    <t>　　　익산시</t>
  </si>
  <si>
    <t>CGV 군산, 롯데시네마 군산</t>
    <phoneticPr fontId="43" type="noConversion"/>
  </si>
  <si>
    <t>　　　군산시</t>
  </si>
  <si>
    <t>메가박스 송천</t>
    <phoneticPr fontId="43" type="noConversion"/>
  </si>
  <si>
    <t>　　　　　　덕진구</t>
  </si>
  <si>
    <t>CGV 전주, CGV 전주효자, 롯데시네마 전주(롯데백화점), 롯데시네마 전주평화, 메가박스 전주(객사), 전주디지털독립영화관, 전주시네마타운</t>
    <phoneticPr fontId="43" type="noConversion"/>
  </si>
  <si>
    <t>　　　　　　완산구</t>
  </si>
  <si>
    <t>CGV 전주, CGV 전주효자, 롯데시네마 전주(롯데백화점), 롯데시네마 전주평화, 메가박스 전주(객사), 전주디지털독립영화관, 전주시네마타운, 메가박스 송천</t>
    <phoneticPr fontId="43" type="noConversion"/>
  </si>
  <si>
    <t>　　　전주시</t>
  </si>
  <si>
    <t>　　　태안군</t>
  </si>
  <si>
    <t>　　　예산군</t>
  </si>
  <si>
    <t>CGV 홍성</t>
    <phoneticPr fontId="43" type="noConversion"/>
  </si>
  <si>
    <t>　　　홍성군</t>
  </si>
  <si>
    <t>　　　청양군</t>
  </si>
  <si>
    <t>　　　서천군</t>
  </si>
  <si>
    <t>금성시네마</t>
    <phoneticPr fontId="43" type="noConversion"/>
  </si>
  <si>
    <t>　　　부여군</t>
  </si>
  <si>
    <t>　　　금산군</t>
  </si>
  <si>
    <t>당진시네마, CGV 당진</t>
    <phoneticPr fontId="43" type="noConversion"/>
  </si>
  <si>
    <t>　　　당진시</t>
  </si>
  <si>
    <t>　　　계룡시</t>
  </si>
  <si>
    <t>논산시네마</t>
    <phoneticPr fontId="43" type="noConversion"/>
  </si>
  <si>
    <t>　　　논산시</t>
  </si>
  <si>
    <t>롯데시네마 서산</t>
    <phoneticPr fontId="43" type="noConversion"/>
  </si>
  <si>
    <t>　　　서산시</t>
  </si>
  <si>
    <t>롯데시네마 아산터미널</t>
    <phoneticPr fontId="43" type="noConversion"/>
  </si>
  <si>
    <t>　　　아산시</t>
  </si>
  <si>
    <t>　　　보령시</t>
  </si>
  <si>
    <t>메가박스 공주</t>
    <phoneticPr fontId="43" type="noConversion"/>
  </si>
  <si>
    <t>　　　공주시</t>
  </si>
  <si>
    <t>CGV 천안펜타포트, 메가박스 천안</t>
    <phoneticPr fontId="43" type="noConversion"/>
  </si>
  <si>
    <t>　　　　　　서북구</t>
  </si>
  <si>
    <t>CGV 천안, 야우리멀티플렉스</t>
    <phoneticPr fontId="43" type="noConversion"/>
  </si>
  <si>
    <t>　　　　　　동남구</t>
  </si>
  <si>
    <t>CGV 천안, CGV 천안펜타포트, 메가박스 천안, 야우리멀티플렉스</t>
    <phoneticPr fontId="43" type="noConversion"/>
  </si>
  <si>
    <t>　　　천안시</t>
  </si>
  <si>
    <t>　　　단양군</t>
  </si>
  <si>
    <t>　　　음성군</t>
  </si>
  <si>
    <t>　　　괴산군</t>
  </si>
  <si>
    <t>　　　진천군</t>
  </si>
  <si>
    <t>　　　증평군</t>
  </si>
  <si>
    <t>　　　영동군</t>
  </si>
  <si>
    <t>　　　옥천군</t>
  </si>
  <si>
    <t>　　　보은군</t>
  </si>
  <si>
    <t>메가박스 제천</t>
    <phoneticPr fontId="43" type="noConversion"/>
  </si>
  <si>
    <t>　　　제천시</t>
  </si>
  <si>
    <t>메가박스 충주</t>
    <phoneticPr fontId="43" type="noConversion"/>
  </si>
  <si>
    <t>　　　충주시</t>
  </si>
  <si>
    <t>　　　　　　청원구</t>
  </si>
  <si>
    <t>CGV 청주지웰시티, CGV 청주터미널, 롯데시네마 서청주, 롯데시네마 청주충대</t>
    <phoneticPr fontId="43" type="noConversion"/>
  </si>
  <si>
    <t>　　　　　　흥덕구</t>
  </si>
  <si>
    <t>　　　　　　서원구</t>
  </si>
  <si>
    <t>CGV 청주(북문), CGV 청주(서문), SFX시네마, 롯데시네마 청주</t>
    <phoneticPr fontId="43" type="noConversion"/>
  </si>
  <si>
    <t>　　　　　　상당구</t>
  </si>
  <si>
    <t>CGV 청주(북문), CGV 청주(서문), SFX시네마, 롯데시네마 청주, CGV 청주지웰시티, CGV 청주터미널, 롯데시네마 서청주, 롯데시네마 청주충대</t>
    <phoneticPr fontId="43" type="noConversion"/>
  </si>
  <si>
    <t>　　　청주시</t>
  </si>
  <si>
    <t>　　　양양군</t>
  </si>
  <si>
    <t>　　　인제군</t>
  </si>
  <si>
    <t>　　　양구군</t>
  </si>
  <si>
    <t>산천어시네마</t>
    <phoneticPr fontId="43" type="noConversion"/>
  </si>
  <si>
    <t>　　　화천군</t>
  </si>
  <si>
    <t>　　　철원군</t>
  </si>
  <si>
    <t>　　　정선군</t>
  </si>
  <si>
    <t>　　　평창군</t>
  </si>
  <si>
    <t>　　　영월군</t>
  </si>
  <si>
    <t>　　　횡성군</t>
  </si>
  <si>
    <t>홍천시네마</t>
    <phoneticPr fontId="43" type="noConversion"/>
  </si>
  <si>
    <t>　　　홍천군</t>
  </si>
  <si>
    <t>　　　삼척시</t>
  </si>
  <si>
    <t>메가박스 속초</t>
    <phoneticPr fontId="43" type="noConversion"/>
  </si>
  <si>
    <t>　　　속초시</t>
  </si>
  <si>
    <t>　　　태백시</t>
  </si>
  <si>
    <t>롯데시네마 동해</t>
    <phoneticPr fontId="43" type="noConversion"/>
  </si>
  <si>
    <t>　　　동해시</t>
  </si>
  <si>
    <t xml:space="preserve">CGV 강릉, 강릉독립예술극장 신영 </t>
    <phoneticPr fontId="43" type="noConversion"/>
  </si>
  <si>
    <t>　　　강릉시</t>
  </si>
  <si>
    <t>롯데시네마 남원주, 메가박스 원주, CGV 원주</t>
    <phoneticPr fontId="43" type="noConversion"/>
  </si>
  <si>
    <t>　　　원주시</t>
  </si>
  <si>
    <t>CGV 춘천, CGV 춘천명동</t>
    <phoneticPr fontId="43" type="noConversion"/>
  </si>
  <si>
    <t>　　　춘천시</t>
  </si>
  <si>
    <t>양평시네마</t>
    <phoneticPr fontId="43" type="noConversion"/>
  </si>
  <si>
    <t>　　　양평군</t>
  </si>
  <si>
    <t>　　　가평군</t>
  </si>
  <si>
    <t>　　　연천군</t>
  </si>
  <si>
    <t>월드시네마</t>
    <phoneticPr fontId="43" type="noConversion"/>
  </si>
  <si>
    <t>　　　여주시</t>
  </si>
  <si>
    <t>　　　포천시</t>
  </si>
  <si>
    <t>롯데시네마 양주고읍, 메가박스 양주</t>
    <phoneticPr fontId="43" type="noConversion"/>
  </si>
  <si>
    <t>　　　양주시</t>
  </si>
  <si>
    <t>롯데시네마 광주터미널</t>
    <phoneticPr fontId="43" type="noConversion"/>
  </si>
  <si>
    <t>　　　광주시</t>
  </si>
  <si>
    <t>CGV 동탄, CGV 동탄스타, 롯데시네마 병점</t>
    <phoneticPr fontId="43" type="noConversion"/>
  </si>
  <si>
    <t>　　　화성시</t>
  </si>
  <si>
    <t>CGV 김포, CGV 김포운양, CGV 김포풍무, 메가박스 김포</t>
    <phoneticPr fontId="43" type="noConversion"/>
  </si>
  <si>
    <t>　　　김포시</t>
  </si>
  <si>
    <t>롯데시네마 안성</t>
    <phoneticPr fontId="43" type="noConversion"/>
  </si>
  <si>
    <t>　　　안성시</t>
  </si>
  <si>
    <t>씨네7</t>
    <phoneticPr fontId="43" type="noConversion"/>
  </si>
  <si>
    <t>　　　이천시</t>
  </si>
  <si>
    <t>롯데시네마 파주아울렛, 메가박스 파주금촌, 메가박스 파주출판도시, CGV 파주문산</t>
    <phoneticPr fontId="43" type="noConversion"/>
  </si>
  <si>
    <t>　　　파주시</t>
  </si>
  <si>
    <t>CGV 죽전</t>
    <phoneticPr fontId="43" type="noConversion"/>
  </si>
  <si>
    <t>　　　　　　수지구</t>
  </si>
  <si>
    <t>CGV 동백</t>
    <phoneticPr fontId="43" type="noConversion"/>
  </si>
  <si>
    <t>　　　　　　기흥구</t>
  </si>
  <si>
    <t>롯데시네마 용인</t>
    <phoneticPr fontId="43" type="noConversion"/>
  </si>
  <si>
    <t>　　　　　　처인구</t>
  </si>
  <si>
    <t>CGV 동백, CGV 죽전, 롯데시네마 용인</t>
    <phoneticPr fontId="43" type="noConversion"/>
  </si>
  <si>
    <t>　　　용인시</t>
  </si>
  <si>
    <t>　　　하남시</t>
  </si>
  <si>
    <t>　　　의왕시</t>
  </si>
  <si>
    <t>롯데시네마 산본</t>
    <phoneticPr fontId="43" type="noConversion"/>
  </si>
  <si>
    <t>　　　군포시</t>
  </si>
  <si>
    <t>CGV 시흥, 롯데시네마 시화</t>
    <phoneticPr fontId="43" type="noConversion"/>
  </si>
  <si>
    <t>　　　시흥시</t>
  </si>
  <si>
    <t>오산시네마, 프리머스 오산</t>
    <phoneticPr fontId="43" type="noConversion"/>
  </si>
  <si>
    <t>　　　오산시</t>
  </si>
  <si>
    <t>롯데시네마 진접, 메가박스 남양주, 메가박스 별내, 롯데시네마 마석</t>
    <phoneticPr fontId="43" type="noConversion"/>
  </si>
  <si>
    <t>　　　남양주시</t>
  </si>
  <si>
    <t>롯데시네마 구리, 롯데시네마 구리아울렛</t>
    <phoneticPr fontId="43" type="noConversion"/>
  </si>
  <si>
    <t>　　　구리시</t>
  </si>
  <si>
    <t>　　　과천시</t>
  </si>
  <si>
    <t>롯데시네마 주엽(일산), 메가박스 일산, 메가박스 킨텍스</t>
    <phoneticPr fontId="43" type="noConversion"/>
  </si>
  <si>
    <t>　　　　　　일산서구</t>
  </si>
  <si>
    <t>CGV 일산, 롯데시네마 라페스타(일산), 메가박스 백석</t>
    <phoneticPr fontId="43" type="noConversion"/>
  </si>
  <si>
    <t>　　　　　　일산동구</t>
  </si>
  <si>
    <t>CGV 화정</t>
    <phoneticPr fontId="43" type="noConversion"/>
  </si>
  <si>
    <t>　　　　　　덕양구</t>
  </si>
  <si>
    <t>CGV 일산, CGV 화정, 롯데시네마 라페스타(일산), 롯데시네마 주엽(일산), 메가박스 백석, 메가박스 일산, 메가박스 킨텍스</t>
    <phoneticPr fontId="43" type="noConversion"/>
  </si>
  <si>
    <t>　　　고양시</t>
  </si>
  <si>
    <t>CGV 안산, 롯데시네마 센트럴락(안산), 메가박스 안산, 명화극장, 프리머스 안산 메가넥스</t>
    <phoneticPr fontId="43" type="noConversion"/>
  </si>
  <si>
    <t>　　　　　　단원구</t>
  </si>
  <si>
    <t>롯데시네마 안산(롯데마트)</t>
    <phoneticPr fontId="43" type="noConversion"/>
  </si>
  <si>
    <t>　　　　　　상록구</t>
  </si>
  <si>
    <t>CGV 안산, 롯데시네마 센트럴락(안산), 메가박스 안산, 명화극장, 프리머스 안산 메가넥스, 롯데시네마 안산(롯데마트)</t>
    <phoneticPr fontId="43" type="noConversion"/>
  </si>
  <si>
    <t>　　　안산시</t>
  </si>
  <si>
    <t>동광극장, 문화극장</t>
    <phoneticPr fontId="43" type="noConversion"/>
  </si>
  <si>
    <t>　　　동두천시</t>
  </si>
  <si>
    <t>CGV 평택, CGV 평택비전, 롯데시네마 송탄, 메가박스 평택</t>
    <phoneticPr fontId="43" type="noConversion"/>
  </si>
  <si>
    <t>　　　평택시</t>
  </si>
  <si>
    <t>CGV 광명철산, 롯데시네마 광명아울렛</t>
    <phoneticPr fontId="43" type="noConversion"/>
  </si>
  <si>
    <t>　　　광명시</t>
  </si>
  <si>
    <t>　　　　　　오정구</t>
  </si>
  <si>
    <t>CGV 역곡</t>
    <phoneticPr fontId="43" type="noConversion"/>
  </si>
  <si>
    <t>　　　　　　소사구</t>
  </si>
  <si>
    <t>CGV 부천, CGV 소풍, 롯데시네마 부천(신중동역), 롯데시네마 부천역, 한국만화영상진흥원, CGV 부천역</t>
    <phoneticPr fontId="43" type="noConversion"/>
  </si>
  <si>
    <t>　　　　　　원미구</t>
  </si>
  <si>
    <t>CGV 부천, CGV 소풍, 롯데시네마 부천(신중동역), 롯데시네마 부천역, 한국만화영상진흥원, CGV 부천역, CGV 역곡</t>
    <phoneticPr fontId="43" type="noConversion"/>
  </si>
  <si>
    <t>　　　부천시</t>
  </si>
  <si>
    <t>CGV 평촌, 롯데시네마 평촌, CGV 범계, 롯데시네마 인덕원</t>
    <phoneticPr fontId="43" type="noConversion"/>
  </si>
  <si>
    <t>　　　　　　동안구</t>
  </si>
  <si>
    <t>CGV 안양, 롯데시네마 안양(안양역)</t>
    <phoneticPr fontId="43" type="noConversion"/>
  </si>
  <si>
    <t>　　　　　　만안구</t>
  </si>
  <si>
    <t>CGV 안양, 롯데시네마 안양(안양역), CGV 평촌, 롯데시네마 평촌, CGV 범계, 롯데시네마 인덕원</t>
    <phoneticPr fontId="43" type="noConversion"/>
  </si>
  <si>
    <t>　　　안양시</t>
  </si>
  <si>
    <t>CGV 의정부, CGV 의정부태흥</t>
    <phoneticPr fontId="43" type="noConversion"/>
  </si>
  <si>
    <t>　　　의정부시</t>
  </si>
  <si>
    <t>CGV 야탑, CGV 오리, 메가박스 분당, CGV 서현</t>
    <phoneticPr fontId="43" type="noConversion"/>
  </si>
  <si>
    <t>　　　　　　분당구</t>
  </si>
  <si>
    <t>롯데시네마 성남신흥</t>
    <phoneticPr fontId="43" type="noConversion"/>
  </si>
  <si>
    <t>　　　　　　중원구</t>
  </si>
  <si>
    <t>　　　　　　수정구</t>
  </si>
  <si>
    <t>CGV 야탑, CGV 오리, 롯데시네마 성남, 롯데시네마 성남신흥, 메가박스 분당, CGV 서현</t>
    <phoneticPr fontId="43" type="noConversion"/>
  </si>
  <si>
    <t>　　　성남시</t>
  </si>
  <si>
    <t>메가박스 영통</t>
    <phoneticPr fontId="43" type="noConversion"/>
  </si>
  <si>
    <t>　　　　　　영통구</t>
  </si>
  <si>
    <t>CGV 동수원, CGV 수원, 메가박스 수원남문</t>
    <phoneticPr fontId="43" type="noConversion"/>
  </si>
  <si>
    <t>　　　　　　팔달구</t>
  </si>
  <si>
    <t>메가박스 수원, 롯데시네마 수원</t>
    <phoneticPr fontId="43" type="noConversion"/>
  </si>
  <si>
    <t>　　　　　　권선구</t>
  </si>
  <si>
    <t>CGV 북수원</t>
    <phoneticPr fontId="43" type="noConversion"/>
  </si>
  <si>
    <t>　　　　　　장안구</t>
  </si>
  <si>
    <t>CGV 북수원, 메가박스 수원, 롯데시네마 수원, CGV 동수원, CGV 수원, 메가박스 수원남문, 메가박스 영통</t>
    <phoneticPr fontId="43" type="noConversion"/>
  </si>
  <si>
    <t>　　　수원시</t>
  </si>
  <si>
    <t>메가박스 세종</t>
    <phoneticPr fontId="43" type="noConversion"/>
  </si>
  <si>
    <t>　　　세종시</t>
  </si>
  <si>
    <t>세종특별자치시</t>
  </si>
  <si>
    <t>　　　울주군</t>
  </si>
  <si>
    <t>　　　북구</t>
  </si>
  <si>
    <t>현대예술관</t>
    <phoneticPr fontId="43" type="noConversion"/>
  </si>
  <si>
    <t>　　　동구</t>
  </si>
  <si>
    <t>롯데시네마 울산</t>
    <phoneticPr fontId="43" type="noConversion"/>
  </si>
  <si>
    <t>　　　남구</t>
  </si>
  <si>
    <t>메가박스 울산, 롯데시네마 울산성남</t>
    <phoneticPr fontId="43" type="noConversion"/>
  </si>
  <si>
    <t>　　　중구</t>
  </si>
  <si>
    <t>울산광역시</t>
  </si>
  <si>
    <t>　　　대덕구</t>
  </si>
  <si>
    <t>CGV 유성노은</t>
    <phoneticPr fontId="43" type="noConversion"/>
  </si>
  <si>
    <t>　　　유성구</t>
  </si>
  <si>
    <t>롯데시네마 대전, 메가박스 대전, 롯데시네마 대전둔산</t>
    <phoneticPr fontId="43" type="noConversion"/>
  </si>
  <si>
    <t>　　　서구</t>
  </si>
  <si>
    <t>CGV 대전</t>
    <phoneticPr fontId="43" type="noConversion"/>
  </si>
  <si>
    <t>CGV 대전터미널, MCV 아카데미, 대전아트시네마, CGV 대전가오</t>
    <phoneticPr fontId="43" type="noConversion"/>
  </si>
  <si>
    <t>대전광역시</t>
  </si>
  <si>
    <t>CGV 광주첨단, 롯데시네마 수완, 메가박스 첨단, 메가박스 콜롬버스 하남</t>
    <phoneticPr fontId="43" type="noConversion"/>
  </si>
  <si>
    <t>　　　광산구</t>
  </si>
  <si>
    <t>메가박스 전대(광주), CGV 광주용봉</t>
    <phoneticPr fontId="43" type="noConversion"/>
  </si>
  <si>
    <t>CGV 광주상무, CGV 광주터미널, 메가박스 콜롬버스 상무</t>
    <phoneticPr fontId="43" type="noConversion"/>
  </si>
  <si>
    <t>광주극장, 광주영상복합문화관 G시네마, 롯데시네마 광주(롯데백화점), 메가박스 광주(충장로), 롯데시네마 충장로</t>
    <phoneticPr fontId="43" type="noConversion"/>
  </si>
  <si>
    <t>광주광역시</t>
  </si>
  <si>
    <t>　　　옹진군</t>
  </si>
  <si>
    <t>　　　강화군</t>
  </si>
  <si>
    <t>롯데시네마 검단</t>
    <phoneticPr fontId="43" type="noConversion"/>
  </si>
  <si>
    <t>CGV 계양</t>
    <phoneticPr fontId="43" type="noConversion"/>
  </si>
  <si>
    <t>　　　계양구</t>
  </si>
  <si>
    <t>CGV 부평, 대한극장, 롯데시네마 부평, 롯데시네마 부평역사, CGV 부평역</t>
    <phoneticPr fontId="43" type="noConversion"/>
  </si>
  <si>
    <t>　　　부평구</t>
  </si>
  <si>
    <t>CGV 인천, CGV 인천논현, 롯데시네마 인천</t>
    <phoneticPr fontId="43" type="noConversion"/>
  </si>
  <si>
    <t>　　　남동구</t>
  </si>
  <si>
    <t>CGV 인천연수, 메가박스 연수</t>
    <phoneticPr fontId="43" type="noConversion"/>
  </si>
  <si>
    <t>　　　연수구</t>
  </si>
  <si>
    <t>CGV 인천터미널, CGV 주안, 영화공간 주안, CGV 남주안</t>
    <phoneticPr fontId="43" type="noConversion"/>
  </si>
  <si>
    <t>추억극장 미림</t>
    <phoneticPr fontId="43" type="noConversion"/>
  </si>
  <si>
    <t>CGV 인천공항, 애관극장</t>
    <phoneticPr fontId="43" type="noConversion"/>
  </si>
  <si>
    <t>인천광역시</t>
  </si>
  <si>
    <t>　　　달성군</t>
  </si>
  <si>
    <t>롯데시네마 성서</t>
    <phoneticPr fontId="43" type="noConversion"/>
  </si>
  <si>
    <t>　　　달서구</t>
  </si>
  <si>
    <t>시네마M, CGV 대구수성, CGV 대구스타디움</t>
    <phoneticPr fontId="43" type="noConversion"/>
  </si>
  <si>
    <t>　　　수성구</t>
  </si>
  <si>
    <t>CGV 대구칠곡, 롯데시네마 대구, 롯데시네마 프리미엄, 메가박스 대구(칠성로), 메가박스 북대구(칠곡)</t>
    <phoneticPr fontId="43" type="noConversion"/>
  </si>
  <si>
    <t>롯데시네마 대구광장</t>
    <phoneticPr fontId="43" type="noConversion"/>
  </si>
  <si>
    <t>CGV 대구이시아, 롯데시네마 대구율하</t>
    <phoneticPr fontId="43" type="noConversion"/>
  </si>
  <si>
    <t>CGV 대구, CGV 대구아카데미, CGV 대구한일, CGV 대구현대, MMC만경관, 동성아트홀, 롯데시네마 동성로, 그레이스실버영화관</t>
    <phoneticPr fontId="43" type="noConversion"/>
  </si>
  <si>
    <t>대구광역시</t>
  </si>
  <si>
    <t xml:space="preserve">롯데시네마 동부산 </t>
    <phoneticPr fontId="43" type="noConversion"/>
  </si>
  <si>
    <t>　　　기장군</t>
  </si>
  <si>
    <t>롯데시네마 사상(애플아울렛)</t>
    <phoneticPr fontId="43" type="noConversion"/>
  </si>
  <si>
    <t>　　　사상구</t>
  </si>
  <si>
    <t>　　　수영구</t>
  </si>
  <si>
    <t>CGV 아시아드</t>
    <phoneticPr fontId="43" type="noConversion"/>
  </si>
  <si>
    <t>　　　연제구</t>
  </si>
  <si>
    <t>　　　강서구</t>
  </si>
  <si>
    <t>CGV 부산대</t>
    <phoneticPr fontId="43" type="noConversion"/>
  </si>
  <si>
    <t>　　　금정구</t>
  </si>
  <si>
    <t>　　　사하구</t>
  </si>
  <si>
    <t>CGV 센텀시티, 롯데시네마 센텀시티(백화점), 롯데시네마 해운대, 메가박스 장산, 메가박스 해운대, 영화의전당</t>
    <phoneticPr fontId="43" type="noConversion"/>
  </si>
  <si>
    <t>　　　해운대구</t>
  </si>
  <si>
    <t>CGV 화명, 메가박스 덕천</t>
    <phoneticPr fontId="43" type="noConversion"/>
  </si>
  <si>
    <t>CGV 대연, 국도예술관</t>
    <phoneticPr fontId="43" type="noConversion"/>
  </si>
  <si>
    <t>CGV 동래, 롯데시네마 동래</t>
    <phoneticPr fontId="43" type="noConversion"/>
  </si>
  <si>
    <t>　　　동래구</t>
  </si>
  <si>
    <t>CGV 대한, CGV 서면, 롯데시네마 부산본점(백화점), 롯데시네마 서면(디시티), 메가박스 서면</t>
    <phoneticPr fontId="43" type="noConversion"/>
  </si>
  <si>
    <t>　　　부산진구</t>
  </si>
  <si>
    <t>　　　영도구</t>
  </si>
  <si>
    <t>CGV 남포, 대영시네마, 메가박스 부산극장, 아트씨어터 씨앤씨, 롯데시네마 광복</t>
    <phoneticPr fontId="43" type="noConversion"/>
  </si>
  <si>
    <t>부산광역시</t>
  </si>
  <si>
    <t>CGV 강동, 롯데시네마 강동</t>
    <phoneticPr fontId="43" type="noConversion"/>
  </si>
  <si>
    <t>　　　강동구</t>
  </si>
  <si>
    <t>CGV 송파</t>
    <phoneticPr fontId="43" type="noConversion"/>
  </si>
  <si>
    <t>　　　송파구</t>
  </si>
  <si>
    <t>CGV 강남, CGV 압구정, CGV 청담씨네시티, 롯데시네마 씨티(강남), 메가박스 코엑스, 롯데시네마 브로드웨이(신사), 인디플러스, 조이앤시네마</t>
    <phoneticPr fontId="43" type="noConversion"/>
  </si>
  <si>
    <t>　　　강남구</t>
  </si>
  <si>
    <t>메가박스 강남, 메가박스 센트럴</t>
    <phoneticPr fontId="43" type="noConversion"/>
  </si>
  <si>
    <t>　　　서초구</t>
  </si>
  <si>
    <t>롯데시네마 서울대입구, 롯데시네마 신림</t>
    <phoneticPr fontId="43" type="noConversion"/>
  </si>
  <si>
    <t>　　　관악구</t>
  </si>
  <si>
    <t>메가박스 이수, 아트나인</t>
    <phoneticPr fontId="43" type="noConversion"/>
  </si>
  <si>
    <t>　　　동작구</t>
  </si>
  <si>
    <t>CGV 여의도, CGV 영등포, 롯데시네마 영등포</t>
    <phoneticPr fontId="43" type="noConversion"/>
  </si>
  <si>
    <t>　　　영등포구</t>
  </si>
  <si>
    <t>롯데시네마 가산디지털, 롯데시네마 독산</t>
    <phoneticPr fontId="43" type="noConversion"/>
  </si>
  <si>
    <t>　　　금천구</t>
  </si>
  <si>
    <t>CGV 구로, CGV 신도림, 롯데시네마 신도림(디큐브)</t>
    <phoneticPr fontId="43" type="noConversion"/>
  </si>
  <si>
    <t>　　　구로구</t>
  </si>
  <si>
    <t>롯데시네마 김포공항</t>
    <phoneticPr fontId="43" type="noConversion"/>
  </si>
  <si>
    <t>CGV 목동, 메가박스 목동</t>
    <phoneticPr fontId="43" type="noConversion"/>
  </si>
  <si>
    <t>　　　양천구</t>
  </si>
  <si>
    <t>CGV 상암, CGV 홍대, 롯데시네마 누리꿈(상암), 롯데시네마 합정, 롯데시네마 홍대입구, 시네마상상마당</t>
    <phoneticPr fontId="43" type="noConversion"/>
  </si>
  <si>
    <t>　　　마포구</t>
  </si>
  <si>
    <t>CGV 신촌아트레온, 메가박스 신촌, 아트하우스모모, 필름포럼</t>
    <phoneticPr fontId="43" type="noConversion"/>
  </si>
  <si>
    <t>　　　서대문구</t>
  </si>
  <si>
    <t>CGV 불광, 메가박스 은평, 청춘극장</t>
    <phoneticPr fontId="43" type="noConversion"/>
  </si>
  <si>
    <t>　　　은평구</t>
  </si>
  <si>
    <t>CGV 중계, CGV 하계, 롯데시네마 노원</t>
    <phoneticPr fontId="43" type="noConversion"/>
  </si>
  <si>
    <t>　　　노원구</t>
  </si>
  <si>
    <t>　　　도봉구</t>
  </si>
  <si>
    <t>CGV 미아, 메가박스 수유</t>
    <phoneticPr fontId="43" type="noConversion"/>
  </si>
  <si>
    <t>　　　강북구</t>
  </si>
  <si>
    <t>CGV 성신여대입구, KU 시네마트랩, 아리랑시네미디어센터</t>
    <phoneticPr fontId="43" type="noConversion"/>
  </si>
  <si>
    <t>　　　성북구</t>
  </si>
  <si>
    <t>메가박스 상봉</t>
    <phoneticPr fontId="43" type="noConversion"/>
  </si>
  <si>
    <t>　　　중랑구</t>
  </si>
  <si>
    <t>롯데시네마 장안, 롯데시네마 청량리</t>
    <phoneticPr fontId="43" type="noConversion"/>
  </si>
  <si>
    <t>　　　동대문구</t>
  </si>
  <si>
    <t>CGV 강변, CGV 군자, KU 시네마테크, 롯데시네마 건대입구</t>
    <phoneticPr fontId="43" type="noConversion"/>
  </si>
  <si>
    <t>　　　광진구</t>
  </si>
  <si>
    <t>CGV 왕십리</t>
    <phoneticPr fontId="43" type="noConversion"/>
  </si>
  <si>
    <t>　　　성동구</t>
  </si>
  <si>
    <t>CGV 용산, 롯데시네마 용산(전자랜드)</t>
    <phoneticPr fontId="43" type="noConversion"/>
  </si>
  <si>
    <t>　　　용산구</t>
  </si>
  <si>
    <t>CGV 명동, CGV 명동역, 대한극장, 롯데시네마 에비뉴엘(명동), 롯데시네마 황학, 메가박스 동대문, 서울애니시네마, 스폰지하우스(광화문), 실버극장</t>
    <phoneticPr fontId="43" type="noConversion"/>
  </si>
  <si>
    <t>CGV 대학로, 롯데시네마 피카디리(종로), 서울극장, 서울아트시네마, 씨네코드 선재, 씨네큐브광화문, 인디스페이스, 허리우드 클래식</t>
    <phoneticPr fontId="43" type="noConversion"/>
  </si>
  <si>
    <t>　　　종로구</t>
  </si>
  <si>
    <t>서울특별시</t>
  </si>
  <si>
    <t>전국</t>
  </si>
  <si>
    <t>극장명(열거)</t>
    <phoneticPr fontId="43" type="noConversion"/>
  </si>
  <si>
    <t>좌석수</t>
    <phoneticPr fontId="43" type="noConversion"/>
  </si>
  <si>
    <t>스크린개수</t>
    <phoneticPr fontId="43" type="noConversion"/>
  </si>
  <si>
    <t>극장개수</t>
    <phoneticPr fontId="43" type="noConversion"/>
  </si>
  <si>
    <t>여자 인구수 (명)</t>
  </si>
  <si>
    <t>남자 인구수 (명)</t>
  </si>
  <si>
    <t>총인구수 (명)</t>
  </si>
  <si>
    <t>행정구역(시군구)별</t>
  </si>
  <si>
    <t>(영화관 없는 기초자치단체)</t>
    <phoneticPr fontId="43" type="noConversion"/>
  </si>
  <si>
    <t>2014년 광역/기초자치단체별 주민등록기준 인구수 및 영화관 분포 현황</t>
    <phoneticPr fontId="43" type="noConversion"/>
  </si>
</sst>
</file>

<file path=xl/styles.xml><?xml version="1.0" encoding="utf-8"?>
<styleSheet xmlns="http://schemas.openxmlformats.org/spreadsheetml/2006/main">
  <numFmts count="4">
    <numFmt numFmtId="176" formatCode="#,##0_);[Red]\(#,##0\)"/>
    <numFmt numFmtId="177" formatCode="#,##0_ "/>
    <numFmt numFmtId="178" formatCode="0.0%"/>
    <numFmt numFmtId="179" formatCode="0_ "/>
  </numFmts>
  <fonts count="46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color indexed="8"/>
      <name val="HY견고딕"/>
      <family val="1"/>
      <charset val="129"/>
    </font>
    <font>
      <sz val="16"/>
      <color indexed="8"/>
      <name val="HY견고딕"/>
      <family val="1"/>
      <charset val="129"/>
    </font>
    <font>
      <sz val="10"/>
      <color indexed="8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10.5"/>
      <color indexed="8"/>
      <name val="돋움"/>
      <family val="3"/>
      <charset val="129"/>
    </font>
    <font>
      <b/>
      <sz val="10"/>
      <color indexed="8"/>
      <name val="돋움"/>
      <family val="3"/>
      <charset val="129"/>
    </font>
    <font>
      <b/>
      <sz val="9.5"/>
      <color indexed="8"/>
      <name val="돋움"/>
      <family val="3"/>
      <charset val="129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indexed="1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Arial"/>
      <family val="2"/>
    </font>
    <font>
      <sz val="9"/>
      <name val="돋움"/>
      <family val="3"/>
      <charset val="129"/>
    </font>
    <font>
      <b/>
      <sz val="12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CF8"/>
      </patternFill>
    </fill>
  </fills>
  <borders count="7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9" fillId="21" borderId="2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3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7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0" borderId="9" applyNumberFormat="0" applyAlignment="0" applyProtection="0">
      <alignment vertical="center"/>
    </xf>
    <xf numFmtId="0" fontId="29" fillId="0" borderId="0">
      <alignment vertical="center"/>
    </xf>
    <xf numFmtId="0" fontId="42" fillId="0" borderId="0">
      <alignment vertical="center"/>
    </xf>
  </cellStyleXfs>
  <cellXfs count="338">
    <xf numFmtId="0" fontId="0" fillId="0" borderId="0" xfId="0" applyNumberFormat="1" applyAlignment="1">
      <alignment vertic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77" fontId="0" fillId="0" borderId="0" xfId="0" applyNumberFormat="1" applyBorder="1" applyAlignment="1">
      <alignment horizontal="right" vertical="center"/>
    </xf>
    <xf numFmtId="0" fontId="0" fillId="0" borderId="0" xfId="0" applyNumberFormat="1" applyFont="1" applyBorder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horizontal="right" vertical="center"/>
    </xf>
    <xf numFmtId="0" fontId="20" fillId="0" borderId="0" xfId="0" applyNumberFormat="1" applyFont="1" applyBorder="1" applyAlignment="1">
      <alignment horizontal="right" vertical="center"/>
    </xf>
    <xf numFmtId="0" fontId="22" fillId="0" borderId="10" xfId="0" applyNumberFormat="1" applyFont="1" applyBorder="1" applyAlignment="1">
      <alignment horizontal="center" vertical="center"/>
    </xf>
    <xf numFmtId="0" fontId="22" fillId="0" borderId="11" xfId="0" applyNumberFormat="1" applyFont="1" applyBorder="1" applyAlignment="1">
      <alignment horizontal="center" vertical="center"/>
    </xf>
    <xf numFmtId="0" fontId="22" fillId="24" borderId="11" xfId="0" applyNumberFormat="1" applyFont="1" applyFill="1" applyBorder="1" applyAlignment="1">
      <alignment horizontal="center" vertical="center"/>
    </xf>
    <xf numFmtId="0" fontId="22" fillId="0" borderId="12" xfId="0" applyNumberFormat="1" applyFont="1" applyBorder="1" applyAlignment="1">
      <alignment horizontal="center" vertical="center"/>
    </xf>
    <xf numFmtId="0" fontId="22" fillId="0" borderId="13" xfId="0" applyNumberFormat="1" applyFont="1" applyBorder="1" applyAlignment="1">
      <alignment horizontal="center" vertical="center"/>
    </xf>
    <xf numFmtId="0" fontId="23" fillId="0" borderId="14" xfId="0" applyNumberFormat="1" applyFont="1" applyBorder="1" applyAlignment="1">
      <alignment horizontal="center" vertical="center"/>
    </xf>
    <xf numFmtId="0" fontId="22" fillId="0" borderId="15" xfId="0" applyNumberFormat="1" applyFont="1" applyBorder="1" applyAlignment="1">
      <alignment horizontal="center" vertical="center"/>
    </xf>
    <xf numFmtId="0" fontId="2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ont="1" applyBorder="1" applyAlignment="1">
      <alignment horizontal="left" vertical="center"/>
    </xf>
    <xf numFmtId="176" fontId="0" fillId="0" borderId="0" xfId="0" applyNumberFormat="1" applyFont="1" applyBorder="1" applyAlignment="1">
      <alignment horizontal="right" vertical="center"/>
    </xf>
    <xf numFmtId="0" fontId="0" fillId="0" borderId="0" xfId="0" applyNumberFormat="1" applyFont="1" applyFill="1" applyBorder="1" applyAlignment="1">
      <alignment horizontal="center" vertical="center"/>
    </xf>
    <xf numFmtId="177" fontId="0" fillId="0" borderId="16" xfId="0" applyNumberFormat="1" applyFill="1" applyBorder="1" applyAlignment="1">
      <alignment horizontal="right" vertical="center"/>
    </xf>
    <xf numFmtId="177" fontId="0" fillId="0" borderId="17" xfId="0" applyNumberForma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right" vertical="center"/>
    </xf>
    <xf numFmtId="0" fontId="0" fillId="0" borderId="17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vertical="center"/>
    </xf>
    <xf numFmtId="0" fontId="0" fillId="0" borderId="17" xfId="0" applyNumberFormat="1" applyFont="1" applyFill="1" applyBorder="1" applyAlignment="1">
      <alignment vertical="center"/>
    </xf>
    <xf numFmtId="0" fontId="0" fillId="0" borderId="17" xfId="0" applyNumberFormat="1" applyFont="1" applyFill="1" applyBorder="1" applyAlignment="1">
      <alignment horizontal="left" vertical="center"/>
    </xf>
    <xf numFmtId="176" fontId="0" fillId="0" borderId="17" xfId="0" applyNumberFormat="1" applyFont="1" applyFill="1" applyBorder="1" applyAlignment="1">
      <alignment vertical="center"/>
    </xf>
    <xf numFmtId="176" fontId="0" fillId="0" borderId="17" xfId="0" applyNumberFormat="1" applyFont="1" applyFill="1" applyBorder="1" applyAlignment="1">
      <alignment horizontal="right" vertical="center"/>
    </xf>
    <xf numFmtId="0" fontId="0" fillId="0" borderId="17" xfId="0" applyNumberFormat="1" applyFill="1" applyBorder="1" applyAlignment="1">
      <alignment horizontal="center" vertical="center"/>
    </xf>
    <xf numFmtId="31" fontId="0" fillId="0" borderId="17" xfId="0" applyNumberFormat="1" applyFont="1" applyFill="1" applyBorder="1" applyAlignment="1">
      <alignment vertical="center"/>
    </xf>
    <xf numFmtId="14" fontId="0" fillId="0" borderId="17" xfId="0" applyNumberFormat="1" applyFont="1" applyFill="1" applyBorder="1" applyAlignment="1">
      <alignment horizontal="center" vertical="center"/>
    </xf>
    <xf numFmtId="14" fontId="0" fillId="0" borderId="17" xfId="0" applyNumberFormat="1" applyFont="1" applyFill="1" applyBorder="1" applyAlignment="1" applyProtection="1">
      <alignment horizontal="center" vertical="center"/>
    </xf>
    <xf numFmtId="49" fontId="0" fillId="0" borderId="17" xfId="0" applyNumberFormat="1" applyFill="1" applyBorder="1" applyAlignment="1">
      <alignment vertical="center"/>
    </xf>
    <xf numFmtId="0" fontId="0" fillId="0" borderId="17" xfId="0" applyNumberFormat="1" applyFill="1" applyBorder="1" applyAlignment="1">
      <alignment vertical="center"/>
    </xf>
    <xf numFmtId="176" fontId="0" fillId="0" borderId="17" xfId="0" applyNumberFormat="1" applyFont="1" applyFill="1" applyBorder="1" applyAlignment="1">
      <alignment horizontal="center" vertical="center"/>
    </xf>
    <xf numFmtId="176" fontId="0" fillId="0" borderId="0" xfId="0" applyNumberFormat="1" applyFont="1" applyBorder="1" applyAlignment="1">
      <alignment horizontal="center" vertical="center"/>
    </xf>
    <xf numFmtId="0" fontId="0" fillId="0" borderId="18" xfId="0" applyNumberFormat="1" applyFont="1" applyFill="1" applyBorder="1" applyAlignment="1">
      <alignment horizontal="center" vertical="center"/>
    </xf>
    <xf numFmtId="176" fontId="0" fillId="0" borderId="18" xfId="0" applyNumberFormat="1" applyFont="1" applyFill="1" applyBorder="1" applyAlignment="1">
      <alignment vertical="center"/>
    </xf>
    <xf numFmtId="0" fontId="0" fillId="0" borderId="18" xfId="0" applyNumberFormat="1" applyFont="1" applyFill="1" applyBorder="1" applyAlignment="1">
      <alignment vertical="center"/>
    </xf>
    <xf numFmtId="14" fontId="0" fillId="0" borderId="18" xfId="0" applyNumberFormat="1" applyFont="1" applyFill="1" applyBorder="1" applyAlignment="1">
      <alignment horizontal="center" vertical="center"/>
    </xf>
    <xf numFmtId="0" fontId="22" fillId="25" borderId="19" xfId="0" applyNumberFormat="1" applyFont="1" applyFill="1" applyBorder="1" applyAlignment="1">
      <alignment horizontal="center" vertical="center"/>
    </xf>
    <xf numFmtId="176" fontId="22" fillId="25" borderId="19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vertical="center"/>
    </xf>
    <xf numFmtId="176" fontId="0" fillId="0" borderId="18" xfId="0" applyNumberFormat="1" applyFont="1" applyFill="1" applyBorder="1" applyAlignment="1">
      <alignment horizontal="right" vertical="center"/>
    </xf>
    <xf numFmtId="176" fontId="0" fillId="0" borderId="0" xfId="0" applyNumberFormat="1" applyFont="1" applyFill="1" applyAlignment="1">
      <alignment vertical="center"/>
    </xf>
    <xf numFmtId="176" fontId="0" fillId="0" borderId="0" xfId="0" applyNumberFormat="1" applyFont="1" applyAlignment="1">
      <alignment horizontal="center" vertical="center"/>
    </xf>
    <xf numFmtId="176" fontId="22" fillId="25" borderId="19" xfId="0" applyNumberFormat="1" applyFont="1" applyFill="1" applyBorder="1" applyAlignment="1">
      <alignment horizontal="center" vertical="center" wrapText="1"/>
    </xf>
    <xf numFmtId="0" fontId="0" fillId="0" borderId="17" xfId="0" applyNumberFormat="1" applyFont="1" applyFill="1" applyBorder="1" applyAlignment="1">
      <alignment horizontal="right" vertical="center"/>
    </xf>
    <xf numFmtId="0" fontId="0" fillId="26" borderId="17" xfId="0" applyNumberFormat="1" applyFont="1" applyFill="1" applyBorder="1" applyAlignment="1">
      <alignment horizontal="center" vertical="center"/>
    </xf>
    <xf numFmtId="0" fontId="0" fillId="26" borderId="17" xfId="0" applyNumberFormat="1" applyFont="1" applyFill="1" applyBorder="1" applyAlignment="1">
      <alignment horizontal="left" vertical="center"/>
    </xf>
    <xf numFmtId="0" fontId="0" fillId="26" borderId="17" xfId="0" applyNumberFormat="1" applyFont="1" applyFill="1" applyBorder="1" applyAlignment="1">
      <alignment vertical="center"/>
    </xf>
    <xf numFmtId="14" fontId="0" fillId="26" borderId="17" xfId="0" applyNumberFormat="1" applyFont="1" applyFill="1" applyBorder="1" applyAlignment="1">
      <alignment horizontal="center" vertical="center"/>
    </xf>
    <xf numFmtId="0" fontId="0" fillId="26" borderId="0" xfId="0" applyNumberFormat="1" applyFont="1" applyFill="1" applyBorder="1" applyAlignment="1">
      <alignment vertical="center"/>
    </xf>
    <xf numFmtId="49" fontId="0" fillId="26" borderId="17" xfId="0" applyNumberFormat="1" applyFont="1" applyFill="1" applyBorder="1" applyAlignment="1">
      <alignment horizontal="center" vertical="center"/>
    </xf>
    <xf numFmtId="49" fontId="0" fillId="26" borderId="17" xfId="0" applyNumberFormat="1" applyFont="1" applyFill="1" applyBorder="1" applyAlignment="1">
      <alignment vertical="center"/>
    </xf>
    <xf numFmtId="0" fontId="0" fillId="26" borderId="0" xfId="0" applyNumberFormat="1" applyFont="1" applyFill="1" applyAlignment="1">
      <alignment vertical="center"/>
    </xf>
    <xf numFmtId="31" fontId="0" fillId="26" borderId="17" xfId="0" applyNumberFormat="1" applyFont="1" applyFill="1" applyBorder="1" applyAlignment="1">
      <alignment vertical="center"/>
    </xf>
    <xf numFmtId="0" fontId="0" fillId="26" borderId="0" xfId="0" applyNumberFormat="1" applyFont="1" applyFill="1" applyAlignment="1">
      <alignment horizontal="left" vertical="center"/>
    </xf>
    <xf numFmtId="0" fontId="0" fillId="26" borderId="17" xfId="0" applyNumberFormat="1" applyFill="1" applyBorder="1" applyAlignment="1">
      <alignment vertical="center"/>
    </xf>
    <xf numFmtId="0" fontId="0" fillId="0" borderId="17" xfId="0" applyNumberFormat="1" applyFill="1" applyBorder="1" applyAlignment="1">
      <alignment horizontal="left" vertical="center"/>
    </xf>
    <xf numFmtId="14" fontId="0" fillId="0" borderId="17" xfId="0" applyNumberFormat="1" applyFont="1" applyFill="1" applyBorder="1" applyAlignment="1">
      <alignment vertical="center"/>
    </xf>
    <xf numFmtId="0" fontId="31" fillId="0" borderId="17" xfId="0" applyNumberFormat="1" applyFont="1" applyFill="1" applyBorder="1" applyAlignment="1">
      <alignment horizontal="center" vertical="center"/>
    </xf>
    <xf numFmtId="176" fontId="31" fillId="0" borderId="17" xfId="0" applyNumberFormat="1" applyFont="1" applyFill="1" applyBorder="1" applyAlignment="1">
      <alignment horizontal="center" vertical="center" wrapText="1"/>
    </xf>
    <xf numFmtId="176" fontId="31" fillId="0" borderId="17" xfId="0" applyNumberFormat="1" applyFont="1" applyFill="1" applyBorder="1" applyAlignment="1">
      <alignment horizontal="center" vertical="center"/>
    </xf>
    <xf numFmtId="14" fontId="31" fillId="0" borderId="17" xfId="0" applyNumberFormat="1" applyFont="1" applyFill="1" applyBorder="1" applyAlignment="1">
      <alignment horizontal="center" vertical="center"/>
    </xf>
    <xf numFmtId="14" fontId="0" fillId="26" borderId="17" xfId="0" applyNumberFormat="1" applyFill="1" applyBorder="1" applyAlignment="1">
      <alignment vertical="center"/>
    </xf>
    <xf numFmtId="0" fontId="0" fillId="0" borderId="17" xfId="0" applyNumberFormat="1" applyFont="1" applyFill="1" applyBorder="1" applyAlignment="1">
      <alignment vertical="center" wrapText="1"/>
    </xf>
    <xf numFmtId="176" fontId="0" fillId="0" borderId="0" xfId="0" applyNumberFormat="1" applyFont="1" applyFill="1" applyBorder="1" applyAlignment="1">
      <alignment horizontal="right" vertical="center"/>
    </xf>
    <xf numFmtId="0" fontId="0" fillId="0" borderId="20" xfId="0" applyNumberFormat="1" applyFont="1" applyFill="1" applyBorder="1" applyAlignment="1">
      <alignment horizontal="center" vertical="center"/>
    </xf>
    <xf numFmtId="176" fontId="0" fillId="0" borderId="20" xfId="0" applyNumberFormat="1" applyFont="1" applyFill="1" applyBorder="1" applyAlignment="1">
      <alignment horizontal="right" vertical="center"/>
    </xf>
    <xf numFmtId="0" fontId="0" fillId="0" borderId="20" xfId="0" applyNumberFormat="1" applyFont="1" applyFill="1" applyBorder="1" applyAlignment="1">
      <alignment vertical="center"/>
    </xf>
    <xf numFmtId="14" fontId="0" fillId="0" borderId="20" xfId="0" applyNumberFormat="1" applyFont="1" applyFill="1" applyBorder="1" applyAlignment="1">
      <alignment horizontal="center" vertical="center"/>
    </xf>
    <xf numFmtId="49" fontId="0" fillId="0" borderId="20" xfId="0" applyNumberFormat="1" applyFont="1" applyFill="1" applyBorder="1" applyAlignment="1">
      <alignment vertical="center"/>
    </xf>
    <xf numFmtId="49" fontId="0" fillId="0" borderId="17" xfId="0" applyNumberFormat="1" applyFont="1" applyFill="1" applyBorder="1" applyAlignment="1">
      <alignment vertical="center" wrapText="1"/>
    </xf>
    <xf numFmtId="31" fontId="0" fillId="0" borderId="17" xfId="0" applyNumberFormat="1" applyFont="1" applyFill="1" applyBorder="1" applyAlignment="1">
      <alignment vertical="center" wrapText="1"/>
    </xf>
    <xf numFmtId="179" fontId="0" fillId="0" borderId="17" xfId="0" applyNumberFormat="1" applyFont="1" applyFill="1" applyBorder="1" applyAlignment="1">
      <alignment vertical="center"/>
    </xf>
    <xf numFmtId="0" fontId="30" fillId="0" borderId="0" xfId="0" applyNumberFormat="1" applyFont="1" applyFill="1" applyAlignment="1">
      <alignment vertical="center"/>
    </xf>
    <xf numFmtId="0" fontId="30" fillId="0" borderId="0" xfId="0" applyNumberFormat="1" applyFont="1" applyAlignment="1">
      <alignment vertical="center"/>
    </xf>
    <xf numFmtId="176" fontId="31" fillId="0" borderId="17" xfId="0" applyNumberFormat="1" applyFont="1" applyFill="1" applyBorder="1" applyAlignment="1">
      <alignment vertical="center"/>
    </xf>
    <xf numFmtId="49" fontId="0" fillId="0" borderId="17" xfId="0" applyNumberFormat="1" applyFill="1" applyBorder="1" applyAlignment="1">
      <alignment horizontal="center" vertical="center"/>
    </xf>
    <xf numFmtId="0" fontId="0" fillId="26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left" vertical="center"/>
    </xf>
    <xf numFmtId="176" fontId="0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0" fontId="30" fillId="26" borderId="0" xfId="0" applyNumberFormat="1" applyFont="1" applyFill="1" applyBorder="1" applyAlignment="1">
      <alignment horizontal="left" vertical="center"/>
    </xf>
    <xf numFmtId="176" fontId="30" fillId="0" borderId="0" xfId="0" applyNumberFormat="1" applyFont="1" applyFill="1" applyBorder="1" applyAlignment="1">
      <alignment horizontal="center" vertical="center"/>
    </xf>
    <xf numFmtId="176" fontId="30" fillId="0" borderId="0" xfId="0" applyNumberFormat="1" applyFont="1" applyFill="1" applyBorder="1" applyAlignment="1">
      <alignment horizontal="right" vertical="center"/>
    </xf>
    <xf numFmtId="0" fontId="30" fillId="0" borderId="0" xfId="0" applyNumberFormat="1" applyFont="1" applyFill="1" applyBorder="1" applyAlignment="1">
      <alignment horizontal="center" vertical="center"/>
    </xf>
    <xf numFmtId="176" fontId="30" fillId="0" borderId="0" xfId="0" applyNumberFormat="1" applyFont="1" applyFill="1" applyAlignment="1">
      <alignment vertical="center"/>
    </xf>
    <xf numFmtId="0" fontId="30" fillId="0" borderId="0" xfId="0" applyNumberFormat="1" applyFont="1" applyFill="1" applyAlignment="1">
      <alignment horizontal="center" vertical="center"/>
    </xf>
    <xf numFmtId="176" fontId="30" fillId="0" borderId="0" xfId="0" applyNumberFormat="1" applyFont="1" applyFill="1" applyAlignment="1">
      <alignment horizontal="right" vertical="center"/>
    </xf>
    <xf numFmtId="176" fontId="30" fillId="0" borderId="0" xfId="0" applyNumberFormat="1" applyFont="1" applyAlignment="1">
      <alignment horizontal="right" vertical="center"/>
    </xf>
    <xf numFmtId="0" fontId="30" fillId="0" borderId="0" xfId="0" applyNumberFormat="1" applyFont="1" applyAlignment="1">
      <alignment horizontal="center" vertical="center"/>
    </xf>
    <xf numFmtId="177" fontId="0" fillId="0" borderId="21" xfId="0" applyNumberFormat="1" applyFill="1" applyBorder="1" applyAlignment="1">
      <alignment horizontal="right" vertical="center"/>
    </xf>
    <xf numFmtId="177" fontId="0" fillId="0" borderId="22" xfId="0" applyNumberFormat="1" applyFill="1" applyBorder="1" applyAlignment="1">
      <alignment horizontal="right" vertical="center"/>
    </xf>
    <xf numFmtId="177" fontId="0" fillId="0" borderId="24" xfId="0" applyNumberFormat="1" applyFill="1" applyBorder="1" applyAlignment="1">
      <alignment horizontal="right" vertical="center"/>
    </xf>
    <xf numFmtId="177" fontId="0" fillId="0" borderId="25" xfId="0" applyNumberFormat="1" applyFill="1" applyBorder="1" applyAlignment="1">
      <alignment horizontal="right" vertical="center"/>
    </xf>
    <xf numFmtId="178" fontId="0" fillId="0" borderId="26" xfId="0" applyNumberFormat="1" applyFill="1" applyBorder="1" applyAlignment="1">
      <alignment horizontal="right" vertical="center"/>
    </xf>
    <xf numFmtId="177" fontId="0" fillId="0" borderId="19" xfId="0" applyNumberFormat="1" applyFill="1" applyBorder="1" applyAlignment="1">
      <alignment horizontal="right" vertical="center"/>
    </xf>
    <xf numFmtId="177" fontId="0" fillId="0" borderId="29" xfId="0" applyNumberFormat="1" applyFill="1" applyBorder="1" applyAlignment="1">
      <alignment horizontal="right" vertical="center"/>
    </xf>
    <xf numFmtId="178" fontId="0" fillId="0" borderId="30" xfId="0" applyNumberFormat="1" applyFill="1" applyBorder="1" applyAlignment="1">
      <alignment horizontal="right" vertical="center"/>
    </xf>
    <xf numFmtId="177" fontId="23" fillId="0" borderId="32" xfId="0" applyNumberFormat="1" applyFont="1" applyFill="1" applyBorder="1" applyAlignment="1">
      <alignment horizontal="right" vertical="center"/>
    </xf>
    <xf numFmtId="177" fontId="0" fillId="0" borderId="33" xfId="0" applyNumberFormat="1" applyFill="1" applyBorder="1" applyAlignment="1">
      <alignment horizontal="right" vertical="center"/>
    </xf>
    <xf numFmtId="178" fontId="21" fillId="0" borderId="34" xfId="0" applyNumberFormat="1" applyFont="1" applyFill="1" applyBorder="1" applyAlignment="1">
      <alignment horizontal="right" vertical="center"/>
    </xf>
    <xf numFmtId="177" fontId="23" fillId="0" borderId="35" xfId="0" applyNumberFormat="1" applyFont="1" applyFill="1" applyBorder="1" applyAlignment="1">
      <alignment horizontal="right" vertical="center"/>
    </xf>
    <xf numFmtId="0" fontId="0" fillId="0" borderId="0" xfId="0"/>
    <xf numFmtId="176" fontId="0" fillId="0" borderId="17" xfId="0" applyNumberFormat="1" applyFill="1" applyBorder="1" applyAlignment="1">
      <alignment horizontal="center" vertical="center"/>
    </xf>
    <xf numFmtId="0" fontId="0" fillId="0" borderId="17" xfId="0" applyNumberFormat="1" applyFill="1" applyBorder="1" applyAlignment="1">
      <alignment vertical="center" wrapText="1"/>
    </xf>
    <xf numFmtId="0" fontId="0" fillId="0" borderId="0" xfId="0" applyAlignment="1">
      <alignment vertical="center"/>
    </xf>
    <xf numFmtId="0" fontId="22" fillId="27" borderId="36" xfId="0" applyNumberFormat="1" applyFont="1" applyFill="1" applyBorder="1" applyAlignment="1">
      <alignment horizontal="center" vertical="center" wrapText="1"/>
    </xf>
    <xf numFmtId="0" fontId="25" fillId="27" borderId="37" xfId="0" applyNumberFormat="1" applyFont="1" applyFill="1" applyBorder="1" applyAlignment="1">
      <alignment horizontal="center" vertical="center" wrapText="1"/>
    </xf>
    <xf numFmtId="0" fontId="25" fillId="27" borderId="38" xfId="0" applyNumberFormat="1" applyFont="1" applyFill="1" applyBorder="1" applyAlignment="1">
      <alignment horizontal="center" vertical="center" wrapText="1"/>
    </xf>
    <xf numFmtId="0" fontId="25" fillId="27" borderId="39" xfId="0" applyNumberFormat="1" applyFont="1" applyFill="1" applyBorder="1" applyAlignment="1">
      <alignment horizontal="center" vertical="center" wrapText="1"/>
    </xf>
    <xf numFmtId="0" fontId="25" fillId="27" borderId="40" xfId="0" applyNumberFormat="1" applyFont="1" applyFill="1" applyBorder="1" applyAlignment="1">
      <alignment horizontal="center" vertical="center" wrapText="1"/>
    </xf>
    <xf numFmtId="0" fontId="26" fillId="27" borderId="41" xfId="0" applyNumberFormat="1" applyFont="1" applyFill="1" applyBorder="1" applyAlignment="1">
      <alignment horizontal="center" vertical="center" wrapText="1"/>
    </xf>
    <xf numFmtId="0" fontId="25" fillId="27" borderId="42" xfId="0" applyNumberFormat="1" applyFont="1" applyFill="1" applyBorder="1" applyAlignment="1">
      <alignment horizontal="center" vertical="center" wrapText="1"/>
    </xf>
    <xf numFmtId="0" fontId="25" fillId="27" borderId="43" xfId="0" applyNumberFormat="1" applyFont="1" applyFill="1" applyBorder="1" applyAlignment="1">
      <alignment horizontal="center" vertical="center" wrapText="1"/>
    </xf>
    <xf numFmtId="176" fontId="25" fillId="27" borderId="40" xfId="0" applyNumberFormat="1" applyFont="1" applyFill="1" applyBorder="1" applyAlignment="1">
      <alignment horizontal="center" vertical="center" wrapText="1"/>
    </xf>
    <xf numFmtId="176" fontId="25" fillId="27" borderId="42" xfId="0" applyNumberFormat="1" applyFont="1" applyFill="1" applyBorder="1" applyAlignment="1">
      <alignment horizontal="center" vertical="center" wrapText="1"/>
    </xf>
    <xf numFmtId="176" fontId="27" fillId="27" borderId="43" xfId="0" applyNumberFormat="1" applyFont="1" applyFill="1" applyBorder="1" applyAlignment="1">
      <alignment horizontal="center" vertical="center" wrapText="1"/>
    </xf>
    <xf numFmtId="176" fontId="27" fillId="27" borderId="41" xfId="0" applyNumberFormat="1" applyFont="1" applyFill="1" applyBorder="1" applyAlignment="1">
      <alignment horizontal="center" vertical="center" wrapText="1"/>
    </xf>
    <xf numFmtId="176" fontId="27" fillId="27" borderId="4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20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right" vertical="center"/>
    </xf>
    <xf numFmtId="0" fontId="18" fillId="0" borderId="0" xfId="0" applyNumberFormat="1" applyFont="1" applyAlignment="1">
      <alignment horizontal="right" vertical="center"/>
    </xf>
    <xf numFmtId="0" fontId="19" fillId="0" borderId="0" xfId="0" applyNumberFormat="1" applyFon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NumberFormat="1" applyBorder="1" applyAlignment="1">
      <alignment horizontal="right" vertical="center"/>
    </xf>
    <xf numFmtId="0" fontId="21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Border="1" applyAlignment="1">
      <alignment horizontal="right" vertical="center"/>
    </xf>
    <xf numFmtId="49" fontId="0" fillId="26" borderId="17" xfId="0" applyNumberFormat="1" applyFill="1" applyBorder="1" applyAlignment="1">
      <alignment vertical="center"/>
    </xf>
    <xf numFmtId="49" fontId="0" fillId="26" borderId="17" xfId="0" applyNumberFormat="1" applyFill="1" applyBorder="1" applyAlignment="1">
      <alignment horizontal="center" vertical="center"/>
    </xf>
    <xf numFmtId="0" fontId="0" fillId="26" borderId="17" xfId="0" applyNumberFormat="1" applyFill="1" applyBorder="1" applyAlignment="1">
      <alignment horizontal="left" vertical="center"/>
    </xf>
    <xf numFmtId="0" fontId="32" fillId="0" borderId="0" xfId="0" applyNumberFormat="1" applyFont="1" applyFill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18" xfId="0" applyNumberFormat="1" applyFill="1" applyBorder="1" applyAlignment="1">
      <alignment vertical="center"/>
    </xf>
    <xf numFmtId="0" fontId="0" fillId="0" borderId="17" xfId="0" applyNumberFormat="1" applyFill="1" applyBorder="1" applyAlignment="1" applyProtection="1">
      <alignment horizontal="center" vertical="center"/>
    </xf>
    <xf numFmtId="0" fontId="0" fillId="28" borderId="17" xfId="0" applyNumberFormat="1" applyFont="1" applyFill="1" applyBorder="1" applyAlignment="1">
      <alignment horizontal="center" vertical="center"/>
    </xf>
    <xf numFmtId="0" fontId="0" fillId="28" borderId="17" xfId="0" applyNumberFormat="1" applyFont="1" applyFill="1" applyBorder="1" applyAlignment="1">
      <alignment horizontal="left" vertical="center"/>
    </xf>
    <xf numFmtId="176" fontId="0" fillId="28" borderId="17" xfId="0" applyNumberFormat="1" applyFont="1" applyFill="1" applyBorder="1" applyAlignment="1">
      <alignment horizontal="right" vertical="center"/>
    </xf>
    <xf numFmtId="176" fontId="0" fillId="28" borderId="17" xfId="0" applyNumberFormat="1" applyFont="1" applyFill="1" applyBorder="1" applyAlignment="1">
      <alignment horizontal="center" vertical="center"/>
    </xf>
    <xf numFmtId="14" fontId="0" fillId="28" borderId="17" xfId="0" applyNumberFormat="1" applyFont="1" applyFill="1" applyBorder="1" applyAlignment="1">
      <alignment horizontal="center" vertical="center"/>
    </xf>
    <xf numFmtId="0" fontId="0" fillId="0" borderId="47" xfId="0" applyNumberFormat="1" applyFont="1" applyFill="1" applyBorder="1" applyAlignment="1">
      <alignment horizontal="center" vertical="center"/>
    </xf>
    <xf numFmtId="0" fontId="0" fillId="0" borderId="47" xfId="0" applyNumberFormat="1" applyFont="1" applyFill="1" applyBorder="1" applyAlignment="1">
      <alignment vertical="center"/>
    </xf>
    <xf numFmtId="176" fontId="0" fillId="0" borderId="47" xfId="0" applyNumberFormat="1" applyFont="1" applyFill="1" applyBorder="1" applyAlignment="1">
      <alignment horizontal="right" vertical="center"/>
    </xf>
    <xf numFmtId="176" fontId="0" fillId="0" borderId="47" xfId="0" applyNumberFormat="1" applyFont="1" applyFill="1" applyBorder="1" applyAlignment="1">
      <alignment vertical="center"/>
    </xf>
    <xf numFmtId="176" fontId="0" fillId="0" borderId="47" xfId="0" applyNumberFormat="1" applyFont="1" applyFill="1" applyBorder="1" applyAlignment="1">
      <alignment horizontal="center" vertical="center"/>
    </xf>
    <xf numFmtId="49" fontId="0" fillId="0" borderId="47" xfId="0" applyNumberFormat="1" applyFont="1" applyFill="1" applyBorder="1" applyAlignment="1">
      <alignment horizontal="center" vertical="center"/>
    </xf>
    <xf numFmtId="14" fontId="0" fillId="0" borderId="47" xfId="0" applyNumberFormat="1" applyFont="1" applyFill="1" applyBorder="1" applyAlignment="1">
      <alignment horizontal="center" vertical="center"/>
    </xf>
    <xf numFmtId="0" fontId="32" fillId="0" borderId="0" xfId="0" applyNumberFormat="1" applyFont="1" applyFill="1" applyBorder="1" applyAlignment="1">
      <alignment vertical="center"/>
    </xf>
    <xf numFmtId="49" fontId="0" fillId="0" borderId="47" xfId="0" applyNumberFormat="1" applyFont="1" applyFill="1" applyBorder="1" applyAlignment="1">
      <alignment vertical="center"/>
    </xf>
    <xf numFmtId="0" fontId="0" fillId="0" borderId="18" xfId="0" applyNumberForma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28" borderId="17" xfId="0" applyNumberFormat="1" applyFont="1" applyFill="1" applyBorder="1" applyAlignment="1">
      <alignment vertical="center"/>
    </xf>
    <xf numFmtId="179" fontId="0" fillId="0" borderId="17" xfId="0" applyNumberFormat="1" applyFont="1" applyFill="1" applyBorder="1" applyAlignment="1">
      <alignment horizontal="right" vertical="center"/>
    </xf>
    <xf numFmtId="176" fontId="0" fillId="28" borderId="17" xfId="0" applyNumberFormat="1" applyFont="1" applyFill="1" applyBorder="1" applyAlignment="1">
      <alignment vertical="center"/>
    </xf>
    <xf numFmtId="49" fontId="0" fillId="28" borderId="17" xfId="0" applyNumberFormat="1" applyFont="1" applyFill="1" applyBorder="1" applyAlignment="1">
      <alignment vertical="center"/>
    </xf>
    <xf numFmtId="49" fontId="0" fillId="28" borderId="17" xfId="0" applyNumberFormat="1" applyFont="1" applyFill="1" applyBorder="1" applyAlignment="1">
      <alignment horizontal="center" vertical="center"/>
    </xf>
    <xf numFmtId="49" fontId="0" fillId="0" borderId="18" xfId="0" applyNumberFormat="1" applyFill="1" applyBorder="1" applyAlignment="1">
      <alignment horizontal="center" vertical="center"/>
    </xf>
    <xf numFmtId="0" fontId="0" fillId="0" borderId="20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49" fontId="0" fillId="0" borderId="20" xfId="0" applyNumberFormat="1" applyFill="1" applyBorder="1" applyAlignment="1">
      <alignment horizontal="center" vertical="center"/>
    </xf>
    <xf numFmtId="0" fontId="0" fillId="0" borderId="18" xfId="0" applyNumberFormat="1" applyFont="1" applyFill="1" applyBorder="1" applyAlignment="1">
      <alignment horizontal="left" vertical="center"/>
    </xf>
    <xf numFmtId="0" fontId="29" fillId="0" borderId="0" xfId="0" applyFont="1" applyBorder="1" applyAlignment="1">
      <alignment vertical="center"/>
    </xf>
    <xf numFmtId="0" fontId="31" fillId="0" borderId="17" xfId="0" applyNumberFormat="1" applyFont="1" applyFill="1" applyBorder="1" applyAlignment="1">
      <alignment horizontal="left" vertical="center"/>
    </xf>
    <xf numFmtId="176" fontId="31" fillId="0" borderId="17" xfId="0" applyNumberFormat="1" applyFont="1" applyFill="1" applyBorder="1" applyAlignment="1">
      <alignment horizontal="right" vertical="center" wrapText="1"/>
    </xf>
    <xf numFmtId="0" fontId="0" fillId="0" borderId="17" xfId="0" applyBorder="1" applyAlignment="1">
      <alignment horizontal="center" vertical="center"/>
    </xf>
    <xf numFmtId="176" fontId="0" fillId="28" borderId="17" xfId="0" applyNumberFormat="1" applyFill="1" applyBorder="1" applyAlignment="1">
      <alignment horizontal="center" vertical="center"/>
    </xf>
    <xf numFmtId="49" fontId="0" fillId="28" borderId="17" xfId="0" applyNumberFormat="1" applyFont="1" applyFill="1" applyBorder="1" applyAlignment="1">
      <alignment horizontal="left" vertical="center"/>
    </xf>
    <xf numFmtId="49" fontId="0" fillId="0" borderId="47" xfId="0" applyNumberFormat="1" applyFill="1" applyBorder="1" applyAlignment="1">
      <alignment horizontal="center" vertical="center"/>
    </xf>
    <xf numFmtId="49" fontId="37" fillId="0" borderId="17" xfId="0" applyNumberFormat="1" applyFont="1" applyFill="1" applyBorder="1" applyAlignment="1">
      <alignment vertical="center"/>
    </xf>
    <xf numFmtId="17" fontId="0" fillId="0" borderId="17" xfId="0" applyNumberFormat="1" applyFill="1" applyBorder="1" applyAlignment="1">
      <alignment horizontal="center" vertical="center"/>
    </xf>
    <xf numFmtId="0" fontId="24" fillId="0" borderId="17" xfId="0" applyNumberFormat="1" applyFont="1" applyFill="1" applyBorder="1" applyAlignment="1">
      <alignment horizontal="center" vertical="center"/>
    </xf>
    <xf numFmtId="14" fontId="0" fillId="0" borderId="17" xfId="0" applyNumberFormat="1" applyFill="1" applyBorder="1" applyAlignment="1">
      <alignment horizontal="center" vertical="center"/>
    </xf>
    <xf numFmtId="49" fontId="0" fillId="0" borderId="17" xfId="0" applyNumberFormat="1" applyFill="1" applyBorder="1" applyAlignment="1">
      <alignment vertical="center" wrapText="1"/>
    </xf>
    <xf numFmtId="176" fontId="0" fillId="0" borderId="17" xfId="0" applyNumberFormat="1" applyFill="1" applyBorder="1" applyAlignment="1">
      <alignment vertical="center"/>
    </xf>
    <xf numFmtId="0" fontId="0" fillId="0" borderId="0" xfId="0" applyFont="1"/>
    <xf numFmtId="49" fontId="0" fillId="28" borderId="17" xfId="0" applyNumberFormat="1" applyFill="1" applyBorder="1" applyAlignment="1">
      <alignment vertical="center"/>
    </xf>
    <xf numFmtId="0" fontId="37" fillId="0" borderId="17" xfId="0" applyNumberFormat="1" applyFont="1" applyFill="1" applyBorder="1" applyAlignment="1">
      <alignment vertical="center"/>
    </xf>
    <xf numFmtId="14" fontId="0" fillId="0" borderId="17" xfId="0" applyNumberFormat="1" applyFill="1" applyBorder="1" applyAlignment="1">
      <alignment horizontal="left" vertical="center"/>
    </xf>
    <xf numFmtId="0" fontId="38" fillId="0" borderId="17" xfId="0" applyNumberFormat="1" applyFont="1" applyFill="1" applyBorder="1" applyAlignment="1">
      <alignment vertical="center"/>
    </xf>
    <xf numFmtId="0" fontId="0" fillId="0" borderId="17" xfId="0" applyFill="1" applyBorder="1" applyAlignment="1">
      <alignment horizontal="center" vertical="center"/>
    </xf>
    <xf numFmtId="49" fontId="0" fillId="0" borderId="20" xfId="0" applyNumberFormat="1" applyFont="1" applyFill="1" applyBorder="1" applyAlignment="1">
      <alignment horizontal="center" vertical="center"/>
    </xf>
    <xf numFmtId="0" fontId="0" fillId="0" borderId="17" xfId="0" applyFill="1" applyBorder="1" applyAlignment="1">
      <alignment vertical="center"/>
    </xf>
    <xf numFmtId="0" fontId="0" fillId="0" borderId="17" xfId="0" applyNumberFormat="1" applyFont="1" applyFill="1" applyBorder="1" applyAlignment="1">
      <alignment horizontal="center" vertical="center" wrapText="1"/>
    </xf>
    <xf numFmtId="0" fontId="38" fillId="0" borderId="17" xfId="0" applyNumberFormat="1" applyFont="1" applyFill="1" applyBorder="1" applyAlignment="1">
      <alignment horizontal="center" vertical="center"/>
    </xf>
    <xf numFmtId="49" fontId="0" fillId="29" borderId="17" xfId="0" applyNumberFormat="1" applyFont="1" applyFill="1" applyBorder="1" applyAlignment="1">
      <alignment vertical="center"/>
    </xf>
    <xf numFmtId="49" fontId="0" fillId="28" borderId="17" xfId="0" applyNumberFormat="1" applyFill="1" applyBorder="1" applyAlignment="1">
      <alignment horizontal="center" vertical="center"/>
    </xf>
    <xf numFmtId="0" fontId="0" fillId="28" borderId="17" xfId="0" applyNumberFormat="1" applyFill="1" applyBorder="1" applyAlignment="1">
      <alignment horizontal="center" vertical="center"/>
    </xf>
    <xf numFmtId="0" fontId="0" fillId="28" borderId="17" xfId="0" applyNumberFormat="1" applyFill="1" applyBorder="1" applyAlignment="1">
      <alignment horizontal="left" vertical="center"/>
    </xf>
    <xf numFmtId="176" fontId="27" fillId="27" borderId="44" xfId="0" applyNumberFormat="1" applyFont="1" applyFill="1" applyBorder="1" applyAlignment="1">
      <alignment horizontal="center" vertical="center" wrapText="1"/>
    </xf>
    <xf numFmtId="0" fontId="0" fillId="28" borderId="17" xfId="0" applyNumberFormat="1" applyFill="1" applyBorder="1" applyAlignment="1">
      <alignment vertical="center"/>
    </xf>
    <xf numFmtId="0" fontId="39" fillId="28" borderId="17" xfId="0" applyNumberFormat="1" applyFont="1" applyFill="1" applyBorder="1" applyAlignment="1">
      <alignment vertical="center"/>
    </xf>
    <xf numFmtId="176" fontId="0" fillId="28" borderId="17" xfId="0" applyNumberFormat="1" applyFill="1" applyBorder="1" applyAlignment="1">
      <alignment horizontal="center" vertical="center" wrapText="1"/>
    </xf>
    <xf numFmtId="176" fontId="0" fillId="28" borderId="18" xfId="0" applyNumberFormat="1" applyFont="1" applyFill="1" applyBorder="1" applyAlignment="1">
      <alignment horizontal="right" vertical="center"/>
    </xf>
    <xf numFmtId="49" fontId="39" fillId="28" borderId="17" xfId="0" applyNumberFormat="1" applyFont="1" applyFill="1" applyBorder="1" applyAlignment="1">
      <alignment vertical="center"/>
    </xf>
    <xf numFmtId="49" fontId="24" fillId="28" borderId="17" xfId="0" applyNumberFormat="1" applyFont="1" applyFill="1" applyBorder="1" applyAlignment="1">
      <alignment vertical="center"/>
    </xf>
    <xf numFmtId="0" fontId="30" fillId="0" borderId="0" xfId="0" applyNumberFormat="1" applyFont="1" applyBorder="1" applyAlignment="1">
      <alignment vertical="center"/>
    </xf>
    <xf numFmtId="0" fontId="31" fillId="28" borderId="17" xfId="0" applyNumberFormat="1" applyFont="1" applyFill="1" applyBorder="1" applyAlignment="1">
      <alignment horizontal="center" vertical="center"/>
    </xf>
    <xf numFmtId="0" fontId="22" fillId="25" borderId="67" xfId="0" applyNumberFormat="1" applyFont="1" applyFill="1" applyBorder="1" applyAlignment="1">
      <alignment horizontal="center" vertical="center"/>
    </xf>
    <xf numFmtId="0" fontId="31" fillId="0" borderId="18" xfId="0" applyNumberFormat="1" applyFont="1" applyFill="1" applyBorder="1" applyAlignment="1">
      <alignment horizontal="center" vertical="center"/>
    </xf>
    <xf numFmtId="0" fontId="0" fillId="0" borderId="18" xfId="0" applyNumberFormat="1" applyFont="1" applyFill="1" applyBorder="1" applyAlignment="1">
      <alignment vertical="center" wrapText="1"/>
    </xf>
    <xf numFmtId="176" fontId="22" fillId="25" borderId="67" xfId="0" applyNumberFormat="1" applyFont="1" applyFill="1" applyBorder="1" applyAlignment="1">
      <alignment horizontal="center" vertical="center"/>
    </xf>
    <xf numFmtId="176" fontId="22" fillId="25" borderId="67" xfId="0" applyNumberFormat="1" applyFont="1" applyFill="1" applyBorder="1" applyAlignment="1">
      <alignment horizontal="center" vertical="center" wrapText="1"/>
    </xf>
    <xf numFmtId="177" fontId="0" fillId="0" borderId="52" xfId="0" applyNumberFormat="1" applyFont="1" applyFill="1" applyBorder="1" applyAlignment="1">
      <alignment horizontal="right" vertical="center"/>
    </xf>
    <xf numFmtId="176" fontId="0" fillId="0" borderId="17" xfId="0" applyNumberFormat="1" applyFill="1" applyBorder="1" applyAlignment="1">
      <alignment horizontal="right" vertical="center"/>
    </xf>
    <xf numFmtId="176" fontId="31" fillId="0" borderId="18" xfId="0" applyNumberFormat="1" applyFont="1" applyFill="1" applyBorder="1" applyAlignment="1">
      <alignment horizontal="right" vertical="center" wrapText="1"/>
    </xf>
    <xf numFmtId="31" fontId="0" fillId="0" borderId="18" xfId="0" applyNumberFormat="1" applyFont="1" applyFill="1" applyBorder="1" applyAlignment="1">
      <alignment vertical="center" wrapText="1"/>
    </xf>
    <xf numFmtId="0" fontId="21" fillId="0" borderId="0" xfId="0" applyNumberFormat="1" applyFont="1" applyFill="1" applyBorder="1" applyAlignment="1">
      <alignment vertical="center"/>
    </xf>
    <xf numFmtId="0" fontId="0" fillId="0" borderId="17" xfId="0" applyNumberFormat="1" applyFont="1" applyFill="1" applyBorder="1" applyAlignment="1" applyProtection="1">
      <alignment vertical="center"/>
    </xf>
    <xf numFmtId="0" fontId="0" fillId="0" borderId="17" xfId="0" applyFont="1" applyFill="1" applyBorder="1" applyAlignment="1">
      <alignment vertical="center"/>
    </xf>
    <xf numFmtId="49" fontId="0" fillId="0" borderId="18" xfId="0" applyNumberFormat="1" applyFont="1" applyFill="1" applyBorder="1" applyAlignment="1">
      <alignment vertical="center" wrapText="1"/>
    </xf>
    <xf numFmtId="177" fontId="0" fillId="0" borderId="53" xfId="0" applyNumberFormat="1" applyFont="1" applyFill="1" applyBorder="1" applyAlignment="1">
      <alignment horizontal="right" vertical="center"/>
    </xf>
    <xf numFmtId="177" fontId="0" fillId="0" borderId="31" xfId="0" applyNumberFormat="1" applyFont="1" applyFill="1" applyBorder="1" applyAlignment="1">
      <alignment horizontal="right" vertical="center"/>
    </xf>
    <xf numFmtId="177" fontId="40" fillId="0" borderId="56" xfId="0" applyNumberFormat="1" applyFont="1" applyFill="1" applyBorder="1" applyAlignment="1">
      <alignment horizontal="right" vertical="center"/>
    </xf>
    <xf numFmtId="176" fontId="0" fillId="0" borderId="21" xfId="0" applyNumberFormat="1" applyFont="1" applyFill="1" applyBorder="1" applyAlignment="1">
      <alignment horizontal="right" vertical="center"/>
    </xf>
    <xf numFmtId="176" fontId="0" fillId="0" borderId="23" xfId="0" applyNumberFormat="1" applyFont="1" applyFill="1" applyBorder="1" applyAlignment="1">
      <alignment horizontal="right" vertical="center"/>
    </xf>
    <xf numFmtId="0" fontId="0" fillId="0" borderId="48" xfId="0" applyNumberFormat="1" applyFont="1" applyBorder="1" applyAlignment="1">
      <alignment horizontal="right" vertical="center"/>
    </xf>
    <xf numFmtId="176" fontId="0" fillId="0" borderId="24" xfId="0" applyNumberFormat="1" applyFont="1" applyFill="1" applyBorder="1" applyAlignment="1">
      <alignment horizontal="right" vertical="center"/>
    </xf>
    <xf numFmtId="176" fontId="0" fillId="0" borderId="26" xfId="0" applyNumberFormat="1" applyFont="1" applyFill="1" applyBorder="1" applyAlignment="1">
      <alignment horizontal="right" vertical="center"/>
    </xf>
    <xf numFmtId="0" fontId="0" fillId="0" borderId="51" xfId="0" applyNumberFormat="1" applyFont="1" applyBorder="1" applyAlignment="1">
      <alignment horizontal="right" vertical="center"/>
    </xf>
    <xf numFmtId="176" fontId="0" fillId="0" borderId="16" xfId="0" applyNumberFormat="1" applyFont="1" applyFill="1" applyBorder="1" applyAlignment="1">
      <alignment horizontal="right" vertical="center"/>
    </xf>
    <xf numFmtId="176" fontId="0" fillId="0" borderId="27" xfId="0" applyNumberFormat="1" applyFont="1" applyFill="1" applyBorder="1" applyAlignment="1">
      <alignment horizontal="right" vertical="center"/>
    </xf>
    <xf numFmtId="0" fontId="0" fillId="0" borderId="52" xfId="0" applyNumberFormat="1" applyFont="1" applyBorder="1" applyAlignment="1">
      <alignment horizontal="right" vertical="center"/>
    </xf>
    <xf numFmtId="176" fontId="0" fillId="0" borderId="60" xfId="0" applyNumberFormat="1" applyFont="1" applyFill="1" applyBorder="1" applyAlignment="1">
      <alignment horizontal="right" vertical="center"/>
    </xf>
    <xf numFmtId="176" fontId="0" fillId="0" borderId="28" xfId="0" applyNumberFormat="1" applyFont="1" applyFill="1" applyBorder="1" applyAlignment="1">
      <alignment horizontal="right" vertical="center"/>
    </xf>
    <xf numFmtId="0" fontId="0" fillId="0" borderId="53" xfId="0" applyNumberFormat="1" applyFont="1" applyBorder="1" applyAlignment="1">
      <alignment horizontal="right" vertical="center"/>
    </xf>
    <xf numFmtId="176" fontId="0" fillId="0" borderId="29" xfId="0" applyNumberFormat="1" applyFont="1" applyFill="1" applyBorder="1" applyAlignment="1">
      <alignment horizontal="right" vertical="center"/>
    </xf>
    <xf numFmtId="176" fontId="0" fillId="0" borderId="55" xfId="0" applyNumberFormat="1" applyFont="1" applyFill="1" applyBorder="1" applyAlignment="1">
      <alignment horizontal="right" vertical="center"/>
    </xf>
    <xf numFmtId="177" fontId="0" fillId="0" borderId="31" xfId="0" applyNumberFormat="1" applyFont="1" applyBorder="1" applyAlignment="1">
      <alignment horizontal="right" vertical="center"/>
    </xf>
    <xf numFmtId="176" fontId="40" fillId="0" borderId="62" xfId="0" applyNumberFormat="1" applyFont="1" applyFill="1" applyBorder="1" applyAlignment="1">
      <alignment horizontal="right" vertical="center"/>
    </xf>
    <xf numFmtId="176" fontId="40" fillId="0" borderId="58" xfId="0" applyNumberFormat="1" applyFont="1" applyFill="1" applyBorder="1" applyAlignment="1">
      <alignment horizontal="right" vertical="center"/>
    </xf>
    <xf numFmtId="177" fontId="40" fillId="0" borderId="56" xfId="0" applyNumberFormat="1" applyFont="1" applyBorder="1" applyAlignment="1">
      <alignment horizontal="right" vertical="center"/>
    </xf>
    <xf numFmtId="0" fontId="0" fillId="28" borderId="17" xfId="0" applyFont="1" applyFill="1" applyBorder="1" applyAlignment="1">
      <alignment horizontal="center" vertical="center"/>
    </xf>
    <xf numFmtId="176" fontId="0" fillId="0" borderId="20" xfId="0" applyNumberFormat="1" applyFill="1" applyBorder="1" applyAlignment="1">
      <alignment horizontal="center" vertical="center"/>
    </xf>
    <xf numFmtId="176" fontId="0" fillId="0" borderId="18" xfId="0" applyNumberFormat="1" applyFont="1" applyFill="1" applyBorder="1" applyAlignment="1">
      <alignment horizontal="center" vertical="center"/>
    </xf>
    <xf numFmtId="0" fontId="24" fillId="0" borderId="17" xfId="0" applyNumberFormat="1" applyFont="1" applyFill="1" applyBorder="1" applyAlignment="1">
      <alignment vertical="center"/>
    </xf>
    <xf numFmtId="0" fontId="24" fillId="0" borderId="17" xfId="0" applyNumberFormat="1" applyFont="1" applyFill="1" applyBorder="1" applyAlignment="1">
      <alignment horizontal="left" vertical="center"/>
    </xf>
    <xf numFmtId="49" fontId="24" fillId="0" borderId="17" xfId="0" applyNumberFormat="1" applyFont="1" applyFill="1" applyBorder="1" applyAlignment="1">
      <alignment vertical="center"/>
    </xf>
    <xf numFmtId="49" fontId="24" fillId="0" borderId="17" xfId="0" applyNumberFormat="1" applyFont="1" applyFill="1" applyBorder="1" applyAlignment="1">
      <alignment horizontal="left" vertical="center"/>
    </xf>
    <xf numFmtId="0" fontId="24" fillId="0" borderId="17" xfId="0" applyNumberFormat="1" applyFont="1" applyFill="1" applyBorder="1" applyAlignment="1">
      <alignment horizontal="left" vertical="center" wrapText="1"/>
    </xf>
    <xf numFmtId="49" fontId="0" fillId="0" borderId="18" xfId="0" applyNumberFormat="1" applyFont="1" applyFill="1" applyBorder="1" applyAlignment="1">
      <alignment horizontal="left" vertical="center"/>
    </xf>
    <xf numFmtId="49" fontId="0" fillId="0" borderId="17" xfId="0" applyNumberFormat="1" applyFont="1" applyFill="1" applyBorder="1" applyAlignment="1">
      <alignment horizontal="left" vertical="center"/>
    </xf>
    <xf numFmtId="176" fontId="0" fillId="0" borderId="18" xfId="0" applyNumberFormat="1" applyFill="1" applyBorder="1" applyAlignment="1">
      <alignment horizontal="center" vertical="center"/>
    </xf>
    <xf numFmtId="49" fontId="0" fillId="0" borderId="17" xfId="0" applyNumberFormat="1" applyFill="1" applyBorder="1" applyAlignment="1">
      <alignment horizontal="left" vertical="center"/>
    </xf>
    <xf numFmtId="179" fontId="0" fillId="0" borderId="17" xfId="0" applyNumberFormat="1" applyFont="1" applyFill="1" applyBorder="1" applyAlignment="1">
      <alignment horizontal="center" vertical="center"/>
    </xf>
    <xf numFmtId="0" fontId="0" fillId="0" borderId="18" xfId="0" applyNumberFormat="1" applyFill="1" applyBorder="1" applyAlignment="1">
      <alignment horizontal="left" vertical="center"/>
    </xf>
    <xf numFmtId="0" fontId="38" fillId="0" borderId="17" xfId="0" applyNumberFormat="1" applyFont="1" applyFill="1" applyBorder="1" applyAlignment="1">
      <alignment horizontal="left" vertical="center"/>
    </xf>
    <xf numFmtId="49" fontId="0" fillId="0" borderId="18" xfId="0" applyNumberFormat="1" applyFill="1" applyBorder="1" applyAlignment="1">
      <alignment vertical="center"/>
    </xf>
    <xf numFmtId="49" fontId="0" fillId="0" borderId="18" xfId="0" applyNumberFormat="1" applyFill="1" applyBorder="1" applyAlignment="1">
      <alignment horizontal="left" vertical="center"/>
    </xf>
    <xf numFmtId="177" fontId="0" fillId="0" borderId="48" xfId="0" applyNumberFormat="1" applyFont="1" applyFill="1" applyBorder="1" applyAlignment="1">
      <alignment horizontal="right" vertical="center"/>
    </xf>
    <xf numFmtId="177" fontId="0" fillId="0" borderId="51" xfId="0" applyNumberFormat="1" applyFont="1" applyFill="1" applyBorder="1" applyAlignment="1">
      <alignment horizontal="right" vertical="center"/>
    </xf>
    <xf numFmtId="0" fontId="29" fillId="0" borderId="0" xfId="0" applyFont="1" applyFill="1" applyBorder="1" applyAlignment="1">
      <alignment vertical="center"/>
    </xf>
    <xf numFmtId="0" fontId="0" fillId="0" borderId="0" xfId="0" applyFill="1"/>
    <xf numFmtId="177" fontId="0" fillId="0" borderId="60" xfId="0" applyNumberFormat="1" applyFill="1" applyBorder="1" applyAlignment="1">
      <alignment horizontal="right" vertical="center"/>
    </xf>
    <xf numFmtId="178" fontId="21" fillId="0" borderId="58" xfId="0" applyNumberFormat="1" applyFont="1" applyFill="1" applyBorder="1" applyAlignment="1">
      <alignment horizontal="right" vertical="center"/>
    </xf>
    <xf numFmtId="178" fontId="0" fillId="0" borderId="50" xfId="0" applyNumberFormat="1" applyFill="1" applyBorder="1" applyAlignment="1">
      <alignment horizontal="right" vertical="center"/>
    </xf>
    <xf numFmtId="178" fontId="0" fillId="0" borderId="45" xfId="0" applyNumberFormat="1" applyFill="1" applyBorder="1" applyAlignment="1">
      <alignment horizontal="right" vertical="center"/>
    </xf>
    <xf numFmtId="178" fontId="0" fillId="0" borderId="27" xfId="0" applyNumberFormat="1" applyFill="1" applyBorder="1" applyAlignment="1">
      <alignment horizontal="right" vertical="center"/>
    </xf>
    <xf numFmtId="178" fontId="0" fillId="0" borderId="46" xfId="0" applyNumberFormat="1" applyFill="1" applyBorder="1" applyAlignment="1">
      <alignment horizontal="right" vertical="center"/>
    </xf>
    <xf numFmtId="178" fontId="0" fillId="0" borderId="55" xfId="0" applyNumberFormat="1" applyFill="1" applyBorder="1" applyAlignment="1">
      <alignment horizontal="right" vertical="center"/>
    </xf>
    <xf numFmtId="0" fontId="30" fillId="0" borderId="0" xfId="0" applyNumberFormat="1" applyFont="1" applyAlignment="1">
      <alignment horizontal="right" vertical="center"/>
    </xf>
    <xf numFmtId="0" fontId="41" fillId="0" borderId="0" xfId="0" applyNumberFormat="1" applyFont="1" applyAlignment="1">
      <alignment vertical="center"/>
    </xf>
    <xf numFmtId="0" fontId="41" fillId="0" borderId="0" xfId="0" applyNumberFormat="1" applyFont="1" applyAlignment="1">
      <alignment horizontal="right" vertical="center"/>
    </xf>
    <xf numFmtId="176" fontId="41" fillId="0" borderId="0" xfId="0" applyNumberFormat="1" applyFont="1" applyAlignment="1">
      <alignment horizontal="right" vertical="center"/>
    </xf>
    <xf numFmtId="177" fontId="0" fillId="0" borderId="17" xfId="0" applyNumberFormat="1" applyFont="1" applyFill="1" applyBorder="1" applyAlignment="1">
      <alignment horizontal="right" vertical="center"/>
    </xf>
    <xf numFmtId="177" fontId="0" fillId="0" borderId="20" xfId="0" applyNumberFormat="1" applyFont="1" applyFill="1" applyBorder="1" applyAlignment="1">
      <alignment horizontal="right" vertical="center"/>
    </xf>
    <xf numFmtId="177" fontId="0" fillId="0" borderId="54" xfId="0" applyNumberFormat="1" applyFont="1" applyFill="1" applyBorder="1" applyAlignment="1">
      <alignment horizontal="right" vertical="center"/>
    </xf>
    <xf numFmtId="177" fontId="40" fillId="0" borderId="57" xfId="0" applyNumberFormat="1" applyFont="1" applyFill="1" applyBorder="1" applyAlignment="1">
      <alignment horizontal="right" vertical="center"/>
    </xf>
    <xf numFmtId="177" fontId="0" fillId="0" borderId="49" xfId="0" applyNumberFormat="1" applyFont="1" applyFill="1" applyBorder="1" applyAlignment="1">
      <alignment horizontal="right" vertical="center"/>
    </xf>
    <xf numFmtId="177" fontId="0" fillId="0" borderId="18" xfId="0" applyNumberFormat="1" applyFont="1" applyFill="1" applyBorder="1" applyAlignment="1">
      <alignment horizontal="right" vertical="center"/>
    </xf>
    <xf numFmtId="177" fontId="0" fillId="0" borderId="27" xfId="0" applyNumberFormat="1" applyFont="1" applyFill="1" applyBorder="1" applyAlignment="1">
      <alignment horizontal="right" vertical="center"/>
    </xf>
    <xf numFmtId="177" fontId="0" fillId="0" borderId="46" xfId="0" applyNumberFormat="1" applyFont="1" applyFill="1" applyBorder="1" applyAlignment="1">
      <alignment horizontal="right" vertical="center"/>
    </xf>
    <xf numFmtId="177" fontId="0" fillId="0" borderId="55" xfId="0" applyNumberFormat="1" applyFont="1" applyFill="1" applyBorder="1" applyAlignment="1">
      <alignment horizontal="right" vertical="center"/>
    </xf>
    <xf numFmtId="177" fontId="40" fillId="0" borderId="58" xfId="0" applyNumberFormat="1" applyFont="1" applyFill="1" applyBorder="1" applyAlignment="1">
      <alignment horizontal="right" vertical="center"/>
    </xf>
    <xf numFmtId="177" fontId="0" fillId="0" borderId="50" xfId="0" applyNumberFormat="1" applyFont="1" applyFill="1" applyBorder="1" applyAlignment="1">
      <alignment horizontal="right" vertical="center"/>
    </xf>
    <xf numFmtId="177" fontId="0" fillId="0" borderId="45" xfId="0" applyNumberFormat="1" applyFont="1" applyFill="1" applyBorder="1" applyAlignment="1">
      <alignment horizontal="right" vertical="center"/>
    </xf>
    <xf numFmtId="0" fontId="0" fillId="0" borderId="49" xfId="0" applyNumberFormat="1" applyFont="1" applyBorder="1" applyAlignment="1">
      <alignment horizontal="right" vertical="center"/>
    </xf>
    <xf numFmtId="0" fontId="0" fillId="0" borderId="18" xfId="0" applyNumberFormat="1" applyFont="1" applyBorder="1" applyAlignment="1">
      <alignment horizontal="right" vertical="center"/>
    </xf>
    <xf numFmtId="0" fontId="0" fillId="0" borderId="17" xfId="0" applyNumberFormat="1" applyFont="1" applyBorder="1" applyAlignment="1">
      <alignment horizontal="right" vertical="center"/>
    </xf>
    <xf numFmtId="0" fontId="0" fillId="0" borderId="20" xfId="0" applyNumberFormat="1" applyFont="1" applyBorder="1" applyAlignment="1">
      <alignment horizontal="right" vertical="center"/>
    </xf>
    <xf numFmtId="177" fontId="0" fillId="0" borderId="54" xfId="0" applyNumberFormat="1" applyFont="1" applyBorder="1" applyAlignment="1">
      <alignment horizontal="right" vertical="center"/>
    </xf>
    <xf numFmtId="177" fontId="40" fillId="0" borderId="57" xfId="0" applyNumberFormat="1" applyFont="1" applyBorder="1" applyAlignment="1">
      <alignment horizontal="right" vertical="center"/>
    </xf>
    <xf numFmtId="0" fontId="0" fillId="0" borderId="49" xfId="0" applyNumberFormat="1" applyFont="1" applyBorder="1" applyAlignment="1">
      <alignment horizontal="right" vertical="center"/>
    </xf>
    <xf numFmtId="176" fontId="0" fillId="0" borderId="64" xfId="0" applyNumberFormat="1" applyFont="1" applyBorder="1" applyAlignment="1">
      <alignment horizontal="right" vertical="center"/>
    </xf>
    <xf numFmtId="0" fontId="0" fillId="0" borderId="50" xfId="0" applyNumberFormat="1" applyFont="1" applyBorder="1" applyAlignment="1">
      <alignment horizontal="right" vertical="center"/>
    </xf>
    <xf numFmtId="0" fontId="0" fillId="0" borderId="18" xfId="0" applyNumberFormat="1" applyFont="1" applyBorder="1" applyAlignment="1">
      <alignment horizontal="right" vertical="center"/>
    </xf>
    <xf numFmtId="0" fontId="0" fillId="0" borderId="65" xfId="0" applyNumberFormat="1" applyFont="1" applyBorder="1" applyAlignment="1">
      <alignment horizontal="right" vertical="center"/>
    </xf>
    <xf numFmtId="0" fontId="0" fillId="0" borderId="45" xfId="0" applyNumberFormat="1" applyFont="1" applyBorder="1" applyAlignment="1">
      <alignment horizontal="right" vertical="center"/>
    </xf>
    <xf numFmtId="0" fontId="0" fillId="0" borderId="17" xfId="0" applyNumberFormat="1" applyFont="1" applyBorder="1" applyAlignment="1">
      <alignment horizontal="right" vertical="center"/>
    </xf>
    <xf numFmtId="0" fontId="0" fillId="0" borderId="59" xfId="0" applyNumberFormat="1" applyFont="1" applyBorder="1" applyAlignment="1">
      <alignment horizontal="right" vertical="center"/>
    </xf>
    <xf numFmtId="0" fontId="0" fillId="0" borderId="27" xfId="0" applyNumberFormat="1" applyFont="1" applyBorder="1" applyAlignment="1">
      <alignment horizontal="right" vertical="center"/>
    </xf>
    <xf numFmtId="0" fontId="0" fillId="0" borderId="20" xfId="0" applyNumberFormat="1" applyFont="1" applyBorder="1" applyAlignment="1">
      <alignment horizontal="right" vertical="center"/>
    </xf>
    <xf numFmtId="0" fontId="0" fillId="0" borderId="66" xfId="0" applyNumberFormat="1" applyFont="1" applyBorder="1" applyAlignment="1">
      <alignment horizontal="right" vertical="center"/>
    </xf>
    <xf numFmtId="0" fontId="0" fillId="0" borderId="46" xfId="0" applyNumberFormat="1" applyFont="1" applyBorder="1" applyAlignment="1">
      <alignment horizontal="right" vertical="center"/>
    </xf>
    <xf numFmtId="177" fontId="0" fillId="0" borderId="54" xfId="0" applyNumberFormat="1" applyFont="1" applyBorder="1" applyAlignment="1">
      <alignment horizontal="right" vertical="center"/>
    </xf>
    <xf numFmtId="177" fontId="0" fillId="0" borderId="61" xfId="0" applyNumberFormat="1" applyFont="1" applyBorder="1" applyAlignment="1">
      <alignment horizontal="right" vertical="center"/>
    </xf>
    <xf numFmtId="177" fontId="0" fillId="0" borderId="55" xfId="0" applyNumberFormat="1" applyFont="1" applyBorder="1" applyAlignment="1">
      <alignment horizontal="right" vertical="center"/>
    </xf>
    <xf numFmtId="177" fontId="40" fillId="0" borderId="57" xfId="0" applyNumberFormat="1" applyFont="1" applyBorder="1" applyAlignment="1">
      <alignment horizontal="right" vertical="center"/>
    </xf>
    <xf numFmtId="177" fontId="40" fillId="0" borderId="63" xfId="0" applyNumberFormat="1" applyFont="1" applyBorder="1" applyAlignment="1">
      <alignment horizontal="right" vertical="center"/>
    </xf>
    <xf numFmtId="177" fontId="40" fillId="0" borderId="58" xfId="0" applyNumberFormat="1" applyFont="1" applyBorder="1" applyAlignment="1">
      <alignment horizontal="right" vertical="center"/>
    </xf>
    <xf numFmtId="0" fontId="42" fillId="0" borderId="0" xfId="43">
      <alignment vertical="center"/>
    </xf>
    <xf numFmtId="0" fontId="42" fillId="0" borderId="0" xfId="43" applyAlignment="1">
      <alignment horizontal="left" vertical="center"/>
    </xf>
    <xf numFmtId="3" fontId="42" fillId="0" borderId="68" xfId="43" applyNumberFormat="1" applyBorder="1" applyAlignment="1">
      <alignment horizontal="left"/>
    </xf>
    <xf numFmtId="3" fontId="42" fillId="0" borderId="67" xfId="43" applyNumberFormat="1" applyBorder="1" applyAlignment="1">
      <alignment horizontal="right"/>
    </xf>
    <xf numFmtId="0" fontId="42" fillId="30" borderId="69" xfId="43" applyFill="1" applyBorder="1" applyAlignment="1"/>
    <xf numFmtId="3" fontId="42" fillId="0" borderId="70" xfId="43" applyNumberFormat="1" applyBorder="1" applyAlignment="1">
      <alignment horizontal="left"/>
    </xf>
    <xf numFmtId="3" fontId="42" fillId="0" borderId="17" xfId="43" applyNumberFormat="1" applyBorder="1" applyAlignment="1">
      <alignment horizontal="right"/>
    </xf>
    <xf numFmtId="0" fontId="42" fillId="30" borderId="71" xfId="43" applyFill="1" applyBorder="1" applyAlignment="1"/>
    <xf numFmtId="0" fontId="44" fillId="0" borderId="0" xfId="43" applyFont="1">
      <alignment vertical="center"/>
    </xf>
    <xf numFmtId="3" fontId="44" fillId="0" borderId="72" xfId="43" applyNumberFormat="1" applyFont="1" applyBorder="1" applyAlignment="1">
      <alignment horizontal="left"/>
    </xf>
    <xf numFmtId="3" fontId="44" fillId="0" borderId="73" xfId="43" applyNumberFormat="1" applyFont="1" applyBorder="1" applyAlignment="1">
      <alignment horizontal="right"/>
    </xf>
    <xf numFmtId="0" fontId="44" fillId="30" borderId="74" xfId="43" applyFont="1" applyFill="1" applyBorder="1" applyAlignment="1"/>
    <xf numFmtId="3" fontId="42" fillId="29" borderId="67" xfId="43" applyNumberFormat="1" applyFill="1" applyBorder="1" applyAlignment="1">
      <alignment horizontal="right"/>
    </xf>
    <xf numFmtId="0" fontId="42" fillId="29" borderId="69" xfId="43" applyFill="1" applyBorder="1" applyAlignment="1"/>
    <xf numFmtId="3" fontId="42" fillId="29" borderId="17" xfId="43" applyNumberFormat="1" applyFill="1" applyBorder="1" applyAlignment="1">
      <alignment horizontal="right"/>
    </xf>
    <xf numFmtId="0" fontId="42" fillId="29" borderId="71" xfId="43" applyFill="1" applyBorder="1" applyAlignment="1"/>
    <xf numFmtId="3" fontId="42" fillId="0" borderId="17" xfId="43" applyNumberFormat="1" applyBorder="1">
      <alignment vertical="center"/>
    </xf>
    <xf numFmtId="3" fontId="42" fillId="0" borderId="75" xfId="43" applyNumberFormat="1" applyBorder="1">
      <alignment vertical="center"/>
    </xf>
    <xf numFmtId="49" fontId="42" fillId="0" borderId="70" xfId="43" applyNumberFormat="1" applyFill="1" applyBorder="1" applyAlignment="1">
      <alignment horizontal="left" vertical="center"/>
    </xf>
    <xf numFmtId="3" fontId="44" fillId="0" borderId="75" xfId="43" applyNumberFormat="1" applyFont="1" applyBorder="1" applyAlignment="1">
      <alignment horizontal="left"/>
    </xf>
    <xf numFmtId="3" fontId="44" fillId="0" borderId="75" xfId="43" applyNumberFormat="1" applyFont="1" applyBorder="1" applyAlignment="1">
      <alignment horizontal="right"/>
    </xf>
    <xf numFmtId="0" fontId="44" fillId="30" borderId="75" xfId="43" applyFont="1" applyFill="1" applyBorder="1" applyAlignment="1"/>
    <xf numFmtId="0" fontId="42" fillId="27" borderId="76" xfId="43" applyFill="1" applyBorder="1" applyAlignment="1">
      <alignment horizontal="left" vertical="center"/>
    </xf>
    <xf numFmtId="0" fontId="42" fillId="27" borderId="77" xfId="43" applyFill="1" applyBorder="1" applyAlignment="1">
      <alignment horizontal="center" vertical="center"/>
    </xf>
    <xf numFmtId="0" fontId="42" fillId="27" borderId="77" xfId="43" applyFill="1" applyBorder="1" applyAlignment="1"/>
    <xf numFmtId="0" fontId="42" fillId="27" borderId="78" xfId="43" applyFill="1" applyBorder="1" applyAlignment="1"/>
    <xf numFmtId="0" fontId="42" fillId="29" borderId="0" xfId="43" applyFill="1">
      <alignment vertical="center"/>
    </xf>
    <xf numFmtId="0" fontId="45" fillId="0" borderId="0" xfId="43" applyFont="1">
      <alignment vertical="center"/>
    </xf>
    <xf numFmtId="0" fontId="45" fillId="0" borderId="0" xfId="43" applyFont="1" applyAlignment="1">
      <alignment horizontal="left" vertical="center"/>
    </xf>
  </cellXfs>
  <cellStyles count="44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  <cellStyle name="표준 2" xfId="42"/>
    <cellStyle name="표준 3" xfId="4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sfx.co.kr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isfx.co.kr/" TargetMode="External"/><Relationship Id="rId4" Type="http://schemas.openxmlformats.org/officeDocument/2006/relationships/comments" Target="../comments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zoomScaleSheetLayoutView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14" sqref="M14"/>
    </sheetView>
  </sheetViews>
  <sheetFormatPr defaultRowHeight="18.75" customHeight="1"/>
  <cols>
    <col min="1" max="1" width="8.77734375" style="128" customWidth="1"/>
    <col min="2" max="10" width="8.77734375" style="130" customWidth="1"/>
    <col min="11" max="12" width="8.77734375" style="133" customWidth="1"/>
    <col min="13" max="18" width="8.88671875" style="130"/>
    <col min="19" max="19" width="31.21875" style="130" customWidth="1"/>
    <col min="20" max="16384" width="8.88671875" style="130"/>
  </cols>
  <sheetData>
    <row r="1" spans="1:17" ht="30" customHeight="1">
      <c r="E1" s="131"/>
      <c r="J1" s="132" t="s">
        <v>548</v>
      </c>
    </row>
    <row r="2" spans="1:17" ht="18.75" customHeight="1" thickBot="1">
      <c r="E2" s="7"/>
      <c r="F2" s="7"/>
      <c r="G2" s="7"/>
      <c r="H2" s="7"/>
      <c r="I2" s="134"/>
      <c r="J2" s="134"/>
      <c r="N2" s="269" t="s">
        <v>1493</v>
      </c>
    </row>
    <row r="3" spans="1:17" s="129" customFormat="1" ht="44.25" customHeight="1" thickTop="1" thickBot="1">
      <c r="A3" s="115" t="s">
        <v>209</v>
      </c>
      <c r="B3" s="116" t="s">
        <v>549</v>
      </c>
      <c r="C3" s="117" t="s">
        <v>550</v>
      </c>
      <c r="D3" s="118" t="s">
        <v>551</v>
      </c>
      <c r="E3" s="119" t="s">
        <v>552</v>
      </c>
      <c r="F3" s="120" t="s">
        <v>430</v>
      </c>
      <c r="G3" s="121" t="s">
        <v>431</v>
      </c>
      <c r="H3" s="122" t="s">
        <v>553</v>
      </c>
      <c r="I3" s="120" t="s">
        <v>323</v>
      </c>
      <c r="J3" s="121" t="s">
        <v>324</v>
      </c>
      <c r="K3" s="123" t="s">
        <v>423</v>
      </c>
      <c r="L3" s="124" t="s">
        <v>424</v>
      </c>
      <c r="M3" s="125" t="s">
        <v>546</v>
      </c>
      <c r="N3" s="126" t="s">
        <v>547</v>
      </c>
      <c r="O3" s="126" t="s">
        <v>409</v>
      </c>
      <c r="P3" s="198" t="s">
        <v>574</v>
      </c>
      <c r="Q3" s="127" t="s">
        <v>410</v>
      </c>
    </row>
    <row r="4" spans="1:17" ht="18" customHeight="1" thickTop="1" thickBot="1">
      <c r="A4" s="14" t="s">
        <v>211</v>
      </c>
      <c r="B4" s="258">
        <v>76</v>
      </c>
      <c r="C4" s="277">
        <v>469</v>
      </c>
      <c r="D4" s="283">
        <v>80334</v>
      </c>
      <c r="E4" s="99">
        <v>74</v>
      </c>
      <c r="F4" s="100">
        <f t="shared" ref="F4:F21" si="0">B4-E4</f>
        <v>2</v>
      </c>
      <c r="G4" s="264">
        <f>(B4-E4)/E4</f>
        <v>2.7027027027027029E-2</v>
      </c>
      <c r="H4" s="99">
        <v>475</v>
      </c>
      <c r="I4" s="100">
        <f>C4-H4</f>
        <v>-6</v>
      </c>
      <c r="J4" s="106">
        <f>(C4-H4)/H4</f>
        <v>-1.2631578947368421E-2</v>
      </c>
      <c r="K4" s="223">
        <v>2</v>
      </c>
      <c r="L4" s="224">
        <v>14</v>
      </c>
      <c r="M4" s="225">
        <f>서울!I78</f>
        <v>0</v>
      </c>
      <c r="N4" s="285">
        <v>469</v>
      </c>
      <c r="O4" s="291">
        <v>218</v>
      </c>
      <c r="P4" s="292">
        <v>3</v>
      </c>
      <c r="Q4" s="293">
        <v>13</v>
      </c>
    </row>
    <row r="5" spans="1:17" ht="18" customHeight="1" thickTop="1">
      <c r="A5" s="8" t="s">
        <v>205</v>
      </c>
      <c r="B5" s="259">
        <v>26</v>
      </c>
      <c r="C5" s="278">
        <v>193</v>
      </c>
      <c r="D5" s="284">
        <v>34596</v>
      </c>
      <c r="E5" s="101">
        <v>25</v>
      </c>
      <c r="F5" s="102">
        <f t="shared" si="0"/>
        <v>1</v>
      </c>
      <c r="G5" s="265">
        <f t="shared" ref="G5:G19" si="1">(B5-E5)/E5</f>
        <v>0.04</v>
      </c>
      <c r="H5" s="101">
        <v>183</v>
      </c>
      <c r="I5" s="102">
        <f>C5-H5</f>
        <v>10</v>
      </c>
      <c r="J5" s="103">
        <f t="shared" ref="J5:J19" si="2">(C5-H5)/H5</f>
        <v>5.4644808743169397E-2</v>
      </c>
      <c r="K5" s="226">
        <v>1</v>
      </c>
      <c r="L5" s="227">
        <v>7</v>
      </c>
      <c r="M5" s="228">
        <f>부산!I28</f>
        <v>0</v>
      </c>
      <c r="N5" s="286">
        <v>193</v>
      </c>
      <c r="O5" s="294">
        <v>78</v>
      </c>
      <c r="P5" s="295">
        <v>1</v>
      </c>
      <c r="Q5" s="296">
        <v>3</v>
      </c>
    </row>
    <row r="6" spans="1:17" ht="18" customHeight="1">
      <c r="A6" s="9" t="s">
        <v>212</v>
      </c>
      <c r="B6" s="212">
        <v>20</v>
      </c>
      <c r="C6" s="273">
        <v>132</v>
      </c>
      <c r="D6" s="279">
        <v>21187</v>
      </c>
      <c r="E6" s="20">
        <v>19</v>
      </c>
      <c r="F6" s="21">
        <f t="shared" si="0"/>
        <v>1</v>
      </c>
      <c r="G6" s="266">
        <f t="shared" si="1"/>
        <v>5.2631578947368418E-2</v>
      </c>
      <c r="H6" s="20">
        <v>131</v>
      </c>
      <c r="I6" s="21">
        <f>C6-H6</f>
        <v>1</v>
      </c>
      <c r="J6" s="266">
        <f t="shared" si="2"/>
        <v>7.6335877862595417E-3</v>
      </c>
      <c r="K6" s="229">
        <v>0</v>
      </c>
      <c r="L6" s="230">
        <v>6</v>
      </c>
      <c r="M6" s="231">
        <f>대구!I22</f>
        <v>0</v>
      </c>
      <c r="N6" s="287">
        <v>132</v>
      </c>
      <c r="O6" s="297">
        <v>58</v>
      </c>
      <c r="P6" s="298">
        <v>1</v>
      </c>
      <c r="Q6" s="299">
        <v>1</v>
      </c>
    </row>
    <row r="7" spans="1:17" ht="18" customHeight="1">
      <c r="A7" s="9" t="s">
        <v>213</v>
      </c>
      <c r="B7" s="212">
        <v>19</v>
      </c>
      <c r="C7" s="273">
        <v>124</v>
      </c>
      <c r="D7" s="279">
        <v>19814</v>
      </c>
      <c r="E7" s="20">
        <v>17</v>
      </c>
      <c r="F7" s="21">
        <f t="shared" si="0"/>
        <v>2</v>
      </c>
      <c r="G7" s="266">
        <f t="shared" si="1"/>
        <v>0.11764705882352941</v>
      </c>
      <c r="H7" s="20">
        <v>111</v>
      </c>
      <c r="I7" s="21">
        <f>C7-H7</f>
        <v>13</v>
      </c>
      <c r="J7" s="266">
        <f t="shared" si="2"/>
        <v>0.11711711711711711</v>
      </c>
      <c r="K7" s="229">
        <v>0</v>
      </c>
      <c r="L7" s="230">
        <v>0</v>
      </c>
      <c r="M7" s="231">
        <f>인천!I21</f>
        <v>0</v>
      </c>
      <c r="N7" s="287">
        <v>124</v>
      </c>
      <c r="O7" s="297">
        <v>42</v>
      </c>
      <c r="P7" s="298">
        <v>1</v>
      </c>
      <c r="Q7" s="299">
        <v>1</v>
      </c>
    </row>
    <row r="8" spans="1:17" ht="18" customHeight="1">
      <c r="A8" s="9" t="s">
        <v>214</v>
      </c>
      <c r="B8" s="212">
        <v>14</v>
      </c>
      <c r="C8" s="273">
        <v>107</v>
      </c>
      <c r="D8" s="279">
        <v>18145</v>
      </c>
      <c r="E8" s="20">
        <v>14</v>
      </c>
      <c r="F8" s="21">
        <f t="shared" si="0"/>
        <v>0</v>
      </c>
      <c r="G8" s="266">
        <f t="shared" si="1"/>
        <v>0</v>
      </c>
      <c r="H8" s="20">
        <v>107</v>
      </c>
      <c r="I8" s="21">
        <f t="shared" ref="I8:I19" si="3">C8-H8</f>
        <v>0</v>
      </c>
      <c r="J8" s="266">
        <f t="shared" si="2"/>
        <v>0</v>
      </c>
      <c r="K8" s="229">
        <v>0</v>
      </c>
      <c r="L8" s="230">
        <v>0</v>
      </c>
      <c r="M8" s="231">
        <f>광주!I16</f>
        <v>0</v>
      </c>
      <c r="N8" s="287">
        <v>107</v>
      </c>
      <c r="O8" s="297">
        <v>32</v>
      </c>
      <c r="P8" s="298">
        <v>1</v>
      </c>
      <c r="Q8" s="299">
        <v>2</v>
      </c>
    </row>
    <row r="9" spans="1:17" ht="18" customHeight="1">
      <c r="A9" s="9" t="s">
        <v>215</v>
      </c>
      <c r="B9" s="212">
        <v>9</v>
      </c>
      <c r="C9" s="273">
        <v>61</v>
      </c>
      <c r="D9" s="279">
        <v>10782</v>
      </c>
      <c r="E9" s="20">
        <v>9</v>
      </c>
      <c r="F9" s="21">
        <f t="shared" si="0"/>
        <v>0</v>
      </c>
      <c r="G9" s="266">
        <f t="shared" si="1"/>
        <v>0</v>
      </c>
      <c r="H9" s="20">
        <v>61</v>
      </c>
      <c r="I9" s="21">
        <f t="shared" si="3"/>
        <v>0</v>
      </c>
      <c r="J9" s="266">
        <f t="shared" si="2"/>
        <v>0</v>
      </c>
      <c r="K9" s="229">
        <v>1</v>
      </c>
      <c r="L9" s="230">
        <v>5</v>
      </c>
      <c r="M9" s="231">
        <f>대전!I11</f>
        <v>0</v>
      </c>
      <c r="N9" s="287">
        <v>61</v>
      </c>
      <c r="O9" s="297">
        <v>24</v>
      </c>
      <c r="P9" s="298">
        <v>1</v>
      </c>
      <c r="Q9" s="299">
        <v>1</v>
      </c>
    </row>
    <row r="10" spans="1:17" ht="18" customHeight="1">
      <c r="A10" s="9" t="s">
        <v>216</v>
      </c>
      <c r="B10" s="212">
        <v>5</v>
      </c>
      <c r="C10" s="273">
        <v>37</v>
      </c>
      <c r="D10" s="279">
        <v>6022</v>
      </c>
      <c r="E10" s="20">
        <v>5</v>
      </c>
      <c r="F10" s="21">
        <f t="shared" si="0"/>
        <v>0</v>
      </c>
      <c r="G10" s="266">
        <f t="shared" si="1"/>
        <v>0</v>
      </c>
      <c r="H10" s="20">
        <v>36</v>
      </c>
      <c r="I10" s="21">
        <f t="shared" si="3"/>
        <v>1</v>
      </c>
      <c r="J10" s="266">
        <f t="shared" si="2"/>
        <v>2.7777777777777776E-2</v>
      </c>
      <c r="K10" s="229">
        <v>0</v>
      </c>
      <c r="L10" s="230">
        <v>0</v>
      </c>
      <c r="M10" s="231">
        <f>울산!I7</f>
        <v>0</v>
      </c>
      <c r="N10" s="287">
        <v>37</v>
      </c>
      <c r="O10" s="297">
        <v>17</v>
      </c>
      <c r="P10" s="298">
        <v>1</v>
      </c>
      <c r="Q10" s="299">
        <v>2</v>
      </c>
    </row>
    <row r="11" spans="1:17" ht="18" customHeight="1">
      <c r="A11" s="9" t="s">
        <v>217</v>
      </c>
      <c r="B11" s="212">
        <v>81</v>
      </c>
      <c r="C11" s="273">
        <v>515</v>
      </c>
      <c r="D11" s="279">
        <v>80661</v>
      </c>
      <c r="E11" s="20">
        <v>73</v>
      </c>
      <c r="F11" s="21">
        <f t="shared" si="0"/>
        <v>8</v>
      </c>
      <c r="G11" s="266">
        <f t="shared" si="1"/>
        <v>0.1095890410958904</v>
      </c>
      <c r="H11" s="20">
        <v>486</v>
      </c>
      <c r="I11" s="21">
        <f t="shared" si="3"/>
        <v>29</v>
      </c>
      <c r="J11" s="266">
        <f t="shared" si="2"/>
        <v>5.9670781893004114E-2</v>
      </c>
      <c r="K11" s="229">
        <v>2</v>
      </c>
      <c r="L11" s="230">
        <v>15</v>
      </c>
      <c r="M11" s="231">
        <f>경기!I83</f>
        <v>0</v>
      </c>
      <c r="N11" s="287">
        <v>515</v>
      </c>
      <c r="O11" s="297">
        <v>192</v>
      </c>
      <c r="P11" s="298">
        <v>3</v>
      </c>
      <c r="Q11" s="299">
        <v>6</v>
      </c>
    </row>
    <row r="12" spans="1:17" ht="18" customHeight="1">
      <c r="A12" s="9" t="s">
        <v>218</v>
      </c>
      <c r="B12" s="212">
        <v>11</v>
      </c>
      <c r="C12" s="273">
        <v>65</v>
      </c>
      <c r="D12" s="279">
        <v>9866</v>
      </c>
      <c r="E12" s="20">
        <v>9</v>
      </c>
      <c r="F12" s="21">
        <f t="shared" si="0"/>
        <v>2</v>
      </c>
      <c r="G12" s="266">
        <f t="shared" si="1"/>
        <v>0.22222222222222221</v>
      </c>
      <c r="H12" s="20">
        <v>62</v>
      </c>
      <c r="I12" s="21">
        <f t="shared" si="3"/>
        <v>3</v>
      </c>
      <c r="J12" s="266">
        <f t="shared" si="2"/>
        <v>4.8387096774193547E-2</v>
      </c>
      <c r="K12" s="229">
        <v>0</v>
      </c>
      <c r="L12" s="230">
        <v>0</v>
      </c>
      <c r="M12" s="231">
        <f>강원!I13</f>
        <v>0</v>
      </c>
      <c r="N12" s="287">
        <v>65</v>
      </c>
      <c r="O12" s="297">
        <v>24</v>
      </c>
      <c r="P12" s="298">
        <v>1</v>
      </c>
      <c r="Q12" s="299">
        <v>0</v>
      </c>
    </row>
    <row r="13" spans="1:17" ht="18" customHeight="1">
      <c r="A13" s="9" t="s">
        <v>219</v>
      </c>
      <c r="B13" s="212">
        <v>10</v>
      </c>
      <c r="C13" s="273">
        <v>80</v>
      </c>
      <c r="D13" s="279">
        <v>14048</v>
      </c>
      <c r="E13" s="20">
        <v>9</v>
      </c>
      <c r="F13" s="21">
        <f t="shared" si="0"/>
        <v>1</v>
      </c>
      <c r="G13" s="266">
        <f t="shared" si="1"/>
        <v>0.1111111111111111</v>
      </c>
      <c r="H13" s="20">
        <v>72</v>
      </c>
      <c r="I13" s="21">
        <f t="shared" si="3"/>
        <v>8</v>
      </c>
      <c r="J13" s="266">
        <f t="shared" si="2"/>
        <v>0.1111111111111111</v>
      </c>
      <c r="K13" s="229">
        <v>0</v>
      </c>
      <c r="L13" s="230">
        <v>0</v>
      </c>
      <c r="M13" s="231">
        <f>충북!I12</f>
        <v>0</v>
      </c>
      <c r="N13" s="287">
        <v>80</v>
      </c>
      <c r="O13" s="297">
        <v>23</v>
      </c>
      <c r="P13" s="298">
        <v>0</v>
      </c>
      <c r="Q13" s="299">
        <v>1</v>
      </c>
    </row>
    <row r="14" spans="1:17" ht="18" customHeight="1">
      <c r="A14" s="10" t="s">
        <v>220</v>
      </c>
      <c r="B14" s="212">
        <v>13</v>
      </c>
      <c r="C14" s="273">
        <v>82</v>
      </c>
      <c r="D14" s="279">
        <v>11651</v>
      </c>
      <c r="E14" s="20">
        <v>13</v>
      </c>
      <c r="F14" s="21">
        <f t="shared" si="0"/>
        <v>0</v>
      </c>
      <c r="G14" s="266">
        <f t="shared" si="1"/>
        <v>0</v>
      </c>
      <c r="H14" s="20">
        <v>78</v>
      </c>
      <c r="I14" s="21">
        <f t="shared" si="3"/>
        <v>4</v>
      </c>
      <c r="J14" s="266">
        <f t="shared" si="2"/>
        <v>5.128205128205128E-2</v>
      </c>
      <c r="K14" s="229">
        <v>2</v>
      </c>
      <c r="L14" s="230">
        <v>9</v>
      </c>
      <c r="M14" s="231">
        <f>충남!I15</f>
        <v>0</v>
      </c>
      <c r="N14" s="287">
        <v>82</v>
      </c>
      <c r="O14" s="297">
        <v>39</v>
      </c>
      <c r="P14" s="298">
        <v>0</v>
      </c>
      <c r="Q14" s="299">
        <v>1</v>
      </c>
    </row>
    <row r="15" spans="1:17" ht="18" customHeight="1">
      <c r="A15" s="10" t="s">
        <v>221</v>
      </c>
      <c r="B15" s="212">
        <v>19</v>
      </c>
      <c r="C15" s="273">
        <v>93</v>
      </c>
      <c r="D15" s="279">
        <v>14429</v>
      </c>
      <c r="E15" s="20">
        <v>15</v>
      </c>
      <c r="F15" s="21">
        <f t="shared" si="0"/>
        <v>4</v>
      </c>
      <c r="G15" s="266">
        <f t="shared" si="1"/>
        <v>0.26666666666666666</v>
      </c>
      <c r="H15" s="20">
        <v>77</v>
      </c>
      <c r="I15" s="21">
        <f t="shared" si="3"/>
        <v>16</v>
      </c>
      <c r="J15" s="266">
        <f t="shared" si="2"/>
        <v>0.20779220779220781</v>
      </c>
      <c r="K15" s="229">
        <v>1</v>
      </c>
      <c r="L15" s="230">
        <v>4</v>
      </c>
      <c r="M15" s="231">
        <f>전북!I21</f>
        <v>0</v>
      </c>
      <c r="N15" s="287">
        <v>93</v>
      </c>
      <c r="O15" s="297">
        <v>33</v>
      </c>
      <c r="P15" s="298">
        <v>1</v>
      </c>
      <c r="Q15" s="299">
        <v>0</v>
      </c>
    </row>
    <row r="16" spans="1:17" ht="18" customHeight="1">
      <c r="A16" s="10" t="s">
        <v>222</v>
      </c>
      <c r="B16" s="212">
        <v>10</v>
      </c>
      <c r="C16" s="273">
        <v>63</v>
      </c>
      <c r="D16" s="279">
        <v>8977</v>
      </c>
      <c r="E16" s="20">
        <v>8</v>
      </c>
      <c r="F16" s="21">
        <f t="shared" si="0"/>
        <v>2</v>
      </c>
      <c r="G16" s="266">
        <f t="shared" si="1"/>
        <v>0.25</v>
      </c>
      <c r="H16" s="20">
        <v>52</v>
      </c>
      <c r="I16" s="21">
        <f t="shared" si="3"/>
        <v>11</v>
      </c>
      <c r="J16" s="265">
        <f t="shared" si="2"/>
        <v>0.21153846153846154</v>
      </c>
      <c r="K16" s="229">
        <v>0</v>
      </c>
      <c r="L16" s="230">
        <v>0</v>
      </c>
      <c r="M16" s="231">
        <f>전남!I12</f>
        <v>0</v>
      </c>
      <c r="N16" s="287">
        <v>63</v>
      </c>
      <c r="O16" s="297">
        <v>21</v>
      </c>
      <c r="P16" s="298">
        <v>0</v>
      </c>
      <c r="Q16" s="299">
        <v>0</v>
      </c>
    </row>
    <row r="17" spans="1:17" ht="18" customHeight="1">
      <c r="A17" s="10" t="s">
        <v>223</v>
      </c>
      <c r="B17" s="212">
        <v>16</v>
      </c>
      <c r="C17" s="273">
        <v>94</v>
      </c>
      <c r="D17" s="279">
        <v>15536</v>
      </c>
      <c r="E17" s="20">
        <v>16</v>
      </c>
      <c r="F17" s="21">
        <f t="shared" si="0"/>
        <v>0</v>
      </c>
      <c r="G17" s="266">
        <f t="shared" si="1"/>
        <v>0</v>
      </c>
      <c r="H17" s="20">
        <v>94</v>
      </c>
      <c r="I17" s="21">
        <f t="shared" si="3"/>
        <v>0</v>
      </c>
      <c r="J17" s="266">
        <f t="shared" si="2"/>
        <v>0</v>
      </c>
      <c r="K17" s="229">
        <v>0</v>
      </c>
      <c r="L17" s="230">
        <v>0</v>
      </c>
      <c r="M17" s="231">
        <f>경북!I18</f>
        <v>0</v>
      </c>
      <c r="N17" s="287">
        <v>94</v>
      </c>
      <c r="O17" s="297">
        <v>20</v>
      </c>
      <c r="P17" s="298">
        <v>0</v>
      </c>
      <c r="Q17" s="299">
        <v>0</v>
      </c>
    </row>
    <row r="18" spans="1:17" ht="18" customHeight="1">
      <c r="A18" s="9" t="s">
        <v>254</v>
      </c>
      <c r="B18" s="212">
        <v>21</v>
      </c>
      <c r="C18" s="273">
        <v>133</v>
      </c>
      <c r="D18" s="279">
        <v>21927</v>
      </c>
      <c r="E18" s="20">
        <v>21</v>
      </c>
      <c r="F18" s="21">
        <f t="shared" si="0"/>
        <v>0</v>
      </c>
      <c r="G18" s="266">
        <f t="shared" si="1"/>
        <v>0</v>
      </c>
      <c r="H18" s="20">
        <v>128</v>
      </c>
      <c r="I18" s="21">
        <f t="shared" si="3"/>
        <v>5</v>
      </c>
      <c r="J18" s="265">
        <f t="shared" si="2"/>
        <v>3.90625E-2</v>
      </c>
      <c r="K18" s="229">
        <v>1</v>
      </c>
      <c r="L18" s="230">
        <v>3</v>
      </c>
      <c r="M18" s="231">
        <f>경남!I23</f>
        <v>0</v>
      </c>
      <c r="N18" s="287">
        <v>133</v>
      </c>
      <c r="O18" s="297">
        <v>46</v>
      </c>
      <c r="P18" s="298">
        <v>1</v>
      </c>
      <c r="Q18" s="299">
        <v>1</v>
      </c>
    </row>
    <row r="19" spans="1:17" ht="18" customHeight="1" thickBot="1">
      <c r="A19" s="11" t="s">
        <v>224</v>
      </c>
      <c r="B19" s="220">
        <v>6</v>
      </c>
      <c r="C19" s="274">
        <v>33</v>
      </c>
      <c r="D19" s="280">
        <v>4386</v>
      </c>
      <c r="E19" s="20">
        <v>6</v>
      </c>
      <c r="F19" s="104">
        <f t="shared" si="0"/>
        <v>0</v>
      </c>
      <c r="G19" s="267">
        <f t="shared" si="1"/>
        <v>0</v>
      </c>
      <c r="H19" s="262">
        <v>31</v>
      </c>
      <c r="I19" s="104">
        <f t="shared" si="3"/>
        <v>2</v>
      </c>
      <c r="J19" s="106">
        <f t="shared" si="2"/>
        <v>6.4516129032258063E-2</v>
      </c>
      <c r="K19" s="232">
        <v>0</v>
      </c>
      <c r="L19" s="233">
        <v>3</v>
      </c>
      <c r="M19" s="234">
        <f>제주!I8</f>
        <v>0</v>
      </c>
      <c r="N19" s="288">
        <v>33</v>
      </c>
      <c r="O19" s="300">
        <v>9</v>
      </c>
      <c r="P19" s="301">
        <v>0</v>
      </c>
      <c r="Q19" s="302">
        <v>0</v>
      </c>
    </row>
    <row r="20" spans="1:17" ht="18" customHeight="1" thickTop="1" thickBot="1">
      <c r="A20" s="12" t="s">
        <v>208</v>
      </c>
      <c r="B20" s="221">
        <f>SUM(B5:B19)</f>
        <v>280</v>
      </c>
      <c r="C20" s="275">
        <v>1812</v>
      </c>
      <c r="D20" s="281">
        <v>292027</v>
      </c>
      <c r="E20" s="105">
        <f>SUM(E5:E19)</f>
        <v>259</v>
      </c>
      <c r="F20" s="100">
        <f t="shared" si="0"/>
        <v>21</v>
      </c>
      <c r="G20" s="268">
        <f>(B20-E20)/E20</f>
        <v>8.1081081081081086E-2</v>
      </c>
      <c r="H20" s="105">
        <f>SUM(H5:H19)</f>
        <v>1709</v>
      </c>
      <c r="I20" s="100">
        <f>C20-H20</f>
        <v>103</v>
      </c>
      <c r="J20" s="103">
        <f>(C20-H20)/H20</f>
        <v>6.0269163253364538E-2</v>
      </c>
      <c r="K20" s="235">
        <f>SUM(K5:K19)</f>
        <v>8</v>
      </c>
      <c r="L20" s="236">
        <f>SUM(L5:L19)</f>
        <v>52</v>
      </c>
      <c r="M20" s="237">
        <f>SUM(M5:M19)</f>
        <v>0</v>
      </c>
      <c r="N20" s="289">
        <v>1812</v>
      </c>
      <c r="O20" s="303">
        <v>658</v>
      </c>
      <c r="P20" s="304">
        <v>12</v>
      </c>
      <c r="Q20" s="305">
        <v>19</v>
      </c>
    </row>
    <row r="21" spans="1:17" s="135" customFormat="1" ht="18" customHeight="1" thickTop="1" thickBot="1">
      <c r="A21" s="13" t="s">
        <v>210</v>
      </c>
      <c r="B21" s="222">
        <f>B4+B20</f>
        <v>356</v>
      </c>
      <c r="C21" s="276">
        <v>2281</v>
      </c>
      <c r="D21" s="282">
        <v>372361</v>
      </c>
      <c r="E21" s="107">
        <f>SUM(E4:E19)</f>
        <v>333</v>
      </c>
      <c r="F21" s="108">
        <f t="shared" si="0"/>
        <v>23</v>
      </c>
      <c r="G21" s="263">
        <f>(B21-E21)/E21</f>
        <v>6.9069069069069067E-2</v>
      </c>
      <c r="H21" s="110">
        <f>H4+H20</f>
        <v>2184</v>
      </c>
      <c r="I21" s="108">
        <f>C21-H21</f>
        <v>97</v>
      </c>
      <c r="J21" s="109">
        <f>(C21-H21)/H21</f>
        <v>4.4413919413919416E-2</v>
      </c>
      <c r="K21" s="238">
        <f>SUM(K4:K19)</f>
        <v>10</v>
      </c>
      <c r="L21" s="239">
        <f>SUM(L4:L19)</f>
        <v>66</v>
      </c>
      <c r="M21" s="240">
        <f>M20+M4</f>
        <v>0</v>
      </c>
      <c r="N21" s="290">
        <v>2281</v>
      </c>
      <c r="O21" s="306">
        <v>876</v>
      </c>
      <c r="P21" s="307">
        <v>15</v>
      </c>
      <c r="Q21" s="308">
        <v>32</v>
      </c>
    </row>
    <row r="22" spans="1:17" ht="18.75" customHeight="1" thickTop="1">
      <c r="E22" s="136"/>
      <c r="F22" s="136"/>
      <c r="G22" s="136"/>
      <c r="H22" s="136"/>
      <c r="I22" s="136"/>
      <c r="J22" s="136"/>
      <c r="K22" s="136"/>
      <c r="L22" s="136"/>
    </row>
    <row r="23" spans="1:17" s="271" customFormat="1" ht="18.75" customHeight="1">
      <c r="A23" s="270" t="s">
        <v>1494</v>
      </c>
      <c r="K23" s="272"/>
      <c r="L23" s="272"/>
    </row>
    <row r="24" spans="1:17" ht="18.75" customHeight="1">
      <c r="A24" t="s">
        <v>1495</v>
      </c>
      <c r="H24" s="136"/>
      <c r="I24" s="3"/>
      <c r="J24" s="137"/>
    </row>
    <row r="25" spans="1:17" ht="18.75" customHeight="1">
      <c r="A25" t="s">
        <v>1496</v>
      </c>
      <c r="H25" s="136"/>
      <c r="I25" s="3"/>
      <c r="J25" s="137"/>
    </row>
    <row r="26" spans="1:17" ht="18.75" customHeight="1">
      <c r="A26" s="168" t="s">
        <v>1404</v>
      </c>
    </row>
    <row r="27" spans="1:17" ht="18.75" customHeight="1">
      <c r="A27" s="168" t="s">
        <v>1405</v>
      </c>
    </row>
    <row r="28" spans="1:17" ht="18.75" customHeight="1">
      <c r="F28" s="136"/>
    </row>
    <row r="29" spans="1:17" ht="18.75" customHeight="1">
      <c r="A29" t="s">
        <v>1497</v>
      </c>
      <c r="H29" s="136"/>
      <c r="I29" s="3"/>
      <c r="J29" s="137"/>
    </row>
    <row r="30" spans="1:17" ht="18.75" customHeight="1">
      <c r="A30" t="s">
        <v>1498</v>
      </c>
      <c r="H30" s="136"/>
      <c r="I30" s="3"/>
      <c r="J30" s="137"/>
    </row>
    <row r="31" spans="1:17" ht="18.75" customHeight="1">
      <c r="A31" t="s">
        <v>1499</v>
      </c>
      <c r="H31" s="136"/>
      <c r="I31" s="3"/>
      <c r="J31" s="137"/>
    </row>
    <row r="32" spans="1:17" ht="18.75" customHeight="1">
      <c r="A32" t="s">
        <v>1500</v>
      </c>
      <c r="H32" s="136"/>
      <c r="I32" s="3"/>
      <c r="J32" s="137"/>
    </row>
  </sheetData>
  <phoneticPr fontId="28" type="noConversion"/>
  <pageMargins left="0.19680555164813995" right="0.19680555164813995" top="0.69999998807907104" bottom="0.36000001430511475" header="0.5" footer="0.18999999761581421"/>
  <pageSetup paperSize="9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R83"/>
  <sheetViews>
    <sheetView zoomScaleNormal="100" zoomScaleSheetLayoutView="75" workbookViewId="0">
      <pane xSplit="4" ySplit="1" topLeftCell="E54" activePane="bottomRight" state="frozen"/>
      <selection pane="topRight" activeCell="E1" sqref="E1"/>
      <selection pane="bottomLeft" activeCell="A2" sqref="A2"/>
      <selection pane="bottomRight" activeCell="I67" sqref="I67"/>
    </sheetView>
  </sheetViews>
  <sheetFormatPr defaultRowHeight="24" customHeight="1"/>
  <cols>
    <col min="1" max="1" width="5.77734375" style="4" customWidth="1"/>
    <col min="2" max="2" width="8.88671875" style="1"/>
    <col min="3" max="3" width="8.77734375" style="1" customWidth="1"/>
    <col min="4" max="4" width="20.77734375" style="17" customWidth="1"/>
    <col min="5" max="5" width="12.6640625" style="17" customWidth="1"/>
    <col min="6" max="6" width="24.44140625" style="17" customWidth="1"/>
    <col min="7" max="7" width="10.77734375" style="1" customWidth="1"/>
    <col min="8" max="8" width="12.21875" style="18" customWidth="1"/>
    <col min="9" max="13" width="12.33203125" style="18" customWidth="1"/>
    <col min="14" max="14" width="15.77734375" style="40" customWidth="1"/>
    <col min="15" max="15" width="15" style="1" customWidth="1"/>
    <col min="16" max="16" width="15.77734375" style="1" customWidth="1"/>
    <col min="17" max="17" width="11.44140625" style="4" customWidth="1"/>
    <col min="18" max="18" width="15.77734375" style="4" customWidth="1"/>
    <col min="19" max="16384" width="8.88671875" style="4"/>
  </cols>
  <sheetData>
    <row r="1" spans="1:18" s="1" customFormat="1" ht="47.25" customHeight="1" thickBot="1">
      <c r="A1" s="45" t="s">
        <v>153</v>
      </c>
      <c r="B1" s="45" t="s">
        <v>206</v>
      </c>
      <c r="C1" s="45" t="s">
        <v>207</v>
      </c>
      <c r="D1" s="45" t="s">
        <v>162</v>
      </c>
      <c r="E1" s="45" t="s">
        <v>115</v>
      </c>
      <c r="F1" s="45" t="s">
        <v>257</v>
      </c>
      <c r="G1" s="52" t="s">
        <v>105</v>
      </c>
      <c r="H1" s="52" t="s">
        <v>270</v>
      </c>
      <c r="I1" s="52" t="s">
        <v>534</v>
      </c>
      <c r="J1" s="52" t="s">
        <v>535</v>
      </c>
      <c r="K1" s="52" t="s">
        <v>409</v>
      </c>
      <c r="L1" s="52" t="s">
        <v>554</v>
      </c>
      <c r="M1" s="52" t="s">
        <v>410</v>
      </c>
      <c r="N1" s="46" t="s">
        <v>392</v>
      </c>
      <c r="O1" s="45" t="s">
        <v>17</v>
      </c>
      <c r="P1" s="45" t="s">
        <v>154</v>
      </c>
      <c r="Q1" s="45" t="s">
        <v>267</v>
      </c>
      <c r="R1" s="45" t="s">
        <v>155</v>
      </c>
    </row>
    <row r="2" spans="1:18" s="16" customFormat="1" ht="21.75" hidden="1" customHeight="1" thickTop="1">
      <c r="A2" s="26">
        <v>1</v>
      </c>
      <c r="B2" s="27" t="s">
        <v>156</v>
      </c>
      <c r="C2" s="27" t="s">
        <v>157</v>
      </c>
      <c r="D2" s="28" t="s">
        <v>121</v>
      </c>
      <c r="E2" s="27" t="s">
        <v>144</v>
      </c>
      <c r="F2" s="28" t="s">
        <v>620</v>
      </c>
      <c r="G2" s="26">
        <v>6</v>
      </c>
      <c r="H2" s="31">
        <v>874</v>
      </c>
      <c r="I2" s="31">
        <f>G2-J2</f>
        <v>0</v>
      </c>
      <c r="J2" s="31">
        <v>6</v>
      </c>
      <c r="K2" s="31">
        <v>4</v>
      </c>
      <c r="L2" s="31">
        <v>0</v>
      </c>
      <c r="M2" s="31">
        <v>0</v>
      </c>
      <c r="N2" s="112" t="s">
        <v>621</v>
      </c>
      <c r="O2" s="169" t="s">
        <v>622</v>
      </c>
      <c r="P2" s="26" t="s">
        <v>127</v>
      </c>
      <c r="Q2" s="35">
        <v>39121</v>
      </c>
      <c r="R2" s="28"/>
    </row>
    <row r="3" spans="1:18" s="16" customFormat="1" ht="20.25" hidden="1" customHeight="1">
      <c r="A3" s="26">
        <v>2</v>
      </c>
      <c r="B3" s="27" t="s">
        <v>156</v>
      </c>
      <c r="C3" s="27" t="s">
        <v>157</v>
      </c>
      <c r="D3" s="28" t="s">
        <v>122</v>
      </c>
      <c r="E3" s="27" t="s">
        <v>144</v>
      </c>
      <c r="F3" s="28" t="s">
        <v>643</v>
      </c>
      <c r="G3" s="26">
        <v>8</v>
      </c>
      <c r="H3" s="31">
        <v>1170</v>
      </c>
      <c r="I3" s="31">
        <f>G3-J3</f>
        <v>0</v>
      </c>
      <c r="J3" s="31">
        <v>8</v>
      </c>
      <c r="K3" s="31">
        <v>5</v>
      </c>
      <c r="L3" s="31">
        <v>0</v>
      </c>
      <c r="M3" s="31">
        <v>0</v>
      </c>
      <c r="N3" s="112" t="s">
        <v>644</v>
      </c>
      <c r="O3" s="85" t="s">
        <v>622</v>
      </c>
      <c r="P3" s="26" t="s">
        <v>127</v>
      </c>
      <c r="Q3" s="35">
        <v>38779</v>
      </c>
      <c r="R3" s="28"/>
    </row>
    <row r="4" spans="1:18" s="22" customFormat="1" ht="21.75" hidden="1" customHeight="1">
      <c r="A4" s="26">
        <v>3</v>
      </c>
      <c r="B4" s="85" t="s">
        <v>623</v>
      </c>
      <c r="C4" s="85" t="s">
        <v>624</v>
      </c>
      <c r="D4" s="37" t="s">
        <v>636</v>
      </c>
      <c r="E4" s="85" t="s">
        <v>637</v>
      </c>
      <c r="F4" s="37" t="s">
        <v>638</v>
      </c>
      <c r="G4" s="26">
        <v>5</v>
      </c>
      <c r="H4" s="31">
        <v>806</v>
      </c>
      <c r="I4" s="31">
        <v>0</v>
      </c>
      <c r="J4" s="31">
        <v>5</v>
      </c>
      <c r="K4" s="31">
        <v>5</v>
      </c>
      <c r="L4" s="31">
        <v>0</v>
      </c>
      <c r="M4" s="31">
        <v>1</v>
      </c>
      <c r="N4" s="112" t="s">
        <v>639</v>
      </c>
      <c r="O4" s="85" t="s">
        <v>25</v>
      </c>
      <c r="P4" s="26" t="s">
        <v>127</v>
      </c>
      <c r="Q4" s="35">
        <v>40828</v>
      </c>
      <c r="R4" s="28"/>
    </row>
    <row r="5" spans="1:18" s="16" customFormat="1" ht="21.75" hidden="1" customHeight="1">
      <c r="A5" s="26">
        <v>4</v>
      </c>
      <c r="B5" s="67" t="s">
        <v>744</v>
      </c>
      <c r="C5" s="67" t="s">
        <v>624</v>
      </c>
      <c r="D5" s="172" t="s">
        <v>745</v>
      </c>
      <c r="E5" s="67" t="s">
        <v>652</v>
      </c>
      <c r="F5" s="172" t="s">
        <v>746</v>
      </c>
      <c r="G5" s="68">
        <v>4</v>
      </c>
      <c r="H5" s="32">
        <v>719</v>
      </c>
      <c r="I5" s="32">
        <f>G5-J5</f>
        <v>0</v>
      </c>
      <c r="J5" s="173">
        <v>4</v>
      </c>
      <c r="K5" s="173">
        <v>2</v>
      </c>
      <c r="L5" s="173">
        <v>0</v>
      </c>
      <c r="M5" s="173">
        <v>0</v>
      </c>
      <c r="N5" s="69" t="s">
        <v>654</v>
      </c>
      <c r="O5" s="67" t="s">
        <v>647</v>
      </c>
      <c r="P5" s="29" t="s">
        <v>27</v>
      </c>
      <c r="Q5" s="70">
        <v>40696</v>
      </c>
      <c r="R5" s="67"/>
    </row>
    <row r="6" spans="1:18" s="16" customFormat="1" ht="21.75" hidden="1" customHeight="1">
      <c r="A6" s="26">
        <v>5</v>
      </c>
      <c r="B6" s="26" t="s">
        <v>156</v>
      </c>
      <c r="C6" s="26" t="s">
        <v>157</v>
      </c>
      <c r="D6" s="30" t="s">
        <v>16</v>
      </c>
      <c r="E6" s="26" t="s">
        <v>144</v>
      </c>
      <c r="F6" s="30" t="s">
        <v>640</v>
      </c>
      <c r="G6" s="26">
        <v>16</v>
      </c>
      <c r="H6" s="32">
        <v>3541</v>
      </c>
      <c r="I6" s="32">
        <f>G6-J6</f>
        <v>0</v>
      </c>
      <c r="J6" s="32">
        <v>16</v>
      </c>
      <c r="K6" s="32">
        <v>3</v>
      </c>
      <c r="L6" s="32">
        <v>0</v>
      </c>
      <c r="M6" s="32">
        <v>0</v>
      </c>
      <c r="N6" s="112" t="s">
        <v>641</v>
      </c>
      <c r="O6" s="33" t="s">
        <v>642</v>
      </c>
      <c r="P6" s="29" t="s">
        <v>308</v>
      </c>
      <c r="Q6" s="35">
        <v>36659</v>
      </c>
      <c r="R6" s="29"/>
    </row>
    <row r="7" spans="1:18" s="16" customFormat="1" ht="21.75" hidden="1" customHeight="1">
      <c r="A7" s="26">
        <v>6</v>
      </c>
      <c r="B7" s="67" t="s">
        <v>744</v>
      </c>
      <c r="C7" s="67" t="s">
        <v>747</v>
      </c>
      <c r="D7" s="172" t="s">
        <v>748</v>
      </c>
      <c r="E7" s="67" t="s">
        <v>652</v>
      </c>
      <c r="F7" s="172" t="s">
        <v>749</v>
      </c>
      <c r="G7" s="68">
        <v>5</v>
      </c>
      <c r="H7" s="32">
        <v>500</v>
      </c>
      <c r="I7" s="32">
        <v>0</v>
      </c>
      <c r="J7" s="173">
        <v>5</v>
      </c>
      <c r="K7" s="173">
        <v>2</v>
      </c>
      <c r="L7" s="173">
        <v>0</v>
      </c>
      <c r="M7" s="173">
        <v>0</v>
      </c>
      <c r="N7" s="69" t="s">
        <v>750</v>
      </c>
      <c r="O7" s="33" t="s">
        <v>647</v>
      </c>
      <c r="P7" s="29" t="s">
        <v>27</v>
      </c>
      <c r="Q7" s="70">
        <v>41376</v>
      </c>
      <c r="R7" s="172" t="s">
        <v>751</v>
      </c>
    </row>
    <row r="8" spans="1:18" s="16" customFormat="1" ht="20.25" hidden="1" customHeight="1">
      <c r="A8" s="26">
        <v>7</v>
      </c>
      <c r="B8" s="67" t="s">
        <v>612</v>
      </c>
      <c r="C8" s="67" t="s">
        <v>613</v>
      </c>
      <c r="D8" s="172" t="s">
        <v>614</v>
      </c>
      <c r="E8" s="67" t="s">
        <v>615</v>
      </c>
      <c r="F8" s="172" t="s">
        <v>616</v>
      </c>
      <c r="G8" s="68">
        <v>1</v>
      </c>
      <c r="H8" s="32">
        <v>70</v>
      </c>
      <c r="I8" s="32">
        <v>0</v>
      </c>
      <c r="J8" s="173">
        <v>1</v>
      </c>
      <c r="K8" s="173">
        <v>0</v>
      </c>
      <c r="L8" s="173">
        <v>0</v>
      </c>
      <c r="M8" s="173">
        <v>0</v>
      </c>
      <c r="N8" s="69" t="s">
        <v>615</v>
      </c>
      <c r="O8" s="33" t="s">
        <v>617</v>
      </c>
      <c r="P8" s="29" t="s">
        <v>618</v>
      </c>
      <c r="Q8" s="70">
        <v>40652</v>
      </c>
      <c r="R8" s="172" t="s">
        <v>619</v>
      </c>
    </row>
    <row r="9" spans="1:18" s="16" customFormat="1" ht="20.25" hidden="1" customHeight="1">
      <c r="A9" s="26">
        <v>8</v>
      </c>
      <c r="B9" s="85" t="s">
        <v>577</v>
      </c>
      <c r="C9" s="85" t="s">
        <v>578</v>
      </c>
      <c r="D9" s="37" t="s">
        <v>576</v>
      </c>
      <c r="E9" s="85" t="s">
        <v>579</v>
      </c>
      <c r="F9" s="37" t="s">
        <v>580</v>
      </c>
      <c r="G9" s="26">
        <v>1</v>
      </c>
      <c r="H9" s="31">
        <v>59</v>
      </c>
      <c r="I9" s="31">
        <v>0</v>
      </c>
      <c r="J9" s="31">
        <v>1</v>
      </c>
      <c r="K9" s="31">
        <v>1</v>
      </c>
      <c r="L9" s="31">
        <v>0</v>
      </c>
      <c r="M9" s="31">
        <v>0</v>
      </c>
      <c r="N9" s="112" t="s">
        <v>579</v>
      </c>
      <c r="O9" s="85" t="s">
        <v>581</v>
      </c>
      <c r="P9" s="26"/>
      <c r="Q9" s="35">
        <v>41915</v>
      </c>
      <c r="R9" s="28"/>
    </row>
    <row r="10" spans="1:18" s="16" customFormat="1" ht="20.25" hidden="1" customHeight="1">
      <c r="A10" s="26">
        <v>9</v>
      </c>
      <c r="B10" s="26" t="s">
        <v>156</v>
      </c>
      <c r="C10" s="26" t="s">
        <v>158</v>
      </c>
      <c r="D10" s="29" t="s">
        <v>119</v>
      </c>
      <c r="E10" s="26" t="s">
        <v>146</v>
      </c>
      <c r="F10" s="28" t="s">
        <v>645</v>
      </c>
      <c r="G10" s="26">
        <v>12</v>
      </c>
      <c r="H10" s="31">
        <v>1965</v>
      </c>
      <c r="I10" s="31">
        <f>G10-J10</f>
        <v>0</v>
      </c>
      <c r="J10" s="31">
        <v>12</v>
      </c>
      <c r="K10" s="31">
        <v>2</v>
      </c>
      <c r="L10" s="31">
        <v>0</v>
      </c>
      <c r="M10" s="31">
        <v>0</v>
      </c>
      <c r="N10" s="39" t="s">
        <v>125</v>
      </c>
      <c r="O10" s="85" t="s">
        <v>25</v>
      </c>
      <c r="P10" s="26" t="s">
        <v>127</v>
      </c>
      <c r="Q10" s="35">
        <v>39195</v>
      </c>
      <c r="R10" s="28"/>
    </row>
    <row r="11" spans="1:18" s="16" customFormat="1" ht="20.25" hidden="1" customHeight="1">
      <c r="A11" s="26">
        <v>10</v>
      </c>
      <c r="B11" s="26" t="s">
        <v>156</v>
      </c>
      <c r="C11" s="26" t="s">
        <v>158</v>
      </c>
      <c r="D11" s="30" t="s">
        <v>120</v>
      </c>
      <c r="E11" s="26" t="s">
        <v>146</v>
      </c>
      <c r="F11" s="30" t="s">
        <v>646</v>
      </c>
      <c r="G11" s="26">
        <v>10</v>
      </c>
      <c r="H11" s="32">
        <v>1998</v>
      </c>
      <c r="I11" s="32">
        <f>G11-J11</f>
        <v>0</v>
      </c>
      <c r="J11" s="32">
        <v>10</v>
      </c>
      <c r="K11" s="32">
        <v>5</v>
      </c>
      <c r="L11" s="32">
        <v>0</v>
      </c>
      <c r="M11" s="32">
        <v>0</v>
      </c>
      <c r="N11" s="39" t="s">
        <v>125</v>
      </c>
      <c r="O11" s="33" t="s">
        <v>647</v>
      </c>
      <c r="P11" s="29" t="s">
        <v>27</v>
      </c>
      <c r="Q11" s="35">
        <v>39562</v>
      </c>
      <c r="R11" s="28"/>
    </row>
    <row r="12" spans="1:18" s="16" customFormat="1" ht="20.25" hidden="1" customHeight="1">
      <c r="A12" s="26">
        <v>11</v>
      </c>
      <c r="B12" s="26" t="s">
        <v>156</v>
      </c>
      <c r="C12" s="26" t="s">
        <v>159</v>
      </c>
      <c r="D12" s="29" t="s">
        <v>117</v>
      </c>
      <c r="E12" s="26" t="s">
        <v>144</v>
      </c>
      <c r="F12" s="29" t="s">
        <v>648</v>
      </c>
      <c r="G12" s="26">
        <v>6</v>
      </c>
      <c r="H12" s="31">
        <v>721</v>
      </c>
      <c r="I12" s="31">
        <f>G12-J12</f>
        <v>0</v>
      </c>
      <c r="J12" s="31">
        <v>6</v>
      </c>
      <c r="K12" s="31">
        <v>3</v>
      </c>
      <c r="L12" s="31">
        <v>0</v>
      </c>
      <c r="M12" s="31">
        <v>0</v>
      </c>
      <c r="N12" s="39" t="s">
        <v>649</v>
      </c>
      <c r="O12" s="85" t="s">
        <v>25</v>
      </c>
      <c r="P12" s="26" t="s">
        <v>127</v>
      </c>
      <c r="Q12" s="35">
        <v>39173</v>
      </c>
      <c r="R12" s="28"/>
    </row>
    <row r="13" spans="1:18" s="16" customFormat="1" ht="20.25" hidden="1" customHeight="1">
      <c r="A13" s="26">
        <v>12</v>
      </c>
      <c r="B13" s="33" t="s">
        <v>623</v>
      </c>
      <c r="C13" s="33" t="s">
        <v>650</v>
      </c>
      <c r="D13" s="65" t="s">
        <v>651</v>
      </c>
      <c r="E13" s="33" t="s">
        <v>652</v>
      </c>
      <c r="F13" s="65" t="s">
        <v>653</v>
      </c>
      <c r="G13" s="26">
        <v>9</v>
      </c>
      <c r="H13" s="32">
        <v>1167</v>
      </c>
      <c r="I13" s="32">
        <v>0</v>
      </c>
      <c r="J13" s="32">
        <v>9</v>
      </c>
      <c r="K13" s="32">
        <v>2</v>
      </c>
      <c r="L13" s="32">
        <v>0</v>
      </c>
      <c r="M13" s="32">
        <v>0</v>
      </c>
      <c r="N13" s="112" t="s">
        <v>654</v>
      </c>
      <c r="O13" s="33" t="s">
        <v>642</v>
      </c>
      <c r="P13" s="29" t="s">
        <v>308</v>
      </c>
      <c r="Q13" s="35">
        <v>40964</v>
      </c>
      <c r="R13" s="29"/>
    </row>
    <row r="14" spans="1:18" s="16" customFormat="1" ht="21.75" hidden="1" customHeight="1">
      <c r="A14" s="26">
        <v>13</v>
      </c>
      <c r="B14" s="26" t="s">
        <v>156</v>
      </c>
      <c r="C14" s="33" t="s">
        <v>655</v>
      </c>
      <c r="D14" s="65" t="s">
        <v>656</v>
      </c>
      <c r="E14" s="33" t="s">
        <v>637</v>
      </c>
      <c r="F14" s="65" t="s">
        <v>657</v>
      </c>
      <c r="G14" s="26">
        <v>10</v>
      </c>
      <c r="H14" s="32">
        <v>2127</v>
      </c>
      <c r="I14" s="32">
        <f>G14-J14</f>
        <v>0</v>
      </c>
      <c r="J14" s="32">
        <v>10</v>
      </c>
      <c r="K14" s="32">
        <v>7</v>
      </c>
      <c r="L14" s="32">
        <v>0</v>
      </c>
      <c r="M14" s="32">
        <v>1</v>
      </c>
      <c r="N14" s="112" t="s">
        <v>658</v>
      </c>
      <c r="O14" s="67" t="s">
        <v>450</v>
      </c>
      <c r="P14" s="29" t="s">
        <v>27</v>
      </c>
      <c r="Q14" s="35">
        <v>40865</v>
      </c>
      <c r="R14" s="28"/>
    </row>
    <row r="15" spans="1:18" s="16" customFormat="1" ht="21.75" hidden="1" customHeight="1">
      <c r="A15" s="26">
        <v>14</v>
      </c>
      <c r="B15" s="33" t="s">
        <v>623</v>
      </c>
      <c r="C15" s="33" t="s">
        <v>659</v>
      </c>
      <c r="D15" s="65" t="s">
        <v>660</v>
      </c>
      <c r="E15" s="33" t="s">
        <v>637</v>
      </c>
      <c r="F15" s="65" t="s">
        <v>661</v>
      </c>
      <c r="G15" s="26">
        <v>5</v>
      </c>
      <c r="H15" s="32">
        <v>676</v>
      </c>
      <c r="I15" s="32">
        <v>0</v>
      </c>
      <c r="J15" s="32">
        <v>5</v>
      </c>
      <c r="K15" s="32">
        <v>2</v>
      </c>
      <c r="L15" s="173">
        <v>0</v>
      </c>
      <c r="M15" s="32">
        <v>0</v>
      </c>
      <c r="N15" s="112" t="s">
        <v>654</v>
      </c>
      <c r="O15" s="33" t="s">
        <v>450</v>
      </c>
      <c r="P15" s="29" t="s">
        <v>27</v>
      </c>
      <c r="Q15" s="35">
        <v>41272</v>
      </c>
      <c r="R15" s="28" t="s">
        <v>662</v>
      </c>
    </row>
    <row r="16" spans="1:18" s="141" customFormat="1" ht="20.25" hidden="1" customHeight="1">
      <c r="A16" s="26">
        <v>15</v>
      </c>
      <c r="B16" s="26" t="s">
        <v>156</v>
      </c>
      <c r="C16" s="26" t="s">
        <v>142</v>
      </c>
      <c r="D16" s="30" t="s">
        <v>356</v>
      </c>
      <c r="E16" s="26" t="s">
        <v>144</v>
      </c>
      <c r="F16" s="30" t="s">
        <v>663</v>
      </c>
      <c r="G16" s="26">
        <v>8</v>
      </c>
      <c r="H16" s="32">
        <v>1477</v>
      </c>
      <c r="I16" s="32">
        <f>G16-J16</f>
        <v>0</v>
      </c>
      <c r="J16" s="32">
        <v>8</v>
      </c>
      <c r="K16" s="32">
        <v>6</v>
      </c>
      <c r="L16" s="32">
        <v>0</v>
      </c>
      <c r="M16" s="32">
        <v>0</v>
      </c>
      <c r="N16" s="39" t="s">
        <v>125</v>
      </c>
      <c r="O16" s="67" t="s">
        <v>450</v>
      </c>
      <c r="P16" s="29" t="s">
        <v>27</v>
      </c>
      <c r="Q16" s="35">
        <v>39873</v>
      </c>
      <c r="R16" s="29"/>
    </row>
    <row r="17" spans="1:18" s="16" customFormat="1" ht="21.75" hidden="1" customHeight="1">
      <c r="A17" s="26">
        <v>16</v>
      </c>
      <c r="B17" s="26" t="s">
        <v>156</v>
      </c>
      <c r="C17" s="26" t="s">
        <v>143</v>
      </c>
      <c r="D17" s="29" t="s">
        <v>118</v>
      </c>
      <c r="E17" s="26" t="s">
        <v>144</v>
      </c>
      <c r="F17" s="29" t="s">
        <v>664</v>
      </c>
      <c r="G17" s="26">
        <v>11</v>
      </c>
      <c r="H17" s="31">
        <v>1663</v>
      </c>
      <c r="I17" s="31">
        <f>G17-J17</f>
        <v>0</v>
      </c>
      <c r="J17" s="31">
        <v>11</v>
      </c>
      <c r="K17" s="31">
        <v>5</v>
      </c>
      <c r="L17" s="31">
        <v>0</v>
      </c>
      <c r="M17" s="31">
        <v>1</v>
      </c>
      <c r="N17" s="112" t="s">
        <v>665</v>
      </c>
      <c r="O17" s="85" t="s">
        <v>25</v>
      </c>
      <c r="P17" s="26" t="s">
        <v>127</v>
      </c>
      <c r="Q17" s="35">
        <v>35889</v>
      </c>
      <c r="R17" s="29"/>
    </row>
    <row r="18" spans="1:18" s="22" customFormat="1" ht="21" hidden="1" customHeight="1">
      <c r="A18" s="26">
        <v>17</v>
      </c>
      <c r="B18" s="26" t="s">
        <v>156</v>
      </c>
      <c r="C18" s="26" t="s">
        <v>143</v>
      </c>
      <c r="D18" s="29" t="s">
        <v>330</v>
      </c>
      <c r="E18" s="26" t="s">
        <v>146</v>
      </c>
      <c r="F18" s="29" t="s">
        <v>666</v>
      </c>
      <c r="G18" s="26">
        <v>9</v>
      </c>
      <c r="H18" s="31">
        <v>1197</v>
      </c>
      <c r="I18" s="31">
        <v>0</v>
      </c>
      <c r="J18" s="31">
        <v>9</v>
      </c>
      <c r="K18" s="31">
        <v>0</v>
      </c>
      <c r="L18" s="31">
        <v>0</v>
      </c>
      <c r="M18" s="31">
        <v>0</v>
      </c>
      <c r="N18" s="39" t="s">
        <v>125</v>
      </c>
      <c r="O18" s="85" t="s">
        <v>25</v>
      </c>
      <c r="P18" s="26" t="s">
        <v>127</v>
      </c>
      <c r="Q18" s="35">
        <v>40022</v>
      </c>
      <c r="R18" s="29"/>
    </row>
    <row r="19" spans="1:18" s="171" customFormat="1" ht="20.25" hidden="1" customHeight="1">
      <c r="A19" s="26">
        <v>18</v>
      </c>
      <c r="B19" s="26" t="s">
        <v>156</v>
      </c>
      <c r="C19" s="26" t="s">
        <v>143</v>
      </c>
      <c r="D19" s="30" t="s">
        <v>375</v>
      </c>
      <c r="E19" s="26" t="s">
        <v>125</v>
      </c>
      <c r="F19" s="30" t="s">
        <v>1418</v>
      </c>
      <c r="G19" s="26">
        <v>1</v>
      </c>
      <c r="H19" s="32">
        <v>152</v>
      </c>
      <c r="I19" s="32">
        <f>G19-J19</f>
        <v>0</v>
      </c>
      <c r="J19" s="32">
        <v>1</v>
      </c>
      <c r="K19" s="32">
        <v>0</v>
      </c>
      <c r="L19" s="32">
        <v>0</v>
      </c>
      <c r="M19" s="32">
        <v>0</v>
      </c>
      <c r="N19" s="39" t="s">
        <v>125</v>
      </c>
      <c r="O19" s="26" t="s">
        <v>408</v>
      </c>
      <c r="P19" s="189" t="s">
        <v>468</v>
      </c>
      <c r="Q19" s="35">
        <v>40554</v>
      </c>
      <c r="R19" s="29" t="s">
        <v>283</v>
      </c>
    </row>
    <row r="20" spans="1:18" s="171" customFormat="1" ht="20.25" hidden="1" customHeight="1">
      <c r="A20" s="26">
        <v>19</v>
      </c>
      <c r="B20" s="26" t="s">
        <v>156</v>
      </c>
      <c r="C20" s="26" t="s">
        <v>143</v>
      </c>
      <c r="D20" s="30" t="s">
        <v>134</v>
      </c>
      <c r="E20" s="26" t="s">
        <v>144</v>
      </c>
      <c r="F20" s="30" t="s">
        <v>667</v>
      </c>
      <c r="G20" s="26">
        <v>12</v>
      </c>
      <c r="H20" s="32">
        <v>2134</v>
      </c>
      <c r="I20" s="32">
        <v>0</v>
      </c>
      <c r="J20" s="32">
        <v>12</v>
      </c>
      <c r="K20" s="32">
        <v>8</v>
      </c>
      <c r="L20" s="32">
        <v>0</v>
      </c>
      <c r="M20" s="32">
        <v>0</v>
      </c>
      <c r="N20" s="112" t="s">
        <v>668</v>
      </c>
      <c r="O20" s="33" t="s">
        <v>450</v>
      </c>
      <c r="P20" s="29" t="s">
        <v>27</v>
      </c>
      <c r="Q20" s="35">
        <v>39109</v>
      </c>
      <c r="R20" s="29"/>
    </row>
    <row r="21" spans="1:18" s="171" customFormat="1" ht="20.25" hidden="1" customHeight="1">
      <c r="A21" s="26">
        <v>20</v>
      </c>
      <c r="B21" s="26" t="s">
        <v>156</v>
      </c>
      <c r="C21" s="26" t="s">
        <v>161</v>
      </c>
      <c r="D21" s="29" t="s">
        <v>116</v>
      </c>
      <c r="E21" s="26" t="s">
        <v>144</v>
      </c>
      <c r="F21" s="29" t="s">
        <v>669</v>
      </c>
      <c r="G21" s="26">
        <v>10</v>
      </c>
      <c r="H21" s="31">
        <v>1830</v>
      </c>
      <c r="I21" s="31">
        <f>G21-J21</f>
        <v>0</v>
      </c>
      <c r="J21" s="31">
        <v>10</v>
      </c>
      <c r="K21" s="31">
        <v>5</v>
      </c>
      <c r="L21" s="31">
        <v>0</v>
      </c>
      <c r="M21" s="31">
        <v>0</v>
      </c>
      <c r="N21" s="112" t="s">
        <v>670</v>
      </c>
      <c r="O21" s="85" t="s">
        <v>25</v>
      </c>
      <c r="P21" s="26" t="s">
        <v>127</v>
      </c>
      <c r="Q21" s="35">
        <v>37279</v>
      </c>
      <c r="R21" s="29"/>
    </row>
    <row r="22" spans="1:18" s="16" customFormat="1" ht="20.25" hidden="1" customHeight="1">
      <c r="A22" s="26">
        <v>21</v>
      </c>
      <c r="B22" s="26" t="s">
        <v>156</v>
      </c>
      <c r="C22" s="26" t="s">
        <v>161</v>
      </c>
      <c r="D22" s="38" t="s">
        <v>671</v>
      </c>
      <c r="E22" s="26" t="s">
        <v>146</v>
      </c>
      <c r="F22" s="29" t="s">
        <v>672</v>
      </c>
      <c r="G22" s="26">
        <v>10</v>
      </c>
      <c r="H22" s="31">
        <v>1486</v>
      </c>
      <c r="I22" s="31">
        <f>G22-J22</f>
        <v>0</v>
      </c>
      <c r="J22" s="31">
        <v>10</v>
      </c>
      <c r="K22" s="31">
        <v>3</v>
      </c>
      <c r="L22" s="31">
        <v>0</v>
      </c>
      <c r="M22" s="31">
        <v>0</v>
      </c>
      <c r="N22" s="112" t="s">
        <v>673</v>
      </c>
      <c r="O22" s="85" t="s">
        <v>25</v>
      </c>
      <c r="P22" s="26" t="s">
        <v>127</v>
      </c>
      <c r="Q22" s="35">
        <v>39401</v>
      </c>
      <c r="R22" s="29"/>
    </row>
    <row r="23" spans="1:18" s="16" customFormat="1" ht="20.25" hidden="1" customHeight="1">
      <c r="A23" s="26">
        <v>22</v>
      </c>
      <c r="B23" s="26" t="s">
        <v>744</v>
      </c>
      <c r="C23" s="26" t="s">
        <v>752</v>
      </c>
      <c r="D23" s="65" t="s">
        <v>753</v>
      </c>
      <c r="E23" s="33" t="s">
        <v>637</v>
      </c>
      <c r="F23" s="65" t="s">
        <v>754</v>
      </c>
      <c r="G23" s="26">
        <v>5</v>
      </c>
      <c r="H23" s="32">
        <v>537</v>
      </c>
      <c r="I23" s="32">
        <v>0</v>
      </c>
      <c r="J23" s="32">
        <v>5</v>
      </c>
      <c r="K23" s="32">
        <v>2</v>
      </c>
      <c r="L23" s="32">
        <v>0</v>
      </c>
      <c r="M23" s="32">
        <v>0</v>
      </c>
      <c r="N23" s="112" t="s">
        <v>755</v>
      </c>
      <c r="O23" s="33" t="s">
        <v>450</v>
      </c>
      <c r="P23" s="29" t="s">
        <v>27</v>
      </c>
      <c r="Q23" s="35">
        <v>41527</v>
      </c>
      <c r="R23" s="29"/>
    </row>
    <row r="24" spans="1:18" s="16" customFormat="1" ht="21.75" hidden="1" customHeight="1">
      <c r="A24" s="26">
        <v>23</v>
      </c>
      <c r="B24" s="26" t="s">
        <v>744</v>
      </c>
      <c r="C24" s="26" t="s">
        <v>756</v>
      </c>
      <c r="D24" s="65" t="s">
        <v>757</v>
      </c>
      <c r="E24" s="33" t="s">
        <v>758</v>
      </c>
      <c r="F24" s="65" t="s">
        <v>759</v>
      </c>
      <c r="G24" s="26">
        <v>6</v>
      </c>
      <c r="H24" s="32">
        <v>1054</v>
      </c>
      <c r="I24" s="32">
        <v>0</v>
      </c>
      <c r="J24" s="32">
        <v>6</v>
      </c>
      <c r="K24" s="32">
        <v>3</v>
      </c>
      <c r="L24" s="32">
        <v>0</v>
      </c>
      <c r="M24" s="32">
        <v>1</v>
      </c>
      <c r="N24" s="112" t="s">
        <v>760</v>
      </c>
      <c r="O24" s="67" t="s">
        <v>450</v>
      </c>
      <c r="P24" s="29" t="s">
        <v>27</v>
      </c>
      <c r="Q24" s="35">
        <v>41347</v>
      </c>
      <c r="R24" s="29"/>
    </row>
    <row r="25" spans="1:18" s="16" customFormat="1" ht="21.75" hidden="1" customHeight="1">
      <c r="A25" s="26">
        <v>24</v>
      </c>
      <c r="B25" s="26" t="s">
        <v>744</v>
      </c>
      <c r="C25" s="26" t="s">
        <v>756</v>
      </c>
      <c r="D25" s="65" t="s">
        <v>761</v>
      </c>
      <c r="E25" s="33" t="s">
        <v>637</v>
      </c>
      <c r="F25" s="65" t="s">
        <v>762</v>
      </c>
      <c r="G25" s="26">
        <v>8</v>
      </c>
      <c r="H25" s="32">
        <v>1606</v>
      </c>
      <c r="I25" s="32">
        <v>0</v>
      </c>
      <c r="J25" s="32">
        <v>8</v>
      </c>
      <c r="K25" s="32">
        <v>3</v>
      </c>
      <c r="L25" s="32">
        <v>0</v>
      </c>
      <c r="M25" s="32">
        <v>0</v>
      </c>
      <c r="N25" s="112" t="s">
        <v>654</v>
      </c>
      <c r="O25" s="67" t="s">
        <v>450</v>
      </c>
      <c r="P25" s="29" t="s">
        <v>27</v>
      </c>
      <c r="Q25" s="35">
        <v>41950</v>
      </c>
      <c r="R25" s="29" t="s">
        <v>781</v>
      </c>
    </row>
    <row r="26" spans="1:18" s="22" customFormat="1" ht="21" hidden="1" customHeight="1">
      <c r="A26" s="26">
        <v>25</v>
      </c>
      <c r="B26" s="26" t="s">
        <v>623</v>
      </c>
      <c r="C26" s="26" t="s">
        <v>676</v>
      </c>
      <c r="D26" s="29" t="s">
        <v>677</v>
      </c>
      <c r="E26" s="26" t="s">
        <v>637</v>
      </c>
      <c r="F26" s="29" t="s">
        <v>678</v>
      </c>
      <c r="G26" s="26">
        <v>7</v>
      </c>
      <c r="H26" s="31">
        <v>1179</v>
      </c>
      <c r="I26" s="31">
        <v>0</v>
      </c>
      <c r="J26" s="31">
        <v>7</v>
      </c>
      <c r="K26" s="31">
        <v>3</v>
      </c>
      <c r="L26" s="31">
        <v>0</v>
      </c>
      <c r="M26" s="31">
        <v>0</v>
      </c>
      <c r="N26" s="39" t="s">
        <v>679</v>
      </c>
      <c r="O26" s="85" t="s">
        <v>25</v>
      </c>
      <c r="P26" s="26" t="s">
        <v>127</v>
      </c>
      <c r="Q26" s="35">
        <v>41389</v>
      </c>
      <c r="R26" s="29"/>
    </row>
    <row r="27" spans="1:18" s="171" customFormat="1" ht="21" hidden="1" customHeight="1">
      <c r="A27" s="26">
        <v>26</v>
      </c>
      <c r="B27" s="26" t="s">
        <v>623</v>
      </c>
      <c r="C27" s="26" t="s">
        <v>676</v>
      </c>
      <c r="D27" s="29" t="s">
        <v>680</v>
      </c>
      <c r="E27" s="26" t="s">
        <v>637</v>
      </c>
      <c r="F27" s="29" t="s">
        <v>681</v>
      </c>
      <c r="G27" s="26">
        <v>4</v>
      </c>
      <c r="H27" s="31">
        <v>917</v>
      </c>
      <c r="I27" s="31">
        <v>0</v>
      </c>
      <c r="J27" s="31">
        <v>4</v>
      </c>
      <c r="K27" s="31">
        <v>3</v>
      </c>
      <c r="L27" s="31">
        <v>0</v>
      </c>
      <c r="M27" s="31">
        <v>0</v>
      </c>
      <c r="N27" s="39" t="s">
        <v>682</v>
      </c>
      <c r="O27" s="85" t="s">
        <v>25</v>
      </c>
      <c r="P27" s="26" t="s">
        <v>127</v>
      </c>
      <c r="Q27" s="35">
        <v>41529</v>
      </c>
      <c r="R27" s="29" t="s">
        <v>683</v>
      </c>
    </row>
    <row r="28" spans="1:18" s="111" customFormat="1" ht="20.25" hidden="1" customHeight="1">
      <c r="A28" s="26">
        <v>27</v>
      </c>
      <c r="B28" s="26" t="s">
        <v>156</v>
      </c>
      <c r="C28" s="26" t="s">
        <v>255</v>
      </c>
      <c r="D28" s="30" t="s">
        <v>50</v>
      </c>
      <c r="E28" s="26" t="s">
        <v>144</v>
      </c>
      <c r="F28" s="30" t="s">
        <v>674</v>
      </c>
      <c r="G28" s="26">
        <v>10</v>
      </c>
      <c r="H28" s="32">
        <v>1758</v>
      </c>
      <c r="I28" s="32">
        <v>0</v>
      </c>
      <c r="J28" s="32">
        <v>10</v>
      </c>
      <c r="K28" s="32">
        <v>9</v>
      </c>
      <c r="L28" s="32">
        <v>0</v>
      </c>
      <c r="M28" s="32">
        <v>1</v>
      </c>
      <c r="N28" s="112" t="s">
        <v>675</v>
      </c>
      <c r="O28" s="67" t="s">
        <v>450</v>
      </c>
      <c r="P28" s="29" t="s">
        <v>27</v>
      </c>
      <c r="Q28" s="35">
        <v>38679</v>
      </c>
      <c r="R28" s="29"/>
    </row>
    <row r="29" spans="1:18" s="141" customFormat="1" ht="20.25" hidden="1" customHeight="1">
      <c r="A29" s="26">
        <v>28</v>
      </c>
      <c r="B29" s="33" t="s">
        <v>623</v>
      </c>
      <c r="C29" s="33" t="s">
        <v>684</v>
      </c>
      <c r="D29" s="65" t="s">
        <v>685</v>
      </c>
      <c r="E29" s="33" t="s">
        <v>652</v>
      </c>
      <c r="F29" s="65" t="s">
        <v>686</v>
      </c>
      <c r="G29" s="26">
        <v>7</v>
      </c>
      <c r="H29" s="32">
        <v>1084</v>
      </c>
      <c r="I29" s="32">
        <v>0</v>
      </c>
      <c r="J29" s="32">
        <v>7</v>
      </c>
      <c r="K29" s="32">
        <v>2</v>
      </c>
      <c r="L29" s="32">
        <v>0</v>
      </c>
      <c r="M29" s="32">
        <v>0</v>
      </c>
      <c r="N29" s="112" t="s">
        <v>654</v>
      </c>
      <c r="O29" s="33" t="s">
        <v>450</v>
      </c>
      <c r="P29" s="29" t="s">
        <v>27</v>
      </c>
      <c r="Q29" s="35">
        <v>41265</v>
      </c>
      <c r="R29" s="29"/>
    </row>
    <row r="30" spans="1:18" s="141" customFormat="1" ht="20.25" hidden="1" customHeight="1">
      <c r="A30" s="26">
        <v>29</v>
      </c>
      <c r="B30" s="26" t="s">
        <v>156</v>
      </c>
      <c r="C30" s="26" t="s">
        <v>263</v>
      </c>
      <c r="D30" s="30" t="s">
        <v>357</v>
      </c>
      <c r="E30" s="26" t="s">
        <v>144</v>
      </c>
      <c r="F30" s="30" t="s">
        <v>687</v>
      </c>
      <c r="G30" s="26">
        <v>8</v>
      </c>
      <c r="H30" s="32">
        <v>1678</v>
      </c>
      <c r="I30" s="32">
        <f>G30-J30</f>
        <v>0</v>
      </c>
      <c r="J30" s="32">
        <v>8</v>
      </c>
      <c r="K30" s="32">
        <v>4</v>
      </c>
      <c r="L30" s="173">
        <v>0</v>
      </c>
      <c r="M30" s="32">
        <v>1</v>
      </c>
      <c r="N30" s="112" t="s">
        <v>688</v>
      </c>
      <c r="O30" s="67" t="s">
        <v>450</v>
      </c>
      <c r="P30" s="29" t="s">
        <v>27</v>
      </c>
      <c r="Q30" s="35">
        <v>40410</v>
      </c>
      <c r="R30" s="29"/>
    </row>
    <row r="31" spans="1:18" s="16" customFormat="1" ht="20.25" hidden="1" customHeight="1">
      <c r="A31" s="26">
        <v>30</v>
      </c>
      <c r="B31" s="27" t="s">
        <v>156</v>
      </c>
      <c r="C31" s="27" t="s">
        <v>165</v>
      </c>
      <c r="D31" s="38" t="s">
        <v>689</v>
      </c>
      <c r="E31" s="33" t="s">
        <v>637</v>
      </c>
      <c r="F31" s="30" t="s">
        <v>690</v>
      </c>
      <c r="G31" s="26">
        <v>6</v>
      </c>
      <c r="H31" s="32">
        <v>816</v>
      </c>
      <c r="I31" s="32">
        <v>0</v>
      </c>
      <c r="J31" s="32">
        <v>6</v>
      </c>
      <c r="K31" s="32">
        <v>2</v>
      </c>
      <c r="L31" s="32">
        <v>0</v>
      </c>
      <c r="M31" s="32">
        <v>0</v>
      </c>
      <c r="N31" s="39" t="s">
        <v>125</v>
      </c>
      <c r="O31" s="33" t="s">
        <v>451</v>
      </c>
      <c r="P31" s="29" t="s">
        <v>308</v>
      </c>
      <c r="Q31" s="35">
        <v>39219</v>
      </c>
      <c r="R31" s="66"/>
    </row>
    <row r="32" spans="1:18" s="22" customFormat="1" ht="24" hidden="1" customHeight="1">
      <c r="A32" s="26">
        <v>31</v>
      </c>
      <c r="B32" s="27" t="s">
        <v>505</v>
      </c>
      <c r="C32" s="27" t="s">
        <v>512</v>
      </c>
      <c r="D32" s="28" t="s">
        <v>510</v>
      </c>
      <c r="E32" s="27" t="s">
        <v>504</v>
      </c>
      <c r="F32" s="28" t="s">
        <v>511</v>
      </c>
      <c r="G32" s="26">
        <v>2</v>
      </c>
      <c r="H32" s="32">
        <v>150</v>
      </c>
      <c r="I32" s="32">
        <v>0</v>
      </c>
      <c r="J32" s="32">
        <v>2</v>
      </c>
      <c r="K32" s="32">
        <v>1</v>
      </c>
      <c r="L32" s="32">
        <v>0</v>
      </c>
      <c r="M32" s="32">
        <v>0</v>
      </c>
      <c r="N32" s="39" t="s">
        <v>504</v>
      </c>
      <c r="O32" s="27" t="s">
        <v>555</v>
      </c>
      <c r="P32" s="29" t="s">
        <v>308</v>
      </c>
      <c r="Q32" s="35">
        <v>41275</v>
      </c>
      <c r="R32" s="28" t="s">
        <v>556</v>
      </c>
    </row>
    <row r="33" spans="1:18" s="22" customFormat="1" ht="24" hidden="1" customHeight="1">
      <c r="A33" s="26">
        <v>32</v>
      </c>
      <c r="B33" s="26" t="s">
        <v>156</v>
      </c>
      <c r="C33" s="26" t="s">
        <v>264</v>
      </c>
      <c r="D33" s="29" t="s">
        <v>51</v>
      </c>
      <c r="E33" s="26" t="s">
        <v>144</v>
      </c>
      <c r="F33" s="29" t="s">
        <v>694</v>
      </c>
      <c r="G33" s="26">
        <v>10</v>
      </c>
      <c r="H33" s="31">
        <v>1688</v>
      </c>
      <c r="I33" s="31">
        <f>G33-J33</f>
        <v>0</v>
      </c>
      <c r="J33" s="31">
        <v>10</v>
      </c>
      <c r="K33" s="31">
        <v>5</v>
      </c>
      <c r="L33" s="31">
        <v>1</v>
      </c>
      <c r="M33" s="31">
        <v>1</v>
      </c>
      <c r="N33" s="112" t="s">
        <v>695</v>
      </c>
      <c r="O33" s="85" t="s">
        <v>25</v>
      </c>
      <c r="P33" s="26" t="s">
        <v>127</v>
      </c>
      <c r="Q33" s="35">
        <v>37762</v>
      </c>
      <c r="R33" s="29"/>
    </row>
    <row r="34" spans="1:18" s="22" customFormat="1" ht="24" hidden="1" customHeight="1">
      <c r="A34" s="26">
        <v>33</v>
      </c>
      <c r="B34" s="26" t="s">
        <v>744</v>
      </c>
      <c r="C34" s="26" t="s">
        <v>763</v>
      </c>
      <c r="D34" s="29" t="s">
        <v>764</v>
      </c>
      <c r="E34" s="26" t="s">
        <v>758</v>
      </c>
      <c r="F34" s="29" t="s">
        <v>765</v>
      </c>
      <c r="G34" s="26">
        <v>6</v>
      </c>
      <c r="H34" s="31">
        <v>876</v>
      </c>
      <c r="I34" s="31">
        <v>0</v>
      </c>
      <c r="J34" s="31">
        <v>6</v>
      </c>
      <c r="K34" s="31">
        <v>3</v>
      </c>
      <c r="L34" s="31">
        <v>0</v>
      </c>
      <c r="M34" s="31">
        <v>0</v>
      </c>
      <c r="N34" s="112" t="s">
        <v>654</v>
      </c>
      <c r="O34" s="85" t="s">
        <v>25</v>
      </c>
      <c r="P34" s="26" t="s">
        <v>127</v>
      </c>
      <c r="Q34" s="35">
        <v>41914</v>
      </c>
      <c r="R34" s="29"/>
    </row>
    <row r="35" spans="1:18" s="22" customFormat="1" ht="24" hidden="1" customHeight="1">
      <c r="A35" s="26">
        <v>34</v>
      </c>
      <c r="B35" s="26" t="s">
        <v>156</v>
      </c>
      <c r="C35" s="26" t="s">
        <v>264</v>
      </c>
      <c r="D35" s="65" t="s">
        <v>696</v>
      </c>
      <c r="E35" s="26" t="s">
        <v>144</v>
      </c>
      <c r="F35" s="30" t="s">
        <v>697</v>
      </c>
      <c r="G35" s="26">
        <v>2</v>
      </c>
      <c r="H35" s="32">
        <v>224</v>
      </c>
      <c r="I35" s="32">
        <v>0</v>
      </c>
      <c r="J35" s="32">
        <v>2</v>
      </c>
      <c r="K35" s="32">
        <v>1</v>
      </c>
      <c r="L35" s="32">
        <v>0</v>
      </c>
      <c r="M35" s="32">
        <v>0</v>
      </c>
      <c r="N35" s="39" t="s">
        <v>125</v>
      </c>
      <c r="O35" s="67" t="s">
        <v>450</v>
      </c>
      <c r="P35" s="29" t="s">
        <v>27</v>
      </c>
      <c r="Q35" s="35">
        <v>40297</v>
      </c>
      <c r="R35" s="29"/>
    </row>
    <row r="36" spans="1:18" s="22" customFormat="1" ht="24" hidden="1" customHeight="1">
      <c r="A36" s="26">
        <v>35</v>
      </c>
      <c r="B36" s="26" t="s">
        <v>156</v>
      </c>
      <c r="C36" s="26" t="s">
        <v>264</v>
      </c>
      <c r="D36" s="65" t="s">
        <v>692</v>
      </c>
      <c r="E36" s="33" t="s">
        <v>637</v>
      </c>
      <c r="F36" s="65" t="s">
        <v>693</v>
      </c>
      <c r="G36" s="26">
        <v>4</v>
      </c>
      <c r="H36" s="32">
        <v>689</v>
      </c>
      <c r="I36" s="32">
        <v>0</v>
      </c>
      <c r="J36" s="32">
        <v>4</v>
      </c>
      <c r="K36" s="32">
        <v>2</v>
      </c>
      <c r="L36" s="32">
        <v>0</v>
      </c>
      <c r="M36" s="32">
        <v>0</v>
      </c>
      <c r="N36" s="112" t="s">
        <v>654</v>
      </c>
      <c r="O36" s="167" t="s">
        <v>450</v>
      </c>
      <c r="P36" s="29" t="s">
        <v>27</v>
      </c>
      <c r="Q36" s="35">
        <v>41109</v>
      </c>
      <c r="R36" s="29"/>
    </row>
    <row r="37" spans="1:18" s="22" customFormat="1" ht="24" hidden="1" customHeight="1">
      <c r="A37" s="26">
        <v>36</v>
      </c>
      <c r="B37" s="26" t="s">
        <v>156</v>
      </c>
      <c r="C37" s="26" t="s">
        <v>264</v>
      </c>
      <c r="D37" s="28" t="s">
        <v>132</v>
      </c>
      <c r="E37" s="27" t="s">
        <v>144</v>
      </c>
      <c r="F37" s="30" t="s">
        <v>691</v>
      </c>
      <c r="G37" s="26">
        <v>6</v>
      </c>
      <c r="H37" s="32">
        <v>1104</v>
      </c>
      <c r="I37" s="32">
        <f>G37-J37</f>
        <v>0</v>
      </c>
      <c r="J37" s="32">
        <v>6</v>
      </c>
      <c r="K37" s="32">
        <v>4</v>
      </c>
      <c r="L37" s="32">
        <v>0</v>
      </c>
      <c r="M37" s="32">
        <v>0</v>
      </c>
      <c r="N37" s="39" t="s">
        <v>125</v>
      </c>
      <c r="O37" s="33" t="s">
        <v>450</v>
      </c>
      <c r="P37" s="29" t="s">
        <v>27</v>
      </c>
      <c r="Q37" s="35">
        <v>39448</v>
      </c>
      <c r="R37" s="28"/>
    </row>
    <row r="38" spans="1:18" s="22" customFormat="1" ht="24" hidden="1" customHeight="1">
      <c r="A38" s="26">
        <v>37</v>
      </c>
      <c r="B38" s="26" t="s">
        <v>156</v>
      </c>
      <c r="C38" s="26" t="s">
        <v>264</v>
      </c>
      <c r="D38" s="28" t="s">
        <v>73</v>
      </c>
      <c r="E38" s="27" t="s">
        <v>125</v>
      </c>
      <c r="F38" s="28" t="s">
        <v>1419</v>
      </c>
      <c r="G38" s="26">
        <v>1</v>
      </c>
      <c r="H38" s="32">
        <v>77</v>
      </c>
      <c r="I38" s="32">
        <f>G38-J38</f>
        <v>0</v>
      </c>
      <c r="J38" s="32">
        <v>1</v>
      </c>
      <c r="K38" s="32">
        <v>0</v>
      </c>
      <c r="L38" s="32">
        <v>0</v>
      </c>
      <c r="M38" s="32">
        <v>0</v>
      </c>
      <c r="N38" s="39" t="s">
        <v>125</v>
      </c>
      <c r="O38" s="27" t="s">
        <v>123</v>
      </c>
      <c r="P38" s="26" t="s">
        <v>33</v>
      </c>
      <c r="Q38" s="26" t="s">
        <v>133</v>
      </c>
      <c r="R38" s="28"/>
    </row>
    <row r="39" spans="1:18" s="22" customFormat="1" ht="24" hidden="1" customHeight="1">
      <c r="A39" s="26">
        <v>38</v>
      </c>
      <c r="B39" s="26" t="s">
        <v>623</v>
      </c>
      <c r="C39" s="26" t="s">
        <v>698</v>
      </c>
      <c r="D39" s="29" t="s">
        <v>699</v>
      </c>
      <c r="E39" s="26" t="s">
        <v>637</v>
      </c>
      <c r="F39" s="29" t="s">
        <v>700</v>
      </c>
      <c r="G39" s="26">
        <v>9</v>
      </c>
      <c r="H39" s="31">
        <v>1468</v>
      </c>
      <c r="I39" s="31">
        <v>0</v>
      </c>
      <c r="J39" s="31">
        <v>9</v>
      </c>
      <c r="K39" s="31">
        <v>5</v>
      </c>
      <c r="L39" s="31">
        <v>0</v>
      </c>
      <c r="M39" s="31">
        <v>1</v>
      </c>
      <c r="N39" s="39" t="s">
        <v>701</v>
      </c>
      <c r="O39" s="85" t="s">
        <v>25</v>
      </c>
      <c r="P39" s="26" t="s">
        <v>127</v>
      </c>
      <c r="Q39" s="35">
        <v>41445</v>
      </c>
      <c r="R39" s="29" t="s">
        <v>702</v>
      </c>
    </row>
    <row r="40" spans="1:18" s="19" customFormat="1" ht="24" hidden="1" customHeight="1">
      <c r="A40" s="26">
        <v>39</v>
      </c>
      <c r="B40" s="190" t="s">
        <v>156</v>
      </c>
      <c r="C40" s="190" t="s">
        <v>256</v>
      </c>
      <c r="D40" s="78" t="s">
        <v>52</v>
      </c>
      <c r="E40" s="190" t="s">
        <v>144</v>
      </c>
      <c r="F40" s="78" t="s">
        <v>703</v>
      </c>
      <c r="G40" s="74">
        <v>8</v>
      </c>
      <c r="H40" s="75">
        <v>1541</v>
      </c>
      <c r="I40" s="75">
        <f>G40-J40</f>
        <v>0</v>
      </c>
      <c r="J40" s="75">
        <v>8</v>
      </c>
      <c r="K40" s="75">
        <v>2</v>
      </c>
      <c r="L40" s="75">
        <v>0</v>
      </c>
      <c r="M40" s="75">
        <v>0</v>
      </c>
      <c r="N40" s="242" t="s">
        <v>704</v>
      </c>
      <c r="O40" s="167" t="s">
        <v>451</v>
      </c>
      <c r="P40" s="76" t="s">
        <v>308</v>
      </c>
      <c r="Q40" s="77">
        <v>38982</v>
      </c>
      <c r="R40" s="78"/>
    </row>
    <row r="41" spans="1:18" s="16" customFormat="1" ht="24" hidden="1" customHeight="1">
      <c r="A41" s="26">
        <v>40</v>
      </c>
      <c r="B41" s="27" t="s">
        <v>156</v>
      </c>
      <c r="C41" s="27" t="s">
        <v>256</v>
      </c>
      <c r="D41" s="28" t="s">
        <v>389</v>
      </c>
      <c r="E41" s="27" t="s">
        <v>125</v>
      </c>
      <c r="F41" s="28" t="s">
        <v>1420</v>
      </c>
      <c r="G41" s="26">
        <v>2</v>
      </c>
      <c r="H41" s="32">
        <v>276</v>
      </c>
      <c r="I41" s="32">
        <v>0</v>
      </c>
      <c r="J41" s="32">
        <v>2</v>
      </c>
      <c r="K41" s="32">
        <v>1</v>
      </c>
      <c r="L41" s="32">
        <v>0</v>
      </c>
      <c r="M41" s="32">
        <v>0</v>
      </c>
      <c r="N41" s="39" t="s">
        <v>125</v>
      </c>
      <c r="O41" s="27" t="s">
        <v>402</v>
      </c>
      <c r="P41" s="26" t="s">
        <v>310</v>
      </c>
      <c r="Q41" s="35">
        <v>39713</v>
      </c>
      <c r="R41" s="37" t="s">
        <v>444</v>
      </c>
    </row>
    <row r="42" spans="1:18" s="16" customFormat="1" ht="24" hidden="1" customHeight="1">
      <c r="A42" s="26">
        <v>41</v>
      </c>
      <c r="B42" s="27" t="s">
        <v>156</v>
      </c>
      <c r="C42" s="27" t="s">
        <v>256</v>
      </c>
      <c r="D42" s="28" t="s">
        <v>289</v>
      </c>
      <c r="E42" s="27" t="s">
        <v>125</v>
      </c>
      <c r="F42" s="28" t="s">
        <v>1421</v>
      </c>
      <c r="G42" s="26">
        <v>2</v>
      </c>
      <c r="H42" s="32">
        <v>138</v>
      </c>
      <c r="I42" s="32">
        <v>0</v>
      </c>
      <c r="J42" s="32">
        <v>2</v>
      </c>
      <c r="K42" s="32">
        <v>0</v>
      </c>
      <c r="L42" s="32">
        <v>0</v>
      </c>
      <c r="M42" s="32">
        <v>0</v>
      </c>
      <c r="N42" s="39" t="s">
        <v>125</v>
      </c>
      <c r="O42" s="190" t="s">
        <v>382</v>
      </c>
      <c r="P42" s="26" t="s">
        <v>32</v>
      </c>
      <c r="Q42" s="35">
        <v>38443</v>
      </c>
      <c r="R42" s="79" t="s">
        <v>1471</v>
      </c>
    </row>
    <row r="43" spans="1:18" s="16" customFormat="1" ht="24" hidden="1" customHeight="1">
      <c r="A43" s="26">
        <v>42</v>
      </c>
      <c r="B43" s="26" t="s">
        <v>156</v>
      </c>
      <c r="C43" s="26" t="s">
        <v>265</v>
      </c>
      <c r="D43" s="65" t="s">
        <v>705</v>
      </c>
      <c r="E43" s="26" t="s">
        <v>144</v>
      </c>
      <c r="F43" s="30" t="s">
        <v>706</v>
      </c>
      <c r="G43" s="26">
        <v>7</v>
      </c>
      <c r="H43" s="32">
        <v>924</v>
      </c>
      <c r="I43" s="32">
        <f>G43-J43</f>
        <v>0</v>
      </c>
      <c r="J43" s="32">
        <v>7</v>
      </c>
      <c r="K43" s="32">
        <v>4</v>
      </c>
      <c r="L43" s="32">
        <v>0</v>
      </c>
      <c r="M43" s="32">
        <v>0</v>
      </c>
      <c r="N43" s="39" t="s">
        <v>125</v>
      </c>
      <c r="O43" s="167" t="s">
        <v>451</v>
      </c>
      <c r="P43" s="29" t="s">
        <v>308</v>
      </c>
      <c r="Q43" s="35">
        <v>38344</v>
      </c>
      <c r="R43" s="29"/>
    </row>
    <row r="44" spans="1:18" s="16" customFormat="1" ht="24" hidden="1" customHeight="1">
      <c r="A44" s="26">
        <v>43</v>
      </c>
      <c r="B44" s="26" t="s">
        <v>156</v>
      </c>
      <c r="C44" s="26" t="s">
        <v>265</v>
      </c>
      <c r="D44" s="65" t="s">
        <v>1480</v>
      </c>
      <c r="E44" s="33" t="s">
        <v>1481</v>
      </c>
      <c r="F44" s="30" t="s">
        <v>1482</v>
      </c>
      <c r="G44" s="26">
        <v>6</v>
      </c>
      <c r="H44" s="32">
        <v>1158</v>
      </c>
      <c r="I44" s="32">
        <v>0</v>
      </c>
      <c r="J44" s="32">
        <v>6</v>
      </c>
      <c r="K44" s="32">
        <v>3</v>
      </c>
      <c r="L44" s="32">
        <v>0</v>
      </c>
      <c r="M44" s="32">
        <v>0</v>
      </c>
      <c r="N44" s="39" t="s">
        <v>125</v>
      </c>
      <c r="O44" s="33" t="s">
        <v>451</v>
      </c>
      <c r="P44" s="29" t="s">
        <v>308</v>
      </c>
      <c r="Q44" s="35">
        <v>38306</v>
      </c>
      <c r="R44" s="29" t="s">
        <v>1483</v>
      </c>
    </row>
    <row r="45" spans="1:18" s="22" customFormat="1" ht="24" hidden="1" customHeight="1">
      <c r="A45" s="26">
        <v>44</v>
      </c>
      <c r="B45" s="26" t="s">
        <v>156</v>
      </c>
      <c r="C45" s="26" t="s">
        <v>273</v>
      </c>
      <c r="D45" s="29" t="s">
        <v>102</v>
      </c>
      <c r="E45" s="26" t="s">
        <v>144</v>
      </c>
      <c r="F45" s="29" t="s">
        <v>707</v>
      </c>
      <c r="G45" s="26">
        <v>10</v>
      </c>
      <c r="H45" s="31">
        <v>1846</v>
      </c>
      <c r="I45" s="31">
        <f>G45-J45</f>
        <v>0</v>
      </c>
      <c r="J45" s="31">
        <v>10</v>
      </c>
      <c r="K45" s="31">
        <v>7</v>
      </c>
      <c r="L45" s="42">
        <v>1</v>
      </c>
      <c r="M45" s="42">
        <v>1</v>
      </c>
      <c r="N45" s="112" t="s">
        <v>708</v>
      </c>
      <c r="O45" s="169" t="s">
        <v>25</v>
      </c>
      <c r="P45" s="26" t="s">
        <v>127</v>
      </c>
      <c r="Q45" s="35">
        <v>39806</v>
      </c>
      <c r="R45" s="29"/>
    </row>
    <row r="46" spans="1:18" s="22" customFormat="1" ht="24" hidden="1" customHeight="1">
      <c r="A46" s="26">
        <v>45</v>
      </c>
      <c r="B46" s="27" t="s">
        <v>156</v>
      </c>
      <c r="C46" s="27" t="s">
        <v>166</v>
      </c>
      <c r="D46" s="28" t="s">
        <v>138</v>
      </c>
      <c r="E46" s="27" t="s">
        <v>146</v>
      </c>
      <c r="F46" s="29" t="s">
        <v>709</v>
      </c>
      <c r="G46" s="26">
        <v>5</v>
      </c>
      <c r="H46" s="31">
        <v>906</v>
      </c>
      <c r="I46" s="31">
        <f>G46-J46</f>
        <v>0</v>
      </c>
      <c r="J46" s="31">
        <v>5</v>
      </c>
      <c r="K46" s="31">
        <v>3</v>
      </c>
      <c r="L46" s="31">
        <v>0</v>
      </c>
      <c r="M46" s="31">
        <v>0</v>
      </c>
      <c r="N46" s="39" t="s">
        <v>710</v>
      </c>
      <c r="O46" s="169" t="s">
        <v>25</v>
      </c>
      <c r="P46" s="26" t="s">
        <v>127</v>
      </c>
      <c r="Q46" s="35">
        <v>39701</v>
      </c>
      <c r="R46" s="28"/>
    </row>
    <row r="47" spans="1:18" s="16" customFormat="1" ht="24" hidden="1" customHeight="1">
      <c r="A47" s="26">
        <v>46</v>
      </c>
      <c r="B47" s="47" t="s">
        <v>156</v>
      </c>
      <c r="C47" s="27" t="s">
        <v>166</v>
      </c>
      <c r="D47" s="37" t="s">
        <v>461</v>
      </c>
      <c r="E47" s="85" t="s">
        <v>462</v>
      </c>
      <c r="F47" s="38" t="s">
        <v>463</v>
      </c>
      <c r="G47" s="26">
        <v>1</v>
      </c>
      <c r="H47" s="32">
        <v>142</v>
      </c>
      <c r="I47" s="31">
        <v>0</v>
      </c>
      <c r="J47" s="31">
        <v>1</v>
      </c>
      <c r="K47" s="31">
        <v>0</v>
      </c>
      <c r="L47" s="42">
        <v>0</v>
      </c>
      <c r="M47" s="42">
        <v>0</v>
      </c>
      <c r="N47" s="112" t="s">
        <v>462</v>
      </c>
      <c r="O47" s="85" t="s">
        <v>464</v>
      </c>
      <c r="P47" s="33" t="s">
        <v>465</v>
      </c>
      <c r="Q47" s="35">
        <v>40949</v>
      </c>
      <c r="R47" s="28"/>
    </row>
    <row r="48" spans="1:18" s="16" customFormat="1" ht="24" hidden="1" customHeight="1">
      <c r="A48" s="26">
        <v>47</v>
      </c>
      <c r="B48" s="47" t="s">
        <v>156</v>
      </c>
      <c r="C48" s="27" t="s">
        <v>166</v>
      </c>
      <c r="D48" s="28" t="s">
        <v>582</v>
      </c>
      <c r="E48" s="27" t="s">
        <v>125</v>
      </c>
      <c r="F48" s="28" t="s">
        <v>583</v>
      </c>
      <c r="G48" s="26">
        <v>3</v>
      </c>
      <c r="H48" s="32">
        <v>473</v>
      </c>
      <c r="I48" s="32">
        <v>0</v>
      </c>
      <c r="J48" s="32">
        <v>3</v>
      </c>
      <c r="K48" s="32">
        <v>0</v>
      </c>
      <c r="L48" s="49">
        <v>0</v>
      </c>
      <c r="M48" s="49">
        <v>0</v>
      </c>
      <c r="N48" s="112" t="s">
        <v>453</v>
      </c>
      <c r="O48" s="190" t="s">
        <v>137</v>
      </c>
      <c r="P48" s="27" t="s">
        <v>428</v>
      </c>
      <c r="Q48" s="27" t="s">
        <v>130</v>
      </c>
      <c r="R48" s="28" t="s">
        <v>584</v>
      </c>
    </row>
    <row r="49" spans="1:18" s="16" customFormat="1" ht="24" hidden="1" customHeight="1">
      <c r="A49" s="26">
        <v>48</v>
      </c>
      <c r="B49" s="41" t="s">
        <v>156</v>
      </c>
      <c r="C49" s="26" t="s">
        <v>272</v>
      </c>
      <c r="D49" s="29" t="s">
        <v>331</v>
      </c>
      <c r="E49" s="26" t="s">
        <v>144</v>
      </c>
      <c r="F49" s="29" t="s">
        <v>711</v>
      </c>
      <c r="G49" s="26">
        <v>7</v>
      </c>
      <c r="H49" s="31">
        <v>1218</v>
      </c>
      <c r="I49" s="31">
        <f>G49-J49</f>
        <v>0</v>
      </c>
      <c r="J49" s="31">
        <v>7</v>
      </c>
      <c r="K49" s="31">
        <v>5</v>
      </c>
      <c r="L49" s="42">
        <v>0</v>
      </c>
      <c r="M49" s="42">
        <v>1</v>
      </c>
      <c r="N49" s="112" t="s">
        <v>712</v>
      </c>
      <c r="O49" s="85" t="s">
        <v>25</v>
      </c>
      <c r="P49" s="26" t="s">
        <v>127</v>
      </c>
      <c r="Q49" s="35">
        <v>39932</v>
      </c>
      <c r="R49" s="29"/>
    </row>
    <row r="50" spans="1:18" s="22" customFormat="1" ht="24" hidden="1" customHeight="1">
      <c r="A50" s="26">
        <v>49</v>
      </c>
      <c r="B50" s="26" t="s">
        <v>156</v>
      </c>
      <c r="C50" s="26" t="s">
        <v>274</v>
      </c>
      <c r="D50" s="29" t="s">
        <v>53</v>
      </c>
      <c r="E50" s="26" t="s">
        <v>144</v>
      </c>
      <c r="F50" s="29" t="s">
        <v>715</v>
      </c>
      <c r="G50" s="26">
        <v>8</v>
      </c>
      <c r="H50" s="31">
        <v>1372</v>
      </c>
      <c r="I50" s="31">
        <f>G50-J50</f>
        <v>0</v>
      </c>
      <c r="J50" s="31">
        <v>8</v>
      </c>
      <c r="K50" s="31">
        <v>4</v>
      </c>
      <c r="L50" s="31">
        <v>0</v>
      </c>
      <c r="M50" s="31">
        <v>0</v>
      </c>
      <c r="N50" s="39" t="s">
        <v>716</v>
      </c>
      <c r="O50" s="85" t="s">
        <v>25</v>
      </c>
      <c r="P50" s="26" t="s">
        <v>127</v>
      </c>
      <c r="Q50" s="35">
        <v>37499</v>
      </c>
      <c r="R50" s="29"/>
    </row>
    <row r="51" spans="1:18" s="22" customFormat="1" ht="24" hidden="1" customHeight="1">
      <c r="A51" s="26">
        <v>50</v>
      </c>
      <c r="B51" s="26" t="s">
        <v>156</v>
      </c>
      <c r="C51" s="26" t="s">
        <v>274</v>
      </c>
      <c r="D51" s="30" t="s">
        <v>106</v>
      </c>
      <c r="E51" s="26" t="s">
        <v>144</v>
      </c>
      <c r="F51" s="30" t="s">
        <v>713</v>
      </c>
      <c r="G51" s="26">
        <v>9</v>
      </c>
      <c r="H51" s="32">
        <v>1497</v>
      </c>
      <c r="I51" s="32">
        <f>G51-J51</f>
        <v>0</v>
      </c>
      <c r="J51" s="32">
        <v>9</v>
      </c>
      <c r="K51" s="32">
        <v>4</v>
      </c>
      <c r="L51" s="32">
        <v>0</v>
      </c>
      <c r="M51" s="32">
        <v>0</v>
      </c>
      <c r="N51" s="112" t="s">
        <v>714</v>
      </c>
      <c r="O51" s="33" t="s">
        <v>451</v>
      </c>
      <c r="P51" s="29" t="s">
        <v>308</v>
      </c>
      <c r="Q51" s="36">
        <v>38834</v>
      </c>
      <c r="R51" s="29"/>
    </row>
    <row r="52" spans="1:18" s="16" customFormat="1" ht="24" hidden="1" customHeight="1">
      <c r="A52" s="26">
        <v>51</v>
      </c>
      <c r="B52" s="33" t="s">
        <v>623</v>
      </c>
      <c r="C52" s="33" t="s">
        <v>718</v>
      </c>
      <c r="D52" s="38" t="s">
        <v>719</v>
      </c>
      <c r="E52" s="33" t="s">
        <v>637</v>
      </c>
      <c r="F52" s="38" t="s">
        <v>720</v>
      </c>
      <c r="G52" s="26">
        <v>9</v>
      </c>
      <c r="H52" s="31">
        <v>1313</v>
      </c>
      <c r="I52" s="31">
        <v>0</v>
      </c>
      <c r="J52" s="31">
        <v>9</v>
      </c>
      <c r="K52" s="31">
        <v>7</v>
      </c>
      <c r="L52" s="31">
        <v>0</v>
      </c>
      <c r="M52" s="31">
        <v>1</v>
      </c>
      <c r="N52" s="112" t="s">
        <v>721</v>
      </c>
      <c r="O52" s="169" t="s">
        <v>25</v>
      </c>
      <c r="P52" s="26" t="s">
        <v>127</v>
      </c>
      <c r="Q52" s="35">
        <v>41151</v>
      </c>
      <c r="R52" s="29"/>
    </row>
    <row r="53" spans="1:18" s="16" customFormat="1" ht="24" hidden="1" customHeight="1">
      <c r="A53" s="26">
        <v>52</v>
      </c>
      <c r="B53" s="26" t="s">
        <v>156</v>
      </c>
      <c r="C53" s="26" t="s">
        <v>226</v>
      </c>
      <c r="D53" s="29" t="s">
        <v>22</v>
      </c>
      <c r="E53" s="26" t="s">
        <v>144</v>
      </c>
      <c r="F53" s="29" t="s">
        <v>722</v>
      </c>
      <c r="G53" s="26">
        <v>11</v>
      </c>
      <c r="H53" s="31">
        <v>2364</v>
      </c>
      <c r="I53" s="31">
        <f>G53-J53</f>
        <v>0</v>
      </c>
      <c r="J53" s="31">
        <v>11</v>
      </c>
      <c r="K53" s="31">
        <v>6</v>
      </c>
      <c r="L53" s="31">
        <v>0</v>
      </c>
      <c r="M53" s="31">
        <v>1</v>
      </c>
      <c r="N53" s="112" t="s">
        <v>723</v>
      </c>
      <c r="O53" s="169" t="s">
        <v>25</v>
      </c>
      <c r="P53" s="26" t="s">
        <v>127</v>
      </c>
      <c r="Q53" s="35">
        <v>39345</v>
      </c>
      <c r="R53" s="29"/>
    </row>
    <row r="54" spans="1:18" s="141" customFormat="1" ht="24" hidden="1" customHeight="1">
      <c r="A54" s="26">
        <v>53</v>
      </c>
      <c r="B54" s="26" t="s">
        <v>156</v>
      </c>
      <c r="C54" s="26" t="s">
        <v>226</v>
      </c>
      <c r="D54" s="30" t="s">
        <v>54</v>
      </c>
      <c r="E54" s="26" t="s">
        <v>144</v>
      </c>
      <c r="F54" s="30" t="s">
        <v>717</v>
      </c>
      <c r="G54" s="26">
        <v>7</v>
      </c>
      <c r="H54" s="32">
        <v>1328</v>
      </c>
      <c r="I54" s="32">
        <f>G54-J54</f>
        <v>0</v>
      </c>
      <c r="J54" s="32">
        <v>7</v>
      </c>
      <c r="K54" s="32">
        <v>6</v>
      </c>
      <c r="L54" s="173">
        <v>0</v>
      </c>
      <c r="M54" s="32">
        <v>0</v>
      </c>
      <c r="N54" s="39" t="s">
        <v>125</v>
      </c>
      <c r="O54" s="167" t="s">
        <v>450</v>
      </c>
      <c r="P54" s="29" t="s">
        <v>27</v>
      </c>
      <c r="Q54" s="35">
        <v>38471</v>
      </c>
      <c r="R54" s="29"/>
    </row>
    <row r="55" spans="1:18" s="16" customFormat="1" ht="24" hidden="1" customHeight="1">
      <c r="A55" s="26">
        <v>54</v>
      </c>
      <c r="B55" s="26" t="s">
        <v>156</v>
      </c>
      <c r="C55" s="26" t="s">
        <v>266</v>
      </c>
      <c r="D55" s="29" t="s">
        <v>55</v>
      </c>
      <c r="E55" s="26" t="s">
        <v>144</v>
      </c>
      <c r="F55" s="29" t="s">
        <v>724</v>
      </c>
      <c r="G55" s="26">
        <v>11</v>
      </c>
      <c r="H55" s="31">
        <v>2215</v>
      </c>
      <c r="I55" s="31">
        <f>G55-J55</f>
        <v>0</v>
      </c>
      <c r="J55" s="31">
        <v>11</v>
      </c>
      <c r="K55" s="31">
        <v>5</v>
      </c>
      <c r="L55" s="42">
        <v>1</v>
      </c>
      <c r="M55" s="42">
        <v>1</v>
      </c>
      <c r="N55" s="112" t="s">
        <v>725</v>
      </c>
      <c r="O55" s="85" t="s">
        <v>25</v>
      </c>
      <c r="P55" s="26" t="s">
        <v>127</v>
      </c>
      <c r="Q55" s="35">
        <v>38268</v>
      </c>
      <c r="R55" s="29"/>
    </row>
    <row r="56" spans="1:18" s="16" customFormat="1" ht="24" hidden="1" customHeight="1">
      <c r="A56" s="26">
        <v>55</v>
      </c>
      <c r="B56" s="26" t="s">
        <v>744</v>
      </c>
      <c r="C56" s="26" t="s">
        <v>766</v>
      </c>
      <c r="D56" s="65" t="s">
        <v>767</v>
      </c>
      <c r="E56" s="33" t="s">
        <v>758</v>
      </c>
      <c r="F56" s="65" t="s">
        <v>768</v>
      </c>
      <c r="G56" s="26">
        <v>8</v>
      </c>
      <c r="H56" s="32">
        <v>1468</v>
      </c>
      <c r="I56" s="32">
        <v>0</v>
      </c>
      <c r="J56" s="32">
        <v>8</v>
      </c>
      <c r="K56" s="32">
        <v>5</v>
      </c>
      <c r="L56" s="32">
        <v>0</v>
      </c>
      <c r="M56" s="32">
        <v>0</v>
      </c>
      <c r="N56" s="112" t="s">
        <v>654</v>
      </c>
      <c r="O56" s="167" t="s">
        <v>450</v>
      </c>
      <c r="P56" s="29" t="s">
        <v>27</v>
      </c>
      <c r="Q56" s="35">
        <v>41487</v>
      </c>
      <c r="R56" s="29"/>
    </row>
    <row r="57" spans="1:18" s="16" customFormat="1" ht="24" hidden="1" customHeight="1">
      <c r="A57" s="26">
        <v>56</v>
      </c>
      <c r="B57" s="26" t="s">
        <v>156</v>
      </c>
      <c r="C57" s="26" t="s">
        <v>167</v>
      </c>
      <c r="D57" s="29" t="s">
        <v>56</v>
      </c>
      <c r="E57" s="26" t="s">
        <v>146</v>
      </c>
      <c r="F57" s="29" t="s">
        <v>726</v>
      </c>
      <c r="G57" s="26">
        <v>9</v>
      </c>
      <c r="H57" s="31">
        <v>1480</v>
      </c>
      <c r="I57" s="31">
        <f>G57-J57</f>
        <v>0</v>
      </c>
      <c r="J57" s="31">
        <v>9</v>
      </c>
      <c r="K57" s="31">
        <v>3</v>
      </c>
      <c r="L57" s="31">
        <v>0</v>
      </c>
      <c r="M57" s="31">
        <v>0</v>
      </c>
      <c r="N57" s="39" t="s">
        <v>710</v>
      </c>
      <c r="O57" s="85" t="s">
        <v>25</v>
      </c>
      <c r="P57" s="19" t="s">
        <v>127</v>
      </c>
      <c r="Q57" s="35">
        <v>38528</v>
      </c>
      <c r="R57" s="29"/>
    </row>
    <row r="58" spans="1:18" s="16" customFormat="1" ht="24" hidden="1" customHeight="1">
      <c r="A58" s="26">
        <v>57</v>
      </c>
      <c r="B58" s="26" t="s">
        <v>156</v>
      </c>
      <c r="C58" s="26" t="s">
        <v>167</v>
      </c>
      <c r="D58" s="65" t="s">
        <v>727</v>
      </c>
      <c r="E58" s="26" t="s">
        <v>146</v>
      </c>
      <c r="F58" s="30" t="s">
        <v>728</v>
      </c>
      <c r="G58" s="26">
        <v>6</v>
      </c>
      <c r="H58" s="32">
        <v>711</v>
      </c>
      <c r="I58" s="32">
        <v>0</v>
      </c>
      <c r="J58" s="32">
        <v>6</v>
      </c>
      <c r="K58" s="32">
        <v>2</v>
      </c>
      <c r="L58" s="32">
        <v>0</v>
      </c>
      <c r="M58" s="32">
        <v>0</v>
      </c>
      <c r="N58" s="39" t="s">
        <v>125</v>
      </c>
      <c r="O58" s="33" t="s">
        <v>451</v>
      </c>
      <c r="P58" s="29" t="s">
        <v>308</v>
      </c>
      <c r="Q58" s="35">
        <v>40118</v>
      </c>
      <c r="R58" s="38"/>
    </row>
    <row r="59" spans="1:18" s="142" customFormat="1" ht="24" hidden="1" customHeight="1">
      <c r="A59" s="26">
        <v>58</v>
      </c>
      <c r="B59" s="26" t="s">
        <v>156</v>
      </c>
      <c r="C59" s="33" t="s">
        <v>466</v>
      </c>
      <c r="D59" s="65" t="s">
        <v>433</v>
      </c>
      <c r="E59" s="33" t="s">
        <v>432</v>
      </c>
      <c r="F59" s="65" t="s">
        <v>1422</v>
      </c>
      <c r="G59" s="26">
        <v>1</v>
      </c>
      <c r="H59" s="32">
        <v>260</v>
      </c>
      <c r="I59" s="32">
        <v>0</v>
      </c>
      <c r="J59" s="32">
        <v>1</v>
      </c>
      <c r="K59" s="32">
        <v>0</v>
      </c>
      <c r="L59" s="32">
        <v>0</v>
      </c>
      <c r="M59" s="32">
        <v>0</v>
      </c>
      <c r="N59" s="112" t="s">
        <v>462</v>
      </c>
      <c r="O59" s="33" t="s">
        <v>434</v>
      </c>
      <c r="P59" s="33" t="s">
        <v>467</v>
      </c>
      <c r="Q59" s="35">
        <v>40453</v>
      </c>
      <c r="R59" s="38" t="s">
        <v>527</v>
      </c>
    </row>
    <row r="60" spans="1:18" s="142" customFormat="1" ht="24" customHeight="1" thickTop="1">
      <c r="A60" s="26">
        <v>59</v>
      </c>
      <c r="B60" s="27" t="s">
        <v>156</v>
      </c>
      <c r="C60" s="27" t="s">
        <v>168</v>
      </c>
      <c r="D60" s="28" t="s">
        <v>82</v>
      </c>
      <c r="E60" s="27" t="s">
        <v>144</v>
      </c>
      <c r="F60" s="28" t="s">
        <v>729</v>
      </c>
      <c r="G60" s="26">
        <v>8</v>
      </c>
      <c r="H60" s="31">
        <v>1184</v>
      </c>
      <c r="I60" s="31">
        <f>G60-J60</f>
        <v>0</v>
      </c>
      <c r="J60" s="31">
        <v>8</v>
      </c>
      <c r="K60" s="31">
        <v>3</v>
      </c>
      <c r="L60" s="31">
        <v>0</v>
      </c>
      <c r="M60" s="31">
        <v>0</v>
      </c>
      <c r="N60" s="112" t="s">
        <v>730</v>
      </c>
      <c r="O60" s="85" t="s">
        <v>25</v>
      </c>
      <c r="P60" s="26" t="s">
        <v>127</v>
      </c>
      <c r="Q60" s="35">
        <v>39283</v>
      </c>
      <c r="R60" s="28"/>
    </row>
    <row r="61" spans="1:18" s="58" customFormat="1" ht="24" customHeight="1">
      <c r="A61" s="26">
        <v>60</v>
      </c>
      <c r="B61" s="26" t="s">
        <v>156</v>
      </c>
      <c r="C61" s="26" t="s">
        <v>168</v>
      </c>
      <c r="D61" s="30" t="s">
        <v>733</v>
      </c>
      <c r="E61" s="26" t="s">
        <v>146</v>
      </c>
      <c r="F61" s="30" t="s">
        <v>734</v>
      </c>
      <c r="G61" s="26">
        <v>8</v>
      </c>
      <c r="H61" s="32">
        <v>1459</v>
      </c>
      <c r="I61" s="32">
        <f>G61-J61</f>
        <v>0</v>
      </c>
      <c r="J61" s="32">
        <v>8</v>
      </c>
      <c r="K61" s="32">
        <v>4</v>
      </c>
      <c r="L61" s="32">
        <v>0</v>
      </c>
      <c r="M61" s="32">
        <v>0</v>
      </c>
      <c r="N61" s="39" t="s">
        <v>125</v>
      </c>
      <c r="O61" s="67" t="s">
        <v>450</v>
      </c>
      <c r="P61" s="29" t="s">
        <v>27</v>
      </c>
      <c r="Q61" s="35">
        <v>39259</v>
      </c>
      <c r="R61" s="29"/>
    </row>
    <row r="62" spans="1:18" s="58" customFormat="1" ht="24" customHeight="1">
      <c r="A62" s="26">
        <v>61</v>
      </c>
      <c r="B62" s="27" t="s">
        <v>156</v>
      </c>
      <c r="C62" s="27" t="s">
        <v>168</v>
      </c>
      <c r="D62" s="28" t="s">
        <v>258</v>
      </c>
      <c r="E62" s="27" t="s">
        <v>125</v>
      </c>
      <c r="F62" s="28" t="s">
        <v>731</v>
      </c>
      <c r="G62" s="26">
        <v>10</v>
      </c>
      <c r="H62" s="32">
        <v>2379</v>
      </c>
      <c r="I62" s="32">
        <v>0</v>
      </c>
      <c r="J62" s="32">
        <v>10</v>
      </c>
      <c r="K62" s="32">
        <v>2</v>
      </c>
      <c r="L62" s="32">
        <v>0</v>
      </c>
      <c r="M62" s="32">
        <v>0</v>
      </c>
      <c r="N62" s="39" t="s">
        <v>125</v>
      </c>
      <c r="O62" s="27" t="s">
        <v>380</v>
      </c>
      <c r="P62" s="29" t="s">
        <v>35</v>
      </c>
      <c r="Q62" s="26" t="s">
        <v>131</v>
      </c>
      <c r="R62" s="37" t="s">
        <v>732</v>
      </c>
    </row>
    <row r="63" spans="1:18" ht="24" customHeight="1">
      <c r="A63" s="26">
        <v>62</v>
      </c>
      <c r="B63" s="27" t="s">
        <v>156</v>
      </c>
      <c r="C63" s="27" t="s">
        <v>168</v>
      </c>
      <c r="D63" s="28" t="s">
        <v>85</v>
      </c>
      <c r="E63" s="27" t="s">
        <v>125</v>
      </c>
      <c r="F63" s="28" t="s">
        <v>1423</v>
      </c>
      <c r="G63" s="26">
        <v>1</v>
      </c>
      <c r="H63" s="32">
        <v>286</v>
      </c>
      <c r="I63" s="32">
        <f>G63-J63</f>
        <v>0</v>
      </c>
      <c r="J63" s="32">
        <v>1</v>
      </c>
      <c r="K63" s="32">
        <v>0</v>
      </c>
      <c r="L63" s="32">
        <v>0</v>
      </c>
      <c r="M63" s="32">
        <v>0</v>
      </c>
      <c r="N63" s="39" t="s">
        <v>125</v>
      </c>
      <c r="O63" s="27" t="s">
        <v>381</v>
      </c>
      <c r="P63" s="26" t="s">
        <v>31</v>
      </c>
      <c r="Q63" s="35">
        <v>37386</v>
      </c>
      <c r="R63" s="28"/>
    </row>
    <row r="64" spans="1:18" ht="24" customHeight="1">
      <c r="A64" s="26">
        <v>63</v>
      </c>
      <c r="B64" s="27" t="s">
        <v>156</v>
      </c>
      <c r="C64" s="27" t="s">
        <v>168</v>
      </c>
      <c r="D64" s="28" t="s">
        <v>390</v>
      </c>
      <c r="E64" s="27" t="s">
        <v>125</v>
      </c>
      <c r="F64" s="28" t="s">
        <v>1424</v>
      </c>
      <c r="G64" s="26">
        <v>1</v>
      </c>
      <c r="H64" s="32">
        <v>238</v>
      </c>
      <c r="I64" s="32">
        <v>0</v>
      </c>
      <c r="J64" s="32">
        <v>1</v>
      </c>
      <c r="K64" s="32">
        <v>0</v>
      </c>
      <c r="L64" s="32">
        <v>0</v>
      </c>
      <c r="M64" s="32">
        <v>0</v>
      </c>
      <c r="N64" s="39" t="s">
        <v>125</v>
      </c>
      <c r="O64" s="27" t="s">
        <v>77</v>
      </c>
      <c r="P64" s="26" t="s">
        <v>0</v>
      </c>
      <c r="Q64" s="35">
        <v>39779</v>
      </c>
      <c r="R64" s="28"/>
    </row>
    <row r="65" spans="1:18" ht="24" customHeight="1">
      <c r="A65" s="26">
        <v>64</v>
      </c>
      <c r="B65" s="27" t="s">
        <v>156</v>
      </c>
      <c r="C65" s="27" t="s">
        <v>168</v>
      </c>
      <c r="D65" s="28" t="s">
        <v>84</v>
      </c>
      <c r="E65" s="27" t="s">
        <v>125</v>
      </c>
      <c r="F65" s="28" t="s">
        <v>1426</v>
      </c>
      <c r="G65" s="26">
        <v>2</v>
      </c>
      <c r="H65" s="32">
        <v>365</v>
      </c>
      <c r="I65" s="32">
        <v>0</v>
      </c>
      <c r="J65" s="32">
        <v>2</v>
      </c>
      <c r="K65" s="32">
        <v>0</v>
      </c>
      <c r="L65" s="32">
        <v>0</v>
      </c>
      <c r="M65" s="32">
        <v>0</v>
      </c>
      <c r="N65" s="39" t="s">
        <v>125</v>
      </c>
      <c r="O65" s="27" t="s">
        <v>403</v>
      </c>
      <c r="P65" s="26" t="s">
        <v>310</v>
      </c>
      <c r="Q65" s="26" t="s">
        <v>128</v>
      </c>
      <c r="R65" s="37" t="s">
        <v>460</v>
      </c>
    </row>
    <row r="66" spans="1:18" ht="24" customHeight="1">
      <c r="A66" s="26">
        <v>65</v>
      </c>
      <c r="B66" s="26" t="s">
        <v>156</v>
      </c>
      <c r="C66" s="26" t="s">
        <v>168</v>
      </c>
      <c r="D66" s="65" t="s">
        <v>456</v>
      </c>
      <c r="E66" s="26" t="s">
        <v>125</v>
      </c>
      <c r="F66" s="30" t="s">
        <v>1425</v>
      </c>
      <c r="G66" s="26">
        <v>1</v>
      </c>
      <c r="H66" s="32">
        <v>110</v>
      </c>
      <c r="I66" s="32">
        <f>G66-J66</f>
        <v>0</v>
      </c>
      <c r="J66" s="32">
        <v>1</v>
      </c>
      <c r="K66" s="32">
        <v>0</v>
      </c>
      <c r="L66" s="32">
        <v>0</v>
      </c>
      <c r="M66" s="32">
        <v>0</v>
      </c>
      <c r="N66" s="39" t="s">
        <v>125</v>
      </c>
      <c r="O66" s="33" t="s">
        <v>459</v>
      </c>
      <c r="P66" s="144" t="s">
        <v>458</v>
      </c>
      <c r="Q66" s="36">
        <v>39067</v>
      </c>
      <c r="R66" s="38" t="s">
        <v>457</v>
      </c>
    </row>
    <row r="67" spans="1:18" ht="24" customHeight="1">
      <c r="A67" s="26">
        <v>66</v>
      </c>
      <c r="B67" s="27" t="s">
        <v>156</v>
      </c>
      <c r="C67" s="27" t="s">
        <v>168</v>
      </c>
      <c r="D67" s="37" t="s">
        <v>454</v>
      </c>
      <c r="E67" s="27" t="s">
        <v>125</v>
      </c>
      <c r="F67" s="28" t="s">
        <v>1427</v>
      </c>
      <c r="G67" s="26">
        <v>1</v>
      </c>
      <c r="H67" s="32">
        <v>300</v>
      </c>
      <c r="I67" s="32">
        <f>G67-J67</f>
        <v>0</v>
      </c>
      <c r="J67" s="32">
        <v>1</v>
      </c>
      <c r="K67" s="32">
        <v>0</v>
      </c>
      <c r="L67" s="32">
        <v>0</v>
      </c>
      <c r="M67" s="32">
        <v>0</v>
      </c>
      <c r="N67" s="39" t="s">
        <v>125</v>
      </c>
      <c r="O67" s="27" t="s">
        <v>83</v>
      </c>
      <c r="P67" s="26"/>
      <c r="Q67" s="35">
        <v>39539</v>
      </c>
      <c r="R67" s="37" t="s">
        <v>455</v>
      </c>
    </row>
    <row r="68" spans="1:18" s="114" customFormat="1" ht="24" hidden="1" customHeight="1">
      <c r="A68" s="26">
        <v>67</v>
      </c>
      <c r="B68" s="26" t="s">
        <v>156</v>
      </c>
      <c r="C68" s="26" t="s">
        <v>201</v>
      </c>
      <c r="D68" s="29" t="s">
        <v>57</v>
      </c>
      <c r="E68" s="26" t="s">
        <v>144</v>
      </c>
      <c r="F68" s="29" t="s">
        <v>737</v>
      </c>
      <c r="G68" s="26">
        <v>5</v>
      </c>
      <c r="H68" s="31">
        <v>736</v>
      </c>
      <c r="I68" s="31">
        <f>G68-J68</f>
        <v>0</v>
      </c>
      <c r="J68" s="31">
        <v>5</v>
      </c>
      <c r="K68" s="31">
        <v>4</v>
      </c>
      <c r="L68" s="31">
        <v>0</v>
      </c>
      <c r="M68" s="31">
        <v>0</v>
      </c>
      <c r="N68" s="39" t="s">
        <v>649</v>
      </c>
      <c r="O68" s="85" t="s">
        <v>25</v>
      </c>
      <c r="P68" s="26" t="s">
        <v>127</v>
      </c>
      <c r="Q68" s="35">
        <v>37248</v>
      </c>
      <c r="R68" s="29"/>
    </row>
    <row r="69" spans="1:18" s="22" customFormat="1" ht="24" hidden="1" customHeight="1">
      <c r="A69" s="26">
        <v>68</v>
      </c>
      <c r="B69" s="27" t="s">
        <v>156</v>
      </c>
      <c r="C69" s="27" t="s">
        <v>201</v>
      </c>
      <c r="D69" s="28" t="s">
        <v>416</v>
      </c>
      <c r="E69" s="85" t="s">
        <v>637</v>
      </c>
      <c r="F69" s="28" t="s">
        <v>741</v>
      </c>
      <c r="G69" s="26">
        <v>6</v>
      </c>
      <c r="H69" s="31">
        <v>876</v>
      </c>
      <c r="I69" s="31">
        <f>G69-J69</f>
        <v>0</v>
      </c>
      <c r="J69" s="31">
        <v>6</v>
      </c>
      <c r="K69" s="31">
        <v>3</v>
      </c>
      <c r="L69" s="31">
        <v>0</v>
      </c>
      <c r="M69" s="31">
        <v>0</v>
      </c>
      <c r="N69" s="39" t="s">
        <v>649</v>
      </c>
      <c r="O69" s="85" t="s">
        <v>25</v>
      </c>
      <c r="P69" s="26" t="s">
        <v>127</v>
      </c>
      <c r="Q69" s="35">
        <v>38814</v>
      </c>
      <c r="R69" s="28" t="s">
        <v>452</v>
      </c>
    </row>
    <row r="70" spans="1:18" ht="24" hidden="1" customHeight="1">
      <c r="A70" s="26">
        <v>69</v>
      </c>
      <c r="B70" s="26" t="s">
        <v>156</v>
      </c>
      <c r="C70" s="26" t="s">
        <v>201</v>
      </c>
      <c r="D70" s="30" t="s">
        <v>225</v>
      </c>
      <c r="E70" s="26" t="s">
        <v>125</v>
      </c>
      <c r="F70" s="30" t="s">
        <v>742</v>
      </c>
      <c r="G70" s="26">
        <v>11</v>
      </c>
      <c r="H70" s="32">
        <v>2754</v>
      </c>
      <c r="I70" s="32">
        <v>0</v>
      </c>
      <c r="J70" s="32">
        <v>11</v>
      </c>
      <c r="K70" s="32">
        <v>2</v>
      </c>
      <c r="L70" s="32">
        <v>0</v>
      </c>
      <c r="M70" s="32">
        <v>0</v>
      </c>
      <c r="N70" s="39" t="s">
        <v>125</v>
      </c>
      <c r="O70" s="26" t="s">
        <v>404</v>
      </c>
      <c r="P70" s="29" t="s">
        <v>36</v>
      </c>
      <c r="Q70" s="35">
        <v>37240</v>
      </c>
      <c r="R70" s="28"/>
    </row>
    <row r="71" spans="1:18" ht="24" hidden="1" customHeight="1">
      <c r="A71" s="26">
        <v>70</v>
      </c>
      <c r="B71" s="26" t="s">
        <v>156</v>
      </c>
      <c r="C71" s="26" t="s">
        <v>201</v>
      </c>
      <c r="D71" s="30" t="s">
        <v>314</v>
      </c>
      <c r="E71" s="26" t="s">
        <v>144</v>
      </c>
      <c r="F71" s="30" t="s">
        <v>735</v>
      </c>
      <c r="G71" s="26">
        <v>5</v>
      </c>
      <c r="H71" s="32">
        <v>646</v>
      </c>
      <c r="I71" s="32">
        <f>G71-J71</f>
        <v>0</v>
      </c>
      <c r="J71" s="32">
        <v>5</v>
      </c>
      <c r="K71" s="32">
        <v>5</v>
      </c>
      <c r="L71" s="32">
        <v>0</v>
      </c>
      <c r="M71" s="32">
        <v>0</v>
      </c>
      <c r="N71" s="112" t="s">
        <v>736</v>
      </c>
      <c r="O71" s="33" t="s">
        <v>450</v>
      </c>
      <c r="P71" s="29" t="s">
        <v>27</v>
      </c>
      <c r="Q71" s="35">
        <v>38436</v>
      </c>
      <c r="R71" s="29"/>
    </row>
    <row r="72" spans="1:18" ht="24" hidden="1" customHeight="1">
      <c r="A72" s="26">
        <v>71</v>
      </c>
      <c r="B72" s="26" t="s">
        <v>156</v>
      </c>
      <c r="C72" s="26" t="s">
        <v>201</v>
      </c>
      <c r="D72" s="65" t="s">
        <v>739</v>
      </c>
      <c r="E72" s="33" t="s">
        <v>637</v>
      </c>
      <c r="F72" s="65" t="s">
        <v>740</v>
      </c>
      <c r="G72" s="26">
        <v>2</v>
      </c>
      <c r="H72" s="32">
        <v>118</v>
      </c>
      <c r="I72" s="32">
        <v>0</v>
      </c>
      <c r="J72" s="32">
        <v>2</v>
      </c>
      <c r="K72" s="32">
        <v>2</v>
      </c>
      <c r="L72" s="32">
        <v>0</v>
      </c>
      <c r="M72" s="32">
        <v>0</v>
      </c>
      <c r="N72" s="112" t="s">
        <v>654</v>
      </c>
      <c r="O72" s="67" t="s">
        <v>450</v>
      </c>
      <c r="P72" s="29" t="s">
        <v>27</v>
      </c>
      <c r="Q72" s="35">
        <v>41109</v>
      </c>
      <c r="R72" s="29"/>
    </row>
    <row r="73" spans="1:18" ht="24" hidden="1" customHeight="1">
      <c r="A73" s="26">
        <v>72</v>
      </c>
      <c r="B73" s="26" t="s">
        <v>156</v>
      </c>
      <c r="C73" s="26" t="s">
        <v>201</v>
      </c>
      <c r="D73" s="30" t="s">
        <v>107</v>
      </c>
      <c r="E73" s="26" t="s">
        <v>144</v>
      </c>
      <c r="F73" s="30" t="s">
        <v>738</v>
      </c>
      <c r="G73" s="26">
        <v>8</v>
      </c>
      <c r="H73" s="32">
        <v>1596</v>
      </c>
      <c r="I73" s="32">
        <f>G73-J73</f>
        <v>0</v>
      </c>
      <c r="J73" s="32">
        <v>8</v>
      </c>
      <c r="K73" s="32">
        <v>2</v>
      </c>
      <c r="L73" s="32">
        <v>0</v>
      </c>
      <c r="M73" s="32">
        <v>0</v>
      </c>
      <c r="N73" s="112" t="s">
        <v>704</v>
      </c>
      <c r="O73" s="33" t="s">
        <v>451</v>
      </c>
      <c r="P73" s="29" t="s">
        <v>308</v>
      </c>
      <c r="Q73" s="35">
        <v>39702</v>
      </c>
      <c r="R73" s="29"/>
    </row>
    <row r="74" spans="1:18" ht="24" hidden="1" customHeight="1">
      <c r="A74" s="26">
        <v>73</v>
      </c>
      <c r="B74" s="27" t="s">
        <v>156</v>
      </c>
      <c r="C74" s="27" t="s">
        <v>201</v>
      </c>
      <c r="D74" s="28" t="s">
        <v>86</v>
      </c>
      <c r="E74" s="27" t="s">
        <v>125</v>
      </c>
      <c r="F74" s="28" t="s">
        <v>1428</v>
      </c>
      <c r="G74" s="26">
        <v>1</v>
      </c>
      <c r="H74" s="32">
        <v>179</v>
      </c>
      <c r="I74" s="32">
        <v>0</v>
      </c>
      <c r="J74" s="32">
        <v>1</v>
      </c>
      <c r="K74" s="32">
        <v>0</v>
      </c>
      <c r="L74" s="32">
        <v>0</v>
      </c>
      <c r="M74" s="32">
        <v>0</v>
      </c>
      <c r="N74" s="39" t="s">
        <v>125</v>
      </c>
      <c r="O74" s="27" t="s">
        <v>405</v>
      </c>
      <c r="P74" s="27" t="s">
        <v>429</v>
      </c>
      <c r="Q74" s="27" t="s">
        <v>8</v>
      </c>
      <c r="R74" s="37"/>
    </row>
    <row r="75" spans="1:18" ht="24" hidden="1" customHeight="1">
      <c r="A75" s="26">
        <v>74</v>
      </c>
      <c r="B75" s="27" t="s">
        <v>156</v>
      </c>
      <c r="C75" s="27" t="s">
        <v>201</v>
      </c>
      <c r="D75" s="28" t="s">
        <v>5</v>
      </c>
      <c r="E75" s="27" t="s">
        <v>125</v>
      </c>
      <c r="F75" s="28" t="s">
        <v>1429</v>
      </c>
      <c r="G75" s="26">
        <v>1</v>
      </c>
      <c r="H75" s="32">
        <v>76</v>
      </c>
      <c r="I75" s="32">
        <f>G75-J75</f>
        <v>0</v>
      </c>
      <c r="J75" s="32">
        <v>1</v>
      </c>
      <c r="K75" s="32">
        <v>0</v>
      </c>
      <c r="L75" s="32">
        <v>0</v>
      </c>
      <c r="M75" s="32">
        <v>0</v>
      </c>
      <c r="N75" s="39" t="s">
        <v>125</v>
      </c>
      <c r="O75" s="27" t="s">
        <v>406</v>
      </c>
      <c r="P75" s="26" t="s">
        <v>29</v>
      </c>
      <c r="Q75" s="35">
        <v>39429</v>
      </c>
      <c r="R75" s="28"/>
    </row>
    <row r="76" spans="1:18" ht="24" hidden="1" customHeight="1">
      <c r="A76" s="26">
        <v>75</v>
      </c>
      <c r="B76" s="27" t="s">
        <v>505</v>
      </c>
      <c r="C76" s="27" t="s">
        <v>506</v>
      </c>
      <c r="D76" s="28" t="s">
        <v>503</v>
      </c>
      <c r="E76" s="27" t="s">
        <v>504</v>
      </c>
      <c r="F76" s="28" t="s">
        <v>1430</v>
      </c>
      <c r="G76" s="26">
        <v>1</v>
      </c>
      <c r="H76" s="32">
        <v>226</v>
      </c>
      <c r="I76" s="32">
        <v>0</v>
      </c>
      <c r="J76" s="32">
        <v>1</v>
      </c>
      <c r="K76" s="32">
        <v>0</v>
      </c>
      <c r="L76" s="32">
        <v>0</v>
      </c>
      <c r="M76" s="32">
        <v>0</v>
      </c>
      <c r="N76" s="39" t="s">
        <v>504</v>
      </c>
      <c r="O76" s="27" t="s">
        <v>530</v>
      </c>
      <c r="P76" s="26"/>
      <c r="Q76" s="35">
        <v>41395</v>
      </c>
      <c r="R76" s="28"/>
    </row>
    <row r="77" spans="1:18" ht="24" hidden="1" customHeight="1">
      <c r="A77" s="26">
        <v>76</v>
      </c>
      <c r="B77" s="26" t="s">
        <v>156</v>
      </c>
      <c r="C77" s="26" t="s">
        <v>145</v>
      </c>
      <c r="D77" s="30" t="s">
        <v>24</v>
      </c>
      <c r="E77" s="26" t="s">
        <v>146</v>
      </c>
      <c r="F77" s="30" t="s">
        <v>743</v>
      </c>
      <c r="G77" s="26">
        <v>7</v>
      </c>
      <c r="H77" s="53">
        <v>939</v>
      </c>
      <c r="I77" s="32">
        <v>0</v>
      </c>
      <c r="J77" s="53">
        <v>7</v>
      </c>
      <c r="K77" s="53">
        <v>2</v>
      </c>
      <c r="L77" s="53">
        <v>0</v>
      </c>
      <c r="M77" s="32">
        <v>0</v>
      </c>
      <c r="N77" s="112" t="s">
        <v>654</v>
      </c>
      <c r="O77" s="33" t="s">
        <v>451</v>
      </c>
      <c r="P77" s="29" t="s">
        <v>308</v>
      </c>
      <c r="Q77" s="35">
        <v>40087</v>
      </c>
      <c r="R77" s="29"/>
    </row>
    <row r="78" spans="1:18" ht="24" hidden="1" customHeight="1">
      <c r="A78" s="86"/>
      <c r="B78" s="19"/>
      <c r="C78" s="19"/>
      <c r="D78" s="87"/>
      <c r="E78" s="19"/>
      <c r="F78" s="87"/>
      <c r="G78" s="91"/>
      <c r="H78" s="92"/>
      <c r="I78" s="92"/>
      <c r="J78" s="92"/>
      <c r="K78" s="92"/>
      <c r="L78" s="92"/>
      <c r="M78" s="92"/>
      <c r="N78" s="88"/>
      <c r="O78" s="19"/>
      <c r="P78" s="19"/>
      <c r="Q78" s="89"/>
      <c r="R78" s="22"/>
    </row>
    <row r="79" spans="1:18" ht="24" customHeight="1">
      <c r="A79" s="86"/>
      <c r="B79" s="19"/>
      <c r="C79" s="19"/>
      <c r="D79" s="87"/>
      <c r="E79" s="19"/>
      <c r="F79" s="87"/>
      <c r="G79" s="19"/>
      <c r="H79" s="23"/>
      <c r="I79" s="73"/>
      <c r="J79" s="23"/>
      <c r="K79" s="23"/>
      <c r="L79" s="23"/>
      <c r="M79" s="73"/>
      <c r="N79" s="88"/>
      <c r="O79" s="19"/>
      <c r="P79" s="19"/>
      <c r="Q79" s="89"/>
      <c r="R79" s="22"/>
    </row>
    <row r="80" spans="1:18" ht="24" customHeight="1">
      <c r="A80" s="90" t="s">
        <v>772</v>
      </c>
      <c r="B80" s="19"/>
      <c r="C80" s="19"/>
      <c r="D80" s="87"/>
      <c r="E80" s="19"/>
      <c r="F80" s="87"/>
      <c r="G80" s="19"/>
      <c r="H80" s="23"/>
      <c r="I80" s="73"/>
      <c r="J80" s="23"/>
      <c r="K80" s="23"/>
      <c r="L80" s="23"/>
      <c r="M80" s="73"/>
      <c r="N80" s="88"/>
      <c r="O80" s="19"/>
      <c r="P80" s="19"/>
      <c r="Q80" s="89"/>
      <c r="R80" s="22"/>
    </row>
    <row r="81" spans="1:18" s="16" customFormat="1" ht="20.25" customHeight="1">
      <c r="A81" s="145">
        <v>1</v>
      </c>
      <c r="B81" s="145" t="s">
        <v>156</v>
      </c>
      <c r="C81" s="145" t="s">
        <v>160</v>
      </c>
      <c r="D81" s="199" t="s">
        <v>769</v>
      </c>
      <c r="E81" s="145" t="s">
        <v>144</v>
      </c>
      <c r="F81" s="161" t="s">
        <v>13</v>
      </c>
      <c r="G81" s="145">
        <v>9</v>
      </c>
      <c r="H81" s="163">
        <v>1499</v>
      </c>
      <c r="I81" s="163">
        <f>G81-J81</f>
        <v>0</v>
      </c>
      <c r="J81" s="163">
        <v>9</v>
      </c>
      <c r="K81" s="163">
        <v>4</v>
      </c>
      <c r="L81" s="163"/>
      <c r="M81" s="163">
        <v>0</v>
      </c>
      <c r="N81" s="148" t="s">
        <v>125</v>
      </c>
      <c r="O81" s="195" t="s">
        <v>25</v>
      </c>
      <c r="P81" s="145" t="s">
        <v>127</v>
      </c>
      <c r="Q81" s="149">
        <v>38101</v>
      </c>
      <c r="R81" s="200" t="s">
        <v>770</v>
      </c>
    </row>
    <row r="82" spans="1:18" s="16" customFormat="1" ht="21.75" customHeight="1">
      <c r="A82" s="145">
        <v>2</v>
      </c>
      <c r="B82" s="145" t="s">
        <v>773</v>
      </c>
      <c r="C82" s="145" t="s">
        <v>774</v>
      </c>
      <c r="D82" s="197" t="s">
        <v>775</v>
      </c>
      <c r="E82" s="196" t="s">
        <v>635</v>
      </c>
      <c r="F82" s="197" t="s">
        <v>776</v>
      </c>
      <c r="G82" s="145">
        <v>21</v>
      </c>
      <c r="H82" s="147">
        <v>4617</v>
      </c>
      <c r="I82" s="147">
        <v>0</v>
      </c>
      <c r="J82" s="147">
        <v>21</v>
      </c>
      <c r="K82" s="147">
        <v>11</v>
      </c>
      <c r="L82" s="147">
        <v>0</v>
      </c>
      <c r="M82" s="147">
        <v>1</v>
      </c>
      <c r="N82" s="201" t="s">
        <v>777</v>
      </c>
      <c r="O82" s="196" t="s">
        <v>450</v>
      </c>
      <c r="P82" s="161" t="s">
        <v>27</v>
      </c>
      <c r="Q82" s="149">
        <v>41927</v>
      </c>
      <c r="R82" s="200" t="s">
        <v>778</v>
      </c>
    </row>
    <row r="83" spans="1:18" s="16" customFormat="1" ht="21.75" customHeight="1">
      <c r="A83" s="145">
        <v>3</v>
      </c>
      <c r="B83" s="165" t="s">
        <v>156</v>
      </c>
      <c r="C83" s="165" t="s">
        <v>272</v>
      </c>
      <c r="D83" s="185" t="s">
        <v>779</v>
      </c>
      <c r="E83" s="165" t="s">
        <v>144</v>
      </c>
      <c r="F83" s="176" t="s">
        <v>129</v>
      </c>
      <c r="G83" s="145">
        <v>2</v>
      </c>
      <c r="H83" s="147">
        <v>709</v>
      </c>
      <c r="I83" s="147">
        <f>G83-J83</f>
        <v>0</v>
      </c>
      <c r="J83" s="147">
        <v>2</v>
      </c>
      <c r="K83" s="147">
        <v>2</v>
      </c>
      <c r="L83" s="202">
        <v>0</v>
      </c>
      <c r="M83" s="147">
        <v>0</v>
      </c>
      <c r="N83" s="148" t="s">
        <v>125</v>
      </c>
      <c r="O83" s="206" t="s">
        <v>450</v>
      </c>
      <c r="P83" s="161" t="s">
        <v>27</v>
      </c>
      <c r="Q83" s="149">
        <v>39661</v>
      </c>
      <c r="R83" s="203" t="s">
        <v>780</v>
      </c>
    </row>
  </sheetData>
  <autoFilter ref="A1:R78">
    <filterColumn colId="2">
      <filters>
        <filter val="종로구"/>
      </filters>
    </filterColumn>
    <sortState ref="A2:R137">
      <sortCondition ref="C2:C137"/>
      <sortCondition ref="D2:D137"/>
    </sortState>
  </autoFilter>
  <phoneticPr fontId="28" type="noConversion"/>
  <pageMargins left="0.19680555164813995" right="0.19680555164813995" top="0.55111110210418701" bottom="0.51180553436279297" header="0.27555555105209351" footer="0.27555555105209351"/>
  <pageSetup paperSize="9" scale="94" orientation="landscape" horizontalDpi="300" verticalDpi="300" r:id="rId1"/>
  <headerFooter alignWithMargins="0">
    <oddHeader>&amp;L&amp;"돋움,Bold"전국극장현황&amp;C&amp;"돋움,Bold"서울&amp;R&amp;"돋움,Bold"2006. 12. 31 기준</oddHeader>
    <oddFooter>&amp;C&amp;"돋움,Regular"&amp;P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1"/>
  <sheetViews>
    <sheetView zoomScaleSheetLayoutView="75" workbookViewId="0">
      <pane xSplit="4" ySplit="1" topLeftCell="E20" activePane="bottomRight" state="frozen"/>
      <selection pane="topRight" activeCell="E1" sqref="E1"/>
      <selection pane="bottomLeft" activeCell="A2" sqref="A2"/>
      <selection pane="bottomRight" activeCell="H22" sqref="H22:H27"/>
    </sheetView>
  </sheetViews>
  <sheetFormatPr defaultRowHeight="24" customHeight="1"/>
  <cols>
    <col min="1" max="1" width="5.77734375" style="4" customWidth="1"/>
    <col min="2" max="3" width="8.77734375" style="1" customWidth="1"/>
    <col min="4" max="4" width="17.21875" style="4" customWidth="1"/>
    <col min="5" max="5" width="15.109375" style="4" customWidth="1"/>
    <col min="6" max="6" width="18.21875" style="4" customWidth="1"/>
    <col min="7" max="7" width="13.77734375" style="22" customWidth="1"/>
    <col min="8" max="8" width="14" style="23" customWidth="1"/>
    <col min="9" max="9" width="13.33203125" style="23" customWidth="1"/>
    <col min="10" max="10" width="10.5546875" style="23" customWidth="1"/>
    <col min="11" max="13" width="13.33203125" style="23" customWidth="1"/>
    <col min="14" max="14" width="18.6640625" style="1" customWidth="1"/>
    <col min="15" max="15" width="16.88671875" style="1" customWidth="1"/>
    <col min="16" max="16" width="15.77734375" style="4" customWidth="1"/>
    <col min="17" max="17" width="11.44140625" style="4" customWidth="1"/>
    <col min="18" max="18" width="15.77734375" style="4" customWidth="1"/>
    <col min="19" max="20" width="21.33203125" style="4" customWidth="1"/>
    <col min="21" max="16384" width="8.88671875" style="4"/>
  </cols>
  <sheetData>
    <row r="1" spans="1:18" s="1" customFormat="1" ht="48" customHeight="1" thickBot="1">
      <c r="A1" s="207" t="s">
        <v>153</v>
      </c>
      <c r="B1" s="45" t="s">
        <v>206</v>
      </c>
      <c r="C1" s="45" t="s">
        <v>207</v>
      </c>
      <c r="D1" s="45" t="s">
        <v>162</v>
      </c>
      <c r="E1" s="45" t="s">
        <v>115</v>
      </c>
      <c r="F1" s="45" t="s">
        <v>257</v>
      </c>
      <c r="G1" s="46" t="s">
        <v>290</v>
      </c>
      <c r="H1" s="46" t="s">
        <v>291</v>
      </c>
      <c r="I1" s="52" t="s">
        <v>536</v>
      </c>
      <c r="J1" s="52" t="s">
        <v>537</v>
      </c>
      <c r="K1" s="52" t="s">
        <v>409</v>
      </c>
      <c r="L1" s="52" t="s">
        <v>574</v>
      </c>
      <c r="M1" s="52" t="s">
        <v>410</v>
      </c>
      <c r="N1" s="46" t="s">
        <v>392</v>
      </c>
      <c r="O1" s="45" t="s">
        <v>58</v>
      </c>
      <c r="P1" s="45" t="s">
        <v>154</v>
      </c>
      <c r="Q1" s="45" t="s">
        <v>267</v>
      </c>
      <c r="R1" s="45" t="s">
        <v>155</v>
      </c>
    </row>
    <row r="2" spans="1:18" s="16" customFormat="1" ht="24" customHeight="1">
      <c r="A2" s="41">
        <v>1</v>
      </c>
      <c r="B2" s="159" t="s">
        <v>782</v>
      </c>
      <c r="C2" s="159" t="s">
        <v>783</v>
      </c>
      <c r="D2" s="143" t="s">
        <v>1501</v>
      </c>
      <c r="E2" s="159" t="s">
        <v>652</v>
      </c>
      <c r="F2" s="143" t="s">
        <v>785</v>
      </c>
      <c r="G2" s="41">
        <v>7</v>
      </c>
      <c r="H2" s="42">
        <v>1094</v>
      </c>
      <c r="I2" s="42">
        <f>G2-J2</f>
        <v>0</v>
      </c>
      <c r="J2" s="42">
        <v>7</v>
      </c>
      <c r="K2" s="42">
        <v>2</v>
      </c>
      <c r="L2" s="42">
        <v>0</v>
      </c>
      <c r="M2" s="42">
        <v>0</v>
      </c>
      <c r="N2" s="243" t="s">
        <v>125</v>
      </c>
      <c r="O2" s="166" t="s">
        <v>25</v>
      </c>
      <c r="P2" s="41" t="s">
        <v>127</v>
      </c>
      <c r="Q2" s="44">
        <v>40666</v>
      </c>
      <c r="R2" s="43"/>
    </row>
    <row r="3" spans="1:18" s="171" customFormat="1" ht="24" customHeight="1">
      <c r="A3" s="26">
        <v>2</v>
      </c>
      <c r="B3" s="26" t="s">
        <v>793</v>
      </c>
      <c r="C3" s="26" t="s">
        <v>794</v>
      </c>
      <c r="D3" s="65" t="s">
        <v>1502</v>
      </c>
      <c r="E3" s="33" t="s">
        <v>637</v>
      </c>
      <c r="F3" s="65" t="s">
        <v>796</v>
      </c>
      <c r="G3" s="26">
        <v>6</v>
      </c>
      <c r="H3" s="32">
        <v>1014</v>
      </c>
      <c r="I3" s="32">
        <v>0</v>
      </c>
      <c r="J3" s="32">
        <v>6</v>
      </c>
      <c r="K3" s="32">
        <v>2</v>
      </c>
      <c r="L3" s="32">
        <v>0</v>
      </c>
      <c r="M3" s="32">
        <v>0</v>
      </c>
      <c r="N3" s="112" t="s">
        <v>654</v>
      </c>
      <c r="O3" s="33" t="s">
        <v>450</v>
      </c>
      <c r="P3" s="29" t="s">
        <v>27</v>
      </c>
      <c r="Q3" s="35">
        <v>41996</v>
      </c>
      <c r="R3" s="29"/>
    </row>
    <row r="4" spans="1:18" s="184" customFormat="1" ht="24" customHeight="1">
      <c r="A4" s="26">
        <v>3</v>
      </c>
      <c r="B4" s="26" t="s">
        <v>151</v>
      </c>
      <c r="C4" s="26" t="s">
        <v>227</v>
      </c>
      <c r="D4" s="28" t="s">
        <v>334</v>
      </c>
      <c r="E4" s="27" t="s">
        <v>144</v>
      </c>
      <c r="F4" s="244" t="s">
        <v>797</v>
      </c>
      <c r="G4" s="26">
        <v>8</v>
      </c>
      <c r="H4" s="31">
        <v>1065</v>
      </c>
      <c r="I4" s="31">
        <f>G4-J4</f>
        <v>0</v>
      </c>
      <c r="J4" s="31">
        <v>8</v>
      </c>
      <c r="K4" s="31">
        <v>4</v>
      </c>
      <c r="L4" s="31">
        <v>0</v>
      </c>
      <c r="M4" s="31">
        <v>0</v>
      </c>
      <c r="N4" s="39" t="s">
        <v>649</v>
      </c>
      <c r="O4" s="85" t="s">
        <v>25</v>
      </c>
      <c r="P4" s="26" t="s">
        <v>127</v>
      </c>
      <c r="Q4" s="35">
        <v>39337</v>
      </c>
      <c r="R4" s="34"/>
    </row>
    <row r="5" spans="1:18" s="184" customFormat="1" ht="24" customHeight="1">
      <c r="A5" s="26">
        <v>4</v>
      </c>
      <c r="B5" s="26" t="s">
        <v>151</v>
      </c>
      <c r="C5" s="26" t="s">
        <v>227</v>
      </c>
      <c r="D5" s="37" t="s">
        <v>575</v>
      </c>
      <c r="E5" s="27" t="s">
        <v>125</v>
      </c>
      <c r="F5" s="245" t="s">
        <v>1431</v>
      </c>
      <c r="G5" s="26">
        <v>1</v>
      </c>
      <c r="H5" s="32">
        <v>143</v>
      </c>
      <c r="I5" s="32">
        <v>0</v>
      </c>
      <c r="J5" s="32">
        <v>1</v>
      </c>
      <c r="K5" s="32">
        <v>0</v>
      </c>
      <c r="L5" s="32">
        <v>0</v>
      </c>
      <c r="M5" s="32">
        <v>0</v>
      </c>
      <c r="N5" s="39" t="s">
        <v>125</v>
      </c>
      <c r="O5" s="26" t="s">
        <v>407</v>
      </c>
      <c r="P5" s="38" t="s">
        <v>470</v>
      </c>
      <c r="Q5" s="35">
        <v>39633</v>
      </c>
      <c r="R5" s="62"/>
    </row>
    <row r="6" spans="1:18" s="184" customFormat="1" ht="24" customHeight="1">
      <c r="A6" s="26">
        <v>5</v>
      </c>
      <c r="B6" s="27" t="s">
        <v>151</v>
      </c>
      <c r="C6" s="27" t="s">
        <v>191</v>
      </c>
      <c r="D6" s="28" t="s">
        <v>101</v>
      </c>
      <c r="E6" s="27" t="s">
        <v>144</v>
      </c>
      <c r="F6" s="246" t="s">
        <v>800</v>
      </c>
      <c r="G6" s="26">
        <v>9</v>
      </c>
      <c r="H6" s="31">
        <v>1631</v>
      </c>
      <c r="I6" s="31">
        <f t="shared" ref="I6:I12" si="0">G6-J6</f>
        <v>0</v>
      </c>
      <c r="J6" s="31">
        <v>9</v>
      </c>
      <c r="K6" s="31">
        <v>4</v>
      </c>
      <c r="L6" s="31">
        <v>0</v>
      </c>
      <c r="M6" s="31">
        <v>0</v>
      </c>
      <c r="N6" s="39" t="s">
        <v>649</v>
      </c>
      <c r="O6" s="85" t="s">
        <v>25</v>
      </c>
      <c r="P6" s="26" t="s">
        <v>127</v>
      </c>
      <c r="Q6" s="35">
        <v>39015</v>
      </c>
      <c r="R6" s="28"/>
    </row>
    <row r="7" spans="1:18" s="171" customFormat="1" ht="24" customHeight="1">
      <c r="A7" s="26">
        <v>6</v>
      </c>
      <c r="B7" s="27" t="s">
        <v>151</v>
      </c>
      <c r="C7" s="27" t="s">
        <v>191</v>
      </c>
      <c r="D7" s="37" t="s">
        <v>1503</v>
      </c>
      <c r="E7" s="27" t="s">
        <v>144</v>
      </c>
      <c r="F7" s="247" t="s">
        <v>798</v>
      </c>
      <c r="G7" s="26">
        <v>9</v>
      </c>
      <c r="H7" s="32">
        <v>1466</v>
      </c>
      <c r="I7" s="32">
        <f t="shared" si="0"/>
        <v>0</v>
      </c>
      <c r="J7" s="32">
        <v>9</v>
      </c>
      <c r="K7" s="32">
        <v>6</v>
      </c>
      <c r="L7" s="173">
        <v>0</v>
      </c>
      <c r="M7" s="32">
        <v>0</v>
      </c>
      <c r="N7" s="112" t="s">
        <v>799</v>
      </c>
      <c r="O7" s="67" t="s">
        <v>450</v>
      </c>
      <c r="P7" s="29" t="s">
        <v>27</v>
      </c>
      <c r="Q7" s="35">
        <v>39600</v>
      </c>
      <c r="R7" s="28"/>
    </row>
    <row r="8" spans="1:18" s="16" customFormat="1" ht="24" customHeight="1">
      <c r="A8" s="26">
        <v>7</v>
      </c>
      <c r="B8" s="26" t="s">
        <v>151</v>
      </c>
      <c r="C8" s="26" t="s">
        <v>238</v>
      </c>
      <c r="D8" s="38" t="s">
        <v>1504</v>
      </c>
      <c r="E8" s="26" t="s">
        <v>637</v>
      </c>
      <c r="F8" s="244" t="s">
        <v>810</v>
      </c>
      <c r="G8" s="26">
        <v>4</v>
      </c>
      <c r="H8" s="31">
        <v>661</v>
      </c>
      <c r="I8" s="31">
        <f t="shared" si="0"/>
        <v>0</v>
      </c>
      <c r="J8" s="31">
        <v>4</v>
      </c>
      <c r="K8" s="31">
        <v>0</v>
      </c>
      <c r="L8" s="31">
        <v>0</v>
      </c>
      <c r="M8" s="31">
        <v>0</v>
      </c>
      <c r="N8" s="39" t="s">
        <v>710</v>
      </c>
      <c r="O8" s="85" t="s">
        <v>25</v>
      </c>
      <c r="P8" s="26" t="s">
        <v>127</v>
      </c>
      <c r="Q8" s="35">
        <v>36876</v>
      </c>
      <c r="R8" s="29"/>
    </row>
    <row r="9" spans="1:18" s="22" customFormat="1" ht="24" customHeight="1">
      <c r="A9" s="26">
        <v>8</v>
      </c>
      <c r="B9" s="26" t="s">
        <v>151</v>
      </c>
      <c r="C9" s="26" t="s">
        <v>238</v>
      </c>
      <c r="D9" s="29" t="s">
        <v>88</v>
      </c>
      <c r="E9" s="26" t="s">
        <v>144</v>
      </c>
      <c r="F9" s="244" t="s">
        <v>804</v>
      </c>
      <c r="G9" s="26">
        <v>12</v>
      </c>
      <c r="H9" s="31">
        <v>2135</v>
      </c>
      <c r="I9" s="31">
        <f t="shared" si="0"/>
        <v>0</v>
      </c>
      <c r="J9" s="31">
        <v>12</v>
      </c>
      <c r="K9" s="31">
        <v>5</v>
      </c>
      <c r="L9" s="31">
        <v>1</v>
      </c>
      <c r="M9" s="31">
        <v>1</v>
      </c>
      <c r="N9" s="112" t="s">
        <v>805</v>
      </c>
      <c r="O9" s="85" t="s">
        <v>25</v>
      </c>
      <c r="P9" s="26" t="s">
        <v>127</v>
      </c>
      <c r="Q9" s="35">
        <v>36677</v>
      </c>
      <c r="R9" s="29"/>
    </row>
    <row r="10" spans="1:18" s="22" customFormat="1" ht="24" customHeight="1">
      <c r="A10" s="26">
        <v>9</v>
      </c>
      <c r="B10" s="26" t="s">
        <v>151</v>
      </c>
      <c r="C10" s="26" t="s">
        <v>238</v>
      </c>
      <c r="D10" s="30" t="s">
        <v>801</v>
      </c>
      <c r="E10" s="26" t="s">
        <v>144</v>
      </c>
      <c r="F10" s="245" t="s">
        <v>802</v>
      </c>
      <c r="G10" s="26">
        <v>11</v>
      </c>
      <c r="H10" s="32">
        <v>1928</v>
      </c>
      <c r="I10" s="32">
        <f t="shared" si="0"/>
        <v>0</v>
      </c>
      <c r="J10" s="32">
        <v>11</v>
      </c>
      <c r="K10" s="32">
        <v>9</v>
      </c>
      <c r="L10" s="32">
        <v>0</v>
      </c>
      <c r="M10" s="32">
        <v>0</v>
      </c>
      <c r="N10" s="39" t="s">
        <v>803</v>
      </c>
      <c r="O10" s="33" t="s">
        <v>450</v>
      </c>
      <c r="P10" s="29" t="s">
        <v>27</v>
      </c>
      <c r="Q10" s="35">
        <v>37058</v>
      </c>
      <c r="R10" s="29"/>
    </row>
    <row r="11" spans="1:18" s="22" customFormat="1" ht="24" customHeight="1">
      <c r="A11" s="26">
        <v>10</v>
      </c>
      <c r="B11" s="26" t="s">
        <v>151</v>
      </c>
      <c r="C11" s="26" t="s">
        <v>238</v>
      </c>
      <c r="D11" s="30" t="s">
        <v>806</v>
      </c>
      <c r="E11" s="26" t="s">
        <v>144</v>
      </c>
      <c r="F11" s="245" t="s">
        <v>807</v>
      </c>
      <c r="G11" s="26">
        <v>7</v>
      </c>
      <c r="H11" s="32">
        <v>1409</v>
      </c>
      <c r="I11" s="32">
        <f t="shared" si="0"/>
        <v>0</v>
      </c>
      <c r="J11" s="32">
        <v>7</v>
      </c>
      <c r="K11" s="32">
        <v>2</v>
      </c>
      <c r="L11" s="32">
        <v>0</v>
      </c>
      <c r="M11" s="32">
        <v>0</v>
      </c>
      <c r="N11" s="39" t="s">
        <v>125</v>
      </c>
      <c r="O11" s="67" t="s">
        <v>450</v>
      </c>
      <c r="P11" s="29" t="s">
        <v>27</v>
      </c>
      <c r="Q11" s="35">
        <v>40422</v>
      </c>
      <c r="R11" s="29"/>
    </row>
    <row r="12" spans="1:18" s="171" customFormat="1" ht="24" customHeight="1">
      <c r="A12" s="26">
        <v>11</v>
      </c>
      <c r="B12" s="26" t="s">
        <v>151</v>
      </c>
      <c r="C12" s="26" t="s">
        <v>238</v>
      </c>
      <c r="D12" s="65" t="s">
        <v>808</v>
      </c>
      <c r="E12" s="26" t="s">
        <v>146</v>
      </c>
      <c r="F12" s="245" t="s">
        <v>809</v>
      </c>
      <c r="G12" s="26">
        <v>6</v>
      </c>
      <c r="H12" s="32">
        <v>812</v>
      </c>
      <c r="I12" s="32">
        <f t="shared" si="0"/>
        <v>0</v>
      </c>
      <c r="J12" s="32">
        <v>6</v>
      </c>
      <c r="K12" s="32">
        <v>3</v>
      </c>
      <c r="L12" s="32">
        <v>0</v>
      </c>
      <c r="M12" s="32">
        <v>0</v>
      </c>
      <c r="N12" s="39" t="s">
        <v>125</v>
      </c>
      <c r="O12" s="33" t="s">
        <v>451</v>
      </c>
      <c r="P12" s="29" t="s">
        <v>308</v>
      </c>
      <c r="Q12" s="35">
        <v>38960</v>
      </c>
      <c r="R12" s="29"/>
    </row>
    <row r="13" spans="1:18" s="16" customFormat="1" ht="24" customHeight="1">
      <c r="A13" s="26">
        <v>12</v>
      </c>
      <c r="B13" s="26" t="s">
        <v>793</v>
      </c>
      <c r="C13" s="26" t="s">
        <v>811</v>
      </c>
      <c r="D13" s="29" t="s">
        <v>817</v>
      </c>
      <c r="E13" s="26" t="s">
        <v>637</v>
      </c>
      <c r="F13" s="244" t="s">
        <v>818</v>
      </c>
      <c r="G13" s="26">
        <v>9</v>
      </c>
      <c r="H13" s="31">
        <v>846</v>
      </c>
      <c r="I13" s="31">
        <v>0</v>
      </c>
      <c r="J13" s="31">
        <v>9</v>
      </c>
      <c r="K13" s="31">
        <v>2</v>
      </c>
      <c r="L13" s="31">
        <v>0</v>
      </c>
      <c r="M13" s="31">
        <v>0</v>
      </c>
      <c r="N13" s="112" t="s">
        <v>654</v>
      </c>
      <c r="O13" s="85" t="s">
        <v>25</v>
      </c>
      <c r="P13" s="26" t="s">
        <v>127</v>
      </c>
      <c r="Q13" s="35">
        <v>37729</v>
      </c>
      <c r="R13" s="29" t="s">
        <v>819</v>
      </c>
    </row>
    <row r="14" spans="1:18" s="16" customFormat="1" ht="24" customHeight="1">
      <c r="A14" s="26">
        <v>13</v>
      </c>
      <c r="B14" s="33" t="s">
        <v>793</v>
      </c>
      <c r="C14" s="33" t="s">
        <v>811</v>
      </c>
      <c r="D14" s="65" t="s">
        <v>812</v>
      </c>
      <c r="E14" s="33" t="s">
        <v>813</v>
      </c>
      <c r="F14" s="245" t="s">
        <v>814</v>
      </c>
      <c r="G14" s="26">
        <v>9</v>
      </c>
      <c r="H14" s="32">
        <v>1180</v>
      </c>
      <c r="I14" s="32">
        <v>0</v>
      </c>
      <c r="J14" s="32">
        <v>9</v>
      </c>
      <c r="K14" s="32">
        <v>1</v>
      </c>
      <c r="L14" s="32">
        <v>0</v>
      </c>
      <c r="M14" s="32">
        <v>0</v>
      </c>
      <c r="N14" s="112" t="s">
        <v>815</v>
      </c>
      <c r="O14" s="33" t="s">
        <v>451</v>
      </c>
      <c r="P14" s="29" t="s">
        <v>308</v>
      </c>
      <c r="Q14" s="35">
        <v>41393</v>
      </c>
      <c r="R14" s="29" t="s">
        <v>816</v>
      </c>
    </row>
    <row r="15" spans="1:18" s="16" customFormat="1" ht="24" customHeight="1">
      <c r="A15" s="26">
        <v>14</v>
      </c>
      <c r="B15" s="26" t="s">
        <v>151</v>
      </c>
      <c r="C15" s="26" t="s">
        <v>202</v>
      </c>
      <c r="D15" s="30" t="s">
        <v>820</v>
      </c>
      <c r="E15" s="26" t="s">
        <v>144</v>
      </c>
      <c r="F15" s="248" t="s">
        <v>821</v>
      </c>
      <c r="G15" s="26">
        <v>7</v>
      </c>
      <c r="H15" s="32">
        <v>1520</v>
      </c>
      <c r="I15" s="32">
        <f>G15-J15</f>
        <v>0</v>
      </c>
      <c r="J15" s="32">
        <v>7</v>
      </c>
      <c r="K15" s="32">
        <v>5</v>
      </c>
      <c r="L15" s="32">
        <v>0</v>
      </c>
      <c r="M15" s="32">
        <v>0</v>
      </c>
      <c r="N15" s="39" t="s">
        <v>125</v>
      </c>
      <c r="O15" s="33" t="s">
        <v>450</v>
      </c>
      <c r="P15" s="29" t="s">
        <v>27</v>
      </c>
      <c r="Q15" s="35">
        <v>38365</v>
      </c>
      <c r="R15" s="29"/>
    </row>
    <row r="16" spans="1:18" s="16" customFormat="1" ht="24" customHeight="1">
      <c r="A16" s="26">
        <v>15</v>
      </c>
      <c r="B16" s="26" t="s">
        <v>151</v>
      </c>
      <c r="C16" s="26" t="s">
        <v>203</v>
      </c>
      <c r="D16" s="29" t="s">
        <v>20</v>
      </c>
      <c r="E16" s="26" t="s">
        <v>758</v>
      </c>
      <c r="F16" s="244" t="s">
        <v>822</v>
      </c>
      <c r="G16" s="26">
        <v>8</v>
      </c>
      <c r="H16" s="31">
        <v>1315</v>
      </c>
      <c r="I16" s="31">
        <f>G16-J16</f>
        <v>0</v>
      </c>
      <c r="J16" s="31">
        <v>8</v>
      </c>
      <c r="K16" s="31">
        <v>3</v>
      </c>
      <c r="L16" s="31">
        <v>0</v>
      </c>
      <c r="M16" s="31">
        <v>0</v>
      </c>
      <c r="N16" s="39" t="s">
        <v>125</v>
      </c>
      <c r="O16" s="85" t="s">
        <v>25</v>
      </c>
      <c r="P16" s="26" t="s">
        <v>127</v>
      </c>
      <c r="Q16" s="35">
        <v>38004</v>
      </c>
      <c r="R16" s="29" t="s">
        <v>469</v>
      </c>
    </row>
    <row r="17" spans="1:18" s="16" customFormat="1" ht="24" customHeight="1">
      <c r="A17" s="26">
        <v>16</v>
      </c>
      <c r="B17" s="26" t="s">
        <v>151</v>
      </c>
      <c r="C17" s="26" t="s">
        <v>201</v>
      </c>
      <c r="D17" s="29" t="s">
        <v>335</v>
      </c>
      <c r="E17" s="26" t="s">
        <v>146</v>
      </c>
      <c r="F17" s="244" t="s">
        <v>823</v>
      </c>
      <c r="G17" s="26">
        <v>2</v>
      </c>
      <c r="H17" s="31">
        <v>516</v>
      </c>
      <c r="I17" s="31">
        <v>0</v>
      </c>
      <c r="J17" s="31">
        <v>2</v>
      </c>
      <c r="K17" s="31">
        <v>0</v>
      </c>
      <c r="L17" s="31">
        <v>0</v>
      </c>
      <c r="M17" s="31">
        <v>0</v>
      </c>
      <c r="N17" s="39" t="s">
        <v>125</v>
      </c>
      <c r="O17" s="85" t="s">
        <v>25</v>
      </c>
      <c r="P17" s="26" t="s">
        <v>127</v>
      </c>
      <c r="Q17" s="35">
        <v>37205</v>
      </c>
      <c r="R17" s="29"/>
    </row>
    <row r="18" spans="1:18" s="16" customFormat="1" ht="24" customHeight="1">
      <c r="A18" s="26">
        <v>17</v>
      </c>
      <c r="B18" s="26" t="s">
        <v>151</v>
      </c>
      <c r="C18" s="26" t="s">
        <v>201</v>
      </c>
      <c r="D18" s="30" t="s">
        <v>237</v>
      </c>
      <c r="E18" s="26" t="s">
        <v>125</v>
      </c>
      <c r="F18" s="172" t="s">
        <v>827</v>
      </c>
      <c r="G18" s="26">
        <v>8</v>
      </c>
      <c r="H18" s="32">
        <v>1802</v>
      </c>
      <c r="I18" s="32">
        <v>0</v>
      </c>
      <c r="J18" s="32">
        <v>8</v>
      </c>
      <c r="K18" s="32">
        <v>2</v>
      </c>
      <c r="L18" s="32">
        <v>0</v>
      </c>
      <c r="M18" s="32">
        <v>0</v>
      </c>
      <c r="N18" s="39" t="s">
        <v>125</v>
      </c>
      <c r="O18" s="26" t="s">
        <v>412</v>
      </c>
      <c r="P18" s="29" t="s">
        <v>34</v>
      </c>
      <c r="Q18" s="35">
        <v>36357</v>
      </c>
      <c r="R18" s="28"/>
    </row>
    <row r="19" spans="1:18" s="22" customFormat="1" ht="24" customHeight="1">
      <c r="A19" s="26">
        <v>18</v>
      </c>
      <c r="B19" s="26" t="s">
        <v>151</v>
      </c>
      <c r="C19" s="26" t="s">
        <v>201</v>
      </c>
      <c r="D19" s="65" t="s">
        <v>824</v>
      </c>
      <c r="E19" s="26" t="s">
        <v>146</v>
      </c>
      <c r="F19" s="245" t="s">
        <v>825</v>
      </c>
      <c r="G19" s="26">
        <v>8</v>
      </c>
      <c r="H19" s="32">
        <v>2264</v>
      </c>
      <c r="I19" s="32">
        <f>G19-J19</f>
        <v>0</v>
      </c>
      <c r="J19" s="32">
        <v>8</v>
      </c>
      <c r="K19" s="32">
        <v>2</v>
      </c>
      <c r="L19" s="32">
        <v>0</v>
      </c>
      <c r="M19" s="32">
        <v>0</v>
      </c>
      <c r="N19" s="39" t="s">
        <v>125</v>
      </c>
      <c r="O19" s="33" t="s">
        <v>451</v>
      </c>
      <c r="P19" s="29" t="s">
        <v>308</v>
      </c>
      <c r="Q19" s="35">
        <v>39055</v>
      </c>
      <c r="R19" s="113" t="s">
        <v>826</v>
      </c>
    </row>
    <row r="20" spans="1:18" s="16" customFormat="1" ht="24" customHeight="1">
      <c r="A20" s="26">
        <v>19</v>
      </c>
      <c r="B20" s="26" t="s">
        <v>151</v>
      </c>
      <c r="C20" s="26" t="s">
        <v>201</v>
      </c>
      <c r="D20" s="30" t="s">
        <v>126</v>
      </c>
      <c r="E20" s="26" t="s">
        <v>125</v>
      </c>
      <c r="F20" s="245" t="s">
        <v>1432</v>
      </c>
      <c r="G20" s="26">
        <v>1</v>
      </c>
      <c r="H20" s="32">
        <v>200</v>
      </c>
      <c r="I20" s="32">
        <v>0</v>
      </c>
      <c r="J20" s="32">
        <v>1</v>
      </c>
      <c r="K20" s="32">
        <v>0</v>
      </c>
      <c r="L20" s="32">
        <v>0</v>
      </c>
      <c r="M20" s="32">
        <v>0</v>
      </c>
      <c r="N20" s="112" t="s">
        <v>432</v>
      </c>
      <c r="O20" s="26" t="s">
        <v>411</v>
      </c>
      <c r="P20" s="29" t="s">
        <v>30</v>
      </c>
      <c r="Q20" s="35"/>
      <c r="R20" s="56"/>
    </row>
    <row r="21" spans="1:18" s="16" customFormat="1" ht="24" customHeight="1">
      <c r="A21" s="26">
        <v>20</v>
      </c>
      <c r="B21" s="26" t="s">
        <v>793</v>
      </c>
      <c r="C21" s="26" t="s">
        <v>828</v>
      </c>
      <c r="D21" s="30" t="s">
        <v>829</v>
      </c>
      <c r="E21" s="26" t="s">
        <v>637</v>
      </c>
      <c r="F21" s="248" t="s">
        <v>830</v>
      </c>
      <c r="G21" s="26">
        <v>11</v>
      </c>
      <c r="H21" s="32">
        <v>2409</v>
      </c>
      <c r="I21" s="32">
        <v>0</v>
      </c>
      <c r="J21" s="32">
        <v>11</v>
      </c>
      <c r="K21" s="32">
        <v>6</v>
      </c>
      <c r="L21" s="32">
        <v>0</v>
      </c>
      <c r="M21" s="32">
        <v>1</v>
      </c>
      <c r="N21" s="39" t="s">
        <v>831</v>
      </c>
      <c r="O21" s="33" t="s">
        <v>450</v>
      </c>
      <c r="P21" s="29" t="s">
        <v>27</v>
      </c>
      <c r="Q21" s="35">
        <v>41879</v>
      </c>
      <c r="R21" s="29"/>
    </row>
    <row r="22" spans="1:18" s="157" customFormat="1" ht="24" customHeight="1">
      <c r="A22" s="26">
        <v>21</v>
      </c>
      <c r="B22" s="26" t="s">
        <v>151</v>
      </c>
      <c r="C22" s="26" t="s">
        <v>275</v>
      </c>
      <c r="D22" s="29" t="s">
        <v>332</v>
      </c>
      <c r="E22" s="26" t="s">
        <v>144</v>
      </c>
      <c r="F22" s="244" t="s">
        <v>832</v>
      </c>
      <c r="G22" s="26">
        <v>10</v>
      </c>
      <c r="H22" s="31">
        <v>2093</v>
      </c>
      <c r="I22" s="31">
        <v>0</v>
      </c>
      <c r="J22" s="31">
        <v>10</v>
      </c>
      <c r="K22" s="31">
        <v>5</v>
      </c>
      <c r="L22" s="31">
        <v>0</v>
      </c>
      <c r="M22" s="31">
        <v>1</v>
      </c>
      <c r="N22" s="112" t="s">
        <v>833</v>
      </c>
      <c r="O22" s="85" t="s">
        <v>25</v>
      </c>
      <c r="P22" s="26" t="s">
        <v>127</v>
      </c>
      <c r="Q22" s="35">
        <v>39875</v>
      </c>
      <c r="R22" s="29"/>
    </row>
    <row r="23" spans="1:18" s="16" customFormat="1" ht="24" customHeight="1">
      <c r="A23" s="26">
        <v>22</v>
      </c>
      <c r="B23" s="26" t="s">
        <v>151</v>
      </c>
      <c r="C23" s="26" t="s">
        <v>275</v>
      </c>
      <c r="D23" s="30" t="s">
        <v>834</v>
      </c>
      <c r="E23" s="26" t="s">
        <v>144</v>
      </c>
      <c r="F23" s="245" t="s">
        <v>835</v>
      </c>
      <c r="G23" s="26">
        <v>10</v>
      </c>
      <c r="H23" s="32">
        <v>1755</v>
      </c>
      <c r="I23" s="32">
        <f>G23-J23</f>
        <v>0</v>
      </c>
      <c r="J23" s="32">
        <v>10</v>
      </c>
      <c r="K23" s="32">
        <v>6</v>
      </c>
      <c r="L23" s="32">
        <v>0</v>
      </c>
      <c r="M23" s="32">
        <v>0</v>
      </c>
      <c r="N23" s="112" t="s">
        <v>836</v>
      </c>
      <c r="O23" s="67" t="s">
        <v>450</v>
      </c>
      <c r="P23" s="29" t="s">
        <v>27</v>
      </c>
      <c r="Q23" s="35">
        <v>39423</v>
      </c>
      <c r="R23" s="29"/>
    </row>
    <row r="24" spans="1:18" s="114" customFormat="1" ht="24" customHeight="1">
      <c r="A24" s="26">
        <v>23</v>
      </c>
      <c r="B24" s="26" t="s">
        <v>793</v>
      </c>
      <c r="C24" s="26" t="s">
        <v>839</v>
      </c>
      <c r="D24" s="30" t="s">
        <v>840</v>
      </c>
      <c r="E24" s="33" t="s">
        <v>813</v>
      </c>
      <c r="F24" s="30" t="s">
        <v>841</v>
      </c>
      <c r="G24" s="26">
        <v>10</v>
      </c>
      <c r="H24" s="32">
        <v>1688</v>
      </c>
      <c r="I24" s="32">
        <v>0</v>
      </c>
      <c r="J24" s="32">
        <v>10</v>
      </c>
      <c r="K24" s="32">
        <v>2</v>
      </c>
      <c r="L24" s="173">
        <v>0</v>
      </c>
      <c r="M24" s="32">
        <v>0</v>
      </c>
      <c r="N24" s="39" t="s">
        <v>654</v>
      </c>
      <c r="O24" s="33" t="s">
        <v>450</v>
      </c>
      <c r="P24" s="29" t="s">
        <v>27</v>
      </c>
      <c r="Q24" s="35">
        <v>41639</v>
      </c>
      <c r="R24" s="29" t="s">
        <v>842</v>
      </c>
    </row>
    <row r="25" spans="1:18" ht="24" customHeight="1">
      <c r="A25" s="26">
        <v>24</v>
      </c>
      <c r="B25" s="33" t="s">
        <v>782</v>
      </c>
      <c r="C25" s="33" t="s">
        <v>839</v>
      </c>
      <c r="D25" s="65" t="s">
        <v>843</v>
      </c>
      <c r="E25" s="33" t="s">
        <v>652</v>
      </c>
      <c r="F25" s="245" t="s">
        <v>844</v>
      </c>
      <c r="G25" s="26">
        <v>7</v>
      </c>
      <c r="H25" s="32">
        <v>1019</v>
      </c>
      <c r="I25" s="32">
        <v>0</v>
      </c>
      <c r="J25" s="32">
        <v>7</v>
      </c>
      <c r="K25" s="32">
        <v>2</v>
      </c>
      <c r="L25" s="32">
        <v>0</v>
      </c>
      <c r="M25" s="32">
        <v>0</v>
      </c>
      <c r="N25" s="112" t="s">
        <v>654</v>
      </c>
      <c r="O25" s="33" t="s">
        <v>451</v>
      </c>
      <c r="P25" s="29" t="s">
        <v>308</v>
      </c>
      <c r="Q25" s="35">
        <v>40910</v>
      </c>
      <c r="R25" s="29"/>
    </row>
    <row r="26" spans="1:18" ht="24" customHeight="1">
      <c r="A26" s="26">
        <v>25</v>
      </c>
      <c r="B26" s="26" t="s">
        <v>151</v>
      </c>
      <c r="C26" s="26" t="s">
        <v>275</v>
      </c>
      <c r="D26" s="30" t="s">
        <v>108</v>
      </c>
      <c r="E26" s="26" t="s">
        <v>144</v>
      </c>
      <c r="F26" s="245" t="s">
        <v>837</v>
      </c>
      <c r="G26" s="26">
        <v>10</v>
      </c>
      <c r="H26" s="32">
        <v>1794</v>
      </c>
      <c r="I26" s="32">
        <v>0</v>
      </c>
      <c r="J26" s="32">
        <v>10</v>
      </c>
      <c r="K26" s="32">
        <v>2</v>
      </c>
      <c r="L26" s="32">
        <v>0</v>
      </c>
      <c r="M26" s="32">
        <v>0</v>
      </c>
      <c r="N26" s="112" t="s">
        <v>838</v>
      </c>
      <c r="O26" s="33" t="s">
        <v>451</v>
      </c>
      <c r="P26" s="29" t="s">
        <v>308</v>
      </c>
      <c r="Q26" s="35">
        <v>37590</v>
      </c>
      <c r="R26" s="29"/>
    </row>
    <row r="27" spans="1:18" ht="24" customHeight="1">
      <c r="A27" s="26">
        <v>26</v>
      </c>
      <c r="B27" s="26" t="s">
        <v>151</v>
      </c>
      <c r="C27" s="26" t="s">
        <v>275</v>
      </c>
      <c r="D27" s="65" t="s">
        <v>435</v>
      </c>
      <c r="E27" s="33" t="s">
        <v>436</v>
      </c>
      <c r="F27" s="245" t="s">
        <v>1433</v>
      </c>
      <c r="G27" s="26">
        <v>3</v>
      </c>
      <c r="H27" s="32">
        <v>837</v>
      </c>
      <c r="I27" s="32">
        <v>0</v>
      </c>
      <c r="J27" s="32">
        <v>3</v>
      </c>
      <c r="K27" s="32">
        <v>3</v>
      </c>
      <c r="L27" s="32">
        <v>0</v>
      </c>
      <c r="M27" s="32">
        <v>0</v>
      </c>
      <c r="N27" s="112" t="s">
        <v>432</v>
      </c>
      <c r="O27" s="33" t="s">
        <v>437</v>
      </c>
      <c r="P27" s="29" t="s">
        <v>445</v>
      </c>
      <c r="Q27" s="35">
        <v>40858</v>
      </c>
      <c r="R27" s="71" t="s">
        <v>471</v>
      </c>
    </row>
    <row r="28" spans="1:18" ht="24" customHeight="1">
      <c r="G28" s="93"/>
      <c r="H28" s="92"/>
      <c r="I28" s="92"/>
      <c r="J28" s="92"/>
      <c r="K28" s="92"/>
      <c r="L28" s="92"/>
      <c r="M28" s="92"/>
    </row>
    <row r="30" spans="1:18" ht="24" customHeight="1">
      <c r="A30" s="205" t="s">
        <v>847</v>
      </c>
    </row>
    <row r="31" spans="1:18" s="171" customFormat="1" ht="24" customHeight="1">
      <c r="A31" s="145">
        <v>1</v>
      </c>
      <c r="B31" s="165" t="s">
        <v>151</v>
      </c>
      <c r="C31" s="165" t="s">
        <v>152</v>
      </c>
      <c r="D31" s="185" t="s">
        <v>845</v>
      </c>
      <c r="E31" s="165" t="s">
        <v>146</v>
      </c>
      <c r="F31" s="204" t="s">
        <v>319</v>
      </c>
      <c r="G31" s="145">
        <v>7</v>
      </c>
      <c r="H31" s="147">
        <v>1177</v>
      </c>
      <c r="I31" s="147">
        <f>G31-J31</f>
        <v>0</v>
      </c>
      <c r="J31" s="147">
        <v>7</v>
      </c>
      <c r="K31" s="147">
        <v>2</v>
      </c>
      <c r="L31" s="147"/>
      <c r="M31" s="147">
        <v>0</v>
      </c>
      <c r="N31" s="148" t="s">
        <v>125</v>
      </c>
      <c r="O31" s="196" t="s">
        <v>451</v>
      </c>
      <c r="P31" s="161" t="s">
        <v>308</v>
      </c>
      <c r="Q31" s="149">
        <v>38961</v>
      </c>
      <c r="R31" s="203" t="s">
        <v>846</v>
      </c>
    </row>
  </sheetData>
  <autoFilter ref="A1:T28"/>
  <sortState ref="A2:R29">
    <sortCondition ref="C2:C29"/>
    <sortCondition ref="D2:D29"/>
  </sortState>
  <phoneticPr fontId="28" type="noConversion"/>
  <pageMargins left="0.35430556535720825" right="0.19680555164813995" top="0.98416668176651001" bottom="0.98416668176651001" header="0.51180553436279297" footer="0.51180553436279297"/>
  <pageSetup paperSize="9" scale="94" orientation="landscape" horizontalDpi="300" verticalDpi="300" r:id="rId1"/>
  <headerFooter alignWithMargins="0">
    <oddHeader>&amp;L&amp;"돋움,Bold"전국극장현황&amp;C&amp;"돋움,Bold"부산&amp;R&amp;"돋움,Bold"2006. 12. 31 기준</oddHeader>
    <oddFooter>&amp;C&amp;"돋움,Regular"&amp;P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/>
  <dimension ref="A1:W22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11" sqref="H11:H13"/>
    </sheetView>
  </sheetViews>
  <sheetFormatPr defaultRowHeight="21" customHeight="1"/>
  <cols>
    <col min="1" max="1" width="5.77734375" style="5" customWidth="1"/>
    <col min="2" max="3" width="8.77734375" style="2" customWidth="1"/>
    <col min="4" max="4" width="28" style="5" customWidth="1"/>
    <col min="5" max="5" width="15" style="5" customWidth="1"/>
    <col min="6" max="6" width="24.33203125" style="5" customWidth="1"/>
    <col min="7" max="7" width="11.109375" style="16" customWidth="1"/>
    <col min="8" max="8" width="11.21875" style="16" customWidth="1"/>
    <col min="9" max="9" width="13.5546875" style="16" customWidth="1"/>
    <col min="10" max="13" width="11.21875" style="16" customWidth="1"/>
    <col min="14" max="14" width="16.44140625" style="2" customWidth="1"/>
    <col min="15" max="15" width="16.21875" style="2" customWidth="1"/>
    <col min="16" max="16" width="15.77734375" style="5" customWidth="1"/>
    <col min="17" max="17" width="11.44140625" style="5" customWidth="1"/>
    <col min="18" max="18" width="18.88671875" style="5" customWidth="1"/>
    <col min="19" max="16384" width="8.88671875" style="5"/>
  </cols>
  <sheetData>
    <row r="1" spans="1:18" s="1" customFormat="1" ht="31.5" customHeight="1" thickBot="1">
      <c r="A1" s="45" t="s">
        <v>153</v>
      </c>
      <c r="B1" s="45" t="s">
        <v>206</v>
      </c>
      <c r="C1" s="45" t="s">
        <v>207</v>
      </c>
      <c r="D1" s="45" t="s">
        <v>162</v>
      </c>
      <c r="E1" s="45" t="s">
        <v>115</v>
      </c>
      <c r="F1" s="45" t="s">
        <v>257</v>
      </c>
      <c r="G1" s="46" t="s">
        <v>290</v>
      </c>
      <c r="H1" s="46" t="s">
        <v>291</v>
      </c>
      <c r="I1" s="52" t="s">
        <v>544</v>
      </c>
      <c r="J1" s="52" t="s">
        <v>545</v>
      </c>
      <c r="K1" s="52" t="s">
        <v>409</v>
      </c>
      <c r="L1" s="52" t="s">
        <v>563</v>
      </c>
      <c r="M1" s="52" t="s">
        <v>410</v>
      </c>
      <c r="N1" s="46" t="s">
        <v>392</v>
      </c>
      <c r="O1" s="45" t="s">
        <v>59</v>
      </c>
      <c r="P1" s="45" t="s">
        <v>154</v>
      </c>
      <c r="Q1" s="45" t="s">
        <v>267</v>
      </c>
      <c r="R1" s="45" t="s">
        <v>155</v>
      </c>
    </row>
    <row r="2" spans="1:18" s="16" customFormat="1" ht="21" customHeight="1" thickTop="1">
      <c r="A2" s="41">
        <v>1</v>
      </c>
      <c r="B2" s="47" t="s">
        <v>189</v>
      </c>
      <c r="C2" s="47" t="s">
        <v>190</v>
      </c>
      <c r="D2" s="48" t="s">
        <v>89</v>
      </c>
      <c r="E2" s="47" t="s">
        <v>144</v>
      </c>
      <c r="F2" s="249" t="s">
        <v>848</v>
      </c>
      <c r="G2" s="41">
        <v>9</v>
      </c>
      <c r="H2" s="49">
        <v>1617</v>
      </c>
      <c r="I2" s="49">
        <f>G2-J2</f>
        <v>0</v>
      </c>
      <c r="J2" s="49">
        <v>9</v>
      </c>
      <c r="K2" s="49">
        <v>6</v>
      </c>
      <c r="L2" s="49">
        <v>0</v>
      </c>
      <c r="M2" s="49">
        <v>0</v>
      </c>
      <c r="N2" s="243" t="s">
        <v>125</v>
      </c>
      <c r="O2" s="208" t="s">
        <v>450</v>
      </c>
      <c r="P2" s="43" t="s">
        <v>27</v>
      </c>
      <c r="Q2" s="44">
        <v>39346</v>
      </c>
      <c r="R2" s="48"/>
    </row>
    <row r="3" spans="1:18" s="171" customFormat="1" ht="21" hidden="1" customHeight="1" thickTop="1">
      <c r="A3" s="26">
        <v>2</v>
      </c>
      <c r="B3" s="33" t="s">
        <v>851</v>
      </c>
      <c r="C3" s="33" t="s">
        <v>852</v>
      </c>
      <c r="D3" s="38" t="s">
        <v>853</v>
      </c>
      <c r="E3" s="33" t="s">
        <v>854</v>
      </c>
      <c r="F3" s="244" t="s">
        <v>855</v>
      </c>
      <c r="G3" s="26">
        <v>7</v>
      </c>
      <c r="H3" s="31">
        <v>974</v>
      </c>
      <c r="I3" s="31">
        <f>G3-J3</f>
        <v>0</v>
      </c>
      <c r="J3" s="31">
        <v>7</v>
      </c>
      <c r="K3" s="31">
        <v>3</v>
      </c>
      <c r="L3" s="31">
        <v>0</v>
      </c>
      <c r="M3" s="31">
        <v>0</v>
      </c>
      <c r="N3" s="39" t="s">
        <v>125</v>
      </c>
      <c r="O3" s="85" t="s">
        <v>25</v>
      </c>
      <c r="P3" s="26" t="s">
        <v>127</v>
      </c>
      <c r="Q3" s="35">
        <v>40663</v>
      </c>
      <c r="R3" s="29"/>
    </row>
    <row r="4" spans="1:18" s="16" customFormat="1" ht="21" hidden="1" customHeight="1">
      <c r="A4" s="26">
        <v>3</v>
      </c>
      <c r="B4" s="27" t="s">
        <v>189</v>
      </c>
      <c r="C4" s="27" t="s">
        <v>187</v>
      </c>
      <c r="D4" s="28" t="s">
        <v>849</v>
      </c>
      <c r="E4" s="27" t="s">
        <v>144</v>
      </c>
      <c r="F4" s="250" t="s">
        <v>850</v>
      </c>
      <c r="G4" s="26">
        <v>6</v>
      </c>
      <c r="H4" s="32">
        <v>1386</v>
      </c>
      <c r="I4" s="32">
        <f>G4-J4</f>
        <v>0</v>
      </c>
      <c r="J4" s="32">
        <v>6</v>
      </c>
      <c r="K4" s="32">
        <v>4</v>
      </c>
      <c r="L4" s="32">
        <v>0</v>
      </c>
      <c r="M4" s="32">
        <v>0</v>
      </c>
      <c r="N4" s="39" t="s">
        <v>125</v>
      </c>
      <c r="O4" s="33" t="s">
        <v>450</v>
      </c>
      <c r="P4" s="29" t="s">
        <v>27</v>
      </c>
      <c r="Q4" s="35">
        <v>40374</v>
      </c>
      <c r="R4" s="28"/>
    </row>
    <row r="5" spans="1:18" s="16" customFormat="1" ht="21" hidden="1" customHeight="1" thickTop="1">
      <c r="A5" s="26">
        <v>4</v>
      </c>
      <c r="B5" s="27" t="s">
        <v>189</v>
      </c>
      <c r="C5" s="27" t="s">
        <v>188</v>
      </c>
      <c r="D5" s="29" t="s">
        <v>858</v>
      </c>
      <c r="E5" s="26" t="s">
        <v>146</v>
      </c>
      <c r="F5" s="29" t="s">
        <v>859</v>
      </c>
      <c r="G5" s="26">
        <v>7</v>
      </c>
      <c r="H5" s="31">
        <v>1171</v>
      </c>
      <c r="I5" s="31">
        <v>0</v>
      </c>
      <c r="J5" s="31">
        <v>7</v>
      </c>
      <c r="K5" s="31">
        <v>3</v>
      </c>
      <c r="L5" s="31">
        <v>0</v>
      </c>
      <c r="M5" s="31">
        <v>0</v>
      </c>
      <c r="N5" s="39" t="s">
        <v>125</v>
      </c>
      <c r="O5" s="85" t="s">
        <v>25</v>
      </c>
      <c r="P5" s="26" t="s">
        <v>127</v>
      </c>
      <c r="Q5" s="35">
        <v>39386</v>
      </c>
      <c r="R5" s="34"/>
    </row>
    <row r="6" spans="1:18" s="171" customFormat="1" ht="21" hidden="1" customHeight="1">
      <c r="A6" s="26">
        <v>5</v>
      </c>
      <c r="B6" s="27" t="s">
        <v>189</v>
      </c>
      <c r="C6" s="26" t="s">
        <v>188</v>
      </c>
      <c r="D6" s="30" t="s">
        <v>359</v>
      </c>
      <c r="E6" s="26" t="s">
        <v>144</v>
      </c>
      <c r="F6" s="30" t="s">
        <v>863</v>
      </c>
      <c r="G6" s="26">
        <v>9</v>
      </c>
      <c r="H6" s="32">
        <v>1627</v>
      </c>
      <c r="I6" s="32">
        <f>G6-J6</f>
        <v>0</v>
      </c>
      <c r="J6" s="32">
        <v>9</v>
      </c>
      <c r="K6" s="32">
        <v>5</v>
      </c>
      <c r="L6" s="32">
        <v>0</v>
      </c>
      <c r="M6" s="32">
        <v>0</v>
      </c>
      <c r="N6" s="112" t="s">
        <v>864</v>
      </c>
      <c r="O6" s="67" t="s">
        <v>450</v>
      </c>
      <c r="P6" s="29" t="s">
        <v>27</v>
      </c>
      <c r="Q6" s="35">
        <v>37679</v>
      </c>
      <c r="R6" s="29"/>
    </row>
    <row r="7" spans="1:18" s="171" customFormat="1" ht="21" hidden="1" customHeight="1">
      <c r="A7" s="26">
        <v>6</v>
      </c>
      <c r="B7" s="27" t="s">
        <v>865</v>
      </c>
      <c r="C7" s="26" t="s">
        <v>866</v>
      </c>
      <c r="D7" s="30" t="s">
        <v>867</v>
      </c>
      <c r="E7" s="26" t="s">
        <v>868</v>
      </c>
      <c r="F7" s="30" t="s">
        <v>869</v>
      </c>
      <c r="G7" s="26">
        <v>6</v>
      </c>
      <c r="H7" s="32">
        <v>536</v>
      </c>
      <c r="I7" s="32">
        <v>0</v>
      </c>
      <c r="J7" s="32">
        <v>6</v>
      </c>
      <c r="K7" s="32">
        <v>3</v>
      </c>
      <c r="L7" s="32">
        <v>0</v>
      </c>
      <c r="M7" s="32">
        <v>0</v>
      </c>
      <c r="N7" s="112" t="s">
        <v>633</v>
      </c>
      <c r="O7" s="33" t="s">
        <v>450</v>
      </c>
      <c r="P7" s="29" t="s">
        <v>27</v>
      </c>
      <c r="Q7" s="35">
        <v>41517</v>
      </c>
      <c r="R7" s="29"/>
    </row>
    <row r="8" spans="1:18" s="16" customFormat="1" ht="21" hidden="1" customHeight="1">
      <c r="A8" s="26">
        <v>7</v>
      </c>
      <c r="B8" s="27" t="s">
        <v>189</v>
      </c>
      <c r="C8" s="26" t="s">
        <v>188</v>
      </c>
      <c r="D8" s="30" t="s">
        <v>860</v>
      </c>
      <c r="E8" s="26" t="s">
        <v>144</v>
      </c>
      <c r="F8" s="30" t="s">
        <v>861</v>
      </c>
      <c r="G8" s="26">
        <v>10</v>
      </c>
      <c r="H8" s="31">
        <v>1951</v>
      </c>
      <c r="I8" s="32">
        <v>0</v>
      </c>
      <c r="J8" s="31">
        <v>10</v>
      </c>
      <c r="K8" s="31">
        <v>3</v>
      </c>
      <c r="L8" s="31">
        <v>0</v>
      </c>
      <c r="M8" s="31">
        <v>0</v>
      </c>
      <c r="N8" s="112" t="s">
        <v>862</v>
      </c>
      <c r="O8" s="33" t="s">
        <v>451</v>
      </c>
      <c r="P8" s="29" t="s">
        <v>308</v>
      </c>
      <c r="Q8" s="35">
        <v>37372</v>
      </c>
      <c r="R8" s="29"/>
    </row>
    <row r="9" spans="1:18" s="171" customFormat="1" ht="21" hidden="1" customHeight="1">
      <c r="A9" s="26">
        <v>8</v>
      </c>
      <c r="B9" s="27" t="s">
        <v>189</v>
      </c>
      <c r="C9" s="27" t="s">
        <v>188</v>
      </c>
      <c r="D9" s="37" t="s">
        <v>856</v>
      </c>
      <c r="E9" s="27" t="s">
        <v>146</v>
      </c>
      <c r="F9" s="28" t="s">
        <v>857</v>
      </c>
      <c r="G9" s="26">
        <v>6</v>
      </c>
      <c r="H9" s="31">
        <v>886</v>
      </c>
      <c r="I9" s="32">
        <f>G9-J9</f>
        <v>0</v>
      </c>
      <c r="J9" s="31">
        <v>6</v>
      </c>
      <c r="K9" s="31">
        <v>1</v>
      </c>
      <c r="L9" s="31">
        <v>0</v>
      </c>
      <c r="M9" s="31">
        <v>0</v>
      </c>
      <c r="N9" s="39" t="s">
        <v>125</v>
      </c>
      <c r="O9" s="33" t="s">
        <v>451</v>
      </c>
      <c r="P9" s="29" t="s">
        <v>308</v>
      </c>
      <c r="Q9" s="35">
        <v>39341</v>
      </c>
      <c r="R9" s="178"/>
    </row>
    <row r="10" spans="1:18" s="171" customFormat="1" ht="21" hidden="1" customHeight="1">
      <c r="A10" s="26">
        <v>9</v>
      </c>
      <c r="B10" s="27" t="s">
        <v>189</v>
      </c>
      <c r="C10" s="33" t="s">
        <v>870</v>
      </c>
      <c r="D10" s="65" t="s">
        <v>871</v>
      </c>
      <c r="E10" s="33" t="s">
        <v>632</v>
      </c>
      <c r="F10" s="65" t="s">
        <v>872</v>
      </c>
      <c r="G10" s="26">
        <v>7</v>
      </c>
      <c r="H10" s="32">
        <v>1300</v>
      </c>
      <c r="I10" s="32">
        <v>0</v>
      </c>
      <c r="J10" s="32">
        <v>7</v>
      </c>
      <c r="K10" s="32">
        <v>2</v>
      </c>
      <c r="L10" s="173">
        <v>0</v>
      </c>
      <c r="M10" s="32">
        <v>0</v>
      </c>
      <c r="N10" s="112" t="s">
        <v>633</v>
      </c>
      <c r="O10" s="67" t="s">
        <v>450</v>
      </c>
      <c r="P10" s="29" t="s">
        <v>27</v>
      </c>
      <c r="Q10" s="35">
        <v>41180</v>
      </c>
      <c r="R10" s="29"/>
    </row>
    <row r="11" spans="1:18" s="16" customFormat="1" ht="21.75" hidden="1" customHeight="1">
      <c r="A11" s="26">
        <v>10</v>
      </c>
      <c r="B11" s="26" t="s">
        <v>189</v>
      </c>
      <c r="C11" s="26" t="s">
        <v>239</v>
      </c>
      <c r="D11" s="30" t="s">
        <v>287</v>
      </c>
      <c r="E11" s="26" t="s">
        <v>125</v>
      </c>
      <c r="F11" s="30" t="s">
        <v>1434</v>
      </c>
      <c r="G11" s="26">
        <v>1</v>
      </c>
      <c r="H11" s="31">
        <v>520</v>
      </c>
      <c r="I11" s="31">
        <f>G11-J11</f>
        <v>0</v>
      </c>
      <c r="J11" s="31">
        <v>1</v>
      </c>
      <c r="K11" s="31">
        <v>1</v>
      </c>
      <c r="L11" s="31">
        <v>0</v>
      </c>
      <c r="M11" s="31">
        <v>0</v>
      </c>
      <c r="N11" s="39" t="s">
        <v>125</v>
      </c>
      <c r="O11" s="74" t="s">
        <v>90</v>
      </c>
      <c r="P11" s="29" t="s">
        <v>320</v>
      </c>
      <c r="Q11" s="35">
        <v>36861</v>
      </c>
      <c r="R11" s="29"/>
    </row>
    <row r="12" spans="1:18" s="16" customFormat="1" ht="21.75" hidden="1" customHeight="1">
      <c r="A12" s="26">
        <v>11</v>
      </c>
      <c r="B12" s="33" t="s">
        <v>876</v>
      </c>
      <c r="C12" s="33" t="s">
        <v>873</v>
      </c>
      <c r="D12" s="143" t="s">
        <v>877</v>
      </c>
      <c r="E12" s="159" t="s">
        <v>632</v>
      </c>
      <c r="F12" s="143" t="s">
        <v>878</v>
      </c>
      <c r="G12" s="41">
        <v>4</v>
      </c>
      <c r="H12" s="42">
        <v>804</v>
      </c>
      <c r="I12" s="31">
        <v>0</v>
      </c>
      <c r="J12" s="42">
        <v>4</v>
      </c>
      <c r="K12" s="42">
        <v>2</v>
      </c>
      <c r="L12" s="42">
        <v>0</v>
      </c>
      <c r="M12" s="42">
        <v>0</v>
      </c>
      <c r="N12" s="251" t="s">
        <v>633</v>
      </c>
      <c r="O12" s="169" t="s">
        <v>25</v>
      </c>
      <c r="P12" s="26" t="s">
        <v>127</v>
      </c>
      <c r="Q12" s="44">
        <v>41417</v>
      </c>
      <c r="R12" s="209" t="s">
        <v>879</v>
      </c>
    </row>
    <row r="13" spans="1:18" s="16" customFormat="1" ht="21.75" hidden="1" customHeight="1">
      <c r="A13" s="26">
        <v>12</v>
      </c>
      <c r="B13" s="27" t="s">
        <v>189</v>
      </c>
      <c r="C13" s="85" t="s">
        <v>873</v>
      </c>
      <c r="D13" s="38" t="s">
        <v>874</v>
      </c>
      <c r="E13" s="33" t="s">
        <v>632</v>
      </c>
      <c r="F13" s="38" t="s">
        <v>875</v>
      </c>
      <c r="G13" s="26">
        <v>10</v>
      </c>
      <c r="H13" s="31">
        <v>1466</v>
      </c>
      <c r="I13" s="31">
        <f>G13-J13</f>
        <v>0</v>
      </c>
      <c r="J13" s="31">
        <v>10</v>
      </c>
      <c r="K13" s="31">
        <v>6</v>
      </c>
      <c r="L13" s="31">
        <v>0</v>
      </c>
      <c r="M13" s="31">
        <v>0</v>
      </c>
      <c r="N13" s="39" t="s">
        <v>125</v>
      </c>
      <c r="O13" s="169" t="s">
        <v>25</v>
      </c>
      <c r="P13" s="26" t="s">
        <v>127</v>
      </c>
      <c r="Q13" s="35">
        <v>40764</v>
      </c>
      <c r="R13" s="34"/>
    </row>
    <row r="14" spans="1:18" s="16" customFormat="1" ht="21.75" hidden="1" customHeight="1">
      <c r="A14" s="26">
        <v>13</v>
      </c>
      <c r="B14" s="26" t="s">
        <v>189</v>
      </c>
      <c r="C14" s="26" t="s">
        <v>201</v>
      </c>
      <c r="D14" s="29" t="s">
        <v>41</v>
      </c>
      <c r="E14" s="26" t="s">
        <v>144</v>
      </c>
      <c r="F14" s="38" t="s">
        <v>882</v>
      </c>
      <c r="G14" s="26">
        <v>12</v>
      </c>
      <c r="H14" s="31">
        <v>1625</v>
      </c>
      <c r="I14" s="31">
        <f>G14-J14</f>
        <v>0</v>
      </c>
      <c r="J14" s="31">
        <v>12</v>
      </c>
      <c r="K14" s="31">
        <v>5</v>
      </c>
      <c r="L14" s="31">
        <v>1</v>
      </c>
      <c r="M14" s="31">
        <v>1</v>
      </c>
      <c r="N14" s="112" t="s">
        <v>883</v>
      </c>
      <c r="O14" s="85" t="s">
        <v>25</v>
      </c>
      <c r="P14" s="26" t="s">
        <v>127</v>
      </c>
      <c r="Q14" s="35">
        <v>39337</v>
      </c>
      <c r="R14" s="72"/>
    </row>
    <row r="15" spans="1:18" s="16" customFormat="1" ht="21.75" hidden="1" customHeight="1">
      <c r="A15" s="26">
        <v>14</v>
      </c>
      <c r="B15" s="85" t="s">
        <v>888</v>
      </c>
      <c r="C15" s="33" t="s">
        <v>889</v>
      </c>
      <c r="D15" s="65" t="s">
        <v>894</v>
      </c>
      <c r="E15" s="33" t="s">
        <v>635</v>
      </c>
      <c r="F15" s="65" t="s">
        <v>895</v>
      </c>
      <c r="G15" s="26">
        <v>7</v>
      </c>
      <c r="H15" s="32">
        <v>1171</v>
      </c>
      <c r="I15" s="32">
        <v>0</v>
      </c>
      <c r="J15" s="32">
        <v>7</v>
      </c>
      <c r="K15" s="32">
        <v>2</v>
      </c>
      <c r="L15" s="49">
        <v>0</v>
      </c>
      <c r="M15" s="49">
        <v>0</v>
      </c>
      <c r="N15" s="112" t="s">
        <v>633</v>
      </c>
      <c r="O15" s="85" t="s">
        <v>25</v>
      </c>
      <c r="P15" s="26" t="s">
        <v>127</v>
      </c>
      <c r="Q15" s="35">
        <v>41663</v>
      </c>
      <c r="R15" s="29" t="s">
        <v>896</v>
      </c>
    </row>
    <row r="16" spans="1:18" s="160" customFormat="1" ht="21" hidden="1" customHeight="1">
      <c r="A16" s="26">
        <v>15</v>
      </c>
      <c r="B16" s="159" t="s">
        <v>888</v>
      </c>
      <c r="C16" s="159" t="s">
        <v>889</v>
      </c>
      <c r="D16" s="143" t="s">
        <v>890</v>
      </c>
      <c r="E16" s="159" t="s">
        <v>632</v>
      </c>
      <c r="F16" s="143" t="s">
        <v>891</v>
      </c>
      <c r="G16" s="41">
        <v>5</v>
      </c>
      <c r="H16" s="42">
        <v>832</v>
      </c>
      <c r="I16" s="42">
        <v>0</v>
      </c>
      <c r="J16" s="42">
        <v>5</v>
      </c>
      <c r="K16" s="42">
        <v>2</v>
      </c>
      <c r="L16" s="42">
        <v>0</v>
      </c>
      <c r="M16" s="42">
        <v>0</v>
      </c>
      <c r="N16" s="243" t="s">
        <v>892</v>
      </c>
      <c r="O16" s="166" t="s">
        <v>25</v>
      </c>
      <c r="P16" s="41" t="s">
        <v>127</v>
      </c>
      <c r="Q16" s="44">
        <v>41271</v>
      </c>
      <c r="R16" s="209" t="s">
        <v>893</v>
      </c>
    </row>
    <row r="17" spans="1:23" s="22" customFormat="1" ht="21" hidden="1" customHeight="1">
      <c r="A17" s="26">
        <v>16</v>
      </c>
      <c r="B17" s="26" t="s">
        <v>189</v>
      </c>
      <c r="C17" s="26" t="s">
        <v>201</v>
      </c>
      <c r="D17" s="38" t="s">
        <v>884</v>
      </c>
      <c r="E17" s="33" t="s">
        <v>632</v>
      </c>
      <c r="F17" s="38" t="s">
        <v>885</v>
      </c>
      <c r="G17" s="26">
        <v>6</v>
      </c>
      <c r="H17" s="31">
        <v>710</v>
      </c>
      <c r="I17" s="31">
        <f>G17-J17</f>
        <v>0</v>
      </c>
      <c r="J17" s="31">
        <v>6</v>
      </c>
      <c r="K17" s="31">
        <v>3</v>
      </c>
      <c r="L17" s="31">
        <v>0</v>
      </c>
      <c r="M17" s="31">
        <v>0</v>
      </c>
      <c r="N17" s="39" t="s">
        <v>631</v>
      </c>
      <c r="O17" s="169" t="s">
        <v>25</v>
      </c>
      <c r="P17" s="26" t="s">
        <v>127</v>
      </c>
      <c r="Q17" s="35">
        <v>40774</v>
      </c>
      <c r="R17" s="72"/>
    </row>
    <row r="18" spans="1:23" s="22" customFormat="1" ht="21" hidden="1" customHeight="1">
      <c r="A18" s="26">
        <v>17</v>
      </c>
      <c r="B18" s="26" t="s">
        <v>189</v>
      </c>
      <c r="C18" s="26" t="s">
        <v>201</v>
      </c>
      <c r="D18" s="30" t="s">
        <v>385</v>
      </c>
      <c r="E18" s="26" t="s">
        <v>125</v>
      </c>
      <c r="F18" s="30" t="s">
        <v>880</v>
      </c>
      <c r="G18" s="26">
        <v>9</v>
      </c>
      <c r="H18" s="31">
        <v>859</v>
      </c>
      <c r="I18" s="32">
        <v>0</v>
      </c>
      <c r="J18" s="31">
        <v>9</v>
      </c>
      <c r="K18" s="31">
        <v>2</v>
      </c>
      <c r="L18" s="31">
        <v>0</v>
      </c>
      <c r="M18" s="31">
        <v>0</v>
      </c>
      <c r="N18" s="112" t="s">
        <v>633</v>
      </c>
      <c r="O18" s="74" t="s">
        <v>386</v>
      </c>
      <c r="P18" s="29" t="s">
        <v>309</v>
      </c>
      <c r="Q18" s="35">
        <v>37435</v>
      </c>
      <c r="R18" s="38" t="s">
        <v>881</v>
      </c>
    </row>
    <row r="19" spans="1:23" ht="21" hidden="1" customHeight="1">
      <c r="A19" s="26">
        <v>18</v>
      </c>
      <c r="B19" s="26" t="s">
        <v>189</v>
      </c>
      <c r="C19" s="26" t="s">
        <v>201</v>
      </c>
      <c r="D19" s="30" t="s">
        <v>285</v>
      </c>
      <c r="E19" s="26" t="s">
        <v>125</v>
      </c>
      <c r="F19" s="30" t="s">
        <v>1435</v>
      </c>
      <c r="G19" s="26">
        <v>1</v>
      </c>
      <c r="H19" s="31">
        <v>201</v>
      </c>
      <c r="I19" s="31">
        <v>0</v>
      </c>
      <c r="J19" s="31">
        <v>1</v>
      </c>
      <c r="K19" s="31">
        <v>0</v>
      </c>
      <c r="L19" s="31">
        <v>0</v>
      </c>
      <c r="M19" s="31">
        <v>0</v>
      </c>
      <c r="N19" s="39" t="s">
        <v>125</v>
      </c>
      <c r="O19" s="26" t="s">
        <v>124</v>
      </c>
      <c r="P19" s="38" t="s">
        <v>472</v>
      </c>
      <c r="Q19" s="35">
        <v>33878</v>
      </c>
      <c r="R19" s="113"/>
      <c r="S19" s="16"/>
      <c r="T19" s="16"/>
      <c r="U19" s="16"/>
      <c r="V19" s="16"/>
      <c r="W19" s="16"/>
    </row>
    <row r="20" spans="1:23" ht="21" hidden="1" customHeight="1">
      <c r="A20" s="26">
        <v>19</v>
      </c>
      <c r="B20" s="26" t="s">
        <v>189</v>
      </c>
      <c r="C20" s="26" t="s">
        <v>201</v>
      </c>
      <c r="D20" s="30" t="s">
        <v>103</v>
      </c>
      <c r="E20" s="26" t="s">
        <v>144</v>
      </c>
      <c r="F20" s="30" t="s">
        <v>886</v>
      </c>
      <c r="G20" s="26">
        <v>9</v>
      </c>
      <c r="H20" s="32">
        <v>1412</v>
      </c>
      <c r="I20" s="32">
        <f>G20-J20</f>
        <v>0</v>
      </c>
      <c r="J20" s="32">
        <v>9</v>
      </c>
      <c r="K20" s="32">
        <v>5</v>
      </c>
      <c r="L20" s="49">
        <v>0</v>
      </c>
      <c r="M20" s="49">
        <v>0</v>
      </c>
      <c r="N20" s="112" t="s">
        <v>887</v>
      </c>
      <c r="O20" s="67" t="s">
        <v>450</v>
      </c>
      <c r="P20" s="29" t="s">
        <v>27</v>
      </c>
      <c r="Q20" s="35">
        <v>39586</v>
      </c>
      <c r="R20" s="72"/>
    </row>
    <row r="21" spans="1:23" ht="21" hidden="1" customHeight="1">
      <c r="A21" s="26">
        <v>20</v>
      </c>
      <c r="B21" s="47" t="s">
        <v>568</v>
      </c>
      <c r="C21" s="85" t="s">
        <v>569</v>
      </c>
      <c r="D21" s="38" t="s">
        <v>567</v>
      </c>
      <c r="E21" s="33" t="s">
        <v>570</v>
      </c>
      <c r="F21" s="38" t="s">
        <v>571</v>
      </c>
      <c r="G21" s="26">
        <v>1</v>
      </c>
      <c r="H21" s="31">
        <v>139</v>
      </c>
      <c r="I21" s="31">
        <v>0</v>
      </c>
      <c r="J21" s="31">
        <v>1</v>
      </c>
      <c r="K21" s="31">
        <v>0</v>
      </c>
      <c r="L21" s="42">
        <v>0</v>
      </c>
      <c r="M21" s="42">
        <v>0</v>
      </c>
      <c r="N21" s="39" t="s">
        <v>570</v>
      </c>
      <c r="O21" s="85" t="s">
        <v>572</v>
      </c>
      <c r="P21" s="26" t="s">
        <v>573</v>
      </c>
      <c r="Q21" s="35">
        <v>41874</v>
      </c>
      <c r="R21" s="34"/>
    </row>
    <row r="22" spans="1:23" ht="21" hidden="1" customHeight="1">
      <c r="G22" s="95">
        <f>SUM(G2:G21)</f>
        <v>132</v>
      </c>
      <c r="H22" s="94">
        <f>SUM(H2:H21)</f>
        <v>21187</v>
      </c>
      <c r="I22" s="94">
        <f>SUM(I2:I21)</f>
        <v>0</v>
      </c>
      <c r="J22" s="94">
        <f>SUM(J2:J21)</f>
        <v>132</v>
      </c>
      <c r="K22" s="94"/>
      <c r="L22" s="94"/>
      <c r="M22" s="94"/>
    </row>
  </sheetData>
  <autoFilter ref="A1:W22">
    <filterColumn colId="2">
      <filters>
        <filter val="달서구"/>
      </filters>
    </filterColumn>
  </autoFilter>
  <sortState ref="A2:R39">
    <sortCondition ref="C2:C39"/>
    <sortCondition ref="D2:D39"/>
  </sortState>
  <phoneticPr fontId="28" type="noConversion"/>
  <pageMargins left="0.38999998569488525" right="0.19680555164813995" top="0.98430556058883667" bottom="0.98430556058883667" header="0.5" footer="0.5"/>
  <pageSetup paperSize="9" scale="94" orientation="landscape" horizontalDpi="300" verticalDpi="300" r:id="rId1"/>
  <headerFooter alignWithMargins="0">
    <oddHeader>&amp;L&amp;"돋움,Bold"전국극장현황&amp;C&amp;"돋움,Bold"대구&amp;R&amp;"돋움,Bold"2006. 12. 31 기준</oddHeader>
    <oddFooter>&amp;C&amp;"돋움,Regular"&amp;P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1"/>
  <sheetViews>
    <sheetView zoomScaleNormal="100"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16" sqref="C16"/>
    </sheetView>
  </sheetViews>
  <sheetFormatPr defaultRowHeight="24.75" customHeight="1"/>
  <cols>
    <col min="1" max="1" width="5.88671875" style="5" customWidth="1"/>
    <col min="2" max="2" width="12.21875" style="2" customWidth="1"/>
    <col min="3" max="3" width="8.77734375" style="2" customWidth="1"/>
    <col min="4" max="4" width="15.77734375" style="5" customWidth="1"/>
    <col min="5" max="5" width="14.77734375" style="5" customWidth="1"/>
    <col min="6" max="6" width="15.77734375" style="5" customWidth="1"/>
    <col min="7" max="7" width="11" style="24" customWidth="1"/>
    <col min="8" max="8" width="10.21875" style="25" customWidth="1"/>
    <col min="9" max="9" width="12.109375" style="25" customWidth="1"/>
    <col min="10" max="10" width="11" style="25" customWidth="1"/>
    <col min="11" max="12" width="11.88671875" style="25" customWidth="1"/>
    <col min="13" max="13" width="12.33203125" style="25" customWidth="1"/>
    <col min="14" max="14" width="15.21875" style="2" customWidth="1"/>
    <col min="15" max="15" width="14.7773437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38.25" customHeight="1" thickBot="1">
      <c r="A1" s="207" t="s">
        <v>153</v>
      </c>
      <c r="B1" s="207" t="s">
        <v>206</v>
      </c>
      <c r="C1" s="207" t="s">
        <v>207</v>
      </c>
      <c r="D1" s="207" t="s">
        <v>162</v>
      </c>
      <c r="E1" s="207" t="s">
        <v>115</v>
      </c>
      <c r="F1" s="207" t="s">
        <v>257</v>
      </c>
      <c r="G1" s="210" t="s">
        <v>290</v>
      </c>
      <c r="H1" s="210" t="s">
        <v>291</v>
      </c>
      <c r="I1" s="211" t="s">
        <v>539</v>
      </c>
      <c r="J1" s="211" t="s">
        <v>540</v>
      </c>
      <c r="K1" s="211" t="s">
        <v>409</v>
      </c>
      <c r="L1" s="211" t="s">
        <v>563</v>
      </c>
      <c r="M1" s="211" t="s">
        <v>410</v>
      </c>
      <c r="N1" s="210" t="s">
        <v>392</v>
      </c>
      <c r="O1" s="207" t="s">
        <v>60</v>
      </c>
      <c r="P1" s="207" t="s">
        <v>154</v>
      </c>
      <c r="Q1" s="207" t="s">
        <v>267</v>
      </c>
      <c r="R1" s="207" t="s">
        <v>155</v>
      </c>
    </row>
    <row r="2" spans="1:18" s="16" customFormat="1" ht="24.75" customHeight="1">
      <c r="A2" s="41">
        <v>1</v>
      </c>
      <c r="B2" s="47" t="s">
        <v>192</v>
      </c>
      <c r="C2" s="47" t="s">
        <v>193</v>
      </c>
      <c r="D2" s="48" t="s">
        <v>336</v>
      </c>
      <c r="E2" s="47" t="s">
        <v>144</v>
      </c>
      <c r="F2" s="48" t="s">
        <v>898</v>
      </c>
      <c r="G2" s="41">
        <v>8</v>
      </c>
      <c r="H2" s="42">
        <v>1219</v>
      </c>
      <c r="I2" s="42">
        <f>G2-J2</f>
        <v>0</v>
      </c>
      <c r="J2" s="42">
        <v>8</v>
      </c>
      <c r="K2" s="42">
        <v>4</v>
      </c>
      <c r="L2" s="42">
        <v>0</v>
      </c>
      <c r="M2" s="42">
        <v>0</v>
      </c>
      <c r="N2" s="243" t="s">
        <v>649</v>
      </c>
      <c r="O2" s="166" t="s">
        <v>25</v>
      </c>
      <c r="P2" s="41" t="s">
        <v>127</v>
      </c>
      <c r="Q2" s="44">
        <v>38985</v>
      </c>
      <c r="R2" s="48"/>
    </row>
    <row r="3" spans="1:18" s="16" customFormat="1" ht="24.75" customHeight="1">
      <c r="A3" s="26">
        <v>2</v>
      </c>
      <c r="B3" s="26" t="s">
        <v>192</v>
      </c>
      <c r="C3" s="26" t="s">
        <v>227</v>
      </c>
      <c r="D3" s="38" t="s">
        <v>899</v>
      </c>
      <c r="E3" s="26" t="s">
        <v>144</v>
      </c>
      <c r="F3" s="29" t="s">
        <v>900</v>
      </c>
      <c r="G3" s="26">
        <v>4</v>
      </c>
      <c r="H3" s="31">
        <v>516</v>
      </c>
      <c r="I3" s="31">
        <v>0</v>
      </c>
      <c r="J3" s="31">
        <v>4</v>
      </c>
      <c r="K3" s="31">
        <v>2</v>
      </c>
      <c r="L3" s="31">
        <v>0</v>
      </c>
      <c r="M3" s="31">
        <v>0</v>
      </c>
      <c r="N3" s="39" t="s">
        <v>710</v>
      </c>
      <c r="O3" s="85" t="s">
        <v>25</v>
      </c>
      <c r="P3" s="26" t="s">
        <v>127</v>
      </c>
      <c r="Q3" s="35">
        <v>38604</v>
      </c>
      <c r="R3" s="29" t="s">
        <v>901</v>
      </c>
    </row>
    <row r="4" spans="1:18" s="16" customFormat="1" ht="24.75" customHeight="1">
      <c r="A4" s="26">
        <v>3</v>
      </c>
      <c r="B4" s="26" t="s">
        <v>192</v>
      </c>
      <c r="C4" s="26" t="s">
        <v>227</v>
      </c>
      <c r="D4" s="29" t="s">
        <v>337</v>
      </c>
      <c r="E4" s="26" t="s">
        <v>144</v>
      </c>
      <c r="F4" s="29" t="s">
        <v>902</v>
      </c>
      <c r="G4" s="26">
        <v>9</v>
      </c>
      <c r="H4" s="31">
        <v>1690</v>
      </c>
      <c r="I4" s="31">
        <f>G4-J4</f>
        <v>0</v>
      </c>
      <c r="J4" s="31">
        <v>9</v>
      </c>
      <c r="K4" s="31">
        <v>4</v>
      </c>
      <c r="L4" s="31">
        <v>0</v>
      </c>
      <c r="M4" s="31">
        <v>0</v>
      </c>
      <c r="N4" s="39" t="s">
        <v>710</v>
      </c>
      <c r="O4" s="85" t="s">
        <v>25</v>
      </c>
      <c r="P4" s="26" t="s">
        <v>127</v>
      </c>
      <c r="Q4" s="35">
        <v>38414</v>
      </c>
      <c r="R4" s="29"/>
    </row>
    <row r="5" spans="1:18" s="16" customFormat="1" ht="24.75" customHeight="1">
      <c r="A5" s="26">
        <v>4</v>
      </c>
      <c r="B5" s="27" t="s">
        <v>192</v>
      </c>
      <c r="C5" s="27" t="s">
        <v>227</v>
      </c>
      <c r="D5" s="28" t="s">
        <v>74</v>
      </c>
      <c r="E5" s="27" t="s">
        <v>125</v>
      </c>
      <c r="F5" s="28" t="s">
        <v>1436</v>
      </c>
      <c r="G5" s="26">
        <v>3</v>
      </c>
      <c r="H5" s="31">
        <v>346</v>
      </c>
      <c r="I5" s="32">
        <v>0</v>
      </c>
      <c r="J5" s="31">
        <v>3</v>
      </c>
      <c r="K5" s="31">
        <v>0</v>
      </c>
      <c r="L5" s="31">
        <v>0</v>
      </c>
      <c r="M5" s="31">
        <v>0</v>
      </c>
      <c r="N5" s="39" t="s">
        <v>125</v>
      </c>
      <c r="O5" s="27" t="s">
        <v>417</v>
      </c>
      <c r="P5" s="29" t="s">
        <v>15</v>
      </c>
      <c r="Q5" s="35">
        <v>39203</v>
      </c>
      <c r="R5" s="79" t="s">
        <v>1472</v>
      </c>
    </row>
    <row r="6" spans="1:18" s="16" customFormat="1" ht="24.75" customHeight="1">
      <c r="A6" s="26">
        <v>5</v>
      </c>
      <c r="B6" s="26" t="s">
        <v>903</v>
      </c>
      <c r="C6" s="26" t="s">
        <v>904</v>
      </c>
      <c r="D6" s="29" t="s">
        <v>905</v>
      </c>
      <c r="E6" s="26" t="s">
        <v>789</v>
      </c>
      <c r="F6" s="29" t="s">
        <v>906</v>
      </c>
      <c r="G6" s="26">
        <v>7</v>
      </c>
      <c r="H6" s="31">
        <v>921</v>
      </c>
      <c r="I6" s="31">
        <v>0</v>
      </c>
      <c r="J6" s="31">
        <v>7</v>
      </c>
      <c r="K6" s="31">
        <v>0</v>
      </c>
      <c r="L6" s="31">
        <v>0</v>
      </c>
      <c r="M6" s="31">
        <v>0</v>
      </c>
      <c r="N6" s="39" t="s">
        <v>125</v>
      </c>
      <c r="O6" s="85" t="s">
        <v>25</v>
      </c>
      <c r="P6" s="26" t="s">
        <v>127</v>
      </c>
      <c r="Q6" s="35">
        <v>41887</v>
      </c>
      <c r="R6" s="29"/>
    </row>
    <row r="7" spans="1:18" s="16" customFormat="1" ht="24.75" customHeight="1">
      <c r="A7" s="26">
        <v>6</v>
      </c>
      <c r="B7" s="26" t="s">
        <v>192</v>
      </c>
      <c r="C7" s="26" t="s">
        <v>276</v>
      </c>
      <c r="D7" s="29" t="s">
        <v>333</v>
      </c>
      <c r="E7" s="26" t="s">
        <v>144</v>
      </c>
      <c r="F7" s="29" t="s">
        <v>910</v>
      </c>
      <c r="G7" s="26">
        <v>14</v>
      </c>
      <c r="H7" s="31">
        <v>3390</v>
      </c>
      <c r="I7" s="31">
        <f>G7-J7</f>
        <v>0</v>
      </c>
      <c r="J7" s="31">
        <v>14</v>
      </c>
      <c r="K7" s="31">
        <v>5</v>
      </c>
      <c r="L7" s="31">
        <v>1</v>
      </c>
      <c r="M7" s="31">
        <v>1</v>
      </c>
      <c r="N7" s="39" t="s">
        <v>911</v>
      </c>
      <c r="O7" s="85" t="s">
        <v>25</v>
      </c>
      <c r="P7" s="26" t="s">
        <v>127</v>
      </c>
      <c r="Q7" s="35">
        <v>36512</v>
      </c>
      <c r="R7" s="29"/>
    </row>
    <row r="8" spans="1:18" s="16" customFormat="1" ht="24.75" customHeight="1">
      <c r="A8" s="26">
        <v>7</v>
      </c>
      <c r="B8" s="26" t="s">
        <v>192</v>
      </c>
      <c r="C8" s="26" t="s">
        <v>276</v>
      </c>
      <c r="D8" s="29" t="s">
        <v>327</v>
      </c>
      <c r="E8" s="26" t="s">
        <v>625</v>
      </c>
      <c r="F8" s="29" t="s">
        <v>907</v>
      </c>
      <c r="G8" s="26">
        <v>5</v>
      </c>
      <c r="H8" s="31">
        <v>630</v>
      </c>
      <c r="I8" s="31">
        <f>G8-J8</f>
        <v>0</v>
      </c>
      <c r="J8" s="31">
        <v>5</v>
      </c>
      <c r="K8" s="31">
        <v>2</v>
      </c>
      <c r="L8" s="31">
        <v>0</v>
      </c>
      <c r="M8" s="31">
        <v>0</v>
      </c>
      <c r="N8" s="39" t="s">
        <v>125</v>
      </c>
      <c r="O8" s="85" t="s">
        <v>25</v>
      </c>
      <c r="P8" s="26" t="s">
        <v>127</v>
      </c>
      <c r="Q8" s="35">
        <v>40438</v>
      </c>
      <c r="R8" s="29"/>
    </row>
    <row r="9" spans="1:18" s="16" customFormat="1" ht="24.75" customHeight="1">
      <c r="A9" s="26">
        <v>8</v>
      </c>
      <c r="B9" s="27" t="s">
        <v>192</v>
      </c>
      <c r="C9" s="27" t="s">
        <v>276</v>
      </c>
      <c r="D9" s="28" t="s">
        <v>360</v>
      </c>
      <c r="E9" s="27" t="s">
        <v>144</v>
      </c>
      <c r="F9" s="250" t="s">
        <v>908</v>
      </c>
      <c r="G9" s="26">
        <v>9</v>
      </c>
      <c r="H9" s="32">
        <v>1341</v>
      </c>
      <c r="I9" s="32">
        <f>G9-J9</f>
        <v>0</v>
      </c>
      <c r="J9" s="32">
        <v>9</v>
      </c>
      <c r="K9" s="32">
        <v>7</v>
      </c>
      <c r="L9" s="32">
        <v>0</v>
      </c>
      <c r="M9" s="32">
        <v>0</v>
      </c>
      <c r="N9" s="112" t="s">
        <v>909</v>
      </c>
      <c r="O9" s="33" t="s">
        <v>450</v>
      </c>
      <c r="P9" s="29" t="s">
        <v>27</v>
      </c>
      <c r="Q9" s="35">
        <v>39954</v>
      </c>
      <c r="R9" s="28"/>
    </row>
    <row r="10" spans="1:18" s="22" customFormat="1" ht="24.75" customHeight="1">
      <c r="A10" s="26">
        <v>9</v>
      </c>
      <c r="B10" s="26" t="s">
        <v>524</v>
      </c>
      <c r="C10" s="26" t="s">
        <v>525</v>
      </c>
      <c r="D10" s="29" t="s">
        <v>523</v>
      </c>
      <c r="E10" s="26" t="s">
        <v>504</v>
      </c>
      <c r="F10" s="29" t="s">
        <v>1437</v>
      </c>
      <c r="G10" s="26">
        <v>1</v>
      </c>
      <c r="H10" s="32">
        <v>283</v>
      </c>
      <c r="I10" s="31">
        <v>0</v>
      </c>
      <c r="J10" s="31">
        <v>1</v>
      </c>
      <c r="K10" s="31">
        <v>0</v>
      </c>
      <c r="L10" s="31">
        <v>0</v>
      </c>
      <c r="M10" s="31">
        <v>0</v>
      </c>
      <c r="N10" s="39" t="s">
        <v>504</v>
      </c>
      <c r="O10" s="27" t="s">
        <v>526</v>
      </c>
      <c r="P10" s="26"/>
      <c r="Q10" s="35">
        <v>41549</v>
      </c>
      <c r="R10" s="29" t="s">
        <v>528</v>
      </c>
    </row>
    <row r="11" spans="1:18" s="22" customFormat="1" ht="24.75" customHeight="1">
      <c r="A11" s="26">
        <v>10</v>
      </c>
      <c r="B11" s="26" t="s">
        <v>192</v>
      </c>
      <c r="C11" s="26" t="s">
        <v>919</v>
      </c>
      <c r="D11" s="29" t="s">
        <v>419</v>
      </c>
      <c r="E11" s="26" t="s">
        <v>146</v>
      </c>
      <c r="F11" s="29" t="s">
        <v>920</v>
      </c>
      <c r="G11" s="26">
        <v>10</v>
      </c>
      <c r="H11" s="31">
        <v>1464</v>
      </c>
      <c r="I11" s="31">
        <f>G11-J11</f>
        <v>0</v>
      </c>
      <c r="J11" s="31">
        <v>10</v>
      </c>
      <c r="K11" s="31">
        <v>0</v>
      </c>
      <c r="L11" s="31">
        <v>0</v>
      </c>
      <c r="M11" s="31">
        <v>0</v>
      </c>
      <c r="N11" s="39" t="s">
        <v>628</v>
      </c>
      <c r="O11" s="85" t="s">
        <v>25</v>
      </c>
      <c r="P11" s="26" t="s">
        <v>127</v>
      </c>
      <c r="Q11" s="35">
        <v>38157</v>
      </c>
      <c r="R11" s="29"/>
    </row>
    <row r="12" spans="1:18" s="171" customFormat="1" ht="24.75" customHeight="1">
      <c r="A12" s="26">
        <v>11</v>
      </c>
      <c r="B12" s="26" t="s">
        <v>305</v>
      </c>
      <c r="C12" s="26" t="s">
        <v>174</v>
      </c>
      <c r="D12" s="30" t="s">
        <v>225</v>
      </c>
      <c r="E12" s="26" t="s">
        <v>125</v>
      </c>
      <c r="F12" s="29" t="s">
        <v>1438</v>
      </c>
      <c r="G12" s="26">
        <v>2</v>
      </c>
      <c r="H12" s="31">
        <v>240</v>
      </c>
      <c r="I12" s="32">
        <v>0</v>
      </c>
      <c r="J12" s="31">
        <v>2</v>
      </c>
      <c r="K12" s="31">
        <v>1</v>
      </c>
      <c r="L12" s="31">
        <v>0</v>
      </c>
      <c r="M12" s="31">
        <v>0</v>
      </c>
      <c r="N12" s="39" t="s">
        <v>125</v>
      </c>
      <c r="O12" s="26" t="s">
        <v>418</v>
      </c>
      <c r="P12" s="37" t="s">
        <v>473</v>
      </c>
      <c r="Q12" s="85" t="s">
        <v>446</v>
      </c>
      <c r="R12" s="28"/>
    </row>
    <row r="13" spans="1:18" s="171" customFormat="1" ht="24.75" customHeight="1">
      <c r="A13" s="26">
        <v>12</v>
      </c>
      <c r="B13" s="26" t="s">
        <v>192</v>
      </c>
      <c r="C13" s="26" t="s">
        <v>174</v>
      </c>
      <c r="D13" s="30" t="s">
        <v>361</v>
      </c>
      <c r="E13" s="26" t="s">
        <v>144</v>
      </c>
      <c r="F13" s="30" t="s">
        <v>913</v>
      </c>
      <c r="G13" s="26">
        <v>9</v>
      </c>
      <c r="H13" s="32">
        <v>1523</v>
      </c>
      <c r="I13" s="32">
        <f>G13-J13</f>
        <v>0</v>
      </c>
      <c r="J13" s="32">
        <v>9</v>
      </c>
      <c r="K13" s="32">
        <v>4</v>
      </c>
      <c r="L13" s="32">
        <v>0</v>
      </c>
      <c r="M13" s="32">
        <v>0</v>
      </c>
      <c r="N13" s="112" t="s">
        <v>914</v>
      </c>
      <c r="O13" s="67" t="s">
        <v>450</v>
      </c>
      <c r="P13" s="29" t="s">
        <v>27</v>
      </c>
      <c r="Q13" s="35">
        <v>38777</v>
      </c>
      <c r="R13" s="29"/>
    </row>
    <row r="14" spans="1:18" s="16" customFormat="1" ht="24.75" customHeight="1">
      <c r="A14" s="26">
        <v>13</v>
      </c>
      <c r="B14" s="26" t="s">
        <v>192</v>
      </c>
      <c r="C14" s="26" t="s">
        <v>174</v>
      </c>
      <c r="D14" s="30" t="s">
        <v>112</v>
      </c>
      <c r="E14" s="26" t="s">
        <v>144</v>
      </c>
      <c r="F14" s="30" t="s">
        <v>912</v>
      </c>
      <c r="G14" s="26">
        <v>9</v>
      </c>
      <c r="H14" s="32">
        <v>1218</v>
      </c>
      <c r="I14" s="32">
        <f>G14-J14</f>
        <v>0</v>
      </c>
      <c r="J14" s="32">
        <v>9</v>
      </c>
      <c r="K14" s="32">
        <v>4</v>
      </c>
      <c r="L14" s="32">
        <v>0</v>
      </c>
      <c r="M14" s="32">
        <v>0</v>
      </c>
      <c r="N14" s="39" t="s">
        <v>125</v>
      </c>
      <c r="O14" s="33" t="s">
        <v>450</v>
      </c>
      <c r="P14" s="29" t="s">
        <v>27</v>
      </c>
      <c r="Q14" s="35">
        <v>39695</v>
      </c>
      <c r="R14" s="29"/>
    </row>
    <row r="15" spans="1:18" s="16" customFormat="1" ht="24.75" customHeight="1">
      <c r="A15" s="26">
        <v>14</v>
      </c>
      <c r="B15" s="26" t="s">
        <v>915</v>
      </c>
      <c r="C15" s="26" t="s">
        <v>916</v>
      </c>
      <c r="D15" s="29" t="s">
        <v>917</v>
      </c>
      <c r="E15" s="26" t="s">
        <v>789</v>
      </c>
      <c r="F15" s="29" t="s">
        <v>918</v>
      </c>
      <c r="G15" s="26">
        <v>6</v>
      </c>
      <c r="H15" s="31">
        <v>730</v>
      </c>
      <c r="I15" s="31">
        <v>0</v>
      </c>
      <c r="J15" s="31">
        <v>6</v>
      </c>
      <c r="K15" s="31">
        <v>0</v>
      </c>
      <c r="L15" s="31">
        <v>0</v>
      </c>
      <c r="M15" s="31">
        <v>0</v>
      </c>
      <c r="N15" s="39" t="s">
        <v>125</v>
      </c>
      <c r="O15" s="85" t="s">
        <v>25</v>
      </c>
      <c r="P15" s="26" t="s">
        <v>127</v>
      </c>
      <c r="Q15" s="35">
        <v>41842</v>
      </c>
      <c r="R15" s="29"/>
    </row>
    <row r="16" spans="1:18" s="142" customFormat="1" ht="24.75" customHeight="1">
      <c r="A16" s="26">
        <v>15</v>
      </c>
      <c r="B16" s="27" t="s">
        <v>192</v>
      </c>
      <c r="C16" s="27" t="s">
        <v>194</v>
      </c>
      <c r="D16" s="28" t="s">
        <v>362</v>
      </c>
      <c r="E16" s="85" t="s">
        <v>625</v>
      </c>
      <c r="F16" s="250" t="s">
        <v>921</v>
      </c>
      <c r="G16" s="26">
        <v>6</v>
      </c>
      <c r="H16" s="32">
        <v>624</v>
      </c>
      <c r="I16" s="32">
        <f>G16-J16</f>
        <v>0</v>
      </c>
      <c r="J16" s="32">
        <v>6</v>
      </c>
      <c r="K16" s="32">
        <v>2</v>
      </c>
      <c r="L16" s="173">
        <v>0</v>
      </c>
      <c r="M16" s="32">
        <v>0</v>
      </c>
      <c r="N16" s="39" t="s">
        <v>125</v>
      </c>
      <c r="O16" s="67" t="s">
        <v>450</v>
      </c>
      <c r="P16" s="29" t="s">
        <v>27</v>
      </c>
      <c r="Q16" s="35">
        <v>38988</v>
      </c>
      <c r="R16" s="28"/>
    </row>
    <row r="17" spans="1:18" s="142" customFormat="1" ht="24.75" customHeight="1">
      <c r="A17" s="26">
        <v>16</v>
      </c>
      <c r="B17" s="33" t="s">
        <v>924</v>
      </c>
      <c r="C17" s="33" t="s">
        <v>925</v>
      </c>
      <c r="D17" s="38" t="s">
        <v>926</v>
      </c>
      <c r="E17" s="33" t="s">
        <v>927</v>
      </c>
      <c r="F17" s="38" t="s">
        <v>928</v>
      </c>
      <c r="G17" s="26">
        <v>6</v>
      </c>
      <c r="H17" s="31">
        <v>1127</v>
      </c>
      <c r="I17" s="31">
        <v>0</v>
      </c>
      <c r="J17" s="31">
        <v>6</v>
      </c>
      <c r="K17" s="31">
        <v>2</v>
      </c>
      <c r="L17" s="31">
        <v>0</v>
      </c>
      <c r="M17" s="31">
        <v>0</v>
      </c>
      <c r="N17" s="112" t="s">
        <v>929</v>
      </c>
      <c r="O17" s="85" t="s">
        <v>930</v>
      </c>
      <c r="P17" s="26" t="s">
        <v>127</v>
      </c>
      <c r="Q17" s="35">
        <v>41187</v>
      </c>
      <c r="R17" s="29"/>
    </row>
    <row r="18" spans="1:18" s="61" customFormat="1" ht="24.75" customHeight="1">
      <c r="A18" s="26">
        <v>17</v>
      </c>
      <c r="B18" s="26" t="s">
        <v>192</v>
      </c>
      <c r="C18" s="26" t="s">
        <v>268</v>
      </c>
      <c r="D18" s="65" t="s">
        <v>922</v>
      </c>
      <c r="E18" s="26" t="s">
        <v>625</v>
      </c>
      <c r="F18" s="30" t="s">
        <v>923</v>
      </c>
      <c r="G18" s="26">
        <v>9</v>
      </c>
      <c r="H18" s="31">
        <v>1498</v>
      </c>
      <c r="I18" s="32">
        <f>G18-J18</f>
        <v>0</v>
      </c>
      <c r="J18" s="31">
        <v>9</v>
      </c>
      <c r="K18" s="31">
        <v>3</v>
      </c>
      <c r="L18" s="31">
        <v>0</v>
      </c>
      <c r="M18" s="31">
        <v>0</v>
      </c>
      <c r="N18" s="39" t="s">
        <v>125</v>
      </c>
      <c r="O18" s="33" t="s">
        <v>451</v>
      </c>
      <c r="P18" s="29" t="s">
        <v>308</v>
      </c>
      <c r="Q18" s="35">
        <v>38533</v>
      </c>
      <c r="R18" s="29"/>
    </row>
    <row r="19" spans="1:18" ht="24.75" customHeight="1">
      <c r="A19" s="26">
        <v>18</v>
      </c>
      <c r="B19" s="33" t="s">
        <v>931</v>
      </c>
      <c r="C19" s="33" t="s">
        <v>932</v>
      </c>
      <c r="D19" s="38" t="s">
        <v>933</v>
      </c>
      <c r="E19" s="33" t="s">
        <v>934</v>
      </c>
      <c r="F19" s="38" t="s">
        <v>935</v>
      </c>
      <c r="G19" s="26">
        <v>2</v>
      </c>
      <c r="H19" s="31">
        <v>245</v>
      </c>
      <c r="I19" s="31">
        <v>0</v>
      </c>
      <c r="J19" s="31">
        <v>2</v>
      </c>
      <c r="K19" s="31">
        <v>2</v>
      </c>
      <c r="L19" s="31">
        <v>0</v>
      </c>
      <c r="M19" s="31">
        <v>0</v>
      </c>
      <c r="N19" s="112" t="s">
        <v>929</v>
      </c>
      <c r="O19" s="85" t="s">
        <v>25</v>
      </c>
      <c r="P19" s="26" t="s">
        <v>127</v>
      </c>
      <c r="Q19" s="35">
        <v>40924</v>
      </c>
      <c r="R19" s="29"/>
    </row>
    <row r="20" spans="1:18" ht="24.75" customHeight="1">
      <c r="A20" s="26">
        <v>19</v>
      </c>
      <c r="B20" s="27" t="s">
        <v>192</v>
      </c>
      <c r="C20" s="27" t="s">
        <v>201</v>
      </c>
      <c r="D20" s="28" t="s">
        <v>306</v>
      </c>
      <c r="E20" s="27" t="s">
        <v>125</v>
      </c>
      <c r="F20" s="28" t="s">
        <v>1439</v>
      </c>
      <c r="G20" s="26">
        <v>5</v>
      </c>
      <c r="H20" s="31">
        <v>809</v>
      </c>
      <c r="I20" s="32">
        <v>0</v>
      </c>
      <c r="J20" s="31">
        <v>5</v>
      </c>
      <c r="K20" s="31">
        <v>0</v>
      </c>
      <c r="L20" s="31">
        <v>0</v>
      </c>
      <c r="M20" s="31">
        <v>0</v>
      </c>
      <c r="N20" s="39" t="s">
        <v>125</v>
      </c>
      <c r="O20" s="27" t="s">
        <v>420</v>
      </c>
      <c r="P20" s="29" t="s">
        <v>321</v>
      </c>
      <c r="Q20" s="35">
        <v>38002</v>
      </c>
      <c r="R20" s="28"/>
    </row>
    <row r="21" spans="1:18" ht="24.75" customHeight="1">
      <c r="G21" s="95"/>
      <c r="H21" s="96"/>
      <c r="I21" s="96"/>
      <c r="J21" s="96"/>
      <c r="K21" s="96"/>
      <c r="L21" s="96"/>
      <c r="M21" s="96"/>
    </row>
  </sheetData>
  <autoFilter ref="A1:R18"/>
  <sortState ref="A2:R34">
    <sortCondition ref="C2:C34"/>
    <sortCondition ref="D2:D34"/>
  </sortState>
  <phoneticPr fontId="28" type="noConversion"/>
  <pageMargins left="0.33000001311302185" right="0.2199999988079071" top="0.98430556058883667" bottom="0.98430556058883667" header="0.49000000953674316" footer="0.5"/>
  <pageSetup paperSize="9" scale="92" orientation="landscape" horizontalDpi="300" verticalDpi="300" r:id="rId1"/>
  <headerFooter alignWithMargins="0">
    <oddHeader xml:space="preserve">&amp;L&amp;"돋움,Bold"전국극장현황&amp;C&amp;"돋움,Bold"인천&amp;R&amp;"돋움,Bold"2006. 12. 31 기준
&amp;"돋움,Regular"
</oddHeader>
    <oddFooter>&amp;C&amp;"돋움,Regular"&amp;P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R16"/>
  <sheetViews>
    <sheetView zoomScaleSheetLayoutView="75" workbookViewId="0">
      <pane xSplit="4" ySplit="1" topLeftCell="E8" activePane="bottomRight" state="frozen"/>
      <selection pane="topRight" activeCell="E1" sqref="E1"/>
      <selection pane="bottomLeft" activeCell="A2" sqref="A2"/>
      <selection pane="bottomRight" activeCell="H13" sqref="H13:H15"/>
    </sheetView>
  </sheetViews>
  <sheetFormatPr defaultRowHeight="21.75" customHeight="1"/>
  <cols>
    <col min="1" max="1" width="6.77734375" style="5" customWidth="1"/>
    <col min="2" max="2" width="12.21875" style="2" customWidth="1"/>
    <col min="3" max="3" width="8.77734375" style="2" customWidth="1"/>
    <col min="4" max="4" width="21.109375" style="5" customWidth="1"/>
    <col min="5" max="5" width="14.44140625" style="5" customWidth="1"/>
    <col min="6" max="6" width="15.77734375" style="5" customWidth="1"/>
    <col min="7" max="7" width="10.21875" style="5" customWidth="1"/>
    <col min="8" max="8" width="10.6640625" style="6" customWidth="1"/>
    <col min="9" max="9" width="13.77734375" style="6" customWidth="1"/>
    <col min="10" max="10" width="11.44140625" style="6" customWidth="1"/>
    <col min="11" max="12" width="12.88671875" style="6" customWidth="1"/>
    <col min="13" max="13" width="13.88671875" style="6" customWidth="1"/>
    <col min="14" max="14" width="14.44140625" style="2" customWidth="1"/>
    <col min="15" max="15" width="18.10937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42" customHeight="1" thickBot="1">
      <c r="A1" s="45" t="s">
        <v>153</v>
      </c>
      <c r="B1" s="45" t="s">
        <v>206</v>
      </c>
      <c r="C1" s="45" t="s">
        <v>207</v>
      </c>
      <c r="D1" s="45" t="s">
        <v>162</v>
      </c>
      <c r="E1" s="45" t="s">
        <v>115</v>
      </c>
      <c r="F1" s="45" t="s">
        <v>257</v>
      </c>
      <c r="G1" s="46" t="s">
        <v>290</v>
      </c>
      <c r="H1" s="46" t="s">
        <v>291</v>
      </c>
      <c r="I1" s="52" t="s">
        <v>539</v>
      </c>
      <c r="J1" s="52" t="s">
        <v>540</v>
      </c>
      <c r="K1" s="52" t="s">
        <v>409</v>
      </c>
      <c r="L1" s="52" t="s">
        <v>563</v>
      </c>
      <c r="M1" s="52" t="s">
        <v>410</v>
      </c>
      <c r="N1" s="46" t="s">
        <v>392</v>
      </c>
      <c r="O1" s="45" t="s">
        <v>61</v>
      </c>
      <c r="P1" s="45" t="s">
        <v>154</v>
      </c>
      <c r="Q1" s="45" t="s">
        <v>267</v>
      </c>
      <c r="R1" s="45" t="s">
        <v>155</v>
      </c>
    </row>
    <row r="2" spans="1:18" s="16" customFormat="1" ht="21.75" customHeight="1" thickTop="1">
      <c r="A2" s="41">
        <v>1</v>
      </c>
      <c r="B2" s="47" t="s">
        <v>185</v>
      </c>
      <c r="C2" s="47" t="s">
        <v>186</v>
      </c>
      <c r="D2" s="48" t="s">
        <v>938</v>
      </c>
      <c r="E2" s="47" t="s">
        <v>146</v>
      </c>
      <c r="F2" s="48" t="s">
        <v>939</v>
      </c>
      <c r="G2" s="41">
        <v>9</v>
      </c>
      <c r="H2" s="42">
        <v>1534</v>
      </c>
      <c r="I2" s="42">
        <f>G2-J2</f>
        <v>0</v>
      </c>
      <c r="J2" s="42">
        <v>9</v>
      </c>
      <c r="K2" s="42">
        <v>4</v>
      </c>
      <c r="L2" s="42">
        <v>0</v>
      </c>
      <c r="M2" s="42">
        <v>0</v>
      </c>
      <c r="N2" s="243" t="s">
        <v>940</v>
      </c>
      <c r="O2" s="166" t="s">
        <v>25</v>
      </c>
      <c r="P2" s="41" t="s">
        <v>127</v>
      </c>
      <c r="Q2" s="44">
        <v>38729</v>
      </c>
      <c r="R2" s="48"/>
    </row>
    <row r="3" spans="1:18" s="16" customFormat="1" ht="21.75" customHeight="1">
      <c r="A3" s="26">
        <v>2</v>
      </c>
      <c r="B3" s="85" t="s">
        <v>941</v>
      </c>
      <c r="C3" s="85" t="s">
        <v>942</v>
      </c>
      <c r="D3" s="37" t="s">
        <v>943</v>
      </c>
      <c r="E3" s="85" t="s">
        <v>944</v>
      </c>
      <c r="F3" s="252" t="s">
        <v>945</v>
      </c>
      <c r="G3" s="26">
        <v>7</v>
      </c>
      <c r="H3" s="32">
        <v>1397</v>
      </c>
      <c r="I3" s="32">
        <v>0</v>
      </c>
      <c r="J3" s="32">
        <v>7</v>
      </c>
      <c r="K3" s="32">
        <v>5</v>
      </c>
      <c r="L3" s="32">
        <v>0</v>
      </c>
      <c r="M3" s="32">
        <v>1</v>
      </c>
      <c r="N3" s="112" t="s">
        <v>946</v>
      </c>
      <c r="O3" s="33" t="s">
        <v>450</v>
      </c>
      <c r="P3" s="29" t="s">
        <v>27</v>
      </c>
      <c r="Q3" s="35">
        <v>40963</v>
      </c>
      <c r="R3" s="28"/>
    </row>
    <row r="4" spans="1:18" s="16" customFormat="1" ht="21.75" customHeight="1">
      <c r="A4" s="26">
        <v>3</v>
      </c>
      <c r="B4" s="26" t="s">
        <v>185</v>
      </c>
      <c r="C4" s="26" t="s">
        <v>186</v>
      </c>
      <c r="D4" s="65" t="s">
        <v>936</v>
      </c>
      <c r="E4" s="33" t="s">
        <v>854</v>
      </c>
      <c r="F4" s="38" t="s">
        <v>937</v>
      </c>
      <c r="G4" s="26">
        <v>9</v>
      </c>
      <c r="H4" s="32">
        <v>1159</v>
      </c>
      <c r="I4" s="32">
        <v>0</v>
      </c>
      <c r="J4" s="32">
        <v>9</v>
      </c>
      <c r="K4" s="32">
        <v>2</v>
      </c>
      <c r="L4" s="32">
        <v>0</v>
      </c>
      <c r="M4" s="32">
        <v>0</v>
      </c>
      <c r="N4" s="112" t="s">
        <v>771</v>
      </c>
      <c r="O4" s="33" t="s">
        <v>451</v>
      </c>
      <c r="P4" s="29" t="s">
        <v>308</v>
      </c>
      <c r="Q4" s="35">
        <v>40923</v>
      </c>
      <c r="R4" s="29"/>
    </row>
    <row r="5" spans="1:18" s="22" customFormat="1" ht="21" customHeight="1">
      <c r="A5" s="26">
        <v>4</v>
      </c>
      <c r="B5" s="26" t="s">
        <v>185</v>
      </c>
      <c r="C5" s="26" t="s">
        <v>186</v>
      </c>
      <c r="D5" s="65" t="s">
        <v>947</v>
      </c>
      <c r="E5" s="26" t="s">
        <v>146</v>
      </c>
      <c r="F5" s="29" t="s">
        <v>948</v>
      </c>
      <c r="G5" s="26">
        <v>10</v>
      </c>
      <c r="H5" s="32">
        <v>1609</v>
      </c>
      <c r="I5" s="32">
        <f>G5-J5</f>
        <v>0</v>
      </c>
      <c r="J5" s="32">
        <v>10</v>
      </c>
      <c r="K5" s="32">
        <v>3</v>
      </c>
      <c r="L5" s="32">
        <v>0</v>
      </c>
      <c r="M5" s="32">
        <v>0</v>
      </c>
      <c r="N5" s="39" t="s">
        <v>125</v>
      </c>
      <c r="O5" s="33" t="s">
        <v>451</v>
      </c>
      <c r="P5" s="29" t="s">
        <v>308</v>
      </c>
      <c r="Q5" s="35">
        <v>38596</v>
      </c>
      <c r="R5" s="29"/>
    </row>
    <row r="6" spans="1:18" s="260" customFormat="1" ht="21" customHeight="1">
      <c r="A6" s="26">
        <v>5</v>
      </c>
      <c r="B6" s="26" t="s">
        <v>185</v>
      </c>
      <c r="C6" s="26" t="s">
        <v>187</v>
      </c>
      <c r="D6" s="30" t="s">
        <v>262</v>
      </c>
      <c r="E6" s="26" t="s">
        <v>125</v>
      </c>
      <c r="F6" s="30" t="s">
        <v>1440</v>
      </c>
      <c r="G6" s="26">
        <v>1</v>
      </c>
      <c r="H6" s="32">
        <v>850</v>
      </c>
      <c r="I6" s="32">
        <f>G6-J6</f>
        <v>0</v>
      </c>
      <c r="J6" s="32">
        <v>1</v>
      </c>
      <c r="K6" s="32">
        <v>0</v>
      </c>
      <c r="L6" s="32">
        <v>0</v>
      </c>
      <c r="M6" s="32">
        <v>0</v>
      </c>
      <c r="N6" s="39" t="s">
        <v>125</v>
      </c>
      <c r="O6" s="26" t="s">
        <v>99</v>
      </c>
      <c r="P6" s="29" t="s">
        <v>10</v>
      </c>
      <c r="Q6" s="26" t="s">
        <v>141</v>
      </c>
      <c r="R6" s="29"/>
    </row>
    <row r="7" spans="1:18" s="171" customFormat="1" ht="21" customHeight="1">
      <c r="A7" s="26">
        <v>6</v>
      </c>
      <c r="B7" s="26" t="s">
        <v>185</v>
      </c>
      <c r="C7" s="26" t="s">
        <v>187</v>
      </c>
      <c r="D7" s="30" t="s">
        <v>311</v>
      </c>
      <c r="E7" s="26" t="s">
        <v>125</v>
      </c>
      <c r="F7" s="30" t="s">
        <v>1441</v>
      </c>
      <c r="G7" s="26">
        <v>1</v>
      </c>
      <c r="H7" s="32">
        <v>105</v>
      </c>
      <c r="I7" s="32">
        <f>G7-J7</f>
        <v>0</v>
      </c>
      <c r="J7" s="32">
        <v>1</v>
      </c>
      <c r="K7" s="32">
        <v>1</v>
      </c>
      <c r="L7" s="32">
        <v>0</v>
      </c>
      <c r="M7" s="32">
        <v>0</v>
      </c>
      <c r="N7" s="39" t="s">
        <v>125</v>
      </c>
      <c r="O7" s="26" t="s">
        <v>376</v>
      </c>
      <c r="P7" s="38" t="s">
        <v>474</v>
      </c>
      <c r="Q7" s="35">
        <v>40234</v>
      </c>
      <c r="R7" s="56"/>
    </row>
    <row r="8" spans="1:18" s="22" customFormat="1" ht="21" customHeight="1">
      <c r="A8" s="26">
        <v>7</v>
      </c>
      <c r="B8" s="26" t="s">
        <v>185</v>
      </c>
      <c r="C8" s="26" t="s">
        <v>187</v>
      </c>
      <c r="D8" s="30" t="s">
        <v>949</v>
      </c>
      <c r="E8" s="26" t="s">
        <v>144</v>
      </c>
      <c r="F8" s="30" t="s">
        <v>950</v>
      </c>
      <c r="G8" s="26">
        <v>6</v>
      </c>
      <c r="H8" s="32">
        <v>1024</v>
      </c>
      <c r="I8" s="32">
        <f>G8-J8</f>
        <v>0</v>
      </c>
      <c r="J8" s="32">
        <v>6</v>
      </c>
      <c r="K8" s="32">
        <v>3</v>
      </c>
      <c r="L8" s="32">
        <v>0</v>
      </c>
      <c r="M8" s="32">
        <v>0</v>
      </c>
      <c r="N8" s="112" t="s">
        <v>909</v>
      </c>
      <c r="O8" s="67" t="s">
        <v>450</v>
      </c>
      <c r="P8" s="29" t="s">
        <v>27</v>
      </c>
      <c r="Q8" s="179" t="s">
        <v>951</v>
      </c>
      <c r="R8" s="29"/>
    </row>
    <row r="9" spans="1:18" s="16" customFormat="1" ht="21.75" customHeight="1">
      <c r="A9" s="26">
        <v>8</v>
      </c>
      <c r="B9" s="27" t="s">
        <v>185</v>
      </c>
      <c r="C9" s="27" t="s">
        <v>187</v>
      </c>
      <c r="D9" s="28" t="s">
        <v>952</v>
      </c>
      <c r="E9" s="27" t="s">
        <v>144</v>
      </c>
      <c r="F9" s="28" t="s">
        <v>953</v>
      </c>
      <c r="G9" s="26">
        <v>9</v>
      </c>
      <c r="H9" s="32">
        <v>1506</v>
      </c>
      <c r="I9" s="32">
        <f>G9-J9</f>
        <v>0</v>
      </c>
      <c r="J9" s="32">
        <v>9</v>
      </c>
      <c r="K9" s="32">
        <v>1</v>
      </c>
      <c r="L9" s="49">
        <v>0</v>
      </c>
      <c r="M9" s="49">
        <v>0</v>
      </c>
      <c r="N9" s="39" t="s">
        <v>954</v>
      </c>
      <c r="O9" s="33" t="s">
        <v>451</v>
      </c>
      <c r="P9" s="29" t="s">
        <v>308</v>
      </c>
      <c r="Q9" s="35">
        <v>38743</v>
      </c>
      <c r="R9" s="182" t="s">
        <v>955</v>
      </c>
    </row>
    <row r="10" spans="1:18" s="22" customFormat="1" ht="21.75" customHeight="1">
      <c r="A10" s="26">
        <v>9</v>
      </c>
      <c r="B10" s="26" t="s">
        <v>956</v>
      </c>
      <c r="C10" s="26" t="s">
        <v>957</v>
      </c>
      <c r="D10" s="30" t="s">
        <v>958</v>
      </c>
      <c r="E10" s="33" t="s">
        <v>789</v>
      </c>
      <c r="F10" s="30" t="s">
        <v>959</v>
      </c>
      <c r="G10" s="26">
        <v>9</v>
      </c>
      <c r="H10" s="32">
        <v>1101</v>
      </c>
      <c r="I10" s="32">
        <v>0</v>
      </c>
      <c r="J10" s="32">
        <v>9</v>
      </c>
      <c r="K10" s="32">
        <v>2</v>
      </c>
      <c r="L10" s="32">
        <v>0</v>
      </c>
      <c r="M10" s="32">
        <v>0</v>
      </c>
      <c r="N10" s="39" t="s">
        <v>786</v>
      </c>
      <c r="O10" s="33" t="s">
        <v>450</v>
      </c>
      <c r="P10" s="29" t="s">
        <v>27</v>
      </c>
      <c r="Q10" s="35">
        <v>41627</v>
      </c>
      <c r="R10" s="29"/>
    </row>
    <row r="11" spans="1:18" s="16" customFormat="1" ht="21.75" customHeight="1">
      <c r="A11" s="26">
        <v>10</v>
      </c>
      <c r="B11" s="47" t="s">
        <v>185</v>
      </c>
      <c r="C11" s="27" t="s">
        <v>188</v>
      </c>
      <c r="D11" s="37" t="s">
        <v>962</v>
      </c>
      <c r="E11" s="26" t="s">
        <v>146</v>
      </c>
      <c r="F11" s="28" t="s">
        <v>963</v>
      </c>
      <c r="G11" s="26">
        <v>7</v>
      </c>
      <c r="H11" s="32">
        <v>1185</v>
      </c>
      <c r="I11" s="32">
        <f>G11-J11</f>
        <v>0</v>
      </c>
      <c r="J11" s="32">
        <v>7</v>
      </c>
      <c r="K11" s="32">
        <v>2</v>
      </c>
      <c r="L11" s="49">
        <v>0</v>
      </c>
      <c r="M11" s="49">
        <v>0</v>
      </c>
      <c r="N11" s="39" t="s">
        <v>125</v>
      </c>
      <c r="O11" s="33" t="s">
        <v>451</v>
      </c>
      <c r="P11" s="29" t="s">
        <v>308</v>
      </c>
      <c r="Q11" s="35">
        <v>39051</v>
      </c>
      <c r="R11" s="28"/>
    </row>
    <row r="12" spans="1:18" s="111" customFormat="1" ht="21.75" customHeight="1">
      <c r="A12" s="26">
        <v>11</v>
      </c>
      <c r="B12" s="26" t="s">
        <v>956</v>
      </c>
      <c r="C12" s="26" t="s">
        <v>788</v>
      </c>
      <c r="D12" s="29" t="s">
        <v>960</v>
      </c>
      <c r="E12" s="26" t="s">
        <v>789</v>
      </c>
      <c r="F12" s="38" t="s">
        <v>961</v>
      </c>
      <c r="G12" s="26">
        <v>10</v>
      </c>
      <c r="H12" s="31">
        <v>1574</v>
      </c>
      <c r="I12" s="31">
        <v>0</v>
      </c>
      <c r="J12" s="31">
        <v>10</v>
      </c>
      <c r="K12" s="31">
        <v>0</v>
      </c>
      <c r="L12" s="31">
        <v>0</v>
      </c>
      <c r="M12" s="31">
        <v>0</v>
      </c>
      <c r="N12" s="112" t="s">
        <v>627</v>
      </c>
      <c r="O12" s="85" t="s">
        <v>25</v>
      </c>
      <c r="P12" s="26" t="s">
        <v>127</v>
      </c>
      <c r="Q12" s="35">
        <v>41529</v>
      </c>
      <c r="R12" s="29"/>
    </row>
    <row r="13" spans="1:18" s="160" customFormat="1" ht="21.75" customHeight="1">
      <c r="A13" s="26">
        <v>12</v>
      </c>
      <c r="B13" s="85" t="s">
        <v>956</v>
      </c>
      <c r="C13" s="85" t="s">
        <v>968</v>
      </c>
      <c r="D13" s="37" t="s">
        <v>969</v>
      </c>
      <c r="E13" s="85" t="s">
        <v>791</v>
      </c>
      <c r="F13" s="252" t="s">
        <v>970</v>
      </c>
      <c r="G13" s="26">
        <v>10</v>
      </c>
      <c r="H13" s="32">
        <v>1610</v>
      </c>
      <c r="I13" s="32">
        <v>0</v>
      </c>
      <c r="J13" s="32">
        <v>10</v>
      </c>
      <c r="K13" s="32">
        <v>0</v>
      </c>
      <c r="L13" s="32">
        <v>0</v>
      </c>
      <c r="M13" s="213">
        <v>0</v>
      </c>
      <c r="N13" s="67" t="s">
        <v>627</v>
      </c>
      <c r="O13" s="85" t="s">
        <v>25</v>
      </c>
      <c r="P13" s="26" t="s">
        <v>127</v>
      </c>
      <c r="Q13" s="194" t="s">
        <v>971</v>
      </c>
      <c r="R13" s="29" t="s">
        <v>972</v>
      </c>
    </row>
    <row r="14" spans="1:18" s="160" customFormat="1" ht="21.75" customHeight="1">
      <c r="A14" s="26">
        <v>13</v>
      </c>
      <c r="B14" s="26" t="s">
        <v>185</v>
      </c>
      <c r="C14" s="26" t="s">
        <v>194</v>
      </c>
      <c r="D14" s="29" t="s">
        <v>21</v>
      </c>
      <c r="E14" s="26" t="s">
        <v>144</v>
      </c>
      <c r="F14" s="38" t="s">
        <v>964</v>
      </c>
      <c r="G14" s="26">
        <v>9</v>
      </c>
      <c r="H14" s="31">
        <v>1845</v>
      </c>
      <c r="I14" s="31">
        <f>G14-J14</f>
        <v>0</v>
      </c>
      <c r="J14" s="31">
        <v>9</v>
      </c>
      <c r="K14" s="31">
        <v>5</v>
      </c>
      <c r="L14" s="31">
        <v>1</v>
      </c>
      <c r="M14" s="31">
        <v>1</v>
      </c>
      <c r="N14" s="112" t="s">
        <v>965</v>
      </c>
      <c r="O14" s="85" t="s">
        <v>25</v>
      </c>
      <c r="P14" s="26" t="s">
        <v>127</v>
      </c>
      <c r="Q14" s="35">
        <v>39954</v>
      </c>
      <c r="R14" s="29"/>
    </row>
    <row r="15" spans="1:18" ht="21.75" customHeight="1">
      <c r="A15" s="26">
        <v>14</v>
      </c>
      <c r="B15" s="26" t="s">
        <v>185</v>
      </c>
      <c r="C15" s="26" t="s">
        <v>194</v>
      </c>
      <c r="D15" s="65" t="s">
        <v>966</v>
      </c>
      <c r="E15" s="26" t="s">
        <v>146</v>
      </c>
      <c r="F15" s="30" t="s">
        <v>967</v>
      </c>
      <c r="G15" s="26">
        <v>10</v>
      </c>
      <c r="H15" s="32">
        <v>1646</v>
      </c>
      <c r="I15" s="32">
        <f>G15-J15</f>
        <v>0</v>
      </c>
      <c r="J15" s="32">
        <v>10</v>
      </c>
      <c r="K15" s="32">
        <v>4</v>
      </c>
      <c r="L15" s="32">
        <v>0</v>
      </c>
      <c r="M15" s="32">
        <v>0</v>
      </c>
      <c r="N15" s="39" t="s">
        <v>125</v>
      </c>
      <c r="O15" s="33" t="s">
        <v>451</v>
      </c>
      <c r="P15" s="29" t="s">
        <v>308</v>
      </c>
      <c r="Q15" s="35">
        <v>40330</v>
      </c>
      <c r="R15" s="29"/>
    </row>
    <row r="16" spans="1:18" ht="21.75" customHeight="1">
      <c r="G16" s="98"/>
      <c r="H16" s="97"/>
      <c r="I16" s="97"/>
      <c r="J16" s="97"/>
      <c r="K16" s="97"/>
      <c r="L16" s="97"/>
      <c r="M16" s="97"/>
    </row>
  </sheetData>
  <autoFilter ref="A1:R14"/>
  <sortState ref="A2:R28">
    <sortCondition ref="C2:C28"/>
    <sortCondition ref="D2:D28"/>
  </sortState>
  <phoneticPr fontId="28" type="noConversion"/>
  <pageMargins left="0.33000001311302185" right="0.19680555164813995" top="0.87999999523162842" bottom="0.98430556058883667" header="0.5" footer="0.5"/>
  <pageSetup paperSize="9" scale="94" orientation="landscape" horizontalDpi="300" verticalDpi="300"/>
  <headerFooter alignWithMargins="0">
    <oddHeader xml:space="preserve">&amp;L&amp;"돋움,Bold"전국극장현황&amp;C&amp;"돋움,Bold"광주&amp;R&amp;"돋움,Bold"2006. 12. 31 기준&amp;"돋움,Regular"
</oddHeader>
    <oddFooter>&amp;C&amp;"돋움,Regular"&amp;P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R14"/>
  <sheetViews>
    <sheetView zoomScaleSheetLayoutView="75" workbookViewId="0">
      <pane xSplit="4" ySplit="1" topLeftCell="E5" activePane="bottomRight" state="frozen"/>
      <selection pane="topRight" activeCell="E1" sqref="E1"/>
      <selection pane="bottomLeft" activeCell="A2" sqref="A2"/>
      <selection pane="bottomRight" activeCell="H6" sqref="H6:H8"/>
    </sheetView>
  </sheetViews>
  <sheetFormatPr defaultRowHeight="25.5" customHeight="1"/>
  <cols>
    <col min="1" max="1" width="5.77734375" style="5" customWidth="1"/>
    <col min="2" max="3" width="8.77734375" style="2" customWidth="1"/>
    <col min="4" max="4" width="22.109375" style="5" customWidth="1"/>
    <col min="5" max="5" width="14.33203125" style="5" customWidth="1"/>
    <col min="6" max="6" width="15.77734375" style="5" customWidth="1"/>
    <col min="7" max="7" width="11" style="5" customWidth="1"/>
    <col min="8" max="9" width="12.44140625" style="6" customWidth="1"/>
    <col min="10" max="10" width="10.21875" style="6" customWidth="1"/>
    <col min="11" max="13" width="12.44140625" style="6" customWidth="1"/>
    <col min="14" max="14" width="14.5546875" style="2" customWidth="1"/>
    <col min="15" max="15" width="12.77734375" style="2" customWidth="1"/>
    <col min="16" max="16" width="15.77734375" style="2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39" customHeight="1" thickBot="1">
      <c r="A1" s="45" t="s">
        <v>153</v>
      </c>
      <c r="B1" s="45" t="s">
        <v>206</v>
      </c>
      <c r="C1" s="45" t="s">
        <v>207</v>
      </c>
      <c r="D1" s="45" t="s">
        <v>162</v>
      </c>
      <c r="E1" s="45" t="s">
        <v>115</v>
      </c>
      <c r="F1" s="45" t="s">
        <v>257</v>
      </c>
      <c r="G1" s="46" t="s">
        <v>290</v>
      </c>
      <c r="H1" s="46" t="s">
        <v>291</v>
      </c>
      <c r="I1" s="52" t="s">
        <v>544</v>
      </c>
      <c r="J1" s="52" t="s">
        <v>545</v>
      </c>
      <c r="K1" s="52" t="s">
        <v>409</v>
      </c>
      <c r="L1" s="52" t="s">
        <v>563</v>
      </c>
      <c r="M1" s="52" t="s">
        <v>410</v>
      </c>
      <c r="N1" s="46" t="s">
        <v>392</v>
      </c>
      <c r="O1" s="45" t="s">
        <v>62</v>
      </c>
      <c r="P1" s="45" t="s">
        <v>154</v>
      </c>
      <c r="Q1" s="45" t="s">
        <v>267</v>
      </c>
      <c r="R1" s="45" t="s">
        <v>155</v>
      </c>
    </row>
    <row r="2" spans="1:18" s="171" customFormat="1" ht="25.5" customHeight="1" thickTop="1">
      <c r="A2" s="41">
        <v>1</v>
      </c>
      <c r="B2" s="159" t="s">
        <v>973</v>
      </c>
      <c r="C2" s="159" t="s">
        <v>974</v>
      </c>
      <c r="D2" s="143" t="s">
        <v>975</v>
      </c>
      <c r="E2" s="159" t="s">
        <v>944</v>
      </c>
      <c r="F2" s="143" t="s">
        <v>976</v>
      </c>
      <c r="G2" s="41">
        <v>7</v>
      </c>
      <c r="H2" s="42">
        <v>1409</v>
      </c>
      <c r="I2" s="42">
        <f>G2-J2</f>
        <v>0</v>
      </c>
      <c r="J2" s="42">
        <v>7</v>
      </c>
      <c r="K2" s="42">
        <v>4</v>
      </c>
      <c r="L2" s="42">
        <v>0</v>
      </c>
      <c r="M2" s="42">
        <v>0</v>
      </c>
      <c r="N2" s="243" t="s">
        <v>977</v>
      </c>
      <c r="O2" s="166" t="s">
        <v>25</v>
      </c>
      <c r="P2" s="41" t="s">
        <v>127</v>
      </c>
      <c r="Q2" s="44">
        <v>40899</v>
      </c>
      <c r="R2" s="43"/>
    </row>
    <row r="3" spans="1:18" s="171" customFormat="1" ht="25.5" customHeight="1">
      <c r="A3" s="26">
        <v>2</v>
      </c>
      <c r="B3" s="26" t="s">
        <v>172</v>
      </c>
      <c r="C3" s="26" t="s">
        <v>187</v>
      </c>
      <c r="D3" s="29" t="s">
        <v>400</v>
      </c>
      <c r="E3" s="26" t="s">
        <v>125</v>
      </c>
      <c r="F3" s="29" t="s">
        <v>1442</v>
      </c>
      <c r="G3" s="26">
        <v>6</v>
      </c>
      <c r="H3" s="32">
        <v>1355</v>
      </c>
      <c r="I3" s="31">
        <v>0</v>
      </c>
      <c r="J3" s="31">
        <v>6</v>
      </c>
      <c r="K3" s="31">
        <v>0</v>
      </c>
      <c r="L3" s="31">
        <v>0</v>
      </c>
      <c r="M3" s="31">
        <v>0</v>
      </c>
      <c r="N3" s="39" t="s">
        <v>125</v>
      </c>
      <c r="O3" s="26" t="s">
        <v>91</v>
      </c>
      <c r="P3" s="26" t="s">
        <v>4</v>
      </c>
      <c r="Q3" s="35">
        <v>38608</v>
      </c>
      <c r="R3" s="28" t="s">
        <v>522</v>
      </c>
    </row>
    <row r="4" spans="1:18" s="171" customFormat="1" ht="25.5" customHeight="1">
      <c r="A4" s="26">
        <v>3</v>
      </c>
      <c r="B4" s="26" t="s">
        <v>172</v>
      </c>
      <c r="C4" s="26" t="s">
        <v>187</v>
      </c>
      <c r="D4" s="30" t="s">
        <v>383</v>
      </c>
      <c r="E4" s="26" t="s">
        <v>125</v>
      </c>
      <c r="F4" s="30" t="s">
        <v>1443</v>
      </c>
      <c r="G4" s="26">
        <v>1</v>
      </c>
      <c r="H4" s="31">
        <v>150</v>
      </c>
      <c r="I4" s="31">
        <f>G4-J4</f>
        <v>0</v>
      </c>
      <c r="J4" s="31">
        <v>1</v>
      </c>
      <c r="K4" s="31">
        <v>0</v>
      </c>
      <c r="L4" s="31">
        <v>0</v>
      </c>
      <c r="M4" s="31">
        <v>0</v>
      </c>
      <c r="N4" s="39" t="s">
        <v>125</v>
      </c>
      <c r="O4" s="26" t="s">
        <v>391</v>
      </c>
      <c r="P4" s="67" t="s">
        <v>135</v>
      </c>
      <c r="Q4" s="35">
        <v>38808</v>
      </c>
      <c r="R4" s="28"/>
    </row>
    <row r="5" spans="1:18" s="16" customFormat="1" ht="25.5" customHeight="1">
      <c r="A5" s="26">
        <v>4</v>
      </c>
      <c r="B5" s="26" t="s">
        <v>978</v>
      </c>
      <c r="C5" s="26" t="s">
        <v>957</v>
      </c>
      <c r="D5" s="29" t="s">
        <v>979</v>
      </c>
      <c r="E5" s="26" t="s">
        <v>625</v>
      </c>
      <c r="F5" s="29" t="s">
        <v>980</v>
      </c>
      <c r="G5" s="26">
        <v>7</v>
      </c>
      <c r="H5" s="31">
        <v>1052</v>
      </c>
      <c r="I5" s="31">
        <v>0</v>
      </c>
      <c r="J5" s="31">
        <v>7</v>
      </c>
      <c r="K5" s="31">
        <v>3</v>
      </c>
      <c r="L5" s="31">
        <v>0</v>
      </c>
      <c r="M5" s="31">
        <v>0</v>
      </c>
      <c r="N5" s="112" t="s">
        <v>627</v>
      </c>
      <c r="O5" s="85" t="s">
        <v>25</v>
      </c>
      <c r="P5" s="26" t="s">
        <v>127</v>
      </c>
      <c r="Q5" s="35">
        <v>41340</v>
      </c>
      <c r="R5" s="29" t="s">
        <v>981</v>
      </c>
    </row>
    <row r="6" spans="1:18" s="16" customFormat="1" ht="25.5" customHeight="1">
      <c r="A6" s="26">
        <v>5</v>
      </c>
      <c r="B6" s="41" t="s">
        <v>172</v>
      </c>
      <c r="C6" s="41" t="s">
        <v>194</v>
      </c>
      <c r="D6" s="170" t="s">
        <v>363</v>
      </c>
      <c r="E6" s="159" t="s">
        <v>625</v>
      </c>
      <c r="F6" s="170" t="s">
        <v>982</v>
      </c>
      <c r="G6" s="41">
        <v>8</v>
      </c>
      <c r="H6" s="49">
        <v>1030</v>
      </c>
      <c r="I6" s="49">
        <f>G6-J6</f>
        <v>0</v>
      </c>
      <c r="J6" s="49">
        <v>8</v>
      </c>
      <c r="K6" s="49">
        <v>4</v>
      </c>
      <c r="L6" s="49">
        <v>0</v>
      </c>
      <c r="M6" s="49">
        <v>0</v>
      </c>
      <c r="N6" s="243" t="s">
        <v>125</v>
      </c>
      <c r="O6" s="159" t="s">
        <v>450</v>
      </c>
      <c r="P6" s="43" t="s">
        <v>27</v>
      </c>
      <c r="Q6" s="41" t="s">
        <v>113</v>
      </c>
      <c r="R6" s="43"/>
    </row>
    <row r="7" spans="1:18" s="16" customFormat="1" ht="25.5" customHeight="1">
      <c r="A7" s="26">
        <v>6</v>
      </c>
      <c r="B7" s="26" t="s">
        <v>172</v>
      </c>
      <c r="C7" s="26" t="s">
        <v>194</v>
      </c>
      <c r="D7" s="65" t="s">
        <v>987</v>
      </c>
      <c r="E7" s="26" t="s">
        <v>144</v>
      </c>
      <c r="F7" s="245" t="s">
        <v>988</v>
      </c>
      <c r="G7" s="26">
        <v>8</v>
      </c>
      <c r="H7" s="31">
        <v>1388</v>
      </c>
      <c r="I7" s="32">
        <f>G7-J7</f>
        <v>0</v>
      </c>
      <c r="J7" s="31">
        <v>8</v>
      </c>
      <c r="K7" s="31">
        <v>4</v>
      </c>
      <c r="L7" s="31">
        <v>0</v>
      </c>
      <c r="M7" s="31">
        <v>0</v>
      </c>
      <c r="N7" s="39" t="s">
        <v>125</v>
      </c>
      <c r="O7" s="33" t="s">
        <v>451</v>
      </c>
      <c r="P7" s="29" t="s">
        <v>308</v>
      </c>
      <c r="Q7" s="35">
        <v>38306</v>
      </c>
      <c r="R7" s="29"/>
    </row>
    <row r="8" spans="1:18" s="22" customFormat="1" ht="25.5" customHeight="1">
      <c r="A8" s="26">
        <v>7</v>
      </c>
      <c r="B8" s="26" t="s">
        <v>978</v>
      </c>
      <c r="C8" s="26" t="s">
        <v>983</v>
      </c>
      <c r="D8" s="30" t="s">
        <v>984</v>
      </c>
      <c r="E8" s="33" t="s">
        <v>791</v>
      </c>
      <c r="F8" s="30" t="s">
        <v>985</v>
      </c>
      <c r="G8" s="26">
        <v>10</v>
      </c>
      <c r="H8" s="32">
        <v>1600</v>
      </c>
      <c r="I8" s="32">
        <v>0</v>
      </c>
      <c r="J8" s="32">
        <v>10</v>
      </c>
      <c r="K8" s="32">
        <v>3</v>
      </c>
      <c r="L8" s="32">
        <v>0</v>
      </c>
      <c r="M8" s="32">
        <v>0</v>
      </c>
      <c r="N8" s="39" t="s">
        <v>627</v>
      </c>
      <c r="O8" s="33" t="s">
        <v>450</v>
      </c>
      <c r="P8" s="29" t="s">
        <v>27</v>
      </c>
      <c r="Q8" s="35">
        <v>41790</v>
      </c>
      <c r="R8" s="29" t="s">
        <v>986</v>
      </c>
    </row>
    <row r="9" spans="1:18" s="16" customFormat="1" ht="25.5" customHeight="1">
      <c r="A9" s="26">
        <v>8</v>
      </c>
      <c r="B9" s="26" t="s">
        <v>978</v>
      </c>
      <c r="C9" s="26" t="s">
        <v>989</v>
      </c>
      <c r="D9" s="29" t="s">
        <v>990</v>
      </c>
      <c r="E9" s="26" t="s">
        <v>789</v>
      </c>
      <c r="F9" s="29" t="s">
        <v>991</v>
      </c>
      <c r="G9" s="26">
        <v>5</v>
      </c>
      <c r="H9" s="31">
        <v>968</v>
      </c>
      <c r="I9" s="31">
        <v>0</v>
      </c>
      <c r="J9" s="31">
        <v>5</v>
      </c>
      <c r="K9" s="31">
        <v>0</v>
      </c>
      <c r="L9" s="31">
        <v>0</v>
      </c>
      <c r="M9" s="31">
        <v>0</v>
      </c>
      <c r="N9" s="112" t="s">
        <v>627</v>
      </c>
      <c r="O9" s="85" t="s">
        <v>25</v>
      </c>
      <c r="P9" s="26" t="s">
        <v>127</v>
      </c>
      <c r="Q9" s="35">
        <v>41948</v>
      </c>
      <c r="R9" s="29" t="s">
        <v>992</v>
      </c>
    </row>
    <row r="10" spans="1:18" ht="25.5" customHeight="1">
      <c r="A10" s="26">
        <v>9</v>
      </c>
      <c r="B10" s="26" t="s">
        <v>172</v>
      </c>
      <c r="C10" s="26" t="s">
        <v>201</v>
      </c>
      <c r="D10" s="29" t="s">
        <v>338</v>
      </c>
      <c r="E10" s="26" t="s">
        <v>144</v>
      </c>
      <c r="F10" s="29" t="s">
        <v>993</v>
      </c>
      <c r="G10" s="26">
        <v>9</v>
      </c>
      <c r="H10" s="31">
        <v>1830</v>
      </c>
      <c r="I10" s="31">
        <f>G10-J10</f>
        <v>0</v>
      </c>
      <c r="J10" s="31">
        <v>9</v>
      </c>
      <c r="K10" s="31">
        <v>6</v>
      </c>
      <c r="L10" s="31">
        <v>1</v>
      </c>
      <c r="M10" s="31">
        <v>1</v>
      </c>
      <c r="N10" s="112" t="s">
        <v>994</v>
      </c>
      <c r="O10" s="85" t="s">
        <v>25</v>
      </c>
      <c r="P10" s="26" t="s">
        <v>127</v>
      </c>
      <c r="Q10" s="35">
        <v>37121</v>
      </c>
      <c r="R10" s="29"/>
    </row>
    <row r="11" spans="1:18" ht="25.5" customHeight="1">
      <c r="G11" s="83"/>
      <c r="H11" s="97"/>
      <c r="I11" s="97"/>
      <c r="J11" s="97"/>
      <c r="K11" s="97"/>
      <c r="L11" s="97"/>
      <c r="M11" s="97"/>
    </row>
    <row r="13" spans="1:18" ht="25.5" customHeight="1">
      <c r="A13" s="83" t="s">
        <v>1406</v>
      </c>
    </row>
    <row r="14" spans="1:18" s="22" customFormat="1" ht="25.5" customHeight="1">
      <c r="A14" s="145">
        <v>1</v>
      </c>
      <c r="B14" s="165" t="s">
        <v>172</v>
      </c>
      <c r="C14" s="165" t="s">
        <v>173</v>
      </c>
      <c r="D14" s="164" t="s">
        <v>259</v>
      </c>
      <c r="E14" s="165" t="s">
        <v>125</v>
      </c>
      <c r="F14" s="164" t="s">
        <v>40</v>
      </c>
      <c r="G14" s="145">
        <v>5</v>
      </c>
      <c r="H14" s="163">
        <v>968</v>
      </c>
      <c r="I14" s="163">
        <v>0</v>
      </c>
      <c r="J14" s="163">
        <v>5</v>
      </c>
      <c r="K14" s="163">
        <v>2</v>
      </c>
      <c r="L14" s="163"/>
      <c r="M14" s="163">
        <v>0</v>
      </c>
      <c r="N14" s="148" t="s">
        <v>125</v>
      </c>
      <c r="O14" s="165" t="s">
        <v>401</v>
      </c>
      <c r="P14" s="145" t="s">
        <v>312</v>
      </c>
      <c r="Q14" s="149">
        <v>38072</v>
      </c>
      <c r="R14" s="164" t="s">
        <v>995</v>
      </c>
    </row>
  </sheetData>
  <autoFilter ref="A1:IV9"/>
  <sortState ref="A2:R18">
    <sortCondition ref="C2:C18"/>
    <sortCondition ref="D2:D18"/>
  </sortState>
  <phoneticPr fontId="28" type="noConversion"/>
  <pageMargins left="0.25999999046325684" right="0.20999999344348907" top="0.89999997615814209" bottom="0.98430556058883667" header="0.5" footer="0.5"/>
  <pageSetup paperSize="9" scale="94" orientation="landscape" horizontalDpi="300" verticalDpi="300" r:id="rId1"/>
  <headerFooter alignWithMargins="0">
    <oddHeader>&amp;L&amp;"돋움,Bold"전국극장현황&amp;C&amp;"돋움,Bold"대전&amp;R&amp;"돋움,Bold"2006. 12. 31 기준</oddHeader>
    <oddFooter>&amp;C&amp;"돋움,Regular"&amp;P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R8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4" sqref="H4:H5"/>
    </sheetView>
  </sheetViews>
  <sheetFormatPr defaultRowHeight="27.75" customHeight="1"/>
  <cols>
    <col min="1" max="1" width="5.77734375" style="5" customWidth="1"/>
    <col min="2" max="3" width="8.77734375" style="2" customWidth="1"/>
    <col min="4" max="4" width="15.77734375" style="5" customWidth="1"/>
    <col min="5" max="5" width="16" style="5" customWidth="1"/>
    <col min="6" max="6" width="15.77734375" style="5" customWidth="1"/>
    <col min="7" max="7" width="9.77734375" style="5" customWidth="1"/>
    <col min="8" max="8" width="9.5546875" style="25" customWidth="1"/>
    <col min="9" max="9" width="12.44140625" style="25" customWidth="1"/>
    <col min="10" max="10" width="10.77734375" style="25" customWidth="1"/>
    <col min="11" max="12" width="13.21875" style="25" customWidth="1"/>
    <col min="13" max="13" width="13.44140625" style="25" customWidth="1"/>
    <col min="14" max="14" width="14.77734375" style="2" customWidth="1"/>
    <col min="15" max="15" width="12.77734375" style="5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40.5" customHeight="1" thickBot="1">
      <c r="A1" s="45" t="s">
        <v>153</v>
      </c>
      <c r="B1" s="45" t="s">
        <v>206</v>
      </c>
      <c r="C1" s="45" t="s">
        <v>207</v>
      </c>
      <c r="D1" s="45" t="s">
        <v>162</v>
      </c>
      <c r="E1" s="45" t="s">
        <v>115</v>
      </c>
      <c r="F1" s="45" t="s">
        <v>257</v>
      </c>
      <c r="G1" s="46" t="s">
        <v>290</v>
      </c>
      <c r="H1" s="46" t="s">
        <v>291</v>
      </c>
      <c r="I1" s="52" t="s">
        <v>541</v>
      </c>
      <c r="J1" s="52" t="s">
        <v>542</v>
      </c>
      <c r="K1" s="52" t="s">
        <v>409</v>
      </c>
      <c r="L1" s="52" t="s">
        <v>563</v>
      </c>
      <c r="M1" s="52" t="s">
        <v>410</v>
      </c>
      <c r="N1" s="46" t="s">
        <v>392</v>
      </c>
      <c r="O1" s="45" t="s">
        <v>63</v>
      </c>
      <c r="P1" s="45" t="s">
        <v>154</v>
      </c>
      <c r="Q1" s="45" t="s">
        <v>267</v>
      </c>
      <c r="R1" s="45" t="s">
        <v>155</v>
      </c>
    </row>
    <row r="2" spans="1:18" s="16" customFormat="1" ht="27.75" customHeight="1" thickTop="1">
      <c r="A2" s="41">
        <v>1</v>
      </c>
      <c r="B2" s="41" t="s">
        <v>240</v>
      </c>
      <c r="C2" s="41" t="s">
        <v>227</v>
      </c>
      <c r="D2" s="170" t="s">
        <v>44</v>
      </c>
      <c r="E2" s="41" t="s">
        <v>144</v>
      </c>
      <c r="F2" s="170" t="s">
        <v>997</v>
      </c>
      <c r="G2" s="41">
        <v>9</v>
      </c>
      <c r="H2" s="49">
        <v>1369</v>
      </c>
      <c r="I2" s="49">
        <f>G2-J2</f>
        <v>0</v>
      </c>
      <c r="J2" s="49">
        <v>9</v>
      </c>
      <c r="K2" s="49">
        <v>6</v>
      </c>
      <c r="L2" s="214">
        <v>0</v>
      </c>
      <c r="M2" s="49">
        <v>1</v>
      </c>
      <c r="N2" s="243" t="s">
        <v>998</v>
      </c>
      <c r="O2" s="208" t="s">
        <v>450</v>
      </c>
      <c r="P2" s="43" t="s">
        <v>27</v>
      </c>
      <c r="Q2" s="44">
        <v>37127</v>
      </c>
      <c r="R2" s="43"/>
    </row>
    <row r="3" spans="1:18" s="16" customFormat="1" ht="27.75" customHeight="1">
      <c r="A3" s="26">
        <v>2</v>
      </c>
      <c r="B3" s="26" t="s">
        <v>999</v>
      </c>
      <c r="C3" s="33" t="s">
        <v>1505</v>
      </c>
      <c r="D3" s="29" t="s">
        <v>1000</v>
      </c>
      <c r="E3" s="33" t="s">
        <v>1001</v>
      </c>
      <c r="F3" s="29" t="s">
        <v>1002</v>
      </c>
      <c r="G3" s="26">
        <v>11</v>
      </c>
      <c r="H3" s="31">
        <v>2341</v>
      </c>
      <c r="I3" s="31">
        <v>0</v>
      </c>
      <c r="J3" s="31">
        <v>11</v>
      </c>
      <c r="K3" s="31">
        <v>6</v>
      </c>
      <c r="L3" s="31">
        <v>1</v>
      </c>
      <c r="M3" s="31">
        <v>1</v>
      </c>
      <c r="N3" s="39" t="s">
        <v>1003</v>
      </c>
      <c r="O3" s="85" t="s">
        <v>25</v>
      </c>
      <c r="P3" s="26" t="s">
        <v>127</v>
      </c>
      <c r="Q3" s="35">
        <v>41395</v>
      </c>
      <c r="R3" s="72"/>
    </row>
    <row r="4" spans="1:18" s="16" customFormat="1" ht="27.75" customHeight="1">
      <c r="A4" s="26">
        <v>3</v>
      </c>
      <c r="B4" s="26" t="s">
        <v>240</v>
      </c>
      <c r="C4" s="26" t="s">
        <v>201</v>
      </c>
      <c r="D4" s="30" t="s">
        <v>45</v>
      </c>
      <c r="E4" s="26" t="s">
        <v>144</v>
      </c>
      <c r="F4" s="30" t="s">
        <v>1004</v>
      </c>
      <c r="G4" s="26">
        <v>8</v>
      </c>
      <c r="H4" s="31">
        <v>1066</v>
      </c>
      <c r="I4" s="32">
        <f>G4-J4</f>
        <v>0</v>
      </c>
      <c r="J4" s="31">
        <v>8</v>
      </c>
      <c r="K4" s="31">
        <v>3</v>
      </c>
      <c r="L4" s="31">
        <v>0</v>
      </c>
      <c r="M4" s="31">
        <v>0</v>
      </c>
      <c r="N4" s="39" t="s">
        <v>125</v>
      </c>
      <c r="O4" s="33" t="s">
        <v>451</v>
      </c>
      <c r="P4" s="29" t="s">
        <v>308</v>
      </c>
      <c r="Q4" s="35">
        <v>38344</v>
      </c>
      <c r="R4" s="29"/>
    </row>
    <row r="5" spans="1:18" s="16" customFormat="1" ht="27.75" customHeight="1">
      <c r="A5" s="26">
        <v>4</v>
      </c>
      <c r="B5" s="26" t="s">
        <v>1005</v>
      </c>
      <c r="C5" s="26" t="s">
        <v>1006</v>
      </c>
      <c r="D5" s="30" t="s">
        <v>1007</v>
      </c>
      <c r="E5" s="26" t="s">
        <v>1001</v>
      </c>
      <c r="F5" s="30" t="s">
        <v>1008</v>
      </c>
      <c r="G5" s="26">
        <v>7</v>
      </c>
      <c r="H5" s="32">
        <v>1039</v>
      </c>
      <c r="I5" s="32">
        <v>0</v>
      </c>
      <c r="J5" s="32">
        <v>7</v>
      </c>
      <c r="K5" s="32">
        <v>2</v>
      </c>
      <c r="L5" s="173">
        <v>0</v>
      </c>
      <c r="M5" s="32">
        <v>0</v>
      </c>
      <c r="N5" s="39" t="s">
        <v>897</v>
      </c>
      <c r="O5" s="67" t="s">
        <v>450</v>
      </c>
      <c r="P5" s="29" t="s">
        <v>27</v>
      </c>
      <c r="Q5" s="35">
        <v>41718</v>
      </c>
      <c r="R5" s="29" t="s">
        <v>1009</v>
      </c>
    </row>
    <row r="6" spans="1:18" s="171" customFormat="1" ht="27.75" customHeight="1">
      <c r="A6" s="26">
        <v>5</v>
      </c>
      <c r="B6" s="26" t="s">
        <v>240</v>
      </c>
      <c r="C6" s="26" t="s">
        <v>187</v>
      </c>
      <c r="D6" s="30" t="s">
        <v>282</v>
      </c>
      <c r="E6" s="26" t="s">
        <v>125</v>
      </c>
      <c r="F6" s="30" t="s">
        <v>1444</v>
      </c>
      <c r="G6" s="26">
        <v>2</v>
      </c>
      <c r="H6" s="31">
        <v>207</v>
      </c>
      <c r="I6" s="31">
        <v>0</v>
      </c>
      <c r="J6" s="31">
        <v>2</v>
      </c>
      <c r="K6" s="31">
        <v>0</v>
      </c>
      <c r="L6" s="31">
        <v>0</v>
      </c>
      <c r="M6" s="31">
        <v>0</v>
      </c>
      <c r="N6" s="112" t="s">
        <v>432</v>
      </c>
      <c r="O6" s="33" t="s">
        <v>374</v>
      </c>
      <c r="P6" s="191" t="s">
        <v>9</v>
      </c>
      <c r="Q6" s="27" t="s">
        <v>3</v>
      </c>
      <c r="R6" s="38" t="s">
        <v>1417</v>
      </c>
    </row>
    <row r="7" spans="1:18" ht="27.75" customHeight="1">
      <c r="G7" s="83"/>
      <c r="H7" s="96"/>
      <c r="I7" s="96"/>
      <c r="J7" s="96"/>
      <c r="K7" s="96"/>
      <c r="L7" s="96"/>
      <c r="M7" s="96"/>
    </row>
    <row r="8" spans="1:18" ht="27.75" customHeight="1">
      <c r="G8" s="83"/>
      <c r="H8" s="96"/>
      <c r="I8" s="96"/>
      <c r="J8" s="96"/>
      <c r="K8" s="96"/>
      <c r="L8" s="96"/>
      <c r="M8" s="96"/>
    </row>
  </sheetData>
  <phoneticPr fontId="28" type="noConversion"/>
  <pageMargins left="0.37999999523162842" right="0.34999999403953552" top="0.88999998569488525" bottom="0.98430556058883667" header="0.5" footer="0.5"/>
  <pageSetup paperSize="9" orientation="landscape" horizontalDpi="300" verticalDpi="300"/>
  <headerFooter alignWithMargins="0">
    <oddHeader>&amp;L&amp;"돋움,Bold"전국극장현황&amp;C&amp;"돋움,Bold"울산&amp;R&amp;"돋움,Bold"2006. 12. 31 기준</oddHeader>
    <oddFooter>&amp;C&amp;"돋움,Regular"&amp;P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1"/>
  <dimension ref="A1:R88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84" sqref="D84"/>
    </sheetView>
  </sheetViews>
  <sheetFormatPr defaultRowHeight="22.5" customHeight="1"/>
  <cols>
    <col min="1" max="1" width="5.44140625" style="16" customWidth="1"/>
    <col min="2" max="2" width="7.21875" style="2" customWidth="1"/>
    <col min="3" max="3" width="8.77734375" style="2" customWidth="1"/>
    <col min="4" max="4" width="21.77734375" style="5" customWidth="1"/>
    <col min="5" max="5" width="14.88671875" style="5" customWidth="1"/>
    <col min="6" max="6" width="24.21875" style="5" customWidth="1"/>
    <col min="7" max="7" width="11.21875" style="5" customWidth="1"/>
    <col min="8" max="8" width="11.21875" style="50" customWidth="1"/>
    <col min="9" max="9" width="13" style="50" customWidth="1"/>
    <col min="10" max="10" width="9.77734375" style="50" customWidth="1"/>
    <col min="11" max="12" width="11.5546875" style="50" customWidth="1"/>
    <col min="13" max="13" width="11.109375" style="50" customWidth="1"/>
    <col min="14" max="14" width="15.21875" style="51" customWidth="1"/>
    <col min="15" max="15" width="14.2187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35.25" customHeight="1" thickBot="1">
      <c r="A1" s="207" t="s">
        <v>153</v>
      </c>
      <c r="B1" s="207" t="s">
        <v>206</v>
      </c>
      <c r="C1" s="207" t="s">
        <v>207</v>
      </c>
      <c r="D1" s="207" t="s">
        <v>162</v>
      </c>
      <c r="E1" s="207" t="s">
        <v>115</v>
      </c>
      <c r="F1" s="207" t="s">
        <v>257</v>
      </c>
      <c r="G1" s="210" t="s">
        <v>290</v>
      </c>
      <c r="H1" s="210" t="s">
        <v>291</v>
      </c>
      <c r="I1" s="211" t="s">
        <v>541</v>
      </c>
      <c r="J1" s="211" t="s">
        <v>542</v>
      </c>
      <c r="K1" s="211" t="s">
        <v>409</v>
      </c>
      <c r="L1" s="211" t="s">
        <v>563</v>
      </c>
      <c r="M1" s="211" t="s">
        <v>410</v>
      </c>
      <c r="N1" s="210" t="s">
        <v>392</v>
      </c>
      <c r="O1" s="207" t="s">
        <v>427</v>
      </c>
      <c r="P1" s="207" t="s">
        <v>154</v>
      </c>
      <c r="Q1" s="207" t="s">
        <v>267</v>
      </c>
      <c r="R1" s="207" t="s">
        <v>155</v>
      </c>
    </row>
    <row r="2" spans="1:18" s="111" customFormat="1" ht="22.5" hidden="1" customHeight="1">
      <c r="A2" s="41">
        <v>1</v>
      </c>
      <c r="B2" s="41" t="s">
        <v>175</v>
      </c>
      <c r="C2" s="41" t="s">
        <v>228</v>
      </c>
      <c r="D2" s="43" t="s">
        <v>339</v>
      </c>
      <c r="E2" s="41" t="s">
        <v>144</v>
      </c>
      <c r="F2" s="43" t="s">
        <v>1016</v>
      </c>
      <c r="G2" s="41">
        <v>9</v>
      </c>
      <c r="H2" s="42">
        <v>1794</v>
      </c>
      <c r="I2" s="42">
        <f>G2-J2</f>
        <v>0</v>
      </c>
      <c r="J2" s="42">
        <v>9</v>
      </c>
      <c r="K2" s="42">
        <v>5</v>
      </c>
      <c r="L2" s="42">
        <v>1</v>
      </c>
      <c r="M2" s="42">
        <v>1</v>
      </c>
      <c r="N2" s="251" t="s">
        <v>1017</v>
      </c>
      <c r="O2" s="166" t="s">
        <v>25</v>
      </c>
      <c r="P2" s="41" t="s">
        <v>127</v>
      </c>
      <c r="Q2" s="44">
        <v>39170</v>
      </c>
      <c r="R2" s="215"/>
    </row>
    <row r="3" spans="1:18" s="141" customFormat="1" ht="22.5" hidden="1" customHeight="1">
      <c r="A3" s="26">
        <v>2</v>
      </c>
      <c r="B3" s="33" t="s">
        <v>1010</v>
      </c>
      <c r="C3" s="33" t="s">
        <v>1011</v>
      </c>
      <c r="D3" s="38" t="s">
        <v>1012</v>
      </c>
      <c r="E3" s="33" t="s">
        <v>813</v>
      </c>
      <c r="F3" s="38" t="s">
        <v>1013</v>
      </c>
      <c r="G3" s="26">
        <v>8</v>
      </c>
      <c r="H3" s="31">
        <v>886</v>
      </c>
      <c r="I3" s="31">
        <v>0</v>
      </c>
      <c r="J3" s="31">
        <v>8</v>
      </c>
      <c r="K3" s="31">
        <v>3</v>
      </c>
      <c r="L3" s="31">
        <v>0</v>
      </c>
      <c r="M3" s="31">
        <v>0</v>
      </c>
      <c r="N3" s="112" t="s">
        <v>654</v>
      </c>
      <c r="O3" s="85" t="s">
        <v>25</v>
      </c>
      <c r="P3" s="26" t="s">
        <v>127</v>
      </c>
      <c r="Q3" s="35">
        <v>41164</v>
      </c>
      <c r="R3" s="72"/>
    </row>
    <row r="4" spans="1:18" s="16" customFormat="1" ht="22.5" hidden="1" customHeight="1">
      <c r="A4" s="26">
        <v>3</v>
      </c>
      <c r="B4" s="26" t="s">
        <v>175</v>
      </c>
      <c r="C4" s="26" t="s">
        <v>228</v>
      </c>
      <c r="D4" s="245" t="s">
        <v>1014</v>
      </c>
      <c r="E4" s="180" t="s">
        <v>144</v>
      </c>
      <c r="F4" s="30" t="s">
        <v>1015</v>
      </c>
      <c r="G4" s="26">
        <v>8</v>
      </c>
      <c r="H4" s="32">
        <v>1499</v>
      </c>
      <c r="I4" s="32">
        <f>G4-J4</f>
        <v>0</v>
      </c>
      <c r="J4" s="32">
        <v>8</v>
      </c>
      <c r="K4" s="32">
        <v>5</v>
      </c>
      <c r="L4" s="32">
        <v>0</v>
      </c>
      <c r="M4" s="32">
        <v>0</v>
      </c>
      <c r="N4" s="112" t="s">
        <v>627</v>
      </c>
      <c r="O4" s="33" t="s">
        <v>450</v>
      </c>
      <c r="P4" s="29" t="s">
        <v>27</v>
      </c>
      <c r="Q4" s="35">
        <v>37819</v>
      </c>
      <c r="R4" s="28"/>
    </row>
    <row r="5" spans="1:18" s="16" customFormat="1" ht="22.5" hidden="1" customHeight="1">
      <c r="A5" s="26">
        <v>4</v>
      </c>
      <c r="B5" s="26" t="s">
        <v>175</v>
      </c>
      <c r="C5" s="26" t="s">
        <v>228</v>
      </c>
      <c r="D5" s="245" t="s">
        <v>1024</v>
      </c>
      <c r="E5" s="180" t="s">
        <v>625</v>
      </c>
      <c r="F5" s="65" t="s">
        <v>1025</v>
      </c>
      <c r="G5" s="26">
        <v>9</v>
      </c>
      <c r="H5" s="32">
        <v>1241</v>
      </c>
      <c r="I5" s="32">
        <f>G5-J5</f>
        <v>0</v>
      </c>
      <c r="J5" s="32">
        <v>9</v>
      </c>
      <c r="K5" s="32">
        <v>2</v>
      </c>
      <c r="L5" s="32">
        <v>0</v>
      </c>
      <c r="M5" s="32">
        <v>0</v>
      </c>
      <c r="N5" s="112" t="s">
        <v>1026</v>
      </c>
      <c r="O5" s="67" t="s">
        <v>450</v>
      </c>
      <c r="P5" s="29" t="s">
        <v>27</v>
      </c>
      <c r="Q5" s="35">
        <v>40847</v>
      </c>
      <c r="R5" s="28"/>
    </row>
    <row r="6" spans="1:18" s="16" customFormat="1" ht="22.5" hidden="1" customHeight="1">
      <c r="A6" s="26">
        <v>5</v>
      </c>
      <c r="B6" s="33" t="s">
        <v>1018</v>
      </c>
      <c r="C6" s="33" t="s">
        <v>1019</v>
      </c>
      <c r="D6" s="65" t="s">
        <v>1020</v>
      </c>
      <c r="E6" s="33" t="s">
        <v>632</v>
      </c>
      <c r="F6" s="65" t="s">
        <v>1021</v>
      </c>
      <c r="G6" s="26">
        <v>7</v>
      </c>
      <c r="H6" s="31">
        <v>1224</v>
      </c>
      <c r="I6" s="32">
        <v>0</v>
      </c>
      <c r="J6" s="31">
        <v>7</v>
      </c>
      <c r="K6" s="31">
        <v>3</v>
      </c>
      <c r="L6" s="31">
        <v>0</v>
      </c>
      <c r="M6" s="31">
        <v>0</v>
      </c>
      <c r="N6" s="112" t="s">
        <v>792</v>
      </c>
      <c r="O6" s="33" t="s">
        <v>451</v>
      </c>
      <c r="P6" s="29" t="s">
        <v>308</v>
      </c>
      <c r="Q6" s="181">
        <v>41243</v>
      </c>
      <c r="R6" s="29"/>
    </row>
    <row r="7" spans="1:18" s="16" customFormat="1" ht="22.5" hidden="1" customHeight="1">
      <c r="A7" s="26">
        <v>6</v>
      </c>
      <c r="B7" s="26" t="s">
        <v>175</v>
      </c>
      <c r="C7" s="26" t="s">
        <v>228</v>
      </c>
      <c r="D7" s="245" t="s">
        <v>1022</v>
      </c>
      <c r="E7" s="180" t="s">
        <v>146</v>
      </c>
      <c r="F7" s="30" t="s">
        <v>1023</v>
      </c>
      <c r="G7" s="26">
        <v>8</v>
      </c>
      <c r="H7" s="31">
        <v>1101</v>
      </c>
      <c r="I7" s="32">
        <f>G7-J7</f>
        <v>0</v>
      </c>
      <c r="J7" s="31">
        <v>8</v>
      </c>
      <c r="K7" s="31">
        <v>2</v>
      </c>
      <c r="L7" s="31">
        <v>0</v>
      </c>
      <c r="M7" s="31">
        <v>0</v>
      </c>
      <c r="N7" s="39" t="s">
        <v>125</v>
      </c>
      <c r="O7" s="33" t="s">
        <v>451</v>
      </c>
      <c r="P7" s="29" t="s">
        <v>308</v>
      </c>
      <c r="Q7" s="35">
        <v>39274</v>
      </c>
      <c r="R7" s="28"/>
    </row>
    <row r="8" spans="1:18" s="141" customFormat="1" ht="22.5" hidden="1" customHeight="1">
      <c r="A8" s="26">
        <v>7</v>
      </c>
      <c r="B8" s="26" t="s">
        <v>175</v>
      </c>
      <c r="C8" s="26" t="s">
        <v>228</v>
      </c>
      <c r="D8" s="30" t="s">
        <v>71</v>
      </c>
      <c r="E8" s="26" t="s">
        <v>144</v>
      </c>
      <c r="F8" s="30" t="s">
        <v>1027</v>
      </c>
      <c r="G8" s="26">
        <v>8</v>
      </c>
      <c r="H8" s="31">
        <v>1600</v>
      </c>
      <c r="I8" s="32">
        <f>G8-J8</f>
        <v>0</v>
      </c>
      <c r="J8" s="31">
        <v>8</v>
      </c>
      <c r="K8" s="31">
        <v>0</v>
      </c>
      <c r="L8" s="31">
        <v>0</v>
      </c>
      <c r="M8" s="31">
        <v>0</v>
      </c>
      <c r="N8" s="112" t="s">
        <v>1028</v>
      </c>
      <c r="O8" s="33" t="s">
        <v>451</v>
      </c>
      <c r="P8" s="29" t="s">
        <v>308</v>
      </c>
      <c r="Q8" s="35">
        <v>40430</v>
      </c>
      <c r="R8" s="80"/>
    </row>
    <row r="9" spans="1:18" s="16" customFormat="1" ht="22.5" hidden="1" customHeight="1">
      <c r="A9" s="26">
        <v>8</v>
      </c>
      <c r="B9" s="27" t="s">
        <v>175</v>
      </c>
      <c r="C9" s="27" t="s">
        <v>176</v>
      </c>
      <c r="D9" s="28" t="s">
        <v>1029</v>
      </c>
      <c r="E9" s="27" t="s">
        <v>146</v>
      </c>
      <c r="F9" s="28" t="s">
        <v>1030</v>
      </c>
      <c r="G9" s="26">
        <v>6</v>
      </c>
      <c r="H9" s="31">
        <v>476</v>
      </c>
      <c r="I9" s="32">
        <v>0</v>
      </c>
      <c r="J9" s="31">
        <v>6</v>
      </c>
      <c r="K9" s="31">
        <v>0</v>
      </c>
      <c r="L9" s="31">
        <v>0</v>
      </c>
      <c r="M9" s="31">
        <v>0</v>
      </c>
      <c r="N9" s="39" t="s">
        <v>125</v>
      </c>
      <c r="O9" s="85" t="s">
        <v>25</v>
      </c>
      <c r="P9" s="26" t="s">
        <v>127</v>
      </c>
      <c r="Q9" s="35">
        <v>41663</v>
      </c>
      <c r="R9" s="29" t="s">
        <v>1031</v>
      </c>
    </row>
    <row r="10" spans="1:18" s="16" customFormat="1" ht="22.5" hidden="1" customHeight="1">
      <c r="A10" s="26">
        <v>9</v>
      </c>
      <c r="B10" s="26" t="s">
        <v>1018</v>
      </c>
      <c r="C10" s="26" t="s">
        <v>1032</v>
      </c>
      <c r="D10" s="245" t="s">
        <v>1033</v>
      </c>
      <c r="E10" s="180" t="s">
        <v>791</v>
      </c>
      <c r="F10" s="65" t="s">
        <v>1034</v>
      </c>
      <c r="G10" s="26">
        <v>7</v>
      </c>
      <c r="H10" s="32">
        <v>1218</v>
      </c>
      <c r="I10" s="32">
        <v>0</v>
      </c>
      <c r="J10" s="32">
        <v>7</v>
      </c>
      <c r="K10" s="32">
        <v>2</v>
      </c>
      <c r="L10" s="32">
        <v>0</v>
      </c>
      <c r="M10" s="32">
        <v>0</v>
      </c>
      <c r="N10" s="112" t="s">
        <v>1035</v>
      </c>
      <c r="O10" s="67" t="s">
        <v>450</v>
      </c>
      <c r="P10" s="29" t="s">
        <v>27</v>
      </c>
      <c r="Q10" s="35">
        <v>41978</v>
      </c>
      <c r="R10" s="28"/>
    </row>
    <row r="11" spans="1:18" s="16" customFormat="1" ht="22.5" hidden="1" customHeight="1">
      <c r="A11" s="26">
        <v>10</v>
      </c>
      <c r="B11" s="27" t="s">
        <v>175</v>
      </c>
      <c r="C11" s="85" t="s">
        <v>1036</v>
      </c>
      <c r="D11" s="37" t="s">
        <v>1037</v>
      </c>
      <c r="E11" s="85" t="s">
        <v>625</v>
      </c>
      <c r="F11" s="252" t="s">
        <v>1038</v>
      </c>
      <c r="G11" s="26">
        <v>3</v>
      </c>
      <c r="H11" s="32">
        <v>215</v>
      </c>
      <c r="I11" s="32">
        <v>0</v>
      </c>
      <c r="J11" s="32">
        <v>3</v>
      </c>
      <c r="K11" s="32">
        <v>2</v>
      </c>
      <c r="L11" s="32">
        <v>0</v>
      </c>
      <c r="M11" s="32">
        <v>0</v>
      </c>
      <c r="N11" s="112" t="s">
        <v>627</v>
      </c>
      <c r="O11" s="33" t="s">
        <v>450</v>
      </c>
      <c r="P11" s="29" t="s">
        <v>27</v>
      </c>
      <c r="Q11" s="35">
        <v>41117</v>
      </c>
      <c r="R11" s="182"/>
    </row>
    <row r="12" spans="1:18" s="16" customFormat="1" ht="22.5" hidden="1" customHeight="1">
      <c r="A12" s="26">
        <v>11</v>
      </c>
      <c r="B12" s="26" t="s">
        <v>175</v>
      </c>
      <c r="C12" s="26" t="s">
        <v>280</v>
      </c>
      <c r="D12" s="28" t="s">
        <v>364</v>
      </c>
      <c r="E12" s="27" t="s">
        <v>144</v>
      </c>
      <c r="F12" s="30" t="s">
        <v>1039</v>
      </c>
      <c r="G12" s="26">
        <v>7</v>
      </c>
      <c r="H12" s="32">
        <v>1303</v>
      </c>
      <c r="I12" s="32">
        <f>G12-J12</f>
        <v>0</v>
      </c>
      <c r="J12" s="32">
        <v>7</v>
      </c>
      <c r="K12" s="32">
        <v>5</v>
      </c>
      <c r="L12" s="32">
        <v>0</v>
      </c>
      <c r="M12" s="32">
        <v>0</v>
      </c>
      <c r="N12" s="39" t="s">
        <v>125</v>
      </c>
      <c r="O12" s="67" t="s">
        <v>450</v>
      </c>
      <c r="P12" s="29" t="s">
        <v>27</v>
      </c>
      <c r="Q12" s="35">
        <v>38890</v>
      </c>
      <c r="R12" s="29"/>
    </row>
    <row r="13" spans="1:18" s="16" customFormat="1" ht="22.5" hidden="1" customHeight="1">
      <c r="A13" s="26">
        <v>12</v>
      </c>
      <c r="B13" s="26" t="s">
        <v>1040</v>
      </c>
      <c r="C13" s="26" t="s">
        <v>1041</v>
      </c>
      <c r="D13" s="28" t="s">
        <v>1042</v>
      </c>
      <c r="E13" s="27" t="s">
        <v>791</v>
      </c>
      <c r="F13" s="30" t="s">
        <v>1043</v>
      </c>
      <c r="G13" s="26">
        <v>7</v>
      </c>
      <c r="H13" s="32">
        <v>1052</v>
      </c>
      <c r="I13" s="32">
        <v>0</v>
      </c>
      <c r="J13" s="32">
        <v>7</v>
      </c>
      <c r="K13" s="32">
        <v>2</v>
      </c>
      <c r="L13" s="32">
        <v>0</v>
      </c>
      <c r="M13" s="32">
        <v>0</v>
      </c>
      <c r="N13" s="39" t="s">
        <v>627</v>
      </c>
      <c r="O13" s="67" t="s">
        <v>450</v>
      </c>
      <c r="P13" s="29" t="s">
        <v>27</v>
      </c>
      <c r="Q13" s="35">
        <v>41997</v>
      </c>
      <c r="R13" s="29"/>
    </row>
    <row r="14" spans="1:18" s="16" customFormat="1" ht="22.5" hidden="1" customHeight="1">
      <c r="A14" s="26">
        <v>13</v>
      </c>
      <c r="B14" s="27" t="s">
        <v>175</v>
      </c>
      <c r="C14" s="27" t="s">
        <v>177</v>
      </c>
      <c r="D14" s="28" t="s">
        <v>365</v>
      </c>
      <c r="E14" s="27" t="s">
        <v>146</v>
      </c>
      <c r="F14" s="250" t="s">
        <v>1044</v>
      </c>
      <c r="G14" s="26">
        <v>6</v>
      </c>
      <c r="H14" s="32">
        <v>704</v>
      </c>
      <c r="I14" s="32">
        <f>G14-J14</f>
        <v>0</v>
      </c>
      <c r="J14" s="32">
        <v>6</v>
      </c>
      <c r="K14" s="32">
        <v>2</v>
      </c>
      <c r="L14" s="173">
        <v>0</v>
      </c>
      <c r="M14" s="32">
        <v>0</v>
      </c>
      <c r="N14" s="39" t="s">
        <v>125</v>
      </c>
      <c r="O14" s="33" t="s">
        <v>450</v>
      </c>
      <c r="P14" s="29" t="s">
        <v>27</v>
      </c>
      <c r="Q14" s="35">
        <v>39037</v>
      </c>
      <c r="R14" s="182" t="s">
        <v>1045</v>
      </c>
    </row>
    <row r="15" spans="1:18" s="16" customFormat="1" ht="22.5" hidden="1" customHeight="1">
      <c r="A15" s="26">
        <v>14</v>
      </c>
      <c r="B15" s="33" t="s">
        <v>1018</v>
      </c>
      <c r="C15" s="33" t="s">
        <v>1046</v>
      </c>
      <c r="D15" s="38" t="s">
        <v>1051</v>
      </c>
      <c r="E15" s="33" t="s">
        <v>789</v>
      </c>
      <c r="F15" s="38" t="s">
        <v>1052</v>
      </c>
      <c r="G15" s="26">
        <v>5</v>
      </c>
      <c r="H15" s="31">
        <v>500</v>
      </c>
      <c r="I15" s="31">
        <v>0</v>
      </c>
      <c r="J15" s="31">
        <v>5</v>
      </c>
      <c r="K15" s="183">
        <v>0</v>
      </c>
      <c r="L15" s="183">
        <v>0</v>
      </c>
      <c r="M15" s="31">
        <v>0</v>
      </c>
      <c r="N15" s="39" t="s">
        <v>633</v>
      </c>
      <c r="O15" s="85" t="s">
        <v>25</v>
      </c>
      <c r="P15" s="26" t="s">
        <v>127</v>
      </c>
      <c r="Q15" s="35">
        <v>37570</v>
      </c>
      <c r="R15" s="80" t="s">
        <v>1053</v>
      </c>
    </row>
    <row r="16" spans="1:18" s="16" customFormat="1" ht="22.5" hidden="1" customHeight="1">
      <c r="A16" s="26">
        <v>15</v>
      </c>
      <c r="B16" s="33" t="s">
        <v>1040</v>
      </c>
      <c r="C16" s="33" t="s">
        <v>1046</v>
      </c>
      <c r="D16" s="38" t="s">
        <v>1049</v>
      </c>
      <c r="E16" s="33" t="s">
        <v>791</v>
      </c>
      <c r="F16" s="38" t="s">
        <v>1050</v>
      </c>
      <c r="G16" s="26">
        <v>4</v>
      </c>
      <c r="H16" s="31">
        <v>424</v>
      </c>
      <c r="I16" s="31">
        <v>0</v>
      </c>
      <c r="J16" s="31">
        <v>4</v>
      </c>
      <c r="K16" s="183">
        <v>2</v>
      </c>
      <c r="L16" s="183">
        <v>0</v>
      </c>
      <c r="M16" s="31">
        <v>0</v>
      </c>
      <c r="N16" s="39" t="s">
        <v>627</v>
      </c>
      <c r="O16" s="85" t="s">
        <v>25</v>
      </c>
      <c r="P16" s="26" t="s">
        <v>127</v>
      </c>
      <c r="Q16" s="35">
        <v>41943</v>
      </c>
      <c r="R16" s="80"/>
    </row>
    <row r="17" spans="1:18" s="16" customFormat="1" ht="22.5" hidden="1" customHeight="1">
      <c r="A17" s="26">
        <v>16</v>
      </c>
      <c r="B17" s="33" t="s">
        <v>1054</v>
      </c>
      <c r="C17" s="33" t="s">
        <v>1055</v>
      </c>
      <c r="D17" s="38" t="s">
        <v>1056</v>
      </c>
      <c r="E17" s="33" t="s">
        <v>632</v>
      </c>
      <c r="F17" s="38" t="s">
        <v>1057</v>
      </c>
      <c r="G17" s="26">
        <v>2</v>
      </c>
      <c r="H17" s="31">
        <v>192</v>
      </c>
      <c r="I17" s="31">
        <f>G17-J17</f>
        <v>0</v>
      </c>
      <c r="J17" s="31">
        <v>2</v>
      </c>
      <c r="K17" s="183">
        <v>1</v>
      </c>
      <c r="L17" s="183">
        <v>0</v>
      </c>
      <c r="M17" s="31">
        <v>0</v>
      </c>
      <c r="N17" s="39" t="s">
        <v>125</v>
      </c>
      <c r="O17" s="85" t="s">
        <v>25</v>
      </c>
      <c r="P17" s="26" t="s">
        <v>127</v>
      </c>
      <c r="Q17" s="35">
        <v>40794</v>
      </c>
      <c r="R17" s="80"/>
    </row>
    <row r="18" spans="1:18" s="22" customFormat="1" ht="22.5" hidden="1" customHeight="1">
      <c r="A18" s="26">
        <v>17</v>
      </c>
      <c r="B18" s="26" t="s">
        <v>1018</v>
      </c>
      <c r="C18" s="26" t="s">
        <v>1046</v>
      </c>
      <c r="D18" s="245" t="s">
        <v>1047</v>
      </c>
      <c r="E18" s="180" t="s">
        <v>789</v>
      </c>
      <c r="F18" s="30" t="s">
        <v>1048</v>
      </c>
      <c r="G18" s="26">
        <v>4</v>
      </c>
      <c r="H18" s="31">
        <v>479</v>
      </c>
      <c r="I18" s="32">
        <v>0</v>
      </c>
      <c r="J18" s="31">
        <v>4</v>
      </c>
      <c r="K18" s="31">
        <v>1</v>
      </c>
      <c r="L18" s="31">
        <v>0</v>
      </c>
      <c r="M18" s="31">
        <v>0</v>
      </c>
      <c r="N18" s="39" t="s">
        <v>790</v>
      </c>
      <c r="O18" s="33" t="s">
        <v>451</v>
      </c>
      <c r="P18" s="29" t="s">
        <v>308</v>
      </c>
      <c r="Q18" s="35">
        <v>41695</v>
      </c>
      <c r="R18" s="28"/>
    </row>
    <row r="19" spans="1:18" s="22" customFormat="1" ht="22.5" hidden="1" customHeight="1">
      <c r="A19" s="26">
        <v>18</v>
      </c>
      <c r="B19" s="27" t="s">
        <v>175</v>
      </c>
      <c r="C19" s="27" t="s">
        <v>178</v>
      </c>
      <c r="D19" s="28" t="s">
        <v>366</v>
      </c>
      <c r="E19" s="27" t="s">
        <v>144</v>
      </c>
      <c r="F19" s="250" t="s">
        <v>1064</v>
      </c>
      <c r="G19" s="26">
        <v>3</v>
      </c>
      <c r="H19" s="32">
        <v>320</v>
      </c>
      <c r="I19" s="32">
        <f>G19-J19</f>
        <v>0</v>
      </c>
      <c r="J19" s="32">
        <v>3</v>
      </c>
      <c r="K19" s="32">
        <v>2</v>
      </c>
      <c r="L19" s="32">
        <v>0</v>
      </c>
      <c r="M19" s="32">
        <v>0</v>
      </c>
      <c r="N19" s="39" t="s">
        <v>125</v>
      </c>
      <c r="O19" s="67" t="s">
        <v>450</v>
      </c>
      <c r="P19" s="29" t="s">
        <v>27</v>
      </c>
      <c r="Q19" s="35">
        <v>40534</v>
      </c>
      <c r="R19" s="72"/>
    </row>
    <row r="20" spans="1:18" s="22" customFormat="1" ht="22.5" hidden="1" customHeight="1">
      <c r="A20" s="26">
        <v>19</v>
      </c>
      <c r="B20" s="26" t="s">
        <v>175</v>
      </c>
      <c r="C20" s="33" t="s">
        <v>1058</v>
      </c>
      <c r="D20" s="245" t="s">
        <v>1059</v>
      </c>
      <c r="E20" s="180" t="s">
        <v>634</v>
      </c>
      <c r="F20" s="65" t="s">
        <v>1060</v>
      </c>
      <c r="G20" s="26">
        <v>8</v>
      </c>
      <c r="H20" s="31">
        <v>1149</v>
      </c>
      <c r="I20" s="32">
        <v>0</v>
      </c>
      <c r="J20" s="31">
        <v>8</v>
      </c>
      <c r="K20" s="31">
        <v>3</v>
      </c>
      <c r="L20" s="31">
        <v>0</v>
      </c>
      <c r="M20" s="31">
        <v>0</v>
      </c>
      <c r="N20" s="112" t="s">
        <v>633</v>
      </c>
      <c r="O20" s="33" t="s">
        <v>451</v>
      </c>
      <c r="P20" s="29" t="s">
        <v>308</v>
      </c>
      <c r="Q20" s="35">
        <v>40617</v>
      </c>
      <c r="R20" s="37"/>
    </row>
    <row r="21" spans="1:18" s="22" customFormat="1" ht="22.5" hidden="1" customHeight="1">
      <c r="A21" s="26">
        <v>20</v>
      </c>
      <c r="B21" s="26" t="s">
        <v>1061</v>
      </c>
      <c r="C21" s="26" t="s">
        <v>1058</v>
      </c>
      <c r="D21" s="245" t="s">
        <v>1062</v>
      </c>
      <c r="E21" s="180" t="s">
        <v>868</v>
      </c>
      <c r="F21" s="30" t="s">
        <v>1063</v>
      </c>
      <c r="G21" s="26">
        <v>3</v>
      </c>
      <c r="H21" s="31">
        <v>331</v>
      </c>
      <c r="I21" s="32">
        <v>0</v>
      </c>
      <c r="J21" s="31">
        <v>3</v>
      </c>
      <c r="K21" s="31">
        <v>2</v>
      </c>
      <c r="L21" s="31">
        <v>0</v>
      </c>
      <c r="M21" s="31">
        <v>0</v>
      </c>
      <c r="N21" s="39" t="s">
        <v>633</v>
      </c>
      <c r="O21" s="33" t="s">
        <v>451</v>
      </c>
      <c r="P21" s="29" t="s">
        <v>308</v>
      </c>
      <c r="Q21" s="35">
        <v>41996</v>
      </c>
      <c r="R21" s="28"/>
    </row>
    <row r="22" spans="1:18" s="16" customFormat="1" ht="22.5" hidden="1" customHeight="1">
      <c r="A22" s="26">
        <v>21</v>
      </c>
      <c r="B22" s="26" t="s">
        <v>1061</v>
      </c>
      <c r="C22" s="26" t="s">
        <v>1065</v>
      </c>
      <c r="D22" s="30" t="s">
        <v>1066</v>
      </c>
      <c r="E22" s="26" t="s">
        <v>791</v>
      </c>
      <c r="F22" s="30" t="s">
        <v>1067</v>
      </c>
      <c r="G22" s="26">
        <v>2</v>
      </c>
      <c r="H22" s="32">
        <v>172</v>
      </c>
      <c r="I22" s="32">
        <v>0</v>
      </c>
      <c r="J22" s="32">
        <v>2</v>
      </c>
      <c r="K22" s="32">
        <v>2</v>
      </c>
      <c r="L22" s="32">
        <v>0</v>
      </c>
      <c r="M22" s="32">
        <v>0</v>
      </c>
      <c r="N22" s="39" t="s">
        <v>125</v>
      </c>
      <c r="O22" s="33" t="s">
        <v>450</v>
      </c>
      <c r="P22" s="29" t="s">
        <v>27</v>
      </c>
      <c r="Q22" s="35">
        <v>41452</v>
      </c>
      <c r="R22" s="29"/>
    </row>
    <row r="23" spans="1:18" s="22" customFormat="1" ht="22.5" hidden="1" customHeight="1">
      <c r="A23" s="26">
        <v>22</v>
      </c>
      <c r="B23" s="26" t="s">
        <v>175</v>
      </c>
      <c r="C23" s="26" t="s">
        <v>292</v>
      </c>
      <c r="D23" s="65" t="s">
        <v>562</v>
      </c>
      <c r="E23" s="26" t="s">
        <v>125</v>
      </c>
      <c r="F23" s="30" t="s">
        <v>1445</v>
      </c>
      <c r="G23" s="26">
        <v>1</v>
      </c>
      <c r="H23" s="31">
        <v>283</v>
      </c>
      <c r="I23" s="31">
        <v>0</v>
      </c>
      <c r="J23" s="31">
        <v>1</v>
      </c>
      <c r="K23" s="31">
        <v>0</v>
      </c>
      <c r="L23" s="31">
        <v>0</v>
      </c>
      <c r="M23" s="31">
        <v>0</v>
      </c>
      <c r="N23" s="39" t="s">
        <v>125</v>
      </c>
      <c r="O23" s="26" t="s">
        <v>393</v>
      </c>
      <c r="P23" s="37" t="s">
        <v>478</v>
      </c>
      <c r="Q23" s="35">
        <v>31594</v>
      </c>
      <c r="R23" s="64" t="s">
        <v>479</v>
      </c>
    </row>
    <row r="24" spans="1:18" s="216" customFormat="1" ht="22.5" hidden="1" customHeight="1">
      <c r="A24" s="26">
        <v>23</v>
      </c>
      <c r="B24" s="26" t="s">
        <v>175</v>
      </c>
      <c r="C24" s="26" t="s">
        <v>292</v>
      </c>
      <c r="D24" s="30" t="s">
        <v>293</v>
      </c>
      <c r="E24" s="26" t="s">
        <v>125</v>
      </c>
      <c r="F24" s="29" t="s">
        <v>1446</v>
      </c>
      <c r="G24" s="26">
        <v>2</v>
      </c>
      <c r="H24" s="31">
        <v>293</v>
      </c>
      <c r="I24" s="31">
        <v>0</v>
      </c>
      <c r="J24" s="31">
        <v>2</v>
      </c>
      <c r="K24" s="31">
        <v>1</v>
      </c>
      <c r="L24" s="31">
        <v>0</v>
      </c>
      <c r="M24" s="31">
        <v>0</v>
      </c>
      <c r="N24" s="39" t="s">
        <v>125</v>
      </c>
      <c r="O24" s="192" t="s">
        <v>394</v>
      </c>
      <c r="P24" s="37" t="s">
        <v>477</v>
      </c>
      <c r="Q24" s="35">
        <v>26299</v>
      </c>
      <c r="R24" s="56"/>
    </row>
    <row r="25" spans="1:18" s="16" customFormat="1" ht="22.5" hidden="1" customHeight="1">
      <c r="A25" s="26">
        <v>24</v>
      </c>
      <c r="B25" s="26" t="s">
        <v>175</v>
      </c>
      <c r="C25" s="26" t="s">
        <v>229</v>
      </c>
      <c r="D25" s="29" t="s">
        <v>340</v>
      </c>
      <c r="E25" s="26" t="s">
        <v>144</v>
      </c>
      <c r="F25" s="29" t="s">
        <v>1069</v>
      </c>
      <c r="G25" s="26">
        <v>8</v>
      </c>
      <c r="H25" s="31">
        <v>1450</v>
      </c>
      <c r="I25" s="31">
        <f>G25-J25</f>
        <v>0</v>
      </c>
      <c r="J25" s="31">
        <v>8</v>
      </c>
      <c r="K25" s="31">
        <v>4</v>
      </c>
      <c r="L25" s="31">
        <v>0</v>
      </c>
      <c r="M25" s="31">
        <v>1</v>
      </c>
      <c r="N25" s="39" t="s">
        <v>629</v>
      </c>
      <c r="O25" s="85" t="s">
        <v>25</v>
      </c>
      <c r="P25" s="26" t="s">
        <v>127</v>
      </c>
      <c r="Q25" s="35">
        <v>37855</v>
      </c>
      <c r="R25" s="29"/>
    </row>
    <row r="26" spans="1:18" s="22" customFormat="1" ht="22.5" hidden="1" customHeight="1">
      <c r="A26" s="26">
        <v>25</v>
      </c>
      <c r="B26" s="26" t="s">
        <v>1018</v>
      </c>
      <c r="C26" s="26" t="s">
        <v>1070</v>
      </c>
      <c r="D26" s="29" t="s">
        <v>1071</v>
      </c>
      <c r="E26" s="26" t="s">
        <v>625</v>
      </c>
      <c r="F26" s="29" t="s">
        <v>1072</v>
      </c>
      <c r="G26" s="26">
        <v>11</v>
      </c>
      <c r="H26" s="31">
        <v>1725</v>
      </c>
      <c r="I26" s="31">
        <v>0</v>
      </c>
      <c r="J26" s="31">
        <v>11</v>
      </c>
      <c r="K26" s="31">
        <v>3</v>
      </c>
      <c r="L26" s="31">
        <v>1</v>
      </c>
      <c r="M26" s="31">
        <v>0</v>
      </c>
      <c r="N26" s="39" t="s">
        <v>787</v>
      </c>
      <c r="O26" s="85" t="s">
        <v>25</v>
      </c>
      <c r="P26" s="26" t="s">
        <v>127</v>
      </c>
      <c r="Q26" s="35">
        <v>39337</v>
      </c>
      <c r="R26" s="29" t="s">
        <v>1073</v>
      </c>
    </row>
    <row r="27" spans="1:18" s="22" customFormat="1" ht="22.5" hidden="1" customHeight="1">
      <c r="A27" s="26">
        <v>26</v>
      </c>
      <c r="B27" s="26" t="s">
        <v>175</v>
      </c>
      <c r="C27" s="26" t="s">
        <v>229</v>
      </c>
      <c r="D27" s="29" t="s">
        <v>341</v>
      </c>
      <c r="E27" s="26" t="s">
        <v>144</v>
      </c>
      <c r="F27" s="29" t="s">
        <v>1068</v>
      </c>
      <c r="G27" s="26">
        <v>6</v>
      </c>
      <c r="H27" s="31">
        <v>776</v>
      </c>
      <c r="I27" s="31">
        <f>G27-J27</f>
        <v>0</v>
      </c>
      <c r="J27" s="31">
        <v>6</v>
      </c>
      <c r="K27" s="31">
        <v>3</v>
      </c>
      <c r="L27" s="31">
        <v>0</v>
      </c>
      <c r="M27" s="31">
        <v>0</v>
      </c>
      <c r="N27" s="39" t="s">
        <v>125</v>
      </c>
      <c r="O27" s="85" t="s">
        <v>25</v>
      </c>
      <c r="P27" s="26" t="s">
        <v>127</v>
      </c>
      <c r="Q27" s="35">
        <v>38714</v>
      </c>
      <c r="R27" s="29"/>
    </row>
    <row r="28" spans="1:18" s="22" customFormat="1" ht="22.5" hidden="1" customHeight="1">
      <c r="A28" s="26">
        <v>27</v>
      </c>
      <c r="B28" s="27" t="s">
        <v>175</v>
      </c>
      <c r="C28" s="85" t="s">
        <v>1070</v>
      </c>
      <c r="D28" s="37" t="s">
        <v>1074</v>
      </c>
      <c r="E28" s="85" t="s">
        <v>625</v>
      </c>
      <c r="F28" s="252" t="s">
        <v>1075</v>
      </c>
      <c r="G28" s="26">
        <v>8</v>
      </c>
      <c r="H28" s="32">
        <v>1347</v>
      </c>
      <c r="I28" s="32">
        <f>G28-J28</f>
        <v>0</v>
      </c>
      <c r="J28" s="32">
        <v>8</v>
      </c>
      <c r="K28" s="32">
        <v>3</v>
      </c>
      <c r="L28" s="32">
        <v>0</v>
      </c>
      <c r="M28" s="32">
        <v>0</v>
      </c>
      <c r="N28" s="112" t="s">
        <v>627</v>
      </c>
      <c r="O28" s="33" t="s">
        <v>450</v>
      </c>
      <c r="P28" s="29" t="s">
        <v>27</v>
      </c>
      <c r="Q28" s="35">
        <v>40619</v>
      </c>
      <c r="R28" s="72"/>
    </row>
    <row r="29" spans="1:18" s="16" customFormat="1" ht="22.5" hidden="1" customHeight="1">
      <c r="A29" s="26">
        <v>28</v>
      </c>
      <c r="B29" s="27" t="s">
        <v>1018</v>
      </c>
      <c r="C29" s="85" t="s">
        <v>1070</v>
      </c>
      <c r="D29" s="37" t="s">
        <v>1076</v>
      </c>
      <c r="E29" s="85" t="s">
        <v>789</v>
      </c>
      <c r="F29" s="252" t="s">
        <v>1077</v>
      </c>
      <c r="G29" s="26">
        <v>9</v>
      </c>
      <c r="H29" s="32">
        <v>789</v>
      </c>
      <c r="I29" s="32">
        <v>0</v>
      </c>
      <c r="J29" s="32">
        <v>9</v>
      </c>
      <c r="K29" s="32">
        <v>2</v>
      </c>
      <c r="L29" s="32">
        <v>0</v>
      </c>
      <c r="M29" s="32">
        <v>0</v>
      </c>
      <c r="N29" s="112" t="s">
        <v>627</v>
      </c>
      <c r="O29" s="67" t="s">
        <v>450</v>
      </c>
      <c r="P29" s="29" t="s">
        <v>27</v>
      </c>
      <c r="Q29" s="35">
        <v>41312</v>
      </c>
      <c r="R29" s="72" t="s">
        <v>1078</v>
      </c>
    </row>
    <row r="30" spans="1:18" s="22" customFormat="1" ht="22.5" hidden="1" customHeight="1">
      <c r="A30" s="26">
        <v>29</v>
      </c>
      <c r="B30" s="33" t="s">
        <v>475</v>
      </c>
      <c r="C30" s="33" t="s">
        <v>476</v>
      </c>
      <c r="D30" s="38" t="s">
        <v>500</v>
      </c>
      <c r="E30" s="33" t="s">
        <v>462</v>
      </c>
      <c r="F30" s="38" t="s">
        <v>1447</v>
      </c>
      <c r="G30" s="26">
        <v>1</v>
      </c>
      <c r="H30" s="32">
        <v>386</v>
      </c>
      <c r="I30" s="31">
        <v>0</v>
      </c>
      <c r="J30" s="31">
        <v>1</v>
      </c>
      <c r="K30" s="31">
        <v>1</v>
      </c>
      <c r="L30" s="31">
        <v>0</v>
      </c>
      <c r="M30" s="31">
        <v>0</v>
      </c>
      <c r="N30" s="112" t="s">
        <v>462</v>
      </c>
      <c r="O30" s="33" t="s">
        <v>501</v>
      </c>
      <c r="P30" s="191" t="s">
        <v>502</v>
      </c>
      <c r="Q30" s="35">
        <v>40038</v>
      </c>
      <c r="R30" s="29"/>
    </row>
    <row r="31" spans="1:18" s="22" customFormat="1" ht="22.5" hidden="1" customHeight="1">
      <c r="A31" s="26">
        <v>30</v>
      </c>
      <c r="B31" s="26" t="s">
        <v>1018</v>
      </c>
      <c r="C31" s="26" t="s">
        <v>1079</v>
      </c>
      <c r="D31" s="29" t="s">
        <v>1080</v>
      </c>
      <c r="E31" s="26" t="s">
        <v>625</v>
      </c>
      <c r="F31" s="29" t="s">
        <v>1081</v>
      </c>
      <c r="G31" s="26">
        <v>8</v>
      </c>
      <c r="H31" s="31">
        <v>1271</v>
      </c>
      <c r="I31" s="31">
        <v>0</v>
      </c>
      <c r="J31" s="31">
        <v>8</v>
      </c>
      <c r="K31" s="31">
        <v>1</v>
      </c>
      <c r="L31" s="31">
        <v>0</v>
      </c>
      <c r="M31" s="31">
        <v>0</v>
      </c>
      <c r="N31" s="39" t="s">
        <v>627</v>
      </c>
      <c r="O31" s="85" t="s">
        <v>25</v>
      </c>
      <c r="P31" s="26" t="s">
        <v>127</v>
      </c>
      <c r="Q31" s="35">
        <v>41795</v>
      </c>
      <c r="R31" s="29" t="s">
        <v>1082</v>
      </c>
    </row>
    <row r="32" spans="1:18" s="16" customFormat="1" ht="22.5" hidden="1" customHeight="1">
      <c r="A32" s="26">
        <v>31</v>
      </c>
      <c r="B32" s="26" t="s">
        <v>175</v>
      </c>
      <c r="C32" s="26" t="s">
        <v>277</v>
      </c>
      <c r="D32" s="29" t="s">
        <v>342</v>
      </c>
      <c r="E32" s="26" t="s">
        <v>144</v>
      </c>
      <c r="F32" s="29" t="s">
        <v>1083</v>
      </c>
      <c r="G32" s="26">
        <v>8</v>
      </c>
      <c r="H32" s="31">
        <v>1326</v>
      </c>
      <c r="I32" s="31">
        <f>G32-J32</f>
        <v>0</v>
      </c>
      <c r="J32" s="31">
        <v>8</v>
      </c>
      <c r="K32" s="31">
        <v>5</v>
      </c>
      <c r="L32" s="31">
        <v>0</v>
      </c>
      <c r="M32" s="31">
        <v>0</v>
      </c>
      <c r="N32" s="39" t="s">
        <v>626</v>
      </c>
      <c r="O32" s="85" t="s">
        <v>25</v>
      </c>
      <c r="P32" s="26" t="s">
        <v>127</v>
      </c>
      <c r="Q32" s="35">
        <v>36617</v>
      </c>
      <c r="R32" s="29"/>
    </row>
    <row r="33" spans="1:18" s="16" customFormat="1" ht="22.5" hidden="1" customHeight="1">
      <c r="A33" s="26">
        <v>32</v>
      </c>
      <c r="B33" s="26" t="s">
        <v>175</v>
      </c>
      <c r="C33" s="26" t="s">
        <v>277</v>
      </c>
      <c r="D33" s="29" t="s">
        <v>343</v>
      </c>
      <c r="E33" s="26" t="s">
        <v>144</v>
      </c>
      <c r="F33" s="29" t="s">
        <v>1084</v>
      </c>
      <c r="G33" s="26">
        <v>10</v>
      </c>
      <c r="H33" s="31">
        <v>1571</v>
      </c>
      <c r="I33" s="31">
        <f>G33-J33</f>
        <v>0</v>
      </c>
      <c r="J33" s="31">
        <v>10</v>
      </c>
      <c r="K33" s="31">
        <v>5</v>
      </c>
      <c r="L33" s="31">
        <v>0</v>
      </c>
      <c r="M33" s="31">
        <v>0</v>
      </c>
      <c r="N33" s="112" t="s">
        <v>1085</v>
      </c>
      <c r="O33" s="85" t="s">
        <v>25</v>
      </c>
      <c r="P33" s="26" t="s">
        <v>127</v>
      </c>
      <c r="Q33" s="35">
        <v>36617</v>
      </c>
      <c r="R33" s="29"/>
    </row>
    <row r="34" spans="1:18" s="16" customFormat="1" ht="22.5" hidden="1" customHeight="1">
      <c r="A34" s="26">
        <v>33</v>
      </c>
      <c r="B34" s="26" t="s">
        <v>175</v>
      </c>
      <c r="C34" s="26" t="s">
        <v>277</v>
      </c>
      <c r="D34" s="30" t="s">
        <v>367</v>
      </c>
      <c r="E34" s="26" t="s">
        <v>146</v>
      </c>
      <c r="F34" s="30" t="s">
        <v>1091</v>
      </c>
      <c r="G34" s="26">
        <v>6</v>
      </c>
      <c r="H34" s="32">
        <v>667</v>
      </c>
      <c r="I34" s="32">
        <v>0</v>
      </c>
      <c r="J34" s="32">
        <v>6</v>
      </c>
      <c r="K34" s="32">
        <v>0</v>
      </c>
      <c r="L34" s="32">
        <v>0</v>
      </c>
      <c r="M34" s="32">
        <v>0</v>
      </c>
      <c r="N34" s="39" t="s">
        <v>125</v>
      </c>
      <c r="O34" s="33" t="s">
        <v>450</v>
      </c>
      <c r="P34" s="29" t="s">
        <v>27</v>
      </c>
      <c r="Q34" s="35">
        <v>38715</v>
      </c>
      <c r="R34" s="29"/>
    </row>
    <row r="35" spans="1:18" s="16" customFormat="1" ht="22.5" hidden="1" customHeight="1">
      <c r="A35" s="26">
        <v>34</v>
      </c>
      <c r="B35" s="26" t="s">
        <v>175</v>
      </c>
      <c r="C35" s="26" t="s">
        <v>277</v>
      </c>
      <c r="D35" s="30" t="s">
        <v>114</v>
      </c>
      <c r="E35" s="26" t="s">
        <v>146</v>
      </c>
      <c r="F35" s="30" t="s">
        <v>1090</v>
      </c>
      <c r="G35" s="26">
        <v>6</v>
      </c>
      <c r="H35" s="32">
        <v>1142</v>
      </c>
      <c r="I35" s="32">
        <v>0</v>
      </c>
      <c r="J35" s="32">
        <v>6</v>
      </c>
      <c r="K35" s="32">
        <v>0</v>
      </c>
      <c r="L35" s="173">
        <v>0</v>
      </c>
      <c r="M35" s="32">
        <v>0</v>
      </c>
      <c r="N35" s="39" t="s">
        <v>125</v>
      </c>
      <c r="O35" s="67" t="s">
        <v>450</v>
      </c>
      <c r="P35" s="29" t="s">
        <v>27</v>
      </c>
      <c r="Q35" s="35">
        <v>39345</v>
      </c>
      <c r="R35" s="28"/>
    </row>
    <row r="36" spans="1:18" s="16" customFormat="1" ht="22.5" hidden="1" customHeight="1">
      <c r="A36" s="26">
        <v>35</v>
      </c>
      <c r="B36" s="26" t="s">
        <v>175</v>
      </c>
      <c r="C36" s="26" t="s">
        <v>277</v>
      </c>
      <c r="D36" s="65" t="s">
        <v>1086</v>
      </c>
      <c r="E36" s="26" t="s">
        <v>144</v>
      </c>
      <c r="F36" s="30" t="s">
        <v>1087</v>
      </c>
      <c r="G36" s="26">
        <v>6</v>
      </c>
      <c r="H36" s="31">
        <v>791</v>
      </c>
      <c r="I36" s="32">
        <v>0</v>
      </c>
      <c r="J36" s="31">
        <v>6</v>
      </c>
      <c r="K36" s="31">
        <v>3</v>
      </c>
      <c r="L36" s="31">
        <v>0</v>
      </c>
      <c r="M36" s="31">
        <v>0</v>
      </c>
      <c r="N36" s="39" t="s">
        <v>1088</v>
      </c>
      <c r="O36" s="33" t="s">
        <v>451</v>
      </c>
      <c r="P36" s="29" t="s">
        <v>308</v>
      </c>
      <c r="Q36" s="35">
        <v>37100</v>
      </c>
      <c r="R36" s="38" t="s">
        <v>1089</v>
      </c>
    </row>
    <row r="37" spans="1:18" s="16" customFormat="1" ht="22.5" hidden="1" customHeight="1">
      <c r="A37" s="26">
        <v>36</v>
      </c>
      <c r="B37" s="26" t="s">
        <v>1018</v>
      </c>
      <c r="C37" s="26" t="s">
        <v>1092</v>
      </c>
      <c r="D37" s="29" t="s">
        <v>1093</v>
      </c>
      <c r="E37" s="26" t="s">
        <v>625</v>
      </c>
      <c r="F37" s="29" t="s">
        <v>1094</v>
      </c>
      <c r="G37" s="26">
        <v>4</v>
      </c>
      <c r="H37" s="31">
        <v>455</v>
      </c>
      <c r="I37" s="31">
        <v>0</v>
      </c>
      <c r="J37" s="31">
        <v>4</v>
      </c>
      <c r="K37" s="31">
        <v>0</v>
      </c>
      <c r="L37" s="31">
        <v>0</v>
      </c>
      <c r="M37" s="31">
        <v>0</v>
      </c>
      <c r="N37" s="112" t="s">
        <v>627</v>
      </c>
      <c r="O37" s="85" t="s">
        <v>25</v>
      </c>
      <c r="P37" s="26" t="s">
        <v>127</v>
      </c>
      <c r="Q37" s="35">
        <v>41865</v>
      </c>
      <c r="R37" s="29"/>
    </row>
    <row r="38" spans="1:18" s="22" customFormat="1" ht="22.5" hidden="1" customHeight="1">
      <c r="A38" s="26">
        <v>37</v>
      </c>
      <c r="B38" s="27" t="s">
        <v>175</v>
      </c>
      <c r="C38" s="27" t="s">
        <v>179</v>
      </c>
      <c r="D38" s="28" t="s">
        <v>344</v>
      </c>
      <c r="E38" s="27" t="s">
        <v>144</v>
      </c>
      <c r="F38" s="28" t="s">
        <v>1103</v>
      </c>
      <c r="G38" s="26">
        <v>8</v>
      </c>
      <c r="H38" s="31">
        <v>1275</v>
      </c>
      <c r="I38" s="31">
        <f>G38-J38</f>
        <v>0</v>
      </c>
      <c r="J38" s="31">
        <v>8</v>
      </c>
      <c r="K38" s="31">
        <v>4</v>
      </c>
      <c r="L38" s="31">
        <v>0</v>
      </c>
      <c r="M38" s="31">
        <v>1</v>
      </c>
      <c r="N38" s="112" t="s">
        <v>1104</v>
      </c>
      <c r="O38" s="85" t="s">
        <v>25</v>
      </c>
      <c r="P38" s="26" t="s">
        <v>127</v>
      </c>
      <c r="Q38" s="35">
        <v>38981</v>
      </c>
      <c r="R38" s="28"/>
    </row>
    <row r="39" spans="1:18" s="16" customFormat="1" ht="22.5" hidden="1" customHeight="1">
      <c r="A39" s="26">
        <v>38</v>
      </c>
      <c r="B39" s="27" t="s">
        <v>175</v>
      </c>
      <c r="C39" s="27" t="s">
        <v>179</v>
      </c>
      <c r="D39" s="28" t="s">
        <v>345</v>
      </c>
      <c r="E39" s="27" t="s">
        <v>144</v>
      </c>
      <c r="F39" s="28" t="s">
        <v>1102</v>
      </c>
      <c r="G39" s="26">
        <v>8</v>
      </c>
      <c r="H39" s="31">
        <v>1268</v>
      </c>
      <c r="I39" s="31">
        <f>G39-J39</f>
        <v>0</v>
      </c>
      <c r="J39" s="31">
        <v>8</v>
      </c>
      <c r="K39" s="31">
        <v>4</v>
      </c>
      <c r="L39" s="31">
        <v>0</v>
      </c>
      <c r="M39" s="31">
        <v>0</v>
      </c>
      <c r="N39" s="39" t="s">
        <v>626</v>
      </c>
      <c r="O39" s="85" t="s">
        <v>25</v>
      </c>
      <c r="P39" s="26" t="s">
        <v>127</v>
      </c>
      <c r="Q39" s="35">
        <v>38981</v>
      </c>
      <c r="R39" s="28"/>
    </row>
    <row r="40" spans="1:18" s="111" customFormat="1" ht="22.5" hidden="1" customHeight="1">
      <c r="A40" s="26">
        <v>39</v>
      </c>
      <c r="B40" s="26" t="s">
        <v>175</v>
      </c>
      <c r="C40" s="26" t="s">
        <v>179</v>
      </c>
      <c r="D40" s="29" t="s">
        <v>346</v>
      </c>
      <c r="E40" s="26" t="s">
        <v>144</v>
      </c>
      <c r="F40" s="29" t="s">
        <v>1105</v>
      </c>
      <c r="G40" s="26">
        <v>8</v>
      </c>
      <c r="H40" s="31">
        <v>2236</v>
      </c>
      <c r="I40" s="31">
        <f>G40-J40</f>
        <v>0</v>
      </c>
      <c r="J40" s="31">
        <v>8</v>
      </c>
      <c r="K40" s="31">
        <v>4</v>
      </c>
      <c r="L40" s="31">
        <v>1</v>
      </c>
      <c r="M40" s="31">
        <v>0</v>
      </c>
      <c r="N40" s="112" t="s">
        <v>1106</v>
      </c>
      <c r="O40" s="85" t="s">
        <v>25</v>
      </c>
      <c r="P40" s="26" t="s">
        <v>127</v>
      </c>
      <c r="Q40" s="35">
        <v>37300</v>
      </c>
      <c r="R40" s="29"/>
    </row>
    <row r="41" spans="1:18" s="16" customFormat="1" ht="22.5" hidden="1" customHeight="1">
      <c r="A41" s="26">
        <v>40</v>
      </c>
      <c r="B41" s="26" t="s">
        <v>175</v>
      </c>
      <c r="C41" s="26" t="s">
        <v>179</v>
      </c>
      <c r="D41" s="30" t="s">
        <v>109</v>
      </c>
      <c r="E41" s="26" t="s">
        <v>144</v>
      </c>
      <c r="F41" s="30" t="s">
        <v>1095</v>
      </c>
      <c r="G41" s="26">
        <v>5</v>
      </c>
      <c r="H41" s="31">
        <v>1050</v>
      </c>
      <c r="I41" s="32">
        <v>0</v>
      </c>
      <c r="J41" s="31">
        <v>5</v>
      </c>
      <c r="K41" s="31">
        <v>1</v>
      </c>
      <c r="L41" s="31">
        <v>0</v>
      </c>
      <c r="M41" s="31">
        <v>0</v>
      </c>
      <c r="N41" s="39" t="s">
        <v>125</v>
      </c>
      <c r="O41" s="33" t="s">
        <v>451</v>
      </c>
      <c r="P41" s="29" t="s">
        <v>308</v>
      </c>
      <c r="Q41" s="35">
        <v>37205</v>
      </c>
      <c r="R41" s="28"/>
    </row>
    <row r="42" spans="1:18" s="16" customFormat="1" ht="22.5" hidden="1" customHeight="1">
      <c r="A42" s="26">
        <v>41</v>
      </c>
      <c r="B42" s="26" t="s">
        <v>1040</v>
      </c>
      <c r="C42" s="26" t="s">
        <v>1107</v>
      </c>
      <c r="D42" s="30" t="s">
        <v>1108</v>
      </c>
      <c r="E42" s="26" t="s">
        <v>789</v>
      </c>
      <c r="F42" s="30" t="s">
        <v>1109</v>
      </c>
      <c r="G42" s="26">
        <v>4</v>
      </c>
      <c r="H42" s="31">
        <v>607</v>
      </c>
      <c r="I42" s="32">
        <v>0</v>
      </c>
      <c r="J42" s="31">
        <v>4</v>
      </c>
      <c r="K42" s="31">
        <v>1</v>
      </c>
      <c r="L42" s="31">
        <v>0</v>
      </c>
      <c r="M42" s="31">
        <v>0</v>
      </c>
      <c r="N42" s="39" t="s">
        <v>627</v>
      </c>
      <c r="O42" s="33" t="s">
        <v>451</v>
      </c>
      <c r="P42" s="29" t="s">
        <v>308</v>
      </c>
      <c r="Q42" s="35">
        <v>41629</v>
      </c>
      <c r="R42" s="28"/>
    </row>
    <row r="43" spans="1:18" s="16" customFormat="1" ht="22.5" hidden="1" customHeight="1">
      <c r="A43" s="26">
        <v>42</v>
      </c>
      <c r="B43" s="26" t="s">
        <v>175</v>
      </c>
      <c r="C43" s="26" t="s">
        <v>179</v>
      </c>
      <c r="D43" s="30" t="s">
        <v>110</v>
      </c>
      <c r="E43" s="26" t="s">
        <v>144</v>
      </c>
      <c r="F43" s="30" t="s">
        <v>1096</v>
      </c>
      <c r="G43" s="26">
        <v>11</v>
      </c>
      <c r="H43" s="31">
        <v>1746</v>
      </c>
      <c r="I43" s="32">
        <v>0</v>
      </c>
      <c r="J43" s="31">
        <v>11</v>
      </c>
      <c r="K43" s="31">
        <v>4</v>
      </c>
      <c r="L43" s="31">
        <v>0</v>
      </c>
      <c r="M43" s="31">
        <v>0</v>
      </c>
      <c r="N43" s="112" t="s">
        <v>1097</v>
      </c>
      <c r="O43" s="33" t="s">
        <v>451</v>
      </c>
      <c r="P43" s="29" t="s">
        <v>308</v>
      </c>
      <c r="Q43" s="35">
        <v>39534</v>
      </c>
      <c r="R43" s="29"/>
    </row>
    <row r="44" spans="1:18" s="16" customFormat="1" ht="22.5" hidden="1" customHeight="1">
      <c r="A44" s="26">
        <v>43</v>
      </c>
      <c r="B44" s="26" t="s">
        <v>1040</v>
      </c>
      <c r="C44" s="26" t="s">
        <v>1098</v>
      </c>
      <c r="D44" s="30" t="s">
        <v>1099</v>
      </c>
      <c r="E44" s="26" t="s">
        <v>791</v>
      </c>
      <c r="F44" s="30" t="s">
        <v>1100</v>
      </c>
      <c r="G44" s="26">
        <v>8</v>
      </c>
      <c r="H44" s="32">
        <v>1995</v>
      </c>
      <c r="I44" s="32">
        <v>0</v>
      </c>
      <c r="J44" s="32">
        <v>8</v>
      </c>
      <c r="K44" s="32">
        <v>4</v>
      </c>
      <c r="L44" s="173">
        <v>0</v>
      </c>
      <c r="M44" s="32">
        <v>1</v>
      </c>
      <c r="N44" s="39" t="s">
        <v>1101</v>
      </c>
      <c r="O44" s="67" t="s">
        <v>450</v>
      </c>
      <c r="P44" s="29" t="s">
        <v>27</v>
      </c>
      <c r="Q44" s="35">
        <v>41960</v>
      </c>
      <c r="R44" s="28"/>
    </row>
    <row r="45" spans="1:18" s="141" customFormat="1" ht="22.5" hidden="1" customHeight="1">
      <c r="A45" s="26">
        <v>44</v>
      </c>
      <c r="B45" s="26" t="s">
        <v>175</v>
      </c>
      <c r="C45" s="26" t="s">
        <v>271</v>
      </c>
      <c r="D45" s="29" t="s">
        <v>347</v>
      </c>
      <c r="E45" s="26" t="s">
        <v>146</v>
      </c>
      <c r="F45" s="29" t="s">
        <v>1111</v>
      </c>
      <c r="G45" s="26">
        <v>4</v>
      </c>
      <c r="H45" s="31">
        <v>563</v>
      </c>
      <c r="I45" s="31">
        <v>0</v>
      </c>
      <c r="J45" s="31">
        <v>4</v>
      </c>
      <c r="K45" s="31">
        <v>0</v>
      </c>
      <c r="L45" s="31">
        <v>0</v>
      </c>
      <c r="M45" s="31">
        <v>0</v>
      </c>
      <c r="N45" s="39" t="s">
        <v>125</v>
      </c>
      <c r="O45" s="85" t="s">
        <v>25</v>
      </c>
      <c r="P45" s="26" t="s">
        <v>127</v>
      </c>
      <c r="Q45" s="35">
        <v>39506</v>
      </c>
      <c r="R45" s="29"/>
    </row>
    <row r="46" spans="1:18" s="141" customFormat="1" ht="22.5" hidden="1" customHeight="1">
      <c r="A46" s="26">
        <v>45</v>
      </c>
      <c r="B46" s="26" t="s">
        <v>175</v>
      </c>
      <c r="C46" s="26" t="s">
        <v>271</v>
      </c>
      <c r="D46" s="30" t="s">
        <v>72</v>
      </c>
      <c r="E46" s="33" t="s">
        <v>625</v>
      </c>
      <c r="F46" s="30" t="s">
        <v>1110</v>
      </c>
      <c r="G46" s="26">
        <v>8</v>
      </c>
      <c r="H46" s="32">
        <v>1140</v>
      </c>
      <c r="I46" s="32">
        <f>G46-J46</f>
        <v>0</v>
      </c>
      <c r="J46" s="32">
        <v>8</v>
      </c>
      <c r="K46" s="32">
        <v>2</v>
      </c>
      <c r="L46" s="32">
        <v>0</v>
      </c>
      <c r="M46" s="32">
        <v>0</v>
      </c>
      <c r="N46" s="39" t="s">
        <v>125</v>
      </c>
      <c r="O46" s="33" t="s">
        <v>450</v>
      </c>
      <c r="P46" s="29" t="s">
        <v>27</v>
      </c>
      <c r="Q46" s="35">
        <v>40488</v>
      </c>
      <c r="R46" s="29"/>
    </row>
    <row r="47" spans="1:18" s="16" customFormat="1" ht="22.5" hidden="1" customHeight="1">
      <c r="A47" s="26">
        <v>46</v>
      </c>
      <c r="B47" s="26" t="s">
        <v>175</v>
      </c>
      <c r="C47" s="26" t="s">
        <v>180</v>
      </c>
      <c r="D47" s="29" t="s">
        <v>1118</v>
      </c>
      <c r="E47" s="26" t="s">
        <v>146</v>
      </c>
      <c r="F47" s="29" t="s">
        <v>1119</v>
      </c>
      <c r="G47" s="26">
        <v>8</v>
      </c>
      <c r="H47" s="31">
        <v>1567</v>
      </c>
      <c r="I47" s="31">
        <v>0</v>
      </c>
      <c r="J47" s="31">
        <v>8</v>
      </c>
      <c r="K47" s="31">
        <v>2</v>
      </c>
      <c r="L47" s="31">
        <v>0</v>
      </c>
      <c r="M47" s="31">
        <v>0</v>
      </c>
      <c r="N47" s="39" t="s">
        <v>125</v>
      </c>
      <c r="O47" s="85" t="s">
        <v>25</v>
      </c>
      <c r="P47" s="26" t="s">
        <v>127</v>
      </c>
      <c r="Q47" s="35">
        <v>39590</v>
      </c>
      <c r="R47" s="34"/>
    </row>
    <row r="48" spans="1:18" s="16" customFormat="1" ht="22.5" hidden="1" customHeight="1">
      <c r="A48" s="26">
        <v>47</v>
      </c>
      <c r="B48" s="26" t="s">
        <v>175</v>
      </c>
      <c r="C48" s="26" t="s">
        <v>180</v>
      </c>
      <c r="D48" s="65" t="s">
        <v>1114</v>
      </c>
      <c r="E48" s="33" t="s">
        <v>625</v>
      </c>
      <c r="F48" s="30" t="s">
        <v>1115</v>
      </c>
      <c r="G48" s="26">
        <v>9</v>
      </c>
      <c r="H48" s="32">
        <v>1429</v>
      </c>
      <c r="I48" s="32">
        <f>G48-J48</f>
        <v>0</v>
      </c>
      <c r="J48" s="32">
        <v>9</v>
      </c>
      <c r="K48" s="32">
        <v>2</v>
      </c>
      <c r="L48" s="32">
        <v>0</v>
      </c>
      <c r="M48" s="32">
        <v>0</v>
      </c>
      <c r="N48" s="39" t="s">
        <v>125</v>
      </c>
      <c r="O48" s="67" t="s">
        <v>450</v>
      </c>
      <c r="P48" s="29" t="s">
        <v>27</v>
      </c>
      <c r="Q48" s="35">
        <v>39114</v>
      </c>
      <c r="R48" s="29"/>
    </row>
    <row r="49" spans="1:18" s="16" customFormat="1" ht="22.5" hidden="1" customHeight="1">
      <c r="A49" s="26">
        <v>48</v>
      </c>
      <c r="B49" s="26" t="s">
        <v>175</v>
      </c>
      <c r="C49" s="26" t="s">
        <v>180</v>
      </c>
      <c r="D49" s="65" t="s">
        <v>1120</v>
      </c>
      <c r="E49" s="26" t="s">
        <v>144</v>
      </c>
      <c r="F49" s="30" t="s">
        <v>1121</v>
      </c>
      <c r="G49" s="26">
        <v>8</v>
      </c>
      <c r="H49" s="32">
        <v>1607</v>
      </c>
      <c r="I49" s="32">
        <f>G49-J49</f>
        <v>0</v>
      </c>
      <c r="J49" s="32">
        <v>8</v>
      </c>
      <c r="K49" s="32">
        <v>6</v>
      </c>
      <c r="L49" s="32">
        <v>0</v>
      </c>
      <c r="M49" s="32">
        <v>0</v>
      </c>
      <c r="N49" s="112" t="s">
        <v>909</v>
      </c>
      <c r="O49" s="33" t="s">
        <v>450</v>
      </c>
      <c r="P49" s="29" t="s">
        <v>27</v>
      </c>
      <c r="Q49" s="35">
        <v>38603</v>
      </c>
      <c r="R49" s="28"/>
    </row>
    <row r="50" spans="1:18" s="16" customFormat="1" ht="22.5" hidden="1" customHeight="1">
      <c r="A50" s="26">
        <v>49</v>
      </c>
      <c r="B50" s="26" t="s">
        <v>175</v>
      </c>
      <c r="C50" s="26" t="s">
        <v>180</v>
      </c>
      <c r="D50" s="65" t="s">
        <v>1116</v>
      </c>
      <c r="E50" s="26" t="s">
        <v>146</v>
      </c>
      <c r="F50" s="30" t="s">
        <v>1117</v>
      </c>
      <c r="G50" s="26">
        <v>8</v>
      </c>
      <c r="H50" s="31">
        <v>2060</v>
      </c>
      <c r="I50" s="32">
        <f>G50-J50</f>
        <v>0</v>
      </c>
      <c r="J50" s="31">
        <v>8</v>
      </c>
      <c r="K50" s="31">
        <v>3</v>
      </c>
      <c r="L50" s="31">
        <v>0</v>
      </c>
      <c r="M50" s="31">
        <v>0</v>
      </c>
      <c r="N50" s="39" t="s">
        <v>125</v>
      </c>
      <c r="O50" s="33" t="s">
        <v>451</v>
      </c>
      <c r="P50" s="29" t="s">
        <v>308</v>
      </c>
      <c r="Q50" s="35">
        <v>40255</v>
      </c>
      <c r="R50" s="29"/>
    </row>
    <row r="51" spans="1:18" s="16" customFormat="1" ht="22.5" hidden="1" customHeight="1">
      <c r="A51" s="26">
        <v>50</v>
      </c>
      <c r="B51" s="26" t="s">
        <v>514</v>
      </c>
      <c r="C51" s="26" t="s">
        <v>515</v>
      </c>
      <c r="D51" s="29" t="s">
        <v>513</v>
      </c>
      <c r="E51" s="26" t="s">
        <v>504</v>
      </c>
      <c r="F51" s="29" t="s">
        <v>1448</v>
      </c>
      <c r="G51" s="26">
        <v>1</v>
      </c>
      <c r="H51" s="32">
        <v>222</v>
      </c>
      <c r="I51" s="31">
        <v>0</v>
      </c>
      <c r="J51" s="31">
        <v>1</v>
      </c>
      <c r="K51" s="31">
        <v>0</v>
      </c>
      <c r="L51" s="31">
        <v>0</v>
      </c>
      <c r="M51" s="31">
        <v>0</v>
      </c>
      <c r="N51" s="39" t="s">
        <v>504</v>
      </c>
      <c r="O51" s="27" t="s">
        <v>564</v>
      </c>
      <c r="P51" s="26"/>
      <c r="Q51" s="35">
        <v>41274</v>
      </c>
      <c r="R51" s="34"/>
    </row>
    <row r="52" spans="1:18" s="16" customFormat="1" ht="22.5" hidden="1" customHeight="1">
      <c r="A52" s="26">
        <v>51</v>
      </c>
      <c r="B52" s="26" t="s">
        <v>175</v>
      </c>
      <c r="C52" s="26" t="s">
        <v>180</v>
      </c>
      <c r="D52" s="30" t="s">
        <v>1112</v>
      </c>
      <c r="E52" s="26" t="s">
        <v>146</v>
      </c>
      <c r="F52" s="30" t="s">
        <v>1113</v>
      </c>
      <c r="G52" s="26">
        <v>7</v>
      </c>
      <c r="H52" s="31">
        <v>868</v>
      </c>
      <c r="I52" s="32">
        <v>0</v>
      </c>
      <c r="J52" s="31">
        <v>7</v>
      </c>
      <c r="K52" s="31">
        <v>0</v>
      </c>
      <c r="L52" s="31">
        <v>0</v>
      </c>
      <c r="M52" s="31">
        <v>0</v>
      </c>
      <c r="N52" s="39" t="s">
        <v>125</v>
      </c>
      <c r="O52" s="85" t="s">
        <v>81</v>
      </c>
      <c r="P52" s="29" t="s">
        <v>28</v>
      </c>
      <c r="Q52" s="35">
        <v>37972</v>
      </c>
      <c r="R52" s="29"/>
    </row>
    <row r="53" spans="1:18" s="16" customFormat="1" ht="22.5" hidden="1" customHeight="1">
      <c r="A53" s="26">
        <v>52</v>
      </c>
      <c r="B53" s="26" t="s">
        <v>1040</v>
      </c>
      <c r="C53" s="26" t="s">
        <v>1122</v>
      </c>
      <c r="D53" s="65" t="s">
        <v>1123</v>
      </c>
      <c r="E53" s="33" t="s">
        <v>791</v>
      </c>
      <c r="F53" s="65" t="s">
        <v>1124</v>
      </c>
      <c r="G53" s="26">
        <v>2</v>
      </c>
      <c r="H53" s="32">
        <v>164</v>
      </c>
      <c r="I53" s="32">
        <v>0</v>
      </c>
      <c r="J53" s="32">
        <v>2</v>
      </c>
      <c r="K53" s="32">
        <v>2</v>
      </c>
      <c r="L53" s="32">
        <v>0</v>
      </c>
      <c r="M53" s="32">
        <v>0</v>
      </c>
      <c r="N53" s="39" t="s">
        <v>125</v>
      </c>
      <c r="O53" s="67" t="s">
        <v>450</v>
      </c>
      <c r="P53" s="29" t="s">
        <v>27</v>
      </c>
      <c r="Q53" s="35">
        <v>41474</v>
      </c>
      <c r="R53" s="29"/>
    </row>
    <row r="54" spans="1:18" s="16" customFormat="1" ht="22.5" hidden="1" customHeight="1">
      <c r="A54" s="26">
        <v>53</v>
      </c>
      <c r="B54" s="26" t="s">
        <v>175</v>
      </c>
      <c r="C54" s="26" t="s">
        <v>278</v>
      </c>
      <c r="D54" s="29" t="s">
        <v>348</v>
      </c>
      <c r="E54" s="26" t="s">
        <v>146</v>
      </c>
      <c r="F54" s="29" t="s">
        <v>1139</v>
      </c>
      <c r="G54" s="26">
        <v>8</v>
      </c>
      <c r="H54" s="31">
        <v>852</v>
      </c>
      <c r="I54" s="31">
        <f>G54-J54</f>
        <v>0</v>
      </c>
      <c r="J54" s="31">
        <v>8</v>
      </c>
      <c r="K54" s="31">
        <v>4</v>
      </c>
      <c r="L54" s="31">
        <v>0</v>
      </c>
      <c r="M54" s="31">
        <v>0</v>
      </c>
      <c r="N54" s="39" t="s">
        <v>125</v>
      </c>
      <c r="O54" s="85" t="s">
        <v>25</v>
      </c>
      <c r="P54" s="26" t="s">
        <v>127</v>
      </c>
      <c r="Q54" s="35">
        <v>38108</v>
      </c>
      <c r="R54" s="34"/>
    </row>
    <row r="55" spans="1:18" s="16" customFormat="1" ht="22.5" hidden="1" customHeight="1">
      <c r="A55" s="26">
        <v>54</v>
      </c>
      <c r="B55" s="26" t="s">
        <v>175</v>
      </c>
      <c r="C55" s="26" t="s">
        <v>278</v>
      </c>
      <c r="D55" s="28" t="s">
        <v>328</v>
      </c>
      <c r="E55" s="26" t="s">
        <v>625</v>
      </c>
      <c r="F55" s="29" t="s">
        <v>1129</v>
      </c>
      <c r="G55" s="26">
        <v>10</v>
      </c>
      <c r="H55" s="31">
        <v>1391</v>
      </c>
      <c r="I55" s="31">
        <v>0</v>
      </c>
      <c r="J55" s="31">
        <v>10</v>
      </c>
      <c r="K55" s="31">
        <v>2</v>
      </c>
      <c r="L55" s="31">
        <v>0</v>
      </c>
      <c r="M55" s="31">
        <v>0</v>
      </c>
      <c r="N55" s="39" t="s">
        <v>125</v>
      </c>
      <c r="O55" s="85" t="s">
        <v>25</v>
      </c>
      <c r="P55" s="26" t="s">
        <v>127</v>
      </c>
      <c r="Q55" s="35">
        <v>40380</v>
      </c>
      <c r="R55" s="79"/>
    </row>
    <row r="56" spans="1:18" s="16" customFormat="1" ht="22.5" hidden="1" customHeight="1">
      <c r="A56" s="26">
        <v>55</v>
      </c>
      <c r="B56" s="26" t="s">
        <v>175</v>
      </c>
      <c r="C56" s="26" t="s">
        <v>278</v>
      </c>
      <c r="D56" s="30" t="s">
        <v>1137</v>
      </c>
      <c r="E56" s="26" t="s">
        <v>144</v>
      </c>
      <c r="F56" s="30" t="s">
        <v>1138</v>
      </c>
      <c r="G56" s="26">
        <v>7</v>
      </c>
      <c r="H56" s="32">
        <v>1116</v>
      </c>
      <c r="I56" s="32">
        <f>G56-J56</f>
        <v>0</v>
      </c>
      <c r="J56" s="32">
        <v>7</v>
      </c>
      <c r="K56" s="32">
        <v>6</v>
      </c>
      <c r="L56" s="173">
        <v>0</v>
      </c>
      <c r="M56" s="32">
        <v>0</v>
      </c>
      <c r="N56" s="39" t="s">
        <v>125</v>
      </c>
      <c r="O56" s="33" t="s">
        <v>450</v>
      </c>
      <c r="P56" s="29" t="s">
        <v>27</v>
      </c>
      <c r="Q56" s="35">
        <v>37386</v>
      </c>
      <c r="R56" s="29"/>
    </row>
    <row r="57" spans="1:18" s="16" customFormat="1" ht="22.5" hidden="1" customHeight="1">
      <c r="A57" s="26">
        <v>56</v>
      </c>
      <c r="B57" s="33" t="s">
        <v>1018</v>
      </c>
      <c r="C57" s="33" t="s">
        <v>1130</v>
      </c>
      <c r="D57" s="65" t="s">
        <v>1131</v>
      </c>
      <c r="E57" s="33" t="s">
        <v>625</v>
      </c>
      <c r="F57" s="65" t="s">
        <v>1132</v>
      </c>
      <c r="G57" s="26">
        <v>8</v>
      </c>
      <c r="H57" s="32">
        <v>1421</v>
      </c>
      <c r="I57" s="32">
        <v>0</v>
      </c>
      <c r="J57" s="32">
        <v>8</v>
      </c>
      <c r="K57" s="32">
        <v>6</v>
      </c>
      <c r="L57" s="32">
        <v>0</v>
      </c>
      <c r="M57" s="32">
        <v>1</v>
      </c>
      <c r="N57" s="112" t="s">
        <v>1133</v>
      </c>
      <c r="O57" s="67" t="s">
        <v>450</v>
      </c>
      <c r="P57" s="29" t="s">
        <v>27</v>
      </c>
      <c r="Q57" s="35">
        <v>40997</v>
      </c>
      <c r="R57" s="28"/>
    </row>
    <row r="58" spans="1:18" s="22" customFormat="1" ht="22.5" hidden="1" customHeight="1">
      <c r="A58" s="26">
        <v>57</v>
      </c>
      <c r="B58" s="26" t="s">
        <v>1040</v>
      </c>
      <c r="C58" s="26" t="s">
        <v>1125</v>
      </c>
      <c r="D58" s="29" t="s">
        <v>1126</v>
      </c>
      <c r="E58" s="26" t="s">
        <v>789</v>
      </c>
      <c r="F58" s="29" t="s">
        <v>1127</v>
      </c>
      <c r="G58" s="26">
        <v>6</v>
      </c>
      <c r="H58" s="31">
        <v>620</v>
      </c>
      <c r="I58" s="31">
        <v>0</v>
      </c>
      <c r="J58" s="31">
        <v>6</v>
      </c>
      <c r="K58" s="31">
        <v>0</v>
      </c>
      <c r="L58" s="31">
        <v>0</v>
      </c>
      <c r="M58" s="31">
        <v>0</v>
      </c>
      <c r="N58" s="39" t="s">
        <v>627</v>
      </c>
      <c r="O58" s="85" t="s">
        <v>25</v>
      </c>
      <c r="P58" s="26" t="s">
        <v>127</v>
      </c>
      <c r="Q58" s="35">
        <v>41410</v>
      </c>
      <c r="R58" s="34" t="s">
        <v>1128</v>
      </c>
    </row>
    <row r="59" spans="1:18" s="22" customFormat="1" ht="22.5" hidden="1" customHeight="1">
      <c r="A59" s="26">
        <v>58</v>
      </c>
      <c r="B59" s="26" t="s">
        <v>1040</v>
      </c>
      <c r="C59" s="26" t="s">
        <v>1125</v>
      </c>
      <c r="D59" s="30" t="s">
        <v>1134</v>
      </c>
      <c r="E59" s="26" t="s">
        <v>625</v>
      </c>
      <c r="F59" s="30" t="s">
        <v>1135</v>
      </c>
      <c r="G59" s="26">
        <v>6</v>
      </c>
      <c r="H59" s="32">
        <v>916</v>
      </c>
      <c r="I59" s="32">
        <v>0</v>
      </c>
      <c r="J59" s="32">
        <v>6</v>
      </c>
      <c r="K59" s="32">
        <v>2</v>
      </c>
      <c r="L59" s="32">
        <v>0</v>
      </c>
      <c r="M59" s="32">
        <v>0</v>
      </c>
      <c r="N59" s="39" t="s">
        <v>125</v>
      </c>
      <c r="O59" s="33" t="s">
        <v>450</v>
      </c>
      <c r="P59" s="29" t="s">
        <v>27</v>
      </c>
      <c r="Q59" s="35">
        <v>41565</v>
      </c>
      <c r="R59" s="29" t="s">
        <v>1136</v>
      </c>
    </row>
    <row r="60" spans="1:18" s="22" customFormat="1" ht="22.5" hidden="1" customHeight="1">
      <c r="A60" s="26">
        <v>59</v>
      </c>
      <c r="B60" s="33" t="s">
        <v>1018</v>
      </c>
      <c r="C60" s="33" t="s">
        <v>1140</v>
      </c>
      <c r="D60" s="65" t="s">
        <v>1141</v>
      </c>
      <c r="E60" s="33" t="s">
        <v>625</v>
      </c>
      <c r="F60" s="65" t="s">
        <v>1142</v>
      </c>
      <c r="G60" s="26">
        <v>3</v>
      </c>
      <c r="H60" s="32">
        <v>339</v>
      </c>
      <c r="I60" s="32">
        <v>0</v>
      </c>
      <c r="J60" s="32">
        <v>3</v>
      </c>
      <c r="K60" s="32">
        <v>3</v>
      </c>
      <c r="L60" s="32">
        <v>0</v>
      </c>
      <c r="M60" s="32">
        <v>0</v>
      </c>
      <c r="N60" s="112" t="s">
        <v>627</v>
      </c>
      <c r="O60" s="67" t="s">
        <v>450</v>
      </c>
      <c r="P60" s="29" t="s">
        <v>27</v>
      </c>
      <c r="Q60" s="35">
        <v>41018</v>
      </c>
      <c r="R60" s="29"/>
    </row>
    <row r="61" spans="1:18" s="22" customFormat="1" ht="22.5" hidden="1" customHeight="1">
      <c r="A61" s="26">
        <v>60</v>
      </c>
      <c r="B61" s="33" t="s">
        <v>1018</v>
      </c>
      <c r="C61" s="33" t="s">
        <v>1143</v>
      </c>
      <c r="D61" s="65" t="s">
        <v>1144</v>
      </c>
      <c r="E61" s="33" t="s">
        <v>538</v>
      </c>
      <c r="F61" s="65" t="s">
        <v>1145</v>
      </c>
      <c r="G61" s="26">
        <v>4</v>
      </c>
      <c r="H61" s="31">
        <v>550</v>
      </c>
      <c r="I61" s="32">
        <v>0</v>
      </c>
      <c r="J61" s="31">
        <v>4</v>
      </c>
      <c r="K61" s="31">
        <v>2</v>
      </c>
      <c r="L61" s="31">
        <v>0</v>
      </c>
      <c r="M61" s="31">
        <v>0</v>
      </c>
      <c r="N61" s="39" t="s">
        <v>627</v>
      </c>
      <c r="O61" s="33" t="s">
        <v>451</v>
      </c>
      <c r="P61" s="29" t="s">
        <v>308</v>
      </c>
      <c r="Q61" s="35">
        <v>40894</v>
      </c>
      <c r="R61" s="66"/>
    </row>
    <row r="62" spans="1:18" s="22" customFormat="1" ht="22.5" hidden="1" customHeight="1">
      <c r="A62" s="26">
        <v>61</v>
      </c>
      <c r="B62" s="26" t="s">
        <v>294</v>
      </c>
      <c r="C62" s="26" t="s">
        <v>296</v>
      </c>
      <c r="D62" s="30" t="s">
        <v>297</v>
      </c>
      <c r="E62" s="26" t="s">
        <v>125</v>
      </c>
      <c r="F62" s="29" t="s">
        <v>1449</v>
      </c>
      <c r="G62" s="26">
        <v>1</v>
      </c>
      <c r="H62" s="31">
        <v>153</v>
      </c>
      <c r="I62" s="31">
        <v>0</v>
      </c>
      <c r="J62" s="31">
        <v>1</v>
      </c>
      <c r="K62" s="31">
        <v>0</v>
      </c>
      <c r="L62" s="31">
        <v>0</v>
      </c>
      <c r="M62" s="31">
        <v>0</v>
      </c>
      <c r="N62" s="39" t="s">
        <v>125</v>
      </c>
      <c r="O62" s="26" t="s">
        <v>395</v>
      </c>
      <c r="P62" s="28" t="s">
        <v>315</v>
      </c>
      <c r="Q62" s="35">
        <v>16372</v>
      </c>
      <c r="R62" s="60"/>
    </row>
    <row r="63" spans="1:18" s="22" customFormat="1" ht="22.5" hidden="1" customHeight="1">
      <c r="A63" s="26">
        <v>62</v>
      </c>
      <c r="B63" s="27" t="s">
        <v>175</v>
      </c>
      <c r="C63" s="27" t="s">
        <v>1451</v>
      </c>
      <c r="D63" s="28" t="s">
        <v>295</v>
      </c>
      <c r="E63" s="27" t="s">
        <v>125</v>
      </c>
      <c r="F63" s="28" t="s">
        <v>1450</v>
      </c>
      <c r="G63" s="26">
        <v>3</v>
      </c>
      <c r="H63" s="31">
        <v>325</v>
      </c>
      <c r="I63" s="31">
        <v>0</v>
      </c>
      <c r="J63" s="31">
        <v>3</v>
      </c>
      <c r="K63" s="31">
        <v>0</v>
      </c>
      <c r="L63" s="31">
        <v>0</v>
      </c>
      <c r="M63" s="31">
        <v>0</v>
      </c>
      <c r="N63" s="39" t="s">
        <v>125</v>
      </c>
      <c r="O63" s="27" t="s">
        <v>396</v>
      </c>
      <c r="P63" s="28" t="s">
        <v>316</v>
      </c>
      <c r="Q63" s="35">
        <v>38255</v>
      </c>
      <c r="R63" s="138" t="s">
        <v>480</v>
      </c>
    </row>
    <row r="64" spans="1:18" s="22" customFormat="1" ht="22.5" hidden="1" customHeight="1">
      <c r="A64" s="26">
        <v>63</v>
      </c>
      <c r="B64" s="27" t="s">
        <v>175</v>
      </c>
      <c r="C64" s="27" t="s">
        <v>181</v>
      </c>
      <c r="D64" s="28" t="s">
        <v>298</v>
      </c>
      <c r="E64" s="27" t="s">
        <v>125</v>
      </c>
      <c r="F64" s="28" t="s">
        <v>1452</v>
      </c>
      <c r="G64" s="26">
        <v>6</v>
      </c>
      <c r="H64" s="31">
        <v>571</v>
      </c>
      <c r="I64" s="31">
        <v>0</v>
      </c>
      <c r="J64" s="31">
        <v>6</v>
      </c>
      <c r="K64" s="31">
        <v>2</v>
      </c>
      <c r="L64" s="31">
        <v>0</v>
      </c>
      <c r="M64" s="31">
        <v>0</v>
      </c>
      <c r="N64" s="39" t="s">
        <v>125</v>
      </c>
      <c r="O64" s="27" t="s">
        <v>397</v>
      </c>
      <c r="P64" s="28" t="s">
        <v>38</v>
      </c>
      <c r="Q64" s="35">
        <v>39273</v>
      </c>
      <c r="R64" s="60"/>
    </row>
    <row r="65" spans="1:18" s="22" customFormat="1" ht="22.5" hidden="1" customHeight="1">
      <c r="A65" s="26">
        <v>64</v>
      </c>
      <c r="B65" s="27" t="s">
        <v>175</v>
      </c>
      <c r="C65" s="27" t="s">
        <v>181</v>
      </c>
      <c r="D65" s="28" t="s">
        <v>1146</v>
      </c>
      <c r="E65" s="27" t="s">
        <v>146</v>
      </c>
      <c r="F65" s="28" t="s">
        <v>1147</v>
      </c>
      <c r="G65" s="26">
        <v>6</v>
      </c>
      <c r="H65" s="31">
        <v>823</v>
      </c>
      <c r="I65" s="32">
        <v>0</v>
      </c>
      <c r="J65" s="31">
        <v>6</v>
      </c>
      <c r="K65" s="31">
        <v>0</v>
      </c>
      <c r="L65" s="31">
        <v>0</v>
      </c>
      <c r="M65" s="31">
        <v>0</v>
      </c>
      <c r="N65" s="39" t="s">
        <v>125</v>
      </c>
      <c r="O65" s="85" t="s">
        <v>81</v>
      </c>
      <c r="P65" s="29" t="s">
        <v>28</v>
      </c>
      <c r="Q65" s="35">
        <v>38555</v>
      </c>
      <c r="R65" s="28"/>
    </row>
    <row r="66" spans="1:18" s="22" customFormat="1" ht="22.5" customHeight="1">
      <c r="A66" s="26">
        <v>65</v>
      </c>
      <c r="B66" s="33" t="s">
        <v>1018</v>
      </c>
      <c r="C66" s="33" t="s">
        <v>1148</v>
      </c>
      <c r="D66" s="38" t="s">
        <v>1149</v>
      </c>
      <c r="E66" s="33" t="s">
        <v>538</v>
      </c>
      <c r="F66" s="38" t="s">
        <v>1150</v>
      </c>
      <c r="G66" s="26">
        <v>8</v>
      </c>
      <c r="H66" s="31">
        <v>1144</v>
      </c>
      <c r="I66" s="31">
        <f>G66-J66</f>
        <v>0</v>
      </c>
      <c r="J66" s="31">
        <v>8</v>
      </c>
      <c r="K66" s="31">
        <v>3</v>
      </c>
      <c r="L66" s="31">
        <v>0</v>
      </c>
      <c r="M66" s="31">
        <v>0</v>
      </c>
      <c r="N66" s="112" t="s">
        <v>627</v>
      </c>
      <c r="O66" s="85" t="s">
        <v>25</v>
      </c>
      <c r="P66" s="26" t="s">
        <v>127</v>
      </c>
      <c r="Q66" s="35">
        <v>40681</v>
      </c>
      <c r="R66" s="34"/>
    </row>
    <row r="67" spans="1:18" s="16" customFormat="1" ht="22.5" customHeight="1">
      <c r="A67" s="26">
        <v>66</v>
      </c>
      <c r="B67" s="26" t="s">
        <v>175</v>
      </c>
      <c r="C67" s="26" t="s">
        <v>230</v>
      </c>
      <c r="D67" s="29" t="s">
        <v>349</v>
      </c>
      <c r="E67" s="26" t="s">
        <v>144</v>
      </c>
      <c r="F67" s="29" t="s">
        <v>1151</v>
      </c>
      <c r="G67" s="26">
        <v>8</v>
      </c>
      <c r="H67" s="31">
        <v>1819</v>
      </c>
      <c r="I67" s="31">
        <v>0</v>
      </c>
      <c r="J67" s="31">
        <v>8</v>
      </c>
      <c r="K67" s="31">
        <v>5</v>
      </c>
      <c r="L67" s="31">
        <v>0</v>
      </c>
      <c r="M67" s="31">
        <v>1</v>
      </c>
      <c r="N67" s="112" t="s">
        <v>629</v>
      </c>
      <c r="O67" s="85" t="s">
        <v>25</v>
      </c>
      <c r="P67" s="26" t="s">
        <v>127</v>
      </c>
      <c r="Q67" s="35">
        <v>39163</v>
      </c>
      <c r="R67" s="28"/>
    </row>
    <row r="68" spans="1:18" s="16" customFormat="1" ht="22.5" customHeight="1">
      <c r="A68" s="26">
        <v>67</v>
      </c>
      <c r="B68" s="27" t="s">
        <v>175</v>
      </c>
      <c r="C68" s="27" t="s">
        <v>230</v>
      </c>
      <c r="D68" s="28" t="s">
        <v>368</v>
      </c>
      <c r="E68" s="27" t="s">
        <v>146</v>
      </c>
      <c r="F68" s="250" t="s">
        <v>1152</v>
      </c>
      <c r="G68" s="26">
        <v>8</v>
      </c>
      <c r="H68" s="32">
        <v>1398</v>
      </c>
      <c r="I68" s="32">
        <v>0</v>
      </c>
      <c r="J68" s="32">
        <v>8</v>
      </c>
      <c r="K68" s="32">
        <v>3</v>
      </c>
      <c r="L68" s="32">
        <v>0</v>
      </c>
      <c r="M68" s="32">
        <v>0</v>
      </c>
      <c r="N68" s="39" t="s">
        <v>125</v>
      </c>
      <c r="O68" s="33" t="s">
        <v>450</v>
      </c>
      <c r="P68" s="29" t="s">
        <v>27</v>
      </c>
      <c r="Q68" s="35">
        <v>40052</v>
      </c>
      <c r="R68" s="28"/>
    </row>
    <row r="69" spans="1:18" s="16" customFormat="1" ht="22.5" hidden="1" customHeight="1">
      <c r="A69" s="26">
        <v>68</v>
      </c>
      <c r="B69" s="33" t="s">
        <v>1018</v>
      </c>
      <c r="C69" s="33" t="s">
        <v>1153</v>
      </c>
      <c r="D69" s="38" t="s">
        <v>1156</v>
      </c>
      <c r="E69" s="33" t="s">
        <v>625</v>
      </c>
      <c r="F69" s="38" t="s">
        <v>1157</v>
      </c>
      <c r="G69" s="26">
        <v>8</v>
      </c>
      <c r="H69" s="31">
        <v>1443</v>
      </c>
      <c r="I69" s="31">
        <v>0</v>
      </c>
      <c r="J69" s="31">
        <v>8</v>
      </c>
      <c r="K69" s="31">
        <v>4</v>
      </c>
      <c r="L69" s="31">
        <v>0</v>
      </c>
      <c r="M69" s="31">
        <v>0</v>
      </c>
      <c r="N69" s="39" t="s">
        <v>630</v>
      </c>
      <c r="O69" s="85" t="s">
        <v>25</v>
      </c>
      <c r="P69" s="26" t="s">
        <v>127</v>
      </c>
      <c r="Q69" s="35">
        <v>41019</v>
      </c>
      <c r="R69" s="28"/>
    </row>
    <row r="70" spans="1:18" s="16" customFormat="1" ht="22.5" hidden="1" customHeight="1">
      <c r="A70" s="26">
        <v>69</v>
      </c>
      <c r="B70" s="33" t="s">
        <v>1018</v>
      </c>
      <c r="C70" s="33" t="s">
        <v>1153</v>
      </c>
      <c r="D70" s="38" t="s">
        <v>1154</v>
      </c>
      <c r="E70" s="33" t="s">
        <v>625</v>
      </c>
      <c r="F70" s="38" t="s">
        <v>1155</v>
      </c>
      <c r="G70" s="26">
        <v>9</v>
      </c>
      <c r="H70" s="31">
        <v>1362</v>
      </c>
      <c r="I70" s="31">
        <v>0</v>
      </c>
      <c r="J70" s="31">
        <v>9</v>
      </c>
      <c r="K70" s="31">
        <v>2</v>
      </c>
      <c r="L70" s="31">
        <v>0</v>
      </c>
      <c r="M70" s="31">
        <v>0</v>
      </c>
      <c r="N70" s="112" t="s">
        <v>627</v>
      </c>
      <c r="O70" s="85" t="s">
        <v>25</v>
      </c>
      <c r="P70" s="26" t="s">
        <v>127</v>
      </c>
      <c r="Q70" s="35">
        <v>41662</v>
      </c>
      <c r="R70" s="28"/>
    </row>
    <row r="71" spans="1:18" s="16" customFormat="1" ht="22.5" hidden="1" customHeight="1">
      <c r="A71" s="26">
        <v>70</v>
      </c>
      <c r="B71" s="26" t="s">
        <v>175</v>
      </c>
      <c r="C71" s="26" t="s">
        <v>300</v>
      </c>
      <c r="D71" s="30" t="s">
        <v>301</v>
      </c>
      <c r="E71" s="26" t="s">
        <v>125</v>
      </c>
      <c r="F71" s="30" t="s">
        <v>1158</v>
      </c>
      <c r="G71" s="26">
        <v>7</v>
      </c>
      <c r="H71" s="31">
        <v>710</v>
      </c>
      <c r="I71" s="32">
        <v>0</v>
      </c>
      <c r="J71" s="31">
        <v>7</v>
      </c>
      <c r="K71" s="31">
        <v>1</v>
      </c>
      <c r="L71" s="31">
        <v>0</v>
      </c>
      <c r="M71" s="31">
        <v>0</v>
      </c>
      <c r="N71" s="39" t="s">
        <v>125</v>
      </c>
      <c r="O71" s="26" t="s">
        <v>399</v>
      </c>
      <c r="P71" s="29" t="s">
        <v>318</v>
      </c>
      <c r="Q71" s="35">
        <v>37568</v>
      </c>
      <c r="R71" s="34"/>
    </row>
    <row r="72" spans="1:18" s="16" customFormat="1" ht="22.5" hidden="1" customHeight="1">
      <c r="A72" s="26">
        <v>71</v>
      </c>
      <c r="B72" s="27" t="s">
        <v>175</v>
      </c>
      <c r="C72" s="85" t="s">
        <v>1162</v>
      </c>
      <c r="D72" s="37" t="s">
        <v>1163</v>
      </c>
      <c r="E72" s="85" t="s">
        <v>625</v>
      </c>
      <c r="F72" s="252" t="s">
        <v>1164</v>
      </c>
      <c r="G72" s="26">
        <v>7</v>
      </c>
      <c r="H72" s="32">
        <v>1518</v>
      </c>
      <c r="I72" s="32">
        <f>G72-J72</f>
        <v>0</v>
      </c>
      <c r="J72" s="32">
        <v>7</v>
      </c>
      <c r="K72" s="32">
        <v>7</v>
      </c>
      <c r="L72" s="32">
        <v>0</v>
      </c>
      <c r="M72" s="32">
        <v>0</v>
      </c>
      <c r="N72" s="112" t="s">
        <v>627</v>
      </c>
      <c r="O72" s="67" t="s">
        <v>450</v>
      </c>
      <c r="P72" s="29" t="s">
        <v>27</v>
      </c>
      <c r="Q72" s="35">
        <v>40851</v>
      </c>
      <c r="R72" s="28"/>
    </row>
    <row r="73" spans="1:18" s="61" customFormat="1" ht="22.5" hidden="1" customHeight="1">
      <c r="A73" s="26">
        <v>72</v>
      </c>
      <c r="B73" s="26" t="s">
        <v>1040</v>
      </c>
      <c r="C73" s="26" t="s">
        <v>1162</v>
      </c>
      <c r="D73" s="65" t="s">
        <v>1168</v>
      </c>
      <c r="E73" s="33" t="s">
        <v>789</v>
      </c>
      <c r="F73" s="65" t="s">
        <v>1169</v>
      </c>
      <c r="G73" s="26">
        <v>5</v>
      </c>
      <c r="H73" s="31">
        <v>573</v>
      </c>
      <c r="I73" s="32">
        <v>0</v>
      </c>
      <c r="J73" s="31">
        <v>5</v>
      </c>
      <c r="K73" s="31">
        <v>1</v>
      </c>
      <c r="L73" s="31">
        <v>0</v>
      </c>
      <c r="M73" s="31">
        <v>0</v>
      </c>
      <c r="N73" s="39" t="s">
        <v>1170</v>
      </c>
      <c r="O73" s="33" t="s">
        <v>451</v>
      </c>
      <c r="P73" s="29" t="s">
        <v>308</v>
      </c>
      <c r="Q73" s="35">
        <v>41996</v>
      </c>
      <c r="R73" s="38"/>
    </row>
    <row r="74" spans="1:18" s="61" customFormat="1" ht="22.5" hidden="1" customHeight="1">
      <c r="A74" s="26">
        <v>73</v>
      </c>
      <c r="B74" s="26" t="s">
        <v>175</v>
      </c>
      <c r="C74" s="26" t="s">
        <v>269</v>
      </c>
      <c r="D74" s="65" t="s">
        <v>1159</v>
      </c>
      <c r="E74" s="33" t="s">
        <v>625</v>
      </c>
      <c r="F74" s="65" t="s">
        <v>1160</v>
      </c>
      <c r="G74" s="26">
        <v>9</v>
      </c>
      <c r="H74" s="31">
        <v>1636</v>
      </c>
      <c r="I74" s="32">
        <v>0</v>
      </c>
      <c r="J74" s="31">
        <v>9</v>
      </c>
      <c r="K74" s="31">
        <v>2</v>
      </c>
      <c r="L74" s="31">
        <v>0</v>
      </c>
      <c r="M74" s="31">
        <v>0</v>
      </c>
      <c r="N74" s="39" t="s">
        <v>125</v>
      </c>
      <c r="O74" s="33" t="s">
        <v>451</v>
      </c>
      <c r="P74" s="29" t="s">
        <v>308</v>
      </c>
      <c r="Q74" s="35">
        <v>38183</v>
      </c>
      <c r="R74" s="38" t="s">
        <v>1161</v>
      </c>
    </row>
    <row r="75" spans="1:18" s="16" customFormat="1" ht="22.5" hidden="1" customHeight="1">
      <c r="A75" s="26">
        <v>74</v>
      </c>
      <c r="B75" s="33" t="s">
        <v>1018</v>
      </c>
      <c r="C75" s="33" t="s">
        <v>1165</v>
      </c>
      <c r="D75" s="38" t="s">
        <v>1166</v>
      </c>
      <c r="E75" s="33" t="s">
        <v>625</v>
      </c>
      <c r="F75" s="38" t="s">
        <v>1167</v>
      </c>
      <c r="G75" s="26">
        <v>3</v>
      </c>
      <c r="H75" s="31">
        <v>341</v>
      </c>
      <c r="I75" s="31">
        <v>0</v>
      </c>
      <c r="J75" s="31">
        <v>3</v>
      </c>
      <c r="K75" s="31">
        <v>2</v>
      </c>
      <c r="L75" s="31">
        <v>0</v>
      </c>
      <c r="M75" s="31">
        <v>0</v>
      </c>
      <c r="N75" s="112" t="s">
        <v>627</v>
      </c>
      <c r="O75" s="85" t="s">
        <v>25</v>
      </c>
      <c r="P75" s="26" t="s">
        <v>127</v>
      </c>
      <c r="Q75" s="35">
        <v>41843</v>
      </c>
      <c r="R75" s="28"/>
    </row>
    <row r="76" spans="1:18" s="16" customFormat="1" ht="22.5" hidden="1" customHeight="1">
      <c r="A76" s="26">
        <v>75</v>
      </c>
      <c r="B76" s="26" t="s">
        <v>175</v>
      </c>
      <c r="C76" s="26" t="s">
        <v>169</v>
      </c>
      <c r="D76" s="29" t="s">
        <v>350</v>
      </c>
      <c r="E76" s="26" t="s">
        <v>144</v>
      </c>
      <c r="F76" s="29" t="s">
        <v>1484</v>
      </c>
      <c r="G76" s="26">
        <v>8</v>
      </c>
      <c r="H76" s="31">
        <v>1303</v>
      </c>
      <c r="I76" s="31">
        <f>G76-J76</f>
        <v>0</v>
      </c>
      <c r="J76" s="31">
        <v>8</v>
      </c>
      <c r="K76" s="31">
        <v>5</v>
      </c>
      <c r="L76" s="31">
        <v>0</v>
      </c>
      <c r="M76" s="31">
        <v>0</v>
      </c>
      <c r="N76" s="39" t="s">
        <v>1485</v>
      </c>
      <c r="O76" s="85" t="s">
        <v>25</v>
      </c>
      <c r="P76" s="26" t="s">
        <v>127</v>
      </c>
      <c r="Q76" s="35">
        <v>39927</v>
      </c>
      <c r="R76" s="28" t="s">
        <v>1486</v>
      </c>
    </row>
    <row r="77" spans="1:18" ht="22.5" hidden="1" customHeight="1">
      <c r="A77" s="26">
        <v>76</v>
      </c>
      <c r="B77" s="26" t="s">
        <v>175</v>
      </c>
      <c r="C77" s="26" t="s">
        <v>169</v>
      </c>
      <c r="D77" s="30" t="s">
        <v>1171</v>
      </c>
      <c r="E77" s="26" t="s">
        <v>146</v>
      </c>
      <c r="F77" s="30" t="s">
        <v>1172</v>
      </c>
      <c r="G77" s="26">
        <v>5</v>
      </c>
      <c r="H77" s="81">
        <v>432</v>
      </c>
      <c r="I77" s="32">
        <v>0</v>
      </c>
      <c r="J77" s="81">
        <v>5</v>
      </c>
      <c r="K77" s="81">
        <v>1</v>
      </c>
      <c r="L77" s="81">
        <v>0</v>
      </c>
      <c r="M77" s="31">
        <v>0</v>
      </c>
      <c r="N77" s="253" t="s">
        <v>125</v>
      </c>
      <c r="O77" s="85" t="s">
        <v>25</v>
      </c>
      <c r="P77" s="26" t="s">
        <v>127</v>
      </c>
      <c r="Q77" s="35">
        <v>41730</v>
      </c>
      <c r="R77" s="72" t="s">
        <v>1173</v>
      </c>
    </row>
    <row r="78" spans="1:18" ht="22.5" hidden="1" customHeight="1">
      <c r="A78" s="26">
        <v>77</v>
      </c>
      <c r="B78" s="26" t="s">
        <v>175</v>
      </c>
      <c r="C78" s="26" t="s">
        <v>169</v>
      </c>
      <c r="D78" s="30" t="s">
        <v>369</v>
      </c>
      <c r="E78" s="26" t="s">
        <v>146</v>
      </c>
      <c r="F78" s="30" t="s">
        <v>1174</v>
      </c>
      <c r="G78" s="26">
        <v>5</v>
      </c>
      <c r="H78" s="162">
        <v>939</v>
      </c>
      <c r="I78" s="32">
        <v>0</v>
      </c>
      <c r="J78" s="32">
        <v>5</v>
      </c>
      <c r="K78" s="32">
        <v>1</v>
      </c>
      <c r="L78" s="32">
        <v>0</v>
      </c>
      <c r="M78" s="32">
        <v>0</v>
      </c>
      <c r="N78" s="253" t="s">
        <v>125</v>
      </c>
      <c r="O78" s="33" t="s">
        <v>450</v>
      </c>
      <c r="P78" s="29" t="s">
        <v>27</v>
      </c>
      <c r="Q78" s="35">
        <v>39697</v>
      </c>
      <c r="R78" s="72"/>
    </row>
    <row r="79" spans="1:18" ht="22.5" hidden="1" customHeight="1">
      <c r="A79" s="26">
        <v>78</v>
      </c>
      <c r="B79" s="26" t="s">
        <v>175</v>
      </c>
      <c r="C79" s="26" t="s">
        <v>169</v>
      </c>
      <c r="D79" s="65" t="s">
        <v>1175</v>
      </c>
      <c r="E79" s="26" t="s">
        <v>144</v>
      </c>
      <c r="F79" s="30" t="s">
        <v>1176</v>
      </c>
      <c r="G79" s="26">
        <v>8</v>
      </c>
      <c r="H79" s="31">
        <v>1072</v>
      </c>
      <c r="I79" s="32">
        <f>G79-J79</f>
        <v>0</v>
      </c>
      <c r="J79" s="31">
        <v>8</v>
      </c>
      <c r="K79" s="31">
        <v>3</v>
      </c>
      <c r="L79" s="31">
        <v>0</v>
      </c>
      <c r="M79" s="31">
        <v>0</v>
      </c>
      <c r="N79" s="39" t="s">
        <v>125</v>
      </c>
      <c r="O79" s="33" t="s">
        <v>451</v>
      </c>
      <c r="P79" s="29" t="s">
        <v>308</v>
      </c>
      <c r="Q79" s="35">
        <v>39261</v>
      </c>
      <c r="R79" s="28"/>
    </row>
    <row r="80" spans="1:18" ht="22.5" hidden="1" customHeight="1">
      <c r="A80" s="26">
        <v>79</v>
      </c>
      <c r="B80" s="26" t="s">
        <v>175</v>
      </c>
      <c r="C80" s="27" t="s">
        <v>182</v>
      </c>
      <c r="D80" s="29" t="s">
        <v>326</v>
      </c>
      <c r="E80" s="26" t="s">
        <v>144</v>
      </c>
      <c r="F80" s="29" t="s">
        <v>1177</v>
      </c>
      <c r="G80" s="26">
        <v>8</v>
      </c>
      <c r="H80" s="31">
        <v>1475</v>
      </c>
      <c r="I80" s="31">
        <f>G80-J80</f>
        <v>0</v>
      </c>
      <c r="J80" s="31">
        <v>8</v>
      </c>
      <c r="K80" s="31">
        <v>4</v>
      </c>
      <c r="L80" s="31">
        <v>0</v>
      </c>
      <c r="M80" s="31">
        <v>0</v>
      </c>
      <c r="N80" s="39" t="s">
        <v>626</v>
      </c>
      <c r="O80" s="85" t="s">
        <v>25</v>
      </c>
      <c r="P80" s="26" t="s">
        <v>127</v>
      </c>
      <c r="Q80" s="35">
        <v>40474</v>
      </c>
      <c r="R80" s="28"/>
    </row>
    <row r="81" spans="1:18" s="114" customFormat="1" ht="22.5" hidden="1" customHeight="1">
      <c r="A81" s="26">
        <v>80</v>
      </c>
      <c r="B81" s="26" t="s">
        <v>175</v>
      </c>
      <c r="C81" s="27" t="s">
        <v>182</v>
      </c>
      <c r="D81" s="29" t="s">
        <v>329</v>
      </c>
      <c r="E81" s="26" t="s">
        <v>146</v>
      </c>
      <c r="F81" s="29" t="s">
        <v>1178</v>
      </c>
      <c r="G81" s="26">
        <v>8</v>
      </c>
      <c r="H81" s="31">
        <v>1319</v>
      </c>
      <c r="I81" s="31">
        <f>G81-J81</f>
        <v>0</v>
      </c>
      <c r="J81" s="31">
        <v>8</v>
      </c>
      <c r="K81" s="31">
        <v>3</v>
      </c>
      <c r="L81" s="31">
        <v>0</v>
      </c>
      <c r="M81" s="31">
        <v>0</v>
      </c>
      <c r="N81" s="39" t="s">
        <v>125</v>
      </c>
      <c r="O81" s="85" t="s">
        <v>25</v>
      </c>
      <c r="P81" s="26" t="s">
        <v>127</v>
      </c>
      <c r="Q81" s="35">
        <v>40376</v>
      </c>
      <c r="R81" s="28"/>
    </row>
    <row r="82" spans="1:18" ht="22.5" hidden="1" customHeight="1">
      <c r="A82" s="26">
        <v>81</v>
      </c>
      <c r="B82" s="27" t="s">
        <v>175</v>
      </c>
      <c r="C82" s="27" t="s">
        <v>182</v>
      </c>
      <c r="D82" s="28" t="s">
        <v>370</v>
      </c>
      <c r="E82" s="85" t="s">
        <v>625</v>
      </c>
      <c r="F82" s="250" t="s">
        <v>1179</v>
      </c>
      <c r="G82" s="26">
        <v>8</v>
      </c>
      <c r="H82" s="32">
        <v>1151</v>
      </c>
      <c r="I82" s="32">
        <f>G82-J82</f>
        <v>0</v>
      </c>
      <c r="J82" s="32">
        <v>8</v>
      </c>
      <c r="K82" s="32">
        <v>2</v>
      </c>
      <c r="L82" s="173">
        <v>0</v>
      </c>
      <c r="M82" s="32">
        <v>0</v>
      </c>
      <c r="N82" s="39" t="s">
        <v>125</v>
      </c>
      <c r="O82" s="67" t="s">
        <v>450</v>
      </c>
      <c r="P82" s="29" t="s">
        <v>27</v>
      </c>
      <c r="Q82" s="35">
        <v>38988</v>
      </c>
      <c r="R82" s="28"/>
    </row>
    <row r="83" spans="1:18" ht="22.5" hidden="1" customHeight="1">
      <c r="G83" s="83"/>
      <c r="H83" s="94"/>
      <c r="I83" s="94"/>
      <c r="J83" s="94"/>
      <c r="K83" s="94"/>
      <c r="L83" s="94"/>
      <c r="M83" s="94"/>
    </row>
    <row r="86" spans="1:18" ht="22.5" customHeight="1">
      <c r="A86" s="82" t="s">
        <v>610</v>
      </c>
    </row>
    <row r="87" spans="1:18" ht="22.5" customHeight="1">
      <c r="A87" s="145">
        <v>1</v>
      </c>
      <c r="B87" s="145" t="s">
        <v>175</v>
      </c>
      <c r="C87" s="145" t="s">
        <v>299</v>
      </c>
      <c r="D87" s="197" t="s">
        <v>543</v>
      </c>
      <c r="E87" s="145" t="s">
        <v>125</v>
      </c>
      <c r="F87" s="146" t="s">
        <v>425</v>
      </c>
      <c r="G87" s="145">
        <v>9</v>
      </c>
      <c r="H87" s="163">
        <v>1362</v>
      </c>
      <c r="I87" s="147">
        <v>0</v>
      </c>
      <c r="J87" s="163">
        <v>9</v>
      </c>
      <c r="K87" s="163">
        <v>2</v>
      </c>
      <c r="L87" s="163"/>
      <c r="M87" s="163">
        <v>0</v>
      </c>
      <c r="N87" s="148" t="s">
        <v>125</v>
      </c>
      <c r="O87" s="145" t="s">
        <v>398</v>
      </c>
      <c r="P87" s="145" t="s">
        <v>317</v>
      </c>
      <c r="Q87" s="149">
        <v>38597</v>
      </c>
      <c r="R87" s="164" t="s">
        <v>611</v>
      </c>
    </row>
    <row r="88" spans="1:18" s="22" customFormat="1" ht="22.5" customHeight="1">
      <c r="A88" s="145">
        <v>2</v>
      </c>
      <c r="B88" s="145" t="s">
        <v>175</v>
      </c>
      <c r="C88" s="145" t="s">
        <v>176</v>
      </c>
      <c r="D88" s="161" t="s">
        <v>1180</v>
      </c>
      <c r="E88" s="145" t="s">
        <v>144</v>
      </c>
      <c r="F88" s="161" t="s">
        <v>12</v>
      </c>
      <c r="G88" s="145">
        <v>6</v>
      </c>
      <c r="H88" s="163">
        <v>1030</v>
      </c>
      <c r="I88" s="163">
        <f>G88-J88</f>
        <v>0</v>
      </c>
      <c r="J88" s="163">
        <v>6</v>
      </c>
      <c r="K88" s="163">
        <v>3</v>
      </c>
      <c r="L88" s="163">
        <v>0</v>
      </c>
      <c r="M88" s="163">
        <v>0</v>
      </c>
      <c r="N88" s="148" t="s">
        <v>125</v>
      </c>
      <c r="O88" s="195" t="s">
        <v>25</v>
      </c>
      <c r="P88" s="145" t="s">
        <v>127</v>
      </c>
      <c r="Q88" s="149">
        <v>38498</v>
      </c>
      <c r="R88" s="161" t="s">
        <v>1181</v>
      </c>
    </row>
  </sheetData>
  <autoFilter ref="A1:R83">
    <filterColumn colId="2">
      <filters>
        <filter val="용인시"/>
      </filters>
    </filterColumn>
    <sortState ref="A2:R148">
      <sortCondition ref="C2:C148"/>
      <sortCondition ref="D2:D148"/>
    </sortState>
  </autoFilter>
  <phoneticPr fontId="28" type="noConversion"/>
  <pageMargins left="0.2199999988079071" right="0.19680555164813995" top="0.77999997138977051" bottom="0.47999998927116394" header="0.5" footer="0.25999999046325684"/>
  <pageSetup paperSize="9" scale="91" orientation="landscape" horizontalDpi="300" verticalDpi="300"/>
  <headerFooter alignWithMargins="0">
    <oddHeader xml:space="preserve">&amp;L&amp;"돋움,Bold"전국극장현황&amp;C&amp;"돋움,Bold"경기도&amp;R&amp;"돋움,Bold"2006. 12. 31 기준&amp;"돋움,Regular"
</oddHeader>
    <oddFooter>&amp;C&amp;"돋움,Regular"&amp;P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3"/>
  <sheetViews>
    <sheetView zoomScaleSheetLayoutView="75" workbookViewId="0">
      <pane xSplit="4" ySplit="1" topLeftCell="E5" activePane="bottomRight" state="frozen"/>
      <selection pane="topRight" activeCell="E1" sqref="E1"/>
      <selection pane="bottomLeft" activeCell="A2" sqref="A2"/>
      <selection pane="bottomRight" activeCell="D5" sqref="D5"/>
    </sheetView>
  </sheetViews>
  <sheetFormatPr defaultRowHeight="25.5" customHeight="1"/>
  <cols>
    <col min="1" max="1" width="5.109375" style="5" customWidth="1"/>
    <col min="2" max="2" width="12.21875" style="2" customWidth="1"/>
    <col min="3" max="3" width="8.77734375" style="2" customWidth="1"/>
    <col min="4" max="4" width="15.77734375" style="5" customWidth="1"/>
    <col min="5" max="5" width="14.5546875" style="5" customWidth="1"/>
    <col min="6" max="6" width="15.77734375" style="5" customWidth="1"/>
    <col min="7" max="7" width="10.77734375" style="5" customWidth="1"/>
    <col min="8" max="8" width="12.21875" style="6" customWidth="1"/>
    <col min="9" max="9" width="12.88671875" style="6" customWidth="1"/>
    <col min="10" max="10" width="10.21875" style="6" customWidth="1"/>
    <col min="11" max="12" width="12" style="6" customWidth="1"/>
    <col min="13" max="13" width="12.44140625" style="6" customWidth="1"/>
    <col min="14" max="14" width="14.6640625" style="2" customWidth="1"/>
    <col min="15" max="15" width="15.3320312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40.5" customHeight="1" thickBot="1">
      <c r="A1" s="45" t="s">
        <v>153</v>
      </c>
      <c r="B1" s="45" t="s">
        <v>206</v>
      </c>
      <c r="C1" s="45" t="s">
        <v>207</v>
      </c>
      <c r="D1" s="45" t="s">
        <v>162</v>
      </c>
      <c r="E1" s="45" t="s">
        <v>115</v>
      </c>
      <c r="F1" s="45" t="s">
        <v>257</v>
      </c>
      <c r="G1" s="46" t="s">
        <v>290</v>
      </c>
      <c r="H1" s="46" t="s">
        <v>291</v>
      </c>
      <c r="I1" s="52" t="s">
        <v>544</v>
      </c>
      <c r="J1" s="52" t="s">
        <v>545</v>
      </c>
      <c r="K1" s="52" t="s">
        <v>409</v>
      </c>
      <c r="L1" s="52" t="s">
        <v>554</v>
      </c>
      <c r="M1" s="52" t="s">
        <v>410</v>
      </c>
      <c r="N1" s="46" t="s">
        <v>392</v>
      </c>
      <c r="O1" s="45" t="s">
        <v>64</v>
      </c>
      <c r="P1" s="45" t="s">
        <v>154</v>
      </c>
      <c r="Q1" s="45" t="s">
        <v>267</v>
      </c>
      <c r="R1" s="45" t="s">
        <v>155</v>
      </c>
    </row>
    <row r="2" spans="1:18" s="16" customFormat="1" ht="25.5" customHeight="1" thickTop="1">
      <c r="A2" s="41">
        <v>1</v>
      </c>
      <c r="B2" s="159" t="s">
        <v>1183</v>
      </c>
      <c r="C2" s="166" t="s">
        <v>1184</v>
      </c>
      <c r="D2" s="143" t="s">
        <v>1185</v>
      </c>
      <c r="E2" s="159" t="s">
        <v>996</v>
      </c>
      <c r="F2" s="143" t="s">
        <v>1186</v>
      </c>
      <c r="G2" s="41">
        <v>8</v>
      </c>
      <c r="H2" s="42">
        <v>1295</v>
      </c>
      <c r="I2" s="42">
        <v>0</v>
      </c>
      <c r="J2" s="42">
        <v>8</v>
      </c>
      <c r="K2" s="42">
        <v>3</v>
      </c>
      <c r="L2" s="42">
        <v>0</v>
      </c>
      <c r="M2" s="42">
        <v>0</v>
      </c>
      <c r="N2" s="243" t="s">
        <v>1187</v>
      </c>
      <c r="O2" s="166" t="s">
        <v>1188</v>
      </c>
      <c r="P2" s="41" t="s">
        <v>127</v>
      </c>
      <c r="Q2" s="44">
        <v>41074</v>
      </c>
      <c r="R2" s="48"/>
    </row>
    <row r="3" spans="1:18" s="16" customFormat="1" ht="25.5" customHeight="1">
      <c r="A3" s="26">
        <v>2</v>
      </c>
      <c r="B3" s="26" t="s">
        <v>481</v>
      </c>
      <c r="C3" s="27" t="s">
        <v>482</v>
      </c>
      <c r="D3" s="38" t="s">
        <v>486</v>
      </c>
      <c r="E3" s="33" t="s">
        <v>432</v>
      </c>
      <c r="F3" s="38" t="s">
        <v>1453</v>
      </c>
      <c r="G3" s="26">
        <v>1</v>
      </c>
      <c r="H3" s="32">
        <v>200</v>
      </c>
      <c r="I3" s="31">
        <v>0</v>
      </c>
      <c r="J3" s="31">
        <v>1</v>
      </c>
      <c r="K3" s="31">
        <v>0</v>
      </c>
      <c r="L3" s="31">
        <v>0</v>
      </c>
      <c r="M3" s="31">
        <v>0</v>
      </c>
      <c r="N3" s="112" t="s">
        <v>432</v>
      </c>
      <c r="O3" s="85" t="s">
        <v>487</v>
      </c>
      <c r="P3" s="33" t="s">
        <v>488</v>
      </c>
      <c r="Q3" s="35" t="s">
        <v>531</v>
      </c>
      <c r="R3" s="37" t="s">
        <v>489</v>
      </c>
    </row>
    <row r="4" spans="1:18" s="16" customFormat="1" ht="25.5" customHeight="1">
      <c r="A4" s="26">
        <v>3</v>
      </c>
      <c r="B4" s="26" t="s">
        <v>231</v>
      </c>
      <c r="C4" s="26" t="s">
        <v>241</v>
      </c>
      <c r="D4" s="30" t="s">
        <v>19</v>
      </c>
      <c r="E4" s="26" t="s">
        <v>146</v>
      </c>
      <c r="F4" s="30" t="s">
        <v>1189</v>
      </c>
      <c r="G4" s="26">
        <v>5</v>
      </c>
      <c r="H4" s="32">
        <v>670</v>
      </c>
      <c r="I4" s="32">
        <f>G4-J4</f>
        <v>0</v>
      </c>
      <c r="J4" s="32">
        <v>5</v>
      </c>
      <c r="K4" s="32">
        <v>2</v>
      </c>
      <c r="L4" s="32">
        <v>0</v>
      </c>
      <c r="M4" s="32">
        <v>0</v>
      </c>
      <c r="N4" s="39" t="s">
        <v>125</v>
      </c>
      <c r="O4" s="67" t="s">
        <v>450</v>
      </c>
      <c r="P4" s="29" t="s">
        <v>27</v>
      </c>
      <c r="Q4" s="35">
        <v>40078</v>
      </c>
      <c r="R4" s="28"/>
    </row>
    <row r="5" spans="1:18" s="16" customFormat="1" ht="25.5" customHeight="1">
      <c r="A5" s="26">
        <v>4</v>
      </c>
      <c r="B5" s="26" t="s">
        <v>231</v>
      </c>
      <c r="C5" s="26" t="s">
        <v>232</v>
      </c>
      <c r="D5" s="65" t="s">
        <v>1190</v>
      </c>
      <c r="E5" s="26" t="s">
        <v>146</v>
      </c>
      <c r="F5" s="29" t="s">
        <v>1191</v>
      </c>
      <c r="G5" s="26">
        <v>5</v>
      </c>
      <c r="H5" s="32">
        <v>714</v>
      </c>
      <c r="I5" s="32">
        <v>0</v>
      </c>
      <c r="J5" s="32">
        <v>5</v>
      </c>
      <c r="K5" s="32">
        <v>2</v>
      </c>
      <c r="L5" s="32">
        <v>0</v>
      </c>
      <c r="M5" s="32">
        <v>0</v>
      </c>
      <c r="N5" s="39" t="s">
        <v>1192</v>
      </c>
      <c r="O5" s="33" t="s">
        <v>451</v>
      </c>
      <c r="P5" s="29" t="s">
        <v>308</v>
      </c>
      <c r="Q5" s="35">
        <v>39874</v>
      </c>
      <c r="R5" s="28"/>
    </row>
    <row r="6" spans="1:18" s="16" customFormat="1" ht="25.5" customHeight="1">
      <c r="A6" s="26">
        <v>5</v>
      </c>
      <c r="B6" s="26" t="s">
        <v>231</v>
      </c>
      <c r="C6" s="26" t="s">
        <v>233</v>
      </c>
      <c r="D6" s="30" t="s">
        <v>104</v>
      </c>
      <c r="E6" s="26" t="s">
        <v>944</v>
      </c>
      <c r="F6" s="30" t="s">
        <v>1195</v>
      </c>
      <c r="G6" s="26">
        <v>7</v>
      </c>
      <c r="H6" s="32">
        <v>1196</v>
      </c>
      <c r="I6" s="32">
        <v>0</v>
      </c>
      <c r="J6" s="32">
        <v>7</v>
      </c>
      <c r="K6" s="32">
        <v>3</v>
      </c>
      <c r="L6" s="173">
        <v>0</v>
      </c>
      <c r="M6" s="32">
        <v>0</v>
      </c>
      <c r="N6" s="39" t="s">
        <v>125</v>
      </c>
      <c r="O6" s="33" t="s">
        <v>450</v>
      </c>
      <c r="P6" s="29" t="s">
        <v>27</v>
      </c>
      <c r="Q6" s="35">
        <v>38653</v>
      </c>
      <c r="R6" s="28"/>
    </row>
    <row r="7" spans="1:18" s="16" customFormat="1" ht="25.5" customHeight="1">
      <c r="A7" s="26">
        <v>6</v>
      </c>
      <c r="B7" s="26" t="s">
        <v>231</v>
      </c>
      <c r="C7" s="26" t="s">
        <v>233</v>
      </c>
      <c r="D7" s="65" t="s">
        <v>1193</v>
      </c>
      <c r="E7" s="26" t="s">
        <v>146</v>
      </c>
      <c r="F7" s="30" t="s">
        <v>1194</v>
      </c>
      <c r="G7" s="26">
        <v>8</v>
      </c>
      <c r="H7" s="32">
        <v>901</v>
      </c>
      <c r="I7" s="32">
        <f>G7-J7</f>
        <v>0</v>
      </c>
      <c r="J7" s="32">
        <v>8</v>
      </c>
      <c r="K7" s="32">
        <v>3</v>
      </c>
      <c r="L7" s="32">
        <v>0</v>
      </c>
      <c r="M7" s="32">
        <v>0</v>
      </c>
      <c r="N7" s="112" t="s">
        <v>897</v>
      </c>
      <c r="O7" s="33" t="s">
        <v>451</v>
      </c>
      <c r="P7" s="29" t="s">
        <v>308</v>
      </c>
      <c r="Q7" s="35">
        <v>39394</v>
      </c>
      <c r="R7" s="29"/>
    </row>
    <row r="8" spans="1:18" s="16" customFormat="1" ht="25.5" customHeight="1">
      <c r="A8" s="26">
        <v>7</v>
      </c>
      <c r="B8" s="33" t="s">
        <v>1196</v>
      </c>
      <c r="C8" s="85" t="s">
        <v>1197</v>
      </c>
      <c r="D8" s="38" t="s">
        <v>1198</v>
      </c>
      <c r="E8" s="33" t="s">
        <v>944</v>
      </c>
      <c r="F8" s="38" t="s">
        <v>1199</v>
      </c>
      <c r="G8" s="26">
        <v>10</v>
      </c>
      <c r="H8" s="31">
        <v>1870</v>
      </c>
      <c r="I8" s="31">
        <v>0</v>
      </c>
      <c r="J8" s="31">
        <v>10</v>
      </c>
      <c r="K8" s="31">
        <v>3</v>
      </c>
      <c r="L8" s="31">
        <v>0</v>
      </c>
      <c r="M8" s="31">
        <v>0</v>
      </c>
      <c r="N8" s="112" t="s">
        <v>897</v>
      </c>
      <c r="O8" s="85" t="s">
        <v>25</v>
      </c>
      <c r="P8" s="26" t="s">
        <v>127</v>
      </c>
      <c r="Q8" s="35">
        <v>41158</v>
      </c>
      <c r="R8" s="28"/>
    </row>
    <row r="9" spans="1:18" s="22" customFormat="1" ht="25.5" customHeight="1">
      <c r="A9" s="26">
        <v>8</v>
      </c>
      <c r="B9" s="26" t="s">
        <v>231</v>
      </c>
      <c r="C9" s="26" t="s">
        <v>242</v>
      </c>
      <c r="D9" s="29" t="s">
        <v>351</v>
      </c>
      <c r="E9" s="26" t="s">
        <v>144</v>
      </c>
      <c r="F9" s="29" t="s">
        <v>1203</v>
      </c>
      <c r="G9" s="26">
        <v>12</v>
      </c>
      <c r="H9" s="31">
        <v>2099</v>
      </c>
      <c r="I9" s="31">
        <f>G9-J9</f>
        <v>0</v>
      </c>
      <c r="J9" s="31">
        <v>12</v>
      </c>
      <c r="K9" s="31">
        <v>5</v>
      </c>
      <c r="L9" s="31">
        <v>1</v>
      </c>
      <c r="M9" s="31">
        <v>0</v>
      </c>
      <c r="N9" s="112" t="s">
        <v>1204</v>
      </c>
      <c r="O9" s="85" t="s">
        <v>25</v>
      </c>
      <c r="P9" s="26" t="s">
        <v>127</v>
      </c>
      <c r="Q9" s="35">
        <v>39506</v>
      </c>
      <c r="R9" s="28"/>
    </row>
    <row r="10" spans="1:18" s="61" customFormat="1" ht="25.5" customHeight="1">
      <c r="A10" s="26">
        <v>9</v>
      </c>
      <c r="B10" s="26" t="s">
        <v>231</v>
      </c>
      <c r="C10" s="26" t="s">
        <v>242</v>
      </c>
      <c r="D10" s="30" t="s">
        <v>1200</v>
      </c>
      <c r="E10" s="26" t="s">
        <v>146</v>
      </c>
      <c r="F10" s="30" t="s">
        <v>1201</v>
      </c>
      <c r="G10" s="26">
        <v>6</v>
      </c>
      <c r="H10" s="32">
        <v>698</v>
      </c>
      <c r="I10" s="32">
        <v>0</v>
      </c>
      <c r="J10" s="32">
        <v>6</v>
      </c>
      <c r="K10" s="32">
        <v>1</v>
      </c>
      <c r="L10" s="32">
        <v>0</v>
      </c>
      <c r="M10" s="32">
        <v>0</v>
      </c>
      <c r="N10" s="39" t="s">
        <v>125</v>
      </c>
      <c r="O10" s="85" t="s">
        <v>25</v>
      </c>
      <c r="P10" s="26" t="s">
        <v>127</v>
      </c>
      <c r="Q10" s="35">
        <v>41760</v>
      </c>
      <c r="R10" s="29" t="s">
        <v>1202</v>
      </c>
    </row>
    <row r="11" spans="1:18" s="61" customFormat="1" ht="25.5" customHeight="1">
      <c r="A11" s="26">
        <v>10</v>
      </c>
      <c r="B11" s="26" t="s">
        <v>481</v>
      </c>
      <c r="C11" s="26" t="s">
        <v>558</v>
      </c>
      <c r="D11" s="30" t="s">
        <v>559</v>
      </c>
      <c r="E11" s="26" t="s">
        <v>432</v>
      </c>
      <c r="F11" s="30" t="s">
        <v>1454</v>
      </c>
      <c r="G11" s="26">
        <v>2</v>
      </c>
      <c r="H11" s="32">
        <v>98</v>
      </c>
      <c r="I11" s="32">
        <v>0</v>
      </c>
      <c r="J11" s="32">
        <v>2</v>
      </c>
      <c r="K11" s="32">
        <v>1</v>
      </c>
      <c r="L11" s="32">
        <v>0</v>
      </c>
      <c r="M11" s="32">
        <v>0</v>
      </c>
      <c r="N11" s="39" t="s">
        <v>432</v>
      </c>
      <c r="O11" s="33" t="s">
        <v>561</v>
      </c>
      <c r="P11" s="29" t="s">
        <v>1414</v>
      </c>
      <c r="Q11" s="35">
        <v>41737</v>
      </c>
      <c r="R11" s="29"/>
    </row>
    <row r="12" spans="1:18" s="261" customFormat="1" ht="25.5" customHeight="1">
      <c r="A12" s="26">
        <v>11</v>
      </c>
      <c r="B12" s="26" t="s">
        <v>557</v>
      </c>
      <c r="C12" s="26" t="s">
        <v>1475</v>
      </c>
      <c r="D12" s="30" t="s">
        <v>1476</v>
      </c>
      <c r="E12" s="26" t="s">
        <v>560</v>
      </c>
      <c r="F12" s="30" t="s">
        <v>1477</v>
      </c>
      <c r="G12" s="26">
        <v>1</v>
      </c>
      <c r="H12" s="32">
        <v>125</v>
      </c>
      <c r="I12" s="32">
        <v>0</v>
      </c>
      <c r="J12" s="32">
        <v>1</v>
      </c>
      <c r="K12" s="32">
        <v>1</v>
      </c>
      <c r="L12" s="32">
        <v>0</v>
      </c>
      <c r="M12" s="32">
        <v>0</v>
      </c>
      <c r="N12" s="39" t="s">
        <v>560</v>
      </c>
      <c r="O12" s="33" t="s">
        <v>1478</v>
      </c>
      <c r="P12" s="29" t="s">
        <v>1479</v>
      </c>
      <c r="Q12" s="35">
        <v>41993</v>
      </c>
      <c r="R12" s="29"/>
    </row>
    <row r="13" spans="1:18" ht="25.5" customHeight="1">
      <c r="G13" s="83"/>
      <c r="H13" s="97"/>
      <c r="I13" s="97"/>
      <c r="J13" s="97"/>
      <c r="K13" s="97"/>
      <c r="L13" s="97"/>
      <c r="M13" s="97"/>
    </row>
  </sheetData>
  <autoFilter ref="A1:S14"/>
  <sortState ref="A2:R20">
    <sortCondition ref="C2:C20"/>
    <sortCondition ref="D2:D20"/>
  </sortState>
  <phoneticPr fontId="28" type="noConversion"/>
  <pageMargins left="0.33000001311302185" right="0.19680555164813995" top="0.92000001668930054" bottom="0.98430556058883667" header="0.5" footer="0.5"/>
  <pageSetup paperSize="9" orientation="landscape" horizontalDpi="300" verticalDpi="300"/>
  <headerFooter alignWithMargins="0">
    <oddHeader>&amp;L&amp;"돋움,Bold"전국극장현황&amp;C&amp;"돋움,Bold"강원도&amp;R&amp;"돋움,Bold"2006. 12. 31 기준</oddHeader>
    <oddFooter>&amp;C&amp;"돋움,Regular"&amp;P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R12"/>
  <sheetViews>
    <sheetView zoomScale="85" zoomScaleNormal="85"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17" sqref="C17"/>
    </sheetView>
  </sheetViews>
  <sheetFormatPr defaultRowHeight="27" customHeight="1"/>
  <cols>
    <col min="1" max="1" width="7.33203125" style="5" customWidth="1"/>
    <col min="2" max="2" width="12.21875" style="2" customWidth="1"/>
    <col min="3" max="3" width="8.77734375" style="2" customWidth="1"/>
    <col min="4" max="4" width="15.77734375" style="5" customWidth="1"/>
    <col min="5" max="5" width="15" style="5" customWidth="1"/>
    <col min="6" max="6" width="23.5546875" style="5" customWidth="1"/>
    <col min="7" max="7" width="10.88671875" style="5" customWidth="1"/>
    <col min="8" max="8" width="12.21875" style="25" customWidth="1"/>
    <col min="9" max="9" width="13" style="25" customWidth="1"/>
    <col min="10" max="10" width="11" style="25" customWidth="1"/>
    <col min="11" max="12" width="12.77734375" style="25" customWidth="1"/>
    <col min="13" max="13" width="12.6640625" style="25" customWidth="1"/>
    <col min="14" max="14" width="14.21875" style="2" customWidth="1"/>
    <col min="15" max="15" width="12.7773437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45" customHeight="1" thickBot="1">
      <c r="A1" s="45" t="s">
        <v>153</v>
      </c>
      <c r="B1" s="45" t="s">
        <v>206</v>
      </c>
      <c r="C1" s="45" t="s">
        <v>207</v>
      </c>
      <c r="D1" s="45" t="s">
        <v>162</v>
      </c>
      <c r="E1" s="45" t="s">
        <v>115</v>
      </c>
      <c r="F1" s="45" t="s">
        <v>257</v>
      </c>
      <c r="G1" s="46" t="s">
        <v>290</v>
      </c>
      <c r="H1" s="46" t="s">
        <v>291</v>
      </c>
      <c r="I1" s="52" t="s">
        <v>541</v>
      </c>
      <c r="J1" s="52" t="s">
        <v>542</v>
      </c>
      <c r="K1" s="52" t="s">
        <v>409</v>
      </c>
      <c r="L1" s="52" t="s">
        <v>606</v>
      </c>
      <c r="M1" s="52" t="s">
        <v>410</v>
      </c>
      <c r="N1" s="46" t="s">
        <v>392</v>
      </c>
      <c r="O1" s="45" t="s">
        <v>65</v>
      </c>
      <c r="P1" s="45" t="s">
        <v>154</v>
      </c>
      <c r="Q1" s="45" t="s">
        <v>267</v>
      </c>
      <c r="R1" s="45" t="s">
        <v>155</v>
      </c>
    </row>
    <row r="2" spans="1:18" s="16" customFormat="1" ht="27" customHeight="1" thickTop="1">
      <c r="A2" s="41">
        <v>1</v>
      </c>
      <c r="B2" s="159" t="s">
        <v>1205</v>
      </c>
      <c r="C2" s="159" t="s">
        <v>1206</v>
      </c>
      <c r="D2" s="254" t="s">
        <v>1207</v>
      </c>
      <c r="E2" s="159" t="s">
        <v>652</v>
      </c>
      <c r="F2" s="254" t="s">
        <v>1208</v>
      </c>
      <c r="G2" s="41">
        <v>7</v>
      </c>
      <c r="H2" s="49">
        <v>1200</v>
      </c>
      <c r="I2" s="49">
        <f>G2-J2</f>
        <v>0</v>
      </c>
      <c r="J2" s="49">
        <v>7</v>
      </c>
      <c r="K2" s="49">
        <v>3</v>
      </c>
      <c r="L2" s="49">
        <v>0</v>
      </c>
      <c r="M2" s="49">
        <v>0</v>
      </c>
      <c r="N2" s="251" t="s">
        <v>654</v>
      </c>
      <c r="O2" s="159" t="s">
        <v>451</v>
      </c>
      <c r="P2" s="43" t="s">
        <v>308</v>
      </c>
      <c r="Q2" s="44">
        <v>40848</v>
      </c>
      <c r="R2" s="143" t="s">
        <v>1209</v>
      </c>
    </row>
    <row r="3" spans="1:18" s="22" customFormat="1" ht="27" customHeight="1">
      <c r="A3" s="26">
        <v>2</v>
      </c>
      <c r="B3" s="26" t="s">
        <v>234</v>
      </c>
      <c r="C3" s="26" t="s">
        <v>235</v>
      </c>
      <c r="D3" s="29" t="s">
        <v>111</v>
      </c>
      <c r="E3" s="26" t="s">
        <v>146</v>
      </c>
      <c r="F3" s="29" t="s">
        <v>1210</v>
      </c>
      <c r="G3" s="26">
        <v>8</v>
      </c>
      <c r="H3" s="31">
        <v>1239</v>
      </c>
      <c r="I3" s="31">
        <v>0</v>
      </c>
      <c r="J3" s="31">
        <v>8</v>
      </c>
      <c r="K3" s="31">
        <v>1</v>
      </c>
      <c r="L3" s="31">
        <v>0</v>
      </c>
      <c r="M3" s="31">
        <v>0</v>
      </c>
      <c r="N3" s="39" t="s">
        <v>125</v>
      </c>
      <c r="O3" s="85" t="s">
        <v>25</v>
      </c>
      <c r="P3" s="26" t="s">
        <v>127</v>
      </c>
      <c r="Q3" s="35">
        <v>39653</v>
      </c>
      <c r="R3" s="34"/>
    </row>
    <row r="4" spans="1:18" s="22" customFormat="1" ht="27" customHeight="1">
      <c r="A4" s="26">
        <v>3</v>
      </c>
      <c r="B4" s="26" t="s">
        <v>234</v>
      </c>
      <c r="C4" s="26" t="s">
        <v>235</v>
      </c>
      <c r="D4" s="38" t="s">
        <v>1211</v>
      </c>
      <c r="E4" s="26" t="s">
        <v>146</v>
      </c>
      <c r="F4" s="29" t="s">
        <v>1212</v>
      </c>
      <c r="G4" s="26">
        <v>10</v>
      </c>
      <c r="H4" s="31">
        <v>1996</v>
      </c>
      <c r="I4" s="31">
        <v>0</v>
      </c>
      <c r="J4" s="31">
        <v>10</v>
      </c>
      <c r="K4" s="31">
        <v>4</v>
      </c>
      <c r="L4" s="31">
        <v>0</v>
      </c>
      <c r="M4" s="31">
        <v>0</v>
      </c>
      <c r="N4" s="39" t="s">
        <v>125</v>
      </c>
      <c r="O4" s="85" t="s">
        <v>25</v>
      </c>
      <c r="P4" s="26" t="s">
        <v>127</v>
      </c>
      <c r="Q4" s="35">
        <v>39364</v>
      </c>
      <c r="R4" s="29"/>
    </row>
    <row r="5" spans="1:18" s="22" customFormat="1" ht="27" customHeight="1">
      <c r="A5" s="26">
        <v>4</v>
      </c>
      <c r="B5" s="26" t="s">
        <v>1227</v>
      </c>
      <c r="C5" s="26" t="s">
        <v>1217</v>
      </c>
      <c r="D5" s="29" t="s">
        <v>1228</v>
      </c>
      <c r="E5" s="26" t="s">
        <v>635</v>
      </c>
      <c r="F5" s="29" t="s">
        <v>1229</v>
      </c>
      <c r="G5" s="26">
        <v>8</v>
      </c>
      <c r="H5" s="31">
        <v>1707</v>
      </c>
      <c r="I5" s="31">
        <v>0</v>
      </c>
      <c r="J5" s="31">
        <v>8</v>
      </c>
      <c r="K5" s="31">
        <v>3</v>
      </c>
      <c r="L5" s="31">
        <v>0</v>
      </c>
      <c r="M5" s="31">
        <v>0</v>
      </c>
      <c r="N5" s="39" t="s">
        <v>892</v>
      </c>
      <c r="O5" s="85" t="s">
        <v>25</v>
      </c>
      <c r="P5" s="26" t="s">
        <v>127</v>
      </c>
      <c r="Q5" s="35">
        <v>41753</v>
      </c>
      <c r="R5" s="34"/>
    </row>
    <row r="6" spans="1:18" s="22" customFormat="1" ht="27" customHeight="1">
      <c r="A6" s="26">
        <v>5</v>
      </c>
      <c r="B6" s="26" t="s">
        <v>1216</v>
      </c>
      <c r="C6" s="26" t="s">
        <v>1217</v>
      </c>
      <c r="D6" s="29" t="s">
        <v>1224</v>
      </c>
      <c r="E6" s="26" t="s">
        <v>868</v>
      </c>
      <c r="F6" s="29" t="s">
        <v>1225</v>
      </c>
      <c r="G6" s="26">
        <v>8</v>
      </c>
      <c r="H6" s="31">
        <v>1292</v>
      </c>
      <c r="I6" s="31">
        <v>0</v>
      </c>
      <c r="J6" s="31">
        <v>8</v>
      </c>
      <c r="K6" s="31">
        <v>0</v>
      </c>
      <c r="L6" s="31">
        <v>0</v>
      </c>
      <c r="M6" s="31">
        <v>0</v>
      </c>
      <c r="N6" s="39" t="s">
        <v>633</v>
      </c>
      <c r="O6" s="85" t="s">
        <v>25</v>
      </c>
      <c r="P6" s="26" t="s">
        <v>127</v>
      </c>
      <c r="Q6" s="35">
        <v>41628</v>
      </c>
      <c r="R6" s="34" t="s">
        <v>1226</v>
      </c>
    </row>
    <row r="7" spans="1:18" s="171" customFormat="1" ht="27" customHeight="1">
      <c r="A7" s="26">
        <v>6</v>
      </c>
      <c r="B7" s="26" t="s">
        <v>234</v>
      </c>
      <c r="C7" s="26" t="s">
        <v>235</v>
      </c>
      <c r="D7" s="30" t="s">
        <v>379</v>
      </c>
      <c r="E7" s="26" t="s">
        <v>125</v>
      </c>
      <c r="F7" s="29" t="s">
        <v>1215</v>
      </c>
      <c r="G7" s="26">
        <v>11</v>
      </c>
      <c r="H7" s="32">
        <v>1672</v>
      </c>
      <c r="I7" s="32">
        <v>0</v>
      </c>
      <c r="J7" s="32">
        <v>11</v>
      </c>
      <c r="K7" s="32">
        <v>1</v>
      </c>
      <c r="L7" s="32">
        <v>0</v>
      </c>
      <c r="M7" s="32">
        <v>0</v>
      </c>
      <c r="N7" s="39" t="s">
        <v>125</v>
      </c>
      <c r="O7" s="26" t="s">
        <v>422</v>
      </c>
      <c r="P7" s="217" t="s">
        <v>322</v>
      </c>
      <c r="Q7" s="36">
        <v>38862</v>
      </c>
      <c r="R7" s="29"/>
    </row>
    <row r="8" spans="1:18" s="184" customFormat="1" ht="27" customHeight="1">
      <c r="A8" s="26">
        <v>7</v>
      </c>
      <c r="B8" s="26" t="s">
        <v>234</v>
      </c>
      <c r="C8" s="26" t="s">
        <v>235</v>
      </c>
      <c r="D8" s="65" t="s">
        <v>1221</v>
      </c>
      <c r="E8" s="33" t="s">
        <v>632</v>
      </c>
      <c r="F8" s="65" t="s">
        <v>1222</v>
      </c>
      <c r="G8" s="26">
        <v>6</v>
      </c>
      <c r="H8" s="32">
        <v>1286</v>
      </c>
      <c r="I8" s="32">
        <v>0</v>
      </c>
      <c r="J8" s="32">
        <v>6</v>
      </c>
      <c r="K8" s="32">
        <v>3</v>
      </c>
      <c r="L8" s="32">
        <v>0</v>
      </c>
      <c r="M8" s="32">
        <v>1</v>
      </c>
      <c r="N8" s="112" t="s">
        <v>1223</v>
      </c>
      <c r="O8" s="33" t="s">
        <v>450</v>
      </c>
      <c r="P8" s="29" t="s">
        <v>27</v>
      </c>
      <c r="Q8" s="36">
        <v>41207</v>
      </c>
      <c r="R8" s="29"/>
    </row>
    <row r="9" spans="1:18" s="184" customFormat="1" ht="27" customHeight="1">
      <c r="A9" s="26">
        <v>8</v>
      </c>
      <c r="B9" s="26" t="s">
        <v>234</v>
      </c>
      <c r="C9" s="26" t="s">
        <v>235</v>
      </c>
      <c r="D9" s="30" t="s">
        <v>371</v>
      </c>
      <c r="E9" s="26" t="s">
        <v>144</v>
      </c>
      <c r="F9" s="30" t="s">
        <v>1213</v>
      </c>
      <c r="G9" s="26">
        <v>8</v>
      </c>
      <c r="H9" s="32">
        <v>1402</v>
      </c>
      <c r="I9" s="32">
        <f>G9-J9</f>
        <v>0</v>
      </c>
      <c r="J9" s="32">
        <v>8</v>
      </c>
      <c r="K9" s="32">
        <v>4</v>
      </c>
      <c r="L9" s="32">
        <v>0</v>
      </c>
      <c r="M9" s="32">
        <v>0</v>
      </c>
      <c r="N9" s="112" t="s">
        <v>1214</v>
      </c>
      <c r="O9" s="67" t="s">
        <v>450</v>
      </c>
      <c r="P9" s="29" t="s">
        <v>27</v>
      </c>
      <c r="Q9" s="36">
        <v>39784</v>
      </c>
      <c r="R9" s="29"/>
    </row>
    <row r="10" spans="1:18" s="160" customFormat="1" ht="27" customHeight="1">
      <c r="A10" s="26">
        <v>9</v>
      </c>
      <c r="B10" s="26" t="s">
        <v>1216</v>
      </c>
      <c r="C10" s="26" t="s">
        <v>1217</v>
      </c>
      <c r="D10" s="65" t="s">
        <v>1218</v>
      </c>
      <c r="E10" s="33" t="s">
        <v>868</v>
      </c>
      <c r="F10" s="65" t="s">
        <v>1219</v>
      </c>
      <c r="G10" s="26">
        <v>4</v>
      </c>
      <c r="H10" s="32">
        <v>497</v>
      </c>
      <c r="I10" s="32">
        <v>0</v>
      </c>
      <c r="J10" s="32">
        <v>4</v>
      </c>
      <c r="K10" s="32">
        <v>1</v>
      </c>
      <c r="L10" s="32">
        <v>0</v>
      </c>
      <c r="M10" s="32">
        <v>0</v>
      </c>
      <c r="N10" s="112" t="s">
        <v>633</v>
      </c>
      <c r="O10" s="67" t="s">
        <v>450</v>
      </c>
      <c r="P10" s="29" t="s">
        <v>27</v>
      </c>
      <c r="Q10" s="36">
        <v>41598</v>
      </c>
      <c r="R10" s="29" t="s">
        <v>1220</v>
      </c>
    </row>
    <row r="11" spans="1:18" s="63" customFormat="1" ht="27" customHeight="1">
      <c r="A11" s="26">
        <v>10</v>
      </c>
      <c r="B11" s="33" t="s">
        <v>1216</v>
      </c>
      <c r="C11" s="33" t="s">
        <v>1230</v>
      </c>
      <c r="D11" s="65" t="s">
        <v>1231</v>
      </c>
      <c r="E11" s="33" t="s">
        <v>634</v>
      </c>
      <c r="F11" s="65" t="s">
        <v>1232</v>
      </c>
      <c r="G11" s="26">
        <v>10</v>
      </c>
      <c r="H11" s="32">
        <v>1757</v>
      </c>
      <c r="I11" s="32">
        <v>0</v>
      </c>
      <c r="J11" s="32">
        <v>10</v>
      </c>
      <c r="K11" s="32">
        <v>3</v>
      </c>
      <c r="L11" s="32">
        <v>0</v>
      </c>
      <c r="M11" s="32">
        <v>0</v>
      </c>
      <c r="N11" s="112" t="s">
        <v>633</v>
      </c>
      <c r="O11" s="33" t="s">
        <v>451</v>
      </c>
      <c r="P11" s="29" t="s">
        <v>308</v>
      </c>
      <c r="Q11" s="35">
        <v>41262</v>
      </c>
      <c r="R11" s="38" t="s">
        <v>1233</v>
      </c>
    </row>
    <row r="12" spans="1:18" ht="27" customHeight="1">
      <c r="G12" s="83"/>
      <c r="H12" s="96"/>
      <c r="I12" s="96"/>
      <c r="J12" s="96"/>
      <c r="K12" s="96"/>
      <c r="L12" s="96"/>
      <c r="M12" s="96"/>
    </row>
  </sheetData>
  <autoFilter ref="A1:V14"/>
  <sortState ref="A2:R21">
    <sortCondition ref="C2:C21"/>
    <sortCondition ref="D2:D21"/>
  </sortState>
  <phoneticPr fontId="28" type="noConversion"/>
  <hyperlinks>
    <hyperlink ref="P7" r:id="rId1"/>
  </hyperlinks>
  <pageMargins left="0.31000000238418579" right="0.25999999046325684" top="0.98430556058883667" bottom="0.98430556058883667" header="0.5" footer="0.5"/>
  <pageSetup paperSize="9" scale="97" orientation="landscape" horizontalDpi="300" verticalDpi="300"/>
  <headerFooter alignWithMargins="0">
    <oddHeader>&amp;L&amp;"돋움,Bold"전국극장현황&amp;C&amp;"돋움,Bold"충청북도&amp;R&amp;"돋움,Bold"2006. 12. 31 기준</oddHeader>
    <oddFooter>&amp;C&amp;"돋움,Regular"&amp;P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R19"/>
  <sheetViews>
    <sheetView zoomScale="85" zoomScaleNormal="85" zoomScaleSheetLayoutView="75" workbookViewId="0">
      <pane xSplit="4" ySplit="1" topLeftCell="E5" activePane="bottomRight" state="frozen"/>
      <selection pane="topRight" activeCell="E1" sqref="E1"/>
      <selection pane="bottomLeft" activeCell="A2" sqref="A2"/>
      <selection pane="bottomRight" activeCell="D10" sqref="D10:D13"/>
    </sheetView>
  </sheetViews>
  <sheetFormatPr defaultRowHeight="24" customHeight="1"/>
  <cols>
    <col min="1" max="1" width="6.6640625" style="5" customWidth="1"/>
    <col min="2" max="2" width="8.33203125" style="2" customWidth="1"/>
    <col min="3" max="3" width="8.77734375" style="2" customWidth="1"/>
    <col min="4" max="4" width="15.77734375" style="5" customWidth="1"/>
    <col min="5" max="5" width="15.109375" style="5" customWidth="1"/>
    <col min="6" max="6" width="21.77734375" style="5" customWidth="1"/>
    <col min="7" max="7" width="10.6640625" style="16" customWidth="1"/>
    <col min="8" max="8" width="10.44140625" style="25" customWidth="1"/>
    <col min="9" max="9" width="13.33203125" style="25" customWidth="1"/>
    <col min="10" max="10" width="11" style="25" customWidth="1"/>
    <col min="11" max="13" width="11.6640625" style="25" customWidth="1"/>
    <col min="14" max="14" width="14.88671875" style="2" customWidth="1"/>
    <col min="15" max="15" width="12.77734375" style="5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40.5" customHeight="1" thickBot="1">
      <c r="A1" s="45" t="s">
        <v>153</v>
      </c>
      <c r="B1" s="45" t="s">
        <v>206</v>
      </c>
      <c r="C1" s="45" t="s">
        <v>207</v>
      </c>
      <c r="D1" s="45" t="s">
        <v>162</v>
      </c>
      <c r="E1" s="45" t="s">
        <v>115</v>
      </c>
      <c r="F1" s="45" t="s">
        <v>257</v>
      </c>
      <c r="G1" s="46" t="s">
        <v>290</v>
      </c>
      <c r="H1" s="46" t="s">
        <v>291</v>
      </c>
      <c r="I1" s="52" t="s">
        <v>544</v>
      </c>
      <c r="J1" s="52" t="s">
        <v>545</v>
      </c>
      <c r="K1" s="52" t="s">
        <v>409</v>
      </c>
      <c r="L1" s="52" t="s">
        <v>606</v>
      </c>
      <c r="M1" s="52" t="s">
        <v>410</v>
      </c>
      <c r="N1" s="46" t="s">
        <v>392</v>
      </c>
      <c r="O1" s="45" t="s">
        <v>66</v>
      </c>
      <c r="P1" s="45" t="s">
        <v>154</v>
      </c>
      <c r="Q1" s="45" t="s">
        <v>267</v>
      </c>
      <c r="R1" s="45" t="s">
        <v>155</v>
      </c>
    </row>
    <row r="2" spans="1:18" s="171" customFormat="1" ht="24" customHeight="1" thickTop="1">
      <c r="A2" s="41">
        <v>1</v>
      </c>
      <c r="B2" s="41" t="s">
        <v>170</v>
      </c>
      <c r="C2" s="41" t="s">
        <v>243</v>
      </c>
      <c r="D2" s="254" t="s">
        <v>1235</v>
      </c>
      <c r="E2" s="41" t="s">
        <v>146</v>
      </c>
      <c r="F2" s="170" t="s">
        <v>1236</v>
      </c>
      <c r="G2" s="41">
        <v>7</v>
      </c>
      <c r="H2" s="42">
        <v>802</v>
      </c>
      <c r="I2" s="49">
        <f>G2-J2</f>
        <v>0</v>
      </c>
      <c r="J2" s="42">
        <v>7</v>
      </c>
      <c r="K2" s="42">
        <v>3</v>
      </c>
      <c r="L2" s="42">
        <v>0</v>
      </c>
      <c r="M2" s="42">
        <v>0</v>
      </c>
      <c r="N2" s="243" t="s">
        <v>125</v>
      </c>
      <c r="O2" s="159" t="s">
        <v>451</v>
      </c>
      <c r="P2" s="43" t="s">
        <v>308</v>
      </c>
      <c r="Q2" s="44">
        <v>38380</v>
      </c>
      <c r="R2" s="170"/>
    </row>
    <row r="3" spans="1:18" s="171" customFormat="1" ht="24" customHeight="1">
      <c r="A3" s="54">
        <v>2</v>
      </c>
      <c r="B3" s="54" t="s">
        <v>170</v>
      </c>
      <c r="C3" s="54" t="s">
        <v>245</v>
      </c>
      <c r="D3" s="30" t="s">
        <v>261</v>
      </c>
      <c r="E3" s="26" t="s">
        <v>125</v>
      </c>
      <c r="F3" s="29" t="s">
        <v>1455</v>
      </c>
      <c r="G3" s="26">
        <v>5</v>
      </c>
      <c r="H3" s="31">
        <v>616</v>
      </c>
      <c r="I3" s="31">
        <v>0</v>
      </c>
      <c r="J3" s="31">
        <v>5</v>
      </c>
      <c r="K3" s="31">
        <v>0</v>
      </c>
      <c r="L3" s="31"/>
      <c r="M3" s="31">
        <v>0</v>
      </c>
      <c r="N3" s="39" t="s">
        <v>125</v>
      </c>
      <c r="O3" s="54" t="s">
        <v>18</v>
      </c>
      <c r="P3" s="60"/>
      <c r="Q3" s="139" t="s">
        <v>447</v>
      </c>
      <c r="R3" s="55"/>
    </row>
    <row r="4" spans="1:18" s="16" customFormat="1" ht="24" customHeight="1">
      <c r="A4" s="26">
        <v>3</v>
      </c>
      <c r="B4" s="54" t="s">
        <v>170</v>
      </c>
      <c r="C4" s="54" t="s">
        <v>1457</v>
      </c>
      <c r="D4" s="30" t="s">
        <v>307</v>
      </c>
      <c r="E4" s="26" t="s">
        <v>125</v>
      </c>
      <c r="F4" s="29" t="s">
        <v>1456</v>
      </c>
      <c r="G4" s="26">
        <v>3</v>
      </c>
      <c r="H4" s="31">
        <v>313</v>
      </c>
      <c r="I4" s="31">
        <v>0</v>
      </c>
      <c r="J4" s="31">
        <v>3</v>
      </c>
      <c r="K4" s="31">
        <v>0</v>
      </c>
      <c r="L4" s="31">
        <v>0</v>
      </c>
      <c r="M4" s="31">
        <v>0</v>
      </c>
      <c r="N4" s="39" t="s">
        <v>125</v>
      </c>
      <c r="O4" s="54" t="s">
        <v>92</v>
      </c>
      <c r="P4" s="60" t="s">
        <v>39</v>
      </c>
      <c r="Q4" s="139" t="s">
        <v>448</v>
      </c>
      <c r="R4" s="29"/>
    </row>
    <row r="5" spans="1:18" s="16" customFormat="1" ht="24" customHeight="1">
      <c r="A5" s="26">
        <v>4</v>
      </c>
      <c r="B5" s="30" t="s">
        <v>1487</v>
      </c>
      <c r="C5" s="26" t="s">
        <v>1488</v>
      </c>
      <c r="D5" s="29" t="s">
        <v>1489</v>
      </c>
      <c r="E5" s="26" t="s">
        <v>1490</v>
      </c>
      <c r="F5" s="29" t="s">
        <v>1491</v>
      </c>
      <c r="G5" s="26">
        <v>7</v>
      </c>
      <c r="H5" s="31">
        <v>1076</v>
      </c>
      <c r="I5" s="31">
        <v>0</v>
      </c>
      <c r="J5" s="31">
        <v>7</v>
      </c>
      <c r="K5" s="31">
        <v>7</v>
      </c>
      <c r="L5" s="42">
        <v>0</v>
      </c>
      <c r="M5" s="42">
        <v>0</v>
      </c>
      <c r="N5" s="39" t="s">
        <v>1492</v>
      </c>
      <c r="O5" s="85" t="s">
        <v>25</v>
      </c>
      <c r="P5" s="26" t="s">
        <v>127</v>
      </c>
      <c r="Q5" s="35">
        <v>41979</v>
      </c>
      <c r="R5" s="34"/>
    </row>
    <row r="6" spans="1:18" s="16" customFormat="1" ht="24" customHeight="1">
      <c r="A6" s="26">
        <v>5</v>
      </c>
      <c r="B6" s="54" t="s">
        <v>170</v>
      </c>
      <c r="C6" s="54" t="s">
        <v>260</v>
      </c>
      <c r="D6" s="30" t="s">
        <v>286</v>
      </c>
      <c r="E6" s="26" t="s">
        <v>125</v>
      </c>
      <c r="F6" s="30" t="s">
        <v>1458</v>
      </c>
      <c r="G6" s="26">
        <v>2</v>
      </c>
      <c r="H6" s="32">
        <v>175</v>
      </c>
      <c r="I6" s="31">
        <v>0</v>
      </c>
      <c r="J6" s="32">
        <v>2</v>
      </c>
      <c r="K6" s="32">
        <v>1</v>
      </c>
      <c r="L6" s="32">
        <v>0</v>
      </c>
      <c r="M6" s="31">
        <v>0</v>
      </c>
      <c r="N6" s="39" t="s">
        <v>125</v>
      </c>
      <c r="O6" s="54" t="s">
        <v>94</v>
      </c>
      <c r="P6" s="55"/>
      <c r="Q6" s="57">
        <v>39854</v>
      </c>
      <c r="R6" s="55"/>
    </row>
    <row r="7" spans="1:18" s="16" customFormat="1" ht="24" customHeight="1">
      <c r="A7" s="54">
        <v>6</v>
      </c>
      <c r="B7" s="33" t="s">
        <v>1237</v>
      </c>
      <c r="C7" s="33" t="s">
        <v>1238</v>
      </c>
      <c r="D7" s="65" t="s">
        <v>1239</v>
      </c>
      <c r="E7" s="33" t="s">
        <v>1240</v>
      </c>
      <c r="F7" s="65" t="s">
        <v>1241</v>
      </c>
      <c r="G7" s="26">
        <v>6</v>
      </c>
      <c r="H7" s="32">
        <v>1076</v>
      </c>
      <c r="I7" s="32">
        <f>G7-J7</f>
        <v>0</v>
      </c>
      <c r="J7" s="32">
        <v>6</v>
      </c>
      <c r="K7" s="32">
        <v>6</v>
      </c>
      <c r="L7" s="173">
        <v>0</v>
      </c>
      <c r="M7" s="32">
        <v>0</v>
      </c>
      <c r="N7" s="112" t="s">
        <v>897</v>
      </c>
      <c r="O7" s="67" t="s">
        <v>450</v>
      </c>
      <c r="P7" s="29" t="s">
        <v>27</v>
      </c>
      <c r="Q7" s="35">
        <v>40658</v>
      </c>
      <c r="R7" s="28"/>
    </row>
    <row r="8" spans="1:18" s="16" customFormat="1" ht="24" customHeight="1">
      <c r="A8" s="26">
        <v>7</v>
      </c>
      <c r="B8" s="26" t="s">
        <v>170</v>
      </c>
      <c r="C8" s="33" t="s">
        <v>1242</v>
      </c>
      <c r="D8" s="65" t="s">
        <v>1243</v>
      </c>
      <c r="E8" s="33" t="s">
        <v>634</v>
      </c>
      <c r="F8" s="65" t="s">
        <v>1244</v>
      </c>
      <c r="G8" s="26">
        <v>5</v>
      </c>
      <c r="H8" s="31">
        <v>738</v>
      </c>
      <c r="I8" s="32">
        <f>G8-J8</f>
        <v>0</v>
      </c>
      <c r="J8" s="31">
        <v>5</v>
      </c>
      <c r="K8" s="31">
        <v>2</v>
      </c>
      <c r="L8" s="31">
        <v>0</v>
      </c>
      <c r="M8" s="31">
        <v>0</v>
      </c>
      <c r="N8" s="112" t="s">
        <v>633</v>
      </c>
      <c r="O8" s="33" t="s">
        <v>451</v>
      </c>
      <c r="P8" s="29" t="s">
        <v>308</v>
      </c>
      <c r="Q8" s="35">
        <v>40611</v>
      </c>
      <c r="R8" s="65" t="s">
        <v>1245</v>
      </c>
    </row>
    <row r="9" spans="1:18" s="171" customFormat="1" ht="24" customHeight="1">
      <c r="A9" s="54">
        <v>8</v>
      </c>
      <c r="B9" s="33" t="s">
        <v>1246</v>
      </c>
      <c r="C9" s="33" t="s">
        <v>1247</v>
      </c>
      <c r="D9" s="65" t="s">
        <v>1248</v>
      </c>
      <c r="E9" s="33" t="s">
        <v>632</v>
      </c>
      <c r="F9" s="65" t="s">
        <v>1249</v>
      </c>
      <c r="G9" s="26">
        <v>6</v>
      </c>
      <c r="H9" s="32">
        <v>964</v>
      </c>
      <c r="I9" s="32">
        <v>0</v>
      </c>
      <c r="J9" s="32">
        <v>6</v>
      </c>
      <c r="K9" s="32">
        <v>2</v>
      </c>
      <c r="L9" s="173">
        <v>0</v>
      </c>
      <c r="M9" s="32">
        <v>0</v>
      </c>
      <c r="N9" s="112" t="s">
        <v>633</v>
      </c>
      <c r="O9" s="67" t="s">
        <v>450</v>
      </c>
      <c r="P9" s="29" t="s">
        <v>27</v>
      </c>
      <c r="Q9" s="35">
        <v>41663</v>
      </c>
      <c r="R9" s="28"/>
    </row>
    <row r="10" spans="1:18" s="171" customFormat="1" ht="24" customHeight="1">
      <c r="A10" s="26">
        <v>9</v>
      </c>
      <c r="B10" s="26" t="s">
        <v>170</v>
      </c>
      <c r="C10" s="26" t="s">
        <v>236</v>
      </c>
      <c r="D10" s="29" t="s">
        <v>352</v>
      </c>
      <c r="E10" s="26" t="s">
        <v>144</v>
      </c>
      <c r="F10" s="29" t="s">
        <v>1250</v>
      </c>
      <c r="G10" s="26">
        <v>8</v>
      </c>
      <c r="H10" s="31">
        <v>1118</v>
      </c>
      <c r="I10" s="31">
        <f>G10-J10</f>
        <v>0</v>
      </c>
      <c r="J10" s="31">
        <v>8</v>
      </c>
      <c r="K10" s="31">
        <v>4</v>
      </c>
      <c r="L10" s="31">
        <v>0</v>
      </c>
      <c r="M10" s="31">
        <v>0</v>
      </c>
      <c r="N10" s="39" t="s">
        <v>892</v>
      </c>
      <c r="O10" s="85" t="s">
        <v>25</v>
      </c>
      <c r="P10" s="26" t="s">
        <v>127</v>
      </c>
      <c r="Q10" s="35">
        <v>39172</v>
      </c>
      <c r="R10" s="29"/>
    </row>
    <row r="11" spans="1:18" s="16" customFormat="1" ht="24" customHeight="1">
      <c r="A11" s="54">
        <v>10</v>
      </c>
      <c r="B11" s="26" t="s">
        <v>1257</v>
      </c>
      <c r="C11" s="26" t="s">
        <v>1258</v>
      </c>
      <c r="D11" s="29" t="s">
        <v>1259</v>
      </c>
      <c r="E11" s="26" t="s">
        <v>632</v>
      </c>
      <c r="F11" s="29" t="s">
        <v>1260</v>
      </c>
      <c r="G11" s="26">
        <v>10</v>
      </c>
      <c r="H11" s="31">
        <v>1190</v>
      </c>
      <c r="I11" s="31">
        <v>0</v>
      </c>
      <c r="J11" s="31">
        <v>10</v>
      </c>
      <c r="K11" s="31">
        <v>6</v>
      </c>
      <c r="L11" s="31">
        <v>0</v>
      </c>
      <c r="M11" s="31">
        <v>1</v>
      </c>
      <c r="N11" s="39" t="s">
        <v>1261</v>
      </c>
      <c r="O11" s="85" t="s">
        <v>25</v>
      </c>
      <c r="P11" s="26" t="s">
        <v>127</v>
      </c>
      <c r="Q11" s="35">
        <v>41334</v>
      </c>
      <c r="R11" s="29"/>
    </row>
    <row r="12" spans="1:18" s="160" customFormat="1" ht="24" customHeight="1">
      <c r="A12" s="26">
        <v>11</v>
      </c>
      <c r="B12" s="26" t="s">
        <v>170</v>
      </c>
      <c r="C12" s="26" t="s">
        <v>236</v>
      </c>
      <c r="D12" s="65" t="s">
        <v>1254</v>
      </c>
      <c r="E12" s="26" t="s">
        <v>632</v>
      </c>
      <c r="F12" s="30" t="s">
        <v>1255</v>
      </c>
      <c r="G12" s="26">
        <v>9</v>
      </c>
      <c r="H12" s="31">
        <v>1290</v>
      </c>
      <c r="I12" s="32">
        <v>0</v>
      </c>
      <c r="J12" s="31">
        <v>9</v>
      </c>
      <c r="K12" s="31">
        <v>3</v>
      </c>
      <c r="L12" s="31">
        <v>0</v>
      </c>
      <c r="M12" s="31">
        <v>0</v>
      </c>
      <c r="N12" s="39" t="s">
        <v>1256</v>
      </c>
      <c r="O12" s="33" t="s">
        <v>451</v>
      </c>
      <c r="P12" s="29" t="s">
        <v>308</v>
      </c>
      <c r="Q12" s="35">
        <v>38561</v>
      </c>
      <c r="R12" s="30"/>
    </row>
    <row r="13" spans="1:18" s="160" customFormat="1" ht="24" customHeight="1">
      <c r="A13" s="54">
        <v>12</v>
      </c>
      <c r="B13" s="26" t="s">
        <v>170</v>
      </c>
      <c r="C13" s="26" t="s">
        <v>236</v>
      </c>
      <c r="D13" s="30" t="s">
        <v>46</v>
      </c>
      <c r="E13" s="26" t="s">
        <v>125</v>
      </c>
      <c r="F13" s="30" t="s">
        <v>1251</v>
      </c>
      <c r="G13" s="26">
        <v>10</v>
      </c>
      <c r="H13" s="31">
        <v>1725</v>
      </c>
      <c r="I13" s="32">
        <v>0</v>
      </c>
      <c r="J13" s="31">
        <v>10</v>
      </c>
      <c r="K13" s="31">
        <v>3</v>
      </c>
      <c r="L13" s="31">
        <v>0</v>
      </c>
      <c r="M13" s="31">
        <v>0</v>
      </c>
      <c r="N13" s="112" t="s">
        <v>1252</v>
      </c>
      <c r="O13" s="26" t="s">
        <v>93</v>
      </c>
      <c r="P13" s="218" t="s">
        <v>1253</v>
      </c>
      <c r="Q13" s="35">
        <v>37155</v>
      </c>
      <c r="R13" s="29"/>
    </row>
    <row r="14" spans="1:18" s="16" customFormat="1" ht="24" customHeight="1">
      <c r="A14" s="26">
        <v>13</v>
      </c>
      <c r="B14" s="26" t="s">
        <v>170</v>
      </c>
      <c r="C14" s="33" t="s">
        <v>1262</v>
      </c>
      <c r="D14" s="38" t="s">
        <v>1263</v>
      </c>
      <c r="E14" s="33" t="s">
        <v>634</v>
      </c>
      <c r="F14" s="38" t="s">
        <v>1264</v>
      </c>
      <c r="G14" s="26">
        <v>4</v>
      </c>
      <c r="H14" s="31">
        <v>568</v>
      </c>
      <c r="I14" s="31">
        <f>G14-J14</f>
        <v>0</v>
      </c>
      <c r="J14" s="31">
        <v>4</v>
      </c>
      <c r="K14" s="31">
        <v>2</v>
      </c>
      <c r="L14" s="31">
        <v>0</v>
      </c>
      <c r="M14" s="31">
        <v>0</v>
      </c>
      <c r="N14" s="39" t="s">
        <v>892</v>
      </c>
      <c r="O14" s="85" t="s">
        <v>25</v>
      </c>
      <c r="P14" s="26" t="s">
        <v>127</v>
      </c>
      <c r="Q14" s="35">
        <v>40899</v>
      </c>
      <c r="R14" s="29"/>
    </row>
    <row r="15" spans="1:18" ht="24" customHeight="1">
      <c r="G15" s="82"/>
      <c r="H15" s="96"/>
      <c r="I15" s="96"/>
      <c r="J15" s="96"/>
      <c r="K15" s="96"/>
      <c r="L15" s="96"/>
      <c r="M15" s="96"/>
    </row>
    <row r="17" spans="1:18" ht="24" customHeight="1">
      <c r="A17" s="83" t="s">
        <v>1234</v>
      </c>
    </row>
    <row r="18" spans="1:18" s="171" customFormat="1" ht="23.25" customHeight="1">
      <c r="A18" s="145">
        <v>1</v>
      </c>
      <c r="B18" s="145" t="s">
        <v>170</v>
      </c>
      <c r="C18" s="145" t="s">
        <v>244</v>
      </c>
      <c r="D18" s="146" t="s">
        <v>1408</v>
      </c>
      <c r="E18" s="145" t="s">
        <v>125</v>
      </c>
      <c r="F18" s="146" t="s">
        <v>1409</v>
      </c>
      <c r="G18" s="145">
        <v>2</v>
      </c>
      <c r="H18" s="163">
        <v>368</v>
      </c>
      <c r="I18" s="163">
        <v>0</v>
      </c>
      <c r="J18" s="163">
        <v>2</v>
      </c>
      <c r="K18" s="163">
        <v>0</v>
      </c>
      <c r="L18" s="163">
        <v>0</v>
      </c>
      <c r="M18" s="148">
        <v>0</v>
      </c>
      <c r="N18" s="241" t="s">
        <v>1412</v>
      </c>
      <c r="O18" s="145" t="s">
        <v>1410</v>
      </c>
      <c r="P18" s="195"/>
      <c r="Q18" s="195" t="s">
        <v>1411</v>
      </c>
      <c r="R18" s="146" t="s">
        <v>1413</v>
      </c>
    </row>
    <row r="19" spans="1:18" s="16" customFormat="1" ht="24" customHeight="1">
      <c r="A19" s="145">
        <v>2</v>
      </c>
      <c r="B19" s="196" t="s">
        <v>1237</v>
      </c>
      <c r="C19" s="196" t="s">
        <v>1265</v>
      </c>
      <c r="D19" s="197" t="s">
        <v>1266</v>
      </c>
      <c r="E19" s="196" t="s">
        <v>854</v>
      </c>
      <c r="F19" s="197" t="s">
        <v>1267</v>
      </c>
      <c r="G19" s="145">
        <v>7</v>
      </c>
      <c r="H19" s="147">
        <v>1067</v>
      </c>
      <c r="I19" s="147">
        <v>0</v>
      </c>
      <c r="J19" s="147">
        <v>7</v>
      </c>
      <c r="K19" s="147">
        <v>2</v>
      </c>
      <c r="L19" s="147">
        <v>0</v>
      </c>
      <c r="M19" s="147">
        <v>0</v>
      </c>
      <c r="N19" s="175" t="s">
        <v>771</v>
      </c>
      <c r="O19" s="196" t="s">
        <v>450</v>
      </c>
      <c r="P19" s="161" t="s">
        <v>27</v>
      </c>
      <c r="Q19" s="149">
        <v>41101</v>
      </c>
      <c r="R19" s="164" t="s">
        <v>1268</v>
      </c>
    </row>
  </sheetData>
  <autoFilter ref="A1:V14"/>
  <sortState ref="A2:R23">
    <sortCondition ref="C2:C23"/>
    <sortCondition ref="D2:D23"/>
  </sortState>
  <phoneticPr fontId="28" type="noConversion"/>
  <pageMargins left="0.27000001072883606" right="0.25999999046325684" top="0.93000000715255737" bottom="0.98430556058883667" header="0.5" footer="0.5"/>
  <pageSetup paperSize="9" scale="98" orientation="landscape" horizontalDpi="300" verticalDpi="300"/>
  <headerFooter alignWithMargins="0">
    <oddHeader>&amp;L&amp;"돋움,Bold"전국극장현황&amp;C&amp;"돋움,Bold"충청남도&amp;R&amp;"돋움,Bold"2006. 12. 31 기준</oddHeader>
    <oddFooter>&amp;C&amp;"돋움,Regular"&amp;P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1"/>
  <dimension ref="A1:R24"/>
  <sheetViews>
    <sheetView zoomScale="85" zoomScaleNormal="85"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19" activeCellId="6" sqref="H12 H13 H14 H15 H17 H18 H19"/>
    </sheetView>
  </sheetViews>
  <sheetFormatPr defaultRowHeight="23.25" customHeight="1"/>
  <cols>
    <col min="1" max="1" width="5.44140625" style="5" customWidth="1"/>
    <col min="2" max="2" width="12.21875" style="2" customWidth="1"/>
    <col min="3" max="3" width="8.77734375" style="2" customWidth="1"/>
    <col min="4" max="4" width="29.6640625" style="5" customWidth="1"/>
    <col min="5" max="5" width="15.21875" style="5" customWidth="1"/>
    <col min="6" max="6" width="42.6640625" style="5" customWidth="1"/>
    <col min="7" max="7" width="10.44140625" style="5" customWidth="1"/>
    <col min="8" max="8" width="9.6640625" style="25" customWidth="1"/>
    <col min="9" max="9" width="13" style="25" customWidth="1"/>
    <col min="10" max="10" width="10.6640625" style="25" customWidth="1"/>
    <col min="11" max="12" width="12.77734375" style="25" customWidth="1"/>
    <col min="13" max="13" width="12" style="25" customWidth="1"/>
    <col min="14" max="14" width="15.33203125" style="2" customWidth="1"/>
    <col min="15" max="15" width="13.664062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39" customHeight="1" thickBot="1">
      <c r="A1" s="45" t="s">
        <v>153</v>
      </c>
      <c r="B1" s="45" t="s">
        <v>206</v>
      </c>
      <c r="C1" s="45" t="s">
        <v>207</v>
      </c>
      <c r="D1" s="45" t="s">
        <v>162</v>
      </c>
      <c r="E1" s="45" t="s">
        <v>115</v>
      </c>
      <c r="F1" s="45" t="s">
        <v>257</v>
      </c>
      <c r="G1" s="46" t="s">
        <v>290</v>
      </c>
      <c r="H1" s="46" t="s">
        <v>291</v>
      </c>
      <c r="I1" s="52" t="s">
        <v>544</v>
      </c>
      <c r="J1" s="52" t="s">
        <v>545</v>
      </c>
      <c r="K1" s="52" t="s">
        <v>409</v>
      </c>
      <c r="L1" s="52" t="s">
        <v>565</v>
      </c>
      <c r="M1" s="52" t="s">
        <v>410</v>
      </c>
      <c r="N1" s="46" t="s">
        <v>392</v>
      </c>
      <c r="O1" s="45" t="s">
        <v>67</v>
      </c>
      <c r="P1" s="45" t="s">
        <v>154</v>
      </c>
      <c r="Q1" s="45" t="s">
        <v>267</v>
      </c>
      <c r="R1" s="45" t="s">
        <v>155</v>
      </c>
    </row>
    <row r="2" spans="1:18" s="16" customFormat="1" ht="23.25" hidden="1" customHeight="1" thickTop="1">
      <c r="A2" s="41">
        <v>1</v>
      </c>
      <c r="B2" s="47" t="s">
        <v>199</v>
      </c>
      <c r="C2" s="47" t="s">
        <v>200</v>
      </c>
      <c r="D2" s="48" t="s">
        <v>384</v>
      </c>
      <c r="E2" s="47" t="s">
        <v>146</v>
      </c>
      <c r="F2" s="48" t="s">
        <v>1270</v>
      </c>
      <c r="G2" s="41">
        <v>7</v>
      </c>
      <c r="H2" s="42">
        <v>1027</v>
      </c>
      <c r="I2" s="42">
        <f>G2-J2</f>
        <v>0</v>
      </c>
      <c r="J2" s="42">
        <v>7</v>
      </c>
      <c r="K2" s="42">
        <v>0</v>
      </c>
      <c r="L2" s="42">
        <v>0</v>
      </c>
      <c r="M2" s="42">
        <v>0</v>
      </c>
      <c r="N2" s="243" t="s">
        <v>125</v>
      </c>
      <c r="O2" s="166" t="s">
        <v>25</v>
      </c>
      <c r="P2" s="41" t="s">
        <v>127</v>
      </c>
      <c r="Q2" s="44">
        <v>39779</v>
      </c>
      <c r="R2" s="219" t="s">
        <v>1271</v>
      </c>
    </row>
    <row r="3" spans="1:18" s="111" customFormat="1" ht="23.25" hidden="1" customHeight="1">
      <c r="A3" s="26">
        <v>2</v>
      </c>
      <c r="B3" s="27" t="s">
        <v>199</v>
      </c>
      <c r="C3" s="27" t="s">
        <v>200</v>
      </c>
      <c r="D3" s="250" t="s">
        <v>96</v>
      </c>
      <c r="E3" s="85" t="s">
        <v>1182</v>
      </c>
      <c r="F3" s="250" t="s">
        <v>1269</v>
      </c>
      <c r="G3" s="26">
        <v>5</v>
      </c>
      <c r="H3" s="32">
        <v>975</v>
      </c>
      <c r="I3" s="32">
        <f>G3-J3</f>
        <v>0</v>
      </c>
      <c r="J3" s="32">
        <v>5</v>
      </c>
      <c r="K3" s="32">
        <v>2</v>
      </c>
      <c r="L3" s="32">
        <v>0</v>
      </c>
      <c r="M3" s="32">
        <v>0</v>
      </c>
      <c r="N3" s="39" t="s">
        <v>125</v>
      </c>
      <c r="O3" s="33" t="s">
        <v>450</v>
      </c>
      <c r="P3" s="29" t="s">
        <v>27</v>
      </c>
      <c r="Q3" s="35">
        <v>38834</v>
      </c>
      <c r="R3" s="28"/>
    </row>
    <row r="4" spans="1:18" s="184" customFormat="1" ht="23.25" hidden="1" customHeight="1">
      <c r="A4" s="26">
        <v>3</v>
      </c>
      <c r="B4" s="59" t="s">
        <v>508</v>
      </c>
      <c r="C4" s="59" t="s">
        <v>509</v>
      </c>
      <c r="D4" s="28" t="s">
        <v>507</v>
      </c>
      <c r="E4" s="27" t="s">
        <v>504</v>
      </c>
      <c r="F4" s="28" t="s">
        <v>1459</v>
      </c>
      <c r="G4" s="26">
        <v>2</v>
      </c>
      <c r="H4" s="32">
        <v>99</v>
      </c>
      <c r="I4" s="32">
        <v>0</v>
      </c>
      <c r="J4" s="32">
        <v>2</v>
      </c>
      <c r="K4" s="32">
        <v>1</v>
      </c>
      <c r="L4" s="32">
        <v>0</v>
      </c>
      <c r="M4" s="32">
        <v>0</v>
      </c>
      <c r="N4" s="39" t="s">
        <v>587</v>
      </c>
      <c r="O4" s="59" t="s">
        <v>589</v>
      </c>
      <c r="P4" s="54"/>
      <c r="Q4" s="57">
        <v>41512</v>
      </c>
      <c r="R4" s="60"/>
    </row>
    <row r="5" spans="1:18" s="184" customFormat="1" ht="23.25" hidden="1" customHeight="1">
      <c r="A5" s="26">
        <v>4</v>
      </c>
      <c r="B5" s="26" t="s">
        <v>199</v>
      </c>
      <c r="C5" s="26" t="s">
        <v>246</v>
      </c>
      <c r="D5" s="65" t="s">
        <v>1272</v>
      </c>
      <c r="E5" s="26" t="s">
        <v>146</v>
      </c>
      <c r="F5" s="29" t="s">
        <v>1273</v>
      </c>
      <c r="G5" s="26">
        <v>4</v>
      </c>
      <c r="H5" s="31">
        <v>615</v>
      </c>
      <c r="I5" s="32">
        <v>0</v>
      </c>
      <c r="J5" s="31">
        <v>4</v>
      </c>
      <c r="K5" s="31">
        <v>0</v>
      </c>
      <c r="L5" s="31">
        <v>0</v>
      </c>
      <c r="M5" s="31">
        <v>0</v>
      </c>
      <c r="N5" s="39" t="s">
        <v>125</v>
      </c>
      <c r="O5" s="33" t="s">
        <v>451</v>
      </c>
      <c r="P5" s="29" t="s">
        <v>308</v>
      </c>
      <c r="Q5" s="35">
        <v>39625</v>
      </c>
      <c r="R5" s="28"/>
    </row>
    <row r="6" spans="1:18" s="16" customFormat="1" ht="23.25" hidden="1" customHeight="1">
      <c r="A6" s="26">
        <v>5</v>
      </c>
      <c r="B6" s="26" t="s">
        <v>591</v>
      </c>
      <c r="C6" s="26" t="s">
        <v>592</v>
      </c>
      <c r="D6" s="65" t="s">
        <v>593</v>
      </c>
      <c r="E6" s="26" t="s">
        <v>587</v>
      </c>
      <c r="F6" s="29" t="s">
        <v>594</v>
      </c>
      <c r="G6" s="26">
        <v>2</v>
      </c>
      <c r="H6" s="31">
        <v>98</v>
      </c>
      <c r="I6" s="32">
        <v>0</v>
      </c>
      <c r="J6" s="31">
        <v>2</v>
      </c>
      <c r="K6" s="31">
        <v>1</v>
      </c>
      <c r="L6" s="31">
        <v>0</v>
      </c>
      <c r="M6" s="31">
        <v>0</v>
      </c>
      <c r="N6" s="39" t="s">
        <v>587</v>
      </c>
      <c r="O6" s="33" t="s">
        <v>595</v>
      </c>
      <c r="P6" s="26" t="s">
        <v>1415</v>
      </c>
      <c r="Q6" s="35">
        <v>41810</v>
      </c>
      <c r="R6" s="28"/>
    </row>
    <row r="7" spans="1:18" s="171" customFormat="1" ht="23.25" hidden="1" customHeight="1">
      <c r="A7" s="26">
        <v>6</v>
      </c>
      <c r="B7" s="26" t="s">
        <v>591</v>
      </c>
      <c r="C7" s="26" t="s">
        <v>596</v>
      </c>
      <c r="D7" s="65" t="s">
        <v>597</v>
      </c>
      <c r="E7" s="26" t="s">
        <v>587</v>
      </c>
      <c r="F7" s="29" t="s">
        <v>598</v>
      </c>
      <c r="G7" s="26">
        <v>2</v>
      </c>
      <c r="H7" s="31">
        <v>99</v>
      </c>
      <c r="I7" s="32">
        <v>0</v>
      </c>
      <c r="J7" s="31">
        <v>2</v>
      </c>
      <c r="K7" s="31">
        <v>1</v>
      </c>
      <c r="L7" s="31">
        <v>0</v>
      </c>
      <c r="M7" s="31">
        <v>0</v>
      </c>
      <c r="N7" s="39" t="s">
        <v>587</v>
      </c>
      <c r="O7" s="33" t="s">
        <v>599</v>
      </c>
      <c r="P7" s="29" t="s">
        <v>600</v>
      </c>
      <c r="Q7" s="35">
        <v>41871</v>
      </c>
      <c r="R7" s="28"/>
    </row>
    <row r="8" spans="1:18" s="171" customFormat="1" ht="23.25" hidden="1" customHeight="1">
      <c r="A8" s="26">
        <v>7</v>
      </c>
      <c r="B8" s="26" t="s">
        <v>591</v>
      </c>
      <c r="C8" s="26" t="s">
        <v>601</v>
      </c>
      <c r="D8" s="29" t="s">
        <v>605</v>
      </c>
      <c r="E8" s="26" t="s">
        <v>587</v>
      </c>
      <c r="F8" s="29" t="s">
        <v>602</v>
      </c>
      <c r="G8" s="26">
        <v>2</v>
      </c>
      <c r="H8" s="32">
        <v>91</v>
      </c>
      <c r="I8" s="31">
        <v>0</v>
      </c>
      <c r="J8" s="31">
        <v>2</v>
      </c>
      <c r="K8" s="31">
        <v>1</v>
      </c>
      <c r="L8" s="31">
        <v>0</v>
      </c>
      <c r="M8" s="31">
        <v>0</v>
      </c>
      <c r="N8" s="39" t="s">
        <v>587</v>
      </c>
      <c r="O8" s="27" t="s">
        <v>603</v>
      </c>
      <c r="P8" s="26" t="s">
        <v>604</v>
      </c>
      <c r="Q8" s="35">
        <v>41920</v>
      </c>
      <c r="R8" s="29"/>
    </row>
    <row r="9" spans="1:18" s="16" customFormat="1" ht="23.25" hidden="1" customHeight="1">
      <c r="A9" s="26">
        <v>8</v>
      </c>
      <c r="B9" s="26" t="s">
        <v>199</v>
      </c>
      <c r="C9" s="26" t="s">
        <v>247</v>
      </c>
      <c r="D9" s="29" t="s">
        <v>75</v>
      </c>
      <c r="E9" s="26" t="s">
        <v>146</v>
      </c>
      <c r="F9" s="29" t="s">
        <v>1274</v>
      </c>
      <c r="G9" s="26">
        <v>9</v>
      </c>
      <c r="H9" s="31">
        <v>1325</v>
      </c>
      <c r="I9" s="31">
        <v>0</v>
      </c>
      <c r="J9" s="31">
        <v>9</v>
      </c>
      <c r="K9" s="31">
        <v>4</v>
      </c>
      <c r="L9" s="31">
        <v>0</v>
      </c>
      <c r="M9" s="31">
        <v>0</v>
      </c>
      <c r="N9" s="39" t="s">
        <v>1275</v>
      </c>
      <c r="O9" s="85" t="s">
        <v>25</v>
      </c>
      <c r="P9" s="26" t="s">
        <v>127</v>
      </c>
      <c r="Q9" s="35">
        <v>38141</v>
      </c>
      <c r="R9" s="29"/>
    </row>
    <row r="10" spans="1:18" s="171" customFormat="1" ht="23.25" hidden="1" customHeight="1">
      <c r="A10" s="26">
        <v>9</v>
      </c>
      <c r="B10" s="26" t="s">
        <v>508</v>
      </c>
      <c r="C10" s="26" t="s">
        <v>517</v>
      </c>
      <c r="D10" s="29" t="s">
        <v>518</v>
      </c>
      <c r="E10" s="26" t="s">
        <v>504</v>
      </c>
      <c r="F10" s="29" t="s">
        <v>1460</v>
      </c>
      <c r="G10" s="26">
        <v>2</v>
      </c>
      <c r="H10" s="32">
        <v>94</v>
      </c>
      <c r="I10" s="31">
        <v>0</v>
      </c>
      <c r="J10" s="31">
        <v>2</v>
      </c>
      <c r="K10" s="31">
        <v>1</v>
      </c>
      <c r="L10" s="31">
        <v>0</v>
      </c>
      <c r="M10" s="31">
        <v>0</v>
      </c>
      <c r="N10" s="39" t="s">
        <v>504</v>
      </c>
      <c r="O10" s="27" t="s">
        <v>590</v>
      </c>
      <c r="P10" s="26" t="s">
        <v>532</v>
      </c>
      <c r="Q10" s="35" t="s">
        <v>533</v>
      </c>
      <c r="R10" s="29"/>
    </row>
    <row r="11" spans="1:18" s="171" customFormat="1" ht="23.25" hidden="1" customHeight="1">
      <c r="A11" s="26">
        <v>10</v>
      </c>
      <c r="B11" s="54" t="s">
        <v>199</v>
      </c>
      <c r="C11" s="54" t="s">
        <v>288</v>
      </c>
      <c r="D11" s="30" t="s">
        <v>387</v>
      </c>
      <c r="E11" s="26" t="s">
        <v>125</v>
      </c>
      <c r="F11" s="30" t="s">
        <v>1461</v>
      </c>
      <c r="G11" s="26">
        <v>2</v>
      </c>
      <c r="H11" s="31">
        <v>90</v>
      </c>
      <c r="I11" s="31">
        <f>G11-J11</f>
        <v>0</v>
      </c>
      <c r="J11" s="31">
        <v>2</v>
      </c>
      <c r="K11" s="31">
        <v>1</v>
      </c>
      <c r="L11" s="31">
        <v>0</v>
      </c>
      <c r="M11" s="31">
        <v>0</v>
      </c>
      <c r="N11" s="39" t="s">
        <v>125</v>
      </c>
      <c r="O11" s="54" t="s">
        <v>388</v>
      </c>
      <c r="P11" s="56" t="s">
        <v>14</v>
      </c>
      <c r="Q11" s="57">
        <v>40507</v>
      </c>
      <c r="R11" s="56"/>
    </row>
    <row r="12" spans="1:18" s="171" customFormat="1" ht="23.25" customHeight="1" thickTop="1">
      <c r="A12" s="26">
        <v>11</v>
      </c>
      <c r="B12" s="26" t="s">
        <v>199</v>
      </c>
      <c r="C12" s="26" t="s">
        <v>171</v>
      </c>
      <c r="D12" s="29" t="s">
        <v>76</v>
      </c>
      <c r="E12" s="33" t="s">
        <v>634</v>
      </c>
      <c r="F12" s="29" t="s">
        <v>1287</v>
      </c>
      <c r="G12" s="26">
        <v>6</v>
      </c>
      <c r="H12" s="31">
        <v>1192</v>
      </c>
      <c r="I12" s="31">
        <f>G12-J12</f>
        <v>0</v>
      </c>
      <c r="J12" s="31">
        <v>6</v>
      </c>
      <c r="K12" s="31">
        <v>1</v>
      </c>
      <c r="L12" s="31">
        <v>0</v>
      </c>
      <c r="M12" s="31">
        <v>0</v>
      </c>
      <c r="N12" s="39" t="s">
        <v>125</v>
      </c>
      <c r="O12" s="85" t="s">
        <v>25</v>
      </c>
      <c r="P12" s="26" t="s">
        <v>127</v>
      </c>
      <c r="Q12" s="35">
        <v>37931</v>
      </c>
      <c r="R12" s="29" t="s">
        <v>1288</v>
      </c>
    </row>
    <row r="13" spans="1:18" s="171" customFormat="1" ht="23.25" customHeight="1">
      <c r="A13" s="26">
        <v>12</v>
      </c>
      <c r="B13" s="26" t="s">
        <v>1282</v>
      </c>
      <c r="C13" s="26" t="s">
        <v>1283</v>
      </c>
      <c r="D13" s="29" t="s">
        <v>1284</v>
      </c>
      <c r="E13" s="33" t="s">
        <v>635</v>
      </c>
      <c r="F13" s="29" t="s">
        <v>1285</v>
      </c>
      <c r="G13" s="26">
        <v>7</v>
      </c>
      <c r="H13" s="31">
        <v>1795</v>
      </c>
      <c r="I13" s="31">
        <v>0</v>
      </c>
      <c r="J13" s="31">
        <v>7</v>
      </c>
      <c r="K13" s="31">
        <v>3</v>
      </c>
      <c r="L13" s="31">
        <v>1</v>
      </c>
      <c r="M13" s="31">
        <v>0</v>
      </c>
      <c r="N13" s="39" t="s">
        <v>1286</v>
      </c>
      <c r="O13" s="85" t="s">
        <v>25</v>
      </c>
      <c r="P13" s="26" t="s">
        <v>127</v>
      </c>
      <c r="Q13" s="35">
        <v>41879</v>
      </c>
      <c r="R13" s="29"/>
    </row>
    <row r="14" spans="1:18" s="142" customFormat="1" ht="23.25" customHeight="1">
      <c r="A14" s="26">
        <v>13</v>
      </c>
      <c r="B14" s="26" t="s">
        <v>199</v>
      </c>
      <c r="C14" s="26" t="s">
        <v>171</v>
      </c>
      <c r="D14" s="30" t="s">
        <v>1280</v>
      </c>
      <c r="E14" s="26" t="s">
        <v>144</v>
      </c>
      <c r="F14" s="30" t="s">
        <v>1281</v>
      </c>
      <c r="G14" s="26">
        <v>8</v>
      </c>
      <c r="H14" s="32">
        <v>1626</v>
      </c>
      <c r="I14" s="32">
        <f>G14-J14</f>
        <v>0</v>
      </c>
      <c r="J14" s="32">
        <v>8</v>
      </c>
      <c r="K14" s="32">
        <v>6</v>
      </c>
      <c r="L14" s="32">
        <v>0</v>
      </c>
      <c r="M14" s="32">
        <v>0</v>
      </c>
      <c r="N14" s="112" t="s">
        <v>633</v>
      </c>
      <c r="O14" s="67" t="s">
        <v>450</v>
      </c>
      <c r="P14" s="29" t="s">
        <v>27</v>
      </c>
      <c r="Q14" s="35">
        <v>38135</v>
      </c>
      <c r="R14" s="29"/>
    </row>
    <row r="15" spans="1:18" s="142" customFormat="1" ht="23.25" customHeight="1">
      <c r="A15" s="26">
        <v>14</v>
      </c>
      <c r="B15" s="26" t="s">
        <v>199</v>
      </c>
      <c r="C15" s="26" t="s">
        <v>171</v>
      </c>
      <c r="D15" s="65" t="s">
        <v>1278</v>
      </c>
      <c r="E15" s="33" t="s">
        <v>632</v>
      </c>
      <c r="F15" s="65" t="s">
        <v>1279</v>
      </c>
      <c r="G15" s="26">
        <v>6</v>
      </c>
      <c r="H15" s="32">
        <v>922</v>
      </c>
      <c r="I15" s="32">
        <v>0</v>
      </c>
      <c r="J15" s="32">
        <v>6</v>
      </c>
      <c r="K15" s="32">
        <v>3</v>
      </c>
      <c r="L15" s="32">
        <v>0</v>
      </c>
      <c r="M15" s="32">
        <v>0</v>
      </c>
      <c r="N15" s="112" t="s">
        <v>633</v>
      </c>
      <c r="O15" s="33" t="s">
        <v>450</v>
      </c>
      <c r="P15" s="29" t="s">
        <v>27</v>
      </c>
      <c r="Q15" s="35">
        <v>41179</v>
      </c>
      <c r="R15" s="29"/>
    </row>
    <row r="16" spans="1:18" s="4" customFormat="1" ht="23.25" customHeight="1">
      <c r="A16" s="26">
        <v>15</v>
      </c>
      <c r="B16" s="26" t="s">
        <v>199</v>
      </c>
      <c r="C16" s="26" t="s">
        <v>171</v>
      </c>
      <c r="D16" s="65" t="s">
        <v>1276</v>
      </c>
      <c r="E16" s="26" t="s">
        <v>146</v>
      </c>
      <c r="F16" s="255" t="s">
        <v>1277</v>
      </c>
      <c r="G16" s="26">
        <v>8</v>
      </c>
      <c r="H16" s="31">
        <v>1225</v>
      </c>
      <c r="I16" s="32">
        <f>G16-J16</f>
        <v>0</v>
      </c>
      <c r="J16" s="31">
        <v>8</v>
      </c>
      <c r="K16" s="31">
        <v>6</v>
      </c>
      <c r="L16" s="31">
        <v>0</v>
      </c>
      <c r="M16" s="31">
        <v>0</v>
      </c>
      <c r="N16" s="39" t="s">
        <v>125</v>
      </c>
      <c r="O16" s="33" t="s">
        <v>451</v>
      </c>
      <c r="P16" s="29" t="s">
        <v>308</v>
      </c>
      <c r="Q16" s="35">
        <v>39139</v>
      </c>
      <c r="R16" s="186"/>
    </row>
    <row r="17" spans="1:18" s="61" customFormat="1" ht="23.25" customHeight="1">
      <c r="A17" s="26">
        <v>16</v>
      </c>
      <c r="B17" s="26" t="s">
        <v>199</v>
      </c>
      <c r="C17" s="26" t="s">
        <v>171</v>
      </c>
      <c r="D17" s="30" t="s">
        <v>1289</v>
      </c>
      <c r="E17" s="26" t="s">
        <v>144</v>
      </c>
      <c r="F17" s="65" t="s">
        <v>1290</v>
      </c>
      <c r="G17" s="26">
        <v>10</v>
      </c>
      <c r="H17" s="31">
        <v>1574</v>
      </c>
      <c r="I17" s="32">
        <f>G17-J17</f>
        <v>0</v>
      </c>
      <c r="J17" s="31">
        <v>10</v>
      </c>
      <c r="K17" s="31">
        <v>1</v>
      </c>
      <c r="L17" s="31">
        <v>0</v>
      </c>
      <c r="M17" s="31">
        <v>0</v>
      </c>
      <c r="N17" s="39" t="s">
        <v>1291</v>
      </c>
      <c r="O17" s="33" t="s">
        <v>451</v>
      </c>
      <c r="P17" s="29" t="s">
        <v>308</v>
      </c>
      <c r="Q17" s="26" t="s">
        <v>140</v>
      </c>
      <c r="R17" s="29"/>
    </row>
    <row r="18" spans="1:18" s="16" customFormat="1" ht="23.25" customHeight="1">
      <c r="A18" s="26">
        <v>17</v>
      </c>
      <c r="B18" s="26" t="s">
        <v>199</v>
      </c>
      <c r="C18" s="26" t="s">
        <v>438</v>
      </c>
      <c r="D18" s="29" t="s">
        <v>439</v>
      </c>
      <c r="E18" s="26" t="s">
        <v>440</v>
      </c>
      <c r="F18" s="29" t="s">
        <v>1462</v>
      </c>
      <c r="G18" s="67">
        <v>1</v>
      </c>
      <c r="H18" s="84">
        <v>98</v>
      </c>
      <c r="I18" s="31">
        <f>G18-J18</f>
        <v>0</v>
      </c>
      <c r="J18" s="84">
        <v>1</v>
      </c>
      <c r="K18" s="84">
        <v>0</v>
      </c>
      <c r="L18" s="84">
        <v>0</v>
      </c>
      <c r="M18" s="84">
        <v>0</v>
      </c>
      <c r="N18" s="69" t="s">
        <v>440</v>
      </c>
      <c r="O18" s="26" t="s">
        <v>441</v>
      </c>
      <c r="P18" s="38" t="s">
        <v>483</v>
      </c>
      <c r="Q18" s="29"/>
      <c r="R18" s="29" t="s">
        <v>442</v>
      </c>
    </row>
    <row r="19" spans="1:18" ht="23.25" customHeight="1">
      <c r="A19" s="26">
        <v>18</v>
      </c>
      <c r="B19" s="59" t="s">
        <v>199</v>
      </c>
      <c r="C19" s="59" t="s">
        <v>171</v>
      </c>
      <c r="D19" s="28" t="s">
        <v>97</v>
      </c>
      <c r="E19" s="27" t="s">
        <v>125</v>
      </c>
      <c r="F19" s="28" t="s">
        <v>1463</v>
      </c>
      <c r="G19" s="26">
        <v>6</v>
      </c>
      <c r="H19" s="32">
        <v>919</v>
      </c>
      <c r="I19" s="31">
        <v>0</v>
      </c>
      <c r="J19" s="31">
        <v>6</v>
      </c>
      <c r="K19" s="31">
        <v>1</v>
      </c>
      <c r="L19" s="31">
        <v>0</v>
      </c>
      <c r="M19" s="31">
        <v>0</v>
      </c>
      <c r="N19" s="39" t="s">
        <v>125</v>
      </c>
      <c r="O19" s="59" t="s">
        <v>421</v>
      </c>
      <c r="P19" s="54" t="s">
        <v>313</v>
      </c>
      <c r="Q19" s="57">
        <v>37869</v>
      </c>
      <c r="R19" s="60" t="s">
        <v>516</v>
      </c>
    </row>
    <row r="20" spans="1:18" ht="23.25" hidden="1" customHeight="1">
      <c r="A20" s="26">
        <v>19</v>
      </c>
      <c r="B20" s="26" t="s">
        <v>1292</v>
      </c>
      <c r="C20" s="26" t="s">
        <v>1293</v>
      </c>
      <c r="D20" s="29" t="s">
        <v>1294</v>
      </c>
      <c r="E20" s="33" t="s">
        <v>868</v>
      </c>
      <c r="F20" s="29" t="s">
        <v>1295</v>
      </c>
      <c r="G20" s="26">
        <v>4</v>
      </c>
      <c r="H20" s="31">
        <v>565</v>
      </c>
      <c r="I20" s="31">
        <v>0</v>
      </c>
      <c r="J20" s="31">
        <v>4</v>
      </c>
      <c r="K20" s="31">
        <v>0</v>
      </c>
      <c r="L20" s="31">
        <v>0</v>
      </c>
      <c r="M20" s="31">
        <v>0</v>
      </c>
      <c r="N20" s="39" t="s">
        <v>633</v>
      </c>
      <c r="O20" s="85" t="s">
        <v>25</v>
      </c>
      <c r="P20" s="26" t="s">
        <v>127</v>
      </c>
      <c r="Q20" s="35">
        <v>41666</v>
      </c>
      <c r="R20" s="29"/>
    </row>
    <row r="21" spans="1:18" ht="23.25" customHeight="1">
      <c r="G21" s="83"/>
      <c r="H21" s="96"/>
      <c r="I21" s="96"/>
      <c r="J21" s="96"/>
      <c r="K21" s="96"/>
      <c r="L21" s="96"/>
      <c r="M21" s="96"/>
    </row>
    <row r="23" spans="1:18" ht="23.25" customHeight="1">
      <c r="A23" s="83" t="s">
        <v>608</v>
      </c>
    </row>
    <row r="24" spans="1:18" ht="23.25" customHeight="1">
      <c r="A24" s="145">
        <v>1</v>
      </c>
      <c r="B24" s="145" t="s">
        <v>199</v>
      </c>
      <c r="C24" s="145" t="s">
        <v>248</v>
      </c>
      <c r="D24" s="146" t="s">
        <v>163</v>
      </c>
      <c r="E24" s="145" t="s">
        <v>125</v>
      </c>
      <c r="F24" s="146" t="s">
        <v>426</v>
      </c>
      <c r="G24" s="145">
        <v>3</v>
      </c>
      <c r="H24" s="163">
        <v>417</v>
      </c>
      <c r="I24" s="163">
        <v>0</v>
      </c>
      <c r="J24" s="163">
        <v>3</v>
      </c>
      <c r="K24" s="163">
        <v>0</v>
      </c>
      <c r="L24" s="163">
        <v>0</v>
      </c>
      <c r="M24" s="163">
        <v>0</v>
      </c>
      <c r="N24" s="148" t="s">
        <v>125</v>
      </c>
      <c r="O24" s="145" t="s">
        <v>42</v>
      </c>
      <c r="P24" s="164"/>
      <c r="Q24" s="165"/>
      <c r="R24" s="161" t="s">
        <v>609</v>
      </c>
    </row>
  </sheetData>
  <autoFilter ref="A1:S20">
    <filterColumn colId="2">
      <filters>
        <filter val="전주시"/>
      </filters>
    </filterColumn>
  </autoFilter>
  <sortState ref="A2:R30">
    <sortCondition ref="C2:C30"/>
    <sortCondition ref="D2:D30"/>
  </sortState>
  <phoneticPr fontId="28" type="noConversion"/>
  <pageMargins left="0.2800000011920929" right="0.28999999165534973" top="0.92000001668930054" bottom="0.98430556058883667" header="0.5" footer="0.5"/>
  <pageSetup paperSize="9" scale="97" orientation="landscape" horizontalDpi="300" verticalDpi="300"/>
  <headerFooter alignWithMargins="0">
    <oddHeader>&amp;L&amp;"돋움,Bold"전국극장현황&amp;C&amp;"돋움,Bold"전라북도&amp;R&amp;"돋움,Bold"2006. 12. 31 기준</oddHeader>
    <oddFooter>&amp;C&amp;"돋움,Regular"&amp;P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R12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10" sqref="H10:H11"/>
    </sheetView>
  </sheetViews>
  <sheetFormatPr defaultRowHeight="25.5" customHeight="1"/>
  <cols>
    <col min="1" max="1" width="5.77734375" style="5" customWidth="1"/>
    <col min="2" max="2" width="12.21875" style="5" customWidth="1"/>
    <col min="3" max="3" width="8.77734375" style="5" customWidth="1"/>
    <col min="4" max="4" width="15.77734375" style="5" customWidth="1"/>
    <col min="5" max="5" width="14.44140625" style="5" customWidth="1"/>
    <col min="6" max="6" width="20.44140625" style="5" customWidth="1"/>
    <col min="7" max="7" width="10.88671875" style="5" customWidth="1"/>
    <col min="8" max="8" width="10.21875" style="25" customWidth="1"/>
    <col min="9" max="9" width="13.109375" style="25" customWidth="1"/>
    <col min="10" max="10" width="10.5546875" style="25" customWidth="1"/>
    <col min="11" max="13" width="11.44140625" style="25" customWidth="1"/>
    <col min="14" max="14" width="15.6640625" style="2" customWidth="1"/>
    <col min="15" max="15" width="12.7773437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39" customHeight="1" thickBot="1">
      <c r="A1" s="45" t="s">
        <v>153</v>
      </c>
      <c r="B1" s="45" t="s">
        <v>206</v>
      </c>
      <c r="C1" s="45" t="s">
        <v>207</v>
      </c>
      <c r="D1" s="45" t="s">
        <v>162</v>
      </c>
      <c r="E1" s="45" t="s">
        <v>115</v>
      </c>
      <c r="F1" s="45" t="s">
        <v>257</v>
      </c>
      <c r="G1" s="46" t="s">
        <v>290</v>
      </c>
      <c r="H1" s="46" t="s">
        <v>291</v>
      </c>
      <c r="I1" s="52" t="s">
        <v>544</v>
      </c>
      <c r="J1" s="52" t="s">
        <v>545</v>
      </c>
      <c r="K1" s="52" t="s">
        <v>409</v>
      </c>
      <c r="L1" s="52" t="s">
        <v>565</v>
      </c>
      <c r="M1" s="52" t="s">
        <v>410</v>
      </c>
      <c r="N1" s="46" t="s">
        <v>392</v>
      </c>
      <c r="O1" s="45" t="s">
        <v>68</v>
      </c>
      <c r="P1" s="45" t="s">
        <v>154</v>
      </c>
      <c r="Q1" s="45" t="s">
        <v>267</v>
      </c>
      <c r="R1" s="45" t="s">
        <v>155</v>
      </c>
    </row>
    <row r="2" spans="1:18" s="16" customFormat="1" ht="25.5" customHeight="1" thickTop="1">
      <c r="A2" s="150">
        <v>1</v>
      </c>
      <c r="B2" s="155" t="s">
        <v>585</v>
      </c>
      <c r="C2" s="155" t="s">
        <v>586</v>
      </c>
      <c r="D2" s="158" t="s">
        <v>1416</v>
      </c>
      <c r="E2" s="155" t="s">
        <v>587</v>
      </c>
      <c r="F2" s="158" t="s">
        <v>1464</v>
      </c>
      <c r="G2" s="150">
        <v>2</v>
      </c>
      <c r="H2" s="153">
        <v>140</v>
      </c>
      <c r="I2" s="152">
        <v>0</v>
      </c>
      <c r="J2" s="153">
        <v>2</v>
      </c>
      <c r="K2" s="153">
        <v>2</v>
      </c>
      <c r="L2" s="153"/>
      <c r="M2" s="153">
        <v>0</v>
      </c>
      <c r="N2" s="154" t="s">
        <v>587</v>
      </c>
      <c r="O2" s="177" t="s">
        <v>588</v>
      </c>
      <c r="P2" s="151"/>
      <c r="Q2" s="156">
        <v>41752</v>
      </c>
      <c r="R2" s="158"/>
    </row>
    <row r="3" spans="1:18" s="22" customFormat="1" ht="25.5" customHeight="1">
      <c r="A3" s="26">
        <v>2</v>
      </c>
      <c r="B3" s="26" t="s">
        <v>195</v>
      </c>
      <c r="C3" s="26" t="s">
        <v>196</v>
      </c>
      <c r="D3" s="29" t="s">
        <v>353</v>
      </c>
      <c r="E3" s="26" t="s">
        <v>146</v>
      </c>
      <c r="F3" s="29" t="s">
        <v>1296</v>
      </c>
      <c r="G3" s="26">
        <v>5</v>
      </c>
      <c r="H3" s="31">
        <v>1026</v>
      </c>
      <c r="I3" s="31">
        <f>G3-J3</f>
        <v>0</v>
      </c>
      <c r="J3" s="31">
        <v>5</v>
      </c>
      <c r="K3" s="31">
        <v>2</v>
      </c>
      <c r="L3" s="31">
        <v>0</v>
      </c>
      <c r="M3" s="31">
        <v>0</v>
      </c>
      <c r="N3" s="39" t="s">
        <v>125</v>
      </c>
      <c r="O3" s="85" t="s">
        <v>25</v>
      </c>
      <c r="P3" s="26" t="s">
        <v>127</v>
      </c>
      <c r="Q3" s="35">
        <v>38338</v>
      </c>
      <c r="R3" s="29"/>
    </row>
    <row r="4" spans="1:18" s="22" customFormat="1" ht="25.5" customHeight="1">
      <c r="A4" s="26">
        <v>3</v>
      </c>
      <c r="B4" s="26" t="s">
        <v>195</v>
      </c>
      <c r="C4" s="26" t="s">
        <v>196</v>
      </c>
      <c r="D4" s="30" t="s">
        <v>372</v>
      </c>
      <c r="E4" s="26" t="s">
        <v>146</v>
      </c>
      <c r="F4" s="30" t="s">
        <v>1299</v>
      </c>
      <c r="G4" s="26">
        <v>8</v>
      </c>
      <c r="H4" s="32">
        <v>1495</v>
      </c>
      <c r="I4" s="32">
        <f>G4-J4</f>
        <v>0</v>
      </c>
      <c r="J4" s="32">
        <v>8</v>
      </c>
      <c r="K4" s="32">
        <v>2</v>
      </c>
      <c r="L4" s="32">
        <v>0</v>
      </c>
      <c r="M4" s="32">
        <v>0</v>
      </c>
      <c r="N4" s="39" t="s">
        <v>125</v>
      </c>
      <c r="O4" s="67" t="s">
        <v>450</v>
      </c>
      <c r="P4" s="29" t="s">
        <v>27</v>
      </c>
      <c r="Q4" s="35">
        <v>38374</v>
      </c>
      <c r="R4" s="29" t="s">
        <v>484</v>
      </c>
    </row>
    <row r="5" spans="1:18" s="22" customFormat="1" ht="25.5" customHeight="1">
      <c r="A5" s="26">
        <v>4</v>
      </c>
      <c r="B5" s="27" t="s">
        <v>195</v>
      </c>
      <c r="C5" s="27" t="s">
        <v>196</v>
      </c>
      <c r="D5" s="28" t="s">
        <v>1297</v>
      </c>
      <c r="E5" s="27" t="s">
        <v>146</v>
      </c>
      <c r="F5" s="28" t="s">
        <v>1298</v>
      </c>
      <c r="G5" s="26">
        <v>7</v>
      </c>
      <c r="H5" s="31">
        <v>998</v>
      </c>
      <c r="I5" s="32">
        <v>0</v>
      </c>
      <c r="J5" s="31">
        <v>7</v>
      </c>
      <c r="K5" s="31">
        <v>0</v>
      </c>
      <c r="L5" s="31">
        <v>0</v>
      </c>
      <c r="M5" s="31">
        <v>0</v>
      </c>
      <c r="N5" s="39" t="s">
        <v>125</v>
      </c>
      <c r="O5" s="85" t="s">
        <v>81</v>
      </c>
      <c r="P5" s="29" t="s">
        <v>28</v>
      </c>
      <c r="Q5" s="35">
        <v>38990</v>
      </c>
      <c r="R5" s="28"/>
    </row>
    <row r="6" spans="1:18" s="16" customFormat="1" ht="25.5" customHeight="1">
      <c r="A6" s="26">
        <v>5</v>
      </c>
      <c r="B6" s="26" t="s">
        <v>1300</v>
      </c>
      <c r="C6" s="26" t="s">
        <v>1301</v>
      </c>
      <c r="D6" s="30" t="s">
        <v>1302</v>
      </c>
      <c r="E6" s="26" t="s">
        <v>813</v>
      </c>
      <c r="F6" s="30" t="s">
        <v>1303</v>
      </c>
      <c r="G6" s="26">
        <v>3</v>
      </c>
      <c r="H6" s="31">
        <v>374</v>
      </c>
      <c r="I6" s="32">
        <v>0</v>
      </c>
      <c r="J6" s="31">
        <v>3</v>
      </c>
      <c r="K6" s="31">
        <v>0</v>
      </c>
      <c r="L6" s="31">
        <v>0</v>
      </c>
      <c r="M6" s="31">
        <v>0</v>
      </c>
      <c r="N6" s="39" t="s">
        <v>654</v>
      </c>
      <c r="O6" s="33" t="s">
        <v>451</v>
      </c>
      <c r="P6" s="29" t="s">
        <v>308</v>
      </c>
      <c r="Q6" s="35">
        <v>41996</v>
      </c>
      <c r="R6" s="29" t="s">
        <v>1407</v>
      </c>
    </row>
    <row r="7" spans="1:18" s="16" customFormat="1" ht="25.5" customHeight="1">
      <c r="A7" s="26">
        <v>6</v>
      </c>
      <c r="B7" s="26" t="s">
        <v>195</v>
      </c>
      <c r="C7" s="26" t="s">
        <v>197</v>
      </c>
      <c r="D7" s="29" t="s">
        <v>325</v>
      </c>
      <c r="E7" s="26" t="s">
        <v>144</v>
      </c>
      <c r="F7" s="29" t="s">
        <v>1304</v>
      </c>
      <c r="G7" s="26">
        <v>8</v>
      </c>
      <c r="H7" s="31">
        <v>1188</v>
      </c>
      <c r="I7" s="31">
        <f>G7-J7</f>
        <v>0</v>
      </c>
      <c r="J7" s="31">
        <v>8</v>
      </c>
      <c r="K7" s="31">
        <v>4</v>
      </c>
      <c r="L7" s="31">
        <v>0</v>
      </c>
      <c r="M7" s="31">
        <v>0</v>
      </c>
      <c r="N7" s="39" t="s">
        <v>710</v>
      </c>
      <c r="O7" s="85" t="s">
        <v>25</v>
      </c>
      <c r="P7" s="26" t="s">
        <v>127</v>
      </c>
      <c r="Q7" s="35">
        <v>37974</v>
      </c>
      <c r="R7" s="29"/>
    </row>
    <row r="8" spans="1:18" s="171" customFormat="1" ht="25.5" customHeight="1">
      <c r="A8" s="26">
        <v>7</v>
      </c>
      <c r="B8" s="26" t="s">
        <v>195</v>
      </c>
      <c r="C8" s="33" t="s">
        <v>1305</v>
      </c>
      <c r="D8" s="65" t="s">
        <v>1306</v>
      </c>
      <c r="E8" s="33" t="s">
        <v>652</v>
      </c>
      <c r="F8" s="38" t="s">
        <v>1307</v>
      </c>
      <c r="G8" s="26">
        <v>7</v>
      </c>
      <c r="H8" s="31">
        <v>953</v>
      </c>
      <c r="I8" s="32">
        <f>G8-J8</f>
        <v>0</v>
      </c>
      <c r="J8" s="31">
        <v>7</v>
      </c>
      <c r="K8" s="31">
        <v>7</v>
      </c>
      <c r="L8" s="31">
        <v>0</v>
      </c>
      <c r="M8" s="31">
        <v>0</v>
      </c>
      <c r="N8" s="112" t="s">
        <v>654</v>
      </c>
      <c r="O8" s="33" t="s">
        <v>451</v>
      </c>
      <c r="P8" s="29" t="s">
        <v>308</v>
      </c>
      <c r="Q8" s="35">
        <v>40658</v>
      </c>
      <c r="R8" s="187" t="s">
        <v>1308</v>
      </c>
    </row>
    <row r="9" spans="1:18" s="171" customFormat="1" ht="25.5" customHeight="1">
      <c r="A9" s="26">
        <v>8</v>
      </c>
      <c r="B9" s="26" t="s">
        <v>1300</v>
      </c>
      <c r="C9" s="33" t="s">
        <v>1305</v>
      </c>
      <c r="D9" s="65" t="s">
        <v>1309</v>
      </c>
      <c r="E9" s="33" t="s">
        <v>813</v>
      </c>
      <c r="F9" s="38" t="s">
        <v>1310</v>
      </c>
      <c r="G9" s="26">
        <v>9</v>
      </c>
      <c r="H9" s="31">
        <v>1430</v>
      </c>
      <c r="I9" s="32">
        <v>0</v>
      </c>
      <c r="J9" s="31">
        <v>9</v>
      </c>
      <c r="K9" s="31">
        <v>1</v>
      </c>
      <c r="L9" s="31">
        <v>0</v>
      </c>
      <c r="M9" s="31">
        <v>0</v>
      </c>
      <c r="N9" s="112" t="s">
        <v>1311</v>
      </c>
      <c r="O9" s="33" t="s">
        <v>451</v>
      </c>
      <c r="P9" s="29" t="s">
        <v>308</v>
      </c>
      <c r="Q9" s="35">
        <v>41841</v>
      </c>
      <c r="R9" s="187"/>
    </row>
    <row r="10" spans="1:18" s="16" customFormat="1" ht="25.5" customHeight="1">
      <c r="A10" s="26">
        <v>9</v>
      </c>
      <c r="B10" s="27" t="s">
        <v>195</v>
      </c>
      <c r="C10" s="85" t="s">
        <v>1315</v>
      </c>
      <c r="D10" s="37" t="s">
        <v>1316</v>
      </c>
      <c r="E10" s="85" t="s">
        <v>652</v>
      </c>
      <c r="F10" s="252" t="s">
        <v>1317</v>
      </c>
      <c r="G10" s="26">
        <v>6</v>
      </c>
      <c r="H10" s="32">
        <v>580</v>
      </c>
      <c r="I10" s="32">
        <f>G10-J10</f>
        <v>0</v>
      </c>
      <c r="J10" s="32">
        <v>6</v>
      </c>
      <c r="K10" s="32">
        <v>2</v>
      </c>
      <c r="L10" s="173">
        <v>0</v>
      </c>
      <c r="M10" s="32">
        <v>0</v>
      </c>
      <c r="N10" s="112" t="s">
        <v>654</v>
      </c>
      <c r="O10" s="33" t="s">
        <v>450</v>
      </c>
      <c r="P10" s="29" t="s">
        <v>27</v>
      </c>
      <c r="Q10" s="35">
        <v>40871</v>
      </c>
      <c r="R10" s="28"/>
    </row>
    <row r="11" spans="1:18" s="142" customFormat="1" ht="25.5" customHeight="1">
      <c r="A11" s="26">
        <v>10</v>
      </c>
      <c r="B11" s="26" t="s">
        <v>195</v>
      </c>
      <c r="C11" s="26" t="s">
        <v>198</v>
      </c>
      <c r="D11" s="65" t="s">
        <v>1312</v>
      </c>
      <c r="E11" s="26" t="s">
        <v>146</v>
      </c>
      <c r="F11" s="29" t="s">
        <v>1313</v>
      </c>
      <c r="G11" s="26">
        <v>8</v>
      </c>
      <c r="H11" s="31">
        <v>793</v>
      </c>
      <c r="I11" s="32">
        <f>G11-J11</f>
        <v>0</v>
      </c>
      <c r="J11" s="31">
        <v>8</v>
      </c>
      <c r="K11" s="31">
        <v>1</v>
      </c>
      <c r="L11" s="31">
        <v>0</v>
      </c>
      <c r="M11" s="31">
        <v>0</v>
      </c>
      <c r="N11" s="39" t="s">
        <v>1314</v>
      </c>
      <c r="O11" s="33" t="s">
        <v>451</v>
      </c>
      <c r="P11" s="29" t="s">
        <v>308</v>
      </c>
      <c r="Q11" s="35">
        <v>38540</v>
      </c>
      <c r="R11" s="29"/>
    </row>
    <row r="12" spans="1:18" ht="25.5" customHeight="1">
      <c r="G12" s="83"/>
      <c r="H12" s="96"/>
      <c r="I12" s="96"/>
      <c r="J12" s="96"/>
      <c r="K12" s="96"/>
      <c r="L12" s="96"/>
      <c r="M12" s="96"/>
    </row>
  </sheetData>
  <autoFilter ref="A1:S11"/>
  <sortState ref="A2:R20">
    <sortCondition ref="C2:C20"/>
    <sortCondition ref="D2:D20"/>
  </sortState>
  <phoneticPr fontId="28" type="noConversion"/>
  <pageMargins left="0.33000001311302185" right="0.23999999463558197" top="0.93999999761581421" bottom="0.98430556058883667" header="0.5" footer="0.5"/>
  <pageSetup paperSize="9" scale="94" orientation="landscape" horizontalDpi="300" verticalDpi="300"/>
  <headerFooter alignWithMargins="0">
    <oddHeader>&amp;L&amp;"돋움,Bold"전국극장현황&amp;C&amp;"돋움,Bold"전라남도&amp;R&amp;"돋움,Bold"2006. 12. 31 기준</oddHeader>
    <oddFooter>&amp;C&amp;"돋움,Regular"&amp;P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:R18"/>
  <sheetViews>
    <sheetView zoomScaleSheetLayoutView="75" workbookViewId="0">
      <selection activeCell="H5" sqref="H5:H9"/>
    </sheetView>
  </sheetViews>
  <sheetFormatPr defaultRowHeight="21.75" customHeight="1"/>
  <cols>
    <col min="1" max="1" width="5.88671875" style="5" customWidth="1"/>
    <col min="2" max="2" width="12.21875" style="2" customWidth="1"/>
    <col min="3" max="3" width="8.77734375" style="2" customWidth="1"/>
    <col min="4" max="4" width="17.33203125" style="5" customWidth="1"/>
    <col min="5" max="5" width="14.88671875" style="5" customWidth="1"/>
    <col min="6" max="6" width="21" style="5" customWidth="1"/>
    <col min="7" max="7" width="10.88671875" style="5" customWidth="1"/>
    <col min="8" max="8" width="10.77734375" style="6" customWidth="1"/>
    <col min="9" max="9" width="13.33203125" style="6" customWidth="1"/>
    <col min="10" max="10" width="10.5546875" style="6" customWidth="1"/>
    <col min="11" max="12" width="13.21875" style="6" customWidth="1"/>
    <col min="13" max="13" width="12.77734375" style="6" customWidth="1"/>
    <col min="14" max="14" width="14.88671875" style="2" customWidth="1"/>
    <col min="15" max="15" width="12.7773437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9" customFormat="1" ht="42.75" customHeight="1" thickBot="1">
      <c r="A1" s="207" t="s">
        <v>153</v>
      </c>
      <c r="B1" s="207" t="s">
        <v>206</v>
      </c>
      <c r="C1" s="207" t="s">
        <v>207</v>
      </c>
      <c r="D1" s="207" t="s">
        <v>162</v>
      </c>
      <c r="E1" s="207" t="s">
        <v>115</v>
      </c>
      <c r="F1" s="207" t="s">
        <v>257</v>
      </c>
      <c r="G1" s="210" t="s">
        <v>290</v>
      </c>
      <c r="H1" s="210" t="s">
        <v>291</v>
      </c>
      <c r="I1" s="211" t="s">
        <v>544</v>
      </c>
      <c r="J1" s="211" t="s">
        <v>545</v>
      </c>
      <c r="K1" s="211" t="s">
        <v>409</v>
      </c>
      <c r="L1" s="211" t="s">
        <v>565</v>
      </c>
      <c r="M1" s="211" t="s">
        <v>410</v>
      </c>
      <c r="N1" s="210" t="s">
        <v>392</v>
      </c>
      <c r="O1" s="207" t="s">
        <v>413</v>
      </c>
      <c r="P1" s="207" t="s">
        <v>154</v>
      </c>
      <c r="Q1" s="207" t="s">
        <v>267</v>
      </c>
      <c r="R1" s="207" t="s">
        <v>155</v>
      </c>
    </row>
    <row r="2" spans="1:18" s="22" customFormat="1" ht="21.75" customHeight="1">
      <c r="A2" s="41">
        <v>1</v>
      </c>
      <c r="B2" s="166" t="s">
        <v>1318</v>
      </c>
      <c r="C2" s="166" t="s">
        <v>1319</v>
      </c>
      <c r="D2" s="256" t="s">
        <v>1320</v>
      </c>
      <c r="E2" s="166" t="s">
        <v>637</v>
      </c>
      <c r="F2" s="257" t="s">
        <v>1321</v>
      </c>
      <c r="G2" s="41">
        <v>8</v>
      </c>
      <c r="H2" s="49">
        <v>1164</v>
      </c>
      <c r="I2" s="49">
        <v>0</v>
      </c>
      <c r="J2" s="49">
        <v>8</v>
      </c>
      <c r="K2" s="49">
        <v>2</v>
      </c>
      <c r="L2" s="49">
        <v>0</v>
      </c>
      <c r="M2" s="49">
        <v>0</v>
      </c>
      <c r="N2" s="251" t="s">
        <v>654</v>
      </c>
      <c r="O2" s="159" t="s">
        <v>450</v>
      </c>
      <c r="P2" s="43" t="s">
        <v>27</v>
      </c>
      <c r="Q2" s="44">
        <v>41241</v>
      </c>
      <c r="R2" s="48" t="s">
        <v>1322</v>
      </c>
    </row>
    <row r="3" spans="1:18" s="22" customFormat="1" ht="21.75" customHeight="1">
      <c r="A3" s="26">
        <v>2</v>
      </c>
      <c r="B3" s="85" t="s">
        <v>1318</v>
      </c>
      <c r="C3" s="85" t="s">
        <v>1323</v>
      </c>
      <c r="D3" s="37" t="s">
        <v>1324</v>
      </c>
      <c r="E3" s="85" t="s">
        <v>813</v>
      </c>
      <c r="F3" s="252" t="s">
        <v>1325</v>
      </c>
      <c r="G3" s="26">
        <v>2</v>
      </c>
      <c r="H3" s="32">
        <v>313</v>
      </c>
      <c r="I3" s="32">
        <v>0</v>
      </c>
      <c r="J3" s="32">
        <v>2</v>
      </c>
      <c r="K3" s="32">
        <v>0</v>
      </c>
      <c r="L3" s="32">
        <v>0</v>
      </c>
      <c r="M3" s="32">
        <v>0</v>
      </c>
      <c r="N3" s="112" t="s">
        <v>654</v>
      </c>
      <c r="O3" s="67" t="s">
        <v>450</v>
      </c>
      <c r="P3" s="29" t="s">
        <v>27</v>
      </c>
      <c r="Q3" s="35">
        <v>40909</v>
      </c>
      <c r="R3" s="28"/>
    </row>
    <row r="4" spans="1:18" s="22" customFormat="1" ht="21.75" customHeight="1">
      <c r="A4" s="26">
        <v>3</v>
      </c>
      <c r="B4" s="27" t="s">
        <v>147</v>
      </c>
      <c r="C4" s="85" t="s">
        <v>1323</v>
      </c>
      <c r="D4" s="37" t="s">
        <v>1326</v>
      </c>
      <c r="E4" s="85" t="s">
        <v>634</v>
      </c>
      <c r="F4" s="37" t="s">
        <v>1327</v>
      </c>
      <c r="G4" s="26">
        <v>3</v>
      </c>
      <c r="H4" s="31">
        <v>461</v>
      </c>
      <c r="I4" s="32">
        <v>0</v>
      </c>
      <c r="J4" s="31">
        <v>3</v>
      </c>
      <c r="K4" s="31">
        <v>2</v>
      </c>
      <c r="L4" s="31">
        <v>0</v>
      </c>
      <c r="M4" s="31">
        <v>0</v>
      </c>
      <c r="N4" s="112" t="s">
        <v>633</v>
      </c>
      <c r="O4" s="33" t="s">
        <v>451</v>
      </c>
      <c r="P4" s="29" t="s">
        <v>308</v>
      </c>
      <c r="Q4" s="35">
        <v>40709</v>
      </c>
      <c r="R4" s="28"/>
    </row>
    <row r="5" spans="1:18" s="24" customFormat="1" ht="21.75" customHeight="1">
      <c r="A5" s="26">
        <v>4</v>
      </c>
      <c r="B5" s="27" t="s">
        <v>147</v>
      </c>
      <c r="C5" s="27" t="s">
        <v>184</v>
      </c>
      <c r="D5" s="37" t="s">
        <v>1333</v>
      </c>
      <c r="E5" s="27" t="s">
        <v>146</v>
      </c>
      <c r="F5" s="28" t="s">
        <v>1334</v>
      </c>
      <c r="G5" s="26">
        <v>10</v>
      </c>
      <c r="H5" s="31">
        <v>1634</v>
      </c>
      <c r="I5" s="31">
        <v>0</v>
      </c>
      <c r="J5" s="31">
        <v>10</v>
      </c>
      <c r="K5" s="31">
        <v>4</v>
      </c>
      <c r="L5" s="31">
        <v>0</v>
      </c>
      <c r="M5" s="29">
        <v>0</v>
      </c>
      <c r="N5" s="39" t="s">
        <v>125</v>
      </c>
      <c r="O5" s="85" t="s">
        <v>25</v>
      </c>
      <c r="P5" s="26" t="s">
        <v>127</v>
      </c>
      <c r="Q5" s="35">
        <v>39072</v>
      </c>
      <c r="R5" s="28"/>
    </row>
    <row r="6" spans="1:18" s="16" customFormat="1" ht="21.75" customHeight="1">
      <c r="A6" s="41">
        <v>5</v>
      </c>
      <c r="B6" s="26" t="s">
        <v>147</v>
      </c>
      <c r="C6" s="26" t="s">
        <v>184</v>
      </c>
      <c r="D6" s="30" t="s">
        <v>373</v>
      </c>
      <c r="E6" s="26" t="s">
        <v>146</v>
      </c>
      <c r="F6" s="30" t="s">
        <v>1328</v>
      </c>
      <c r="G6" s="26">
        <v>10</v>
      </c>
      <c r="H6" s="32">
        <v>2018</v>
      </c>
      <c r="I6" s="32">
        <v>0</v>
      </c>
      <c r="J6" s="32">
        <v>10</v>
      </c>
      <c r="K6" s="32">
        <v>2</v>
      </c>
      <c r="L6" s="32">
        <v>0</v>
      </c>
      <c r="M6" s="32">
        <v>0</v>
      </c>
      <c r="N6" s="39" t="s">
        <v>125</v>
      </c>
      <c r="O6" s="33" t="s">
        <v>450</v>
      </c>
      <c r="P6" s="29" t="s">
        <v>27</v>
      </c>
      <c r="Q6" s="35">
        <v>37939</v>
      </c>
      <c r="R6" s="29"/>
    </row>
    <row r="7" spans="1:18" s="16" customFormat="1" ht="21.75" customHeight="1">
      <c r="A7" s="26">
        <v>6</v>
      </c>
      <c r="B7" s="27" t="s">
        <v>147</v>
      </c>
      <c r="C7" s="27" t="s">
        <v>184</v>
      </c>
      <c r="D7" s="28" t="s">
        <v>1</v>
      </c>
      <c r="E7" s="27" t="s">
        <v>632</v>
      </c>
      <c r="F7" s="250" t="s">
        <v>1335</v>
      </c>
      <c r="G7" s="26">
        <v>8</v>
      </c>
      <c r="H7" s="32">
        <v>1203</v>
      </c>
      <c r="I7" s="32">
        <v>0</v>
      </c>
      <c r="J7" s="32">
        <v>8</v>
      </c>
      <c r="K7" s="32">
        <v>1</v>
      </c>
      <c r="L7" s="173">
        <v>0</v>
      </c>
      <c r="M7" s="32">
        <v>0</v>
      </c>
      <c r="N7" s="39" t="s">
        <v>125</v>
      </c>
      <c r="O7" s="67" t="s">
        <v>450</v>
      </c>
      <c r="P7" s="29" t="s">
        <v>27</v>
      </c>
      <c r="Q7" s="35">
        <v>38834</v>
      </c>
      <c r="R7" s="28"/>
    </row>
    <row r="8" spans="1:18" s="16" customFormat="1" ht="21.75" customHeight="1">
      <c r="A8" s="26">
        <v>7</v>
      </c>
      <c r="B8" s="33" t="s">
        <v>1329</v>
      </c>
      <c r="C8" s="33" t="s">
        <v>1330</v>
      </c>
      <c r="D8" s="65" t="s">
        <v>1331</v>
      </c>
      <c r="E8" s="33" t="s">
        <v>634</v>
      </c>
      <c r="F8" s="38" t="s">
        <v>1332</v>
      </c>
      <c r="G8" s="26">
        <v>7</v>
      </c>
      <c r="H8" s="31">
        <v>759</v>
      </c>
      <c r="I8" s="32">
        <v>0</v>
      </c>
      <c r="J8" s="31">
        <v>7</v>
      </c>
      <c r="K8" s="31">
        <v>0</v>
      </c>
      <c r="L8" s="31">
        <v>0</v>
      </c>
      <c r="M8" s="31">
        <v>0</v>
      </c>
      <c r="N8" s="112" t="s">
        <v>633</v>
      </c>
      <c r="O8" s="33" t="s">
        <v>451</v>
      </c>
      <c r="P8" s="29" t="s">
        <v>308</v>
      </c>
      <c r="Q8" s="35">
        <v>41359</v>
      </c>
      <c r="R8" s="29"/>
    </row>
    <row r="9" spans="1:18" s="16" customFormat="1" ht="21.75" customHeight="1">
      <c r="A9" s="26">
        <v>8</v>
      </c>
      <c r="B9" s="33" t="s">
        <v>1329</v>
      </c>
      <c r="C9" s="33" t="s">
        <v>1330</v>
      </c>
      <c r="D9" s="65" t="s">
        <v>1336</v>
      </c>
      <c r="E9" s="33" t="s">
        <v>634</v>
      </c>
      <c r="F9" s="38" t="s">
        <v>1337</v>
      </c>
      <c r="G9" s="26">
        <v>6</v>
      </c>
      <c r="H9" s="31">
        <v>908</v>
      </c>
      <c r="I9" s="32">
        <v>0</v>
      </c>
      <c r="J9" s="31">
        <v>6</v>
      </c>
      <c r="K9" s="31">
        <v>2</v>
      </c>
      <c r="L9" s="31">
        <v>0</v>
      </c>
      <c r="M9" s="31">
        <v>0</v>
      </c>
      <c r="N9" s="112" t="s">
        <v>633</v>
      </c>
      <c r="O9" s="33" t="s">
        <v>451</v>
      </c>
      <c r="P9" s="29" t="s">
        <v>308</v>
      </c>
      <c r="Q9" s="35">
        <v>41243</v>
      </c>
      <c r="R9" s="29"/>
    </row>
    <row r="10" spans="1:18" s="16" customFormat="1" ht="21.75" customHeight="1">
      <c r="A10" s="41">
        <v>9</v>
      </c>
      <c r="B10" s="26" t="s">
        <v>147</v>
      </c>
      <c r="C10" s="26" t="s">
        <v>302</v>
      </c>
      <c r="D10" s="30" t="s">
        <v>1338</v>
      </c>
      <c r="E10" s="26" t="s">
        <v>146</v>
      </c>
      <c r="F10" s="30" t="s">
        <v>1339</v>
      </c>
      <c r="G10" s="26">
        <v>4</v>
      </c>
      <c r="H10" s="31">
        <v>851</v>
      </c>
      <c r="I10" s="32">
        <f>G10-J10</f>
        <v>0</v>
      </c>
      <c r="J10" s="31">
        <v>4</v>
      </c>
      <c r="K10" s="31">
        <v>0</v>
      </c>
      <c r="L10" s="31">
        <v>0</v>
      </c>
      <c r="M10" s="53">
        <v>0</v>
      </c>
      <c r="N10" s="39" t="s">
        <v>125</v>
      </c>
      <c r="O10" s="33" t="s">
        <v>81</v>
      </c>
      <c r="P10" s="29" t="s">
        <v>28</v>
      </c>
      <c r="Q10" s="35">
        <v>38869</v>
      </c>
      <c r="R10" s="28"/>
    </row>
    <row r="11" spans="1:18" s="111" customFormat="1" ht="21.75" customHeight="1">
      <c r="A11" s="26">
        <v>10</v>
      </c>
      <c r="B11" s="54" t="s">
        <v>147</v>
      </c>
      <c r="C11" s="54" t="s">
        <v>281</v>
      </c>
      <c r="D11" s="30" t="s">
        <v>163</v>
      </c>
      <c r="E11" s="26" t="s">
        <v>125</v>
      </c>
      <c r="F11" s="30" t="s">
        <v>1465</v>
      </c>
      <c r="G11" s="26">
        <v>1</v>
      </c>
      <c r="H11" s="31">
        <v>144</v>
      </c>
      <c r="I11" s="31">
        <v>0</v>
      </c>
      <c r="J11" s="31">
        <v>1</v>
      </c>
      <c r="K11" s="31">
        <v>0</v>
      </c>
      <c r="L11" s="31">
        <v>0</v>
      </c>
      <c r="M11" s="53">
        <v>0</v>
      </c>
      <c r="N11" s="39" t="s">
        <v>125</v>
      </c>
      <c r="O11" s="54" t="s">
        <v>414</v>
      </c>
      <c r="P11" s="60"/>
      <c r="Q11" s="57" t="s">
        <v>7</v>
      </c>
      <c r="R11" s="56"/>
    </row>
    <row r="12" spans="1:18" s="16" customFormat="1" ht="21.75" customHeight="1">
      <c r="A12" s="26">
        <v>11</v>
      </c>
      <c r="B12" s="26" t="s">
        <v>1329</v>
      </c>
      <c r="C12" s="26" t="s">
        <v>1340</v>
      </c>
      <c r="D12" s="30" t="s">
        <v>1341</v>
      </c>
      <c r="E12" s="26" t="s">
        <v>868</v>
      </c>
      <c r="F12" s="30" t="s">
        <v>1342</v>
      </c>
      <c r="G12" s="26">
        <v>6</v>
      </c>
      <c r="H12" s="31">
        <v>958</v>
      </c>
      <c r="I12" s="32">
        <v>0</v>
      </c>
      <c r="J12" s="31">
        <v>6</v>
      </c>
      <c r="K12" s="31">
        <v>0</v>
      </c>
      <c r="L12" s="31">
        <v>0</v>
      </c>
      <c r="M12" s="53">
        <v>0</v>
      </c>
      <c r="N12" s="39" t="s">
        <v>633</v>
      </c>
      <c r="O12" s="85" t="s">
        <v>25</v>
      </c>
      <c r="P12" s="26" t="s">
        <v>127</v>
      </c>
      <c r="Q12" s="35">
        <v>41913</v>
      </c>
      <c r="R12" s="28" t="s">
        <v>1343</v>
      </c>
    </row>
    <row r="13" spans="1:18" s="16" customFormat="1" ht="21.75" customHeight="1">
      <c r="A13" s="26">
        <v>12</v>
      </c>
      <c r="B13" s="27" t="s">
        <v>1329</v>
      </c>
      <c r="C13" s="85" t="s">
        <v>1340</v>
      </c>
      <c r="D13" s="37" t="s">
        <v>1344</v>
      </c>
      <c r="E13" s="85" t="s">
        <v>868</v>
      </c>
      <c r="F13" s="37" t="s">
        <v>1345</v>
      </c>
      <c r="G13" s="26">
        <v>5</v>
      </c>
      <c r="H13" s="31">
        <v>792</v>
      </c>
      <c r="I13" s="32">
        <v>0</v>
      </c>
      <c r="J13" s="31">
        <v>5</v>
      </c>
      <c r="K13" s="31">
        <v>0</v>
      </c>
      <c r="L13" s="31">
        <v>0</v>
      </c>
      <c r="M13" s="31">
        <v>0</v>
      </c>
      <c r="N13" s="112" t="s">
        <v>633</v>
      </c>
      <c r="O13" s="33" t="s">
        <v>451</v>
      </c>
      <c r="P13" s="29" t="s">
        <v>308</v>
      </c>
      <c r="Q13" s="35">
        <v>41745</v>
      </c>
      <c r="R13" s="28" t="s">
        <v>1346</v>
      </c>
    </row>
    <row r="14" spans="1:18" s="16" customFormat="1" ht="21.75" customHeight="1">
      <c r="A14" s="41">
        <v>13</v>
      </c>
      <c r="B14" s="59" t="s">
        <v>147</v>
      </c>
      <c r="C14" s="54" t="s">
        <v>303</v>
      </c>
      <c r="D14" s="30" t="s">
        <v>304</v>
      </c>
      <c r="E14" s="26" t="s">
        <v>125</v>
      </c>
      <c r="F14" s="30" t="s">
        <v>1466</v>
      </c>
      <c r="G14" s="26">
        <v>1</v>
      </c>
      <c r="H14" s="29">
        <v>95</v>
      </c>
      <c r="I14" s="31">
        <v>0</v>
      </c>
      <c r="J14" s="29">
        <v>1</v>
      </c>
      <c r="K14" s="29">
        <v>0</v>
      </c>
      <c r="L14" s="29">
        <v>0</v>
      </c>
      <c r="M14" s="53">
        <v>0</v>
      </c>
      <c r="N14" s="39" t="s">
        <v>125</v>
      </c>
      <c r="O14" s="54" t="s">
        <v>415</v>
      </c>
      <c r="P14" s="54" t="s">
        <v>11</v>
      </c>
      <c r="Q14" s="57">
        <v>40856</v>
      </c>
      <c r="R14" s="140" t="s">
        <v>443</v>
      </c>
    </row>
    <row r="15" spans="1:18" s="160" customFormat="1" ht="21.75" customHeight="1">
      <c r="A15" s="26">
        <v>14</v>
      </c>
      <c r="B15" s="26" t="s">
        <v>147</v>
      </c>
      <c r="C15" s="26" t="s">
        <v>279</v>
      </c>
      <c r="D15" s="29" t="s">
        <v>23</v>
      </c>
      <c r="E15" s="26" t="s">
        <v>146</v>
      </c>
      <c r="F15" s="29" t="s">
        <v>1348</v>
      </c>
      <c r="G15" s="26">
        <v>8</v>
      </c>
      <c r="H15" s="31">
        <v>1464</v>
      </c>
      <c r="I15" s="31">
        <f>G15-J15</f>
        <v>0</v>
      </c>
      <c r="J15" s="31">
        <v>8</v>
      </c>
      <c r="K15" s="31">
        <v>0</v>
      </c>
      <c r="L15" s="31">
        <v>0</v>
      </c>
      <c r="M15" s="29">
        <v>0</v>
      </c>
      <c r="N15" s="39" t="s">
        <v>633</v>
      </c>
      <c r="O15" s="85" t="s">
        <v>25</v>
      </c>
      <c r="P15" s="26" t="s">
        <v>127</v>
      </c>
      <c r="Q15" s="35">
        <v>38963</v>
      </c>
      <c r="R15" s="29"/>
    </row>
    <row r="16" spans="1:18" s="16" customFormat="1" ht="21.75" customHeight="1">
      <c r="A16" s="26">
        <v>15</v>
      </c>
      <c r="B16" s="26" t="s">
        <v>147</v>
      </c>
      <c r="C16" s="26" t="s">
        <v>279</v>
      </c>
      <c r="D16" s="29" t="s">
        <v>354</v>
      </c>
      <c r="E16" s="26" t="s">
        <v>144</v>
      </c>
      <c r="F16" s="29" t="s">
        <v>1347</v>
      </c>
      <c r="G16" s="26">
        <v>7</v>
      </c>
      <c r="H16" s="31">
        <v>1244</v>
      </c>
      <c r="I16" s="31">
        <f>G16-J16</f>
        <v>0</v>
      </c>
      <c r="J16" s="31">
        <v>7</v>
      </c>
      <c r="K16" s="31">
        <v>4</v>
      </c>
      <c r="L16" s="31">
        <v>0</v>
      </c>
      <c r="M16" s="29">
        <v>0</v>
      </c>
      <c r="N16" s="39" t="s">
        <v>631</v>
      </c>
      <c r="O16" s="85" t="s">
        <v>25</v>
      </c>
      <c r="P16" s="26" t="s">
        <v>127</v>
      </c>
      <c r="Q16" s="35">
        <v>39324</v>
      </c>
      <c r="R16" s="29"/>
    </row>
    <row r="17" spans="1:18" s="111" customFormat="1" ht="21.75" customHeight="1">
      <c r="A17" s="26">
        <v>16</v>
      </c>
      <c r="B17" s="26" t="s">
        <v>147</v>
      </c>
      <c r="C17" s="26" t="s">
        <v>279</v>
      </c>
      <c r="D17" s="65" t="s">
        <v>1349</v>
      </c>
      <c r="E17" s="33" t="s">
        <v>632</v>
      </c>
      <c r="F17" s="30" t="s">
        <v>1350</v>
      </c>
      <c r="G17" s="26">
        <v>8</v>
      </c>
      <c r="H17" s="32">
        <v>1528</v>
      </c>
      <c r="I17" s="32">
        <f>G17-J17</f>
        <v>0</v>
      </c>
      <c r="J17" s="32">
        <v>8</v>
      </c>
      <c r="K17" s="32">
        <v>3</v>
      </c>
      <c r="L17" s="32">
        <v>0</v>
      </c>
      <c r="M17" s="32">
        <v>0</v>
      </c>
      <c r="N17" s="39" t="s">
        <v>125</v>
      </c>
      <c r="O17" s="67" t="s">
        <v>450</v>
      </c>
      <c r="P17" s="29" t="s">
        <v>27</v>
      </c>
      <c r="Q17" s="35">
        <v>38090</v>
      </c>
      <c r="R17" s="29"/>
    </row>
    <row r="18" spans="1:18" ht="21.75" customHeight="1">
      <c r="G18" s="83"/>
      <c r="H18" s="97"/>
      <c r="I18" s="97"/>
      <c r="J18" s="97"/>
      <c r="K18" s="97"/>
      <c r="L18" s="97"/>
      <c r="M18" s="97"/>
    </row>
  </sheetData>
  <autoFilter ref="A1:V19"/>
  <sortState ref="A2:R32">
    <sortCondition ref="C2:C32"/>
    <sortCondition ref="D2:D32"/>
  </sortState>
  <phoneticPr fontId="28" type="noConversion"/>
  <pageMargins left="0.25999999046325684" right="0.19680555164813995" top="0.94999998807907104" bottom="0.98430556058883667" header="0.5" footer="0.5"/>
  <pageSetup paperSize="9" scale="99" orientation="landscape" horizontalDpi="300" verticalDpi="300" r:id="rId1"/>
  <headerFooter alignWithMargins="0">
    <oddHeader>&amp;L&amp;"돋움,Bold"전국극장현황&amp;C&amp;"돋움,Bold"경상북도&amp;R&amp;"돋움,Bold"2006. 12. 31 기준</oddHeader>
    <oddFooter>&amp;C&amp;"돋움,Regular"&amp;P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26"/>
  <sheetViews>
    <sheetView zoomScaleSheetLayoutView="75" workbookViewId="0">
      <pane xSplit="4" ySplit="1" topLeftCell="E14" activePane="bottomRight" state="frozen"/>
      <selection pane="topRight" activeCell="E1" sqref="E1"/>
      <selection pane="bottomLeft" activeCell="A2" sqref="A2"/>
      <selection pane="bottomRight" activeCell="H25" sqref="H25"/>
    </sheetView>
  </sheetViews>
  <sheetFormatPr defaultRowHeight="21.75" customHeight="1"/>
  <cols>
    <col min="1" max="1" width="6.88671875" style="5" customWidth="1"/>
    <col min="2" max="2" width="12.21875" style="2" customWidth="1"/>
    <col min="3" max="3" width="8.77734375" style="2" customWidth="1"/>
    <col min="4" max="4" width="20.88671875" style="5" customWidth="1"/>
    <col min="5" max="5" width="17.77734375" style="5" customWidth="1"/>
    <col min="6" max="6" width="38.88671875" style="5" customWidth="1"/>
    <col min="7" max="7" width="10.44140625" style="5" customWidth="1"/>
    <col min="8" max="8" width="11.21875" style="25" customWidth="1"/>
    <col min="9" max="9" width="13" style="25" customWidth="1"/>
    <col min="10" max="10" width="11.109375" style="25" customWidth="1"/>
    <col min="11" max="12" width="11.88671875" style="25" customWidth="1"/>
    <col min="13" max="13" width="11.33203125" style="25" customWidth="1"/>
    <col min="14" max="14" width="14.33203125" style="2" customWidth="1"/>
    <col min="15" max="15" width="15.554687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5" customFormat="1" ht="43.5" customHeight="1" thickBot="1">
      <c r="A1" s="45" t="s">
        <v>153</v>
      </c>
      <c r="B1" s="45" t="s">
        <v>206</v>
      </c>
      <c r="C1" s="45" t="s">
        <v>207</v>
      </c>
      <c r="D1" s="45" t="s">
        <v>162</v>
      </c>
      <c r="E1" s="45" t="s">
        <v>115</v>
      </c>
      <c r="F1" s="45" t="s">
        <v>257</v>
      </c>
      <c r="G1" s="46" t="s">
        <v>290</v>
      </c>
      <c r="H1" s="46" t="s">
        <v>291</v>
      </c>
      <c r="I1" s="52" t="s">
        <v>544</v>
      </c>
      <c r="J1" s="52" t="s">
        <v>545</v>
      </c>
      <c r="K1" s="52" t="s">
        <v>409</v>
      </c>
      <c r="L1" s="52" t="s">
        <v>565</v>
      </c>
      <c r="M1" s="52" t="s">
        <v>410</v>
      </c>
      <c r="N1" s="46" t="s">
        <v>392</v>
      </c>
      <c r="O1" s="45" t="s">
        <v>69</v>
      </c>
      <c r="P1" s="45" t="s">
        <v>154</v>
      </c>
      <c r="Q1" s="45" t="s">
        <v>267</v>
      </c>
      <c r="R1" s="45" t="s">
        <v>155</v>
      </c>
    </row>
    <row r="2" spans="1:18" s="16" customFormat="1" ht="21.75" customHeight="1" thickTop="1">
      <c r="A2" s="41">
        <v>1</v>
      </c>
      <c r="B2" s="47" t="s">
        <v>148</v>
      </c>
      <c r="C2" s="47" t="s">
        <v>183</v>
      </c>
      <c r="D2" s="48" t="s">
        <v>95</v>
      </c>
      <c r="E2" s="47" t="s">
        <v>146</v>
      </c>
      <c r="F2" s="48" t="s">
        <v>1351</v>
      </c>
      <c r="G2" s="41">
        <v>7</v>
      </c>
      <c r="H2" s="42">
        <v>1109</v>
      </c>
      <c r="I2" s="42">
        <f>G2-J2</f>
        <v>0</v>
      </c>
      <c r="J2" s="42">
        <v>7</v>
      </c>
      <c r="K2" s="42">
        <v>2</v>
      </c>
      <c r="L2" s="42">
        <v>0</v>
      </c>
      <c r="M2" s="42">
        <v>0</v>
      </c>
      <c r="N2" s="243" t="s">
        <v>125</v>
      </c>
      <c r="O2" s="166" t="s">
        <v>25</v>
      </c>
      <c r="P2" s="41" t="s">
        <v>127</v>
      </c>
      <c r="Q2" s="44">
        <v>38988</v>
      </c>
      <c r="R2" s="48"/>
    </row>
    <row r="3" spans="1:18" s="16" customFormat="1" ht="21.75" customHeight="1">
      <c r="A3" s="26">
        <v>2</v>
      </c>
      <c r="B3" s="85" t="s">
        <v>490</v>
      </c>
      <c r="C3" s="85" t="s">
        <v>491</v>
      </c>
      <c r="D3" s="37" t="s">
        <v>496</v>
      </c>
      <c r="E3" s="85" t="s">
        <v>432</v>
      </c>
      <c r="F3" s="37" t="s">
        <v>497</v>
      </c>
      <c r="G3" s="26">
        <v>6</v>
      </c>
      <c r="H3" s="32">
        <v>814</v>
      </c>
      <c r="I3" s="31">
        <v>0</v>
      </c>
      <c r="J3" s="31">
        <v>6</v>
      </c>
      <c r="K3" s="31">
        <v>0</v>
      </c>
      <c r="L3" s="31">
        <v>0</v>
      </c>
      <c r="M3" s="31">
        <v>0</v>
      </c>
      <c r="N3" s="112" t="s">
        <v>432</v>
      </c>
      <c r="O3" s="85" t="s">
        <v>498</v>
      </c>
      <c r="P3" s="174" t="s">
        <v>499</v>
      </c>
      <c r="Q3" s="35" t="s">
        <v>531</v>
      </c>
      <c r="R3" s="37" t="s">
        <v>1470</v>
      </c>
    </row>
    <row r="4" spans="1:18" s="16" customFormat="1" ht="21.75" customHeight="1">
      <c r="A4" s="26">
        <v>3</v>
      </c>
      <c r="B4" s="26" t="s">
        <v>148</v>
      </c>
      <c r="C4" s="26" t="s">
        <v>204</v>
      </c>
      <c r="D4" s="30" t="s">
        <v>566</v>
      </c>
      <c r="E4" s="26" t="s">
        <v>125</v>
      </c>
      <c r="F4" s="29" t="s">
        <v>1467</v>
      </c>
      <c r="G4" s="26">
        <v>2</v>
      </c>
      <c r="H4" s="31">
        <v>410</v>
      </c>
      <c r="I4" s="31">
        <v>0</v>
      </c>
      <c r="J4" s="31">
        <v>2</v>
      </c>
      <c r="K4" s="31">
        <v>0</v>
      </c>
      <c r="L4" s="31">
        <v>0</v>
      </c>
      <c r="M4" s="31">
        <v>0</v>
      </c>
      <c r="N4" s="39" t="s">
        <v>125</v>
      </c>
      <c r="O4" s="26" t="s">
        <v>48</v>
      </c>
      <c r="P4" s="28"/>
      <c r="Q4" s="27" t="s">
        <v>6</v>
      </c>
      <c r="R4" s="28"/>
    </row>
    <row r="5" spans="1:18" s="22" customFormat="1" ht="21.75" customHeight="1">
      <c r="A5" s="26">
        <v>4</v>
      </c>
      <c r="B5" s="26" t="s">
        <v>148</v>
      </c>
      <c r="C5" s="26" t="s">
        <v>249</v>
      </c>
      <c r="D5" s="29" t="s">
        <v>49</v>
      </c>
      <c r="E5" s="26" t="s">
        <v>144</v>
      </c>
      <c r="F5" s="29" t="s">
        <v>1352</v>
      </c>
      <c r="G5" s="26">
        <v>9</v>
      </c>
      <c r="H5" s="31">
        <v>1546</v>
      </c>
      <c r="I5" s="31">
        <f>G5-J5</f>
        <v>0</v>
      </c>
      <c r="J5" s="31">
        <v>9</v>
      </c>
      <c r="K5" s="31">
        <v>4</v>
      </c>
      <c r="L5" s="31">
        <v>0</v>
      </c>
      <c r="M5" s="31">
        <v>0</v>
      </c>
      <c r="N5" s="39" t="s">
        <v>654</v>
      </c>
      <c r="O5" s="85" t="s">
        <v>25</v>
      </c>
      <c r="P5" s="26" t="s">
        <v>127</v>
      </c>
      <c r="Q5" s="35">
        <v>38423</v>
      </c>
      <c r="R5" s="31"/>
    </row>
    <row r="6" spans="1:18" s="16" customFormat="1" ht="21.75" customHeight="1">
      <c r="A6" s="26">
        <v>5</v>
      </c>
      <c r="B6" s="26" t="s">
        <v>1353</v>
      </c>
      <c r="C6" s="33" t="s">
        <v>1354</v>
      </c>
      <c r="D6" s="30" t="s">
        <v>1355</v>
      </c>
      <c r="E6" s="26" t="s">
        <v>1356</v>
      </c>
      <c r="F6" s="30" t="s">
        <v>1357</v>
      </c>
      <c r="G6" s="26">
        <v>7</v>
      </c>
      <c r="H6" s="32">
        <v>1121</v>
      </c>
      <c r="I6" s="32">
        <v>0</v>
      </c>
      <c r="J6" s="32">
        <v>7</v>
      </c>
      <c r="K6" s="32">
        <v>2</v>
      </c>
      <c r="L6" s="32">
        <v>0</v>
      </c>
      <c r="M6" s="32">
        <v>0</v>
      </c>
      <c r="N6" s="39" t="s">
        <v>125</v>
      </c>
      <c r="O6" s="33" t="s">
        <v>450</v>
      </c>
      <c r="P6" s="29" t="s">
        <v>27</v>
      </c>
      <c r="Q6" s="35">
        <v>41782</v>
      </c>
      <c r="R6" s="29"/>
    </row>
    <row r="7" spans="1:18" s="16" customFormat="1" ht="21.75" customHeight="1">
      <c r="A7" s="26">
        <v>6</v>
      </c>
      <c r="B7" s="26" t="s">
        <v>1358</v>
      </c>
      <c r="C7" s="26" t="s">
        <v>1359</v>
      </c>
      <c r="D7" s="30" t="s">
        <v>1360</v>
      </c>
      <c r="E7" s="26" t="s">
        <v>791</v>
      </c>
      <c r="F7" s="30" t="s">
        <v>1361</v>
      </c>
      <c r="G7" s="26">
        <v>6</v>
      </c>
      <c r="H7" s="32">
        <v>1023</v>
      </c>
      <c r="I7" s="32">
        <v>0</v>
      </c>
      <c r="J7" s="32">
        <v>6</v>
      </c>
      <c r="K7" s="32">
        <v>3</v>
      </c>
      <c r="L7" s="32">
        <v>0</v>
      </c>
      <c r="M7" s="32">
        <v>0</v>
      </c>
      <c r="N7" s="39" t="s">
        <v>627</v>
      </c>
      <c r="O7" s="67" t="s">
        <v>450</v>
      </c>
      <c r="P7" s="29" t="s">
        <v>27</v>
      </c>
      <c r="Q7" s="35">
        <v>41456</v>
      </c>
      <c r="R7" s="29"/>
    </row>
    <row r="8" spans="1:18" s="16" customFormat="1" ht="21.75" customHeight="1">
      <c r="A8" s="26">
        <v>7</v>
      </c>
      <c r="B8" s="54" t="s">
        <v>148</v>
      </c>
      <c r="C8" s="54" t="s">
        <v>250</v>
      </c>
      <c r="D8" s="30" t="s">
        <v>164</v>
      </c>
      <c r="E8" s="26" t="s">
        <v>125</v>
      </c>
      <c r="F8" s="28" t="s">
        <v>1468</v>
      </c>
      <c r="G8" s="26">
        <v>2</v>
      </c>
      <c r="H8" s="31">
        <v>300</v>
      </c>
      <c r="I8" s="31">
        <v>0</v>
      </c>
      <c r="J8" s="31">
        <v>2</v>
      </c>
      <c r="K8" s="31">
        <v>0</v>
      </c>
      <c r="L8" s="31">
        <v>0</v>
      </c>
      <c r="M8" s="31">
        <v>0</v>
      </c>
      <c r="N8" s="39" t="s">
        <v>125</v>
      </c>
      <c r="O8" s="54" t="s">
        <v>79</v>
      </c>
      <c r="P8" s="138" t="s">
        <v>485</v>
      </c>
      <c r="Q8" s="139" t="s">
        <v>449</v>
      </c>
      <c r="R8" s="60"/>
    </row>
    <row r="9" spans="1:18" s="22" customFormat="1" ht="21.75" customHeight="1">
      <c r="A9" s="26">
        <v>8</v>
      </c>
      <c r="B9" s="26" t="s">
        <v>148</v>
      </c>
      <c r="C9" s="26" t="s">
        <v>284</v>
      </c>
      <c r="D9" s="30" t="s">
        <v>377</v>
      </c>
      <c r="E9" s="26" t="s">
        <v>146</v>
      </c>
      <c r="F9" s="250" t="s">
        <v>1362</v>
      </c>
      <c r="G9" s="26">
        <v>6</v>
      </c>
      <c r="H9" s="32">
        <v>933</v>
      </c>
      <c r="I9" s="32">
        <v>0</v>
      </c>
      <c r="J9" s="32">
        <v>6</v>
      </c>
      <c r="K9" s="32">
        <v>2</v>
      </c>
      <c r="L9" s="32">
        <v>0</v>
      </c>
      <c r="M9" s="32">
        <v>0</v>
      </c>
      <c r="N9" s="39" t="s">
        <v>125</v>
      </c>
      <c r="O9" s="33" t="s">
        <v>450</v>
      </c>
      <c r="P9" s="29" t="s">
        <v>27</v>
      </c>
      <c r="Q9" s="27" t="s">
        <v>139</v>
      </c>
      <c r="R9" s="28"/>
    </row>
    <row r="10" spans="1:18" s="22" customFormat="1" ht="21.75" customHeight="1">
      <c r="A10" s="26">
        <v>9</v>
      </c>
      <c r="B10" s="26" t="s">
        <v>148</v>
      </c>
      <c r="C10" s="26" t="s">
        <v>251</v>
      </c>
      <c r="D10" s="29" t="s">
        <v>355</v>
      </c>
      <c r="E10" s="26" t="s">
        <v>146</v>
      </c>
      <c r="F10" s="29" t="s">
        <v>1363</v>
      </c>
      <c r="G10" s="26">
        <v>8</v>
      </c>
      <c r="H10" s="31">
        <v>1289</v>
      </c>
      <c r="I10" s="31">
        <f>G10-J10</f>
        <v>0</v>
      </c>
      <c r="J10" s="31">
        <v>8</v>
      </c>
      <c r="K10" s="31">
        <v>4</v>
      </c>
      <c r="L10" s="31">
        <v>0</v>
      </c>
      <c r="M10" s="31">
        <v>0</v>
      </c>
      <c r="N10" s="39" t="s">
        <v>1364</v>
      </c>
      <c r="O10" s="85" t="s">
        <v>25</v>
      </c>
      <c r="P10" s="26" t="s">
        <v>127</v>
      </c>
      <c r="Q10" s="35">
        <v>39569</v>
      </c>
      <c r="R10" s="28" t="s">
        <v>1365</v>
      </c>
    </row>
    <row r="11" spans="1:18" s="22" customFormat="1" ht="21.75" customHeight="1">
      <c r="A11" s="26">
        <v>10</v>
      </c>
      <c r="B11" s="26" t="s">
        <v>148</v>
      </c>
      <c r="C11" s="26" t="s">
        <v>251</v>
      </c>
      <c r="D11" s="30" t="s">
        <v>47</v>
      </c>
      <c r="E11" s="26" t="s">
        <v>146</v>
      </c>
      <c r="F11" s="30" t="s">
        <v>1366</v>
      </c>
      <c r="G11" s="26">
        <v>9</v>
      </c>
      <c r="H11" s="32">
        <v>2091</v>
      </c>
      <c r="I11" s="32">
        <f>G11-J11</f>
        <v>0</v>
      </c>
      <c r="J11" s="32">
        <v>9</v>
      </c>
      <c r="K11" s="32">
        <v>2</v>
      </c>
      <c r="L11" s="32">
        <v>0</v>
      </c>
      <c r="M11" s="32">
        <v>0</v>
      </c>
      <c r="N11" s="39" t="s">
        <v>125</v>
      </c>
      <c r="O11" s="67" t="s">
        <v>450</v>
      </c>
      <c r="P11" s="29" t="s">
        <v>27</v>
      </c>
      <c r="Q11" s="35">
        <v>38323</v>
      </c>
      <c r="R11" s="28"/>
    </row>
    <row r="12" spans="1:18" s="22" customFormat="1" ht="21.75" customHeight="1">
      <c r="A12" s="26">
        <v>11</v>
      </c>
      <c r="B12" s="26" t="s">
        <v>148</v>
      </c>
      <c r="C12" s="33" t="s">
        <v>1367</v>
      </c>
      <c r="D12" s="29" t="s">
        <v>78</v>
      </c>
      <c r="E12" s="26" t="s">
        <v>144</v>
      </c>
      <c r="F12" s="38" t="s">
        <v>1373</v>
      </c>
      <c r="G12" s="26">
        <v>7</v>
      </c>
      <c r="H12" s="31">
        <v>1178</v>
      </c>
      <c r="I12" s="31">
        <f>G12-J12</f>
        <v>0</v>
      </c>
      <c r="J12" s="31">
        <v>7</v>
      </c>
      <c r="K12" s="31">
        <v>4</v>
      </c>
      <c r="L12" s="31">
        <v>0</v>
      </c>
      <c r="M12" s="31">
        <v>0</v>
      </c>
      <c r="N12" s="39" t="s">
        <v>1374</v>
      </c>
      <c r="O12" s="85" t="s">
        <v>25</v>
      </c>
      <c r="P12" s="26" t="s">
        <v>127</v>
      </c>
      <c r="Q12" s="35">
        <v>38443</v>
      </c>
      <c r="R12" s="29"/>
    </row>
    <row r="13" spans="1:18" s="22" customFormat="1" ht="21.75" customHeight="1">
      <c r="A13" s="26">
        <v>12</v>
      </c>
      <c r="B13" s="26" t="s">
        <v>148</v>
      </c>
      <c r="C13" s="26" t="s">
        <v>252</v>
      </c>
      <c r="D13" s="29" t="s">
        <v>80</v>
      </c>
      <c r="E13" s="26" t="s">
        <v>144</v>
      </c>
      <c r="F13" s="38" t="s">
        <v>1382</v>
      </c>
      <c r="G13" s="26">
        <v>6</v>
      </c>
      <c r="H13" s="31">
        <v>1095</v>
      </c>
      <c r="I13" s="31">
        <f>G13-J13</f>
        <v>0</v>
      </c>
      <c r="J13" s="31">
        <v>6</v>
      </c>
      <c r="K13" s="31">
        <v>3</v>
      </c>
      <c r="L13" s="31">
        <v>0</v>
      </c>
      <c r="M13" s="31">
        <v>1</v>
      </c>
      <c r="N13" s="39" t="s">
        <v>1383</v>
      </c>
      <c r="O13" s="85" t="s">
        <v>25</v>
      </c>
      <c r="P13" s="26" t="s">
        <v>127</v>
      </c>
      <c r="Q13" s="35">
        <v>38253</v>
      </c>
      <c r="R13" s="29"/>
    </row>
    <row r="14" spans="1:18" s="22" customFormat="1" ht="21.75" customHeight="1">
      <c r="A14" s="26">
        <v>13</v>
      </c>
      <c r="B14" s="26" t="s">
        <v>148</v>
      </c>
      <c r="C14" s="26" t="s">
        <v>252</v>
      </c>
      <c r="D14" s="38" t="s">
        <v>1379</v>
      </c>
      <c r="E14" s="26" t="s">
        <v>144</v>
      </c>
      <c r="F14" s="38" t="s">
        <v>1506</v>
      </c>
      <c r="G14" s="26">
        <v>6</v>
      </c>
      <c r="H14" s="31">
        <v>1139</v>
      </c>
      <c r="I14" s="31">
        <f>G14-J14</f>
        <v>0</v>
      </c>
      <c r="J14" s="31">
        <v>6</v>
      </c>
      <c r="K14" s="31">
        <v>3</v>
      </c>
      <c r="L14" s="31">
        <v>1</v>
      </c>
      <c r="M14" s="31">
        <v>0</v>
      </c>
      <c r="N14" s="39" t="s">
        <v>1381</v>
      </c>
      <c r="O14" s="85" t="s">
        <v>25</v>
      </c>
      <c r="P14" s="26" t="s">
        <v>127</v>
      </c>
      <c r="Q14" s="35">
        <v>39594</v>
      </c>
      <c r="R14" s="29"/>
    </row>
    <row r="15" spans="1:18" s="22" customFormat="1" ht="21.75" customHeight="1">
      <c r="A15" s="26">
        <v>14</v>
      </c>
      <c r="B15" s="27" t="s">
        <v>148</v>
      </c>
      <c r="C15" s="85" t="s">
        <v>1367</v>
      </c>
      <c r="D15" s="28" t="s">
        <v>1368</v>
      </c>
      <c r="E15" s="27" t="s">
        <v>632</v>
      </c>
      <c r="F15" s="252" t="s">
        <v>1369</v>
      </c>
      <c r="G15" s="26">
        <v>6</v>
      </c>
      <c r="H15" s="32">
        <v>1189</v>
      </c>
      <c r="I15" s="32">
        <v>0</v>
      </c>
      <c r="J15" s="32">
        <v>6</v>
      </c>
      <c r="K15" s="32">
        <v>2</v>
      </c>
      <c r="L15" s="32">
        <v>0</v>
      </c>
      <c r="M15" s="32">
        <v>0</v>
      </c>
      <c r="N15" s="112" t="s">
        <v>633</v>
      </c>
      <c r="O15" s="33" t="s">
        <v>450</v>
      </c>
      <c r="P15" s="29" t="s">
        <v>27</v>
      </c>
      <c r="Q15" s="35">
        <v>38855</v>
      </c>
      <c r="R15" s="28"/>
    </row>
    <row r="16" spans="1:18" s="16" customFormat="1" ht="21.75" customHeight="1">
      <c r="A16" s="26">
        <v>15</v>
      </c>
      <c r="B16" s="26" t="s">
        <v>148</v>
      </c>
      <c r="C16" s="33" t="s">
        <v>1367</v>
      </c>
      <c r="D16" s="30" t="s">
        <v>2</v>
      </c>
      <c r="E16" s="27" t="s">
        <v>146</v>
      </c>
      <c r="F16" s="65" t="s">
        <v>1375</v>
      </c>
      <c r="G16" s="26">
        <v>7</v>
      </c>
      <c r="H16" s="32">
        <v>1091</v>
      </c>
      <c r="I16" s="32">
        <v>0</v>
      </c>
      <c r="J16" s="32">
        <v>7</v>
      </c>
      <c r="K16" s="32">
        <v>1</v>
      </c>
      <c r="L16" s="173">
        <v>0</v>
      </c>
      <c r="M16" s="32">
        <v>0</v>
      </c>
      <c r="N16" s="39" t="s">
        <v>125</v>
      </c>
      <c r="O16" s="67" t="s">
        <v>450</v>
      </c>
      <c r="P16" s="29" t="s">
        <v>27</v>
      </c>
      <c r="Q16" s="35">
        <v>40466</v>
      </c>
      <c r="R16" s="182" t="s">
        <v>1376</v>
      </c>
    </row>
    <row r="17" spans="1:18" s="22" customFormat="1" ht="21.75" customHeight="1">
      <c r="A17" s="26">
        <v>16</v>
      </c>
      <c r="B17" s="26" t="s">
        <v>148</v>
      </c>
      <c r="C17" s="26" t="s">
        <v>252</v>
      </c>
      <c r="D17" s="65" t="s">
        <v>1384</v>
      </c>
      <c r="E17" s="33" t="s">
        <v>632</v>
      </c>
      <c r="F17" s="65" t="s">
        <v>1385</v>
      </c>
      <c r="G17" s="26">
        <v>6</v>
      </c>
      <c r="H17" s="32">
        <v>816</v>
      </c>
      <c r="I17" s="32">
        <v>0</v>
      </c>
      <c r="J17" s="32">
        <v>6</v>
      </c>
      <c r="K17" s="32">
        <v>2</v>
      </c>
      <c r="L17" s="32">
        <v>0</v>
      </c>
      <c r="M17" s="32">
        <v>0</v>
      </c>
      <c r="N17" s="112" t="s">
        <v>1386</v>
      </c>
      <c r="O17" s="67" t="s">
        <v>450</v>
      </c>
      <c r="P17" s="29" t="s">
        <v>27</v>
      </c>
      <c r="Q17" s="35">
        <v>41264</v>
      </c>
      <c r="R17" s="29"/>
    </row>
    <row r="18" spans="1:18" s="141" customFormat="1" ht="21.75" customHeight="1">
      <c r="A18" s="26">
        <v>17</v>
      </c>
      <c r="B18" s="26" t="s">
        <v>148</v>
      </c>
      <c r="C18" s="26" t="s">
        <v>252</v>
      </c>
      <c r="D18" s="30" t="s">
        <v>43</v>
      </c>
      <c r="E18" s="26" t="s">
        <v>144</v>
      </c>
      <c r="F18" s="65" t="s">
        <v>1378</v>
      </c>
      <c r="G18" s="26">
        <v>7</v>
      </c>
      <c r="H18" s="32">
        <v>1250</v>
      </c>
      <c r="I18" s="32">
        <f>G18-J18</f>
        <v>0</v>
      </c>
      <c r="J18" s="32">
        <v>7</v>
      </c>
      <c r="K18" s="32">
        <v>6</v>
      </c>
      <c r="L18" s="32">
        <v>0</v>
      </c>
      <c r="M18" s="32">
        <v>0</v>
      </c>
      <c r="N18" s="39" t="s">
        <v>125</v>
      </c>
      <c r="O18" s="33" t="s">
        <v>450</v>
      </c>
      <c r="P18" s="29" t="s">
        <v>27</v>
      </c>
      <c r="Q18" s="35">
        <v>37315</v>
      </c>
      <c r="R18" s="29"/>
    </row>
    <row r="19" spans="1:18" s="141" customFormat="1" ht="21.75" customHeight="1">
      <c r="A19" s="26">
        <v>18</v>
      </c>
      <c r="B19" s="193" t="s">
        <v>148</v>
      </c>
      <c r="C19" s="26" t="s">
        <v>1367</v>
      </c>
      <c r="D19" s="30" t="s">
        <v>1370</v>
      </c>
      <c r="E19" s="193" t="s">
        <v>144</v>
      </c>
      <c r="F19" s="30" t="s">
        <v>1371</v>
      </c>
      <c r="G19" s="26">
        <v>6</v>
      </c>
      <c r="H19" s="31">
        <v>469</v>
      </c>
      <c r="I19" s="32">
        <f>G19-J19</f>
        <v>0</v>
      </c>
      <c r="J19" s="31">
        <v>6</v>
      </c>
      <c r="K19" s="31">
        <v>3</v>
      </c>
      <c r="L19" s="31">
        <v>0</v>
      </c>
      <c r="M19" s="31">
        <v>0</v>
      </c>
      <c r="N19" s="39" t="s">
        <v>125</v>
      </c>
      <c r="O19" s="26" t="s">
        <v>451</v>
      </c>
      <c r="P19" s="29" t="s">
        <v>308</v>
      </c>
      <c r="Q19" s="35">
        <v>40009</v>
      </c>
      <c r="R19" s="188" t="s">
        <v>1372</v>
      </c>
    </row>
    <row r="20" spans="1:18" s="16" customFormat="1" ht="21.75" customHeight="1">
      <c r="A20" s="26">
        <v>19</v>
      </c>
      <c r="B20" s="26" t="s">
        <v>148</v>
      </c>
      <c r="C20" s="26" t="s">
        <v>252</v>
      </c>
      <c r="D20" s="30" t="s">
        <v>100</v>
      </c>
      <c r="E20" s="26" t="s">
        <v>632</v>
      </c>
      <c r="F20" s="65" t="s">
        <v>1377</v>
      </c>
      <c r="G20" s="26">
        <v>7</v>
      </c>
      <c r="H20" s="31">
        <v>1060</v>
      </c>
      <c r="I20" s="32">
        <v>0</v>
      </c>
      <c r="J20" s="31">
        <v>7</v>
      </c>
      <c r="K20" s="31">
        <v>3</v>
      </c>
      <c r="L20" s="31">
        <v>0</v>
      </c>
      <c r="M20" s="31">
        <v>0</v>
      </c>
      <c r="N20" s="112" t="s">
        <v>633</v>
      </c>
      <c r="O20" s="33" t="s">
        <v>451</v>
      </c>
      <c r="P20" s="29" t="s">
        <v>308</v>
      </c>
      <c r="Q20" s="35">
        <v>38532</v>
      </c>
      <c r="R20" s="29"/>
    </row>
    <row r="21" spans="1:18" s="16" customFormat="1" ht="21.75" customHeight="1">
      <c r="A21" s="26">
        <v>20</v>
      </c>
      <c r="B21" s="26" t="s">
        <v>148</v>
      </c>
      <c r="C21" s="33" t="s">
        <v>1387</v>
      </c>
      <c r="D21" s="30" t="s">
        <v>136</v>
      </c>
      <c r="E21" s="26" t="s">
        <v>146</v>
      </c>
      <c r="F21" s="30" t="s">
        <v>37</v>
      </c>
      <c r="G21" s="26">
        <v>7</v>
      </c>
      <c r="H21" s="32">
        <v>1269</v>
      </c>
      <c r="I21" s="32">
        <v>0</v>
      </c>
      <c r="J21" s="32">
        <v>7</v>
      </c>
      <c r="K21" s="32">
        <v>0</v>
      </c>
      <c r="L21" s="32">
        <v>0</v>
      </c>
      <c r="M21" s="32">
        <v>0</v>
      </c>
      <c r="N21" s="39" t="s">
        <v>125</v>
      </c>
      <c r="O21" s="33" t="s">
        <v>450</v>
      </c>
      <c r="P21" s="29" t="s">
        <v>27</v>
      </c>
      <c r="Q21" s="35">
        <v>40268</v>
      </c>
      <c r="R21" s="29"/>
    </row>
    <row r="22" spans="1:18" ht="21.75" customHeight="1">
      <c r="A22" s="26">
        <v>21</v>
      </c>
      <c r="B22" s="26" t="s">
        <v>1388</v>
      </c>
      <c r="C22" s="26" t="s">
        <v>1389</v>
      </c>
      <c r="D22" s="38" t="s">
        <v>1390</v>
      </c>
      <c r="E22" s="26" t="s">
        <v>868</v>
      </c>
      <c r="F22" s="38" t="s">
        <v>1391</v>
      </c>
      <c r="G22" s="26">
        <v>6</v>
      </c>
      <c r="H22" s="31">
        <v>735</v>
      </c>
      <c r="I22" s="31">
        <v>0</v>
      </c>
      <c r="J22" s="31">
        <v>6</v>
      </c>
      <c r="K22" s="31">
        <v>0</v>
      </c>
      <c r="L22" s="31">
        <v>0</v>
      </c>
      <c r="M22" s="31">
        <v>0</v>
      </c>
      <c r="N22" s="39" t="s">
        <v>633</v>
      </c>
      <c r="O22" s="85" t="s">
        <v>25</v>
      </c>
      <c r="P22" s="26" t="s">
        <v>127</v>
      </c>
      <c r="Q22" s="35">
        <v>41362</v>
      </c>
      <c r="R22" s="29" t="s">
        <v>1392</v>
      </c>
    </row>
    <row r="23" spans="1:18" ht="21.75" customHeight="1">
      <c r="G23" s="83"/>
      <c r="H23" s="96"/>
      <c r="I23" s="96"/>
      <c r="J23" s="96"/>
      <c r="K23" s="96"/>
      <c r="L23" s="96"/>
      <c r="M23" s="96"/>
    </row>
    <row r="25" spans="1:18" ht="21.75" customHeight="1">
      <c r="A25" s="83" t="s">
        <v>608</v>
      </c>
    </row>
    <row r="26" spans="1:18" s="22" customFormat="1" ht="21.75" customHeight="1">
      <c r="A26" s="145">
        <v>1</v>
      </c>
      <c r="B26" s="195" t="s">
        <v>490</v>
      </c>
      <c r="C26" s="195" t="s">
        <v>491</v>
      </c>
      <c r="D26" s="185" t="s">
        <v>492</v>
      </c>
      <c r="E26" s="195" t="s">
        <v>432</v>
      </c>
      <c r="F26" s="185" t="s">
        <v>493</v>
      </c>
      <c r="G26" s="145">
        <v>2</v>
      </c>
      <c r="H26" s="147">
        <v>409</v>
      </c>
      <c r="I26" s="163">
        <v>0</v>
      </c>
      <c r="J26" s="163">
        <v>2</v>
      </c>
      <c r="K26" s="163">
        <v>0</v>
      </c>
      <c r="L26" s="163">
        <v>0</v>
      </c>
      <c r="M26" s="163">
        <v>0</v>
      </c>
      <c r="N26" s="175" t="s">
        <v>432</v>
      </c>
      <c r="O26" s="195" t="s">
        <v>494</v>
      </c>
      <c r="P26" s="196" t="s">
        <v>495</v>
      </c>
      <c r="Q26" s="149">
        <v>40805</v>
      </c>
      <c r="R26" s="185" t="s">
        <v>607</v>
      </c>
    </row>
  </sheetData>
  <autoFilter ref="A1:R22"/>
  <sortState ref="A2:R40">
    <sortCondition ref="C2:C40"/>
    <sortCondition ref="D2:D40"/>
  </sortState>
  <phoneticPr fontId="28" type="noConversion"/>
  <pageMargins left="0.31000000238418579" right="0.30000001192092896" top="0.93000000715255737" bottom="0.98430556058883667" header="0.5" footer="0.5"/>
  <pageSetup paperSize="9" scale="94" orientation="landscape" horizontalDpi="300" verticalDpi="300"/>
  <headerFooter alignWithMargins="0">
    <oddHeader>&amp;L&amp;"돋움,Bold"전국극장현황&amp;C&amp;"돋움,Bold"경상남도&amp;R&amp;"돋움,Bold"2006. 12. 31 기준</oddHeader>
    <oddFooter>&amp;C&amp;"돋움,Regular"&amp;P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dimension ref="A1:R8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3" sqref="H3:H7"/>
    </sheetView>
  </sheetViews>
  <sheetFormatPr defaultRowHeight="24.75" customHeight="1"/>
  <cols>
    <col min="1" max="1" width="5.77734375" style="5" customWidth="1"/>
    <col min="2" max="3" width="8.77734375" style="2" customWidth="1"/>
    <col min="4" max="4" width="16.5546875" style="5" customWidth="1"/>
    <col min="5" max="5" width="14.33203125" style="5" customWidth="1"/>
    <col min="6" max="6" width="15.77734375" style="5" customWidth="1"/>
    <col min="7" max="7" width="10.6640625" style="5" customWidth="1"/>
    <col min="8" max="8" width="10.109375" style="25" customWidth="1"/>
    <col min="9" max="9" width="13.77734375" style="25" customWidth="1"/>
    <col min="10" max="10" width="10.109375" style="25" customWidth="1"/>
    <col min="11" max="12" width="11.33203125" style="25" customWidth="1"/>
    <col min="13" max="13" width="12" style="25" customWidth="1"/>
    <col min="14" max="14" width="15.88671875" style="2" customWidth="1"/>
    <col min="15" max="15" width="12.77734375" style="5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38.25" customHeight="1" thickBot="1">
      <c r="A1" s="45" t="s">
        <v>153</v>
      </c>
      <c r="B1" s="45" t="s">
        <v>206</v>
      </c>
      <c r="C1" s="45" t="s">
        <v>207</v>
      </c>
      <c r="D1" s="45" t="s">
        <v>162</v>
      </c>
      <c r="E1" s="45" t="s">
        <v>115</v>
      </c>
      <c r="F1" s="45" t="s">
        <v>257</v>
      </c>
      <c r="G1" s="46" t="s">
        <v>290</v>
      </c>
      <c r="H1" s="46" t="s">
        <v>291</v>
      </c>
      <c r="I1" s="52" t="s">
        <v>544</v>
      </c>
      <c r="J1" s="52" t="s">
        <v>545</v>
      </c>
      <c r="K1" s="52" t="s">
        <v>409</v>
      </c>
      <c r="L1" s="52" t="s">
        <v>565</v>
      </c>
      <c r="M1" s="52" t="s">
        <v>410</v>
      </c>
      <c r="N1" s="46" t="s">
        <v>392</v>
      </c>
      <c r="O1" s="45" t="s">
        <v>70</v>
      </c>
      <c r="P1" s="45" t="s">
        <v>154</v>
      </c>
      <c r="Q1" s="45" t="s">
        <v>267</v>
      </c>
      <c r="R1" s="45" t="s">
        <v>155</v>
      </c>
    </row>
    <row r="2" spans="1:18" s="171" customFormat="1" ht="24.75" customHeight="1" thickTop="1">
      <c r="A2" s="41">
        <v>1</v>
      </c>
      <c r="B2" s="41" t="s">
        <v>149</v>
      </c>
      <c r="C2" s="41" t="s">
        <v>253</v>
      </c>
      <c r="D2" s="170" t="s">
        <v>378</v>
      </c>
      <c r="E2" s="41" t="s">
        <v>146</v>
      </c>
      <c r="F2" s="170" t="s">
        <v>1393</v>
      </c>
      <c r="G2" s="41">
        <v>6</v>
      </c>
      <c r="H2" s="49">
        <v>649</v>
      </c>
      <c r="I2" s="49">
        <v>0</v>
      </c>
      <c r="J2" s="49">
        <v>6</v>
      </c>
      <c r="K2" s="49">
        <v>2</v>
      </c>
      <c r="L2" s="214">
        <v>0</v>
      </c>
      <c r="M2" s="49">
        <v>0</v>
      </c>
      <c r="N2" s="243" t="s">
        <v>125</v>
      </c>
      <c r="O2" s="159" t="s">
        <v>450</v>
      </c>
      <c r="P2" s="43" t="s">
        <v>27</v>
      </c>
      <c r="Q2" s="44">
        <v>38714</v>
      </c>
      <c r="R2" s="170"/>
    </row>
    <row r="3" spans="1:18" s="171" customFormat="1" ht="24.75" customHeight="1">
      <c r="A3" s="26">
        <v>2</v>
      </c>
      <c r="B3" s="27" t="s">
        <v>149</v>
      </c>
      <c r="C3" s="27" t="s">
        <v>150</v>
      </c>
      <c r="D3" s="28" t="s">
        <v>98</v>
      </c>
      <c r="E3" s="27" t="s">
        <v>146</v>
      </c>
      <c r="F3" s="28" t="s">
        <v>1395</v>
      </c>
      <c r="G3" s="26">
        <v>8</v>
      </c>
      <c r="H3" s="31">
        <v>832</v>
      </c>
      <c r="I3" s="31">
        <v>0</v>
      </c>
      <c r="J3" s="31">
        <v>8</v>
      </c>
      <c r="K3" s="31">
        <v>3</v>
      </c>
      <c r="L3" s="31">
        <v>0</v>
      </c>
      <c r="M3" s="31">
        <v>0</v>
      </c>
      <c r="N3" s="39" t="s">
        <v>1396</v>
      </c>
      <c r="O3" s="85" t="s">
        <v>25</v>
      </c>
      <c r="P3" s="26" t="s">
        <v>127</v>
      </c>
      <c r="Q3" s="35">
        <v>38806</v>
      </c>
      <c r="R3" s="28"/>
    </row>
    <row r="4" spans="1:18" s="171" customFormat="1" ht="24.75" customHeight="1">
      <c r="A4" s="26">
        <v>3</v>
      </c>
      <c r="B4" s="26" t="s">
        <v>149</v>
      </c>
      <c r="C4" s="26" t="s">
        <v>150</v>
      </c>
      <c r="D4" s="30" t="s">
        <v>26</v>
      </c>
      <c r="E4" s="33" t="s">
        <v>637</v>
      </c>
      <c r="F4" s="30" t="s">
        <v>1394</v>
      </c>
      <c r="G4" s="26">
        <v>6</v>
      </c>
      <c r="H4" s="32">
        <v>818</v>
      </c>
      <c r="I4" s="32">
        <f>G4-J4</f>
        <v>0</v>
      </c>
      <c r="J4" s="32">
        <v>6</v>
      </c>
      <c r="K4" s="32">
        <v>2</v>
      </c>
      <c r="L4" s="32">
        <v>0</v>
      </c>
      <c r="M4" s="32">
        <v>0</v>
      </c>
      <c r="N4" s="39" t="s">
        <v>125</v>
      </c>
      <c r="O4" s="67" t="s">
        <v>450</v>
      </c>
      <c r="P4" s="29" t="s">
        <v>27</v>
      </c>
      <c r="Q4" s="35">
        <v>39870</v>
      </c>
      <c r="R4" s="29"/>
    </row>
    <row r="5" spans="1:18" s="171" customFormat="1" ht="24.75" customHeight="1">
      <c r="A5" s="26">
        <v>4</v>
      </c>
      <c r="B5" s="26" t="s">
        <v>149</v>
      </c>
      <c r="C5" s="26" t="s">
        <v>150</v>
      </c>
      <c r="D5" s="65" t="s">
        <v>1397</v>
      </c>
      <c r="E5" s="26" t="s">
        <v>789</v>
      </c>
      <c r="F5" s="30" t="s">
        <v>1398</v>
      </c>
      <c r="G5" s="26">
        <v>6</v>
      </c>
      <c r="H5" s="31">
        <v>856</v>
      </c>
      <c r="I5" s="32">
        <v>0</v>
      </c>
      <c r="J5" s="31">
        <v>6</v>
      </c>
      <c r="K5" s="31">
        <v>1</v>
      </c>
      <c r="L5" s="31">
        <v>0</v>
      </c>
      <c r="M5" s="31">
        <v>0</v>
      </c>
      <c r="N5" s="39" t="s">
        <v>125</v>
      </c>
      <c r="O5" s="33" t="s">
        <v>451</v>
      </c>
      <c r="P5" s="29" t="s">
        <v>308</v>
      </c>
      <c r="Q5" s="35">
        <v>39646</v>
      </c>
      <c r="R5" s="38" t="s">
        <v>1399</v>
      </c>
    </row>
    <row r="6" spans="1:18" s="142" customFormat="1" ht="24.75" customHeight="1">
      <c r="A6" s="26">
        <v>5</v>
      </c>
      <c r="B6" s="26" t="s">
        <v>520</v>
      </c>
      <c r="C6" s="26" t="s">
        <v>521</v>
      </c>
      <c r="D6" s="29" t="s">
        <v>519</v>
      </c>
      <c r="E6" s="26" t="s">
        <v>504</v>
      </c>
      <c r="F6" s="29" t="s">
        <v>1469</v>
      </c>
      <c r="G6" s="26">
        <v>1</v>
      </c>
      <c r="H6" s="32">
        <v>350</v>
      </c>
      <c r="I6" s="31">
        <v>0</v>
      </c>
      <c r="J6" s="31">
        <v>1</v>
      </c>
      <c r="K6" s="31">
        <v>0</v>
      </c>
      <c r="L6" s="31">
        <v>0</v>
      </c>
      <c r="M6" s="31">
        <v>0</v>
      </c>
      <c r="N6" s="39" t="s">
        <v>504</v>
      </c>
      <c r="O6" s="26" t="s">
        <v>1473</v>
      </c>
      <c r="P6" s="26" t="s">
        <v>1474</v>
      </c>
      <c r="Q6" s="35">
        <v>40486</v>
      </c>
      <c r="R6" s="29" t="s">
        <v>529</v>
      </c>
    </row>
    <row r="7" spans="1:18" s="142" customFormat="1" ht="24.75" customHeight="1">
      <c r="A7" s="26">
        <v>6</v>
      </c>
      <c r="B7" s="26" t="s">
        <v>1400</v>
      </c>
      <c r="C7" s="26" t="s">
        <v>1401</v>
      </c>
      <c r="D7" s="30" t="s">
        <v>1402</v>
      </c>
      <c r="E7" s="26" t="s">
        <v>868</v>
      </c>
      <c r="F7" s="65" t="s">
        <v>1403</v>
      </c>
      <c r="G7" s="26">
        <v>6</v>
      </c>
      <c r="H7" s="31">
        <v>881</v>
      </c>
      <c r="I7" s="32">
        <v>0</v>
      </c>
      <c r="J7" s="31">
        <v>6</v>
      </c>
      <c r="K7" s="31">
        <v>1</v>
      </c>
      <c r="L7" s="31">
        <v>0</v>
      </c>
      <c r="M7" s="31">
        <v>0</v>
      </c>
      <c r="N7" s="112" t="s">
        <v>633</v>
      </c>
      <c r="O7" s="26" t="s">
        <v>451</v>
      </c>
      <c r="P7" s="29" t="s">
        <v>308</v>
      </c>
      <c r="Q7" s="35">
        <v>41628</v>
      </c>
      <c r="R7" s="29"/>
    </row>
    <row r="8" spans="1:18" ht="24.75" customHeight="1">
      <c r="G8" s="83"/>
      <c r="H8" s="96"/>
      <c r="I8" s="96"/>
      <c r="J8" s="96"/>
      <c r="K8" s="96"/>
      <c r="L8" s="96"/>
      <c r="M8" s="96"/>
    </row>
  </sheetData>
  <autoFilter ref="A1:V9"/>
  <sortState ref="A2:R13">
    <sortCondition ref="C2:C13"/>
    <sortCondition ref="D2:D13"/>
  </sortState>
  <phoneticPr fontId="28" type="noConversion"/>
  <pageMargins left="0.31000000238418579" right="0.2199999988079071" top="0.9100000262260437" bottom="0.98430556058883667" header="0.5" footer="0.5"/>
  <pageSetup paperSize="9" scale="94" orientation="landscape" horizontalDpi="300" verticalDpi="300" r:id="rId1"/>
  <headerFooter alignWithMargins="0">
    <oddHeader>&amp;L&amp;"돋움,Bold"전국극장현황&amp;C&amp;"돋움,Bold"제주도&amp;R&amp;"돋움,Bold"2006. 12. 31 기준</oddHeader>
    <oddFooter>&amp;C&amp;"돋움,Regular"&amp;P</oddFoot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W357"/>
  <sheetViews>
    <sheetView topLeftCell="A118" workbookViewId="0">
      <selection activeCell="D59" sqref="D59"/>
    </sheetView>
  </sheetViews>
  <sheetFormatPr defaultRowHeight="13.5"/>
  <cols>
    <col min="1" max="1" width="5.77734375" style="4" customWidth="1"/>
    <col min="2" max="2" width="8.88671875" style="1"/>
    <col min="3" max="3" width="8.77734375" style="1" customWidth="1"/>
    <col min="4" max="4" width="20.77734375" style="17" customWidth="1"/>
    <col min="5" max="5" width="12.6640625" style="17" customWidth="1"/>
    <col min="6" max="6" width="24.44140625" style="17" customWidth="1"/>
    <col min="7" max="7" width="10.77734375" style="1" customWidth="1"/>
    <col min="8" max="8" width="12.21875" style="18" customWidth="1"/>
    <col min="9" max="13" width="12.33203125" style="18" customWidth="1"/>
    <col min="14" max="14" width="15.77734375" style="40" customWidth="1"/>
    <col min="15" max="15" width="15" style="1" customWidth="1"/>
    <col min="16" max="16" width="15.77734375" style="1" customWidth="1"/>
    <col min="17" max="17" width="11.44140625" style="4" customWidth="1"/>
    <col min="18" max="18" width="15.77734375" style="4" customWidth="1"/>
    <col min="19" max="16384" width="8.88671875" style="4"/>
  </cols>
  <sheetData>
    <row r="1" spans="1:18" s="1" customFormat="1" ht="47.25" customHeight="1" thickBot="1">
      <c r="A1" s="45" t="s">
        <v>153</v>
      </c>
      <c r="B1" s="45" t="s">
        <v>206</v>
      </c>
      <c r="C1" s="45" t="s">
        <v>207</v>
      </c>
      <c r="D1" s="45" t="s">
        <v>162</v>
      </c>
      <c r="E1" s="45" t="s">
        <v>115</v>
      </c>
      <c r="F1" s="45" t="s">
        <v>257</v>
      </c>
      <c r="G1" s="52" t="s">
        <v>105</v>
      </c>
      <c r="H1" s="52" t="s">
        <v>270</v>
      </c>
      <c r="I1" s="52" t="s">
        <v>534</v>
      </c>
      <c r="J1" s="52" t="s">
        <v>535</v>
      </c>
      <c r="K1" s="52" t="s">
        <v>409</v>
      </c>
      <c r="L1" s="52" t="s">
        <v>554</v>
      </c>
      <c r="M1" s="52" t="s">
        <v>410</v>
      </c>
      <c r="N1" s="46" t="s">
        <v>392</v>
      </c>
      <c r="O1" s="45" t="s">
        <v>17</v>
      </c>
      <c r="P1" s="45" t="s">
        <v>154</v>
      </c>
      <c r="Q1" s="45" t="s">
        <v>267</v>
      </c>
      <c r="R1" s="45" t="s">
        <v>155</v>
      </c>
    </row>
    <row r="2" spans="1:18" s="16" customFormat="1" ht="21.75" customHeight="1" thickTop="1">
      <c r="A2" s="26">
        <v>1</v>
      </c>
      <c r="B2" s="27" t="s">
        <v>156</v>
      </c>
      <c r="C2" s="27" t="s">
        <v>157</v>
      </c>
      <c r="D2" s="28" t="s">
        <v>121</v>
      </c>
      <c r="E2" s="27" t="s">
        <v>144</v>
      </c>
      <c r="F2" s="28" t="s">
        <v>620</v>
      </c>
      <c r="G2" s="26">
        <v>6</v>
      </c>
      <c r="H2" s="31">
        <v>874</v>
      </c>
      <c r="I2" s="31">
        <f>G2-J2</f>
        <v>0</v>
      </c>
      <c r="J2" s="31">
        <v>6</v>
      </c>
      <c r="K2" s="31">
        <v>4</v>
      </c>
      <c r="L2" s="31">
        <v>0</v>
      </c>
      <c r="M2" s="31">
        <v>0</v>
      </c>
      <c r="N2" s="112" t="s">
        <v>621</v>
      </c>
      <c r="O2" s="169" t="s">
        <v>622</v>
      </c>
      <c r="P2" s="26" t="s">
        <v>127</v>
      </c>
      <c r="Q2" s="35">
        <v>39121</v>
      </c>
      <c r="R2" s="28"/>
    </row>
    <row r="3" spans="1:18" s="16" customFormat="1" ht="20.25" customHeight="1">
      <c r="A3" s="26">
        <v>2</v>
      </c>
      <c r="B3" s="27" t="s">
        <v>156</v>
      </c>
      <c r="C3" s="27" t="s">
        <v>157</v>
      </c>
      <c r="D3" s="28" t="s">
        <v>122</v>
      </c>
      <c r="E3" s="27" t="s">
        <v>144</v>
      </c>
      <c r="F3" s="28" t="s">
        <v>643</v>
      </c>
      <c r="G3" s="26">
        <v>8</v>
      </c>
      <c r="H3" s="31">
        <v>1170</v>
      </c>
      <c r="I3" s="31">
        <f>G3-J3</f>
        <v>0</v>
      </c>
      <c r="J3" s="31">
        <v>8</v>
      </c>
      <c r="K3" s="31">
        <v>5</v>
      </c>
      <c r="L3" s="31">
        <v>0</v>
      </c>
      <c r="M3" s="31">
        <v>0</v>
      </c>
      <c r="N3" s="112" t="s">
        <v>644</v>
      </c>
      <c r="O3" s="85" t="s">
        <v>622</v>
      </c>
      <c r="P3" s="26" t="s">
        <v>127</v>
      </c>
      <c r="Q3" s="35">
        <v>38779</v>
      </c>
      <c r="R3" s="28"/>
    </row>
    <row r="4" spans="1:18" s="22" customFormat="1" ht="21.75" customHeight="1">
      <c r="A4" s="26">
        <v>3</v>
      </c>
      <c r="B4" s="85" t="s">
        <v>623</v>
      </c>
      <c r="C4" s="85" t="s">
        <v>624</v>
      </c>
      <c r="D4" s="37" t="s">
        <v>636</v>
      </c>
      <c r="E4" s="85" t="s">
        <v>625</v>
      </c>
      <c r="F4" s="37" t="s">
        <v>638</v>
      </c>
      <c r="G4" s="26">
        <v>5</v>
      </c>
      <c r="H4" s="31">
        <v>806</v>
      </c>
      <c r="I4" s="31">
        <v>0</v>
      </c>
      <c r="J4" s="31">
        <v>5</v>
      </c>
      <c r="K4" s="31">
        <v>5</v>
      </c>
      <c r="L4" s="31">
        <v>0</v>
      </c>
      <c r="M4" s="31">
        <v>1</v>
      </c>
      <c r="N4" s="112" t="s">
        <v>639</v>
      </c>
      <c r="O4" s="85" t="s">
        <v>25</v>
      </c>
      <c r="P4" s="26" t="s">
        <v>127</v>
      </c>
      <c r="Q4" s="35">
        <v>40828</v>
      </c>
      <c r="R4" s="28"/>
    </row>
    <row r="5" spans="1:18" s="16" customFormat="1" ht="21.75" customHeight="1">
      <c r="A5" s="26">
        <v>4</v>
      </c>
      <c r="B5" s="67" t="s">
        <v>505</v>
      </c>
      <c r="C5" s="67" t="s">
        <v>624</v>
      </c>
      <c r="D5" s="172" t="s">
        <v>745</v>
      </c>
      <c r="E5" s="67" t="s">
        <v>538</v>
      </c>
      <c r="F5" s="172" t="s">
        <v>746</v>
      </c>
      <c r="G5" s="68">
        <v>4</v>
      </c>
      <c r="H5" s="32">
        <v>719</v>
      </c>
      <c r="I5" s="32">
        <f>G5-J5</f>
        <v>0</v>
      </c>
      <c r="J5" s="173">
        <v>4</v>
      </c>
      <c r="K5" s="173">
        <v>2</v>
      </c>
      <c r="L5" s="173">
        <v>0</v>
      </c>
      <c r="M5" s="173">
        <v>0</v>
      </c>
      <c r="N5" s="69" t="s">
        <v>432</v>
      </c>
      <c r="O5" s="67" t="s">
        <v>647</v>
      </c>
      <c r="P5" s="29" t="s">
        <v>27</v>
      </c>
      <c r="Q5" s="70">
        <v>40696</v>
      </c>
      <c r="R5" s="67"/>
    </row>
    <row r="6" spans="1:18" s="16" customFormat="1" ht="21.75" customHeight="1">
      <c r="A6" s="26">
        <v>5</v>
      </c>
      <c r="B6" s="26" t="s">
        <v>156</v>
      </c>
      <c r="C6" s="26" t="s">
        <v>157</v>
      </c>
      <c r="D6" s="30" t="s">
        <v>16</v>
      </c>
      <c r="E6" s="26" t="s">
        <v>144</v>
      </c>
      <c r="F6" s="30" t="s">
        <v>640</v>
      </c>
      <c r="G6" s="26">
        <v>16</v>
      </c>
      <c r="H6" s="32">
        <v>3541</v>
      </c>
      <c r="I6" s="32">
        <f>G6-J6</f>
        <v>0</v>
      </c>
      <c r="J6" s="32">
        <v>16</v>
      </c>
      <c r="K6" s="32">
        <v>3</v>
      </c>
      <c r="L6" s="32">
        <v>0</v>
      </c>
      <c r="M6" s="32">
        <v>0</v>
      </c>
      <c r="N6" s="112" t="s">
        <v>641</v>
      </c>
      <c r="O6" s="33" t="s">
        <v>555</v>
      </c>
      <c r="P6" s="29" t="s">
        <v>308</v>
      </c>
      <c r="Q6" s="35">
        <v>36659</v>
      </c>
      <c r="R6" s="29"/>
    </row>
    <row r="7" spans="1:18" s="16" customFormat="1" ht="21.75" customHeight="1">
      <c r="A7" s="26">
        <v>6</v>
      </c>
      <c r="B7" s="67" t="s">
        <v>505</v>
      </c>
      <c r="C7" s="67" t="s">
        <v>578</v>
      </c>
      <c r="D7" s="172" t="s">
        <v>748</v>
      </c>
      <c r="E7" s="67" t="s">
        <v>538</v>
      </c>
      <c r="F7" s="172" t="s">
        <v>749</v>
      </c>
      <c r="G7" s="68">
        <v>5</v>
      </c>
      <c r="H7" s="32">
        <v>500</v>
      </c>
      <c r="I7" s="32">
        <v>0</v>
      </c>
      <c r="J7" s="173">
        <v>5</v>
      </c>
      <c r="K7" s="173">
        <v>2</v>
      </c>
      <c r="L7" s="173">
        <v>0</v>
      </c>
      <c r="M7" s="173">
        <v>0</v>
      </c>
      <c r="N7" s="69" t="s">
        <v>750</v>
      </c>
      <c r="O7" s="33" t="s">
        <v>647</v>
      </c>
      <c r="P7" s="29" t="s">
        <v>27</v>
      </c>
      <c r="Q7" s="70">
        <v>41376</v>
      </c>
      <c r="R7" s="172" t="s">
        <v>751</v>
      </c>
    </row>
    <row r="8" spans="1:18" s="16" customFormat="1" ht="20.25" customHeight="1">
      <c r="A8" s="26">
        <v>7</v>
      </c>
      <c r="B8" s="67" t="s">
        <v>505</v>
      </c>
      <c r="C8" s="67" t="s">
        <v>578</v>
      </c>
      <c r="D8" s="172" t="s">
        <v>614</v>
      </c>
      <c r="E8" s="67" t="s">
        <v>432</v>
      </c>
      <c r="F8" s="172" t="s">
        <v>616</v>
      </c>
      <c r="G8" s="68">
        <v>1</v>
      </c>
      <c r="H8" s="32">
        <v>70</v>
      </c>
      <c r="I8" s="32">
        <v>0</v>
      </c>
      <c r="J8" s="173">
        <v>1</v>
      </c>
      <c r="K8" s="173">
        <v>0</v>
      </c>
      <c r="L8" s="173">
        <v>0</v>
      </c>
      <c r="M8" s="173">
        <v>0</v>
      </c>
      <c r="N8" s="69" t="s">
        <v>432</v>
      </c>
      <c r="O8" s="33" t="s">
        <v>617</v>
      </c>
      <c r="P8" s="29" t="s">
        <v>618</v>
      </c>
      <c r="Q8" s="70">
        <v>40652</v>
      </c>
      <c r="R8" s="172" t="s">
        <v>619</v>
      </c>
    </row>
    <row r="9" spans="1:18" s="16" customFormat="1" ht="20.25" customHeight="1">
      <c r="A9" s="26">
        <v>8</v>
      </c>
      <c r="B9" s="85" t="s">
        <v>505</v>
      </c>
      <c r="C9" s="85" t="s">
        <v>578</v>
      </c>
      <c r="D9" s="37" t="s">
        <v>576</v>
      </c>
      <c r="E9" s="85" t="s">
        <v>432</v>
      </c>
      <c r="F9" s="37" t="s">
        <v>580</v>
      </c>
      <c r="G9" s="26">
        <v>1</v>
      </c>
      <c r="H9" s="31">
        <v>59</v>
      </c>
      <c r="I9" s="31">
        <v>0</v>
      </c>
      <c r="J9" s="31">
        <v>1</v>
      </c>
      <c r="K9" s="31">
        <v>1</v>
      </c>
      <c r="L9" s="31">
        <v>0</v>
      </c>
      <c r="M9" s="31">
        <v>0</v>
      </c>
      <c r="N9" s="112" t="s">
        <v>432</v>
      </c>
      <c r="O9" s="85" t="s">
        <v>581</v>
      </c>
      <c r="P9" s="26"/>
      <c r="Q9" s="35">
        <v>41915</v>
      </c>
      <c r="R9" s="28"/>
    </row>
    <row r="10" spans="1:18" s="16" customFormat="1" ht="20.25" customHeight="1">
      <c r="A10" s="26">
        <v>9</v>
      </c>
      <c r="B10" s="26" t="s">
        <v>156</v>
      </c>
      <c r="C10" s="26" t="s">
        <v>158</v>
      </c>
      <c r="D10" s="29" t="s">
        <v>119</v>
      </c>
      <c r="E10" s="26" t="s">
        <v>146</v>
      </c>
      <c r="F10" s="28" t="s">
        <v>645</v>
      </c>
      <c r="G10" s="26">
        <v>12</v>
      </c>
      <c r="H10" s="31">
        <v>1965</v>
      </c>
      <c r="I10" s="31">
        <f>G10-J10</f>
        <v>0</v>
      </c>
      <c r="J10" s="31">
        <v>12</v>
      </c>
      <c r="K10" s="31">
        <v>2</v>
      </c>
      <c r="L10" s="31">
        <v>0</v>
      </c>
      <c r="M10" s="31">
        <v>0</v>
      </c>
      <c r="N10" s="39" t="s">
        <v>125</v>
      </c>
      <c r="O10" s="85" t="s">
        <v>25</v>
      </c>
      <c r="P10" s="26" t="s">
        <v>127</v>
      </c>
      <c r="Q10" s="35">
        <v>39195</v>
      </c>
      <c r="R10" s="28"/>
    </row>
    <row r="11" spans="1:18" s="16" customFormat="1" ht="20.25" customHeight="1">
      <c r="A11" s="26">
        <v>10</v>
      </c>
      <c r="B11" s="26" t="s">
        <v>156</v>
      </c>
      <c r="C11" s="26" t="s">
        <v>158</v>
      </c>
      <c r="D11" s="30" t="s">
        <v>120</v>
      </c>
      <c r="E11" s="26" t="s">
        <v>146</v>
      </c>
      <c r="F11" s="30" t="s">
        <v>646</v>
      </c>
      <c r="G11" s="26">
        <v>10</v>
      </c>
      <c r="H11" s="32">
        <v>1998</v>
      </c>
      <c r="I11" s="32">
        <f>G11-J11</f>
        <v>0</v>
      </c>
      <c r="J11" s="32">
        <v>10</v>
      </c>
      <c r="K11" s="32">
        <v>5</v>
      </c>
      <c r="L11" s="32">
        <v>0</v>
      </c>
      <c r="M11" s="32">
        <v>0</v>
      </c>
      <c r="N11" s="39" t="s">
        <v>125</v>
      </c>
      <c r="O11" s="33" t="s">
        <v>647</v>
      </c>
      <c r="P11" s="29" t="s">
        <v>27</v>
      </c>
      <c r="Q11" s="35">
        <v>39562</v>
      </c>
      <c r="R11" s="28"/>
    </row>
    <row r="12" spans="1:18" s="16" customFormat="1" ht="20.25" customHeight="1">
      <c r="A12" s="26">
        <v>11</v>
      </c>
      <c r="B12" s="26" t="s">
        <v>156</v>
      </c>
      <c r="C12" s="26" t="s">
        <v>159</v>
      </c>
      <c r="D12" s="29" t="s">
        <v>117</v>
      </c>
      <c r="E12" s="26" t="s">
        <v>144</v>
      </c>
      <c r="F12" s="29" t="s">
        <v>648</v>
      </c>
      <c r="G12" s="26">
        <v>6</v>
      </c>
      <c r="H12" s="31">
        <v>721</v>
      </c>
      <c r="I12" s="31">
        <f>G12-J12</f>
        <v>0</v>
      </c>
      <c r="J12" s="31">
        <v>6</v>
      </c>
      <c r="K12" s="31">
        <v>3</v>
      </c>
      <c r="L12" s="31">
        <v>0</v>
      </c>
      <c r="M12" s="31">
        <v>0</v>
      </c>
      <c r="N12" s="39" t="s">
        <v>626</v>
      </c>
      <c r="O12" s="85" t="s">
        <v>25</v>
      </c>
      <c r="P12" s="26" t="s">
        <v>127</v>
      </c>
      <c r="Q12" s="35">
        <v>39173</v>
      </c>
      <c r="R12" s="28"/>
    </row>
    <row r="13" spans="1:18" s="16" customFormat="1" ht="20.25" customHeight="1">
      <c r="A13" s="26">
        <v>12</v>
      </c>
      <c r="B13" s="33" t="s">
        <v>623</v>
      </c>
      <c r="C13" s="33" t="s">
        <v>650</v>
      </c>
      <c r="D13" s="65" t="s">
        <v>651</v>
      </c>
      <c r="E13" s="33" t="s">
        <v>538</v>
      </c>
      <c r="F13" s="65" t="s">
        <v>653</v>
      </c>
      <c r="G13" s="26">
        <v>9</v>
      </c>
      <c r="H13" s="32">
        <v>1167</v>
      </c>
      <c r="I13" s="32">
        <v>0</v>
      </c>
      <c r="J13" s="32">
        <v>9</v>
      </c>
      <c r="K13" s="32">
        <v>2</v>
      </c>
      <c r="L13" s="32">
        <v>0</v>
      </c>
      <c r="M13" s="32">
        <v>0</v>
      </c>
      <c r="N13" s="112" t="s">
        <v>432</v>
      </c>
      <c r="O13" s="33" t="s">
        <v>555</v>
      </c>
      <c r="P13" s="29" t="s">
        <v>308</v>
      </c>
      <c r="Q13" s="35">
        <v>40964</v>
      </c>
      <c r="R13" s="29"/>
    </row>
    <row r="14" spans="1:18" s="16" customFormat="1" ht="21.75" customHeight="1">
      <c r="A14" s="26">
        <v>13</v>
      </c>
      <c r="B14" s="26" t="s">
        <v>156</v>
      </c>
      <c r="C14" s="33" t="s">
        <v>655</v>
      </c>
      <c r="D14" s="65" t="s">
        <v>656</v>
      </c>
      <c r="E14" s="33" t="s">
        <v>625</v>
      </c>
      <c r="F14" s="65" t="s">
        <v>657</v>
      </c>
      <c r="G14" s="26">
        <v>10</v>
      </c>
      <c r="H14" s="32">
        <v>2127</v>
      </c>
      <c r="I14" s="32">
        <f>G14-J14</f>
        <v>0</v>
      </c>
      <c r="J14" s="32">
        <v>10</v>
      </c>
      <c r="K14" s="32">
        <v>7</v>
      </c>
      <c r="L14" s="32">
        <v>0</v>
      </c>
      <c r="M14" s="32">
        <v>1</v>
      </c>
      <c r="N14" s="112" t="s">
        <v>658</v>
      </c>
      <c r="O14" s="67" t="s">
        <v>450</v>
      </c>
      <c r="P14" s="29" t="s">
        <v>27</v>
      </c>
      <c r="Q14" s="35">
        <v>40865</v>
      </c>
      <c r="R14" s="28"/>
    </row>
    <row r="15" spans="1:18" s="16" customFormat="1" ht="21.75" customHeight="1">
      <c r="A15" s="26">
        <v>14</v>
      </c>
      <c r="B15" s="33" t="s">
        <v>623</v>
      </c>
      <c r="C15" s="33" t="s">
        <v>659</v>
      </c>
      <c r="D15" s="65" t="s">
        <v>660</v>
      </c>
      <c r="E15" s="33" t="s">
        <v>625</v>
      </c>
      <c r="F15" s="65" t="s">
        <v>661</v>
      </c>
      <c r="G15" s="26">
        <v>5</v>
      </c>
      <c r="H15" s="32">
        <v>676</v>
      </c>
      <c r="I15" s="32">
        <v>0</v>
      </c>
      <c r="J15" s="32">
        <v>5</v>
      </c>
      <c r="K15" s="32">
        <v>2</v>
      </c>
      <c r="L15" s="173">
        <v>0</v>
      </c>
      <c r="M15" s="32">
        <v>0</v>
      </c>
      <c r="N15" s="112" t="s">
        <v>432</v>
      </c>
      <c r="O15" s="33" t="s">
        <v>450</v>
      </c>
      <c r="P15" s="29" t="s">
        <v>27</v>
      </c>
      <c r="Q15" s="35">
        <v>41272</v>
      </c>
      <c r="R15" s="28" t="s">
        <v>662</v>
      </c>
    </row>
    <row r="16" spans="1:18" s="141" customFormat="1" ht="20.25" customHeight="1">
      <c r="A16" s="26">
        <v>15</v>
      </c>
      <c r="B16" s="26" t="s">
        <v>156</v>
      </c>
      <c r="C16" s="26" t="s">
        <v>142</v>
      </c>
      <c r="D16" s="30" t="s">
        <v>356</v>
      </c>
      <c r="E16" s="26" t="s">
        <v>144</v>
      </c>
      <c r="F16" s="30" t="s">
        <v>663</v>
      </c>
      <c r="G16" s="26">
        <v>8</v>
      </c>
      <c r="H16" s="32">
        <v>1477</v>
      </c>
      <c r="I16" s="32">
        <f>G16-J16</f>
        <v>0</v>
      </c>
      <c r="J16" s="32">
        <v>8</v>
      </c>
      <c r="K16" s="32">
        <v>6</v>
      </c>
      <c r="L16" s="32">
        <v>0</v>
      </c>
      <c r="M16" s="32">
        <v>0</v>
      </c>
      <c r="N16" s="39" t="s">
        <v>125</v>
      </c>
      <c r="O16" s="67" t="s">
        <v>450</v>
      </c>
      <c r="P16" s="29" t="s">
        <v>27</v>
      </c>
      <c r="Q16" s="35">
        <v>39873</v>
      </c>
      <c r="R16" s="29"/>
    </row>
    <row r="17" spans="1:18" s="16" customFormat="1" ht="21.75" customHeight="1">
      <c r="A17" s="26">
        <v>16</v>
      </c>
      <c r="B17" s="26" t="s">
        <v>156</v>
      </c>
      <c r="C17" s="26" t="s">
        <v>143</v>
      </c>
      <c r="D17" s="29" t="s">
        <v>118</v>
      </c>
      <c r="E17" s="26" t="s">
        <v>144</v>
      </c>
      <c r="F17" s="29" t="s">
        <v>664</v>
      </c>
      <c r="G17" s="26">
        <v>11</v>
      </c>
      <c r="H17" s="31">
        <v>1663</v>
      </c>
      <c r="I17" s="31">
        <f>G17-J17</f>
        <v>0</v>
      </c>
      <c r="J17" s="31">
        <v>11</v>
      </c>
      <c r="K17" s="31">
        <v>5</v>
      </c>
      <c r="L17" s="31">
        <v>0</v>
      </c>
      <c r="M17" s="31">
        <v>1</v>
      </c>
      <c r="N17" s="112" t="s">
        <v>665</v>
      </c>
      <c r="O17" s="85" t="s">
        <v>25</v>
      </c>
      <c r="P17" s="26" t="s">
        <v>127</v>
      </c>
      <c r="Q17" s="35">
        <v>35889</v>
      </c>
      <c r="R17" s="29"/>
    </row>
    <row r="18" spans="1:18" s="22" customFormat="1" ht="21" customHeight="1">
      <c r="A18" s="26">
        <v>17</v>
      </c>
      <c r="B18" s="26" t="s">
        <v>156</v>
      </c>
      <c r="C18" s="26" t="s">
        <v>143</v>
      </c>
      <c r="D18" s="29" t="s">
        <v>330</v>
      </c>
      <c r="E18" s="26" t="s">
        <v>146</v>
      </c>
      <c r="F18" s="29" t="s">
        <v>666</v>
      </c>
      <c r="G18" s="26">
        <v>9</v>
      </c>
      <c r="H18" s="31">
        <v>1197</v>
      </c>
      <c r="I18" s="31">
        <v>0</v>
      </c>
      <c r="J18" s="31">
        <v>9</v>
      </c>
      <c r="K18" s="31">
        <v>0</v>
      </c>
      <c r="L18" s="31">
        <v>0</v>
      </c>
      <c r="M18" s="31">
        <v>0</v>
      </c>
      <c r="N18" s="39" t="s">
        <v>125</v>
      </c>
      <c r="O18" s="85" t="s">
        <v>25</v>
      </c>
      <c r="P18" s="26" t="s">
        <v>127</v>
      </c>
      <c r="Q18" s="35">
        <v>40022</v>
      </c>
      <c r="R18" s="29"/>
    </row>
    <row r="19" spans="1:18" s="171" customFormat="1" ht="20.25" customHeight="1">
      <c r="A19" s="26">
        <v>18</v>
      </c>
      <c r="B19" s="26" t="s">
        <v>156</v>
      </c>
      <c r="C19" s="26" t="s">
        <v>143</v>
      </c>
      <c r="D19" s="30" t="s">
        <v>375</v>
      </c>
      <c r="E19" s="26" t="s">
        <v>125</v>
      </c>
      <c r="F19" s="30" t="s">
        <v>1418</v>
      </c>
      <c r="G19" s="26">
        <v>1</v>
      </c>
      <c r="H19" s="32">
        <v>152</v>
      </c>
      <c r="I19" s="32">
        <f>G19-J19</f>
        <v>0</v>
      </c>
      <c r="J19" s="32">
        <v>1</v>
      </c>
      <c r="K19" s="32">
        <v>0</v>
      </c>
      <c r="L19" s="32">
        <v>0</v>
      </c>
      <c r="M19" s="32">
        <v>0</v>
      </c>
      <c r="N19" s="39" t="s">
        <v>125</v>
      </c>
      <c r="O19" s="26" t="s">
        <v>408</v>
      </c>
      <c r="P19" s="189" t="s">
        <v>468</v>
      </c>
      <c r="Q19" s="35">
        <v>40554</v>
      </c>
      <c r="R19" s="29" t="s">
        <v>283</v>
      </c>
    </row>
    <row r="20" spans="1:18" s="171" customFormat="1" ht="20.25" customHeight="1">
      <c r="A20" s="26">
        <v>19</v>
      </c>
      <c r="B20" s="26" t="s">
        <v>156</v>
      </c>
      <c r="C20" s="26" t="s">
        <v>143</v>
      </c>
      <c r="D20" s="30" t="s">
        <v>134</v>
      </c>
      <c r="E20" s="26" t="s">
        <v>144</v>
      </c>
      <c r="F20" s="30" t="s">
        <v>667</v>
      </c>
      <c r="G20" s="26">
        <v>12</v>
      </c>
      <c r="H20" s="32">
        <v>2134</v>
      </c>
      <c r="I20" s="32">
        <v>0</v>
      </c>
      <c r="J20" s="32">
        <v>12</v>
      </c>
      <c r="K20" s="32">
        <v>8</v>
      </c>
      <c r="L20" s="32">
        <v>0</v>
      </c>
      <c r="M20" s="32">
        <v>0</v>
      </c>
      <c r="N20" s="112" t="s">
        <v>668</v>
      </c>
      <c r="O20" s="33" t="s">
        <v>450</v>
      </c>
      <c r="P20" s="29" t="s">
        <v>27</v>
      </c>
      <c r="Q20" s="35">
        <v>39109</v>
      </c>
      <c r="R20" s="29"/>
    </row>
    <row r="21" spans="1:18" s="171" customFormat="1" ht="20.25" customHeight="1">
      <c r="A21" s="26">
        <v>20</v>
      </c>
      <c r="B21" s="26" t="s">
        <v>156</v>
      </c>
      <c r="C21" s="26" t="s">
        <v>161</v>
      </c>
      <c r="D21" s="29" t="s">
        <v>116</v>
      </c>
      <c r="E21" s="26" t="s">
        <v>144</v>
      </c>
      <c r="F21" s="29" t="s">
        <v>669</v>
      </c>
      <c r="G21" s="26">
        <v>10</v>
      </c>
      <c r="H21" s="31">
        <v>1830</v>
      </c>
      <c r="I21" s="31">
        <f>G21-J21</f>
        <v>0</v>
      </c>
      <c r="J21" s="31">
        <v>10</v>
      </c>
      <c r="K21" s="31">
        <v>5</v>
      </c>
      <c r="L21" s="31">
        <v>0</v>
      </c>
      <c r="M21" s="31">
        <v>0</v>
      </c>
      <c r="N21" s="112" t="s">
        <v>670</v>
      </c>
      <c r="O21" s="85" t="s">
        <v>25</v>
      </c>
      <c r="P21" s="26" t="s">
        <v>127</v>
      </c>
      <c r="Q21" s="35">
        <v>37279</v>
      </c>
      <c r="R21" s="29"/>
    </row>
    <row r="22" spans="1:18" s="16" customFormat="1" ht="20.25" customHeight="1">
      <c r="A22" s="26">
        <v>21</v>
      </c>
      <c r="B22" s="26" t="s">
        <v>156</v>
      </c>
      <c r="C22" s="26" t="s">
        <v>161</v>
      </c>
      <c r="D22" s="38" t="s">
        <v>671</v>
      </c>
      <c r="E22" s="26" t="s">
        <v>146</v>
      </c>
      <c r="F22" s="29" t="s">
        <v>672</v>
      </c>
      <c r="G22" s="26">
        <v>10</v>
      </c>
      <c r="H22" s="31">
        <v>1486</v>
      </c>
      <c r="I22" s="31">
        <f>G22-J22</f>
        <v>0</v>
      </c>
      <c r="J22" s="31">
        <v>10</v>
      </c>
      <c r="K22" s="31">
        <v>3</v>
      </c>
      <c r="L22" s="31">
        <v>0</v>
      </c>
      <c r="M22" s="31">
        <v>0</v>
      </c>
      <c r="N22" s="112" t="s">
        <v>673</v>
      </c>
      <c r="O22" s="85" t="s">
        <v>25</v>
      </c>
      <c r="P22" s="26" t="s">
        <v>127</v>
      </c>
      <c r="Q22" s="35">
        <v>39401</v>
      </c>
      <c r="R22" s="29"/>
    </row>
    <row r="23" spans="1:18" s="16" customFormat="1" ht="20.25" customHeight="1">
      <c r="A23" s="26">
        <v>22</v>
      </c>
      <c r="B23" s="26" t="s">
        <v>505</v>
      </c>
      <c r="C23" s="26" t="s">
        <v>752</v>
      </c>
      <c r="D23" s="65" t="s">
        <v>753</v>
      </c>
      <c r="E23" s="33" t="s">
        <v>625</v>
      </c>
      <c r="F23" s="65" t="s">
        <v>754</v>
      </c>
      <c r="G23" s="26">
        <v>5</v>
      </c>
      <c r="H23" s="32">
        <v>537</v>
      </c>
      <c r="I23" s="32">
        <v>0</v>
      </c>
      <c r="J23" s="32">
        <v>5</v>
      </c>
      <c r="K23" s="32">
        <v>2</v>
      </c>
      <c r="L23" s="32">
        <v>0</v>
      </c>
      <c r="M23" s="32">
        <v>0</v>
      </c>
      <c r="N23" s="112" t="s">
        <v>755</v>
      </c>
      <c r="O23" s="33" t="s">
        <v>450</v>
      </c>
      <c r="P23" s="29" t="s">
        <v>27</v>
      </c>
      <c r="Q23" s="35">
        <v>41527</v>
      </c>
      <c r="R23" s="29"/>
    </row>
    <row r="24" spans="1:18" s="16" customFormat="1" ht="21.75" customHeight="1">
      <c r="A24" s="26">
        <v>23</v>
      </c>
      <c r="B24" s="26" t="s">
        <v>505</v>
      </c>
      <c r="C24" s="26" t="s">
        <v>756</v>
      </c>
      <c r="D24" s="65" t="s">
        <v>757</v>
      </c>
      <c r="E24" s="33" t="s">
        <v>635</v>
      </c>
      <c r="F24" s="65" t="s">
        <v>759</v>
      </c>
      <c r="G24" s="26">
        <v>6</v>
      </c>
      <c r="H24" s="32">
        <v>1054</v>
      </c>
      <c r="I24" s="32">
        <v>0</v>
      </c>
      <c r="J24" s="32">
        <v>6</v>
      </c>
      <c r="K24" s="32">
        <v>3</v>
      </c>
      <c r="L24" s="32">
        <v>0</v>
      </c>
      <c r="M24" s="32">
        <v>1</v>
      </c>
      <c r="N24" s="112" t="s">
        <v>760</v>
      </c>
      <c r="O24" s="67" t="s">
        <v>450</v>
      </c>
      <c r="P24" s="29" t="s">
        <v>27</v>
      </c>
      <c r="Q24" s="35">
        <v>41347</v>
      </c>
      <c r="R24" s="29"/>
    </row>
    <row r="25" spans="1:18" s="16" customFormat="1" ht="21.75" customHeight="1">
      <c r="A25" s="26">
        <v>24</v>
      </c>
      <c r="B25" s="26" t="s">
        <v>505</v>
      </c>
      <c r="C25" s="26" t="s">
        <v>756</v>
      </c>
      <c r="D25" s="65" t="s">
        <v>761</v>
      </c>
      <c r="E25" s="33" t="s">
        <v>625</v>
      </c>
      <c r="F25" s="65" t="s">
        <v>762</v>
      </c>
      <c r="G25" s="26">
        <v>8</v>
      </c>
      <c r="H25" s="32">
        <v>1606</v>
      </c>
      <c r="I25" s="32">
        <v>0</v>
      </c>
      <c r="J25" s="32">
        <v>8</v>
      </c>
      <c r="K25" s="32">
        <v>3</v>
      </c>
      <c r="L25" s="32">
        <v>0</v>
      </c>
      <c r="M25" s="32">
        <v>0</v>
      </c>
      <c r="N25" s="112" t="s">
        <v>432</v>
      </c>
      <c r="O25" s="67" t="s">
        <v>450</v>
      </c>
      <c r="P25" s="29" t="s">
        <v>27</v>
      </c>
      <c r="Q25" s="35">
        <v>41950</v>
      </c>
      <c r="R25" s="29" t="s">
        <v>781</v>
      </c>
    </row>
    <row r="26" spans="1:18" s="22" customFormat="1" ht="21" customHeight="1">
      <c r="A26" s="26">
        <v>25</v>
      </c>
      <c r="B26" s="26" t="s">
        <v>623</v>
      </c>
      <c r="C26" s="26" t="s">
        <v>676</v>
      </c>
      <c r="D26" s="29" t="s">
        <v>677</v>
      </c>
      <c r="E26" s="26" t="s">
        <v>625</v>
      </c>
      <c r="F26" s="29" t="s">
        <v>678</v>
      </c>
      <c r="G26" s="26">
        <v>7</v>
      </c>
      <c r="H26" s="31">
        <v>1179</v>
      </c>
      <c r="I26" s="31">
        <v>0</v>
      </c>
      <c r="J26" s="31">
        <v>7</v>
      </c>
      <c r="K26" s="31">
        <v>3</v>
      </c>
      <c r="L26" s="31">
        <v>0</v>
      </c>
      <c r="M26" s="31">
        <v>0</v>
      </c>
      <c r="N26" s="39" t="s">
        <v>679</v>
      </c>
      <c r="O26" s="85" t="s">
        <v>25</v>
      </c>
      <c r="P26" s="26" t="s">
        <v>127</v>
      </c>
      <c r="Q26" s="35">
        <v>41389</v>
      </c>
      <c r="R26" s="29"/>
    </row>
    <row r="27" spans="1:18" s="171" customFormat="1" ht="21" customHeight="1">
      <c r="A27" s="26">
        <v>26</v>
      </c>
      <c r="B27" s="26" t="s">
        <v>623</v>
      </c>
      <c r="C27" s="26" t="s">
        <v>676</v>
      </c>
      <c r="D27" s="29" t="s">
        <v>680</v>
      </c>
      <c r="E27" s="26" t="s">
        <v>625</v>
      </c>
      <c r="F27" s="29" t="s">
        <v>681</v>
      </c>
      <c r="G27" s="26">
        <v>4</v>
      </c>
      <c r="H27" s="31">
        <v>917</v>
      </c>
      <c r="I27" s="31">
        <v>0</v>
      </c>
      <c r="J27" s="31">
        <v>4</v>
      </c>
      <c r="K27" s="31">
        <v>3</v>
      </c>
      <c r="L27" s="31">
        <v>0</v>
      </c>
      <c r="M27" s="31">
        <v>0</v>
      </c>
      <c r="N27" s="39" t="s">
        <v>682</v>
      </c>
      <c r="O27" s="85" t="s">
        <v>25</v>
      </c>
      <c r="P27" s="26" t="s">
        <v>127</v>
      </c>
      <c r="Q27" s="35">
        <v>41529</v>
      </c>
      <c r="R27" s="29" t="s">
        <v>683</v>
      </c>
    </row>
    <row r="28" spans="1:18" s="111" customFormat="1" ht="20.25" customHeight="1">
      <c r="A28" s="26">
        <v>27</v>
      </c>
      <c r="B28" s="26" t="s">
        <v>156</v>
      </c>
      <c r="C28" s="26" t="s">
        <v>255</v>
      </c>
      <c r="D28" s="30" t="s">
        <v>50</v>
      </c>
      <c r="E28" s="26" t="s">
        <v>144</v>
      </c>
      <c r="F28" s="30" t="s">
        <v>674</v>
      </c>
      <c r="G28" s="26">
        <v>10</v>
      </c>
      <c r="H28" s="32">
        <v>1758</v>
      </c>
      <c r="I28" s="32">
        <v>0</v>
      </c>
      <c r="J28" s="32">
        <v>10</v>
      </c>
      <c r="K28" s="32">
        <v>9</v>
      </c>
      <c r="L28" s="32">
        <v>0</v>
      </c>
      <c r="M28" s="32">
        <v>1</v>
      </c>
      <c r="N28" s="112" t="s">
        <v>675</v>
      </c>
      <c r="O28" s="67" t="s">
        <v>450</v>
      </c>
      <c r="P28" s="29" t="s">
        <v>27</v>
      </c>
      <c r="Q28" s="35">
        <v>38679</v>
      </c>
      <c r="R28" s="29"/>
    </row>
    <row r="29" spans="1:18" s="141" customFormat="1" ht="20.25" customHeight="1">
      <c r="A29" s="26">
        <v>28</v>
      </c>
      <c r="B29" s="33" t="s">
        <v>623</v>
      </c>
      <c r="C29" s="33" t="s">
        <v>684</v>
      </c>
      <c r="D29" s="65" t="s">
        <v>685</v>
      </c>
      <c r="E29" s="33" t="s">
        <v>538</v>
      </c>
      <c r="F29" s="65" t="s">
        <v>686</v>
      </c>
      <c r="G29" s="26">
        <v>7</v>
      </c>
      <c r="H29" s="32">
        <v>1084</v>
      </c>
      <c r="I29" s="32">
        <v>0</v>
      </c>
      <c r="J29" s="32">
        <v>7</v>
      </c>
      <c r="K29" s="32">
        <v>2</v>
      </c>
      <c r="L29" s="32">
        <v>0</v>
      </c>
      <c r="M29" s="32">
        <v>0</v>
      </c>
      <c r="N29" s="112" t="s">
        <v>432</v>
      </c>
      <c r="O29" s="33" t="s">
        <v>450</v>
      </c>
      <c r="P29" s="29" t="s">
        <v>27</v>
      </c>
      <c r="Q29" s="35">
        <v>41265</v>
      </c>
      <c r="R29" s="29"/>
    </row>
    <row r="30" spans="1:18" s="141" customFormat="1" ht="20.25" customHeight="1">
      <c r="A30" s="26">
        <v>29</v>
      </c>
      <c r="B30" s="26" t="s">
        <v>156</v>
      </c>
      <c r="C30" s="26" t="s">
        <v>263</v>
      </c>
      <c r="D30" s="30" t="s">
        <v>357</v>
      </c>
      <c r="E30" s="26" t="s">
        <v>144</v>
      </c>
      <c r="F30" s="30" t="s">
        <v>687</v>
      </c>
      <c r="G30" s="26">
        <v>8</v>
      </c>
      <c r="H30" s="32">
        <v>1678</v>
      </c>
      <c r="I30" s="32">
        <f>G30-J30</f>
        <v>0</v>
      </c>
      <c r="J30" s="32">
        <v>8</v>
      </c>
      <c r="K30" s="32">
        <v>4</v>
      </c>
      <c r="L30" s="173">
        <v>0</v>
      </c>
      <c r="M30" s="32">
        <v>1</v>
      </c>
      <c r="N30" s="112" t="s">
        <v>688</v>
      </c>
      <c r="O30" s="67" t="s">
        <v>450</v>
      </c>
      <c r="P30" s="29" t="s">
        <v>27</v>
      </c>
      <c r="Q30" s="35">
        <v>40410</v>
      </c>
      <c r="R30" s="29"/>
    </row>
    <row r="31" spans="1:18" s="16" customFormat="1" ht="20.25" customHeight="1">
      <c r="A31" s="26">
        <v>30</v>
      </c>
      <c r="B31" s="27" t="s">
        <v>156</v>
      </c>
      <c r="C31" s="27" t="s">
        <v>165</v>
      </c>
      <c r="D31" s="38" t="s">
        <v>689</v>
      </c>
      <c r="E31" s="33" t="s">
        <v>625</v>
      </c>
      <c r="F31" s="30" t="s">
        <v>690</v>
      </c>
      <c r="G31" s="26">
        <v>6</v>
      </c>
      <c r="H31" s="32">
        <v>816</v>
      </c>
      <c r="I31" s="32">
        <v>0</v>
      </c>
      <c r="J31" s="32">
        <v>6</v>
      </c>
      <c r="K31" s="32">
        <v>2</v>
      </c>
      <c r="L31" s="32">
        <v>0</v>
      </c>
      <c r="M31" s="32">
        <v>0</v>
      </c>
      <c r="N31" s="39" t="s">
        <v>125</v>
      </c>
      <c r="O31" s="33" t="s">
        <v>451</v>
      </c>
      <c r="P31" s="29" t="s">
        <v>308</v>
      </c>
      <c r="Q31" s="35">
        <v>39219</v>
      </c>
      <c r="R31" s="66"/>
    </row>
    <row r="32" spans="1:18" s="22" customFormat="1" ht="24" customHeight="1">
      <c r="A32" s="26">
        <v>31</v>
      </c>
      <c r="B32" s="27" t="s">
        <v>505</v>
      </c>
      <c r="C32" s="27" t="s">
        <v>512</v>
      </c>
      <c r="D32" s="28" t="s">
        <v>510</v>
      </c>
      <c r="E32" s="27" t="s">
        <v>432</v>
      </c>
      <c r="F32" s="28" t="s">
        <v>511</v>
      </c>
      <c r="G32" s="26">
        <v>2</v>
      </c>
      <c r="H32" s="32">
        <v>150</v>
      </c>
      <c r="I32" s="32">
        <v>0</v>
      </c>
      <c r="J32" s="32">
        <v>2</v>
      </c>
      <c r="K32" s="32">
        <v>1</v>
      </c>
      <c r="L32" s="32">
        <v>0</v>
      </c>
      <c r="M32" s="32">
        <v>0</v>
      </c>
      <c r="N32" s="39" t="s">
        <v>432</v>
      </c>
      <c r="O32" s="27" t="s">
        <v>555</v>
      </c>
      <c r="P32" s="29" t="s">
        <v>308</v>
      </c>
      <c r="Q32" s="35">
        <v>41275</v>
      </c>
      <c r="R32" s="28" t="s">
        <v>556</v>
      </c>
    </row>
    <row r="33" spans="1:18" s="22" customFormat="1" ht="24" customHeight="1">
      <c r="A33" s="26">
        <v>32</v>
      </c>
      <c r="B33" s="26" t="s">
        <v>156</v>
      </c>
      <c r="C33" s="26" t="s">
        <v>264</v>
      </c>
      <c r="D33" s="29" t="s">
        <v>51</v>
      </c>
      <c r="E33" s="26" t="s">
        <v>144</v>
      </c>
      <c r="F33" s="29" t="s">
        <v>694</v>
      </c>
      <c r="G33" s="26">
        <v>10</v>
      </c>
      <c r="H33" s="31">
        <v>1688</v>
      </c>
      <c r="I33" s="31">
        <f>G33-J33</f>
        <v>0</v>
      </c>
      <c r="J33" s="31">
        <v>10</v>
      </c>
      <c r="K33" s="31">
        <v>5</v>
      </c>
      <c r="L33" s="31">
        <v>1</v>
      </c>
      <c r="M33" s="31">
        <v>1</v>
      </c>
      <c r="N33" s="112" t="s">
        <v>695</v>
      </c>
      <c r="O33" s="85" t="s">
        <v>25</v>
      </c>
      <c r="P33" s="26" t="s">
        <v>127</v>
      </c>
      <c r="Q33" s="35">
        <v>37762</v>
      </c>
      <c r="R33" s="29"/>
    </row>
    <row r="34" spans="1:18" s="22" customFormat="1" ht="24" customHeight="1">
      <c r="A34" s="26">
        <v>33</v>
      </c>
      <c r="B34" s="26" t="s">
        <v>505</v>
      </c>
      <c r="C34" s="26" t="s">
        <v>763</v>
      </c>
      <c r="D34" s="29" t="s">
        <v>764</v>
      </c>
      <c r="E34" s="26" t="s">
        <v>635</v>
      </c>
      <c r="F34" s="29" t="s">
        <v>765</v>
      </c>
      <c r="G34" s="26">
        <v>6</v>
      </c>
      <c r="H34" s="31">
        <v>876</v>
      </c>
      <c r="I34" s="31">
        <v>0</v>
      </c>
      <c r="J34" s="31">
        <v>6</v>
      </c>
      <c r="K34" s="31">
        <v>3</v>
      </c>
      <c r="L34" s="31">
        <v>0</v>
      </c>
      <c r="M34" s="31">
        <v>0</v>
      </c>
      <c r="N34" s="112" t="s">
        <v>432</v>
      </c>
      <c r="O34" s="85" t="s">
        <v>25</v>
      </c>
      <c r="P34" s="26" t="s">
        <v>127</v>
      </c>
      <c r="Q34" s="35">
        <v>41914</v>
      </c>
      <c r="R34" s="29"/>
    </row>
    <row r="35" spans="1:18" s="22" customFormat="1" ht="24" customHeight="1">
      <c r="A35" s="26">
        <v>34</v>
      </c>
      <c r="B35" s="26" t="s">
        <v>156</v>
      </c>
      <c r="C35" s="26" t="s">
        <v>264</v>
      </c>
      <c r="D35" s="65" t="s">
        <v>696</v>
      </c>
      <c r="E35" s="26" t="s">
        <v>144</v>
      </c>
      <c r="F35" s="30" t="s">
        <v>697</v>
      </c>
      <c r="G35" s="26">
        <v>2</v>
      </c>
      <c r="H35" s="32">
        <v>224</v>
      </c>
      <c r="I35" s="32">
        <v>0</v>
      </c>
      <c r="J35" s="32">
        <v>2</v>
      </c>
      <c r="K35" s="32">
        <v>1</v>
      </c>
      <c r="L35" s="32">
        <v>0</v>
      </c>
      <c r="M35" s="32">
        <v>0</v>
      </c>
      <c r="N35" s="39" t="s">
        <v>125</v>
      </c>
      <c r="O35" s="67" t="s">
        <v>450</v>
      </c>
      <c r="P35" s="29" t="s">
        <v>27</v>
      </c>
      <c r="Q35" s="35">
        <v>40297</v>
      </c>
      <c r="R35" s="29"/>
    </row>
    <row r="36" spans="1:18" s="22" customFormat="1" ht="24" customHeight="1">
      <c r="A36" s="26">
        <v>35</v>
      </c>
      <c r="B36" s="26" t="s">
        <v>156</v>
      </c>
      <c r="C36" s="26" t="s">
        <v>264</v>
      </c>
      <c r="D36" s="65" t="s">
        <v>692</v>
      </c>
      <c r="E36" s="33" t="s">
        <v>625</v>
      </c>
      <c r="F36" s="65" t="s">
        <v>693</v>
      </c>
      <c r="G36" s="26">
        <v>4</v>
      </c>
      <c r="H36" s="32">
        <v>689</v>
      </c>
      <c r="I36" s="32">
        <v>0</v>
      </c>
      <c r="J36" s="32">
        <v>4</v>
      </c>
      <c r="K36" s="32">
        <v>2</v>
      </c>
      <c r="L36" s="32">
        <v>0</v>
      </c>
      <c r="M36" s="32">
        <v>0</v>
      </c>
      <c r="N36" s="112" t="s">
        <v>432</v>
      </c>
      <c r="O36" s="167" t="s">
        <v>450</v>
      </c>
      <c r="P36" s="29" t="s">
        <v>27</v>
      </c>
      <c r="Q36" s="35">
        <v>41109</v>
      </c>
      <c r="R36" s="29"/>
    </row>
    <row r="37" spans="1:18" s="22" customFormat="1" ht="24" customHeight="1">
      <c r="A37" s="26">
        <v>36</v>
      </c>
      <c r="B37" s="26" t="s">
        <v>156</v>
      </c>
      <c r="C37" s="26" t="s">
        <v>264</v>
      </c>
      <c r="D37" s="28" t="s">
        <v>132</v>
      </c>
      <c r="E37" s="27" t="s">
        <v>144</v>
      </c>
      <c r="F37" s="30" t="s">
        <v>691</v>
      </c>
      <c r="G37" s="26">
        <v>6</v>
      </c>
      <c r="H37" s="32">
        <v>1104</v>
      </c>
      <c r="I37" s="32">
        <f>G37-J37</f>
        <v>0</v>
      </c>
      <c r="J37" s="32">
        <v>6</v>
      </c>
      <c r="K37" s="32">
        <v>4</v>
      </c>
      <c r="L37" s="32">
        <v>0</v>
      </c>
      <c r="M37" s="32">
        <v>0</v>
      </c>
      <c r="N37" s="39" t="s">
        <v>125</v>
      </c>
      <c r="O37" s="33" t="s">
        <v>450</v>
      </c>
      <c r="P37" s="29" t="s">
        <v>27</v>
      </c>
      <c r="Q37" s="35">
        <v>39448</v>
      </c>
      <c r="R37" s="28"/>
    </row>
    <row r="38" spans="1:18" s="22" customFormat="1" ht="24" customHeight="1">
      <c r="A38" s="26">
        <v>37</v>
      </c>
      <c r="B38" s="26" t="s">
        <v>156</v>
      </c>
      <c r="C38" s="26" t="s">
        <v>264</v>
      </c>
      <c r="D38" s="28" t="s">
        <v>73</v>
      </c>
      <c r="E38" s="27" t="s">
        <v>125</v>
      </c>
      <c r="F38" s="28" t="s">
        <v>1419</v>
      </c>
      <c r="G38" s="26">
        <v>1</v>
      </c>
      <c r="H38" s="32">
        <v>77</v>
      </c>
      <c r="I38" s="32">
        <f>G38-J38</f>
        <v>0</v>
      </c>
      <c r="J38" s="32">
        <v>1</v>
      </c>
      <c r="K38" s="32">
        <v>0</v>
      </c>
      <c r="L38" s="32">
        <v>0</v>
      </c>
      <c r="M38" s="32">
        <v>0</v>
      </c>
      <c r="N38" s="39" t="s">
        <v>125</v>
      </c>
      <c r="O38" s="27" t="s">
        <v>123</v>
      </c>
      <c r="P38" s="26" t="s">
        <v>33</v>
      </c>
      <c r="Q38" s="26" t="s">
        <v>133</v>
      </c>
      <c r="R38" s="28"/>
    </row>
    <row r="39" spans="1:18" s="22" customFormat="1" ht="24" customHeight="1">
      <c r="A39" s="26">
        <v>38</v>
      </c>
      <c r="B39" s="26" t="s">
        <v>623</v>
      </c>
      <c r="C39" s="26" t="s">
        <v>698</v>
      </c>
      <c r="D39" s="29" t="s">
        <v>699</v>
      </c>
      <c r="E39" s="26" t="s">
        <v>625</v>
      </c>
      <c r="F39" s="29" t="s">
        <v>700</v>
      </c>
      <c r="G39" s="26">
        <v>9</v>
      </c>
      <c r="H39" s="31">
        <v>1468</v>
      </c>
      <c r="I39" s="31">
        <v>0</v>
      </c>
      <c r="J39" s="31">
        <v>9</v>
      </c>
      <c r="K39" s="31">
        <v>5</v>
      </c>
      <c r="L39" s="31">
        <v>0</v>
      </c>
      <c r="M39" s="31">
        <v>1</v>
      </c>
      <c r="N39" s="39" t="s">
        <v>701</v>
      </c>
      <c r="O39" s="85" t="s">
        <v>25</v>
      </c>
      <c r="P39" s="26" t="s">
        <v>127</v>
      </c>
      <c r="Q39" s="35">
        <v>41445</v>
      </c>
      <c r="R39" s="29" t="s">
        <v>702</v>
      </c>
    </row>
    <row r="40" spans="1:18" s="19" customFormat="1" ht="24" customHeight="1">
      <c r="A40" s="26">
        <v>39</v>
      </c>
      <c r="B40" s="190" t="s">
        <v>156</v>
      </c>
      <c r="C40" s="190" t="s">
        <v>256</v>
      </c>
      <c r="D40" s="78" t="s">
        <v>52</v>
      </c>
      <c r="E40" s="190" t="s">
        <v>144</v>
      </c>
      <c r="F40" s="78" t="s">
        <v>703</v>
      </c>
      <c r="G40" s="74">
        <v>8</v>
      </c>
      <c r="H40" s="75">
        <v>1541</v>
      </c>
      <c r="I40" s="75">
        <f>G40-J40</f>
        <v>0</v>
      </c>
      <c r="J40" s="75">
        <v>8</v>
      </c>
      <c r="K40" s="75">
        <v>2</v>
      </c>
      <c r="L40" s="75">
        <v>0</v>
      </c>
      <c r="M40" s="75">
        <v>0</v>
      </c>
      <c r="N40" s="242" t="s">
        <v>704</v>
      </c>
      <c r="O40" s="167" t="s">
        <v>451</v>
      </c>
      <c r="P40" s="76" t="s">
        <v>308</v>
      </c>
      <c r="Q40" s="77">
        <v>38982</v>
      </c>
      <c r="R40" s="78"/>
    </row>
    <row r="41" spans="1:18" s="16" customFormat="1" ht="24" customHeight="1">
      <c r="A41" s="26">
        <v>40</v>
      </c>
      <c r="B41" s="27" t="s">
        <v>156</v>
      </c>
      <c r="C41" s="27" t="s">
        <v>256</v>
      </c>
      <c r="D41" s="28" t="s">
        <v>389</v>
      </c>
      <c r="E41" s="27" t="s">
        <v>125</v>
      </c>
      <c r="F41" s="28" t="s">
        <v>1420</v>
      </c>
      <c r="G41" s="26">
        <v>2</v>
      </c>
      <c r="H41" s="32">
        <v>276</v>
      </c>
      <c r="I41" s="32">
        <v>0</v>
      </c>
      <c r="J41" s="32">
        <v>2</v>
      </c>
      <c r="K41" s="32">
        <v>1</v>
      </c>
      <c r="L41" s="32">
        <v>0</v>
      </c>
      <c r="M41" s="32">
        <v>0</v>
      </c>
      <c r="N41" s="39" t="s">
        <v>125</v>
      </c>
      <c r="O41" s="27" t="s">
        <v>402</v>
      </c>
      <c r="P41" s="26" t="s">
        <v>310</v>
      </c>
      <c r="Q41" s="35">
        <v>39713</v>
      </c>
      <c r="R41" s="37" t="s">
        <v>444</v>
      </c>
    </row>
    <row r="42" spans="1:18" s="16" customFormat="1" ht="24" customHeight="1">
      <c r="A42" s="26">
        <v>41</v>
      </c>
      <c r="B42" s="27" t="s">
        <v>156</v>
      </c>
      <c r="C42" s="27" t="s">
        <v>256</v>
      </c>
      <c r="D42" s="28" t="s">
        <v>289</v>
      </c>
      <c r="E42" s="27" t="s">
        <v>125</v>
      </c>
      <c r="F42" s="28" t="s">
        <v>1421</v>
      </c>
      <c r="G42" s="26">
        <v>2</v>
      </c>
      <c r="H42" s="32">
        <v>138</v>
      </c>
      <c r="I42" s="32">
        <v>0</v>
      </c>
      <c r="J42" s="32">
        <v>2</v>
      </c>
      <c r="K42" s="32">
        <v>0</v>
      </c>
      <c r="L42" s="32">
        <v>0</v>
      </c>
      <c r="M42" s="32">
        <v>0</v>
      </c>
      <c r="N42" s="39" t="s">
        <v>125</v>
      </c>
      <c r="O42" s="190" t="s">
        <v>382</v>
      </c>
      <c r="P42" s="26" t="s">
        <v>32</v>
      </c>
      <c r="Q42" s="35">
        <v>38443</v>
      </c>
      <c r="R42" s="79" t="s">
        <v>1471</v>
      </c>
    </row>
    <row r="43" spans="1:18" s="16" customFormat="1" ht="24" customHeight="1">
      <c r="A43" s="26">
        <v>42</v>
      </c>
      <c r="B43" s="26" t="s">
        <v>156</v>
      </c>
      <c r="C43" s="26" t="s">
        <v>265</v>
      </c>
      <c r="D43" s="65" t="s">
        <v>705</v>
      </c>
      <c r="E43" s="26" t="s">
        <v>144</v>
      </c>
      <c r="F43" s="30" t="s">
        <v>706</v>
      </c>
      <c r="G43" s="26">
        <v>7</v>
      </c>
      <c r="H43" s="32">
        <v>924</v>
      </c>
      <c r="I43" s="32">
        <f>G43-J43</f>
        <v>0</v>
      </c>
      <c r="J43" s="32">
        <v>7</v>
      </c>
      <c r="K43" s="32">
        <v>4</v>
      </c>
      <c r="L43" s="32">
        <v>0</v>
      </c>
      <c r="M43" s="32">
        <v>0</v>
      </c>
      <c r="N43" s="39" t="s">
        <v>125</v>
      </c>
      <c r="O43" s="167" t="s">
        <v>451</v>
      </c>
      <c r="P43" s="29" t="s">
        <v>308</v>
      </c>
      <c r="Q43" s="35">
        <v>38344</v>
      </c>
      <c r="R43" s="29"/>
    </row>
    <row r="44" spans="1:18" s="16" customFormat="1" ht="24" customHeight="1">
      <c r="A44" s="26">
        <v>43</v>
      </c>
      <c r="B44" s="26" t="s">
        <v>156</v>
      </c>
      <c r="C44" s="26" t="s">
        <v>265</v>
      </c>
      <c r="D44" s="65" t="s">
        <v>1480</v>
      </c>
      <c r="E44" s="33" t="s">
        <v>1481</v>
      </c>
      <c r="F44" s="30" t="s">
        <v>1482</v>
      </c>
      <c r="G44" s="26">
        <v>6</v>
      </c>
      <c r="H44" s="32">
        <v>1158</v>
      </c>
      <c r="I44" s="32">
        <v>0</v>
      </c>
      <c r="J44" s="32">
        <v>6</v>
      </c>
      <c r="K44" s="32">
        <v>3</v>
      </c>
      <c r="L44" s="32">
        <v>0</v>
      </c>
      <c r="M44" s="32">
        <v>0</v>
      </c>
      <c r="N44" s="39" t="s">
        <v>125</v>
      </c>
      <c r="O44" s="33" t="s">
        <v>451</v>
      </c>
      <c r="P44" s="29" t="s">
        <v>308</v>
      </c>
      <c r="Q44" s="35">
        <v>38306</v>
      </c>
      <c r="R44" s="29" t="s">
        <v>1483</v>
      </c>
    </row>
    <row r="45" spans="1:18" s="22" customFormat="1" ht="24" customHeight="1">
      <c r="A45" s="26">
        <v>44</v>
      </c>
      <c r="B45" s="26" t="s">
        <v>156</v>
      </c>
      <c r="C45" s="26" t="s">
        <v>273</v>
      </c>
      <c r="D45" s="29" t="s">
        <v>102</v>
      </c>
      <c r="E45" s="26" t="s">
        <v>144</v>
      </c>
      <c r="F45" s="29" t="s">
        <v>707</v>
      </c>
      <c r="G45" s="26">
        <v>10</v>
      </c>
      <c r="H45" s="31">
        <v>1846</v>
      </c>
      <c r="I45" s="31">
        <f>G45-J45</f>
        <v>0</v>
      </c>
      <c r="J45" s="31">
        <v>10</v>
      </c>
      <c r="K45" s="31">
        <v>7</v>
      </c>
      <c r="L45" s="42">
        <v>1</v>
      </c>
      <c r="M45" s="42">
        <v>1</v>
      </c>
      <c r="N45" s="112" t="s">
        <v>708</v>
      </c>
      <c r="O45" s="169" t="s">
        <v>25</v>
      </c>
      <c r="P45" s="26" t="s">
        <v>127</v>
      </c>
      <c r="Q45" s="35">
        <v>39806</v>
      </c>
      <c r="R45" s="29"/>
    </row>
    <row r="46" spans="1:18" s="22" customFormat="1" ht="24" customHeight="1">
      <c r="A46" s="26">
        <v>45</v>
      </c>
      <c r="B46" s="27" t="s">
        <v>156</v>
      </c>
      <c r="C46" s="27" t="s">
        <v>166</v>
      </c>
      <c r="D46" s="28" t="s">
        <v>138</v>
      </c>
      <c r="E46" s="27" t="s">
        <v>146</v>
      </c>
      <c r="F46" s="29" t="s">
        <v>709</v>
      </c>
      <c r="G46" s="26">
        <v>5</v>
      </c>
      <c r="H46" s="31">
        <v>906</v>
      </c>
      <c r="I46" s="31">
        <f>G46-J46</f>
        <v>0</v>
      </c>
      <c r="J46" s="31">
        <v>5</v>
      </c>
      <c r="K46" s="31">
        <v>3</v>
      </c>
      <c r="L46" s="31">
        <v>0</v>
      </c>
      <c r="M46" s="31">
        <v>0</v>
      </c>
      <c r="N46" s="39" t="s">
        <v>628</v>
      </c>
      <c r="O46" s="169" t="s">
        <v>25</v>
      </c>
      <c r="P46" s="26" t="s">
        <v>127</v>
      </c>
      <c r="Q46" s="35">
        <v>39701</v>
      </c>
      <c r="R46" s="28"/>
    </row>
    <row r="47" spans="1:18" s="16" customFormat="1" ht="24" customHeight="1">
      <c r="A47" s="26">
        <v>46</v>
      </c>
      <c r="B47" s="47" t="s">
        <v>156</v>
      </c>
      <c r="C47" s="27" t="s">
        <v>166</v>
      </c>
      <c r="D47" s="37" t="s">
        <v>461</v>
      </c>
      <c r="E47" s="85" t="s">
        <v>432</v>
      </c>
      <c r="F47" s="38" t="s">
        <v>463</v>
      </c>
      <c r="G47" s="26">
        <v>1</v>
      </c>
      <c r="H47" s="32">
        <v>142</v>
      </c>
      <c r="I47" s="31">
        <v>0</v>
      </c>
      <c r="J47" s="31">
        <v>1</v>
      </c>
      <c r="K47" s="31">
        <v>0</v>
      </c>
      <c r="L47" s="42">
        <v>0</v>
      </c>
      <c r="M47" s="42">
        <v>0</v>
      </c>
      <c r="N47" s="112" t="s">
        <v>432</v>
      </c>
      <c r="O47" s="85" t="s">
        <v>464</v>
      </c>
      <c r="P47" s="33" t="s">
        <v>465</v>
      </c>
      <c r="Q47" s="35">
        <v>40949</v>
      </c>
      <c r="R47" s="28"/>
    </row>
    <row r="48" spans="1:18" s="16" customFormat="1" ht="24" customHeight="1">
      <c r="A48" s="26">
        <v>47</v>
      </c>
      <c r="B48" s="47" t="s">
        <v>156</v>
      </c>
      <c r="C48" s="27" t="s">
        <v>166</v>
      </c>
      <c r="D48" s="28" t="s">
        <v>582</v>
      </c>
      <c r="E48" s="27" t="s">
        <v>125</v>
      </c>
      <c r="F48" s="28" t="s">
        <v>583</v>
      </c>
      <c r="G48" s="26">
        <v>3</v>
      </c>
      <c r="H48" s="32">
        <v>473</v>
      </c>
      <c r="I48" s="32">
        <v>0</v>
      </c>
      <c r="J48" s="32">
        <v>3</v>
      </c>
      <c r="K48" s="32">
        <v>0</v>
      </c>
      <c r="L48" s="49">
        <v>0</v>
      </c>
      <c r="M48" s="49">
        <v>0</v>
      </c>
      <c r="N48" s="112" t="s">
        <v>453</v>
      </c>
      <c r="O48" s="190" t="s">
        <v>137</v>
      </c>
      <c r="P48" s="27" t="s">
        <v>428</v>
      </c>
      <c r="Q48" s="27" t="s">
        <v>130</v>
      </c>
      <c r="R48" s="28" t="s">
        <v>584</v>
      </c>
    </row>
    <row r="49" spans="1:18" s="16" customFormat="1" ht="24" customHeight="1">
      <c r="A49" s="26">
        <v>48</v>
      </c>
      <c r="B49" s="41" t="s">
        <v>156</v>
      </c>
      <c r="C49" s="26" t="s">
        <v>272</v>
      </c>
      <c r="D49" s="29" t="s">
        <v>331</v>
      </c>
      <c r="E49" s="26" t="s">
        <v>144</v>
      </c>
      <c r="F49" s="29" t="s">
        <v>711</v>
      </c>
      <c r="G49" s="26">
        <v>7</v>
      </c>
      <c r="H49" s="31">
        <v>1218</v>
      </c>
      <c r="I49" s="31">
        <f>G49-J49</f>
        <v>0</v>
      </c>
      <c r="J49" s="31">
        <v>7</v>
      </c>
      <c r="K49" s="31">
        <v>5</v>
      </c>
      <c r="L49" s="42">
        <v>0</v>
      </c>
      <c r="M49" s="42">
        <v>1</v>
      </c>
      <c r="N49" s="112" t="s">
        <v>629</v>
      </c>
      <c r="O49" s="85" t="s">
        <v>25</v>
      </c>
      <c r="P49" s="26" t="s">
        <v>127</v>
      </c>
      <c r="Q49" s="35">
        <v>39932</v>
      </c>
      <c r="R49" s="29"/>
    </row>
    <row r="50" spans="1:18" s="22" customFormat="1" ht="24" customHeight="1">
      <c r="A50" s="26">
        <v>49</v>
      </c>
      <c r="B50" s="26" t="s">
        <v>156</v>
      </c>
      <c r="C50" s="26" t="s">
        <v>274</v>
      </c>
      <c r="D50" s="29" t="s">
        <v>53</v>
      </c>
      <c r="E50" s="26" t="s">
        <v>144</v>
      </c>
      <c r="F50" s="29" t="s">
        <v>715</v>
      </c>
      <c r="G50" s="26">
        <v>8</v>
      </c>
      <c r="H50" s="31">
        <v>1372</v>
      </c>
      <c r="I50" s="31">
        <f>G50-J50</f>
        <v>0</v>
      </c>
      <c r="J50" s="31">
        <v>8</v>
      </c>
      <c r="K50" s="31">
        <v>4</v>
      </c>
      <c r="L50" s="31">
        <v>0</v>
      </c>
      <c r="M50" s="31">
        <v>0</v>
      </c>
      <c r="N50" s="39" t="s">
        <v>630</v>
      </c>
      <c r="O50" s="85" t="s">
        <v>25</v>
      </c>
      <c r="P50" s="26" t="s">
        <v>127</v>
      </c>
      <c r="Q50" s="35">
        <v>37499</v>
      </c>
      <c r="R50" s="29"/>
    </row>
    <row r="51" spans="1:18" s="22" customFormat="1" ht="24" customHeight="1">
      <c r="A51" s="26">
        <v>50</v>
      </c>
      <c r="B51" s="26" t="s">
        <v>156</v>
      </c>
      <c r="C51" s="26" t="s">
        <v>274</v>
      </c>
      <c r="D51" s="30" t="s">
        <v>106</v>
      </c>
      <c r="E51" s="26" t="s">
        <v>144</v>
      </c>
      <c r="F51" s="30" t="s">
        <v>713</v>
      </c>
      <c r="G51" s="26">
        <v>9</v>
      </c>
      <c r="H51" s="32">
        <v>1497</v>
      </c>
      <c r="I51" s="32">
        <f>G51-J51</f>
        <v>0</v>
      </c>
      <c r="J51" s="32">
        <v>9</v>
      </c>
      <c r="K51" s="32">
        <v>4</v>
      </c>
      <c r="L51" s="32">
        <v>0</v>
      </c>
      <c r="M51" s="32">
        <v>0</v>
      </c>
      <c r="N51" s="112" t="s">
        <v>714</v>
      </c>
      <c r="O51" s="33" t="s">
        <v>451</v>
      </c>
      <c r="P51" s="29" t="s">
        <v>308</v>
      </c>
      <c r="Q51" s="36">
        <v>38834</v>
      </c>
      <c r="R51" s="29"/>
    </row>
    <row r="52" spans="1:18" s="16" customFormat="1" ht="24" customHeight="1">
      <c r="A52" s="26">
        <v>51</v>
      </c>
      <c r="B52" s="33" t="s">
        <v>623</v>
      </c>
      <c r="C52" s="33" t="s">
        <v>718</v>
      </c>
      <c r="D52" s="38" t="s">
        <v>719</v>
      </c>
      <c r="E52" s="33" t="s">
        <v>625</v>
      </c>
      <c r="F52" s="38" t="s">
        <v>720</v>
      </c>
      <c r="G52" s="26">
        <v>9</v>
      </c>
      <c r="H52" s="31">
        <v>1313</v>
      </c>
      <c r="I52" s="31">
        <v>0</v>
      </c>
      <c r="J52" s="31">
        <v>9</v>
      </c>
      <c r="K52" s="31">
        <v>7</v>
      </c>
      <c r="L52" s="31">
        <v>0</v>
      </c>
      <c r="M52" s="31">
        <v>1</v>
      </c>
      <c r="N52" s="112" t="s">
        <v>721</v>
      </c>
      <c r="O52" s="169" t="s">
        <v>25</v>
      </c>
      <c r="P52" s="26" t="s">
        <v>127</v>
      </c>
      <c r="Q52" s="35">
        <v>41151</v>
      </c>
      <c r="R52" s="29"/>
    </row>
    <row r="53" spans="1:18" s="16" customFormat="1" ht="24" customHeight="1">
      <c r="A53" s="26">
        <v>52</v>
      </c>
      <c r="B53" s="26" t="s">
        <v>156</v>
      </c>
      <c r="C53" s="26" t="s">
        <v>226</v>
      </c>
      <c r="D53" s="29" t="s">
        <v>22</v>
      </c>
      <c r="E53" s="26" t="s">
        <v>144</v>
      </c>
      <c r="F53" s="29" t="s">
        <v>722</v>
      </c>
      <c r="G53" s="26">
        <v>11</v>
      </c>
      <c r="H53" s="31">
        <v>2364</v>
      </c>
      <c r="I53" s="31">
        <f>G53-J53</f>
        <v>0</v>
      </c>
      <c r="J53" s="31">
        <v>11</v>
      </c>
      <c r="K53" s="31">
        <v>6</v>
      </c>
      <c r="L53" s="31">
        <v>0</v>
      </c>
      <c r="M53" s="31">
        <v>1</v>
      </c>
      <c r="N53" s="112" t="s">
        <v>723</v>
      </c>
      <c r="O53" s="169" t="s">
        <v>25</v>
      </c>
      <c r="P53" s="26" t="s">
        <v>127</v>
      </c>
      <c r="Q53" s="35">
        <v>39345</v>
      </c>
      <c r="R53" s="29"/>
    </row>
    <row r="54" spans="1:18" s="141" customFormat="1" ht="24" customHeight="1">
      <c r="A54" s="26">
        <v>53</v>
      </c>
      <c r="B54" s="26" t="s">
        <v>156</v>
      </c>
      <c r="C54" s="26" t="s">
        <v>226</v>
      </c>
      <c r="D54" s="30" t="s">
        <v>54</v>
      </c>
      <c r="E54" s="26" t="s">
        <v>144</v>
      </c>
      <c r="F54" s="30" t="s">
        <v>717</v>
      </c>
      <c r="G54" s="26">
        <v>7</v>
      </c>
      <c r="H54" s="32">
        <v>1328</v>
      </c>
      <c r="I54" s="32">
        <f>G54-J54</f>
        <v>0</v>
      </c>
      <c r="J54" s="32">
        <v>7</v>
      </c>
      <c r="K54" s="32">
        <v>6</v>
      </c>
      <c r="L54" s="173">
        <v>0</v>
      </c>
      <c r="M54" s="32">
        <v>0</v>
      </c>
      <c r="N54" s="39" t="s">
        <v>125</v>
      </c>
      <c r="O54" s="167" t="s">
        <v>450</v>
      </c>
      <c r="P54" s="29" t="s">
        <v>27</v>
      </c>
      <c r="Q54" s="35">
        <v>38471</v>
      </c>
      <c r="R54" s="29"/>
    </row>
    <row r="55" spans="1:18" s="16" customFormat="1" ht="24" customHeight="1">
      <c r="A55" s="26">
        <v>54</v>
      </c>
      <c r="B55" s="26" t="s">
        <v>156</v>
      </c>
      <c r="C55" s="26" t="s">
        <v>266</v>
      </c>
      <c r="D55" s="29" t="s">
        <v>55</v>
      </c>
      <c r="E55" s="26" t="s">
        <v>144</v>
      </c>
      <c r="F55" s="29" t="s">
        <v>724</v>
      </c>
      <c r="G55" s="26">
        <v>11</v>
      </c>
      <c r="H55" s="31">
        <v>2215</v>
      </c>
      <c r="I55" s="31">
        <f>G55-J55</f>
        <v>0</v>
      </c>
      <c r="J55" s="31">
        <v>11</v>
      </c>
      <c r="K55" s="31">
        <v>5</v>
      </c>
      <c r="L55" s="42">
        <v>1</v>
      </c>
      <c r="M55" s="42">
        <v>1</v>
      </c>
      <c r="N55" s="112" t="s">
        <v>725</v>
      </c>
      <c r="O55" s="85" t="s">
        <v>25</v>
      </c>
      <c r="P55" s="26" t="s">
        <v>127</v>
      </c>
      <c r="Q55" s="35">
        <v>38268</v>
      </c>
      <c r="R55" s="29"/>
    </row>
    <row r="56" spans="1:18" s="16" customFormat="1" ht="24" customHeight="1">
      <c r="A56" s="26">
        <v>55</v>
      </c>
      <c r="B56" s="26" t="s">
        <v>505</v>
      </c>
      <c r="C56" s="26" t="s">
        <v>766</v>
      </c>
      <c r="D56" s="65" t="s">
        <v>767</v>
      </c>
      <c r="E56" s="33" t="s">
        <v>635</v>
      </c>
      <c r="F56" s="65" t="s">
        <v>768</v>
      </c>
      <c r="G56" s="26">
        <v>8</v>
      </c>
      <c r="H56" s="32">
        <v>1468</v>
      </c>
      <c r="I56" s="32">
        <v>0</v>
      </c>
      <c r="J56" s="32">
        <v>8</v>
      </c>
      <c r="K56" s="32">
        <v>5</v>
      </c>
      <c r="L56" s="32">
        <v>0</v>
      </c>
      <c r="M56" s="32">
        <v>0</v>
      </c>
      <c r="N56" s="112" t="s">
        <v>432</v>
      </c>
      <c r="O56" s="167" t="s">
        <v>450</v>
      </c>
      <c r="P56" s="29" t="s">
        <v>27</v>
      </c>
      <c r="Q56" s="35">
        <v>41487</v>
      </c>
      <c r="R56" s="29"/>
    </row>
    <row r="57" spans="1:18" s="16" customFormat="1" ht="24" customHeight="1">
      <c r="A57" s="26">
        <v>56</v>
      </c>
      <c r="B57" s="26" t="s">
        <v>156</v>
      </c>
      <c r="C57" s="26" t="s">
        <v>167</v>
      </c>
      <c r="D57" s="29" t="s">
        <v>56</v>
      </c>
      <c r="E57" s="26" t="s">
        <v>146</v>
      </c>
      <c r="F57" s="29" t="s">
        <v>726</v>
      </c>
      <c r="G57" s="26">
        <v>9</v>
      </c>
      <c r="H57" s="31">
        <v>1480</v>
      </c>
      <c r="I57" s="31">
        <f>G57-J57</f>
        <v>0</v>
      </c>
      <c r="J57" s="31">
        <v>9</v>
      </c>
      <c r="K57" s="31">
        <v>3</v>
      </c>
      <c r="L57" s="31">
        <v>0</v>
      </c>
      <c r="M57" s="31">
        <v>0</v>
      </c>
      <c r="N57" s="39" t="s">
        <v>628</v>
      </c>
      <c r="O57" s="85" t="s">
        <v>25</v>
      </c>
      <c r="P57" s="19" t="s">
        <v>127</v>
      </c>
      <c r="Q57" s="35">
        <v>38528</v>
      </c>
      <c r="R57" s="29"/>
    </row>
    <row r="58" spans="1:18" s="16" customFormat="1" ht="24" customHeight="1">
      <c r="A58" s="26">
        <v>57</v>
      </c>
      <c r="B58" s="26" t="s">
        <v>156</v>
      </c>
      <c r="C58" s="26" t="s">
        <v>167</v>
      </c>
      <c r="D58" s="65" t="s">
        <v>727</v>
      </c>
      <c r="E58" s="26" t="s">
        <v>146</v>
      </c>
      <c r="F58" s="30" t="s">
        <v>728</v>
      </c>
      <c r="G58" s="26">
        <v>6</v>
      </c>
      <c r="H58" s="32">
        <v>711</v>
      </c>
      <c r="I58" s="32">
        <v>0</v>
      </c>
      <c r="J58" s="32">
        <v>6</v>
      </c>
      <c r="K58" s="32">
        <v>2</v>
      </c>
      <c r="L58" s="32">
        <v>0</v>
      </c>
      <c r="M58" s="32">
        <v>0</v>
      </c>
      <c r="N58" s="39" t="s">
        <v>125</v>
      </c>
      <c r="O58" s="33" t="s">
        <v>451</v>
      </c>
      <c r="P58" s="29" t="s">
        <v>308</v>
      </c>
      <c r="Q58" s="35">
        <v>40118</v>
      </c>
      <c r="R58" s="38"/>
    </row>
    <row r="59" spans="1:18" s="142" customFormat="1" ht="24" customHeight="1">
      <c r="A59" s="26">
        <v>58</v>
      </c>
      <c r="B59" s="26" t="s">
        <v>156</v>
      </c>
      <c r="C59" s="33" t="s">
        <v>466</v>
      </c>
      <c r="D59" s="65" t="s">
        <v>433</v>
      </c>
      <c r="E59" s="33" t="s">
        <v>432</v>
      </c>
      <c r="F59" s="65" t="s">
        <v>1422</v>
      </c>
      <c r="G59" s="26">
        <v>1</v>
      </c>
      <c r="H59" s="32">
        <v>260</v>
      </c>
      <c r="I59" s="32">
        <v>0</v>
      </c>
      <c r="J59" s="32">
        <v>1</v>
      </c>
      <c r="K59" s="32">
        <v>0</v>
      </c>
      <c r="L59" s="32">
        <v>0</v>
      </c>
      <c r="M59" s="32">
        <v>0</v>
      </c>
      <c r="N59" s="112" t="s">
        <v>432</v>
      </c>
      <c r="O59" s="33" t="s">
        <v>434</v>
      </c>
      <c r="P59" s="33" t="s">
        <v>467</v>
      </c>
      <c r="Q59" s="35">
        <v>40453</v>
      </c>
      <c r="R59" s="38" t="s">
        <v>527</v>
      </c>
    </row>
    <row r="60" spans="1:18" s="142" customFormat="1" ht="24" customHeight="1">
      <c r="A60" s="26">
        <v>59</v>
      </c>
      <c r="B60" s="27" t="s">
        <v>156</v>
      </c>
      <c r="C60" s="27" t="s">
        <v>168</v>
      </c>
      <c r="D60" s="28" t="s">
        <v>82</v>
      </c>
      <c r="E60" s="27" t="s">
        <v>144</v>
      </c>
      <c r="F60" s="28" t="s">
        <v>729</v>
      </c>
      <c r="G60" s="26">
        <v>8</v>
      </c>
      <c r="H60" s="31">
        <v>1184</v>
      </c>
      <c r="I60" s="31">
        <f>G60-J60</f>
        <v>0</v>
      </c>
      <c r="J60" s="31">
        <v>8</v>
      </c>
      <c r="K60" s="31">
        <v>3</v>
      </c>
      <c r="L60" s="31">
        <v>0</v>
      </c>
      <c r="M60" s="31">
        <v>0</v>
      </c>
      <c r="N60" s="112" t="s">
        <v>730</v>
      </c>
      <c r="O60" s="85" t="s">
        <v>25</v>
      </c>
      <c r="P60" s="26" t="s">
        <v>127</v>
      </c>
      <c r="Q60" s="35">
        <v>39283</v>
      </c>
      <c r="R60" s="28"/>
    </row>
    <row r="61" spans="1:18" s="58" customFormat="1" ht="24" customHeight="1">
      <c r="A61" s="26">
        <v>60</v>
      </c>
      <c r="B61" s="26" t="s">
        <v>156</v>
      </c>
      <c r="C61" s="26" t="s">
        <v>168</v>
      </c>
      <c r="D61" s="30" t="s">
        <v>733</v>
      </c>
      <c r="E61" s="26" t="s">
        <v>146</v>
      </c>
      <c r="F61" s="30" t="s">
        <v>734</v>
      </c>
      <c r="G61" s="26">
        <v>8</v>
      </c>
      <c r="H61" s="32">
        <v>1459</v>
      </c>
      <c r="I61" s="32">
        <f>G61-J61</f>
        <v>0</v>
      </c>
      <c r="J61" s="32">
        <v>8</v>
      </c>
      <c r="K61" s="32">
        <v>4</v>
      </c>
      <c r="L61" s="32">
        <v>0</v>
      </c>
      <c r="M61" s="32">
        <v>0</v>
      </c>
      <c r="N61" s="39" t="s">
        <v>125</v>
      </c>
      <c r="O61" s="67" t="s">
        <v>450</v>
      </c>
      <c r="P61" s="29" t="s">
        <v>27</v>
      </c>
      <c r="Q61" s="35">
        <v>39259</v>
      </c>
      <c r="R61" s="29"/>
    </row>
    <row r="62" spans="1:18" s="58" customFormat="1" ht="24" customHeight="1">
      <c r="A62" s="26">
        <v>61</v>
      </c>
      <c r="B62" s="27" t="s">
        <v>156</v>
      </c>
      <c r="C62" s="27" t="s">
        <v>168</v>
      </c>
      <c r="D62" s="28" t="s">
        <v>258</v>
      </c>
      <c r="E62" s="27" t="s">
        <v>125</v>
      </c>
      <c r="F62" s="28" t="s">
        <v>731</v>
      </c>
      <c r="G62" s="26">
        <v>10</v>
      </c>
      <c r="H62" s="32">
        <v>2379</v>
      </c>
      <c r="I62" s="32">
        <v>0</v>
      </c>
      <c r="J62" s="32">
        <v>10</v>
      </c>
      <c r="K62" s="32">
        <v>2</v>
      </c>
      <c r="L62" s="32">
        <v>0</v>
      </c>
      <c r="M62" s="32">
        <v>0</v>
      </c>
      <c r="N62" s="39" t="s">
        <v>125</v>
      </c>
      <c r="O62" s="27" t="s">
        <v>380</v>
      </c>
      <c r="P62" s="29" t="s">
        <v>35</v>
      </c>
      <c r="Q62" s="26" t="s">
        <v>131</v>
      </c>
      <c r="R62" s="37" t="s">
        <v>732</v>
      </c>
    </row>
    <row r="63" spans="1:18" ht="24" customHeight="1">
      <c r="A63" s="26">
        <v>62</v>
      </c>
      <c r="B63" s="27" t="s">
        <v>156</v>
      </c>
      <c r="C63" s="27" t="s">
        <v>168</v>
      </c>
      <c r="D63" s="28" t="s">
        <v>85</v>
      </c>
      <c r="E63" s="27" t="s">
        <v>125</v>
      </c>
      <c r="F63" s="28" t="s">
        <v>1423</v>
      </c>
      <c r="G63" s="26">
        <v>1</v>
      </c>
      <c r="H63" s="32">
        <v>286</v>
      </c>
      <c r="I63" s="32">
        <f>G63-J63</f>
        <v>0</v>
      </c>
      <c r="J63" s="32">
        <v>1</v>
      </c>
      <c r="K63" s="32">
        <v>0</v>
      </c>
      <c r="L63" s="32">
        <v>0</v>
      </c>
      <c r="M63" s="32">
        <v>0</v>
      </c>
      <c r="N63" s="39" t="s">
        <v>125</v>
      </c>
      <c r="O63" s="27" t="s">
        <v>381</v>
      </c>
      <c r="P63" s="26" t="s">
        <v>31</v>
      </c>
      <c r="Q63" s="35">
        <v>37386</v>
      </c>
      <c r="R63" s="28"/>
    </row>
    <row r="64" spans="1:18" ht="24" customHeight="1">
      <c r="A64" s="26">
        <v>63</v>
      </c>
      <c r="B64" s="27" t="s">
        <v>156</v>
      </c>
      <c r="C64" s="27" t="s">
        <v>168</v>
      </c>
      <c r="D64" s="28" t="s">
        <v>390</v>
      </c>
      <c r="E64" s="27" t="s">
        <v>125</v>
      </c>
      <c r="F64" s="28" t="s">
        <v>1424</v>
      </c>
      <c r="G64" s="26">
        <v>1</v>
      </c>
      <c r="H64" s="32">
        <v>238</v>
      </c>
      <c r="I64" s="32">
        <v>0</v>
      </c>
      <c r="J64" s="32">
        <v>1</v>
      </c>
      <c r="K64" s="32">
        <v>0</v>
      </c>
      <c r="L64" s="32">
        <v>0</v>
      </c>
      <c r="M64" s="32">
        <v>0</v>
      </c>
      <c r="N64" s="39" t="s">
        <v>125</v>
      </c>
      <c r="O64" s="27" t="s">
        <v>77</v>
      </c>
      <c r="P64" s="26" t="s">
        <v>0</v>
      </c>
      <c r="Q64" s="35">
        <v>39779</v>
      </c>
      <c r="R64" s="28"/>
    </row>
    <row r="65" spans="1:18" ht="24" customHeight="1">
      <c r="A65" s="26">
        <v>64</v>
      </c>
      <c r="B65" s="27" t="s">
        <v>156</v>
      </c>
      <c r="C65" s="27" t="s">
        <v>168</v>
      </c>
      <c r="D65" s="28" t="s">
        <v>84</v>
      </c>
      <c r="E65" s="27" t="s">
        <v>125</v>
      </c>
      <c r="F65" s="28" t="s">
        <v>1426</v>
      </c>
      <c r="G65" s="26">
        <v>2</v>
      </c>
      <c r="H65" s="32">
        <v>365</v>
      </c>
      <c r="I65" s="32">
        <v>0</v>
      </c>
      <c r="J65" s="32">
        <v>2</v>
      </c>
      <c r="K65" s="32">
        <v>0</v>
      </c>
      <c r="L65" s="32">
        <v>0</v>
      </c>
      <c r="M65" s="32">
        <v>0</v>
      </c>
      <c r="N65" s="39" t="s">
        <v>125</v>
      </c>
      <c r="O65" s="27" t="s">
        <v>403</v>
      </c>
      <c r="P65" s="26" t="s">
        <v>310</v>
      </c>
      <c r="Q65" s="26" t="s">
        <v>128</v>
      </c>
      <c r="R65" s="37" t="s">
        <v>460</v>
      </c>
    </row>
    <row r="66" spans="1:18" ht="24" customHeight="1">
      <c r="A66" s="26">
        <v>65</v>
      </c>
      <c r="B66" s="26" t="s">
        <v>156</v>
      </c>
      <c r="C66" s="26" t="s">
        <v>168</v>
      </c>
      <c r="D66" s="65" t="s">
        <v>456</v>
      </c>
      <c r="E66" s="26" t="s">
        <v>125</v>
      </c>
      <c r="F66" s="30" t="s">
        <v>1425</v>
      </c>
      <c r="G66" s="26">
        <v>1</v>
      </c>
      <c r="H66" s="32">
        <v>110</v>
      </c>
      <c r="I66" s="32">
        <f>G66-J66</f>
        <v>0</v>
      </c>
      <c r="J66" s="32">
        <v>1</v>
      </c>
      <c r="K66" s="32">
        <v>0</v>
      </c>
      <c r="L66" s="32">
        <v>0</v>
      </c>
      <c r="M66" s="32">
        <v>0</v>
      </c>
      <c r="N66" s="39" t="s">
        <v>125</v>
      </c>
      <c r="O66" s="33" t="s">
        <v>459</v>
      </c>
      <c r="P66" s="144" t="s">
        <v>458</v>
      </c>
      <c r="Q66" s="36">
        <v>39067</v>
      </c>
      <c r="R66" s="38" t="s">
        <v>457</v>
      </c>
    </row>
    <row r="67" spans="1:18" ht="24" customHeight="1">
      <c r="A67" s="26">
        <v>66</v>
      </c>
      <c r="B67" s="27" t="s">
        <v>156</v>
      </c>
      <c r="C67" s="27" t="s">
        <v>168</v>
      </c>
      <c r="D67" s="37" t="s">
        <v>454</v>
      </c>
      <c r="E67" s="27" t="s">
        <v>125</v>
      </c>
      <c r="F67" s="28" t="s">
        <v>1427</v>
      </c>
      <c r="G67" s="26">
        <v>1</v>
      </c>
      <c r="H67" s="32">
        <v>300</v>
      </c>
      <c r="I67" s="32">
        <f>G67-J67</f>
        <v>0</v>
      </c>
      <c r="J67" s="32">
        <v>1</v>
      </c>
      <c r="K67" s="32">
        <v>0</v>
      </c>
      <c r="L67" s="32">
        <v>0</v>
      </c>
      <c r="M67" s="32">
        <v>0</v>
      </c>
      <c r="N67" s="39" t="s">
        <v>125</v>
      </c>
      <c r="O67" s="27" t="s">
        <v>83</v>
      </c>
      <c r="P67" s="26"/>
      <c r="Q67" s="35">
        <v>39539</v>
      </c>
      <c r="R67" s="37" t="s">
        <v>455</v>
      </c>
    </row>
    <row r="68" spans="1:18" s="114" customFormat="1" ht="24" customHeight="1">
      <c r="A68" s="26">
        <v>67</v>
      </c>
      <c r="B68" s="26" t="s">
        <v>156</v>
      </c>
      <c r="C68" s="26" t="s">
        <v>201</v>
      </c>
      <c r="D68" s="29" t="s">
        <v>57</v>
      </c>
      <c r="E68" s="26" t="s">
        <v>144</v>
      </c>
      <c r="F68" s="29" t="s">
        <v>737</v>
      </c>
      <c r="G68" s="26">
        <v>5</v>
      </c>
      <c r="H68" s="31">
        <v>736</v>
      </c>
      <c r="I68" s="31">
        <f>G68-J68</f>
        <v>0</v>
      </c>
      <c r="J68" s="31">
        <v>5</v>
      </c>
      <c r="K68" s="31">
        <v>4</v>
      </c>
      <c r="L68" s="31">
        <v>0</v>
      </c>
      <c r="M68" s="31">
        <v>0</v>
      </c>
      <c r="N68" s="39" t="s">
        <v>626</v>
      </c>
      <c r="O68" s="85" t="s">
        <v>25</v>
      </c>
      <c r="P68" s="26" t="s">
        <v>127</v>
      </c>
      <c r="Q68" s="35">
        <v>37248</v>
      </c>
      <c r="R68" s="29"/>
    </row>
    <row r="69" spans="1:18" s="22" customFormat="1" ht="24" customHeight="1">
      <c r="A69" s="26">
        <v>68</v>
      </c>
      <c r="B69" s="27" t="s">
        <v>156</v>
      </c>
      <c r="C69" s="27" t="s">
        <v>201</v>
      </c>
      <c r="D69" s="28" t="s">
        <v>416</v>
      </c>
      <c r="E69" s="85" t="s">
        <v>625</v>
      </c>
      <c r="F69" s="28" t="s">
        <v>741</v>
      </c>
      <c r="G69" s="26">
        <v>6</v>
      </c>
      <c r="H69" s="31">
        <v>876</v>
      </c>
      <c r="I69" s="31">
        <f>G69-J69</f>
        <v>0</v>
      </c>
      <c r="J69" s="31">
        <v>6</v>
      </c>
      <c r="K69" s="31">
        <v>3</v>
      </c>
      <c r="L69" s="31">
        <v>0</v>
      </c>
      <c r="M69" s="31">
        <v>0</v>
      </c>
      <c r="N69" s="39" t="s">
        <v>626</v>
      </c>
      <c r="O69" s="85" t="s">
        <v>25</v>
      </c>
      <c r="P69" s="26" t="s">
        <v>127</v>
      </c>
      <c r="Q69" s="35">
        <v>38814</v>
      </c>
      <c r="R69" s="28" t="s">
        <v>452</v>
      </c>
    </row>
    <row r="70" spans="1:18" ht="24" customHeight="1">
      <c r="A70" s="26">
        <v>69</v>
      </c>
      <c r="B70" s="26" t="s">
        <v>156</v>
      </c>
      <c r="C70" s="26" t="s">
        <v>201</v>
      </c>
      <c r="D70" s="30" t="s">
        <v>225</v>
      </c>
      <c r="E70" s="26" t="s">
        <v>125</v>
      </c>
      <c r="F70" s="30" t="s">
        <v>742</v>
      </c>
      <c r="G70" s="26">
        <v>11</v>
      </c>
      <c r="H70" s="32">
        <v>2754</v>
      </c>
      <c r="I70" s="32">
        <v>0</v>
      </c>
      <c r="J70" s="32">
        <v>11</v>
      </c>
      <c r="K70" s="32">
        <v>2</v>
      </c>
      <c r="L70" s="32">
        <v>0</v>
      </c>
      <c r="M70" s="32">
        <v>0</v>
      </c>
      <c r="N70" s="39" t="s">
        <v>125</v>
      </c>
      <c r="O70" s="26" t="s">
        <v>404</v>
      </c>
      <c r="P70" s="29" t="s">
        <v>36</v>
      </c>
      <c r="Q70" s="35">
        <v>37240</v>
      </c>
      <c r="R70" s="28"/>
    </row>
    <row r="71" spans="1:18" ht="24" customHeight="1">
      <c r="A71" s="26">
        <v>70</v>
      </c>
      <c r="B71" s="26" t="s">
        <v>156</v>
      </c>
      <c r="C71" s="26" t="s">
        <v>201</v>
      </c>
      <c r="D71" s="30" t="s">
        <v>314</v>
      </c>
      <c r="E71" s="26" t="s">
        <v>144</v>
      </c>
      <c r="F71" s="30" t="s">
        <v>735</v>
      </c>
      <c r="G71" s="26">
        <v>5</v>
      </c>
      <c r="H71" s="32">
        <v>646</v>
      </c>
      <c r="I71" s="32">
        <f>G71-J71</f>
        <v>0</v>
      </c>
      <c r="J71" s="32">
        <v>5</v>
      </c>
      <c r="K71" s="32">
        <v>5</v>
      </c>
      <c r="L71" s="32">
        <v>0</v>
      </c>
      <c r="M71" s="32">
        <v>0</v>
      </c>
      <c r="N71" s="112" t="s">
        <v>736</v>
      </c>
      <c r="O71" s="33" t="s">
        <v>450</v>
      </c>
      <c r="P71" s="29" t="s">
        <v>27</v>
      </c>
      <c r="Q71" s="35">
        <v>38436</v>
      </c>
      <c r="R71" s="29"/>
    </row>
    <row r="72" spans="1:18" ht="24" customHeight="1">
      <c r="A72" s="26">
        <v>71</v>
      </c>
      <c r="B72" s="26" t="s">
        <v>156</v>
      </c>
      <c r="C72" s="26" t="s">
        <v>201</v>
      </c>
      <c r="D72" s="65" t="s">
        <v>739</v>
      </c>
      <c r="E72" s="33" t="s">
        <v>625</v>
      </c>
      <c r="F72" s="65" t="s">
        <v>740</v>
      </c>
      <c r="G72" s="26">
        <v>2</v>
      </c>
      <c r="H72" s="32">
        <v>118</v>
      </c>
      <c r="I72" s="32">
        <v>0</v>
      </c>
      <c r="J72" s="32">
        <v>2</v>
      </c>
      <c r="K72" s="32">
        <v>2</v>
      </c>
      <c r="L72" s="32">
        <v>0</v>
      </c>
      <c r="M72" s="32">
        <v>0</v>
      </c>
      <c r="N72" s="112" t="s">
        <v>432</v>
      </c>
      <c r="O72" s="67" t="s">
        <v>450</v>
      </c>
      <c r="P72" s="29" t="s">
        <v>27</v>
      </c>
      <c r="Q72" s="35">
        <v>41109</v>
      </c>
      <c r="R72" s="29"/>
    </row>
    <row r="73" spans="1:18" ht="24" customHeight="1">
      <c r="A73" s="26">
        <v>72</v>
      </c>
      <c r="B73" s="26" t="s">
        <v>156</v>
      </c>
      <c r="C73" s="26" t="s">
        <v>201</v>
      </c>
      <c r="D73" s="30" t="s">
        <v>107</v>
      </c>
      <c r="E73" s="26" t="s">
        <v>144</v>
      </c>
      <c r="F73" s="30" t="s">
        <v>738</v>
      </c>
      <c r="G73" s="26">
        <v>8</v>
      </c>
      <c r="H73" s="32">
        <v>1596</v>
      </c>
      <c r="I73" s="32">
        <f>G73-J73</f>
        <v>0</v>
      </c>
      <c r="J73" s="32">
        <v>8</v>
      </c>
      <c r="K73" s="32">
        <v>2</v>
      </c>
      <c r="L73" s="32">
        <v>0</v>
      </c>
      <c r="M73" s="32">
        <v>0</v>
      </c>
      <c r="N73" s="112" t="s">
        <v>704</v>
      </c>
      <c r="O73" s="33" t="s">
        <v>451</v>
      </c>
      <c r="P73" s="29" t="s">
        <v>308</v>
      </c>
      <c r="Q73" s="35">
        <v>39702</v>
      </c>
      <c r="R73" s="29"/>
    </row>
    <row r="74" spans="1:18" ht="24" customHeight="1">
      <c r="A74" s="26">
        <v>73</v>
      </c>
      <c r="B74" s="27" t="s">
        <v>156</v>
      </c>
      <c r="C74" s="27" t="s">
        <v>201</v>
      </c>
      <c r="D74" s="30" t="s">
        <v>107</v>
      </c>
      <c r="E74" s="27" t="s">
        <v>125</v>
      </c>
      <c r="F74" s="28" t="s">
        <v>1428</v>
      </c>
      <c r="G74" s="26">
        <v>1</v>
      </c>
      <c r="H74" s="32">
        <v>179</v>
      </c>
      <c r="I74" s="32">
        <v>0</v>
      </c>
      <c r="J74" s="32">
        <v>1</v>
      </c>
      <c r="K74" s="32">
        <v>0</v>
      </c>
      <c r="L74" s="32">
        <v>0</v>
      </c>
      <c r="M74" s="32">
        <v>0</v>
      </c>
      <c r="N74" s="39" t="s">
        <v>125</v>
      </c>
      <c r="O74" s="27" t="s">
        <v>405</v>
      </c>
      <c r="P74" s="27" t="s">
        <v>429</v>
      </c>
      <c r="Q74" s="27" t="s">
        <v>8</v>
      </c>
      <c r="R74" s="37"/>
    </row>
    <row r="75" spans="1:18" ht="24" customHeight="1">
      <c r="A75" s="26">
        <v>74</v>
      </c>
      <c r="B75" s="27" t="s">
        <v>156</v>
      </c>
      <c r="C75" s="27" t="s">
        <v>201</v>
      </c>
      <c r="D75" s="28" t="s">
        <v>5</v>
      </c>
      <c r="E75" s="27" t="s">
        <v>125</v>
      </c>
      <c r="F75" s="28" t="s">
        <v>1429</v>
      </c>
      <c r="G75" s="26">
        <v>1</v>
      </c>
      <c r="H75" s="32">
        <v>76</v>
      </c>
      <c r="I75" s="32">
        <f>G75-J75</f>
        <v>0</v>
      </c>
      <c r="J75" s="32">
        <v>1</v>
      </c>
      <c r="K75" s="32">
        <v>0</v>
      </c>
      <c r="L75" s="32">
        <v>0</v>
      </c>
      <c r="M75" s="32">
        <v>0</v>
      </c>
      <c r="N75" s="39" t="s">
        <v>125</v>
      </c>
      <c r="O75" s="27" t="s">
        <v>406</v>
      </c>
      <c r="P75" s="26" t="s">
        <v>29</v>
      </c>
      <c r="Q75" s="35">
        <v>39429</v>
      </c>
      <c r="R75" s="28"/>
    </row>
    <row r="76" spans="1:18" ht="24" customHeight="1">
      <c r="A76" s="26">
        <v>75</v>
      </c>
      <c r="B76" s="27" t="s">
        <v>505</v>
      </c>
      <c r="C76" s="27" t="s">
        <v>506</v>
      </c>
      <c r="D76" s="28" t="s">
        <v>503</v>
      </c>
      <c r="E76" s="27" t="s">
        <v>432</v>
      </c>
      <c r="F76" s="28" t="s">
        <v>1430</v>
      </c>
      <c r="G76" s="26">
        <v>1</v>
      </c>
      <c r="H76" s="32">
        <v>226</v>
      </c>
      <c r="I76" s="32">
        <v>0</v>
      </c>
      <c r="J76" s="32">
        <v>1</v>
      </c>
      <c r="K76" s="32">
        <v>0</v>
      </c>
      <c r="L76" s="32">
        <v>0</v>
      </c>
      <c r="M76" s="32">
        <v>0</v>
      </c>
      <c r="N76" s="39" t="s">
        <v>432</v>
      </c>
      <c r="O76" s="27" t="s">
        <v>530</v>
      </c>
      <c r="P76" s="26"/>
      <c r="Q76" s="35">
        <v>41395</v>
      </c>
      <c r="R76" s="28"/>
    </row>
    <row r="77" spans="1:18" ht="24" customHeight="1">
      <c r="A77" s="26">
        <v>76</v>
      </c>
      <c r="B77" s="26" t="s">
        <v>156</v>
      </c>
      <c r="C77" s="26" t="s">
        <v>145</v>
      </c>
      <c r="D77" s="30" t="s">
        <v>24</v>
      </c>
      <c r="E77" s="26" t="s">
        <v>146</v>
      </c>
      <c r="F77" s="30" t="s">
        <v>743</v>
      </c>
      <c r="G77" s="26">
        <v>7</v>
      </c>
      <c r="H77" s="53">
        <v>939</v>
      </c>
      <c r="I77" s="32">
        <v>0</v>
      </c>
      <c r="J77" s="53">
        <v>7</v>
      </c>
      <c r="K77" s="53">
        <v>2</v>
      </c>
      <c r="L77" s="53">
        <v>0</v>
      </c>
      <c r="M77" s="32">
        <v>0</v>
      </c>
      <c r="N77" s="112" t="s">
        <v>432</v>
      </c>
      <c r="O77" s="33" t="s">
        <v>451</v>
      </c>
      <c r="P77" s="29" t="s">
        <v>308</v>
      </c>
      <c r="Q77" s="35">
        <v>40087</v>
      </c>
      <c r="R77" s="29"/>
    </row>
    <row r="78" spans="1:18" s="16" customFormat="1" ht="24" customHeight="1">
      <c r="A78" s="26">
        <v>77</v>
      </c>
      <c r="B78" s="159" t="s">
        <v>782</v>
      </c>
      <c r="C78" s="159" t="s">
        <v>783</v>
      </c>
      <c r="D78" s="143" t="s">
        <v>784</v>
      </c>
      <c r="E78" s="159" t="s">
        <v>538</v>
      </c>
      <c r="F78" s="143" t="s">
        <v>785</v>
      </c>
      <c r="G78" s="41">
        <v>7</v>
      </c>
      <c r="H78" s="42">
        <v>1094</v>
      </c>
      <c r="I78" s="42">
        <f>G78-J78</f>
        <v>0</v>
      </c>
      <c r="J78" s="42">
        <v>7</v>
      </c>
      <c r="K78" s="42">
        <v>2</v>
      </c>
      <c r="L78" s="42">
        <v>0</v>
      </c>
      <c r="M78" s="42">
        <v>0</v>
      </c>
      <c r="N78" s="243" t="s">
        <v>125</v>
      </c>
      <c r="O78" s="166" t="s">
        <v>25</v>
      </c>
      <c r="P78" s="41" t="s">
        <v>127</v>
      </c>
      <c r="Q78" s="44">
        <v>40666</v>
      </c>
      <c r="R78" s="43"/>
    </row>
    <row r="79" spans="1:18" s="171" customFormat="1" ht="24" customHeight="1">
      <c r="A79" s="26">
        <v>78</v>
      </c>
      <c r="B79" s="26" t="s">
        <v>793</v>
      </c>
      <c r="C79" s="26" t="s">
        <v>794</v>
      </c>
      <c r="D79" s="65" t="s">
        <v>795</v>
      </c>
      <c r="E79" s="33" t="s">
        <v>625</v>
      </c>
      <c r="F79" s="65" t="s">
        <v>796</v>
      </c>
      <c r="G79" s="26">
        <v>6</v>
      </c>
      <c r="H79" s="32">
        <v>1014</v>
      </c>
      <c r="I79" s="32">
        <v>0</v>
      </c>
      <c r="J79" s="32">
        <v>6</v>
      </c>
      <c r="K79" s="32">
        <v>2</v>
      </c>
      <c r="L79" s="32">
        <v>0</v>
      </c>
      <c r="M79" s="32">
        <v>0</v>
      </c>
      <c r="N79" s="112" t="s">
        <v>432</v>
      </c>
      <c r="O79" s="33" t="s">
        <v>450</v>
      </c>
      <c r="P79" s="29" t="s">
        <v>27</v>
      </c>
      <c r="Q79" s="35">
        <v>41996</v>
      </c>
      <c r="R79" s="29"/>
    </row>
    <row r="80" spans="1:18" s="184" customFormat="1" ht="24" customHeight="1">
      <c r="A80" s="26">
        <v>79</v>
      </c>
      <c r="B80" s="26" t="s">
        <v>151</v>
      </c>
      <c r="C80" s="26" t="s">
        <v>227</v>
      </c>
      <c r="D80" s="28" t="s">
        <v>334</v>
      </c>
      <c r="E80" s="27" t="s">
        <v>144</v>
      </c>
      <c r="F80" s="244" t="s">
        <v>797</v>
      </c>
      <c r="G80" s="26">
        <v>8</v>
      </c>
      <c r="H80" s="31">
        <v>1065</v>
      </c>
      <c r="I80" s="31">
        <f>G80-J80</f>
        <v>0</v>
      </c>
      <c r="J80" s="31">
        <v>8</v>
      </c>
      <c r="K80" s="31">
        <v>4</v>
      </c>
      <c r="L80" s="31">
        <v>0</v>
      </c>
      <c r="M80" s="31">
        <v>0</v>
      </c>
      <c r="N80" s="39" t="s">
        <v>626</v>
      </c>
      <c r="O80" s="85" t="s">
        <v>25</v>
      </c>
      <c r="P80" s="26" t="s">
        <v>127</v>
      </c>
      <c r="Q80" s="35">
        <v>39337</v>
      </c>
      <c r="R80" s="34"/>
    </row>
    <row r="81" spans="1:18" s="184" customFormat="1" ht="24" customHeight="1">
      <c r="A81" s="26">
        <v>80</v>
      </c>
      <c r="B81" s="26" t="s">
        <v>151</v>
      </c>
      <c r="C81" s="26" t="s">
        <v>227</v>
      </c>
      <c r="D81" s="28" t="s">
        <v>575</v>
      </c>
      <c r="E81" s="27" t="s">
        <v>125</v>
      </c>
      <c r="F81" s="245" t="s">
        <v>1431</v>
      </c>
      <c r="G81" s="26">
        <v>1</v>
      </c>
      <c r="H81" s="32">
        <v>143</v>
      </c>
      <c r="I81" s="32">
        <v>0</v>
      </c>
      <c r="J81" s="32">
        <v>1</v>
      </c>
      <c r="K81" s="32">
        <v>0</v>
      </c>
      <c r="L81" s="32">
        <v>0</v>
      </c>
      <c r="M81" s="32">
        <v>0</v>
      </c>
      <c r="N81" s="39" t="s">
        <v>125</v>
      </c>
      <c r="O81" s="26" t="s">
        <v>407</v>
      </c>
      <c r="P81" s="38" t="s">
        <v>470</v>
      </c>
      <c r="Q81" s="35">
        <v>39633</v>
      </c>
      <c r="R81" s="62"/>
    </row>
    <row r="82" spans="1:18" s="184" customFormat="1" ht="24" customHeight="1">
      <c r="A82" s="26">
        <v>81</v>
      </c>
      <c r="B82" s="27" t="s">
        <v>151</v>
      </c>
      <c r="C82" s="27" t="s">
        <v>191</v>
      </c>
      <c r="D82" s="28" t="s">
        <v>101</v>
      </c>
      <c r="E82" s="27" t="s">
        <v>144</v>
      </c>
      <c r="F82" s="246" t="s">
        <v>800</v>
      </c>
      <c r="G82" s="26">
        <v>9</v>
      </c>
      <c r="H82" s="31">
        <v>1631</v>
      </c>
      <c r="I82" s="31">
        <f t="shared" ref="I82:I88" si="0">G82-J82</f>
        <v>0</v>
      </c>
      <c r="J82" s="31">
        <v>9</v>
      </c>
      <c r="K82" s="31">
        <v>4</v>
      </c>
      <c r="L82" s="31">
        <v>0</v>
      </c>
      <c r="M82" s="31">
        <v>0</v>
      </c>
      <c r="N82" s="39" t="s">
        <v>626</v>
      </c>
      <c r="O82" s="85" t="s">
        <v>25</v>
      </c>
      <c r="P82" s="26" t="s">
        <v>127</v>
      </c>
      <c r="Q82" s="35">
        <v>39015</v>
      </c>
      <c r="R82" s="28"/>
    </row>
    <row r="83" spans="1:18" s="171" customFormat="1" ht="24" customHeight="1">
      <c r="A83" s="26">
        <v>82</v>
      </c>
      <c r="B83" s="27" t="s">
        <v>151</v>
      </c>
      <c r="C83" s="27" t="s">
        <v>191</v>
      </c>
      <c r="D83" s="28" t="s">
        <v>358</v>
      </c>
      <c r="E83" s="27" t="s">
        <v>144</v>
      </c>
      <c r="F83" s="247" t="s">
        <v>798</v>
      </c>
      <c r="G83" s="26">
        <v>9</v>
      </c>
      <c r="H83" s="32">
        <v>1466</v>
      </c>
      <c r="I83" s="32">
        <f t="shared" si="0"/>
        <v>0</v>
      </c>
      <c r="J83" s="32">
        <v>9</v>
      </c>
      <c r="K83" s="32">
        <v>6</v>
      </c>
      <c r="L83" s="173">
        <v>0</v>
      </c>
      <c r="M83" s="32">
        <v>0</v>
      </c>
      <c r="N83" s="112" t="s">
        <v>786</v>
      </c>
      <c r="O83" s="67" t="s">
        <v>450</v>
      </c>
      <c r="P83" s="29" t="s">
        <v>27</v>
      </c>
      <c r="Q83" s="35">
        <v>39600</v>
      </c>
      <c r="R83" s="28"/>
    </row>
    <row r="84" spans="1:18" s="16" customFormat="1" ht="24" customHeight="1">
      <c r="A84" s="26">
        <v>83</v>
      </c>
      <c r="B84" s="26" t="s">
        <v>151</v>
      </c>
      <c r="C84" s="26" t="s">
        <v>238</v>
      </c>
      <c r="D84" s="29" t="s">
        <v>87</v>
      </c>
      <c r="E84" s="26" t="s">
        <v>625</v>
      </c>
      <c r="F84" s="244" t="s">
        <v>810</v>
      </c>
      <c r="G84" s="26">
        <v>4</v>
      </c>
      <c r="H84" s="31">
        <v>661</v>
      </c>
      <c r="I84" s="31">
        <f t="shared" si="0"/>
        <v>0</v>
      </c>
      <c r="J84" s="31">
        <v>4</v>
      </c>
      <c r="K84" s="31">
        <v>0</v>
      </c>
      <c r="L84" s="31">
        <v>0</v>
      </c>
      <c r="M84" s="31">
        <v>0</v>
      </c>
      <c r="N84" s="39" t="s">
        <v>628</v>
      </c>
      <c r="O84" s="85" t="s">
        <v>25</v>
      </c>
      <c r="P84" s="26" t="s">
        <v>127</v>
      </c>
      <c r="Q84" s="35">
        <v>36876</v>
      </c>
      <c r="R84" s="29"/>
    </row>
    <row r="85" spans="1:18" s="22" customFormat="1" ht="24" customHeight="1">
      <c r="A85" s="26">
        <v>84</v>
      </c>
      <c r="B85" s="26" t="s">
        <v>151</v>
      </c>
      <c r="C85" s="26" t="s">
        <v>238</v>
      </c>
      <c r="D85" s="29" t="s">
        <v>88</v>
      </c>
      <c r="E85" s="26" t="s">
        <v>144</v>
      </c>
      <c r="F85" s="244" t="s">
        <v>804</v>
      </c>
      <c r="G85" s="26">
        <v>12</v>
      </c>
      <c r="H85" s="31">
        <v>2135</v>
      </c>
      <c r="I85" s="31">
        <f t="shared" si="0"/>
        <v>0</v>
      </c>
      <c r="J85" s="31">
        <v>12</v>
      </c>
      <c r="K85" s="31">
        <v>5</v>
      </c>
      <c r="L85" s="31">
        <v>1</v>
      </c>
      <c r="M85" s="31">
        <v>1</v>
      </c>
      <c r="N85" s="112" t="s">
        <v>787</v>
      </c>
      <c r="O85" s="85" t="s">
        <v>25</v>
      </c>
      <c r="P85" s="26" t="s">
        <v>127</v>
      </c>
      <c r="Q85" s="35">
        <v>36677</v>
      </c>
      <c r="R85" s="29"/>
    </row>
    <row r="86" spans="1:18" s="22" customFormat="1" ht="24" customHeight="1">
      <c r="A86" s="26">
        <v>85</v>
      </c>
      <c r="B86" s="26" t="s">
        <v>151</v>
      </c>
      <c r="C86" s="26" t="s">
        <v>238</v>
      </c>
      <c r="D86" s="30" t="s">
        <v>801</v>
      </c>
      <c r="E86" s="26" t="s">
        <v>144</v>
      </c>
      <c r="F86" s="245" t="s">
        <v>802</v>
      </c>
      <c r="G86" s="26">
        <v>11</v>
      </c>
      <c r="H86" s="32">
        <v>1928</v>
      </c>
      <c r="I86" s="32">
        <f t="shared" si="0"/>
        <v>0</v>
      </c>
      <c r="J86" s="32">
        <v>11</v>
      </c>
      <c r="K86" s="32">
        <v>9</v>
      </c>
      <c r="L86" s="32">
        <v>0</v>
      </c>
      <c r="M86" s="32">
        <v>0</v>
      </c>
      <c r="N86" s="39" t="s">
        <v>803</v>
      </c>
      <c r="O86" s="33" t="s">
        <v>450</v>
      </c>
      <c r="P86" s="29" t="s">
        <v>27</v>
      </c>
      <c r="Q86" s="35">
        <v>37058</v>
      </c>
      <c r="R86" s="29"/>
    </row>
    <row r="87" spans="1:18" s="22" customFormat="1" ht="24" customHeight="1">
      <c r="A87" s="26">
        <v>86</v>
      </c>
      <c r="B87" s="26" t="s">
        <v>151</v>
      </c>
      <c r="C87" s="26" t="s">
        <v>238</v>
      </c>
      <c r="D87" s="30" t="s">
        <v>806</v>
      </c>
      <c r="E87" s="26" t="s">
        <v>144</v>
      </c>
      <c r="F87" s="245" t="s">
        <v>807</v>
      </c>
      <c r="G87" s="26">
        <v>7</v>
      </c>
      <c r="H87" s="32">
        <v>1409</v>
      </c>
      <c r="I87" s="32">
        <f t="shared" si="0"/>
        <v>0</v>
      </c>
      <c r="J87" s="32">
        <v>7</v>
      </c>
      <c r="K87" s="32">
        <v>2</v>
      </c>
      <c r="L87" s="32">
        <v>0</v>
      </c>
      <c r="M87" s="32">
        <v>0</v>
      </c>
      <c r="N87" s="39" t="s">
        <v>125</v>
      </c>
      <c r="O87" s="67" t="s">
        <v>450</v>
      </c>
      <c r="P87" s="29" t="s">
        <v>27</v>
      </c>
      <c r="Q87" s="35">
        <v>40422</v>
      </c>
      <c r="R87" s="29"/>
    </row>
    <row r="88" spans="1:18" s="171" customFormat="1" ht="24" customHeight="1">
      <c r="A88" s="26">
        <v>87</v>
      </c>
      <c r="B88" s="26" t="s">
        <v>151</v>
      </c>
      <c r="C88" s="26" t="s">
        <v>238</v>
      </c>
      <c r="D88" s="65" t="s">
        <v>808</v>
      </c>
      <c r="E88" s="26" t="s">
        <v>146</v>
      </c>
      <c r="F88" s="245" t="s">
        <v>809</v>
      </c>
      <c r="G88" s="26">
        <v>6</v>
      </c>
      <c r="H88" s="32">
        <v>812</v>
      </c>
      <c r="I88" s="32">
        <f t="shared" si="0"/>
        <v>0</v>
      </c>
      <c r="J88" s="32">
        <v>6</v>
      </c>
      <c r="K88" s="32">
        <v>3</v>
      </c>
      <c r="L88" s="32">
        <v>0</v>
      </c>
      <c r="M88" s="32">
        <v>0</v>
      </c>
      <c r="N88" s="39" t="s">
        <v>125</v>
      </c>
      <c r="O88" s="33" t="s">
        <v>451</v>
      </c>
      <c r="P88" s="29" t="s">
        <v>308</v>
      </c>
      <c r="Q88" s="35">
        <v>38960</v>
      </c>
      <c r="R88" s="29"/>
    </row>
    <row r="89" spans="1:18" s="16" customFormat="1" ht="24" customHeight="1">
      <c r="A89" s="26">
        <v>88</v>
      </c>
      <c r="B89" s="26" t="s">
        <v>793</v>
      </c>
      <c r="C89" s="26" t="s">
        <v>788</v>
      </c>
      <c r="D89" s="29" t="s">
        <v>817</v>
      </c>
      <c r="E89" s="26" t="s">
        <v>625</v>
      </c>
      <c r="F89" s="244" t="s">
        <v>818</v>
      </c>
      <c r="G89" s="26">
        <v>9</v>
      </c>
      <c r="H89" s="31">
        <v>846</v>
      </c>
      <c r="I89" s="31">
        <v>0</v>
      </c>
      <c r="J89" s="31">
        <v>9</v>
      </c>
      <c r="K89" s="31">
        <v>2</v>
      </c>
      <c r="L89" s="31">
        <v>0</v>
      </c>
      <c r="M89" s="31">
        <v>0</v>
      </c>
      <c r="N89" s="112" t="s">
        <v>432</v>
      </c>
      <c r="O89" s="85" t="s">
        <v>25</v>
      </c>
      <c r="P89" s="26" t="s">
        <v>127</v>
      </c>
      <c r="Q89" s="35">
        <v>37729</v>
      </c>
      <c r="R89" s="29" t="s">
        <v>819</v>
      </c>
    </row>
    <row r="90" spans="1:18" s="16" customFormat="1" ht="24" customHeight="1">
      <c r="A90" s="26">
        <v>89</v>
      </c>
      <c r="B90" s="33" t="s">
        <v>793</v>
      </c>
      <c r="C90" s="33" t="s">
        <v>788</v>
      </c>
      <c r="D90" s="65" t="s">
        <v>812</v>
      </c>
      <c r="E90" s="33" t="s">
        <v>789</v>
      </c>
      <c r="F90" s="245" t="s">
        <v>814</v>
      </c>
      <c r="G90" s="26">
        <v>9</v>
      </c>
      <c r="H90" s="32">
        <v>1180</v>
      </c>
      <c r="I90" s="32">
        <v>0</v>
      </c>
      <c r="J90" s="32">
        <v>9</v>
      </c>
      <c r="K90" s="32">
        <v>1</v>
      </c>
      <c r="L90" s="32">
        <v>0</v>
      </c>
      <c r="M90" s="32">
        <v>0</v>
      </c>
      <c r="N90" s="112" t="s">
        <v>790</v>
      </c>
      <c r="O90" s="33" t="s">
        <v>451</v>
      </c>
      <c r="P90" s="29" t="s">
        <v>308</v>
      </c>
      <c r="Q90" s="35">
        <v>41393</v>
      </c>
      <c r="R90" s="29" t="s">
        <v>816</v>
      </c>
    </row>
    <row r="91" spans="1:18" s="16" customFormat="1" ht="24" customHeight="1">
      <c r="A91" s="26">
        <v>90</v>
      </c>
      <c r="B91" s="26" t="s">
        <v>151</v>
      </c>
      <c r="C91" s="26" t="s">
        <v>202</v>
      </c>
      <c r="D91" s="30" t="s">
        <v>820</v>
      </c>
      <c r="E91" s="26" t="s">
        <v>144</v>
      </c>
      <c r="F91" s="248" t="s">
        <v>821</v>
      </c>
      <c r="G91" s="26">
        <v>7</v>
      </c>
      <c r="H91" s="32">
        <v>1520</v>
      </c>
      <c r="I91" s="32">
        <f>G91-J91</f>
        <v>0</v>
      </c>
      <c r="J91" s="32">
        <v>7</v>
      </c>
      <c r="K91" s="32">
        <v>5</v>
      </c>
      <c r="L91" s="32">
        <v>0</v>
      </c>
      <c r="M91" s="32">
        <v>0</v>
      </c>
      <c r="N91" s="39" t="s">
        <v>125</v>
      </c>
      <c r="O91" s="33" t="s">
        <v>450</v>
      </c>
      <c r="P91" s="29" t="s">
        <v>27</v>
      </c>
      <c r="Q91" s="35">
        <v>38365</v>
      </c>
      <c r="R91" s="29"/>
    </row>
    <row r="92" spans="1:18" s="16" customFormat="1" ht="24" customHeight="1">
      <c r="A92" s="26">
        <v>91</v>
      </c>
      <c r="B92" s="26" t="s">
        <v>151</v>
      </c>
      <c r="C92" s="26" t="s">
        <v>203</v>
      </c>
      <c r="D92" s="29" t="s">
        <v>20</v>
      </c>
      <c r="E92" s="26" t="s">
        <v>635</v>
      </c>
      <c r="F92" s="244" t="s">
        <v>822</v>
      </c>
      <c r="G92" s="26">
        <v>8</v>
      </c>
      <c r="H92" s="31">
        <v>1315</v>
      </c>
      <c r="I92" s="31">
        <f>G92-J92</f>
        <v>0</v>
      </c>
      <c r="J92" s="31">
        <v>8</v>
      </c>
      <c r="K92" s="31">
        <v>3</v>
      </c>
      <c r="L92" s="31">
        <v>0</v>
      </c>
      <c r="M92" s="31">
        <v>0</v>
      </c>
      <c r="N92" s="39" t="s">
        <v>125</v>
      </c>
      <c r="O92" s="85" t="s">
        <v>25</v>
      </c>
      <c r="P92" s="26" t="s">
        <v>127</v>
      </c>
      <c r="Q92" s="35">
        <v>38004</v>
      </c>
      <c r="R92" s="29" t="s">
        <v>469</v>
      </c>
    </row>
    <row r="93" spans="1:18" s="16" customFormat="1" ht="24" customHeight="1">
      <c r="A93" s="26">
        <v>92</v>
      </c>
      <c r="B93" s="26" t="s">
        <v>151</v>
      </c>
      <c r="C93" s="26" t="s">
        <v>201</v>
      </c>
      <c r="D93" s="29" t="s">
        <v>335</v>
      </c>
      <c r="E93" s="26" t="s">
        <v>146</v>
      </c>
      <c r="F93" s="244" t="s">
        <v>823</v>
      </c>
      <c r="G93" s="26">
        <v>2</v>
      </c>
      <c r="H93" s="31">
        <v>516</v>
      </c>
      <c r="I93" s="31">
        <v>0</v>
      </c>
      <c r="J93" s="31">
        <v>2</v>
      </c>
      <c r="K93" s="31">
        <v>0</v>
      </c>
      <c r="L93" s="31">
        <v>0</v>
      </c>
      <c r="M93" s="31">
        <v>0</v>
      </c>
      <c r="N93" s="39" t="s">
        <v>125</v>
      </c>
      <c r="O93" s="85" t="s">
        <v>25</v>
      </c>
      <c r="P93" s="26" t="s">
        <v>127</v>
      </c>
      <c r="Q93" s="35">
        <v>37205</v>
      </c>
      <c r="R93" s="29"/>
    </row>
    <row r="94" spans="1:18" s="16" customFormat="1" ht="24" customHeight="1">
      <c r="A94" s="26">
        <v>93</v>
      </c>
      <c r="B94" s="26" t="s">
        <v>151</v>
      </c>
      <c r="C94" s="26" t="s">
        <v>201</v>
      </c>
      <c r="D94" s="30" t="s">
        <v>237</v>
      </c>
      <c r="E94" s="26" t="s">
        <v>125</v>
      </c>
      <c r="F94" s="172" t="s">
        <v>827</v>
      </c>
      <c r="G94" s="26">
        <v>8</v>
      </c>
      <c r="H94" s="32">
        <v>1802</v>
      </c>
      <c r="I94" s="32">
        <v>0</v>
      </c>
      <c r="J94" s="32">
        <v>8</v>
      </c>
      <c r="K94" s="32">
        <v>2</v>
      </c>
      <c r="L94" s="32">
        <v>0</v>
      </c>
      <c r="M94" s="32">
        <v>0</v>
      </c>
      <c r="N94" s="39" t="s">
        <v>125</v>
      </c>
      <c r="O94" s="26" t="s">
        <v>412</v>
      </c>
      <c r="P94" s="29" t="s">
        <v>34</v>
      </c>
      <c r="Q94" s="35">
        <v>36357</v>
      </c>
      <c r="R94" s="28"/>
    </row>
    <row r="95" spans="1:18" s="22" customFormat="1" ht="24" customHeight="1">
      <c r="A95" s="26">
        <v>94</v>
      </c>
      <c r="B95" s="26" t="s">
        <v>151</v>
      </c>
      <c r="C95" s="26" t="s">
        <v>201</v>
      </c>
      <c r="D95" s="65" t="s">
        <v>824</v>
      </c>
      <c r="E95" s="26" t="s">
        <v>146</v>
      </c>
      <c r="F95" s="245" t="s">
        <v>825</v>
      </c>
      <c r="G95" s="26">
        <v>8</v>
      </c>
      <c r="H95" s="32">
        <v>2264</v>
      </c>
      <c r="I95" s="32">
        <f>G95-J95</f>
        <v>0</v>
      </c>
      <c r="J95" s="32">
        <v>8</v>
      </c>
      <c r="K95" s="32">
        <v>2</v>
      </c>
      <c r="L95" s="32">
        <v>0</v>
      </c>
      <c r="M95" s="32">
        <v>0</v>
      </c>
      <c r="N95" s="39" t="s">
        <v>125</v>
      </c>
      <c r="O95" s="33" t="s">
        <v>451</v>
      </c>
      <c r="P95" s="29" t="s">
        <v>308</v>
      </c>
      <c r="Q95" s="35">
        <v>39055</v>
      </c>
      <c r="R95" s="113" t="s">
        <v>826</v>
      </c>
    </row>
    <row r="96" spans="1:18" s="16" customFormat="1" ht="24" customHeight="1">
      <c r="A96" s="26">
        <v>95</v>
      </c>
      <c r="B96" s="26" t="s">
        <v>151</v>
      </c>
      <c r="C96" s="26" t="s">
        <v>201</v>
      </c>
      <c r="D96" s="30" t="s">
        <v>126</v>
      </c>
      <c r="E96" s="26" t="s">
        <v>125</v>
      </c>
      <c r="F96" s="245" t="s">
        <v>1432</v>
      </c>
      <c r="G96" s="26">
        <v>1</v>
      </c>
      <c r="H96" s="32">
        <v>200</v>
      </c>
      <c r="I96" s="32">
        <v>0</v>
      </c>
      <c r="J96" s="32">
        <v>1</v>
      </c>
      <c r="K96" s="32">
        <v>0</v>
      </c>
      <c r="L96" s="32">
        <v>0</v>
      </c>
      <c r="M96" s="32">
        <v>0</v>
      </c>
      <c r="N96" s="112" t="s">
        <v>432</v>
      </c>
      <c r="O96" s="26" t="s">
        <v>411</v>
      </c>
      <c r="P96" s="29" t="s">
        <v>30</v>
      </c>
      <c r="Q96" s="35"/>
      <c r="R96" s="56"/>
    </row>
    <row r="97" spans="1:18" s="16" customFormat="1" ht="24" customHeight="1">
      <c r="A97" s="26">
        <v>96</v>
      </c>
      <c r="B97" s="26" t="s">
        <v>793</v>
      </c>
      <c r="C97" s="26" t="s">
        <v>569</v>
      </c>
      <c r="D97" s="30" t="s">
        <v>829</v>
      </c>
      <c r="E97" s="26" t="s">
        <v>625</v>
      </c>
      <c r="F97" s="248" t="s">
        <v>830</v>
      </c>
      <c r="G97" s="26">
        <v>11</v>
      </c>
      <c r="H97" s="32">
        <v>2409</v>
      </c>
      <c r="I97" s="32">
        <v>0</v>
      </c>
      <c r="J97" s="32">
        <v>11</v>
      </c>
      <c r="K97" s="32">
        <v>6</v>
      </c>
      <c r="L97" s="32">
        <v>0</v>
      </c>
      <c r="M97" s="32">
        <v>1</v>
      </c>
      <c r="N97" s="39" t="s">
        <v>831</v>
      </c>
      <c r="O97" s="33" t="s">
        <v>450</v>
      </c>
      <c r="P97" s="29" t="s">
        <v>27</v>
      </c>
      <c r="Q97" s="35">
        <v>41879</v>
      </c>
      <c r="R97" s="29"/>
    </row>
    <row r="98" spans="1:18" s="157" customFormat="1" ht="24" customHeight="1">
      <c r="A98" s="26">
        <v>97</v>
      </c>
      <c r="B98" s="26" t="s">
        <v>151</v>
      </c>
      <c r="C98" s="26" t="s">
        <v>275</v>
      </c>
      <c r="D98" s="29" t="s">
        <v>332</v>
      </c>
      <c r="E98" s="26" t="s">
        <v>144</v>
      </c>
      <c r="F98" s="244" t="s">
        <v>832</v>
      </c>
      <c r="G98" s="26">
        <v>10</v>
      </c>
      <c r="H98" s="31">
        <v>2093</v>
      </c>
      <c r="I98" s="31">
        <v>0</v>
      </c>
      <c r="J98" s="31">
        <v>10</v>
      </c>
      <c r="K98" s="31">
        <v>5</v>
      </c>
      <c r="L98" s="31">
        <v>0</v>
      </c>
      <c r="M98" s="31">
        <v>1</v>
      </c>
      <c r="N98" s="112" t="s">
        <v>833</v>
      </c>
      <c r="O98" s="85" t="s">
        <v>25</v>
      </c>
      <c r="P98" s="26" t="s">
        <v>127</v>
      </c>
      <c r="Q98" s="35">
        <v>39875</v>
      </c>
      <c r="R98" s="29"/>
    </row>
    <row r="99" spans="1:18" s="16" customFormat="1" ht="24" customHeight="1">
      <c r="A99" s="26">
        <v>98</v>
      </c>
      <c r="B99" s="26" t="s">
        <v>151</v>
      </c>
      <c r="C99" s="26" t="s">
        <v>275</v>
      </c>
      <c r="D99" s="30" t="s">
        <v>834</v>
      </c>
      <c r="E99" s="26" t="s">
        <v>144</v>
      </c>
      <c r="F99" s="245" t="s">
        <v>835</v>
      </c>
      <c r="G99" s="26">
        <v>10</v>
      </c>
      <c r="H99" s="32">
        <v>1755</v>
      </c>
      <c r="I99" s="32">
        <f>G99-J99</f>
        <v>0</v>
      </c>
      <c r="J99" s="32">
        <v>10</v>
      </c>
      <c r="K99" s="32">
        <v>6</v>
      </c>
      <c r="L99" s="32">
        <v>0</v>
      </c>
      <c r="M99" s="32">
        <v>0</v>
      </c>
      <c r="N99" s="112" t="s">
        <v>836</v>
      </c>
      <c r="O99" s="67" t="s">
        <v>450</v>
      </c>
      <c r="P99" s="29" t="s">
        <v>27</v>
      </c>
      <c r="Q99" s="35">
        <v>39423</v>
      </c>
      <c r="R99" s="29"/>
    </row>
    <row r="100" spans="1:18" s="114" customFormat="1" ht="24" customHeight="1">
      <c r="A100" s="26">
        <v>99</v>
      </c>
      <c r="B100" s="26" t="s">
        <v>793</v>
      </c>
      <c r="C100" s="26" t="s">
        <v>839</v>
      </c>
      <c r="D100" s="30" t="s">
        <v>840</v>
      </c>
      <c r="E100" s="33" t="s">
        <v>789</v>
      </c>
      <c r="F100" s="30" t="s">
        <v>841</v>
      </c>
      <c r="G100" s="26">
        <v>10</v>
      </c>
      <c r="H100" s="32">
        <v>1688</v>
      </c>
      <c r="I100" s="32">
        <v>0</v>
      </c>
      <c r="J100" s="32">
        <v>10</v>
      </c>
      <c r="K100" s="32">
        <v>2</v>
      </c>
      <c r="L100" s="173">
        <v>0</v>
      </c>
      <c r="M100" s="32">
        <v>0</v>
      </c>
      <c r="N100" s="39" t="s">
        <v>432</v>
      </c>
      <c r="O100" s="33" t="s">
        <v>450</v>
      </c>
      <c r="P100" s="29" t="s">
        <v>27</v>
      </c>
      <c r="Q100" s="35">
        <v>41639</v>
      </c>
      <c r="R100" s="29" t="s">
        <v>842</v>
      </c>
    </row>
    <row r="101" spans="1:18" ht="24" customHeight="1">
      <c r="A101" s="26">
        <v>100</v>
      </c>
      <c r="B101" s="33" t="s">
        <v>782</v>
      </c>
      <c r="C101" s="33" t="s">
        <v>839</v>
      </c>
      <c r="D101" s="65" t="s">
        <v>843</v>
      </c>
      <c r="E101" s="33" t="s">
        <v>538</v>
      </c>
      <c r="F101" s="245" t="s">
        <v>844</v>
      </c>
      <c r="G101" s="26">
        <v>7</v>
      </c>
      <c r="H101" s="32">
        <v>1019</v>
      </c>
      <c r="I101" s="32">
        <v>0</v>
      </c>
      <c r="J101" s="32">
        <v>7</v>
      </c>
      <c r="K101" s="32">
        <v>2</v>
      </c>
      <c r="L101" s="32">
        <v>0</v>
      </c>
      <c r="M101" s="32">
        <v>0</v>
      </c>
      <c r="N101" s="112" t="s">
        <v>432</v>
      </c>
      <c r="O101" s="33" t="s">
        <v>451</v>
      </c>
      <c r="P101" s="29" t="s">
        <v>308</v>
      </c>
      <c r="Q101" s="35">
        <v>40910</v>
      </c>
      <c r="R101" s="29"/>
    </row>
    <row r="102" spans="1:18" ht="24" customHeight="1">
      <c r="A102" s="26">
        <v>101</v>
      </c>
      <c r="B102" s="26" t="s">
        <v>151</v>
      </c>
      <c r="C102" s="26" t="s">
        <v>275</v>
      </c>
      <c r="D102" s="30" t="s">
        <v>108</v>
      </c>
      <c r="E102" s="26" t="s">
        <v>144</v>
      </c>
      <c r="F102" s="245" t="s">
        <v>837</v>
      </c>
      <c r="G102" s="26">
        <v>10</v>
      </c>
      <c r="H102" s="32">
        <v>1794</v>
      </c>
      <c r="I102" s="32">
        <v>0</v>
      </c>
      <c r="J102" s="32">
        <v>10</v>
      </c>
      <c r="K102" s="32">
        <v>2</v>
      </c>
      <c r="L102" s="32">
        <v>0</v>
      </c>
      <c r="M102" s="32">
        <v>0</v>
      </c>
      <c r="N102" s="112" t="s">
        <v>792</v>
      </c>
      <c r="O102" s="33" t="s">
        <v>451</v>
      </c>
      <c r="P102" s="29" t="s">
        <v>308</v>
      </c>
      <c r="Q102" s="35">
        <v>37590</v>
      </c>
      <c r="R102" s="29"/>
    </row>
    <row r="103" spans="1:18" ht="24" customHeight="1">
      <c r="A103" s="26">
        <v>102</v>
      </c>
      <c r="B103" s="26" t="s">
        <v>151</v>
      </c>
      <c r="C103" s="26" t="s">
        <v>275</v>
      </c>
      <c r="D103" s="65" t="s">
        <v>435</v>
      </c>
      <c r="E103" s="33" t="s">
        <v>432</v>
      </c>
      <c r="F103" s="245" t="s">
        <v>1433</v>
      </c>
      <c r="G103" s="26">
        <v>3</v>
      </c>
      <c r="H103" s="32">
        <v>837</v>
      </c>
      <c r="I103" s="32">
        <v>0</v>
      </c>
      <c r="J103" s="32">
        <v>3</v>
      </c>
      <c r="K103" s="32">
        <v>3</v>
      </c>
      <c r="L103" s="32">
        <v>0</v>
      </c>
      <c r="M103" s="32">
        <v>0</v>
      </c>
      <c r="N103" s="112" t="s">
        <v>432</v>
      </c>
      <c r="O103" s="33" t="s">
        <v>437</v>
      </c>
      <c r="P103" s="29" t="s">
        <v>445</v>
      </c>
      <c r="Q103" s="35">
        <v>40858</v>
      </c>
      <c r="R103" s="71" t="s">
        <v>471</v>
      </c>
    </row>
    <row r="104" spans="1:18" s="16" customFormat="1" ht="21" customHeight="1">
      <c r="A104" s="26">
        <v>103</v>
      </c>
      <c r="B104" s="47" t="s">
        <v>189</v>
      </c>
      <c r="C104" s="47" t="s">
        <v>190</v>
      </c>
      <c r="D104" s="48" t="s">
        <v>89</v>
      </c>
      <c r="E104" s="47" t="s">
        <v>144</v>
      </c>
      <c r="F104" s="249" t="s">
        <v>848</v>
      </c>
      <c r="G104" s="41">
        <v>9</v>
      </c>
      <c r="H104" s="49">
        <v>1617</v>
      </c>
      <c r="I104" s="49">
        <f>G104-J104</f>
        <v>0</v>
      </c>
      <c r="J104" s="49">
        <v>9</v>
      </c>
      <c r="K104" s="49">
        <v>6</v>
      </c>
      <c r="L104" s="49">
        <v>0</v>
      </c>
      <c r="M104" s="49">
        <v>0</v>
      </c>
      <c r="N104" s="243" t="s">
        <v>125</v>
      </c>
      <c r="O104" s="208" t="s">
        <v>450</v>
      </c>
      <c r="P104" s="43" t="s">
        <v>27</v>
      </c>
      <c r="Q104" s="44">
        <v>39346</v>
      </c>
      <c r="R104" s="48"/>
    </row>
    <row r="105" spans="1:18" s="171" customFormat="1" ht="21" customHeight="1">
      <c r="A105" s="26">
        <v>104</v>
      </c>
      <c r="B105" s="33" t="s">
        <v>851</v>
      </c>
      <c r="C105" s="33" t="s">
        <v>525</v>
      </c>
      <c r="D105" s="38" t="s">
        <v>853</v>
      </c>
      <c r="E105" s="33" t="s">
        <v>538</v>
      </c>
      <c r="F105" s="244" t="s">
        <v>855</v>
      </c>
      <c r="G105" s="26">
        <v>7</v>
      </c>
      <c r="H105" s="31">
        <v>974</v>
      </c>
      <c r="I105" s="31">
        <f>G105-J105</f>
        <v>0</v>
      </c>
      <c r="J105" s="31">
        <v>7</v>
      </c>
      <c r="K105" s="31">
        <v>3</v>
      </c>
      <c r="L105" s="31">
        <v>0</v>
      </c>
      <c r="M105" s="31">
        <v>0</v>
      </c>
      <c r="N105" s="39" t="s">
        <v>125</v>
      </c>
      <c r="O105" s="85" t="s">
        <v>25</v>
      </c>
      <c r="P105" s="26" t="s">
        <v>127</v>
      </c>
      <c r="Q105" s="35">
        <v>40663</v>
      </c>
      <c r="R105" s="29"/>
    </row>
    <row r="106" spans="1:18" s="16" customFormat="1" ht="21" customHeight="1">
      <c r="A106" s="26">
        <v>105</v>
      </c>
      <c r="B106" s="27" t="s">
        <v>189</v>
      </c>
      <c r="C106" s="27" t="s">
        <v>187</v>
      </c>
      <c r="D106" s="28" t="s">
        <v>849</v>
      </c>
      <c r="E106" s="27" t="s">
        <v>144</v>
      </c>
      <c r="F106" s="250" t="s">
        <v>850</v>
      </c>
      <c r="G106" s="26">
        <v>6</v>
      </c>
      <c r="H106" s="32">
        <v>1386</v>
      </c>
      <c r="I106" s="32">
        <f>G106-J106</f>
        <v>0</v>
      </c>
      <c r="J106" s="32">
        <v>6</v>
      </c>
      <c r="K106" s="32">
        <v>4</v>
      </c>
      <c r="L106" s="32">
        <v>0</v>
      </c>
      <c r="M106" s="32">
        <v>0</v>
      </c>
      <c r="N106" s="39" t="s">
        <v>125</v>
      </c>
      <c r="O106" s="33" t="s">
        <v>450</v>
      </c>
      <c r="P106" s="29" t="s">
        <v>27</v>
      </c>
      <c r="Q106" s="35">
        <v>40374</v>
      </c>
      <c r="R106" s="28"/>
    </row>
    <row r="107" spans="1:18" s="16" customFormat="1" ht="21" customHeight="1">
      <c r="A107" s="26">
        <v>106</v>
      </c>
      <c r="B107" s="27" t="s">
        <v>189</v>
      </c>
      <c r="C107" s="27" t="s">
        <v>188</v>
      </c>
      <c r="D107" s="29" t="s">
        <v>858</v>
      </c>
      <c r="E107" s="26" t="s">
        <v>146</v>
      </c>
      <c r="F107" s="29" t="s">
        <v>859</v>
      </c>
      <c r="G107" s="26">
        <v>7</v>
      </c>
      <c r="H107" s="31">
        <v>1171</v>
      </c>
      <c r="I107" s="31">
        <v>0</v>
      </c>
      <c r="J107" s="31">
        <v>7</v>
      </c>
      <c r="K107" s="31">
        <v>3</v>
      </c>
      <c r="L107" s="31">
        <v>0</v>
      </c>
      <c r="M107" s="31">
        <v>0</v>
      </c>
      <c r="N107" s="39" t="s">
        <v>125</v>
      </c>
      <c r="O107" s="85" t="s">
        <v>25</v>
      </c>
      <c r="P107" s="26" t="s">
        <v>127</v>
      </c>
      <c r="Q107" s="35">
        <v>39386</v>
      </c>
      <c r="R107" s="34"/>
    </row>
    <row r="108" spans="1:18" s="171" customFormat="1" ht="21" customHeight="1">
      <c r="A108" s="26">
        <v>107</v>
      </c>
      <c r="B108" s="27" t="s">
        <v>189</v>
      </c>
      <c r="C108" s="26" t="s">
        <v>188</v>
      </c>
      <c r="D108" s="30" t="s">
        <v>359</v>
      </c>
      <c r="E108" s="26" t="s">
        <v>144</v>
      </c>
      <c r="F108" s="30" t="s">
        <v>863</v>
      </c>
      <c r="G108" s="26">
        <v>9</v>
      </c>
      <c r="H108" s="32">
        <v>1627</v>
      </c>
      <c r="I108" s="32">
        <f>G108-J108</f>
        <v>0</v>
      </c>
      <c r="J108" s="32">
        <v>9</v>
      </c>
      <c r="K108" s="32">
        <v>5</v>
      </c>
      <c r="L108" s="32">
        <v>0</v>
      </c>
      <c r="M108" s="32">
        <v>0</v>
      </c>
      <c r="N108" s="112" t="s">
        <v>864</v>
      </c>
      <c r="O108" s="67" t="s">
        <v>450</v>
      </c>
      <c r="P108" s="29" t="s">
        <v>27</v>
      </c>
      <c r="Q108" s="35">
        <v>37679</v>
      </c>
      <c r="R108" s="29"/>
    </row>
    <row r="109" spans="1:18" s="171" customFormat="1" ht="21" customHeight="1">
      <c r="A109" s="26">
        <v>108</v>
      </c>
      <c r="B109" s="27" t="s">
        <v>851</v>
      </c>
      <c r="C109" s="26" t="s">
        <v>866</v>
      </c>
      <c r="D109" s="30" t="s">
        <v>867</v>
      </c>
      <c r="E109" s="26" t="s">
        <v>789</v>
      </c>
      <c r="F109" s="30" t="s">
        <v>869</v>
      </c>
      <c r="G109" s="26">
        <v>6</v>
      </c>
      <c r="H109" s="32">
        <v>536</v>
      </c>
      <c r="I109" s="32">
        <v>0</v>
      </c>
      <c r="J109" s="32">
        <v>6</v>
      </c>
      <c r="K109" s="32">
        <v>3</v>
      </c>
      <c r="L109" s="32">
        <v>0</v>
      </c>
      <c r="M109" s="32">
        <v>0</v>
      </c>
      <c r="N109" s="112" t="s">
        <v>432</v>
      </c>
      <c r="O109" s="33" t="s">
        <v>450</v>
      </c>
      <c r="P109" s="29" t="s">
        <v>27</v>
      </c>
      <c r="Q109" s="35">
        <v>41517</v>
      </c>
      <c r="R109" s="29"/>
    </row>
    <row r="110" spans="1:18" s="16" customFormat="1" ht="21" customHeight="1">
      <c r="A110" s="26">
        <v>109</v>
      </c>
      <c r="B110" s="27" t="s">
        <v>189</v>
      </c>
      <c r="C110" s="26" t="s">
        <v>188</v>
      </c>
      <c r="D110" s="30" t="s">
        <v>860</v>
      </c>
      <c r="E110" s="26" t="s">
        <v>144</v>
      </c>
      <c r="F110" s="30" t="s">
        <v>861</v>
      </c>
      <c r="G110" s="26">
        <v>10</v>
      </c>
      <c r="H110" s="31">
        <v>1951</v>
      </c>
      <c r="I110" s="32">
        <v>0</v>
      </c>
      <c r="J110" s="31">
        <v>10</v>
      </c>
      <c r="K110" s="31">
        <v>3</v>
      </c>
      <c r="L110" s="31">
        <v>0</v>
      </c>
      <c r="M110" s="31">
        <v>0</v>
      </c>
      <c r="N110" s="112" t="s">
        <v>862</v>
      </c>
      <c r="O110" s="33" t="s">
        <v>451</v>
      </c>
      <c r="P110" s="29" t="s">
        <v>308</v>
      </c>
      <c r="Q110" s="35">
        <v>37372</v>
      </c>
      <c r="R110" s="29"/>
    </row>
    <row r="111" spans="1:18" s="171" customFormat="1" ht="21" customHeight="1">
      <c r="A111" s="26">
        <v>110</v>
      </c>
      <c r="B111" s="27" t="s">
        <v>189</v>
      </c>
      <c r="C111" s="27" t="s">
        <v>188</v>
      </c>
      <c r="D111" s="37" t="s">
        <v>856</v>
      </c>
      <c r="E111" s="27" t="s">
        <v>146</v>
      </c>
      <c r="F111" s="28" t="s">
        <v>857</v>
      </c>
      <c r="G111" s="26">
        <v>6</v>
      </c>
      <c r="H111" s="31">
        <v>886</v>
      </c>
      <c r="I111" s="32">
        <f>G111-J111</f>
        <v>0</v>
      </c>
      <c r="J111" s="31">
        <v>6</v>
      </c>
      <c r="K111" s="31">
        <v>1</v>
      </c>
      <c r="L111" s="31">
        <v>0</v>
      </c>
      <c r="M111" s="31">
        <v>0</v>
      </c>
      <c r="N111" s="39" t="s">
        <v>125</v>
      </c>
      <c r="O111" s="33" t="s">
        <v>451</v>
      </c>
      <c r="P111" s="29" t="s">
        <v>308</v>
      </c>
      <c r="Q111" s="35">
        <v>39341</v>
      </c>
      <c r="R111" s="178"/>
    </row>
    <row r="112" spans="1:18" s="171" customFormat="1" ht="21" customHeight="1">
      <c r="A112" s="26">
        <v>111</v>
      </c>
      <c r="B112" s="27" t="s">
        <v>189</v>
      </c>
      <c r="C112" s="33" t="s">
        <v>870</v>
      </c>
      <c r="D112" s="65" t="s">
        <v>871</v>
      </c>
      <c r="E112" s="33" t="s">
        <v>625</v>
      </c>
      <c r="F112" s="65" t="s">
        <v>872</v>
      </c>
      <c r="G112" s="26">
        <v>7</v>
      </c>
      <c r="H112" s="32">
        <v>1300</v>
      </c>
      <c r="I112" s="32">
        <v>0</v>
      </c>
      <c r="J112" s="32">
        <v>7</v>
      </c>
      <c r="K112" s="32">
        <v>2</v>
      </c>
      <c r="L112" s="173">
        <v>0</v>
      </c>
      <c r="M112" s="32">
        <v>0</v>
      </c>
      <c r="N112" s="112" t="s">
        <v>432</v>
      </c>
      <c r="O112" s="67" t="s">
        <v>450</v>
      </c>
      <c r="P112" s="29" t="s">
        <v>27</v>
      </c>
      <c r="Q112" s="35">
        <v>41180</v>
      </c>
      <c r="R112" s="29"/>
    </row>
    <row r="113" spans="1:23" s="16" customFormat="1" ht="21.75" customHeight="1">
      <c r="A113" s="26">
        <v>112</v>
      </c>
      <c r="B113" s="26" t="s">
        <v>189</v>
      </c>
      <c r="C113" s="26" t="s">
        <v>239</v>
      </c>
      <c r="D113" s="30" t="s">
        <v>287</v>
      </c>
      <c r="E113" s="26" t="s">
        <v>125</v>
      </c>
      <c r="F113" s="30" t="s">
        <v>1434</v>
      </c>
      <c r="G113" s="26">
        <v>1</v>
      </c>
      <c r="H113" s="31">
        <v>520</v>
      </c>
      <c r="I113" s="31">
        <f>G113-J113</f>
        <v>0</v>
      </c>
      <c r="J113" s="31">
        <v>1</v>
      </c>
      <c r="K113" s="31">
        <v>1</v>
      </c>
      <c r="L113" s="31">
        <v>0</v>
      </c>
      <c r="M113" s="31">
        <v>0</v>
      </c>
      <c r="N113" s="39" t="s">
        <v>125</v>
      </c>
      <c r="O113" s="74" t="s">
        <v>90</v>
      </c>
      <c r="P113" s="29" t="s">
        <v>320</v>
      </c>
      <c r="Q113" s="35">
        <v>36861</v>
      </c>
      <c r="R113" s="29"/>
    </row>
    <row r="114" spans="1:23" s="16" customFormat="1" ht="21.75" customHeight="1">
      <c r="A114" s="26">
        <v>113</v>
      </c>
      <c r="B114" s="33" t="s">
        <v>568</v>
      </c>
      <c r="C114" s="33" t="s">
        <v>873</v>
      </c>
      <c r="D114" s="143" t="s">
        <v>877</v>
      </c>
      <c r="E114" s="159" t="s">
        <v>625</v>
      </c>
      <c r="F114" s="143" t="s">
        <v>878</v>
      </c>
      <c r="G114" s="41">
        <v>4</v>
      </c>
      <c r="H114" s="42">
        <v>804</v>
      </c>
      <c r="I114" s="31">
        <v>0</v>
      </c>
      <c r="J114" s="42">
        <v>4</v>
      </c>
      <c r="K114" s="42">
        <v>2</v>
      </c>
      <c r="L114" s="42">
        <v>0</v>
      </c>
      <c r="M114" s="42">
        <v>0</v>
      </c>
      <c r="N114" s="251" t="s">
        <v>432</v>
      </c>
      <c r="O114" s="169" t="s">
        <v>25</v>
      </c>
      <c r="P114" s="26" t="s">
        <v>127</v>
      </c>
      <c r="Q114" s="44">
        <v>41417</v>
      </c>
      <c r="R114" s="209" t="s">
        <v>879</v>
      </c>
    </row>
    <row r="115" spans="1:23" s="16" customFormat="1" ht="21.75" customHeight="1">
      <c r="A115" s="26">
        <v>114</v>
      </c>
      <c r="B115" s="27" t="s">
        <v>189</v>
      </c>
      <c r="C115" s="85" t="s">
        <v>873</v>
      </c>
      <c r="D115" s="38" t="s">
        <v>874</v>
      </c>
      <c r="E115" s="33" t="s">
        <v>625</v>
      </c>
      <c r="F115" s="38" t="s">
        <v>875</v>
      </c>
      <c r="G115" s="26">
        <v>10</v>
      </c>
      <c r="H115" s="31">
        <v>1466</v>
      </c>
      <c r="I115" s="31">
        <f>G115-J115</f>
        <v>0</v>
      </c>
      <c r="J115" s="31">
        <v>10</v>
      </c>
      <c r="K115" s="31">
        <v>6</v>
      </c>
      <c r="L115" s="31">
        <v>0</v>
      </c>
      <c r="M115" s="31">
        <v>0</v>
      </c>
      <c r="N115" s="39" t="s">
        <v>125</v>
      </c>
      <c r="O115" s="169" t="s">
        <v>25</v>
      </c>
      <c r="P115" s="26" t="s">
        <v>127</v>
      </c>
      <c r="Q115" s="35">
        <v>40764</v>
      </c>
      <c r="R115" s="34"/>
    </row>
    <row r="116" spans="1:23" s="16" customFormat="1" ht="21.75" customHeight="1">
      <c r="A116" s="26">
        <v>115</v>
      </c>
      <c r="B116" s="26" t="s">
        <v>189</v>
      </c>
      <c r="C116" s="26" t="s">
        <v>201</v>
      </c>
      <c r="D116" s="29" t="s">
        <v>41</v>
      </c>
      <c r="E116" s="26" t="s">
        <v>144</v>
      </c>
      <c r="F116" s="38" t="s">
        <v>882</v>
      </c>
      <c r="G116" s="26">
        <v>12</v>
      </c>
      <c r="H116" s="31">
        <v>1625</v>
      </c>
      <c r="I116" s="31">
        <f>G116-J116</f>
        <v>0</v>
      </c>
      <c r="J116" s="31">
        <v>12</v>
      </c>
      <c r="K116" s="31">
        <v>5</v>
      </c>
      <c r="L116" s="31">
        <v>1</v>
      </c>
      <c r="M116" s="31">
        <v>1</v>
      </c>
      <c r="N116" s="112" t="s">
        <v>883</v>
      </c>
      <c r="O116" s="85" t="s">
        <v>25</v>
      </c>
      <c r="P116" s="26" t="s">
        <v>127</v>
      </c>
      <c r="Q116" s="35">
        <v>39337</v>
      </c>
      <c r="R116" s="72"/>
    </row>
    <row r="117" spans="1:23" s="16" customFormat="1" ht="21.75" customHeight="1">
      <c r="A117" s="26">
        <v>116</v>
      </c>
      <c r="B117" s="85" t="s">
        <v>851</v>
      </c>
      <c r="C117" s="33" t="s">
        <v>506</v>
      </c>
      <c r="D117" s="65" t="s">
        <v>894</v>
      </c>
      <c r="E117" s="33" t="s">
        <v>635</v>
      </c>
      <c r="F117" s="65" t="s">
        <v>895</v>
      </c>
      <c r="G117" s="26">
        <v>7</v>
      </c>
      <c r="H117" s="32">
        <v>1171</v>
      </c>
      <c r="I117" s="32">
        <v>0</v>
      </c>
      <c r="J117" s="32">
        <v>7</v>
      </c>
      <c r="K117" s="32">
        <v>2</v>
      </c>
      <c r="L117" s="49">
        <v>0</v>
      </c>
      <c r="M117" s="49">
        <v>0</v>
      </c>
      <c r="N117" s="112" t="s">
        <v>432</v>
      </c>
      <c r="O117" s="85" t="s">
        <v>25</v>
      </c>
      <c r="P117" s="26" t="s">
        <v>127</v>
      </c>
      <c r="Q117" s="35">
        <v>41663</v>
      </c>
      <c r="R117" s="29" t="s">
        <v>896</v>
      </c>
    </row>
    <row r="118" spans="1:23" s="160" customFormat="1" ht="21" customHeight="1">
      <c r="A118" s="26">
        <v>117</v>
      </c>
      <c r="B118" s="159" t="s">
        <v>851</v>
      </c>
      <c r="C118" s="159" t="s">
        <v>506</v>
      </c>
      <c r="D118" s="143" t="s">
        <v>890</v>
      </c>
      <c r="E118" s="159" t="s">
        <v>625</v>
      </c>
      <c r="F118" s="143" t="s">
        <v>891</v>
      </c>
      <c r="G118" s="41">
        <v>5</v>
      </c>
      <c r="H118" s="42">
        <v>832</v>
      </c>
      <c r="I118" s="42">
        <v>0</v>
      </c>
      <c r="J118" s="42">
        <v>5</v>
      </c>
      <c r="K118" s="42">
        <v>2</v>
      </c>
      <c r="L118" s="42">
        <v>0</v>
      </c>
      <c r="M118" s="42">
        <v>0</v>
      </c>
      <c r="N118" s="243" t="s">
        <v>628</v>
      </c>
      <c r="O118" s="166" t="s">
        <v>25</v>
      </c>
      <c r="P118" s="41" t="s">
        <v>127</v>
      </c>
      <c r="Q118" s="44">
        <v>41271</v>
      </c>
      <c r="R118" s="209" t="s">
        <v>893</v>
      </c>
    </row>
    <row r="119" spans="1:23" s="22" customFormat="1" ht="21" customHeight="1">
      <c r="A119" s="26">
        <v>118</v>
      </c>
      <c r="B119" s="26" t="s">
        <v>189</v>
      </c>
      <c r="C119" s="26" t="s">
        <v>201</v>
      </c>
      <c r="D119" s="38" t="s">
        <v>884</v>
      </c>
      <c r="E119" s="33" t="s">
        <v>625</v>
      </c>
      <c r="F119" s="38" t="s">
        <v>885</v>
      </c>
      <c r="G119" s="26">
        <v>6</v>
      </c>
      <c r="H119" s="31">
        <v>710</v>
      </c>
      <c r="I119" s="31">
        <f>G119-J119</f>
        <v>0</v>
      </c>
      <c r="J119" s="31">
        <v>6</v>
      </c>
      <c r="K119" s="31">
        <v>3</v>
      </c>
      <c r="L119" s="31">
        <v>0</v>
      </c>
      <c r="M119" s="31">
        <v>0</v>
      </c>
      <c r="N119" s="39" t="s">
        <v>626</v>
      </c>
      <c r="O119" s="169" t="s">
        <v>25</v>
      </c>
      <c r="P119" s="26" t="s">
        <v>127</v>
      </c>
      <c r="Q119" s="35">
        <v>40774</v>
      </c>
      <c r="R119" s="72"/>
    </row>
    <row r="120" spans="1:23" s="22" customFormat="1" ht="21" customHeight="1">
      <c r="A120" s="26">
        <v>119</v>
      </c>
      <c r="B120" s="26" t="s">
        <v>189</v>
      </c>
      <c r="C120" s="26" t="s">
        <v>201</v>
      </c>
      <c r="D120" s="30" t="s">
        <v>385</v>
      </c>
      <c r="E120" s="26" t="s">
        <v>125</v>
      </c>
      <c r="F120" s="30" t="s">
        <v>880</v>
      </c>
      <c r="G120" s="26">
        <v>9</v>
      </c>
      <c r="H120" s="31">
        <v>859</v>
      </c>
      <c r="I120" s="32">
        <v>0</v>
      </c>
      <c r="J120" s="31">
        <v>9</v>
      </c>
      <c r="K120" s="31">
        <v>2</v>
      </c>
      <c r="L120" s="31">
        <v>0</v>
      </c>
      <c r="M120" s="31">
        <v>0</v>
      </c>
      <c r="N120" s="112" t="s">
        <v>432</v>
      </c>
      <c r="O120" s="74" t="s">
        <v>386</v>
      </c>
      <c r="P120" s="29" t="s">
        <v>309</v>
      </c>
      <c r="Q120" s="35">
        <v>37435</v>
      </c>
      <c r="R120" s="38" t="s">
        <v>881</v>
      </c>
    </row>
    <row r="121" spans="1:23" s="5" customFormat="1" ht="21" customHeight="1">
      <c r="A121" s="26">
        <v>120</v>
      </c>
      <c r="B121" s="26" t="s">
        <v>189</v>
      </c>
      <c r="C121" s="26" t="s">
        <v>201</v>
      </c>
      <c r="D121" s="30" t="s">
        <v>285</v>
      </c>
      <c r="E121" s="26" t="s">
        <v>125</v>
      </c>
      <c r="F121" s="30" t="s">
        <v>1435</v>
      </c>
      <c r="G121" s="26">
        <v>1</v>
      </c>
      <c r="H121" s="31">
        <v>201</v>
      </c>
      <c r="I121" s="31">
        <v>0</v>
      </c>
      <c r="J121" s="31">
        <v>1</v>
      </c>
      <c r="K121" s="31">
        <v>0</v>
      </c>
      <c r="L121" s="31">
        <v>0</v>
      </c>
      <c r="M121" s="31">
        <v>0</v>
      </c>
      <c r="N121" s="39" t="s">
        <v>125</v>
      </c>
      <c r="O121" s="26" t="s">
        <v>124</v>
      </c>
      <c r="P121" s="38" t="s">
        <v>472</v>
      </c>
      <c r="Q121" s="35">
        <v>33878</v>
      </c>
      <c r="R121" s="113"/>
      <c r="S121" s="16"/>
      <c r="T121" s="16"/>
      <c r="U121" s="16"/>
      <c r="V121" s="16"/>
      <c r="W121" s="16"/>
    </row>
    <row r="122" spans="1:23" s="5" customFormat="1" ht="21" customHeight="1">
      <c r="A122" s="26">
        <v>121</v>
      </c>
      <c r="B122" s="26" t="s">
        <v>189</v>
      </c>
      <c r="C122" s="26" t="s">
        <v>201</v>
      </c>
      <c r="D122" s="30" t="s">
        <v>103</v>
      </c>
      <c r="E122" s="26" t="s">
        <v>144</v>
      </c>
      <c r="F122" s="30" t="s">
        <v>886</v>
      </c>
      <c r="G122" s="26">
        <v>9</v>
      </c>
      <c r="H122" s="32">
        <v>1412</v>
      </c>
      <c r="I122" s="32">
        <f>G122-J122</f>
        <v>0</v>
      </c>
      <c r="J122" s="32">
        <v>9</v>
      </c>
      <c r="K122" s="32">
        <v>5</v>
      </c>
      <c r="L122" s="49">
        <v>0</v>
      </c>
      <c r="M122" s="49">
        <v>0</v>
      </c>
      <c r="N122" s="112" t="s">
        <v>887</v>
      </c>
      <c r="O122" s="67" t="s">
        <v>450</v>
      </c>
      <c r="P122" s="29" t="s">
        <v>27</v>
      </c>
      <c r="Q122" s="35">
        <v>39586</v>
      </c>
      <c r="R122" s="72"/>
    </row>
    <row r="123" spans="1:23" s="5" customFormat="1" ht="21" customHeight="1">
      <c r="A123" s="26">
        <v>122</v>
      </c>
      <c r="B123" s="47" t="s">
        <v>568</v>
      </c>
      <c r="C123" s="85" t="s">
        <v>569</v>
      </c>
      <c r="D123" s="38" t="s">
        <v>567</v>
      </c>
      <c r="E123" s="33" t="s">
        <v>432</v>
      </c>
      <c r="F123" s="38" t="s">
        <v>571</v>
      </c>
      <c r="G123" s="26">
        <v>1</v>
      </c>
      <c r="H123" s="31">
        <v>139</v>
      </c>
      <c r="I123" s="31">
        <v>0</v>
      </c>
      <c r="J123" s="31">
        <v>1</v>
      </c>
      <c r="K123" s="31">
        <v>0</v>
      </c>
      <c r="L123" s="42">
        <v>0</v>
      </c>
      <c r="M123" s="42">
        <v>0</v>
      </c>
      <c r="N123" s="39" t="s">
        <v>432</v>
      </c>
      <c r="O123" s="85" t="s">
        <v>572</v>
      </c>
      <c r="P123" s="26" t="s">
        <v>573</v>
      </c>
      <c r="Q123" s="35">
        <v>41874</v>
      </c>
      <c r="R123" s="34"/>
    </row>
    <row r="124" spans="1:23" s="16" customFormat="1" ht="24.75" customHeight="1">
      <c r="A124" s="26">
        <v>123</v>
      </c>
      <c r="B124" s="47" t="s">
        <v>192</v>
      </c>
      <c r="C124" s="47" t="s">
        <v>193</v>
      </c>
      <c r="D124" s="48" t="s">
        <v>336</v>
      </c>
      <c r="E124" s="47" t="s">
        <v>144</v>
      </c>
      <c r="F124" s="48" t="s">
        <v>898</v>
      </c>
      <c r="G124" s="41">
        <v>8</v>
      </c>
      <c r="H124" s="42">
        <v>1219</v>
      </c>
      <c r="I124" s="42">
        <f>G124-J124</f>
        <v>0</v>
      </c>
      <c r="J124" s="42">
        <v>8</v>
      </c>
      <c r="K124" s="42">
        <v>4</v>
      </c>
      <c r="L124" s="42">
        <v>0</v>
      </c>
      <c r="M124" s="42">
        <v>0</v>
      </c>
      <c r="N124" s="243" t="s">
        <v>626</v>
      </c>
      <c r="O124" s="166" t="s">
        <v>25</v>
      </c>
      <c r="P124" s="41" t="s">
        <v>127</v>
      </c>
      <c r="Q124" s="44">
        <v>38985</v>
      </c>
      <c r="R124" s="48"/>
    </row>
    <row r="125" spans="1:23" s="16" customFormat="1" ht="24.75" customHeight="1">
      <c r="A125" s="26">
        <v>124</v>
      </c>
      <c r="B125" s="26" t="s">
        <v>192</v>
      </c>
      <c r="C125" s="26" t="s">
        <v>227</v>
      </c>
      <c r="D125" s="38" t="s">
        <v>899</v>
      </c>
      <c r="E125" s="26" t="s">
        <v>144</v>
      </c>
      <c r="F125" s="29" t="s">
        <v>900</v>
      </c>
      <c r="G125" s="26">
        <v>4</v>
      </c>
      <c r="H125" s="31">
        <v>516</v>
      </c>
      <c r="I125" s="31">
        <v>0</v>
      </c>
      <c r="J125" s="31">
        <v>4</v>
      </c>
      <c r="K125" s="31">
        <v>2</v>
      </c>
      <c r="L125" s="31">
        <v>0</v>
      </c>
      <c r="M125" s="31">
        <v>0</v>
      </c>
      <c r="N125" s="39" t="s">
        <v>628</v>
      </c>
      <c r="O125" s="85" t="s">
        <v>25</v>
      </c>
      <c r="P125" s="26" t="s">
        <v>127</v>
      </c>
      <c r="Q125" s="35">
        <v>38604</v>
      </c>
      <c r="R125" s="29" t="s">
        <v>901</v>
      </c>
    </row>
    <row r="126" spans="1:23" s="16" customFormat="1" ht="24.75" customHeight="1">
      <c r="A126" s="26">
        <v>125</v>
      </c>
      <c r="B126" s="26" t="s">
        <v>192</v>
      </c>
      <c r="C126" s="26" t="s">
        <v>227</v>
      </c>
      <c r="D126" s="29" t="s">
        <v>337</v>
      </c>
      <c r="E126" s="26" t="s">
        <v>144</v>
      </c>
      <c r="F126" s="29" t="s">
        <v>902</v>
      </c>
      <c r="G126" s="26">
        <v>9</v>
      </c>
      <c r="H126" s="31">
        <v>1690</v>
      </c>
      <c r="I126" s="31">
        <f>G126-J126</f>
        <v>0</v>
      </c>
      <c r="J126" s="31">
        <v>9</v>
      </c>
      <c r="K126" s="31">
        <v>4</v>
      </c>
      <c r="L126" s="31">
        <v>0</v>
      </c>
      <c r="M126" s="31">
        <v>0</v>
      </c>
      <c r="N126" s="39" t="s">
        <v>628</v>
      </c>
      <c r="O126" s="85" t="s">
        <v>25</v>
      </c>
      <c r="P126" s="26" t="s">
        <v>127</v>
      </c>
      <c r="Q126" s="35">
        <v>38414</v>
      </c>
      <c r="R126" s="29"/>
    </row>
    <row r="127" spans="1:23" s="16" customFormat="1" ht="24.75" customHeight="1">
      <c r="A127" s="26">
        <v>126</v>
      </c>
      <c r="B127" s="27" t="s">
        <v>192</v>
      </c>
      <c r="C127" s="27" t="s">
        <v>227</v>
      </c>
      <c r="D127" s="28" t="s">
        <v>74</v>
      </c>
      <c r="E127" s="27" t="s">
        <v>125</v>
      </c>
      <c r="F127" s="28" t="s">
        <v>1436</v>
      </c>
      <c r="G127" s="26">
        <v>3</v>
      </c>
      <c r="H127" s="31">
        <v>346</v>
      </c>
      <c r="I127" s="32">
        <v>0</v>
      </c>
      <c r="J127" s="31">
        <v>3</v>
      </c>
      <c r="K127" s="31">
        <v>0</v>
      </c>
      <c r="L127" s="31">
        <v>0</v>
      </c>
      <c r="M127" s="31">
        <v>0</v>
      </c>
      <c r="N127" s="39" t="s">
        <v>125</v>
      </c>
      <c r="O127" s="27" t="s">
        <v>417</v>
      </c>
      <c r="P127" s="29" t="s">
        <v>15</v>
      </c>
      <c r="Q127" s="35">
        <v>39203</v>
      </c>
      <c r="R127" s="79" t="s">
        <v>1472</v>
      </c>
    </row>
    <row r="128" spans="1:23" s="16" customFormat="1" ht="24.75" customHeight="1">
      <c r="A128" s="26">
        <v>127</v>
      </c>
      <c r="B128" s="26" t="s">
        <v>524</v>
      </c>
      <c r="C128" s="26" t="s">
        <v>904</v>
      </c>
      <c r="D128" s="29" t="s">
        <v>905</v>
      </c>
      <c r="E128" s="26" t="s">
        <v>789</v>
      </c>
      <c r="F128" s="29" t="s">
        <v>906</v>
      </c>
      <c r="G128" s="26">
        <v>7</v>
      </c>
      <c r="H128" s="31">
        <v>921</v>
      </c>
      <c r="I128" s="31">
        <v>0</v>
      </c>
      <c r="J128" s="31">
        <v>7</v>
      </c>
      <c r="K128" s="31">
        <v>0</v>
      </c>
      <c r="L128" s="31">
        <v>0</v>
      </c>
      <c r="M128" s="31">
        <v>0</v>
      </c>
      <c r="N128" s="39" t="s">
        <v>125</v>
      </c>
      <c r="O128" s="85" t="s">
        <v>25</v>
      </c>
      <c r="P128" s="26" t="s">
        <v>127</v>
      </c>
      <c r="Q128" s="35">
        <v>41887</v>
      </c>
      <c r="R128" s="29"/>
    </row>
    <row r="129" spans="1:18" s="16" customFormat="1" ht="24.75" customHeight="1">
      <c r="A129" s="26">
        <v>128</v>
      </c>
      <c r="B129" s="26" t="s">
        <v>192</v>
      </c>
      <c r="C129" s="26" t="s">
        <v>276</v>
      </c>
      <c r="D129" s="29" t="s">
        <v>333</v>
      </c>
      <c r="E129" s="26" t="s">
        <v>144</v>
      </c>
      <c r="F129" s="29" t="s">
        <v>910</v>
      </c>
      <c r="G129" s="26">
        <v>14</v>
      </c>
      <c r="H129" s="31">
        <v>3390</v>
      </c>
      <c r="I129" s="31">
        <f>G129-J129</f>
        <v>0</v>
      </c>
      <c r="J129" s="31">
        <v>14</v>
      </c>
      <c r="K129" s="31">
        <v>5</v>
      </c>
      <c r="L129" s="31">
        <v>1</v>
      </c>
      <c r="M129" s="31">
        <v>1</v>
      </c>
      <c r="N129" s="39" t="s">
        <v>911</v>
      </c>
      <c r="O129" s="85" t="s">
        <v>25</v>
      </c>
      <c r="P129" s="26" t="s">
        <v>127</v>
      </c>
      <c r="Q129" s="35">
        <v>36512</v>
      </c>
      <c r="R129" s="29"/>
    </row>
    <row r="130" spans="1:18" s="16" customFormat="1" ht="24.75" customHeight="1">
      <c r="A130" s="26">
        <v>129</v>
      </c>
      <c r="B130" s="26" t="s">
        <v>192</v>
      </c>
      <c r="C130" s="26" t="s">
        <v>276</v>
      </c>
      <c r="D130" s="29" t="s">
        <v>327</v>
      </c>
      <c r="E130" s="26" t="s">
        <v>625</v>
      </c>
      <c r="F130" s="29" t="s">
        <v>907</v>
      </c>
      <c r="G130" s="26">
        <v>5</v>
      </c>
      <c r="H130" s="31">
        <v>630</v>
      </c>
      <c r="I130" s="31">
        <f>G130-J130</f>
        <v>0</v>
      </c>
      <c r="J130" s="31">
        <v>5</v>
      </c>
      <c r="K130" s="31">
        <v>2</v>
      </c>
      <c r="L130" s="31">
        <v>0</v>
      </c>
      <c r="M130" s="31">
        <v>0</v>
      </c>
      <c r="N130" s="39" t="s">
        <v>125</v>
      </c>
      <c r="O130" s="85" t="s">
        <v>25</v>
      </c>
      <c r="P130" s="26" t="s">
        <v>127</v>
      </c>
      <c r="Q130" s="35">
        <v>40438</v>
      </c>
      <c r="R130" s="29"/>
    </row>
    <row r="131" spans="1:18" s="16" customFormat="1" ht="24.75" customHeight="1">
      <c r="A131" s="26">
        <v>130</v>
      </c>
      <c r="B131" s="27" t="s">
        <v>192</v>
      </c>
      <c r="C131" s="27" t="s">
        <v>276</v>
      </c>
      <c r="D131" s="28" t="s">
        <v>360</v>
      </c>
      <c r="E131" s="27" t="s">
        <v>144</v>
      </c>
      <c r="F131" s="250" t="s">
        <v>908</v>
      </c>
      <c r="G131" s="26">
        <v>9</v>
      </c>
      <c r="H131" s="32">
        <v>1341</v>
      </c>
      <c r="I131" s="32">
        <f>G131-J131</f>
        <v>0</v>
      </c>
      <c r="J131" s="32">
        <v>9</v>
      </c>
      <c r="K131" s="32">
        <v>7</v>
      </c>
      <c r="L131" s="32">
        <v>0</v>
      </c>
      <c r="M131" s="32">
        <v>0</v>
      </c>
      <c r="N131" s="112" t="s">
        <v>887</v>
      </c>
      <c r="O131" s="33" t="s">
        <v>450</v>
      </c>
      <c r="P131" s="29" t="s">
        <v>27</v>
      </c>
      <c r="Q131" s="35">
        <v>39954</v>
      </c>
      <c r="R131" s="28"/>
    </row>
    <row r="132" spans="1:18" s="22" customFormat="1" ht="24.75" customHeight="1">
      <c r="A132" s="26">
        <v>131</v>
      </c>
      <c r="B132" s="26" t="s">
        <v>524</v>
      </c>
      <c r="C132" s="26" t="s">
        <v>525</v>
      </c>
      <c r="D132" s="29" t="s">
        <v>523</v>
      </c>
      <c r="E132" s="26" t="s">
        <v>432</v>
      </c>
      <c r="F132" s="29" t="s">
        <v>1437</v>
      </c>
      <c r="G132" s="26">
        <v>1</v>
      </c>
      <c r="H132" s="32">
        <v>283</v>
      </c>
      <c r="I132" s="31">
        <v>0</v>
      </c>
      <c r="J132" s="31">
        <v>1</v>
      </c>
      <c r="K132" s="31">
        <v>0</v>
      </c>
      <c r="L132" s="31">
        <v>0</v>
      </c>
      <c r="M132" s="31">
        <v>0</v>
      </c>
      <c r="N132" s="39" t="s">
        <v>432</v>
      </c>
      <c r="O132" s="27" t="s">
        <v>526</v>
      </c>
      <c r="P132" s="26"/>
      <c r="Q132" s="35">
        <v>41549</v>
      </c>
      <c r="R132" s="29" t="s">
        <v>528</v>
      </c>
    </row>
    <row r="133" spans="1:18" s="22" customFormat="1" ht="24.75" customHeight="1">
      <c r="A133" s="26">
        <v>132</v>
      </c>
      <c r="B133" s="26" t="s">
        <v>192</v>
      </c>
      <c r="C133" s="26" t="s">
        <v>919</v>
      </c>
      <c r="D133" s="29" t="s">
        <v>419</v>
      </c>
      <c r="E133" s="26" t="s">
        <v>146</v>
      </c>
      <c r="F133" s="29" t="s">
        <v>920</v>
      </c>
      <c r="G133" s="26">
        <v>10</v>
      </c>
      <c r="H133" s="31">
        <v>1464</v>
      </c>
      <c r="I133" s="31">
        <f>G133-J133</f>
        <v>0</v>
      </c>
      <c r="J133" s="31">
        <v>10</v>
      </c>
      <c r="K133" s="31">
        <v>0</v>
      </c>
      <c r="L133" s="31">
        <v>0</v>
      </c>
      <c r="M133" s="31">
        <v>0</v>
      </c>
      <c r="N133" s="39" t="s">
        <v>628</v>
      </c>
      <c r="O133" s="85" t="s">
        <v>25</v>
      </c>
      <c r="P133" s="26" t="s">
        <v>127</v>
      </c>
      <c r="Q133" s="35">
        <v>38157</v>
      </c>
      <c r="R133" s="29"/>
    </row>
    <row r="134" spans="1:18" s="171" customFormat="1" ht="24.75" customHeight="1">
      <c r="A134" s="26">
        <v>133</v>
      </c>
      <c r="B134" s="26" t="s">
        <v>305</v>
      </c>
      <c r="C134" s="26" t="s">
        <v>174</v>
      </c>
      <c r="D134" s="30" t="s">
        <v>225</v>
      </c>
      <c r="E134" s="26" t="s">
        <v>125</v>
      </c>
      <c r="F134" s="29" t="s">
        <v>1438</v>
      </c>
      <c r="G134" s="26">
        <v>2</v>
      </c>
      <c r="H134" s="31">
        <v>240</v>
      </c>
      <c r="I134" s="32">
        <v>0</v>
      </c>
      <c r="J134" s="31">
        <v>2</v>
      </c>
      <c r="K134" s="31">
        <v>1</v>
      </c>
      <c r="L134" s="31">
        <v>0</v>
      </c>
      <c r="M134" s="31">
        <v>0</v>
      </c>
      <c r="N134" s="39" t="s">
        <v>125</v>
      </c>
      <c r="O134" s="26" t="s">
        <v>418</v>
      </c>
      <c r="P134" s="37" t="s">
        <v>473</v>
      </c>
      <c r="Q134" s="85" t="s">
        <v>446</v>
      </c>
      <c r="R134" s="28"/>
    </row>
    <row r="135" spans="1:18" s="171" customFormat="1" ht="24.75" customHeight="1">
      <c r="A135" s="26">
        <v>134</v>
      </c>
      <c r="B135" s="26" t="s">
        <v>192</v>
      </c>
      <c r="C135" s="26" t="s">
        <v>174</v>
      </c>
      <c r="D135" s="30" t="s">
        <v>361</v>
      </c>
      <c r="E135" s="26" t="s">
        <v>144</v>
      </c>
      <c r="F135" s="30" t="s">
        <v>913</v>
      </c>
      <c r="G135" s="26">
        <v>9</v>
      </c>
      <c r="H135" s="32">
        <v>1523</v>
      </c>
      <c r="I135" s="32">
        <f>G135-J135</f>
        <v>0</v>
      </c>
      <c r="J135" s="32">
        <v>9</v>
      </c>
      <c r="K135" s="32">
        <v>4</v>
      </c>
      <c r="L135" s="32">
        <v>0</v>
      </c>
      <c r="M135" s="32">
        <v>0</v>
      </c>
      <c r="N135" s="112" t="s">
        <v>914</v>
      </c>
      <c r="O135" s="67" t="s">
        <v>450</v>
      </c>
      <c r="P135" s="29" t="s">
        <v>27</v>
      </c>
      <c r="Q135" s="35">
        <v>38777</v>
      </c>
      <c r="R135" s="29"/>
    </row>
    <row r="136" spans="1:18" s="16" customFormat="1" ht="24.75" customHeight="1">
      <c r="A136" s="26">
        <v>135</v>
      </c>
      <c r="B136" s="26" t="s">
        <v>192</v>
      </c>
      <c r="C136" s="26" t="s">
        <v>174</v>
      </c>
      <c r="D136" s="30" t="s">
        <v>112</v>
      </c>
      <c r="E136" s="26" t="s">
        <v>144</v>
      </c>
      <c r="F136" s="30" t="s">
        <v>912</v>
      </c>
      <c r="G136" s="26">
        <v>9</v>
      </c>
      <c r="H136" s="32">
        <v>1218</v>
      </c>
      <c r="I136" s="32">
        <f>G136-J136</f>
        <v>0</v>
      </c>
      <c r="J136" s="32">
        <v>9</v>
      </c>
      <c r="K136" s="32">
        <v>4</v>
      </c>
      <c r="L136" s="32">
        <v>0</v>
      </c>
      <c r="M136" s="32">
        <v>0</v>
      </c>
      <c r="N136" s="39" t="s">
        <v>125</v>
      </c>
      <c r="O136" s="33" t="s">
        <v>450</v>
      </c>
      <c r="P136" s="29" t="s">
        <v>27</v>
      </c>
      <c r="Q136" s="35">
        <v>39695</v>
      </c>
      <c r="R136" s="29"/>
    </row>
    <row r="137" spans="1:18" s="16" customFormat="1" ht="24.75" customHeight="1">
      <c r="A137" s="26">
        <v>136</v>
      </c>
      <c r="B137" s="26" t="s">
        <v>915</v>
      </c>
      <c r="C137" s="26" t="s">
        <v>916</v>
      </c>
      <c r="D137" s="29" t="s">
        <v>917</v>
      </c>
      <c r="E137" s="26" t="s">
        <v>789</v>
      </c>
      <c r="F137" s="29" t="s">
        <v>918</v>
      </c>
      <c r="G137" s="26">
        <v>6</v>
      </c>
      <c r="H137" s="31">
        <v>730</v>
      </c>
      <c r="I137" s="31">
        <v>0</v>
      </c>
      <c r="J137" s="31">
        <v>6</v>
      </c>
      <c r="K137" s="31">
        <v>0</v>
      </c>
      <c r="L137" s="31">
        <v>0</v>
      </c>
      <c r="M137" s="31">
        <v>0</v>
      </c>
      <c r="N137" s="39" t="s">
        <v>125</v>
      </c>
      <c r="O137" s="85" t="s">
        <v>25</v>
      </c>
      <c r="P137" s="26" t="s">
        <v>127</v>
      </c>
      <c r="Q137" s="35">
        <v>41842</v>
      </c>
      <c r="R137" s="29"/>
    </row>
    <row r="138" spans="1:18" s="142" customFormat="1" ht="24.75" customHeight="1">
      <c r="A138" s="26">
        <v>137</v>
      </c>
      <c r="B138" s="27" t="s">
        <v>192</v>
      </c>
      <c r="C138" s="27" t="s">
        <v>194</v>
      </c>
      <c r="D138" s="28" t="s">
        <v>362</v>
      </c>
      <c r="E138" s="85" t="s">
        <v>625</v>
      </c>
      <c r="F138" s="250" t="s">
        <v>921</v>
      </c>
      <c r="G138" s="26">
        <v>6</v>
      </c>
      <c r="H138" s="32">
        <v>624</v>
      </c>
      <c r="I138" s="32">
        <f>G138-J138</f>
        <v>0</v>
      </c>
      <c r="J138" s="32">
        <v>6</v>
      </c>
      <c r="K138" s="32">
        <v>2</v>
      </c>
      <c r="L138" s="173">
        <v>0</v>
      </c>
      <c r="M138" s="32">
        <v>0</v>
      </c>
      <c r="N138" s="39" t="s">
        <v>125</v>
      </c>
      <c r="O138" s="67" t="s">
        <v>450</v>
      </c>
      <c r="P138" s="29" t="s">
        <v>27</v>
      </c>
      <c r="Q138" s="35">
        <v>38988</v>
      </c>
      <c r="R138" s="28"/>
    </row>
    <row r="139" spans="1:18" s="142" customFormat="1" ht="24.75" customHeight="1">
      <c r="A139" s="26">
        <v>138</v>
      </c>
      <c r="B139" s="33" t="s">
        <v>524</v>
      </c>
      <c r="C139" s="33" t="s">
        <v>925</v>
      </c>
      <c r="D139" s="38" t="s">
        <v>926</v>
      </c>
      <c r="E139" s="33" t="s">
        <v>538</v>
      </c>
      <c r="F139" s="38" t="s">
        <v>928</v>
      </c>
      <c r="G139" s="26">
        <v>6</v>
      </c>
      <c r="H139" s="31">
        <v>1127</v>
      </c>
      <c r="I139" s="31">
        <v>0</v>
      </c>
      <c r="J139" s="31">
        <v>6</v>
      </c>
      <c r="K139" s="31">
        <v>2</v>
      </c>
      <c r="L139" s="31">
        <v>0</v>
      </c>
      <c r="M139" s="31">
        <v>0</v>
      </c>
      <c r="N139" s="112" t="s">
        <v>432</v>
      </c>
      <c r="O139" s="85" t="s">
        <v>622</v>
      </c>
      <c r="P139" s="26" t="s">
        <v>127</v>
      </c>
      <c r="Q139" s="35">
        <v>41187</v>
      </c>
      <c r="R139" s="29"/>
    </row>
    <row r="140" spans="1:18" s="61" customFormat="1" ht="24.75" customHeight="1">
      <c r="A140" s="26">
        <v>139</v>
      </c>
      <c r="B140" s="26" t="s">
        <v>192</v>
      </c>
      <c r="C140" s="26" t="s">
        <v>268</v>
      </c>
      <c r="D140" s="65" t="s">
        <v>922</v>
      </c>
      <c r="E140" s="26" t="s">
        <v>625</v>
      </c>
      <c r="F140" s="30" t="s">
        <v>923</v>
      </c>
      <c r="G140" s="26">
        <v>9</v>
      </c>
      <c r="H140" s="31">
        <v>1498</v>
      </c>
      <c r="I140" s="32">
        <f>G140-J140</f>
        <v>0</v>
      </c>
      <c r="J140" s="31">
        <v>9</v>
      </c>
      <c r="K140" s="31">
        <v>3</v>
      </c>
      <c r="L140" s="31">
        <v>0</v>
      </c>
      <c r="M140" s="31">
        <v>0</v>
      </c>
      <c r="N140" s="39" t="s">
        <v>125</v>
      </c>
      <c r="O140" s="33" t="s">
        <v>451</v>
      </c>
      <c r="P140" s="29" t="s">
        <v>308</v>
      </c>
      <c r="Q140" s="35">
        <v>38533</v>
      </c>
      <c r="R140" s="29"/>
    </row>
    <row r="141" spans="1:18" s="5" customFormat="1" ht="24.75" customHeight="1">
      <c r="A141" s="26">
        <v>140</v>
      </c>
      <c r="B141" s="33" t="s">
        <v>524</v>
      </c>
      <c r="C141" s="33" t="s">
        <v>506</v>
      </c>
      <c r="D141" s="38" t="s">
        <v>933</v>
      </c>
      <c r="E141" s="33" t="s">
        <v>625</v>
      </c>
      <c r="F141" s="38" t="s">
        <v>935</v>
      </c>
      <c r="G141" s="26">
        <v>2</v>
      </c>
      <c r="H141" s="31">
        <v>245</v>
      </c>
      <c r="I141" s="31">
        <v>0</v>
      </c>
      <c r="J141" s="31">
        <v>2</v>
      </c>
      <c r="K141" s="31">
        <v>2</v>
      </c>
      <c r="L141" s="31">
        <v>0</v>
      </c>
      <c r="M141" s="31">
        <v>0</v>
      </c>
      <c r="N141" s="112" t="s">
        <v>432</v>
      </c>
      <c r="O141" s="85" t="s">
        <v>25</v>
      </c>
      <c r="P141" s="26" t="s">
        <v>127</v>
      </c>
      <c r="Q141" s="35">
        <v>40924</v>
      </c>
      <c r="R141" s="29"/>
    </row>
    <row r="142" spans="1:18" s="5" customFormat="1" ht="24.75" customHeight="1">
      <c r="A142" s="26">
        <v>141</v>
      </c>
      <c r="B142" s="27" t="s">
        <v>192</v>
      </c>
      <c r="C142" s="27" t="s">
        <v>201</v>
      </c>
      <c r="D142" s="28" t="s">
        <v>306</v>
      </c>
      <c r="E142" s="27" t="s">
        <v>125</v>
      </c>
      <c r="F142" s="28" t="s">
        <v>1439</v>
      </c>
      <c r="G142" s="26">
        <v>5</v>
      </c>
      <c r="H142" s="31">
        <v>809</v>
      </c>
      <c r="I142" s="32">
        <v>0</v>
      </c>
      <c r="J142" s="31">
        <v>5</v>
      </c>
      <c r="K142" s="31">
        <v>0</v>
      </c>
      <c r="L142" s="31">
        <v>0</v>
      </c>
      <c r="M142" s="31">
        <v>0</v>
      </c>
      <c r="N142" s="39" t="s">
        <v>125</v>
      </c>
      <c r="O142" s="27" t="s">
        <v>420</v>
      </c>
      <c r="P142" s="29" t="s">
        <v>321</v>
      </c>
      <c r="Q142" s="35">
        <v>38002</v>
      </c>
      <c r="R142" s="28"/>
    </row>
    <row r="143" spans="1:18" s="16" customFormat="1" ht="21.75" customHeight="1">
      <c r="A143" s="26">
        <v>142</v>
      </c>
      <c r="B143" s="47" t="s">
        <v>185</v>
      </c>
      <c r="C143" s="47" t="s">
        <v>186</v>
      </c>
      <c r="D143" s="48" t="s">
        <v>938</v>
      </c>
      <c r="E143" s="47" t="s">
        <v>146</v>
      </c>
      <c r="F143" s="48" t="s">
        <v>939</v>
      </c>
      <c r="G143" s="41">
        <v>9</v>
      </c>
      <c r="H143" s="42">
        <v>1534</v>
      </c>
      <c r="I143" s="42">
        <f>G143-J143</f>
        <v>0</v>
      </c>
      <c r="J143" s="42">
        <v>9</v>
      </c>
      <c r="K143" s="42">
        <v>4</v>
      </c>
      <c r="L143" s="42">
        <v>0</v>
      </c>
      <c r="M143" s="42">
        <v>0</v>
      </c>
      <c r="N143" s="243" t="s">
        <v>628</v>
      </c>
      <c r="O143" s="166" t="s">
        <v>25</v>
      </c>
      <c r="P143" s="41" t="s">
        <v>127</v>
      </c>
      <c r="Q143" s="44">
        <v>38729</v>
      </c>
      <c r="R143" s="48"/>
    </row>
    <row r="144" spans="1:18" s="16" customFormat="1" ht="21.75" customHeight="1">
      <c r="A144" s="26">
        <v>143</v>
      </c>
      <c r="B144" s="85" t="s">
        <v>941</v>
      </c>
      <c r="C144" s="85" t="s">
        <v>942</v>
      </c>
      <c r="D144" s="37" t="s">
        <v>943</v>
      </c>
      <c r="E144" s="85" t="s">
        <v>625</v>
      </c>
      <c r="F144" s="252" t="s">
        <v>945</v>
      </c>
      <c r="G144" s="26">
        <v>7</v>
      </c>
      <c r="H144" s="32">
        <v>1397</v>
      </c>
      <c r="I144" s="32">
        <v>0</v>
      </c>
      <c r="J144" s="32">
        <v>7</v>
      </c>
      <c r="K144" s="32">
        <v>5</v>
      </c>
      <c r="L144" s="32">
        <v>0</v>
      </c>
      <c r="M144" s="32">
        <v>1</v>
      </c>
      <c r="N144" s="112" t="s">
        <v>946</v>
      </c>
      <c r="O144" s="33" t="s">
        <v>450</v>
      </c>
      <c r="P144" s="29" t="s">
        <v>27</v>
      </c>
      <c r="Q144" s="35">
        <v>40963</v>
      </c>
      <c r="R144" s="28"/>
    </row>
    <row r="145" spans="1:18" s="16" customFormat="1" ht="21.75" customHeight="1">
      <c r="A145" s="26">
        <v>144</v>
      </c>
      <c r="B145" s="26" t="s">
        <v>185</v>
      </c>
      <c r="C145" s="26" t="s">
        <v>186</v>
      </c>
      <c r="D145" s="65" t="s">
        <v>936</v>
      </c>
      <c r="E145" s="33" t="s">
        <v>538</v>
      </c>
      <c r="F145" s="38" t="s">
        <v>937</v>
      </c>
      <c r="G145" s="26">
        <v>9</v>
      </c>
      <c r="H145" s="32">
        <v>1159</v>
      </c>
      <c r="I145" s="32">
        <v>0</v>
      </c>
      <c r="J145" s="32">
        <v>9</v>
      </c>
      <c r="K145" s="32">
        <v>2</v>
      </c>
      <c r="L145" s="32">
        <v>0</v>
      </c>
      <c r="M145" s="32">
        <v>0</v>
      </c>
      <c r="N145" s="112" t="s">
        <v>432</v>
      </c>
      <c r="O145" s="33" t="s">
        <v>451</v>
      </c>
      <c r="P145" s="29" t="s">
        <v>308</v>
      </c>
      <c r="Q145" s="35">
        <v>40923</v>
      </c>
      <c r="R145" s="29"/>
    </row>
    <row r="146" spans="1:18" s="22" customFormat="1" ht="21" customHeight="1">
      <c r="A146" s="26">
        <v>145</v>
      </c>
      <c r="B146" s="26" t="s">
        <v>185</v>
      </c>
      <c r="C146" s="26" t="s">
        <v>186</v>
      </c>
      <c r="D146" s="65" t="s">
        <v>947</v>
      </c>
      <c r="E146" s="26" t="s">
        <v>146</v>
      </c>
      <c r="F146" s="29" t="s">
        <v>948</v>
      </c>
      <c r="G146" s="26">
        <v>10</v>
      </c>
      <c r="H146" s="32">
        <v>1609</v>
      </c>
      <c r="I146" s="32">
        <f>G146-J146</f>
        <v>0</v>
      </c>
      <c r="J146" s="32">
        <v>10</v>
      </c>
      <c r="K146" s="32">
        <v>3</v>
      </c>
      <c r="L146" s="32">
        <v>0</v>
      </c>
      <c r="M146" s="32">
        <v>0</v>
      </c>
      <c r="N146" s="39" t="s">
        <v>125</v>
      </c>
      <c r="O146" s="33" t="s">
        <v>451</v>
      </c>
      <c r="P146" s="29" t="s">
        <v>308</v>
      </c>
      <c r="Q146" s="35">
        <v>38596</v>
      </c>
      <c r="R146" s="29"/>
    </row>
    <row r="147" spans="1:18" s="260" customFormat="1" ht="21" customHeight="1">
      <c r="A147" s="26">
        <v>146</v>
      </c>
      <c r="B147" s="26" t="s">
        <v>185</v>
      </c>
      <c r="C147" s="26" t="s">
        <v>187</v>
      </c>
      <c r="D147" s="30" t="s">
        <v>262</v>
      </c>
      <c r="E147" s="26" t="s">
        <v>125</v>
      </c>
      <c r="F147" s="30" t="s">
        <v>1440</v>
      </c>
      <c r="G147" s="26">
        <v>1</v>
      </c>
      <c r="H147" s="32">
        <v>850</v>
      </c>
      <c r="I147" s="32">
        <f>G147-J147</f>
        <v>0</v>
      </c>
      <c r="J147" s="32">
        <v>1</v>
      </c>
      <c r="K147" s="32">
        <v>0</v>
      </c>
      <c r="L147" s="32">
        <v>0</v>
      </c>
      <c r="M147" s="32">
        <v>0</v>
      </c>
      <c r="N147" s="39" t="s">
        <v>125</v>
      </c>
      <c r="O147" s="26" t="s">
        <v>99</v>
      </c>
      <c r="P147" s="29" t="s">
        <v>10</v>
      </c>
      <c r="Q147" s="26" t="s">
        <v>141</v>
      </c>
      <c r="R147" s="29"/>
    </row>
    <row r="148" spans="1:18" s="171" customFormat="1" ht="21" customHeight="1">
      <c r="A148" s="26">
        <v>147</v>
      </c>
      <c r="B148" s="26" t="s">
        <v>185</v>
      </c>
      <c r="C148" s="26" t="s">
        <v>187</v>
      </c>
      <c r="D148" s="30" t="s">
        <v>311</v>
      </c>
      <c r="E148" s="26" t="s">
        <v>125</v>
      </c>
      <c r="F148" s="30" t="s">
        <v>1441</v>
      </c>
      <c r="G148" s="26">
        <v>1</v>
      </c>
      <c r="H148" s="32">
        <v>105</v>
      </c>
      <c r="I148" s="32">
        <f>G148-J148</f>
        <v>0</v>
      </c>
      <c r="J148" s="32">
        <v>1</v>
      </c>
      <c r="K148" s="32">
        <v>1</v>
      </c>
      <c r="L148" s="32">
        <v>0</v>
      </c>
      <c r="M148" s="32">
        <v>0</v>
      </c>
      <c r="N148" s="39" t="s">
        <v>125</v>
      </c>
      <c r="O148" s="26" t="s">
        <v>376</v>
      </c>
      <c r="P148" s="38" t="s">
        <v>474</v>
      </c>
      <c r="Q148" s="35">
        <v>40234</v>
      </c>
      <c r="R148" s="56"/>
    </row>
    <row r="149" spans="1:18" s="22" customFormat="1" ht="21" customHeight="1">
      <c r="A149" s="26">
        <v>148</v>
      </c>
      <c r="B149" s="26" t="s">
        <v>185</v>
      </c>
      <c r="C149" s="26" t="s">
        <v>187</v>
      </c>
      <c r="D149" s="30" t="s">
        <v>949</v>
      </c>
      <c r="E149" s="26" t="s">
        <v>144</v>
      </c>
      <c r="F149" s="30" t="s">
        <v>950</v>
      </c>
      <c r="G149" s="26">
        <v>6</v>
      </c>
      <c r="H149" s="32">
        <v>1024</v>
      </c>
      <c r="I149" s="32">
        <f>G149-J149</f>
        <v>0</v>
      </c>
      <c r="J149" s="32">
        <v>6</v>
      </c>
      <c r="K149" s="32">
        <v>3</v>
      </c>
      <c r="L149" s="32">
        <v>0</v>
      </c>
      <c r="M149" s="32">
        <v>0</v>
      </c>
      <c r="N149" s="112" t="s">
        <v>887</v>
      </c>
      <c r="O149" s="67" t="s">
        <v>450</v>
      </c>
      <c r="P149" s="29" t="s">
        <v>27</v>
      </c>
      <c r="Q149" s="179" t="s">
        <v>951</v>
      </c>
      <c r="R149" s="29"/>
    </row>
    <row r="150" spans="1:18" s="16" customFormat="1" ht="21.75" customHeight="1">
      <c r="A150" s="26">
        <v>149</v>
      </c>
      <c r="B150" s="27" t="s">
        <v>185</v>
      </c>
      <c r="C150" s="27" t="s">
        <v>187</v>
      </c>
      <c r="D150" s="28" t="s">
        <v>952</v>
      </c>
      <c r="E150" s="27" t="s">
        <v>144</v>
      </c>
      <c r="F150" s="28" t="s">
        <v>953</v>
      </c>
      <c r="G150" s="26">
        <v>9</v>
      </c>
      <c r="H150" s="32">
        <v>1506</v>
      </c>
      <c r="I150" s="32">
        <f>G150-J150</f>
        <v>0</v>
      </c>
      <c r="J150" s="32">
        <v>9</v>
      </c>
      <c r="K150" s="32">
        <v>1</v>
      </c>
      <c r="L150" s="49">
        <v>0</v>
      </c>
      <c r="M150" s="49">
        <v>0</v>
      </c>
      <c r="N150" s="39" t="s">
        <v>954</v>
      </c>
      <c r="O150" s="33" t="s">
        <v>451</v>
      </c>
      <c r="P150" s="29" t="s">
        <v>308</v>
      </c>
      <c r="Q150" s="35">
        <v>38743</v>
      </c>
      <c r="R150" s="182" t="s">
        <v>955</v>
      </c>
    </row>
    <row r="151" spans="1:18" s="22" customFormat="1" ht="21.75" customHeight="1">
      <c r="A151" s="26">
        <v>150</v>
      </c>
      <c r="B151" s="26" t="s">
        <v>956</v>
      </c>
      <c r="C151" s="26" t="s">
        <v>957</v>
      </c>
      <c r="D151" s="30" t="s">
        <v>958</v>
      </c>
      <c r="E151" s="33" t="s">
        <v>789</v>
      </c>
      <c r="F151" s="30" t="s">
        <v>959</v>
      </c>
      <c r="G151" s="26">
        <v>9</v>
      </c>
      <c r="H151" s="32">
        <v>1101</v>
      </c>
      <c r="I151" s="32">
        <v>0</v>
      </c>
      <c r="J151" s="32">
        <v>9</v>
      </c>
      <c r="K151" s="32">
        <v>2</v>
      </c>
      <c r="L151" s="32">
        <v>0</v>
      </c>
      <c r="M151" s="32">
        <v>0</v>
      </c>
      <c r="N151" s="39" t="s">
        <v>786</v>
      </c>
      <c r="O151" s="33" t="s">
        <v>450</v>
      </c>
      <c r="P151" s="29" t="s">
        <v>27</v>
      </c>
      <c r="Q151" s="35">
        <v>41627</v>
      </c>
      <c r="R151" s="29"/>
    </row>
    <row r="152" spans="1:18" s="16" customFormat="1" ht="21.75" customHeight="1">
      <c r="A152" s="26">
        <v>151</v>
      </c>
      <c r="B152" s="47" t="s">
        <v>185</v>
      </c>
      <c r="C152" s="27" t="s">
        <v>188</v>
      </c>
      <c r="D152" s="37" t="s">
        <v>962</v>
      </c>
      <c r="E152" s="26" t="s">
        <v>146</v>
      </c>
      <c r="F152" s="28" t="s">
        <v>963</v>
      </c>
      <c r="G152" s="26">
        <v>7</v>
      </c>
      <c r="H152" s="32">
        <v>1185</v>
      </c>
      <c r="I152" s="32">
        <f>G152-J152</f>
        <v>0</v>
      </c>
      <c r="J152" s="32">
        <v>7</v>
      </c>
      <c r="K152" s="32">
        <v>2</v>
      </c>
      <c r="L152" s="49">
        <v>0</v>
      </c>
      <c r="M152" s="49">
        <v>0</v>
      </c>
      <c r="N152" s="39" t="s">
        <v>125</v>
      </c>
      <c r="O152" s="33" t="s">
        <v>451</v>
      </c>
      <c r="P152" s="29" t="s">
        <v>308</v>
      </c>
      <c r="Q152" s="35">
        <v>39051</v>
      </c>
      <c r="R152" s="28"/>
    </row>
    <row r="153" spans="1:18" s="111" customFormat="1" ht="21.75" customHeight="1">
      <c r="A153" s="26">
        <v>152</v>
      </c>
      <c r="B153" s="26" t="s">
        <v>956</v>
      </c>
      <c r="C153" s="26" t="s">
        <v>788</v>
      </c>
      <c r="D153" s="29" t="s">
        <v>960</v>
      </c>
      <c r="E153" s="26" t="s">
        <v>789</v>
      </c>
      <c r="F153" s="38" t="s">
        <v>961</v>
      </c>
      <c r="G153" s="26">
        <v>10</v>
      </c>
      <c r="H153" s="31">
        <v>1574</v>
      </c>
      <c r="I153" s="31">
        <v>0</v>
      </c>
      <c r="J153" s="31">
        <v>10</v>
      </c>
      <c r="K153" s="31">
        <v>0</v>
      </c>
      <c r="L153" s="31">
        <v>0</v>
      </c>
      <c r="M153" s="31">
        <v>0</v>
      </c>
      <c r="N153" s="112" t="s">
        <v>432</v>
      </c>
      <c r="O153" s="85" t="s">
        <v>25</v>
      </c>
      <c r="P153" s="26" t="s">
        <v>127</v>
      </c>
      <c r="Q153" s="35">
        <v>41529</v>
      </c>
      <c r="R153" s="29"/>
    </row>
    <row r="154" spans="1:18" s="160" customFormat="1" ht="21.75" customHeight="1">
      <c r="A154" s="26">
        <v>153</v>
      </c>
      <c r="B154" s="85" t="s">
        <v>956</v>
      </c>
      <c r="C154" s="85" t="s">
        <v>870</v>
      </c>
      <c r="D154" s="37" t="s">
        <v>969</v>
      </c>
      <c r="E154" s="85" t="s">
        <v>635</v>
      </c>
      <c r="F154" s="252" t="s">
        <v>970</v>
      </c>
      <c r="G154" s="26">
        <v>10</v>
      </c>
      <c r="H154" s="32">
        <v>1610</v>
      </c>
      <c r="I154" s="32">
        <v>0</v>
      </c>
      <c r="J154" s="32">
        <v>10</v>
      </c>
      <c r="K154" s="32">
        <v>0</v>
      </c>
      <c r="L154" s="32">
        <v>0</v>
      </c>
      <c r="M154" s="213">
        <v>0</v>
      </c>
      <c r="N154" s="67" t="s">
        <v>432</v>
      </c>
      <c r="O154" s="85" t="s">
        <v>25</v>
      </c>
      <c r="P154" s="26" t="s">
        <v>127</v>
      </c>
      <c r="Q154" s="194" t="s">
        <v>971</v>
      </c>
      <c r="R154" s="29" t="s">
        <v>972</v>
      </c>
    </row>
    <row r="155" spans="1:18" s="160" customFormat="1" ht="21.75" customHeight="1">
      <c r="A155" s="26">
        <v>154</v>
      </c>
      <c r="B155" s="26" t="s">
        <v>185</v>
      </c>
      <c r="C155" s="26" t="s">
        <v>194</v>
      </c>
      <c r="D155" s="29" t="s">
        <v>21</v>
      </c>
      <c r="E155" s="26" t="s">
        <v>144</v>
      </c>
      <c r="F155" s="38" t="s">
        <v>964</v>
      </c>
      <c r="G155" s="26">
        <v>9</v>
      </c>
      <c r="H155" s="31">
        <v>1845</v>
      </c>
      <c r="I155" s="31">
        <f>G155-J155</f>
        <v>0</v>
      </c>
      <c r="J155" s="31">
        <v>9</v>
      </c>
      <c r="K155" s="31">
        <v>5</v>
      </c>
      <c r="L155" s="31">
        <v>1</v>
      </c>
      <c r="M155" s="31">
        <v>1</v>
      </c>
      <c r="N155" s="112" t="s">
        <v>965</v>
      </c>
      <c r="O155" s="85" t="s">
        <v>25</v>
      </c>
      <c r="P155" s="26" t="s">
        <v>127</v>
      </c>
      <c r="Q155" s="35">
        <v>39954</v>
      </c>
      <c r="R155" s="29"/>
    </row>
    <row r="156" spans="1:18" s="5" customFormat="1" ht="21.75" customHeight="1">
      <c r="A156" s="26">
        <v>155</v>
      </c>
      <c r="B156" s="26" t="s">
        <v>185</v>
      </c>
      <c r="C156" s="26" t="s">
        <v>194</v>
      </c>
      <c r="D156" s="65" t="s">
        <v>966</v>
      </c>
      <c r="E156" s="26" t="s">
        <v>146</v>
      </c>
      <c r="F156" s="30" t="s">
        <v>967</v>
      </c>
      <c r="G156" s="26">
        <v>10</v>
      </c>
      <c r="H156" s="32">
        <v>1646</v>
      </c>
      <c r="I156" s="32">
        <f>G156-J156</f>
        <v>0</v>
      </c>
      <c r="J156" s="32">
        <v>10</v>
      </c>
      <c r="K156" s="32">
        <v>4</v>
      </c>
      <c r="L156" s="32">
        <v>0</v>
      </c>
      <c r="M156" s="32">
        <v>0</v>
      </c>
      <c r="N156" s="39" t="s">
        <v>125</v>
      </c>
      <c r="O156" s="33" t="s">
        <v>451</v>
      </c>
      <c r="P156" s="29" t="s">
        <v>308</v>
      </c>
      <c r="Q156" s="35">
        <v>40330</v>
      </c>
      <c r="R156" s="29"/>
    </row>
    <row r="157" spans="1:18" s="171" customFormat="1" ht="25.5" customHeight="1">
      <c r="A157" s="26">
        <v>156</v>
      </c>
      <c r="B157" s="159" t="s">
        <v>973</v>
      </c>
      <c r="C157" s="159" t="s">
        <v>525</v>
      </c>
      <c r="D157" s="143" t="s">
        <v>975</v>
      </c>
      <c r="E157" s="159" t="s">
        <v>625</v>
      </c>
      <c r="F157" s="143" t="s">
        <v>976</v>
      </c>
      <c r="G157" s="41">
        <v>7</v>
      </c>
      <c r="H157" s="42">
        <v>1409</v>
      </c>
      <c r="I157" s="42">
        <f>G157-J157</f>
        <v>0</v>
      </c>
      <c r="J157" s="42">
        <v>7</v>
      </c>
      <c r="K157" s="42">
        <v>4</v>
      </c>
      <c r="L157" s="42">
        <v>0</v>
      </c>
      <c r="M157" s="42">
        <v>0</v>
      </c>
      <c r="N157" s="243" t="s">
        <v>977</v>
      </c>
      <c r="O157" s="166" t="s">
        <v>25</v>
      </c>
      <c r="P157" s="41" t="s">
        <v>127</v>
      </c>
      <c r="Q157" s="44">
        <v>40899</v>
      </c>
      <c r="R157" s="43"/>
    </row>
    <row r="158" spans="1:18" s="171" customFormat="1" ht="25.5" customHeight="1">
      <c r="A158" s="26">
        <v>157</v>
      </c>
      <c r="B158" s="26" t="s">
        <v>172</v>
      </c>
      <c r="C158" s="26" t="s">
        <v>187</v>
      </c>
      <c r="D158" s="29" t="s">
        <v>400</v>
      </c>
      <c r="E158" s="26" t="s">
        <v>125</v>
      </c>
      <c r="F158" s="29" t="s">
        <v>1442</v>
      </c>
      <c r="G158" s="26">
        <v>6</v>
      </c>
      <c r="H158" s="32">
        <v>1355</v>
      </c>
      <c r="I158" s="31">
        <v>0</v>
      </c>
      <c r="J158" s="31">
        <v>6</v>
      </c>
      <c r="K158" s="31">
        <v>0</v>
      </c>
      <c r="L158" s="31">
        <v>0</v>
      </c>
      <c r="M158" s="31">
        <v>0</v>
      </c>
      <c r="N158" s="39" t="s">
        <v>125</v>
      </c>
      <c r="O158" s="26" t="s">
        <v>91</v>
      </c>
      <c r="P158" s="26" t="s">
        <v>4</v>
      </c>
      <c r="Q158" s="35">
        <v>38608</v>
      </c>
      <c r="R158" s="28" t="s">
        <v>522</v>
      </c>
    </row>
    <row r="159" spans="1:18" s="171" customFormat="1" ht="25.5" customHeight="1">
      <c r="A159" s="26">
        <v>158</v>
      </c>
      <c r="B159" s="26" t="s">
        <v>172</v>
      </c>
      <c r="C159" s="26" t="s">
        <v>187</v>
      </c>
      <c r="D159" s="30" t="s">
        <v>383</v>
      </c>
      <c r="E159" s="26" t="s">
        <v>125</v>
      </c>
      <c r="F159" s="30" t="s">
        <v>1443</v>
      </c>
      <c r="G159" s="26">
        <v>1</v>
      </c>
      <c r="H159" s="31">
        <v>150</v>
      </c>
      <c r="I159" s="31">
        <f>G159-J159</f>
        <v>0</v>
      </c>
      <c r="J159" s="31">
        <v>1</v>
      </c>
      <c r="K159" s="31">
        <v>0</v>
      </c>
      <c r="L159" s="31">
        <v>0</v>
      </c>
      <c r="M159" s="31">
        <v>0</v>
      </c>
      <c r="N159" s="39" t="s">
        <v>125</v>
      </c>
      <c r="O159" s="26" t="s">
        <v>391</v>
      </c>
      <c r="P159" s="67" t="s">
        <v>135</v>
      </c>
      <c r="Q159" s="35">
        <v>38808</v>
      </c>
      <c r="R159" s="28"/>
    </row>
    <row r="160" spans="1:18" s="16" customFormat="1" ht="25.5" customHeight="1">
      <c r="A160" s="26">
        <v>159</v>
      </c>
      <c r="B160" s="26" t="s">
        <v>978</v>
      </c>
      <c r="C160" s="26" t="s">
        <v>957</v>
      </c>
      <c r="D160" s="29" t="s">
        <v>979</v>
      </c>
      <c r="E160" s="26" t="s">
        <v>625</v>
      </c>
      <c r="F160" s="29" t="s">
        <v>980</v>
      </c>
      <c r="G160" s="26">
        <v>7</v>
      </c>
      <c r="H160" s="31">
        <v>1052</v>
      </c>
      <c r="I160" s="31">
        <v>0</v>
      </c>
      <c r="J160" s="31">
        <v>7</v>
      </c>
      <c r="K160" s="31">
        <v>3</v>
      </c>
      <c r="L160" s="31">
        <v>0</v>
      </c>
      <c r="M160" s="31">
        <v>0</v>
      </c>
      <c r="N160" s="112" t="s">
        <v>432</v>
      </c>
      <c r="O160" s="85" t="s">
        <v>25</v>
      </c>
      <c r="P160" s="26" t="s">
        <v>127</v>
      </c>
      <c r="Q160" s="35">
        <v>41340</v>
      </c>
      <c r="R160" s="29" t="s">
        <v>981</v>
      </c>
    </row>
    <row r="161" spans="1:18" s="16" customFormat="1" ht="25.5" customHeight="1">
      <c r="A161" s="26">
        <v>160</v>
      </c>
      <c r="B161" s="41" t="s">
        <v>172</v>
      </c>
      <c r="C161" s="41" t="s">
        <v>194</v>
      </c>
      <c r="D161" s="170" t="s">
        <v>363</v>
      </c>
      <c r="E161" s="159" t="s">
        <v>625</v>
      </c>
      <c r="F161" s="170" t="s">
        <v>982</v>
      </c>
      <c r="G161" s="41">
        <v>8</v>
      </c>
      <c r="H161" s="49">
        <v>1030</v>
      </c>
      <c r="I161" s="49">
        <f>G161-J161</f>
        <v>0</v>
      </c>
      <c r="J161" s="49">
        <v>8</v>
      </c>
      <c r="K161" s="49">
        <v>4</v>
      </c>
      <c r="L161" s="49">
        <v>0</v>
      </c>
      <c r="M161" s="49">
        <v>0</v>
      </c>
      <c r="N161" s="243" t="s">
        <v>125</v>
      </c>
      <c r="O161" s="159" t="s">
        <v>450</v>
      </c>
      <c r="P161" s="43" t="s">
        <v>27</v>
      </c>
      <c r="Q161" s="41" t="s">
        <v>113</v>
      </c>
      <c r="R161" s="43"/>
    </row>
    <row r="162" spans="1:18" s="16" customFormat="1" ht="25.5" customHeight="1">
      <c r="A162" s="26">
        <v>161</v>
      </c>
      <c r="B162" s="26" t="s">
        <v>172</v>
      </c>
      <c r="C162" s="26" t="s">
        <v>194</v>
      </c>
      <c r="D162" s="65" t="s">
        <v>987</v>
      </c>
      <c r="E162" s="26" t="s">
        <v>144</v>
      </c>
      <c r="F162" s="245" t="s">
        <v>988</v>
      </c>
      <c r="G162" s="26">
        <v>8</v>
      </c>
      <c r="H162" s="31">
        <v>1388</v>
      </c>
      <c r="I162" s="32">
        <f>G162-J162</f>
        <v>0</v>
      </c>
      <c r="J162" s="31">
        <v>8</v>
      </c>
      <c r="K162" s="31">
        <v>4</v>
      </c>
      <c r="L162" s="31">
        <v>0</v>
      </c>
      <c r="M162" s="31">
        <v>0</v>
      </c>
      <c r="N162" s="39" t="s">
        <v>125</v>
      </c>
      <c r="O162" s="33" t="s">
        <v>451</v>
      </c>
      <c r="P162" s="29" t="s">
        <v>308</v>
      </c>
      <c r="Q162" s="35">
        <v>38306</v>
      </c>
      <c r="R162" s="29"/>
    </row>
    <row r="163" spans="1:18" s="22" customFormat="1" ht="25.5" customHeight="1">
      <c r="A163" s="26">
        <v>162</v>
      </c>
      <c r="B163" s="26" t="s">
        <v>978</v>
      </c>
      <c r="C163" s="26" t="s">
        <v>983</v>
      </c>
      <c r="D163" s="30" t="s">
        <v>984</v>
      </c>
      <c r="E163" s="33" t="s">
        <v>635</v>
      </c>
      <c r="F163" s="30" t="s">
        <v>985</v>
      </c>
      <c r="G163" s="26">
        <v>10</v>
      </c>
      <c r="H163" s="32">
        <v>1600</v>
      </c>
      <c r="I163" s="32">
        <v>0</v>
      </c>
      <c r="J163" s="32">
        <v>10</v>
      </c>
      <c r="K163" s="32">
        <v>3</v>
      </c>
      <c r="L163" s="32">
        <v>0</v>
      </c>
      <c r="M163" s="32">
        <v>0</v>
      </c>
      <c r="N163" s="39" t="s">
        <v>432</v>
      </c>
      <c r="O163" s="33" t="s">
        <v>450</v>
      </c>
      <c r="P163" s="29" t="s">
        <v>27</v>
      </c>
      <c r="Q163" s="35">
        <v>41790</v>
      </c>
      <c r="R163" s="29" t="s">
        <v>986</v>
      </c>
    </row>
    <row r="164" spans="1:18" s="16" customFormat="1" ht="25.5" customHeight="1">
      <c r="A164" s="26">
        <v>163</v>
      </c>
      <c r="B164" s="26" t="s">
        <v>978</v>
      </c>
      <c r="C164" s="26" t="s">
        <v>989</v>
      </c>
      <c r="D164" s="29" t="s">
        <v>990</v>
      </c>
      <c r="E164" s="26" t="s">
        <v>789</v>
      </c>
      <c r="F164" s="29" t="s">
        <v>991</v>
      </c>
      <c r="G164" s="26">
        <v>5</v>
      </c>
      <c r="H164" s="31">
        <v>968</v>
      </c>
      <c r="I164" s="31">
        <v>0</v>
      </c>
      <c r="J164" s="31">
        <v>5</v>
      </c>
      <c r="K164" s="31">
        <v>0</v>
      </c>
      <c r="L164" s="31">
        <v>0</v>
      </c>
      <c r="M164" s="31">
        <v>0</v>
      </c>
      <c r="N164" s="112" t="s">
        <v>432</v>
      </c>
      <c r="O164" s="85" t="s">
        <v>25</v>
      </c>
      <c r="P164" s="26" t="s">
        <v>127</v>
      </c>
      <c r="Q164" s="35">
        <v>41948</v>
      </c>
      <c r="R164" s="29" t="s">
        <v>992</v>
      </c>
    </row>
    <row r="165" spans="1:18" s="5" customFormat="1" ht="25.5" customHeight="1">
      <c r="A165" s="26">
        <v>164</v>
      </c>
      <c r="B165" s="26" t="s">
        <v>172</v>
      </c>
      <c r="C165" s="26" t="s">
        <v>201</v>
      </c>
      <c r="D165" s="29" t="s">
        <v>338</v>
      </c>
      <c r="E165" s="26" t="s">
        <v>144</v>
      </c>
      <c r="F165" s="29" t="s">
        <v>993</v>
      </c>
      <c r="G165" s="26">
        <v>9</v>
      </c>
      <c r="H165" s="31">
        <v>1830</v>
      </c>
      <c r="I165" s="31">
        <f>G165-J165</f>
        <v>0</v>
      </c>
      <c r="J165" s="31">
        <v>9</v>
      </c>
      <c r="K165" s="31">
        <v>6</v>
      </c>
      <c r="L165" s="31">
        <v>1</v>
      </c>
      <c r="M165" s="31">
        <v>1</v>
      </c>
      <c r="N165" s="112" t="s">
        <v>883</v>
      </c>
      <c r="O165" s="85" t="s">
        <v>25</v>
      </c>
      <c r="P165" s="26" t="s">
        <v>127</v>
      </c>
      <c r="Q165" s="35">
        <v>37121</v>
      </c>
      <c r="R165" s="29"/>
    </row>
    <row r="166" spans="1:18" s="16" customFormat="1" ht="27.75" customHeight="1">
      <c r="A166" s="26">
        <v>165</v>
      </c>
      <c r="B166" s="41" t="s">
        <v>240</v>
      </c>
      <c r="C166" s="41" t="s">
        <v>227</v>
      </c>
      <c r="D166" s="170" t="s">
        <v>44</v>
      </c>
      <c r="E166" s="41" t="s">
        <v>144</v>
      </c>
      <c r="F166" s="170" t="s">
        <v>997</v>
      </c>
      <c r="G166" s="41">
        <v>9</v>
      </c>
      <c r="H166" s="49">
        <v>1369</v>
      </c>
      <c r="I166" s="49">
        <f>G166-J166</f>
        <v>0</v>
      </c>
      <c r="J166" s="49">
        <v>9</v>
      </c>
      <c r="K166" s="49">
        <v>6</v>
      </c>
      <c r="L166" s="214">
        <v>0</v>
      </c>
      <c r="M166" s="49">
        <v>1</v>
      </c>
      <c r="N166" s="243" t="s">
        <v>998</v>
      </c>
      <c r="O166" s="208" t="s">
        <v>450</v>
      </c>
      <c r="P166" s="43" t="s">
        <v>27</v>
      </c>
      <c r="Q166" s="44">
        <v>37127</v>
      </c>
      <c r="R166" s="43"/>
    </row>
    <row r="167" spans="1:18" s="16" customFormat="1" ht="27.75" customHeight="1">
      <c r="A167" s="26">
        <v>166</v>
      </c>
      <c r="B167" s="26" t="s">
        <v>999</v>
      </c>
      <c r="C167" s="26" t="s">
        <v>999</v>
      </c>
      <c r="D167" s="29" t="s">
        <v>1000</v>
      </c>
      <c r="E167" s="33" t="s">
        <v>635</v>
      </c>
      <c r="F167" s="29" t="s">
        <v>1002</v>
      </c>
      <c r="G167" s="26">
        <v>11</v>
      </c>
      <c r="H167" s="31">
        <v>2341</v>
      </c>
      <c r="I167" s="31">
        <v>0</v>
      </c>
      <c r="J167" s="31">
        <v>11</v>
      </c>
      <c r="K167" s="31">
        <v>6</v>
      </c>
      <c r="L167" s="31">
        <v>1</v>
      </c>
      <c r="M167" s="31">
        <v>1</v>
      </c>
      <c r="N167" s="39" t="s">
        <v>1003</v>
      </c>
      <c r="O167" s="85" t="s">
        <v>25</v>
      </c>
      <c r="P167" s="26" t="s">
        <v>127</v>
      </c>
      <c r="Q167" s="35">
        <v>41395</v>
      </c>
      <c r="R167" s="72"/>
    </row>
    <row r="168" spans="1:18" s="16" customFormat="1" ht="27.75" customHeight="1">
      <c r="A168" s="26">
        <v>167</v>
      </c>
      <c r="B168" s="26" t="s">
        <v>240</v>
      </c>
      <c r="C168" s="26" t="s">
        <v>201</v>
      </c>
      <c r="D168" s="30" t="s">
        <v>45</v>
      </c>
      <c r="E168" s="26" t="s">
        <v>144</v>
      </c>
      <c r="F168" s="30" t="s">
        <v>1004</v>
      </c>
      <c r="G168" s="26">
        <v>8</v>
      </c>
      <c r="H168" s="31">
        <v>1066</v>
      </c>
      <c r="I168" s="32">
        <f>G168-J168</f>
        <v>0</v>
      </c>
      <c r="J168" s="31">
        <v>8</v>
      </c>
      <c r="K168" s="31">
        <v>3</v>
      </c>
      <c r="L168" s="31">
        <v>0</v>
      </c>
      <c r="M168" s="31">
        <v>0</v>
      </c>
      <c r="N168" s="39" t="s">
        <v>125</v>
      </c>
      <c r="O168" s="33" t="s">
        <v>451</v>
      </c>
      <c r="P168" s="29" t="s">
        <v>308</v>
      </c>
      <c r="Q168" s="35">
        <v>38344</v>
      </c>
      <c r="R168" s="29"/>
    </row>
    <row r="169" spans="1:18" s="16" customFormat="1" ht="27.75" customHeight="1">
      <c r="A169" s="26">
        <v>168</v>
      </c>
      <c r="B169" s="26" t="s">
        <v>1005</v>
      </c>
      <c r="C169" s="26" t="s">
        <v>569</v>
      </c>
      <c r="D169" s="30" t="s">
        <v>1007</v>
      </c>
      <c r="E169" s="26" t="s">
        <v>635</v>
      </c>
      <c r="F169" s="30" t="s">
        <v>1008</v>
      </c>
      <c r="G169" s="26">
        <v>7</v>
      </c>
      <c r="H169" s="32">
        <v>1039</v>
      </c>
      <c r="I169" s="32">
        <v>0</v>
      </c>
      <c r="J169" s="32">
        <v>7</v>
      </c>
      <c r="K169" s="32">
        <v>2</v>
      </c>
      <c r="L169" s="173">
        <v>0</v>
      </c>
      <c r="M169" s="32">
        <v>0</v>
      </c>
      <c r="N169" s="39" t="s">
        <v>432</v>
      </c>
      <c r="O169" s="67" t="s">
        <v>450</v>
      </c>
      <c r="P169" s="29" t="s">
        <v>27</v>
      </c>
      <c r="Q169" s="35">
        <v>41718</v>
      </c>
      <c r="R169" s="29" t="s">
        <v>1009</v>
      </c>
    </row>
    <row r="170" spans="1:18" s="171" customFormat="1" ht="27.75" customHeight="1">
      <c r="A170" s="26">
        <v>169</v>
      </c>
      <c r="B170" s="26" t="s">
        <v>240</v>
      </c>
      <c r="C170" s="26" t="s">
        <v>187</v>
      </c>
      <c r="D170" s="30" t="s">
        <v>282</v>
      </c>
      <c r="E170" s="26" t="s">
        <v>125</v>
      </c>
      <c r="F170" s="30" t="s">
        <v>1444</v>
      </c>
      <c r="G170" s="26">
        <v>2</v>
      </c>
      <c r="H170" s="31">
        <v>207</v>
      </c>
      <c r="I170" s="31">
        <v>0</v>
      </c>
      <c r="J170" s="31">
        <v>2</v>
      </c>
      <c r="K170" s="31">
        <v>0</v>
      </c>
      <c r="L170" s="31">
        <v>0</v>
      </c>
      <c r="M170" s="31">
        <v>0</v>
      </c>
      <c r="N170" s="112" t="s">
        <v>432</v>
      </c>
      <c r="O170" s="33" t="s">
        <v>374</v>
      </c>
      <c r="P170" s="191" t="s">
        <v>9</v>
      </c>
      <c r="Q170" s="27" t="s">
        <v>3</v>
      </c>
      <c r="R170" s="38" t="s">
        <v>1417</v>
      </c>
    </row>
    <row r="171" spans="1:18" s="111" customFormat="1" ht="22.5" customHeight="1">
      <c r="A171" s="26">
        <v>170</v>
      </c>
      <c r="B171" s="41" t="s">
        <v>175</v>
      </c>
      <c r="C171" s="41" t="s">
        <v>228</v>
      </c>
      <c r="D171" s="43" t="s">
        <v>339</v>
      </c>
      <c r="E171" s="41" t="s">
        <v>144</v>
      </c>
      <c r="F171" s="43" t="s">
        <v>1016</v>
      </c>
      <c r="G171" s="41">
        <v>9</v>
      </c>
      <c r="H171" s="42">
        <v>1794</v>
      </c>
      <c r="I171" s="42">
        <f>G171-J171</f>
        <v>0</v>
      </c>
      <c r="J171" s="42">
        <v>9</v>
      </c>
      <c r="K171" s="42">
        <v>5</v>
      </c>
      <c r="L171" s="42">
        <v>1</v>
      </c>
      <c r="M171" s="42">
        <v>1</v>
      </c>
      <c r="N171" s="251" t="s">
        <v>1017</v>
      </c>
      <c r="O171" s="166" t="s">
        <v>25</v>
      </c>
      <c r="P171" s="41" t="s">
        <v>127</v>
      </c>
      <c r="Q171" s="44">
        <v>39170</v>
      </c>
      <c r="R171" s="215"/>
    </row>
    <row r="172" spans="1:18" s="141" customFormat="1" ht="22.5" customHeight="1">
      <c r="A172" s="26">
        <v>171</v>
      </c>
      <c r="B172" s="33" t="s">
        <v>475</v>
      </c>
      <c r="C172" s="33" t="s">
        <v>1011</v>
      </c>
      <c r="D172" s="38" t="s">
        <v>1012</v>
      </c>
      <c r="E172" s="33" t="s">
        <v>789</v>
      </c>
      <c r="F172" s="38" t="s">
        <v>1013</v>
      </c>
      <c r="G172" s="26">
        <v>8</v>
      </c>
      <c r="H172" s="31">
        <v>886</v>
      </c>
      <c r="I172" s="31">
        <v>0</v>
      </c>
      <c r="J172" s="31">
        <v>8</v>
      </c>
      <c r="K172" s="31">
        <v>3</v>
      </c>
      <c r="L172" s="31">
        <v>0</v>
      </c>
      <c r="M172" s="31">
        <v>0</v>
      </c>
      <c r="N172" s="112" t="s">
        <v>432</v>
      </c>
      <c r="O172" s="85" t="s">
        <v>25</v>
      </c>
      <c r="P172" s="26" t="s">
        <v>127</v>
      </c>
      <c r="Q172" s="35">
        <v>41164</v>
      </c>
      <c r="R172" s="72"/>
    </row>
    <row r="173" spans="1:18" s="16" customFormat="1" ht="22.5" customHeight="1">
      <c r="A173" s="26">
        <v>172</v>
      </c>
      <c r="B173" s="26" t="s">
        <v>175</v>
      </c>
      <c r="C173" s="26" t="s">
        <v>228</v>
      </c>
      <c r="D173" s="245" t="s">
        <v>1014</v>
      </c>
      <c r="E173" s="180" t="s">
        <v>144</v>
      </c>
      <c r="F173" s="30" t="s">
        <v>1015</v>
      </c>
      <c r="G173" s="26">
        <v>8</v>
      </c>
      <c r="H173" s="32">
        <v>1499</v>
      </c>
      <c r="I173" s="32">
        <f>G173-J173</f>
        <v>0</v>
      </c>
      <c r="J173" s="32">
        <v>8</v>
      </c>
      <c r="K173" s="32">
        <v>5</v>
      </c>
      <c r="L173" s="32">
        <v>0</v>
      </c>
      <c r="M173" s="32">
        <v>0</v>
      </c>
      <c r="N173" s="112" t="s">
        <v>432</v>
      </c>
      <c r="O173" s="33" t="s">
        <v>450</v>
      </c>
      <c r="P173" s="29" t="s">
        <v>27</v>
      </c>
      <c r="Q173" s="35">
        <v>37819</v>
      </c>
      <c r="R173" s="28"/>
    </row>
    <row r="174" spans="1:18" s="16" customFormat="1" ht="22.5" customHeight="1">
      <c r="A174" s="26">
        <v>173</v>
      </c>
      <c r="B174" s="26" t="s">
        <v>175</v>
      </c>
      <c r="C174" s="26" t="s">
        <v>228</v>
      </c>
      <c r="D174" s="245" t="s">
        <v>1024</v>
      </c>
      <c r="E174" s="180" t="s">
        <v>625</v>
      </c>
      <c r="F174" s="65" t="s">
        <v>1025</v>
      </c>
      <c r="G174" s="26">
        <v>9</v>
      </c>
      <c r="H174" s="32">
        <v>1241</v>
      </c>
      <c r="I174" s="32">
        <f>G174-J174</f>
        <v>0</v>
      </c>
      <c r="J174" s="32">
        <v>9</v>
      </c>
      <c r="K174" s="32">
        <v>2</v>
      </c>
      <c r="L174" s="32">
        <v>0</v>
      </c>
      <c r="M174" s="32">
        <v>0</v>
      </c>
      <c r="N174" s="112" t="s">
        <v>1026</v>
      </c>
      <c r="O174" s="67" t="s">
        <v>450</v>
      </c>
      <c r="P174" s="29" t="s">
        <v>27</v>
      </c>
      <c r="Q174" s="35">
        <v>40847</v>
      </c>
      <c r="R174" s="28"/>
    </row>
    <row r="175" spans="1:18" s="16" customFormat="1" ht="22.5" customHeight="1">
      <c r="A175" s="26">
        <v>174</v>
      </c>
      <c r="B175" s="33" t="s">
        <v>475</v>
      </c>
      <c r="C175" s="33" t="s">
        <v>1011</v>
      </c>
      <c r="D175" s="65" t="s">
        <v>1020</v>
      </c>
      <c r="E175" s="33" t="s">
        <v>625</v>
      </c>
      <c r="F175" s="65" t="s">
        <v>1021</v>
      </c>
      <c r="G175" s="26">
        <v>7</v>
      </c>
      <c r="H175" s="31">
        <v>1224</v>
      </c>
      <c r="I175" s="32">
        <v>0</v>
      </c>
      <c r="J175" s="31">
        <v>7</v>
      </c>
      <c r="K175" s="31">
        <v>3</v>
      </c>
      <c r="L175" s="31">
        <v>0</v>
      </c>
      <c r="M175" s="31">
        <v>0</v>
      </c>
      <c r="N175" s="112" t="s">
        <v>792</v>
      </c>
      <c r="O175" s="33" t="s">
        <v>451</v>
      </c>
      <c r="P175" s="29" t="s">
        <v>308</v>
      </c>
      <c r="Q175" s="181">
        <v>41243</v>
      </c>
      <c r="R175" s="29"/>
    </row>
    <row r="176" spans="1:18" s="16" customFormat="1" ht="22.5" customHeight="1">
      <c r="A176" s="26">
        <v>175</v>
      </c>
      <c r="B176" s="26" t="s">
        <v>175</v>
      </c>
      <c r="C176" s="26" t="s">
        <v>228</v>
      </c>
      <c r="D176" s="245" t="s">
        <v>1022</v>
      </c>
      <c r="E176" s="180" t="s">
        <v>146</v>
      </c>
      <c r="F176" s="30" t="s">
        <v>1023</v>
      </c>
      <c r="G176" s="26">
        <v>8</v>
      </c>
      <c r="H176" s="31">
        <v>1101</v>
      </c>
      <c r="I176" s="32">
        <f>G176-J176</f>
        <v>0</v>
      </c>
      <c r="J176" s="31">
        <v>8</v>
      </c>
      <c r="K176" s="31">
        <v>2</v>
      </c>
      <c r="L176" s="31">
        <v>0</v>
      </c>
      <c r="M176" s="31">
        <v>0</v>
      </c>
      <c r="N176" s="39" t="s">
        <v>125</v>
      </c>
      <c r="O176" s="33" t="s">
        <v>451</v>
      </c>
      <c r="P176" s="29" t="s">
        <v>308</v>
      </c>
      <c r="Q176" s="35">
        <v>39274</v>
      </c>
      <c r="R176" s="28"/>
    </row>
    <row r="177" spans="1:18" s="141" customFormat="1" ht="22.5" customHeight="1">
      <c r="A177" s="26">
        <v>176</v>
      </c>
      <c r="B177" s="26" t="s">
        <v>175</v>
      </c>
      <c r="C177" s="26" t="s">
        <v>228</v>
      </c>
      <c r="D177" s="30" t="s">
        <v>71</v>
      </c>
      <c r="E177" s="26" t="s">
        <v>144</v>
      </c>
      <c r="F177" s="30" t="s">
        <v>1027</v>
      </c>
      <c r="G177" s="26">
        <v>8</v>
      </c>
      <c r="H177" s="31">
        <v>1600</v>
      </c>
      <c r="I177" s="32">
        <f>G177-J177</f>
        <v>0</v>
      </c>
      <c r="J177" s="31">
        <v>8</v>
      </c>
      <c r="K177" s="31">
        <v>0</v>
      </c>
      <c r="L177" s="31">
        <v>0</v>
      </c>
      <c r="M177" s="31">
        <v>0</v>
      </c>
      <c r="N177" s="112" t="s">
        <v>1028</v>
      </c>
      <c r="O177" s="33" t="s">
        <v>451</v>
      </c>
      <c r="P177" s="29" t="s">
        <v>308</v>
      </c>
      <c r="Q177" s="35">
        <v>40430</v>
      </c>
      <c r="R177" s="80"/>
    </row>
    <row r="178" spans="1:18" s="16" customFormat="1" ht="22.5" customHeight="1">
      <c r="A178" s="26">
        <v>177</v>
      </c>
      <c r="B178" s="27" t="s">
        <v>175</v>
      </c>
      <c r="C178" s="27" t="s">
        <v>176</v>
      </c>
      <c r="D178" s="28" t="s">
        <v>1029</v>
      </c>
      <c r="E178" s="27" t="s">
        <v>146</v>
      </c>
      <c r="F178" s="28" t="s">
        <v>1030</v>
      </c>
      <c r="G178" s="26">
        <v>6</v>
      </c>
      <c r="H178" s="31">
        <v>476</v>
      </c>
      <c r="I178" s="32">
        <v>0</v>
      </c>
      <c r="J178" s="31">
        <v>6</v>
      </c>
      <c r="K178" s="31">
        <v>0</v>
      </c>
      <c r="L178" s="31">
        <v>0</v>
      </c>
      <c r="M178" s="31">
        <v>0</v>
      </c>
      <c r="N178" s="39" t="s">
        <v>125</v>
      </c>
      <c r="O178" s="85" t="s">
        <v>25</v>
      </c>
      <c r="P178" s="26" t="s">
        <v>127</v>
      </c>
      <c r="Q178" s="35">
        <v>41663</v>
      </c>
      <c r="R178" s="29" t="s">
        <v>1031</v>
      </c>
    </row>
    <row r="179" spans="1:18" s="16" customFormat="1" ht="22.5" customHeight="1">
      <c r="A179" s="26">
        <v>178</v>
      </c>
      <c r="B179" s="26" t="s">
        <v>475</v>
      </c>
      <c r="C179" s="26" t="s">
        <v>1032</v>
      </c>
      <c r="D179" s="245" t="s">
        <v>1033</v>
      </c>
      <c r="E179" s="180" t="s">
        <v>635</v>
      </c>
      <c r="F179" s="65" t="s">
        <v>1034</v>
      </c>
      <c r="G179" s="26">
        <v>7</v>
      </c>
      <c r="H179" s="32">
        <v>1218</v>
      </c>
      <c r="I179" s="32">
        <v>0</v>
      </c>
      <c r="J179" s="32">
        <v>7</v>
      </c>
      <c r="K179" s="32">
        <v>2</v>
      </c>
      <c r="L179" s="32">
        <v>0</v>
      </c>
      <c r="M179" s="32">
        <v>0</v>
      </c>
      <c r="N179" s="112" t="s">
        <v>1035</v>
      </c>
      <c r="O179" s="67" t="s">
        <v>450</v>
      </c>
      <c r="P179" s="29" t="s">
        <v>27</v>
      </c>
      <c r="Q179" s="35">
        <v>41978</v>
      </c>
      <c r="R179" s="28"/>
    </row>
    <row r="180" spans="1:18" s="16" customFormat="1" ht="22.5" customHeight="1">
      <c r="A180" s="26">
        <v>179</v>
      </c>
      <c r="B180" s="27" t="s">
        <v>175</v>
      </c>
      <c r="C180" s="85" t="s">
        <v>941</v>
      </c>
      <c r="D180" s="37" t="s">
        <v>1037</v>
      </c>
      <c r="E180" s="85" t="s">
        <v>625</v>
      </c>
      <c r="F180" s="252" t="s">
        <v>1038</v>
      </c>
      <c r="G180" s="26">
        <v>3</v>
      </c>
      <c r="H180" s="32">
        <v>215</v>
      </c>
      <c r="I180" s="32">
        <v>0</v>
      </c>
      <c r="J180" s="32">
        <v>3</v>
      </c>
      <c r="K180" s="32">
        <v>2</v>
      </c>
      <c r="L180" s="32">
        <v>0</v>
      </c>
      <c r="M180" s="32">
        <v>0</v>
      </c>
      <c r="N180" s="112" t="s">
        <v>432</v>
      </c>
      <c r="O180" s="33" t="s">
        <v>450</v>
      </c>
      <c r="P180" s="29" t="s">
        <v>27</v>
      </c>
      <c r="Q180" s="35">
        <v>41117</v>
      </c>
      <c r="R180" s="182"/>
    </row>
    <row r="181" spans="1:18" s="16" customFormat="1" ht="22.5" customHeight="1">
      <c r="A181" s="26">
        <v>180</v>
      </c>
      <c r="B181" s="26" t="s">
        <v>175</v>
      </c>
      <c r="C181" s="26" t="s">
        <v>280</v>
      </c>
      <c r="D181" s="28" t="s">
        <v>364</v>
      </c>
      <c r="E181" s="27" t="s">
        <v>144</v>
      </c>
      <c r="F181" s="30" t="s">
        <v>1039</v>
      </c>
      <c r="G181" s="26">
        <v>7</v>
      </c>
      <c r="H181" s="32">
        <v>1303</v>
      </c>
      <c r="I181" s="32">
        <f>G181-J181</f>
        <v>0</v>
      </c>
      <c r="J181" s="32">
        <v>7</v>
      </c>
      <c r="K181" s="32">
        <v>5</v>
      </c>
      <c r="L181" s="32">
        <v>0</v>
      </c>
      <c r="M181" s="32">
        <v>0</v>
      </c>
      <c r="N181" s="39" t="s">
        <v>125</v>
      </c>
      <c r="O181" s="67" t="s">
        <v>450</v>
      </c>
      <c r="P181" s="29" t="s">
        <v>27</v>
      </c>
      <c r="Q181" s="35">
        <v>38890</v>
      </c>
      <c r="R181" s="29"/>
    </row>
    <row r="182" spans="1:18" s="16" customFormat="1" ht="22.5" customHeight="1">
      <c r="A182" s="26">
        <v>181</v>
      </c>
      <c r="B182" s="26" t="s">
        <v>514</v>
      </c>
      <c r="C182" s="26" t="s">
        <v>1041</v>
      </c>
      <c r="D182" s="28" t="s">
        <v>1042</v>
      </c>
      <c r="E182" s="27" t="s">
        <v>635</v>
      </c>
      <c r="F182" s="30" t="s">
        <v>1043</v>
      </c>
      <c r="G182" s="26">
        <v>7</v>
      </c>
      <c r="H182" s="32">
        <v>1052</v>
      </c>
      <c r="I182" s="32">
        <v>0</v>
      </c>
      <c r="J182" s="32">
        <v>7</v>
      </c>
      <c r="K182" s="32">
        <v>2</v>
      </c>
      <c r="L182" s="32">
        <v>0</v>
      </c>
      <c r="M182" s="32">
        <v>0</v>
      </c>
      <c r="N182" s="39" t="s">
        <v>432</v>
      </c>
      <c r="O182" s="67" t="s">
        <v>450</v>
      </c>
      <c r="P182" s="29" t="s">
        <v>27</v>
      </c>
      <c r="Q182" s="35">
        <v>41997</v>
      </c>
      <c r="R182" s="29"/>
    </row>
    <row r="183" spans="1:18" s="16" customFormat="1" ht="22.5" customHeight="1">
      <c r="A183" s="26">
        <v>182</v>
      </c>
      <c r="B183" s="27" t="s">
        <v>175</v>
      </c>
      <c r="C183" s="27" t="s">
        <v>177</v>
      </c>
      <c r="D183" s="28" t="s">
        <v>365</v>
      </c>
      <c r="E183" s="27" t="s">
        <v>146</v>
      </c>
      <c r="F183" s="250" t="s">
        <v>1044</v>
      </c>
      <c r="G183" s="26">
        <v>6</v>
      </c>
      <c r="H183" s="32">
        <v>704</v>
      </c>
      <c r="I183" s="32">
        <f>G183-J183</f>
        <v>0</v>
      </c>
      <c r="J183" s="32">
        <v>6</v>
      </c>
      <c r="K183" s="32">
        <v>2</v>
      </c>
      <c r="L183" s="173">
        <v>0</v>
      </c>
      <c r="M183" s="32">
        <v>0</v>
      </c>
      <c r="N183" s="39" t="s">
        <v>125</v>
      </c>
      <c r="O183" s="33" t="s">
        <v>450</v>
      </c>
      <c r="P183" s="29" t="s">
        <v>27</v>
      </c>
      <c r="Q183" s="35">
        <v>39037</v>
      </c>
      <c r="R183" s="182" t="s">
        <v>1045</v>
      </c>
    </row>
    <row r="184" spans="1:18" s="16" customFormat="1" ht="22.5" customHeight="1">
      <c r="A184" s="26">
        <v>183</v>
      </c>
      <c r="B184" s="33" t="s">
        <v>475</v>
      </c>
      <c r="C184" s="33" t="s">
        <v>1046</v>
      </c>
      <c r="D184" s="38" t="s">
        <v>1051</v>
      </c>
      <c r="E184" s="33" t="s">
        <v>789</v>
      </c>
      <c r="F184" s="38" t="s">
        <v>1052</v>
      </c>
      <c r="G184" s="26">
        <v>5</v>
      </c>
      <c r="H184" s="31">
        <v>500</v>
      </c>
      <c r="I184" s="31">
        <v>0</v>
      </c>
      <c r="J184" s="31">
        <v>5</v>
      </c>
      <c r="K184" s="183">
        <v>0</v>
      </c>
      <c r="L184" s="183">
        <v>0</v>
      </c>
      <c r="M184" s="31">
        <v>0</v>
      </c>
      <c r="N184" s="39" t="s">
        <v>432</v>
      </c>
      <c r="O184" s="85" t="s">
        <v>25</v>
      </c>
      <c r="P184" s="26" t="s">
        <v>127</v>
      </c>
      <c r="Q184" s="35">
        <v>37570</v>
      </c>
      <c r="R184" s="80" t="s">
        <v>1053</v>
      </c>
    </row>
    <row r="185" spans="1:18" s="16" customFormat="1" ht="22.5" customHeight="1">
      <c r="A185" s="26">
        <v>184</v>
      </c>
      <c r="B185" s="33" t="s">
        <v>514</v>
      </c>
      <c r="C185" s="33" t="s">
        <v>1046</v>
      </c>
      <c r="D185" s="38" t="s">
        <v>1049</v>
      </c>
      <c r="E185" s="33" t="s">
        <v>635</v>
      </c>
      <c r="F185" s="38" t="s">
        <v>1050</v>
      </c>
      <c r="G185" s="26">
        <v>4</v>
      </c>
      <c r="H185" s="31">
        <v>424</v>
      </c>
      <c r="I185" s="31">
        <v>0</v>
      </c>
      <c r="J185" s="31">
        <v>4</v>
      </c>
      <c r="K185" s="183">
        <v>2</v>
      </c>
      <c r="L185" s="183">
        <v>0</v>
      </c>
      <c r="M185" s="31">
        <v>0</v>
      </c>
      <c r="N185" s="39" t="s">
        <v>432</v>
      </c>
      <c r="O185" s="85" t="s">
        <v>25</v>
      </c>
      <c r="P185" s="26" t="s">
        <v>127</v>
      </c>
      <c r="Q185" s="35">
        <v>41943</v>
      </c>
      <c r="R185" s="80"/>
    </row>
    <row r="186" spans="1:18" s="16" customFormat="1" ht="22.5" customHeight="1">
      <c r="A186" s="26">
        <v>185</v>
      </c>
      <c r="B186" s="33" t="s">
        <v>475</v>
      </c>
      <c r="C186" s="33" t="s">
        <v>1046</v>
      </c>
      <c r="D186" s="38" t="s">
        <v>1056</v>
      </c>
      <c r="E186" s="33" t="s">
        <v>625</v>
      </c>
      <c r="F186" s="38" t="s">
        <v>1057</v>
      </c>
      <c r="G186" s="26">
        <v>2</v>
      </c>
      <c r="H186" s="31">
        <v>192</v>
      </c>
      <c r="I186" s="31">
        <f>G186-J186</f>
        <v>0</v>
      </c>
      <c r="J186" s="31">
        <v>2</v>
      </c>
      <c r="K186" s="183">
        <v>1</v>
      </c>
      <c r="L186" s="183">
        <v>0</v>
      </c>
      <c r="M186" s="31">
        <v>0</v>
      </c>
      <c r="N186" s="39" t="s">
        <v>125</v>
      </c>
      <c r="O186" s="85" t="s">
        <v>25</v>
      </c>
      <c r="P186" s="26" t="s">
        <v>127</v>
      </c>
      <c r="Q186" s="35">
        <v>40794</v>
      </c>
      <c r="R186" s="80"/>
    </row>
    <row r="187" spans="1:18" s="22" customFormat="1" ht="22.5" customHeight="1">
      <c r="A187" s="26">
        <v>186</v>
      </c>
      <c r="B187" s="26" t="s">
        <v>475</v>
      </c>
      <c r="C187" s="26" t="s">
        <v>1046</v>
      </c>
      <c r="D187" s="245" t="s">
        <v>1047</v>
      </c>
      <c r="E187" s="180" t="s">
        <v>789</v>
      </c>
      <c r="F187" s="30" t="s">
        <v>1048</v>
      </c>
      <c r="G187" s="26">
        <v>4</v>
      </c>
      <c r="H187" s="31">
        <v>479</v>
      </c>
      <c r="I187" s="32">
        <v>0</v>
      </c>
      <c r="J187" s="31">
        <v>4</v>
      </c>
      <c r="K187" s="31">
        <v>1</v>
      </c>
      <c r="L187" s="31">
        <v>0</v>
      </c>
      <c r="M187" s="31">
        <v>0</v>
      </c>
      <c r="N187" s="39" t="s">
        <v>790</v>
      </c>
      <c r="O187" s="33" t="s">
        <v>451</v>
      </c>
      <c r="P187" s="29" t="s">
        <v>308</v>
      </c>
      <c r="Q187" s="35">
        <v>41695</v>
      </c>
      <c r="R187" s="28"/>
    </row>
    <row r="188" spans="1:18" s="22" customFormat="1" ht="22.5" customHeight="1">
      <c r="A188" s="26">
        <v>187</v>
      </c>
      <c r="B188" s="27" t="s">
        <v>175</v>
      </c>
      <c r="C188" s="27" t="s">
        <v>178</v>
      </c>
      <c r="D188" s="28" t="s">
        <v>366</v>
      </c>
      <c r="E188" s="27" t="s">
        <v>144</v>
      </c>
      <c r="F188" s="250" t="s">
        <v>1064</v>
      </c>
      <c r="G188" s="26">
        <v>3</v>
      </c>
      <c r="H188" s="32">
        <v>320</v>
      </c>
      <c r="I188" s="32">
        <f>G188-J188</f>
        <v>0</v>
      </c>
      <c r="J188" s="32">
        <v>3</v>
      </c>
      <c r="K188" s="32">
        <v>2</v>
      </c>
      <c r="L188" s="32">
        <v>0</v>
      </c>
      <c r="M188" s="32">
        <v>0</v>
      </c>
      <c r="N188" s="39" t="s">
        <v>125</v>
      </c>
      <c r="O188" s="67" t="s">
        <v>450</v>
      </c>
      <c r="P188" s="29" t="s">
        <v>27</v>
      </c>
      <c r="Q188" s="35">
        <v>40534</v>
      </c>
      <c r="R188" s="72"/>
    </row>
    <row r="189" spans="1:18" s="22" customFormat="1" ht="22.5" customHeight="1">
      <c r="A189" s="26">
        <v>188</v>
      </c>
      <c r="B189" s="26" t="s">
        <v>175</v>
      </c>
      <c r="C189" s="33" t="s">
        <v>1058</v>
      </c>
      <c r="D189" s="245" t="s">
        <v>1059</v>
      </c>
      <c r="E189" s="180" t="s">
        <v>538</v>
      </c>
      <c r="F189" s="65" t="s">
        <v>1060</v>
      </c>
      <c r="G189" s="26">
        <v>8</v>
      </c>
      <c r="H189" s="31">
        <v>1149</v>
      </c>
      <c r="I189" s="32">
        <v>0</v>
      </c>
      <c r="J189" s="31">
        <v>8</v>
      </c>
      <c r="K189" s="31">
        <v>3</v>
      </c>
      <c r="L189" s="31">
        <v>0</v>
      </c>
      <c r="M189" s="31">
        <v>0</v>
      </c>
      <c r="N189" s="112" t="s">
        <v>432</v>
      </c>
      <c r="O189" s="33" t="s">
        <v>451</v>
      </c>
      <c r="P189" s="29" t="s">
        <v>308</v>
      </c>
      <c r="Q189" s="35">
        <v>40617</v>
      </c>
      <c r="R189" s="37"/>
    </row>
    <row r="190" spans="1:18" s="22" customFormat="1" ht="22.5" customHeight="1">
      <c r="A190" s="26">
        <v>189</v>
      </c>
      <c r="B190" s="26" t="s">
        <v>514</v>
      </c>
      <c r="C190" s="26" t="s">
        <v>1058</v>
      </c>
      <c r="D190" s="245" t="s">
        <v>1062</v>
      </c>
      <c r="E190" s="180" t="s">
        <v>789</v>
      </c>
      <c r="F190" s="30" t="s">
        <v>1063</v>
      </c>
      <c r="G190" s="26">
        <v>3</v>
      </c>
      <c r="H190" s="31">
        <v>331</v>
      </c>
      <c r="I190" s="32">
        <v>0</v>
      </c>
      <c r="J190" s="31">
        <v>3</v>
      </c>
      <c r="K190" s="31">
        <v>2</v>
      </c>
      <c r="L190" s="31">
        <v>0</v>
      </c>
      <c r="M190" s="31">
        <v>0</v>
      </c>
      <c r="N190" s="39" t="s">
        <v>432</v>
      </c>
      <c r="O190" s="33" t="s">
        <v>451</v>
      </c>
      <c r="P190" s="29" t="s">
        <v>308</v>
      </c>
      <c r="Q190" s="35">
        <v>41996</v>
      </c>
      <c r="R190" s="28"/>
    </row>
    <row r="191" spans="1:18" s="16" customFormat="1" ht="22.5" customHeight="1">
      <c r="A191" s="26">
        <v>190</v>
      </c>
      <c r="B191" s="26" t="s">
        <v>514</v>
      </c>
      <c r="C191" s="26" t="s">
        <v>1065</v>
      </c>
      <c r="D191" s="30" t="s">
        <v>1066</v>
      </c>
      <c r="E191" s="26" t="s">
        <v>635</v>
      </c>
      <c r="F191" s="30" t="s">
        <v>1067</v>
      </c>
      <c r="G191" s="26">
        <v>2</v>
      </c>
      <c r="H191" s="32">
        <v>172</v>
      </c>
      <c r="I191" s="32">
        <v>0</v>
      </c>
      <c r="J191" s="32">
        <v>2</v>
      </c>
      <c r="K191" s="32">
        <v>2</v>
      </c>
      <c r="L191" s="32">
        <v>0</v>
      </c>
      <c r="M191" s="32">
        <v>0</v>
      </c>
      <c r="N191" s="39" t="s">
        <v>125</v>
      </c>
      <c r="O191" s="33" t="s">
        <v>450</v>
      </c>
      <c r="P191" s="29" t="s">
        <v>27</v>
      </c>
      <c r="Q191" s="35">
        <v>41452</v>
      </c>
      <c r="R191" s="29"/>
    </row>
    <row r="192" spans="1:18" s="22" customFormat="1" ht="22.5" customHeight="1">
      <c r="A192" s="26">
        <v>191</v>
      </c>
      <c r="B192" s="26" t="s">
        <v>175</v>
      </c>
      <c r="C192" s="26" t="s">
        <v>292</v>
      </c>
      <c r="D192" s="65" t="s">
        <v>562</v>
      </c>
      <c r="E192" s="26" t="s">
        <v>125</v>
      </c>
      <c r="F192" s="30" t="s">
        <v>1445</v>
      </c>
      <c r="G192" s="26">
        <v>1</v>
      </c>
      <c r="H192" s="31">
        <v>283</v>
      </c>
      <c r="I192" s="31">
        <v>0</v>
      </c>
      <c r="J192" s="31">
        <v>1</v>
      </c>
      <c r="K192" s="31">
        <v>0</v>
      </c>
      <c r="L192" s="31">
        <v>0</v>
      </c>
      <c r="M192" s="31">
        <v>0</v>
      </c>
      <c r="N192" s="39" t="s">
        <v>125</v>
      </c>
      <c r="O192" s="26" t="s">
        <v>393</v>
      </c>
      <c r="P192" s="37" t="s">
        <v>478</v>
      </c>
      <c r="Q192" s="35">
        <v>31594</v>
      </c>
      <c r="R192" s="64" t="s">
        <v>479</v>
      </c>
    </row>
    <row r="193" spans="1:18" s="216" customFormat="1" ht="22.5" customHeight="1">
      <c r="A193" s="26">
        <v>192</v>
      </c>
      <c r="B193" s="26" t="s">
        <v>175</v>
      </c>
      <c r="C193" s="26" t="s">
        <v>292</v>
      </c>
      <c r="D193" s="30" t="s">
        <v>293</v>
      </c>
      <c r="E193" s="26" t="s">
        <v>125</v>
      </c>
      <c r="F193" s="29" t="s">
        <v>1446</v>
      </c>
      <c r="G193" s="26">
        <v>2</v>
      </c>
      <c r="H193" s="31">
        <v>293</v>
      </c>
      <c r="I193" s="31">
        <v>0</v>
      </c>
      <c r="J193" s="31">
        <v>2</v>
      </c>
      <c r="K193" s="31">
        <v>1</v>
      </c>
      <c r="L193" s="31">
        <v>0</v>
      </c>
      <c r="M193" s="31">
        <v>0</v>
      </c>
      <c r="N193" s="39" t="s">
        <v>125</v>
      </c>
      <c r="O193" s="192" t="s">
        <v>394</v>
      </c>
      <c r="P193" s="37" t="s">
        <v>477</v>
      </c>
      <c r="Q193" s="35">
        <v>26299</v>
      </c>
      <c r="R193" s="56"/>
    </row>
    <row r="194" spans="1:18" s="16" customFormat="1" ht="22.5" customHeight="1">
      <c r="A194" s="26">
        <v>193</v>
      </c>
      <c r="B194" s="26" t="s">
        <v>175</v>
      </c>
      <c r="C194" s="26" t="s">
        <v>229</v>
      </c>
      <c r="D194" s="29" t="s">
        <v>340</v>
      </c>
      <c r="E194" s="26" t="s">
        <v>144</v>
      </c>
      <c r="F194" s="29" t="s">
        <v>1069</v>
      </c>
      <c r="G194" s="26">
        <v>8</v>
      </c>
      <c r="H194" s="31">
        <v>1450</v>
      </c>
      <c r="I194" s="31">
        <f>G194-J194</f>
        <v>0</v>
      </c>
      <c r="J194" s="31">
        <v>8</v>
      </c>
      <c r="K194" s="31">
        <v>4</v>
      </c>
      <c r="L194" s="31">
        <v>0</v>
      </c>
      <c r="M194" s="31">
        <v>1</v>
      </c>
      <c r="N194" s="39" t="s">
        <v>629</v>
      </c>
      <c r="O194" s="85" t="s">
        <v>25</v>
      </c>
      <c r="P194" s="26" t="s">
        <v>127</v>
      </c>
      <c r="Q194" s="35">
        <v>37855</v>
      </c>
      <c r="R194" s="29"/>
    </row>
    <row r="195" spans="1:18" s="22" customFormat="1" ht="22.5" customHeight="1">
      <c r="A195" s="26">
        <v>194</v>
      </c>
      <c r="B195" s="26" t="s">
        <v>475</v>
      </c>
      <c r="C195" s="26" t="s">
        <v>476</v>
      </c>
      <c r="D195" s="29" t="s">
        <v>1071</v>
      </c>
      <c r="E195" s="26" t="s">
        <v>625</v>
      </c>
      <c r="F195" s="29" t="s">
        <v>1072</v>
      </c>
      <c r="G195" s="26">
        <v>11</v>
      </c>
      <c r="H195" s="31">
        <v>1725</v>
      </c>
      <c r="I195" s="31">
        <v>0</v>
      </c>
      <c r="J195" s="31">
        <v>11</v>
      </c>
      <c r="K195" s="31">
        <v>3</v>
      </c>
      <c r="L195" s="31">
        <v>1</v>
      </c>
      <c r="M195" s="31">
        <v>0</v>
      </c>
      <c r="N195" s="39" t="s">
        <v>787</v>
      </c>
      <c r="O195" s="85" t="s">
        <v>25</v>
      </c>
      <c r="P195" s="26" t="s">
        <v>127</v>
      </c>
      <c r="Q195" s="35">
        <v>39337</v>
      </c>
      <c r="R195" s="29" t="s">
        <v>1073</v>
      </c>
    </row>
    <row r="196" spans="1:18" s="22" customFormat="1" ht="22.5" customHeight="1">
      <c r="A196" s="26">
        <v>195</v>
      </c>
      <c r="B196" s="26" t="s">
        <v>175</v>
      </c>
      <c r="C196" s="26" t="s">
        <v>229</v>
      </c>
      <c r="D196" s="29" t="s">
        <v>341</v>
      </c>
      <c r="E196" s="26" t="s">
        <v>144</v>
      </c>
      <c r="F196" s="29" t="s">
        <v>1068</v>
      </c>
      <c r="G196" s="26">
        <v>6</v>
      </c>
      <c r="H196" s="31">
        <v>776</v>
      </c>
      <c r="I196" s="31">
        <f>G196-J196</f>
        <v>0</v>
      </c>
      <c r="J196" s="31">
        <v>6</v>
      </c>
      <c r="K196" s="31">
        <v>3</v>
      </c>
      <c r="L196" s="31">
        <v>0</v>
      </c>
      <c r="M196" s="31">
        <v>0</v>
      </c>
      <c r="N196" s="39" t="s">
        <v>125</v>
      </c>
      <c r="O196" s="85" t="s">
        <v>25</v>
      </c>
      <c r="P196" s="26" t="s">
        <v>127</v>
      </c>
      <c r="Q196" s="35">
        <v>38714</v>
      </c>
      <c r="R196" s="29"/>
    </row>
    <row r="197" spans="1:18" s="22" customFormat="1" ht="22.5" customHeight="1">
      <c r="A197" s="26">
        <v>196</v>
      </c>
      <c r="B197" s="27" t="s">
        <v>175</v>
      </c>
      <c r="C197" s="85" t="s">
        <v>476</v>
      </c>
      <c r="D197" s="37" t="s">
        <v>1074</v>
      </c>
      <c r="E197" s="85" t="s">
        <v>625</v>
      </c>
      <c r="F197" s="252" t="s">
        <v>1075</v>
      </c>
      <c r="G197" s="26">
        <v>8</v>
      </c>
      <c r="H197" s="32">
        <v>1347</v>
      </c>
      <c r="I197" s="32">
        <f>G197-J197</f>
        <v>0</v>
      </c>
      <c r="J197" s="32">
        <v>8</v>
      </c>
      <c r="K197" s="32">
        <v>3</v>
      </c>
      <c r="L197" s="32">
        <v>0</v>
      </c>
      <c r="M197" s="32">
        <v>0</v>
      </c>
      <c r="N197" s="112" t="s">
        <v>432</v>
      </c>
      <c r="O197" s="33" t="s">
        <v>450</v>
      </c>
      <c r="P197" s="29" t="s">
        <v>27</v>
      </c>
      <c r="Q197" s="35">
        <v>40619</v>
      </c>
      <c r="R197" s="72"/>
    </row>
    <row r="198" spans="1:18" s="16" customFormat="1" ht="22.5" customHeight="1">
      <c r="A198" s="26">
        <v>197</v>
      </c>
      <c r="B198" s="27" t="s">
        <v>475</v>
      </c>
      <c r="C198" s="85" t="s">
        <v>476</v>
      </c>
      <c r="D198" s="37" t="s">
        <v>1076</v>
      </c>
      <c r="E198" s="85" t="s">
        <v>789</v>
      </c>
      <c r="F198" s="252" t="s">
        <v>1077</v>
      </c>
      <c r="G198" s="26">
        <v>9</v>
      </c>
      <c r="H198" s="32">
        <v>789</v>
      </c>
      <c r="I198" s="32">
        <v>0</v>
      </c>
      <c r="J198" s="32">
        <v>9</v>
      </c>
      <c r="K198" s="32">
        <v>2</v>
      </c>
      <c r="L198" s="32">
        <v>0</v>
      </c>
      <c r="M198" s="32">
        <v>0</v>
      </c>
      <c r="N198" s="112" t="s">
        <v>432</v>
      </c>
      <c r="O198" s="67" t="s">
        <v>450</v>
      </c>
      <c r="P198" s="29" t="s">
        <v>27</v>
      </c>
      <c r="Q198" s="35">
        <v>41312</v>
      </c>
      <c r="R198" s="72" t="s">
        <v>1078</v>
      </c>
    </row>
    <row r="199" spans="1:18" s="22" customFormat="1" ht="22.5" customHeight="1">
      <c r="A199" s="26">
        <v>198</v>
      </c>
      <c r="B199" s="33" t="s">
        <v>475</v>
      </c>
      <c r="C199" s="33" t="s">
        <v>476</v>
      </c>
      <c r="D199" s="38" t="s">
        <v>500</v>
      </c>
      <c r="E199" s="33" t="s">
        <v>432</v>
      </c>
      <c r="F199" s="38" t="s">
        <v>1447</v>
      </c>
      <c r="G199" s="26">
        <v>1</v>
      </c>
      <c r="H199" s="32">
        <v>386</v>
      </c>
      <c r="I199" s="31">
        <v>0</v>
      </c>
      <c r="J199" s="31">
        <v>1</v>
      </c>
      <c r="K199" s="31">
        <v>1</v>
      </c>
      <c r="L199" s="31">
        <v>0</v>
      </c>
      <c r="M199" s="31">
        <v>0</v>
      </c>
      <c r="N199" s="112" t="s">
        <v>432</v>
      </c>
      <c r="O199" s="33" t="s">
        <v>501</v>
      </c>
      <c r="P199" s="191" t="s">
        <v>502</v>
      </c>
      <c r="Q199" s="35">
        <v>40038</v>
      </c>
      <c r="R199" s="29"/>
    </row>
    <row r="200" spans="1:18" s="22" customFormat="1" ht="22.5" customHeight="1">
      <c r="A200" s="26">
        <v>199</v>
      </c>
      <c r="B200" s="26" t="s">
        <v>475</v>
      </c>
      <c r="C200" s="26" t="s">
        <v>1079</v>
      </c>
      <c r="D200" s="29" t="s">
        <v>1080</v>
      </c>
      <c r="E200" s="26" t="s">
        <v>625</v>
      </c>
      <c r="F200" s="29" t="s">
        <v>1081</v>
      </c>
      <c r="G200" s="26">
        <v>8</v>
      </c>
      <c r="H200" s="31">
        <v>1271</v>
      </c>
      <c r="I200" s="31">
        <v>0</v>
      </c>
      <c r="J200" s="31">
        <v>8</v>
      </c>
      <c r="K200" s="31">
        <v>1</v>
      </c>
      <c r="L200" s="31">
        <v>0</v>
      </c>
      <c r="M200" s="31">
        <v>0</v>
      </c>
      <c r="N200" s="39" t="s">
        <v>432</v>
      </c>
      <c r="O200" s="85" t="s">
        <v>25</v>
      </c>
      <c r="P200" s="26" t="s">
        <v>127</v>
      </c>
      <c r="Q200" s="35">
        <v>41795</v>
      </c>
      <c r="R200" s="29" t="s">
        <v>1082</v>
      </c>
    </row>
    <row r="201" spans="1:18" s="16" customFormat="1" ht="22.5" customHeight="1">
      <c r="A201" s="26">
        <v>200</v>
      </c>
      <c r="B201" s="26" t="s">
        <v>175</v>
      </c>
      <c r="C201" s="26" t="s">
        <v>277</v>
      </c>
      <c r="D201" s="29" t="s">
        <v>342</v>
      </c>
      <c r="E201" s="26" t="s">
        <v>144</v>
      </c>
      <c r="F201" s="29" t="s">
        <v>1083</v>
      </c>
      <c r="G201" s="26">
        <v>8</v>
      </c>
      <c r="H201" s="31">
        <v>1326</v>
      </c>
      <c r="I201" s="31">
        <f>G201-J201</f>
        <v>0</v>
      </c>
      <c r="J201" s="31">
        <v>8</v>
      </c>
      <c r="K201" s="31">
        <v>5</v>
      </c>
      <c r="L201" s="31">
        <v>0</v>
      </c>
      <c r="M201" s="31">
        <v>0</v>
      </c>
      <c r="N201" s="39" t="s">
        <v>626</v>
      </c>
      <c r="O201" s="85" t="s">
        <v>25</v>
      </c>
      <c r="P201" s="26" t="s">
        <v>127</v>
      </c>
      <c r="Q201" s="35">
        <v>36617</v>
      </c>
      <c r="R201" s="29"/>
    </row>
    <row r="202" spans="1:18" s="16" customFormat="1" ht="22.5" customHeight="1">
      <c r="A202" s="26">
        <v>201</v>
      </c>
      <c r="B202" s="26" t="s">
        <v>175</v>
      </c>
      <c r="C202" s="26" t="s">
        <v>277</v>
      </c>
      <c r="D202" s="29" t="s">
        <v>343</v>
      </c>
      <c r="E202" s="26" t="s">
        <v>144</v>
      </c>
      <c r="F202" s="29" t="s">
        <v>1084</v>
      </c>
      <c r="G202" s="26">
        <v>10</v>
      </c>
      <c r="H202" s="31">
        <v>1571</v>
      </c>
      <c r="I202" s="31">
        <f>G202-J202</f>
        <v>0</v>
      </c>
      <c r="J202" s="31">
        <v>10</v>
      </c>
      <c r="K202" s="31">
        <v>5</v>
      </c>
      <c r="L202" s="31">
        <v>0</v>
      </c>
      <c r="M202" s="31">
        <v>0</v>
      </c>
      <c r="N202" s="112" t="s">
        <v>1085</v>
      </c>
      <c r="O202" s="85" t="s">
        <v>25</v>
      </c>
      <c r="P202" s="26" t="s">
        <v>127</v>
      </c>
      <c r="Q202" s="35">
        <v>36617</v>
      </c>
      <c r="R202" s="29"/>
    </row>
    <row r="203" spans="1:18" s="16" customFormat="1" ht="22.5" customHeight="1">
      <c r="A203" s="26">
        <v>202</v>
      </c>
      <c r="B203" s="26" t="s">
        <v>175</v>
      </c>
      <c r="C203" s="26" t="s">
        <v>277</v>
      </c>
      <c r="D203" s="30" t="s">
        <v>367</v>
      </c>
      <c r="E203" s="26" t="s">
        <v>146</v>
      </c>
      <c r="F203" s="30" t="s">
        <v>1091</v>
      </c>
      <c r="G203" s="26">
        <v>6</v>
      </c>
      <c r="H203" s="32">
        <v>667</v>
      </c>
      <c r="I203" s="32">
        <v>0</v>
      </c>
      <c r="J203" s="32">
        <v>6</v>
      </c>
      <c r="K203" s="32">
        <v>0</v>
      </c>
      <c r="L203" s="32">
        <v>0</v>
      </c>
      <c r="M203" s="32">
        <v>0</v>
      </c>
      <c r="N203" s="39" t="s">
        <v>125</v>
      </c>
      <c r="O203" s="33" t="s">
        <v>450</v>
      </c>
      <c r="P203" s="29" t="s">
        <v>27</v>
      </c>
      <c r="Q203" s="35">
        <v>38715</v>
      </c>
      <c r="R203" s="29"/>
    </row>
    <row r="204" spans="1:18" s="16" customFormat="1" ht="22.5" customHeight="1">
      <c r="A204" s="26">
        <v>203</v>
      </c>
      <c r="B204" s="26" t="s">
        <v>175</v>
      </c>
      <c r="C204" s="26" t="s">
        <v>277</v>
      </c>
      <c r="D204" s="30" t="s">
        <v>114</v>
      </c>
      <c r="E204" s="26" t="s">
        <v>146</v>
      </c>
      <c r="F204" s="30" t="s">
        <v>1090</v>
      </c>
      <c r="G204" s="26">
        <v>6</v>
      </c>
      <c r="H204" s="32">
        <v>1142</v>
      </c>
      <c r="I204" s="32">
        <v>0</v>
      </c>
      <c r="J204" s="32">
        <v>6</v>
      </c>
      <c r="K204" s="32">
        <v>0</v>
      </c>
      <c r="L204" s="173">
        <v>0</v>
      </c>
      <c r="M204" s="32">
        <v>0</v>
      </c>
      <c r="N204" s="39" t="s">
        <v>125</v>
      </c>
      <c r="O204" s="67" t="s">
        <v>450</v>
      </c>
      <c r="P204" s="29" t="s">
        <v>27</v>
      </c>
      <c r="Q204" s="35">
        <v>39345</v>
      </c>
      <c r="R204" s="28"/>
    </row>
    <row r="205" spans="1:18" s="16" customFormat="1" ht="22.5" customHeight="1">
      <c r="A205" s="26">
        <v>204</v>
      </c>
      <c r="B205" s="26" t="s">
        <v>175</v>
      </c>
      <c r="C205" s="26" t="s">
        <v>277</v>
      </c>
      <c r="D205" s="65" t="s">
        <v>1086</v>
      </c>
      <c r="E205" s="26" t="s">
        <v>144</v>
      </c>
      <c r="F205" s="30" t="s">
        <v>1087</v>
      </c>
      <c r="G205" s="26">
        <v>6</v>
      </c>
      <c r="H205" s="31">
        <v>791</v>
      </c>
      <c r="I205" s="32">
        <v>0</v>
      </c>
      <c r="J205" s="31">
        <v>6</v>
      </c>
      <c r="K205" s="31">
        <v>3</v>
      </c>
      <c r="L205" s="31">
        <v>0</v>
      </c>
      <c r="M205" s="31">
        <v>0</v>
      </c>
      <c r="N205" s="39" t="s">
        <v>1088</v>
      </c>
      <c r="O205" s="33" t="s">
        <v>451</v>
      </c>
      <c r="P205" s="29" t="s">
        <v>308</v>
      </c>
      <c r="Q205" s="35">
        <v>37100</v>
      </c>
      <c r="R205" s="38" t="s">
        <v>1089</v>
      </c>
    </row>
    <row r="206" spans="1:18" s="16" customFormat="1" ht="22.5" customHeight="1">
      <c r="A206" s="26">
        <v>205</v>
      </c>
      <c r="B206" s="26" t="s">
        <v>475</v>
      </c>
      <c r="C206" s="26" t="s">
        <v>1092</v>
      </c>
      <c r="D206" s="29" t="s">
        <v>1093</v>
      </c>
      <c r="E206" s="26" t="s">
        <v>625</v>
      </c>
      <c r="F206" s="29" t="s">
        <v>1094</v>
      </c>
      <c r="G206" s="26">
        <v>4</v>
      </c>
      <c r="H206" s="31">
        <v>455</v>
      </c>
      <c r="I206" s="31">
        <v>0</v>
      </c>
      <c r="J206" s="31">
        <v>4</v>
      </c>
      <c r="K206" s="31">
        <v>0</v>
      </c>
      <c r="L206" s="31">
        <v>0</v>
      </c>
      <c r="M206" s="31">
        <v>0</v>
      </c>
      <c r="N206" s="112" t="s">
        <v>432</v>
      </c>
      <c r="O206" s="85" t="s">
        <v>25</v>
      </c>
      <c r="P206" s="26" t="s">
        <v>127</v>
      </c>
      <c r="Q206" s="35">
        <v>41865</v>
      </c>
      <c r="R206" s="29"/>
    </row>
    <row r="207" spans="1:18" s="22" customFormat="1" ht="22.5" customHeight="1">
      <c r="A207" s="26">
        <v>206</v>
      </c>
      <c r="B207" s="27" t="s">
        <v>175</v>
      </c>
      <c r="C207" s="27" t="s">
        <v>179</v>
      </c>
      <c r="D207" s="28" t="s">
        <v>344</v>
      </c>
      <c r="E207" s="27" t="s">
        <v>144</v>
      </c>
      <c r="F207" s="28" t="s">
        <v>1103</v>
      </c>
      <c r="G207" s="26">
        <v>8</v>
      </c>
      <c r="H207" s="31">
        <v>1275</v>
      </c>
      <c r="I207" s="31">
        <f>G207-J207</f>
        <v>0</v>
      </c>
      <c r="J207" s="31">
        <v>8</v>
      </c>
      <c r="K207" s="31">
        <v>4</v>
      </c>
      <c r="L207" s="31">
        <v>0</v>
      </c>
      <c r="M207" s="31">
        <v>1</v>
      </c>
      <c r="N207" s="112" t="s">
        <v>1104</v>
      </c>
      <c r="O207" s="85" t="s">
        <v>25</v>
      </c>
      <c r="P207" s="26" t="s">
        <v>127</v>
      </c>
      <c r="Q207" s="35">
        <v>38981</v>
      </c>
      <c r="R207" s="28"/>
    </row>
    <row r="208" spans="1:18" s="16" customFormat="1" ht="22.5" customHeight="1">
      <c r="A208" s="26">
        <v>207</v>
      </c>
      <c r="B208" s="27" t="s">
        <v>175</v>
      </c>
      <c r="C208" s="27" t="s">
        <v>179</v>
      </c>
      <c r="D208" s="28" t="s">
        <v>345</v>
      </c>
      <c r="E208" s="27" t="s">
        <v>144</v>
      </c>
      <c r="F208" s="28" t="s">
        <v>1102</v>
      </c>
      <c r="G208" s="26">
        <v>8</v>
      </c>
      <c r="H208" s="31">
        <v>1268</v>
      </c>
      <c r="I208" s="31">
        <f>G208-J208</f>
        <v>0</v>
      </c>
      <c r="J208" s="31">
        <v>8</v>
      </c>
      <c r="K208" s="31">
        <v>4</v>
      </c>
      <c r="L208" s="31">
        <v>0</v>
      </c>
      <c r="M208" s="31">
        <v>0</v>
      </c>
      <c r="N208" s="39" t="s">
        <v>626</v>
      </c>
      <c r="O208" s="85" t="s">
        <v>25</v>
      </c>
      <c r="P208" s="26" t="s">
        <v>127</v>
      </c>
      <c r="Q208" s="35">
        <v>38981</v>
      </c>
      <c r="R208" s="28"/>
    </row>
    <row r="209" spans="1:18" s="111" customFormat="1" ht="22.5" customHeight="1">
      <c r="A209" s="26">
        <v>208</v>
      </c>
      <c r="B209" s="26" t="s">
        <v>175</v>
      </c>
      <c r="C209" s="26" t="s">
        <v>179</v>
      </c>
      <c r="D209" s="29" t="s">
        <v>346</v>
      </c>
      <c r="E209" s="26" t="s">
        <v>144</v>
      </c>
      <c r="F209" s="29" t="s">
        <v>1105</v>
      </c>
      <c r="G209" s="26">
        <v>8</v>
      </c>
      <c r="H209" s="31">
        <v>2236</v>
      </c>
      <c r="I209" s="31">
        <f>G209-J209</f>
        <v>0</v>
      </c>
      <c r="J209" s="31">
        <v>8</v>
      </c>
      <c r="K209" s="31">
        <v>4</v>
      </c>
      <c r="L209" s="31">
        <v>1</v>
      </c>
      <c r="M209" s="31">
        <v>0</v>
      </c>
      <c r="N209" s="112" t="s">
        <v>1106</v>
      </c>
      <c r="O209" s="85" t="s">
        <v>25</v>
      </c>
      <c r="P209" s="26" t="s">
        <v>127</v>
      </c>
      <c r="Q209" s="35">
        <v>37300</v>
      </c>
      <c r="R209" s="29"/>
    </row>
    <row r="210" spans="1:18" s="16" customFormat="1" ht="22.5" customHeight="1">
      <c r="A210" s="26">
        <v>209</v>
      </c>
      <c r="B210" s="26" t="s">
        <v>175</v>
      </c>
      <c r="C210" s="26" t="s">
        <v>179</v>
      </c>
      <c r="D210" s="30" t="s">
        <v>109</v>
      </c>
      <c r="E210" s="26" t="s">
        <v>144</v>
      </c>
      <c r="F210" s="30" t="s">
        <v>1095</v>
      </c>
      <c r="G210" s="26">
        <v>5</v>
      </c>
      <c r="H210" s="31">
        <v>1050</v>
      </c>
      <c r="I210" s="32">
        <v>0</v>
      </c>
      <c r="J210" s="31">
        <v>5</v>
      </c>
      <c r="K210" s="31">
        <v>1</v>
      </c>
      <c r="L210" s="31">
        <v>0</v>
      </c>
      <c r="M210" s="31">
        <v>0</v>
      </c>
      <c r="N210" s="39" t="s">
        <v>125</v>
      </c>
      <c r="O210" s="33" t="s">
        <v>451</v>
      </c>
      <c r="P210" s="29" t="s">
        <v>308</v>
      </c>
      <c r="Q210" s="35">
        <v>37205</v>
      </c>
      <c r="R210" s="28"/>
    </row>
    <row r="211" spans="1:18" s="16" customFormat="1" ht="22.5" customHeight="1">
      <c r="A211" s="26">
        <v>210</v>
      </c>
      <c r="B211" s="26" t="s">
        <v>514</v>
      </c>
      <c r="C211" s="26" t="s">
        <v>1107</v>
      </c>
      <c r="D211" s="30" t="s">
        <v>1108</v>
      </c>
      <c r="E211" s="26" t="s">
        <v>789</v>
      </c>
      <c r="F211" s="30" t="s">
        <v>1109</v>
      </c>
      <c r="G211" s="26">
        <v>4</v>
      </c>
      <c r="H211" s="31">
        <v>607</v>
      </c>
      <c r="I211" s="32">
        <v>0</v>
      </c>
      <c r="J211" s="31">
        <v>4</v>
      </c>
      <c r="K211" s="31">
        <v>1</v>
      </c>
      <c r="L211" s="31">
        <v>0</v>
      </c>
      <c r="M211" s="31">
        <v>0</v>
      </c>
      <c r="N211" s="39" t="s">
        <v>432</v>
      </c>
      <c r="O211" s="33" t="s">
        <v>451</v>
      </c>
      <c r="P211" s="29" t="s">
        <v>308</v>
      </c>
      <c r="Q211" s="35">
        <v>41629</v>
      </c>
      <c r="R211" s="28"/>
    </row>
    <row r="212" spans="1:18" s="16" customFormat="1" ht="22.5" customHeight="1">
      <c r="A212" s="26">
        <v>211</v>
      </c>
      <c r="B212" s="26" t="s">
        <v>175</v>
      </c>
      <c r="C212" s="26" t="s">
        <v>179</v>
      </c>
      <c r="D212" s="30" t="s">
        <v>110</v>
      </c>
      <c r="E212" s="26" t="s">
        <v>144</v>
      </c>
      <c r="F212" s="30" t="s">
        <v>1096</v>
      </c>
      <c r="G212" s="26">
        <v>11</v>
      </c>
      <c r="H212" s="31">
        <v>1746</v>
      </c>
      <c r="I212" s="32">
        <v>0</v>
      </c>
      <c r="J212" s="31">
        <v>11</v>
      </c>
      <c r="K212" s="31">
        <v>4</v>
      </c>
      <c r="L212" s="31">
        <v>0</v>
      </c>
      <c r="M212" s="31">
        <v>0</v>
      </c>
      <c r="N212" s="112" t="s">
        <v>1097</v>
      </c>
      <c r="O212" s="33" t="s">
        <v>451</v>
      </c>
      <c r="P212" s="29" t="s">
        <v>308</v>
      </c>
      <c r="Q212" s="35">
        <v>39534</v>
      </c>
      <c r="R212" s="29"/>
    </row>
    <row r="213" spans="1:18" s="16" customFormat="1" ht="22.5" customHeight="1">
      <c r="A213" s="26">
        <v>212</v>
      </c>
      <c r="B213" s="26" t="s">
        <v>514</v>
      </c>
      <c r="C213" s="26" t="s">
        <v>1098</v>
      </c>
      <c r="D213" s="30" t="s">
        <v>1099</v>
      </c>
      <c r="E213" s="26" t="s">
        <v>635</v>
      </c>
      <c r="F213" s="30" t="s">
        <v>1100</v>
      </c>
      <c r="G213" s="26">
        <v>8</v>
      </c>
      <c r="H213" s="32">
        <v>1995</v>
      </c>
      <c r="I213" s="32">
        <v>0</v>
      </c>
      <c r="J213" s="32">
        <v>8</v>
      </c>
      <c r="K213" s="32">
        <v>4</v>
      </c>
      <c r="L213" s="173">
        <v>0</v>
      </c>
      <c r="M213" s="32">
        <v>1</v>
      </c>
      <c r="N213" s="39" t="s">
        <v>1101</v>
      </c>
      <c r="O213" s="67" t="s">
        <v>450</v>
      </c>
      <c r="P213" s="29" t="s">
        <v>27</v>
      </c>
      <c r="Q213" s="35">
        <v>41960</v>
      </c>
      <c r="R213" s="28"/>
    </row>
    <row r="214" spans="1:18" s="141" customFormat="1" ht="22.5" customHeight="1">
      <c r="A214" s="26">
        <v>213</v>
      </c>
      <c r="B214" s="26" t="s">
        <v>175</v>
      </c>
      <c r="C214" s="26" t="s">
        <v>271</v>
      </c>
      <c r="D214" s="29" t="s">
        <v>347</v>
      </c>
      <c r="E214" s="26" t="s">
        <v>146</v>
      </c>
      <c r="F214" s="29" t="s">
        <v>1111</v>
      </c>
      <c r="G214" s="26">
        <v>4</v>
      </c>
      <c r="H214" s="31">
        <v>563</v>
      </c>
      <c r="I214" s="31">
        <v>0</v>
      </c>
      <c r="J214" s="31">
        <v>4</v>
      </c>
      <c r="K214" s="31">
        <v>0</v>
      </c>
      <c r="L214" s="31">
        <v>0</v>
      </c>
      <c r="M214" s="31">
        <v>0</v>
      </c>
      <c r="N214" s="39" t="s">
        <v>125</v>
      </c>
      <c r="O214" s="85" t="s">
        <v>25</v>
      </c>
      <c r="P214" s="26" t="s">
        <v>127</v>
      </c>
      <c r="Q214" s="35">
        <v>39506</v>
      </c>
      <c r="R214" s="29"/>
    </row>
    <row r="215" spans="1:18" s="141" customFormat="1" ht="22.5" customHeight="1">
      <c r="A215" s="26">
        <v>214</v>
      </c>
      <c r="B215" s="26" t="s">
        <v>175</v>
      </c>
      <c r="C215" s="26" t="s">
        <v>271</v>
      </c>
      <c r="D215" s="30" t="s">
        <v>72</v>
      </c>
      <c r="E215" s="33" t="s">
        <v>625</v>
      </c>
      <c r="F215" s="30" t="s">
        <v>1110</v>
      </c>
      <c r="G215" s="26">
        <v>8</v>
      </c>
      <c r="H215" s="32">
        <v>1140</v>
      </c>
      <c r="I215" s="32">
        <f>G215-J215</f>
        <v>0</v>
      </c>
      <c r="J215" s="32">
        <v>8</v>
      </c>
      <c r="K215" s="32">
        <v>2</v>
      </c>
      <c r="L215" s="32">
        <v>0</v>
      </c>
      <c r="M215" s="32">
        <v>0</v>
      </c>
      <c r="N215" s="39" t="s">
        <v>125</v>
      </c>
      <c r="O215" s="33" t="s">
        <v>450</v>
      </c>
      <c r="P215" s="29" t="s">
        <v>27</v>
      </c>
      <c r="Q215" s="35">
        <v>40488</v>
      </c>
      <c r="R215" s="29"/>
    </row>
    <row r="216" spans="1:18" s="16" customFormat="1" ht="22.5" customHeight="1">
      <c r="A216" s="26">
        <v>215</v>
      </c>
      <c r="B216" s="26" t="s">
        <v>175</v>
      </c>
      <c r="C216" s="26" t="s">
        <v>180</v>
      </c>
      <c r="D216" s="29" t="s">
        <v>1118</v>
      </c>
      <c r="E216" s="26" t="s">
        <v>146</v>
      </c>
      <c r="F216" s="29" t="s">
        <v>1119</v>
      </c>
      <c r="G216" s="26">
        <v>8</v>
      </c>
      <c r="H216" s="31">
        <v>1567</v>
      </c>
      <c r="I216" s="31">
        <v>0</v>
      </c>
      <c r="J216" s="31">
        <v>8</v>
      </c>
      <c r="K216" s="31">
        <v>2</v>
      </c>
      <c r="L216" s="31">
        <v>0</v>
      </c>
      <c r="M216" s="31">
        <v>0</v>
      </c>
      <c r="N216" s="39" t="s">
        <v>125</v>
      </c>
      <c r="O216" s="85" t="s">
        <v>25</v>
      </c>
      <c r="P216" s="26" t="s">
        <v>127</v>
      </c>
      <c r="Q216" s="35">
        <v>39590</v>
      </c>
      <c r="R216" s="34"/>
    </row>
    <row r="217" spans="1:18" s="16" customFormat="1" ht="22.5" customHeight="1">
      <c r="A217" s="26">
        <v>216</v>
      </c>
      <c r="B217" s="26" t="s">
        <v>175</v>
      </c>
      <c r="C217" s="26" t="s">
        <v>180</v>
      </c>
      <c r="D217" s="65" t="s">
        <v>1114</v>
      </c>
      <c r="E217" s="33" t="s">
        <v>625</v>
      </c>
      <c r="F217" s="30" t="s">
        <v>1115</v>
      </c>
      <c r="G217" s="26">
        <v>9</v>
      </c>
      <c r="H217" s="32">
        <v>1429</v>
      </c>
      <c r="I217" s="32">
        <f>G217-J217</f>
        <v>0</v>
      </c>
      <c r="J217" s="32">
        <v>9</v>
      </c>
      <c r="K217" s="32">
        <v>2</v>
      </c>
      <c r="L217" s="32">
        <v>0</v>
      </c>
      <c r="M217" s="32">
        <v>0</v>
      </c>
      <c r="N217" s="39" t="s">
        <v>125</v>
      </c>
      <c r="O217" s="67" t="s">
        <v>450</v>
      </c>
      <c r="P217" s="29" t="s">
        <v>27</v>
      </c>
      <c r="Q217" s="35">
        <v>39114</v>
      </c>
      <c r="R217" s="29"/>
    </row>
    <row r="218" spans="1:18" s="16" customFormat="1" ht="22.5" customHeight="1">
      <c r="A218" s="26">
        <v>217</v>
      </c>
      <c r="B218" s="26" t="s">
        <v>175</v>
      </c>
      <c r="C218" s="26" t="s">
        <v>180</v>
      </c>
      <c r="D218" s="65" t="s">
        <v>1120</v>
      </c>
      <c r="E218" s="26" t="s">
        <v>144</v>
      </c>
      <c r="F218" s="30" t="s">
        <v>1121</v>
      </c>
      <c r="G218" s="26">
        <v>8</v>
      </c>
      <c r="H218" s="32">
        <v>1607</v>
      </c>
      <c r="I218" s="32">
        <f>G218-J218</f>
        <v>0</v>
      </c>
      <c r="J218" s="32">
        <v>8</v>
      </c>
      <c r="K218" s="32">
        <v>6</v>
      </c>
      <c r="L218" s="32">
        <v>0</v>
      </c>
      <c r="M218" s="32">
        <v>0</v>
      </c>
      <c r="N218" s="112" t="s">
        <v>887</v>
      </c>
      <c r="O218" s="33" t="s">
        <v>450</v>
      </c>
      <c r="P218" s="29" t="s">
        <v>27</v>
      </c>
      <c r="Q218" s="35">
        <v>38603</v>
      </c>
      <c r="R218" s="28"/>
    </row>
    <row r="219" spans="1:18" s="16" customFormat="1" ht="22.5" customHeight="1">
      <c r="A219" s="26">
        <v>218</v>
      </c>
      <c r="B219" s="26" t="s">
        <v>175</v>
      </c>
      <c r="C219" s="26" t="s">
        <v>180</v>
      </c>
      <c r="D219" s="65" t="s">
        <v>1116</v>
      </c>
      <c r="E219" s="26" t="s">
        <v>146</v>
      </c>
      <c r="F219" s="30" t="s">
        <v>1117</v>
      </c>
      <c r="G219" s="26">
        <v>8</v>
      </c>
      <c r="H219" s="31">
        <v>2060</v>
      </c>
      <c r="I219" s="32">
        <f>G219-J219</f>
        <v>0</v>
      </c>
      <c r="J219" s="31">
        <v>8</v>
      </c>
      <c r="K219" s="31">
        <v>3</v>
      </c>
      <c r="L219" s="31">
        <v>0</v>
      </c>
      <c r="M219" s="31">
        <v>0</v>
      </c>
      <c r="N219" s="39" t="s">
        <v>125</v>
      </c>
      <c r="O219" s="33" t="s">
        <v>451</v>
      </c>
      <c r="P219" s="29" t="s">
        <v>308</v>
      </c>
      <c r="Q219" s="35">
        <v>40255</v>
      </c>
      <c r="R219" s="29"/>
    </row>
    <row r="220" spans="1:18" s="16" customFormat="1" ht="22.5" customHeight="1">
      <c r="A220" s="26">
        <v>219</v>
      </c>
      <c r="B220" s="26" t="s">
        <v>514</v>
      </c>
      <c r="C220" s="26" t="s">
        <v>515</v>
      </c>
      <c r="D220" s="29" t="s">
        <v>513</v>
      </c>
      <c r="E220" s="26" t="s">
        <v>432</v>
      </c>
      <c r="F220" s="29" t="s">
        <v>1448</v>
      </c>
      <c r="G220" s="26">
        <v>1</v>
      </c>
      <c r="H220" s="32">
        <v>222</v>
      </c>
      <c r="I220" s="31">
        <v>0</v>
      </c>
      <c r="J220" s="31">
        <v>1</v>
      </c>
      <c r="K220" s="31">
        <v>0</v>
      </c>
      <c r="L220" s="31">
        <v>0</v>
      </c>
      <c r="M220" s="31">
        <v>0</v>
      </c>
      <c r="N220" s="39" t="s">
        <v>432</v>
      </c>
      <c r="O220" s="27" t="s">
        <v>564</v>
      </c>
      <c r="P220" s="26"/>
      <c r="Q220" s="35">
        <v>41274</v>
      </c>
      <c r="R220" s="34"/>
    </row>
    <row r="221" spans="1:18" s="16" customFormat="1" ht="22.5" customHeight="1">
      <c r="A221" s="26">
        <v>220</v>
      </c>
      <c r="B221" s="26" t="s">
        <v>175</v>
      </c>
      <c r="C221" s="26" t="s">
        <v>180</v>
      </c>
      <c r="D221" s="30" t="s">
        <v>1112</v>
      </c>
      <c r="E221" s="26" t="s">
        <v>146</v>
      </c>
      <c r="F221" s="30" t="s">
        <v>1113</v>
      </c>
      <c r="G221" s="26">
        <v>7</v>
      </c>
      <c r="H221" s="31">
        <v>868</v>
      </c>
      <c r="I221" s="32">
        <v>0</v>
      </c>
      <c r="J221" s="31">
        <v>7</v>
      </c>
      <c r="K221" s="31">
        <v>0</v>
      </c>
      <c r="L221" s="31">
        <v>0</v>
      </c>
      <c r="M221" s="31">
        <v>0</v>
      </c>
      <c r="N221" s="39" t="s">
        <v>125</v>
      </c>
      <c r="O221" s="85" t="s">
        <v>81</v>
      </c>
      <c r="P221" s="29" t="s">
        <v>28</v>
      </c>
      <c r="Q221" s="35">
        <v>37972</v>
      </c>
      <c r="R221" s="29"/>
    </row>
    <row r="222" spans="1:18" s="16" customFormat="1" ht="22.5" customHeight="1">
      <c r="A222" s="26">
        <v>221</v>
      </c>
      <c r="B222" s="26" t="s">
        <v>514</v>
      </c>
      <c r="C222" s="26" t="s">
        <v>1122</v>
      </c>
      <c r="D222" s="65" t="s">
        <v>1123</v>
      </c>
      <c r="E222" s="33" t="s">
        <v>635</v>
      </c>
      <c r="F222" s="65" t="s">
        <v>1124</v>
      </c>
      <c r="G222" s="26">
        <v>2</v>
      </c>
      <c r="H222" s="32">
        <v>164</v>
      </c>
      <c r="I222" s="32">
        <v>0</v>
      </c>
      <c r="J222" s="32">
        <v>2</v>
      </c>
      <c r="K222" s="32">
        <v>2</v>
      </c>
      <c r="L222" s="32">
        <v>0</v>
      </c>
      <c r="M222" s="32">
        <v>0</v>
      </c>
      <c r="N222" s="39" t="s">
        <v>125</v>
      </c>
      <c r="O222" s="67" t="s">
        <v>450</v>
      </c>
      <c r="P222" s="29" t="s">
        <v>27</v>
      </c>
      <c r="Q222" s="35">
        <v>41474</v>
      </c>
      <c r="R222" s="29"/>
    </row>
    <row r="223" spans="1:18" s="16" customFormat="1" ht="22.5" customHeight="1">
      <c r="A223" s="26">
        <v>222</v>
      </c>
      <c r="B223" s="26" t="s">
        <v>175</v>
      </c>
      <c r="C223" s="26" t="s">
        <v>278</v>
      </c>
      <c r="D223" s="29" t="s">
        <v>348</v>
      </c>
      <c r="E223" s="26" t="s">
        <v>146</v>
      </c>
      <c r="F223" s="29" t="s">
        <v>1139</v>
      </c>
      <c r="G223" s="26">
        <v>8</v>
      </c>
      <c r="H223" s="31">
        <v>852</v>
      </c>
      <c r="I223" s="31">
        <f>G223-J223</f>
        <v>0</v>
      </c>
      <c r="J223" s="31">
        <v>8</v>
      </c>
      <c r="K223" s="31">
        <v>4</v>
      </c>
      <c r="L223" s="31">
        <v>0</v>
      </c>
      <c r="M223" s="31">
        <v>0</v>
      </c>
      <c r="N223" s="39" t="s">
        <v>125</v>
      </c>
      <c r="O223" s="85" t="s">
        <v>25</v>
      </c>
      <c r="P223" s="26" t="s">
        <v>127</v>
      </c>
      <c r="Q223" s="35">
        <v>38108</v>
      </c>
      <c r="R223" s="34"/>
    </row>
    <row r="224" spans="1:18" s="16" customFormat="1" ht="22.5" customHeight="1">
      <c r="A224" s="26">
        <v>223</v>
      </c>
      <c r="B224" s="26" t="s">
        <v>175</v>
      </c>
      <c r="C224" s="26" t="s">
        <v>278</v>
      </c>
      <c r="D224" s="28" t="s">
        <v>328</v>
      </c>
      <c r="E224" s="26" t="s">
        <v>625</v>
      </c>
      <c r="F224" s="29" t="s">
        <v>1129</v>
      </c>
      <c r="G224" s="26">
        <v>10</v>
      </c>
      <c r="H224" s="31">
        <v>1391</v>
      </c>
      <c r="I224" s="31">
        <v>0</v>
      </c>
      <c r="J224" s="31">
        <v>10</v>
      </c>
      <c r="K224" s="31">
        <v>2</v>
      </c>
      <c r="L224" s="31">
        <v>0</v>
      </c>
      <c r="M224" s="31">
        <v>0</v>
      </c>
      <c r="N224" s="39" t="s">
        <v>125</v>
      </c>
      <c r="O224" s="85" t="s">
        <v>25</v>
      </c>
      <c r="P224" s="26" t="s">
        <v>127</v>
      </c>
      <c r="Q224" s="35">
        <v>40380</v>
      </c>
      <c r="R224" s="79"/>
    </row>
    <row r="225" spans="1:18" s="16" customFormat="1" ht="22.5" customHeight="1">
      <c r="A225" s="26">
        <v>224</v>
      </c>
      <c r="B225" s="26" t="s">
        <v>175</v>
      </c>
      <c r="C225" s="26" t="s">
        <v>278</v>
      </c>
      <c r="D225" s="30" t="s">
        <v>1137</v>
      </c>
      <c r="E225" s="26" t="s">
        <v>144</v>
      </c>
      <c r="F225" s="30" t="s">
        <v>1138</v>
      </c>
      <c r="G225" s="26">
        <v>7</v>
      </c>
      <c r="H225" s="32">
        <v>1116</v>
      </c>
      <c r="I225" s="32">
        <f>G225-J225</f>
        <v>0</v>
      </c>
      <c r="J225" s="32">
        <v>7</v>
      </c>
      <c r="K225" s="32">
        <v>6</v>
      </c>
      <c r="L225" s="173">
        <v>0</v>
      </c>
      <c r="M225" s="32">
        <v>0</v>
      </c>
      <c r="N225" s="39" t="s">
        <v>125</v>
      </c>
      <c r="O225" s="33" t="s">
        <v>450</v>
      </c>
      <c r="P225" s="29" t="s">
        <v>27</v>
      </c>
      <c r="Q225" s="35">
        <v>37386</v>
      </c>
      <c r="R225" s="29"/>
    </row>
    <row r="226" spans="1:18" s="16" customFormat="1" ht="22.5" customHeight="1">
      <c r="A226" s="26">
        <v>225</v>
      </c>
      <c r="B226" s="33" t="s">
        <v>475</v>
      </c>
      <c r="C226" s="33" t="s">
        <v>1130</v>
      </c>
      <c r="D226" s="65" t="s">
        <v>1131</v>
      </c>
      <c r="E226" s="33" t="s">
        <v>625</v>
      </c>
      <c r="F226" s="65" t="s">
        <v>1132</v>
      </c>
      <c r="G226" s="26">
        <v>8</v>
      </c>
      <c r="H226" s="32">
        <v>1421</v>
      </c>
      <c r="I226" s="32">
        <v>0</v>
      </c>
      <c r="J226" s="32">
        <v>8</v>
      </c>
      <c r="K226" s="32">
        <v>6</v>
      </c>
      <c r="L226" s="32">
        <v>0</v>
      </c>
      <c r="M226" s="32">
        <v>1</v>
      </c>
      <c r="N226" s="112" t="s">
        <v>1133</v>
      </c>
      <c r="O226" s="67" t="s">
        <v>450</v>
      </c>
      <c r="P226" s="29" t="s">
        <v>27</v>
      </c>
      <c r="Q226" s="35">
        <v>40997</v>
      </c>
      <c r="R226" s="28"/>
    </row>
    <row r="227" spans="1:18" s="22" customFormat="1" ht="22.5" customHeight="1">
      <c r="A227" s="26">
        <v>226</v>
      </c>
      <c r="B227" s="26" t="s">
        <v>514</v>
      </c>
      <c r="C227" s="26" t="s">
        <v>1125</v>
      </c>
      <c r="D227" s="29" t="s">
        <v>1126</v>
      </c>
      <c r="E227" s="26" t="s">
        <v>789</v>
      </c>
      <c r="F227" s="29" t="s">
        <v>1127</v>
      </c>
      <c r="G227" s="26">
        <v>6</v>
      </c>
      <c r="H227" s="31">
        <v>620</v>
      </c>
      <c r="I227" s="31">
        <v>0</v>
      </c>
      <c r="J227" s="31">
        <v>6</v>
      </c>
      <c r="K227" s="31">
        <v>0</v>
      </c>
      <c r="L227" s="31">
        <v>0</v>
      </c>
      <c r="M227" s="31">
        <v>0</v>
      </c>
      <c r="N227" s="39" t="s">
        <v>432</v>
      </c>
      <c r="O227" s="85" t="s">
        <v>25</v>
      </c>
      <c r="P227" s="26" t="s">
        <v>127</v>
      </c>
      <c r="Q227" s="35">
        <v>41410</v>
      </c>
      <c r="R227" s="34" t="s">
        <v>1128</v>
      </c>
    </row>
    <row r="228" spans="1:18" s="22" customFormat="1" ht="22.5" customHeight="1">
      <c r="A228" s="26">
        <v>227</v>
      </c>
      <c r="B228" s="26" t="s">
        <v>514</v>
      </c>
      <c r="C228" s="26" t="s">
        <v>1125</v>
      </c>
      <c r="D228" s="30" t="s">
        <v>1134</v>
      </c>
      <c r="E228" s="26" t="s">
        <v>625</v>
      </c>
      <c r="F228" s="30" t="s">
        <v>1135</v>
      </c>
      <c r="G228" s="26">
        <v>6</v>
      </c>
      <c r="H228" s="32">
        <v>916</v>
      </c>
      <c r="I228" s="32">
        <v>0</v>
      </c>
      <c r="J228" s="32">
        <v>6</v>
      </c>
      <c r="K228" s="32">
        <v>2</v>
      </c>
      <c r="L228" s="32">
        <v>0</v>
      </c>
      <c r="M228" s="32">
        <v>0</v>
      </c>
      <c r="N228" s="39" t="s">
        <v>125</v>
      </c>
      <c r="O228" s="33" t="s">
        <v>450</v>
      </c>
      <c r="P228" s="29" t="s">
        <v>27</v>
      </c>
      <c r="Q228" s="35">
        <v>41565</v>
      </c>
      <c r="R228" s="29" t="s">
        <v>1136</v>
      </c>
    </row>
    <row r="229" spans="1:18" s="22" customFormat="1" ht="22.5" customHeight="1">
      <c r="A229" s="26">
        <v>228</v>
      </c>
      <c r="B229" s="33" t="s">
        <v>475</v>
      </c>
      <c r="C229" s="33" t="s">
        <v>1140</v>
      </c>
      <c r="D229" s="65" t="s">
        <v>1141</v>
      </c>
      <c r="E229" s="33" t="s">
        <v>625</v>
      </c>
      <c r="F229" s="65" t="s">
        <v>1142</v>
      </c>
      <c r="G229" s="26">
        <v>3</v>
      </c>
      <c r="H229" s="32">
        <v>339</v>
      </c>
      <c r="I229" s="32">
        <v>0</v>
      </c>
      <c r="J229" s="32">
        <v>3</v>
      </c>
      <c r="K229" s="32">
        <v>3</v>
      </c>
      <c r="L229" s="32">
        <v>0</v>
      </c>
      <c r="M229" s="32">
        <v>0</v>
      </c>
      <c r="N229" s="112" t="s">
        <v>432</v>
      </c>
      <c r="O229" s="67" t="s">
        <v>450</v>
      </c>
      <c r="P229" s="29" t="s">
        <v>27</v>
      </c>
      <c r="Q229" s="35">
        <v>41018</v>
      </c>
      <c r="R229" s="29"/>
    </row>
    <row r="230" spans="1:18" s="22" customFormat="1" ht="22.5" customHeight="1">
      <c r="A230" s="26">
        <v>229</v>
      </c>
      <c r="B230" s="33" t="s">
        <v>475</v>
      </c>
      <c r="C230" s="33" t="s">
        <v>1143</v>
      </c>
      <c r="D230" s="65" t="s">
        <v>1144</v>
      </c>
      <c r="E230" s="33" t="s">
        <v>538</v>
      </c>
      <c r="F230" s="65" t="s">
        <v>1145</v>
      </c>
      <c r="G230" s="26">
        <v>4</v>
      </c>
      <c r="H230" s="31">
        <v>550</v>
      </c>
      <c r="I230" s="32">
        <v>0</v>
      </c>
      <c r="J230" s="31">
        <v>4</v>
      </c>
      <c r="K230" s="31">
        <v>2</v>
      </c>
      <c r="L230" s="31">
        <v>0</v>
      </c>
      <c r="M230" s="31">
        <v>0</v>
      </c>
      <c r="N230" s="39" t="s">
        <v>432</v>
      </c>
      <c r="O230" s="33" t="s">
        <v>451</v>
      </c>
      <c r="P230" s="29" t="s">
        <v>308</v>
      </c>
      <c r="Q230" s="35">
        <v>40894</v>
      </c>
      <c r="R230" s="66"/>
    </row>
    <row r="231" spans="1:18" s="22" customFormat="1" ht="22.5" customHeight="1">
      <c r="A231" s="26">
        <v>230</v>
      </c>
      <c r="B231" s="26" t="s">
        <v>294</v>
      </c>
      <c r="C231" s="26" t="s">
        <v>296</v>
      </c>
      <c r="D231" s="30" t="s">
        <v>297</v>
      </c>
      <c r="E231" s="26" t="s">
        <v>125</v>
      </c>
      <c r="F231" s="29" t="s">
        <v>1449</v>
      </c>
      <c r="G231" s="26">
        <v>1</v>
      </c>
      <c r="H231" s="31">
        <v>153</v>
      </c>
      <c r="I231" s="31">
        <v>0</v>
      </c>
      <c r="J231" s="31">
        <v>1</v>
      </c>
      <c r="K231" s="31">
        <v>0</v>
      </c>
      <c r="L231" s="31">
        <v>0</v>
      </c>
      <c r="M231" s="31">
        <v>0</v>
      </c>
      <c r="N231" s="39" t="s">
        <v>125</v>
      </c>
      <c r="O231" s="26" t="s">
        <v>395</v>
      </c>
      <c r="P231" s="28" t="s">
        <v>315</v>
      </c>
      <c r="Q231" s="35">
        <v>16372</v>
      </c>
      <c r="R231" s="60"/>
    </row>
    <row r="232" spans="1:18" s="22" customFormat="1" ht="22.5" customHeight="1">
      <c r="A232" s="26">
        <v>231</v>
      </c>
      <c r="B232" s="27" t="s">
        <v>175</v>
      </c>
      <c r="C232" s="27" t="s">
        <v>1451</v>
      </c>
      <c r="D232" s="28" t="s">
        <v>295</v>
      </c>
      <c r="E232" s="27" t="s">
        <v>125</v>
      </c>
      <c r="F232" s="28" t="s">
        <v>1450</v>
      </c>
      <c r="G232" s="26">
        <v>3</v>
      </c>
      <c r="H232" s="31">
        <v>325</v>
      </c>
      <c r="I232" s="31">
        <v>0</v>
      </c>
      <c r="J232" s="31">
        <v>3</v>
      </c>
      <c r="K232" s="31">
        <v>0</v>
      </c>
      <c r="L232" s="31">
        <v>0</v>
      </c>
      <c r="M232" s="31">
        <v>0</v>
      </c>
      <c r="N232" s="39" t="s">
        <v>125</v>
      </c>
      <c r="O232" s="27" t="s">
        <v>396</v>
      </c>
      <c r="P232" s="28" t="s">
        <v>316</v>
      </c>
      <c r="Q232" s="35">
        <v>38255</v>
      </c>
      <c r="R232" s="138" t="s">
        <v>480</v>
      </c>
    </row>
    <row r="233" spans="1:18" s="22" customFormat="1" ht="22.5" customHeight="1">
      <c r="A233" s="26">
        <v>232</v>
      </c>
      <c r="B233" s="27" t="s">
        <v>175</v>
      </c>
      <c r="C233" s="27" t="s">
        <v>181</v>
      </c>
      <c r="D233" s="28" t="s">
        <v>298</v>
      </c>
      <c r="E233" s="27" t="s">
        <v>125</v>
      </c>
      <c r="F233" s="28" t="s">
        <v>1452</v>
      </c>
      <c r="G233" s="26">
        <v>6</v>
      </c>
      <c r="H233" s="31">
        <v>571</v>
      </c>
      <c r="I233" s="31">
        <v>0</v>
      </c>
      <c r="J233" s="31">
        <v>6</v>
      </c>
      <c r="K233" s="31">
        <v>2</v>
      </c>
      <c r="L233" s="31">
        <v>0</v>
      </c>
      <c r="M233" s="31">
        <v>0</v>
      </c>
      <c r="N233" s="39" t="s">
        <v>125</v>
      </c>
      <c r="O233" s="27" t="s">
        <v>397</v>
      </c>
      <c r="P233" s="28" t="s">
        <v>38</v>
      </c>
      <c r="Q233" s="35">
        <v>39273</v>
      </c>
      <c r="R233" s="60"/>
    </row>
    <row r="234" spans="1:18" s="22" customFormat="1" ht="22.5" customHeight="1">
      <c r="A234" s="26">
        <v>233</v>
      </c>
      <c r="B234" s="27" t="s">
        <v>175</v>
      </c>
      <c r="C234" s="27" t="s">
        <v>181</v>
      </c>
      <c r="D234" s="28" t="s">
        <v>1146</v>
      </c>
      <c r="E234" s="27" t="s">
        <v>146</v>
      </c>
      <c r="F234" s="28" t="s">
        <v>1147</v>
      </c>
      <c r="G234" s="26">
        <v>6</v>
      </c>
      <c r="H234" s="31">
        <v>823</v>
      </c>
      <c r="I234" s="32">
        <v>0</v>
      </c>
      <c r="J234" s="31">
        <v>6</v>
      </c>
      <c r="K234" s="31">
        <v>0</v>
      </c>
      <c r="L234" s="31">
        <v>0</v>
      </c>
      <c r="M234" s="31">
        <v>0</v>
      </c>
      <c r="N234" s="39" t="s">
        <v>125</v>
      </c>
      <c r="O234" s="85" t="s">
        <v>81</v>
      </c>
      <c r="P234" s="29" t="s">
        <v>28</v>
      </c>
      <c r="Q234" s="35">
        <v>38555</v>
      </c>
      <c r="R234" s="28"/>
    </row>
    <row r="235" spans="1:18" s="22" customFormat="1" ht="22.5" customHeight="1">
      <c r="A235" s="26">
        <v>234</v>
      </c>
      <c r="B235" s="33" t="s">
        <v>475</v>
      </c>
      <c r="C235" s="33" t="s">
        <v>1148</v>
      </c>
      <c r="D235" s="38" t="s">
        <v>1149</v>
      </c>
      <c r="E235" s="33" t="s">
        <v>538</v>
      </c>
      <c r="F235" s="38" t="s">
        <v>1150</v>
      </c>
      <c r="G235" s="26">
        <v>8</v>
      </c>
      <c r="H235" s="31">
        <v>1144</v>
      </c>
      <c r="I235" s="31">
        <f>G235-J235</f>
        <v>0</v>
      </c>
      <c r="J235" s="31">
        <v>8</v>
      </c>
      <c r="K235" s="31">
        <v>3</v>
      </c>
      <c r="L235" s="31">
        <v>0</v>
      </c>
      <c r="M235" s="31">
        <v>0</v>
      </c>
      <c r="N235" s="112" t="s">
        <v>432</v>
      </c>
      <c r="O235" s="85" t="s">
        <v>25</v>
      </c>
      <c r="P235" s="26" t="s">
        <v>127</v>
      </c>
      <c r="Q235" s="35">
        <v>40681</v>
      </c>
      <c r="R235" s="34"/>
    </row>
    <row r="236" spans="1:18" s="16" customFormat="1" ht="22.5" customHeight="1">
      <c r="A236" s="26">
        <v>235</v>
      </c>
      <c r="B236" s="26" t="s">
        <v>175</v>
      </c>
      <c r="C236" s="26" t="s">
        <v>230</v>
      </c>
      <c r="D236" s="29" t="s">
        <v>349</v>
      </c>
      <c r="E236" s="26" t="s">
        <v>144</v>
      </c>
      <c r="F236" s="29" t="s">
        <v>1151</v>
      </c>
      <c r="G236" s="26">
        <v>8</v>
      </c>
      <c r="H236" s="31">
        <v>1819</v>
      </c>
      <c r="I236" s="31">
        <v>0</v>
      </c>
      <c r="J236" s="31">
        <v>8</v>
      </c>
      <c r="K236" s="31">
        <v>5</v>
      </c>
      <c r="L236" s="31">
        <v>0</v>
      </c>
      <c r="M236" s="31">
        <v>1</v>
      </c>
      <c r="N236" s="112" t="s">
        <v>629</v>
      </c>
      <c r="O236" s="85" t="s">
        <v>25</v>
      </c>
      <c r="P236" s="26" t="s">
        <v>127</v>
      </c>
      <c r="Q236" s="35">
        <v>39163</v>
      </c>
      <c r="R236" s="28"/>
    </row>
    <row r="237" spans="1:18" s="16" customFormat="1" ht="22.5" customHeight="1">
      <c r="A237" s="26">
        <v>236</v>
      </c>
      <c r="B237" s="27" t="s">
        <v>175</v>
      </c>
      <c r="C237" s="27" t="s">
        <v>230</v>
      </c>
      <c r="D237" s="28" t="s">
        <v>368</v>
      </c>
      <c r="E237" s="27" t="s">
        <v>146</v>
      </c>
      <c r="F237" s="250" t="s">
        <v>1152</v>
      </c>
      <c r="G237" s="26">
        <v>8</v>
      </c>
      <c r="H237" s="32">
        <v>1398</v>
      </c>
      <c r="I237" s="32">
        <v>0</v>
      </c>
      <c r="J237" s="32">
        <v>8</v>
      </c>
      <c r="K237" s="32">
        <v>3</v>
      </c>
      <c r="L237" s="32">
        <v>0</v>
      </c>
      <c r="M237" s="32">
        <v>0</v>
      </c>
      <c r="N237" s="39" t="s">
        <v>125</v>
      </c>
      <c r="O237" s="33" t="s">
        <v>450</v>
      </c>
      <c r="P237" s="29" t="s">
        <v>27</v>
      </c>
      <c r="Q237" s="35">
        <v>40052</v>
      </c>
      <c r="R237" s="28"/>
    </row>
    <row r="238" spans="1:18" s="16" customFormat="1" ht="22.5" customHeight="1">
      <c r="A238" s="26">
        <v>237</v>
      </c>
      <c r="B238" s="33" t="s">
        <v>475</v>
      </c>
      <c r="C238" s="33" t="s">
        <v>1153</v>
      </c>
      <c r="D238" s="38" t="s">
        <v>1156</v>
      </c>
      <c r="E238" s="33" t="s">
        <v>625</v>
      </c>
      <c r="F238" s="38" t="s">
        <v>1157</v>
      </c>
      <c r="G238" s="26">
        <v>8</v>
      </c>
      <c r="H238" s="31">
        <v>1443</v>
      </c>
      <c r="I238" s="31">
        <v>0</v>
      </c>
      <c r="J238" s="31">
        <v>8</v>
      </c>
      <c r="K238" s="31">
        <v>4</v>
      </c>
      <c r="L238" s="31">
        <v>0</v>
      </c>
      <c r="M238" s="31">
        <v>0</v>
      </c>
      <c r="N238" s="39" t="s">
        <v>630</v>
      </c>
      <c r="O238" s="85" t="s">
        <v>25</v>
      </c>
      <c r="P238" s="26" t="s">
        <v>127</v>
      </c>
      <c r="Q238" s="35">
        <v>41019</v>
      </c>
      <c r="R238" s="28"/>
    </row>
    <row r="239" spans="1:18" s="16" customFormat="1" ht="22.5" customHeight="1">
      <c r="A239" s="26">
        <v>238</v>
      </c>
      <c r="B239" s="33" t="s">
        <v>475</v>
      </c>
      <c r="C239" s="33" t="s">
        <v>1153</v>
      </c>
      <c r="D239" s="38" t="s">
        <v>1154</v>
      </c>
      <c r="E239" s="33" t="s">
        <v>625</v>
      </c>
      <c r="F239" s="38" t="s">
        <v>1155</v>
      </c>
      <c r="G239" s="26">
        <v>9</v>
      </c>
      <c r="H239" s="31">
        <v>1362</v>
      </c>
      <c r="I239" s="31">
        <v>0</v>
      </c>
      <c r="J239" s="31">
        <v>9</v>
      </c>
      <c r="K239" s="31">
        <v>2</v>
      </c>
      <c r="L239" s="31">
        <v>0</v>
      </c>
      <c r="M239" s="31">
        <v>0</v>
      </c>
      <c r="N239" s="112" t="s">
        <v>432</v>
      </c>
      <c r="O239" s="85" t="s">
        <v>25</v>
      </c>
      <c r="P239" s="26" t="s">
        <v>127</v>
      </c>
      <c r="Q239" s="35">
        <v>41662</v>
      </c>
      <c r="R239" s="28"/>
    </row>
    <row r="240" spans="1:18" s="16" customFormat="1" ht="22.5" customHeight="1">
      <c r="A240" s="26">
        <v>239</v>
      </c>
      <c r="B240" s="26" t="s">
        <v>175</v>
      </c>
      <c r="C240" s="26" t="s">
        <v>300</v>
      </c>
      <c r="D240" s="30" t="s">
        <v>301</v>
      </c>
      <c r="E240" s="26" t="s">
        <v>125</v>
      </c>
      <c r="F240" s="30" t="s">
        <v>1158</v>
      </c>
      <c r="G240" s="26">
        <v>7</v>
      </c>
      <c r="H240" s="31">
        <v>710</v>
      </c>
      <c r="I240" s="32">
        <v>0</v>
      </c>
      <c r="J240" s="31">
        <v>7</v>
      </c>
      <c r="K240" s="31">
        <v>1</v>
      </c>
      <c r="L240" s="31">
        <v>0</v>
      </c>
      <c r="M240" s="31">
        <v>0</v>
      </c>
      <c r="N240" s="39" t="s">
        <v>125</v>
      </c>
      <c r="O240" s="26" t="s">
        <v>399</v>
      </c>
      <c r="P240" s="29" t="s">
        <v>318</v>
      </c>
      <c r="Q240" s="35">
        <v>37568</v>
      </c>
      <c r="R240" s="34"/>
    </row>
    <row r="241" spans="1:18" s="16" customFormat="1" ht="22.5" customHeight="1">
      <c r="A241" s="26">
        <v>240</v>
      </c>
      <c r="B241" s="27" t="s">
        <v>175</v>
      </c>
      <c r="C241" s="85" t="s">
        <v>1162</v>
      </c>
      <c r="D241" s="37" t="s">
        <v>1163</v>
      </c>
      <c r="E241" s="85" t="s">
        <v>625</v>
      </c>
      <c r="F241" s="252" t="s">
        <v>1164</v>
      </c>
      <c r="G241" s="26">
        <v>7</v>
      </c>
      <c r="H241" s="32">
        <v>1518</v>
      </c>
      <c r="I241" s="32">
        <f>G241-J241</f>
        <v>0</v>
      </c>
      <c r="J241" s="32">
        <v>7</v>
      </c>
      <c r="K241" s="32">
        <v>7</v>
      </c>
      <c r="L241" s="32">
        <v>0</v>
      </c>
      <c r="M241" s="32">
        <v>0</v>
      </c>
      <c r="N241" s="112" t="s">
        <v>432</v>
      </c>
      <c r="O241" s="67" t="s">
        <v>450</v>
      </c>
      <c r="P241" s="29" t="s">
        <v>27</v>
      </c>
      <c r="Q241" s="35">
        <v>40851</v>
      </c>
      <c r="R241" s="28"/>
    </row>
    <row r="242" spans="1:18" s="61" customFormat="1" ht="22.5" customHeight="1">
      <c r="A242" s="26">
        <v>241</v>
      </c>
      <c r="B242" s="26" t="s">
        <v>514</v>
      </c>
      <c r="C242" s="26" t="s">
        <v>1162</v>
      </c>
      <c r="D242" s="65" t="s">
        <v>1168</v>
      </c>
      <c r="E242" s="33" t="s">
        <v>789</v>
      </c>
      <c r="F242" s="65" t="s">
        <v>1169</v>
      </c>
      <c r="G242" s="26">
        <v>5</v>
      </c>
      <c r="H242" s="31">
        <v>573</v>
      </c>
      <c r="I242" s="32">
        <v>0</v>
      </c>
      <c r="J242" s="31">
        <v>5</v>
      </c>
      <c r="K242" s="31">
        <v>1</v>
      </c>
      <c r="L242" s="31">
        <v>0</v>
      </c>
      <c r="M242" s="31">
        <v>0</v>
      </c>
      <c r="N242" s="39" t="s">
        <v>1170</v>
      </c>
      <c r="O242" s="33" t="s">
        <v>451</v>
      </c>
      <c r="P242" s="29" t="s">
        <v>308</v>
      </c>
      <c r="Q242" s="35">
        <v>41996</v>
      </c>
      <c r="R242" s="38"/>
    </row>
    <row r="243" spans="1:18" s="61" customFormat="1" ht="22.5" customHeight="1">
      <c r="A243" s="26">
        <v>242</v>
      </c>
      <c r="B243" s="26" t="s">
        <v>175</v>
      </c>
      <c r="C243" s="26" t="s">
        <v>269</v>
      </c>
      <c r="D243" s="65" t="s">
        <v>1159</v>
      </c>
      <c r="E243" s="33" t="s">
        <v>625</v>
      </c>
      <c r="F243" s="65" t="s">
        <v>1160</v>
      </c>
      <c r="G243" s="26">
        <v>9</v>
      </c>
      <c r="H243" s="31">
        <v>1636</v>
      </c>
      <c r="I243" s="32">
        <v>0</v>
      </c>
      <c r="J243" s="31">
        <v>9</v>
      </c>
      <c r="K243" s="31">
        <v>2</v>
      </c>
      <c r="L243" s="31">
        <v>0</v>
      </c>
      <c r="M243" s="31">
        <v>0</v>
      </c>
      <c r="N243" s="39" t="s">
        <v>125</v>
      </c>
      <c r="O243" s="33" t="s">
        <v>451</v>
      </c>
      <c r="P243" s="29" t="s">
        <v>308</v>
      </c>
      <c r="Q243" s="35">
        <v>38183</v>
      </c>
      <c r="R243" s="38" t="s">
        <v>1161</v>
      </c>
    </row>
    <row r="244" spans="1:18" s="16" customFormat="1" ht="22.5" customHeight="1">
      <c r="A244" s="26">
        <v>243</v>
      </c>
      <c r="B244" s="33" t="s">
        <v>475</v>
      </c>
      <c r="C244" s="33" t="s">
        <v>1165</v>
      </c>
      <c r="D244" s="38" t="s">
        <v>1166</v>
      </c>
      <c r="E244" s="33" t="s">
        <v>625</v>
      </c>
      <c r="F244" s="38" t="s">
        <v>1167</v>
      </c>
      <c r="G244" s="26">
        <v>3</v>
      </c>
      <c r="H244" s="31">
        <v>341</v>
      </c>
      <c r="I244" s="31">
        <v>0</v>
      </c>
      <c r="J244" s="31">
        <v>3</v>
      </c>
      <c r="K244" s="31">
        <v>2</v>
      </c>
      <c r="L244" s="31">
        <v>0</v>
      </c>
      <c r="M244" s="31">
        <v>0</v>
      </c>
      <c r="N244" s="112" t="s">
        <v>432</v>
      </c>
      <c r="O244" s="85" t="s">
        <v>25</v>
      </c>
      <c r="P244" s="26" t="s">
        <v>127</v>
      </c>
      <c r="Q244" s="35">
        <v>41843</v>
      </c>
      <c r="R244" s="28"/>
    </row>
    <row r="245" spans="1:18" s="16" customFormat="1" ht="22.5" customHeight="1">
      <c r="A245" s="26">
        <v>244</v>
      </c>
      <c r="B245" s="26" t="s">
        <v>175</v>
      </c>
      <c r="C245" s="26" t="s">
        <v>169</v>
      </c>
      <c r="D245" s="29" t="s">
        <v>350</v>
      </c>
      <c r="E245" s="26" t="s">
        <v>144</v>
      </c>
      <c r="F245" s="29" t="s">
        <v>1484</v>
      </c>
      <c r="G245" s="26">
        <v>8</v>
      </c>
      <c r="H245" s="31">
        <v>1303</v>
      </c>
      <c r="I245" s="31">
        <f>G245-J245</f>
        <v>0</v>
      </c>
      <c r="J245" s="31">
        <v>8</v>
      </c>
      <c r="K245" s="31">
        <v>5</v>
      </c>
      <c r="L245" s="31">
        <v>0</v>
      </c>
      <c r="M245" s="31">
        <v>0</v>
      </c>
      <c r="N245" s="39" t="s">
        <v>1485</v>
      </c>
      <c r="O245" s="85" t="s">
        <v>25</v>
      </c>
      <c r="P245" s="26" t="s">
        <v>127</v>
      </c>
      <c r="Q245" s="35">
        <v>39927</v>
      </c>
      <c r="R245" s="28" t="s">
        <v>1486</v>
      </c>
    </row>
    <row r="246" spans="1:18" s="5" customFormat="1" ht="22.5" customHeight="1">
      <c r="A246" s="26">
        <v>245</v>
      </c>
      <c r="B246" s="26" t="s">
        <v>175</v>
      </c>
      <c r="C246" s="26" t="s">
        <v>169</v>
      </c>
      <c r="D246" s="30" t="s">
        <v>1171</v>
      </c>
      <c r="E246" s="26" t="s">
        <v>146</v>
      </c>
      <c r="F246" s="30" t="s">
        <v>1172</v>
      </c>
      <c r="G246" s="26">
        <v>5</v>
      </c>
      <c r="H246" s="81">
        <v>432</v>
      </c>
      <c r="I246" s="32">
        <v>0</v>
      </c>
      <c r="J246" s="81">
        <v>5</v>
      </c>
      <c r="K246" s="81">
        <v>1</v>
      </c>
      <c r="L246" s="81">
        <v>0</v>
      </c>
      <c r="M246" s="31">
        <v>0</v>
      </c>
      <c r="N246" s="253" t="s">
        <v>125</v>
      </c>
      <c r="O246" s="85" t="s">
        <v>25</v>
      </c>
      <c r="P246" s="26" t="s">
        <v>127</v>
      </c>
      <c r="Q246" s="35">
        <v>41730</v>
      </c>
      <c r="R246" s="72" t="s">
        <v>1173</v>
      </c>
    </row>
    <row r="247" spans="1:18" s="5" customFormat="1" ht="22.5" customHeight="1">
      <c r="A247" s="26">
        <v>246</v>
      </c>
      <c r="B247" s="26" t="s">
        <v>175</v>
      </c>
      <c r="C247" s="26" t="s">
        <v>169</v>
      </c>
      <c r="D247" s="30" t="s">
        <v>369</v>
      </c>
      <c r="E247" s="26" t="s">
        <v>146</v>
      </c>
      <c r="F247" s="30" t="s">
        <v>1174</v>
      </c>
      <c r="G247" s="26">
        <v>5</v>
      </c>
      <c r="H247" s="162">
        <v>939</v>
      </c>
      <c r="I247" s="32">
        <v>0</v>
      </c>
      <c r="J247" s="32">
        <v>5</v>
      </c>
      <c r="K247" s="32">
        <v>1</v>
      </c>
      <c r="L247" s="32">
        <v>0</v>
      </c>
      <c r="M247" s="32">
        <v>0</v>
      </c>
      <c r="N247" s="253" t="s">
        <v>125</v>
      </c>
      <c r="O247" s="33" t="s">
        <v>450</v>
      </c>
      <c r="P247" s="29" t="s">
        <v>27</v>
      </c>
      <c r="Q247" s="35">
        <v>39697</v>
      </c>
      <c r="R247" s="72"/>
    </row>
    <row r="248" spans="1:18" s="5" customFormat="1" ht="22.5" customHeight="1">
      <c r="A248" s="26">
        <v>247</v>
      </c>
      <c r="B248" s="26" t="s">
        <v>175</v>
      </c>
      <c r="C248" s="26" t="s">
        <v>169</v>
      </c>
      <c r="D248" s="65" t="s">
        <v>1175</v>
      </c>
      <c r="E248" s="26" t="s">
        <v>144</v>
      </c>
      <c r="F248" s="30" t="s">
        <v>1176</v>
      </c>
      <c r="G248" s="26">
        <v>8</v>
      </c>
      <c r="H248" s="31">
        <v>1072</v>
      </c>
      <c r="I248" s="32">
        <f>G248-J248</f>
        <v>0</v>
      </c>
      <c r="J248" s="31">
        <v>8</v>
      </c>
      <c r="K248" s="31">
        <v>3</v>
      </c>
      <c r="L248" s="31">
        <v>0</v>
      </c>
      <c r="M248" s="31">
        <v>0</v>
      </c>
      <c r="N248" s="39" t="s">
        <v>125</v>
      </c>
      <c r="O248" s="33" t="s">
        <v>451</v>
      </c>
      <c r="P248" s="29" t="s">
        <v>308</v>
      </c>
      <c r="Q248" s="35">
        <v>39261</v>
      </c>
      <c r="R248" s="28"/>
    </row>
    <row r="249" spans="1:18" s="5" customFormat="1" ht="22.5" customHeight="1">
      <c r="A249" s="26">
        <v>248</v>
      </c>
      <c r="B249" s="26" t="s">
        <v>175</v>
      </c>
      <c r="C249" s="27" t="s">
        <v>182</v>
      </c>
      <c r="D249" s="29" t="s">
        <v>326</v>
      </c>
      <c r="E249" s="26" t="s">
        <v>144</v>
      </c>
      <c r="F249" s="29" t="s">
        <v>1177</v>
      </c>
      <c r="G249" s="26">
        <v>8</v>
      </c>
      <c r="H249" s="31">
        <v>1475</v>
      </c>
      <c r="I249" s="31">
        <f>G249-J249</f>
        <v>0</v>
      </c>
      <c r="J249" s="31">
        <v>8</v>
      </c>
      <c r="K249" s="31">
        <v>4</v>
      </c>
      <c r="L249" s="31">
        <v>0</v>
      </c>
      <c r="M249" s="31">
        <v>0</v>
      </c>
      <c r="N249" s="39" t="s">
        <v>626</v>
      </c>
      <c r="O249" s="85" t="s">
        <v>25</v>
      </c>
      <c r="P249" s="26" t="s">
        <v>127</v>
      </c>
      <c r="Q249" s="35">
        <v>40474</v>
      </c>
      <c r="R249" s="28"/>
    </row>
    <row r="250" spans="1:18" s="114" customFormat="1" ht="22.5" customHeight="1">
      <c r="A250" s="26">
        <v>249</v>
      </c>
      <c r="B250" s="26" t="s">
        <v>175</v>
      </c>
      <c r="C250" s="27" t="s">
        <v>182</v>
      </c>
      <c r="D250" s="29" t="s">
        <v>329</v>
      </c>
      <c r="E250" s="26" t="s">
        <v>146</v>
      </c>
      <c r="F250" s="29" t="s">
        <v>1178</v>
      </c>
      <c r="G250" s="26">
        <v>8</v>
      </c>
      <c r="H250" s="31">
        <v>1319</v>
      </c>
      <c r="I250" s="31">
        <f>G250-J250</f>
        <v>0</v>
      </c>
      <c r="J250" s="31">
        <v>8</v>
      </c>
      <c r="K250" s="31">
        <v>3</v>
      </c>
      <c r="L250" s="31">
        <v>0</v>
      </c>
      <c r="M250" s="31">
        <v>0</v>
      </c>
      <c r="N250" s="39" t="s">
        <v>125</v>
      </c>
      <c r="O250" s="85" t="s">
        <v>25</v>
      </c>
      <c r="P250" s="26" t="s">
        <v>127</v>
      </c>
      <c r="Q250" s="35">
        <v>40376</v>
      </c>
      <c r="R250" s="28"/>
    </row>
    <row r="251" spans="1:18" s="5" customFormat="1" ht="22.5" customHeight="1">
      <c r="A251" s="26">
        <v>250</v>
      </c>
      <c r="B251" s="27" t="s">
        <v>175</v>
      </c>
      <c r="C251" s="27" t="s">
        <v>182</v>
      </c>
      <c r="D251" s="28" t="s">
        <v>370</v>
      </c>
      <c r="E251" s="85" t="s">
        <v>625</v>
      </c>
      <c r="F251" s="250" t="s">
        <v>1179</v>
      </c>
      <c r="G251" s="26">
        <v>8</v>
      </c>
      <c r="H251" s="32">
        <v>1151</v>
      </c>
      <c r="I251" s="32">
        <f>G251-J251</f>
        <v>0</v>
      </c>
      <c r="J251" s="32">
        <v>8</v>
      </c>
      <c r="K251" s="32">
        <v>2</v>
      </c>
      <c r="L251" s="173">
        <v>0</v>
      </c>
      <c r="M251" s="32">
        <v>0</v>
      </c>
      <c r="N251" s="39" t="s">
        <v>125</v>
      </c>
      <c r="O251" s="67" t="s">
        <v>450</v>
      </c>
      <c r="P251" s="29" t="s">
        <v>27</v>
      </c>
      <c r="Q251" s="35">
        <v>38988</v>
      </c>
      <c r="R251" s="28"/>
    </row>
    <row r="252" spans="1:18" s="16" customFormat="1" ht="25.5" customHeight="1">
      <c r="A252" s="26">
        <v>251</v>
      </c>
      <c r="B252" s="159" t="s">
        <v>481</v>
      </c>
      <c r="C252" s="166" t="s">
        <v>482</v>
      </c>
      <c r="D252" s="143" t="s">
        <v>1185</v>
      </c>
      <c r="E252" s="159" t="s">
        <v>625</v>
      </c>
      <c r="F252" s="143" t="s">
        <v>1186</v>
      </c>
      <c r="G252" s="41">
        <v>8</v>
      </c>
      <c r="H252" s="42">
        <v>1295</v>
      </c>
      <c r="I252" s="42">
        <v>0</v>
      </c>
      <c r="J252" s="42">
        <v>8</v>
      </c>
      <c r="K252" s="42">
        <v>3</v>
      </c>
      <c r="L252" s="42">
        <v>0</v>
      </c>
      <c r="M252" s="42">
        <v>0</v>
      </c>
      <c r="N252" s="243" t="s">
        <v>1187</v>
      </c>
      <c r="O252" s="166" t="s">
        <v>622</v>
      </c>
      <c r="P252" s="41" t="s">
        <v>127</v>
      </c>
      <c r="Q252" s="44">
        <v>41074</v>
      </c>
      <c r="R252" s="48"/>
    </row>
    <row r="253" spans="1:18" s="16" customFormat="1" ht="25.5" customHeight="1">
      <c r="A253" s="26">
        <v>252</v>
      </c>
      <c r="B253" s="26" t="s">
        <v>481</v>
      </c>
      <c r="C253" s="27" t="s">
        <v>482</v>
      </c>
      <c r="D253" s="38" t="s">
        <v>486</v>
      </c>
      <c r="E253" s="33" t="s">
        <v>432</v>
      </c>
      <c r="F253" s="38" t="s">
        <v>1453</v>
      </c>
      <c r="G253" s="26">
        <v>1</v>
      </c>
      <c r="H253" s="32">
        <v>200</v>
      </c>
      <c r="I253" s="31">
        <v>0</v>
      </c>
      <c r="J253" s="31">
        <v>1</v>
      </c>
      <c r="K253" s="31">
        <v>0</v>
      </c>
      <c r="L253" s="31">
        <v>0</v>
      </c>
      <c r="M253" s="31">
        <v>0</v>
      </c>
      <c r="N253" s="112" t="s">
        <v>432</v>
      </c>
      <c r="O253" s="85" t="s">
        <v>487</v>
      </c>
      <c r="P253" s="33" t="s">
        <v>488</v>
      </c>
      <c r="Q253" s="35" t="s">
        <v>531</v>
      </c>
      <c r="R253" s="37" t="s">
        <v>489</v>
      </c>
    </row>
    <row r="254" spans="1:18" s="16" customFormat="1" ht="25.5" customHeight="1">
      <c r="A254" s="26">
        <v>253</v>
      </c>
      <c r="B254" s="26" t="s">
        <v>231</v>
      </c>
      <c r="C254" s="26" t="s">
        <v>241</v>
      </c>
      <c r="D254" s="30" t="s">
        <v>19</v>
      </c>
      <c r="E254" s="26" t="s">
        <v>146</v>
      </c>
      <c r="F254" s="30" t="s">
        <v>1189</v>
      </c>
      <c r="G254" s="26">
        <v>5</v>
      </c>
      <c r="H254" s="32">
        <v>670</v>
      </c>
      <c r="I254" s="32">
        <f>G254-J254</f>
        <v>0</v>
      </c>
      <c r="J254" s="32">
        <v>5</v>
      </c>
      <c r="K254" s="32">
        <v>2</v>
      </c>
      <c r="L254" s="32">
        <v>0</v>
      </c>
      <c r="M254" s="32">
        <v>0</v>
      </c>
      <c r="N254" s="39" t="s">
        <v>125</v>
      </c>
      <c r="O254" s="67" t="s">
        <v>450</v>
      </c>
      <c r="P254" s="29" t="s">
        <v>27</v>
      </c>
      <c r="Q254" s="35">
        <v>40078</v>
      </c>
      <c r="R254" s="28"/>
    </row>
    <row r="255" spans="1:18" s="16" customFormat="1" ht="25.5" customHeight="1">
      <c r="A255" s="26">
        <v>254</v>
      </c>
      <c r="B255" s="26" t="s">
        <v>231</v>
      </c>
      <c r="C255" s="26" t="s">
        <v>232</v>
      </c>
      <c r="D255" s="65" t="s">
        <v>1190</v>
      </c>
      <c r="E255" s="26" t="s">
        <v>146</v>
      </c>
      <c r="F255" s="29" t="s">
        <v>1191</v>
      </c>
      <c r="G255" s="26">
        <v>5</v>
      </c>
      <c r="H255" s="32">
        <v>714</v>
      </c>
      <c r="I255" s="32">
        <v>0</v>
      </c>
      <c r="J255" s="32">
        <v>5</v>
      </c>
      <c r="K255" s="32">
        <v>2</v>
      </c>
      <c r="L255" s="32">
        <v>0</v>
      </c>
      <c r="M255" s="32">
        <v>0</v>
      </c>
      <c r="N255" s="39" t="s">
        <v>1170</v>
      </c>
      <c r="O255" s="33" t="s">
        <v>451</v>
      </c>
      <c r="P255" s="29" t="s">
        <v>308</v>
      </c>
      <c r="Q255" s="35">
        <v>39874</v>
      </c>
      <c r="R255" s="28"/>
    </row>
    <row r="256" spans="1:18" s="16" customFormat="1" ht="25.5" customHeight="1">
      <c r="A256" s="26">
        <v>255</v>
      </c>
      <c r="B256" s="26" t="s">
        <v>231</v>
      </c>
      <c r="C256" s="26" t="s">
        <v>233</v>
      </c>
      <c r="D256" s="30" t="s">
        <v>104</v>
      </c>
      <c r="E256" s="26" t="s">
        <v>625</v>
      </c>
      <c r="F256" s="30" t="s">
        <v>1195</v>
      </c>
      <c r="G256" s="26">
        <v>7</v>
      </c>
      <c r="H256" s="32">
        <v>1196</v>
      </c>
      <c r="I256" s="32">
        <v>0</v>
      </c>
      <c r="J256" s="32">
        <v>7</v>
      </c>
      <c r="K256" s="32">
        <v>3</v>
      </c>
      <c r="L256" s="173">
        <v>0</v>
      </c>
      <c r="M256" s="32">
        <v>0</v>
      </c>
      <c r="N256" s="39" t="s">
        <v>125</v>
      </c>
      <c r="O256" s="33" t="s">
        <v>450</v>
      </c>
      <c r="P256" s="29" t="s">
        <v>27</v>
      </c>
      <c r="Q256" s="35">
        <v>38653</v>
      </c>
      <c r="R256" s="28"/>
    </row>
    <row r="257" spans="1:18" s="16" customFormat="1" ht="25.5" customHeight="1">
      <c r="A257" s="26">
        <v>256</v>
      </c>
      <c r="B257" s="26" t="s">
        <v>231</v>
      </c>
      <c r="C257" s="26" t="s">
        <v>233</v>
      </c>
      <c r="D257" s="65" t="s">
        <v>1193</v>
      </c>
      <c r="E257" s="26" t="s">
        <v>146</v>
      </c>
      <c r="F257" s="30" t="s">
        <v>1194</v>
      </c>
      <c r="G257" s="26">
        <v>8</v>
      </c>
      <c r="H257" s="32">
        <v>901</v>
      </c>
      <c r="I257" s="32">
        <f>G257-J257</f>
        <v>0</v>
      </c>
      <c r="J257" s="32">
        <v>8</v>
      </c>
      <c r="K257" s="32">
        <v>3</v>
      </c>
      <c r="L257" s="32">
        <v>0</v>
      </c>
      <c r="M257" s="32">
        <v>0</v>
      </c>
      <c r="N257" s="112" t="s">
        <v>432</v>
      </c>
      <c r="O257" s="33" t="s">
        <v>451</v>
      </c>
      <c r="P257" s="29" t="s">
        <v>308</v>
      </c>
      <c r="Q257" s="35">
        <v>39394</v>
      </c>
      <c r="R257" s="29"/>
    </row>
    <row r="258" spans="1:18" s="16" customFormat="1" ht="25.5" customHeight="1">
      <c r="A258" s="26">
        <v>257</v>
      </c>
      <c r="B258" s="33" t="s">
        <v>481</v>
      </c>
      <c r="C258" s="85" t="s">
        <v>1197</v>
      </c>
      <c r="D258" s="38" t="s">
        <v>1198</v>
      </c>
      <c r="E258" s="33" t="s">
        <v>625</v>
      </c>
      <c r="F258" s="38" t="s">
        <v>1199</v>
      </c>
      <c r="G258" s="26">
        <v>10</v>
      </c>
      <c r="H258" s="31">
        <v>1870</v>
      </c>
      <c r="I258" s="31">
        <v>0</v>
      </c>
      <c r="J258" s="31">
        <v>10</v>
      </c>
      <c r="K258" s="31">
        <v>3</v>
      </c>
      <c r="L258" s="31">
        <v>0</v>
      </c>
      <c r="M258" s="31">
        <v>0</v>
      </c>
      <c r="N258" s="112" t="s">
        <v>432</v>
      </c>
      <c r="O258" s="85" t="s">
        <v>25</v>
      </c>
      <c r="P258" s="26" t="s">
        <v>127</v>
      </c>
      <c r="Q258" s="35">
        <v>41158</v>
      </c>
      <c r="R258" s="28"/>
    </row>
    <row r="259" spans="1:18" s="22" customFormat="1" ht="25.5" customHeight="1">
      <c r="A259" s="26">
        <v>258</v>
      </c>
      <c r="B259" s="26" t="s">
        <v>231</v>
      </c>
      <c r="C259" s="26" t="s">
        <v>242</v>
      </c>
      <c r="D259" s="29" t="s">
        <v>351</v>
      </c>
      <c r="E259" s="26" t="s">
        <v>144</v>
      </c>
      <c r="F259" s="29" t="s">
        <v>1203</v>
      </c>
      <c r="G259" s="26">
        <v>12</v>
      </c>
      <c r="H259" s="31">
        <v>2099</v>
      </c>
      <c r="I259" s="31">
        <f>G259-J259</f>
        <v>0</v>
      </c>
      <c r="J259" s="31">
        <v>12</v>
      </c>
      <c r="K259" s="31">
        <v>5</v>
      </c>
      <c r="L259" s="31">
        <v>1</v>
      </c>
      <c r="M259" s="31">
        <v>0</v>
      </c>
      <c r="N259" s="112" t="s">
        <v>1204</v>
      </c>
      <c r="O259" s="85" t="s">
        <v>25</v>
      </c>
      <c r="P259" s="26" t="s">
        <v>127</v>
      </c>
      <c r="Q259" s="35">
        <v>39506</v>
      </c>
      <c r="R259" s="28"/>
    </row>
    <row r="260" spans="1:18" s="61" customFormat="1" ht="25.5" customHeight="1">
      <c r="A260" s="26">
        <v>259</v>
      </c>
      <c r="B260" s="26" t="s">
        <v>231</v>
      </c>
      <c r="C260" s="26" t="s">
        <v>242</v>
      </c>
      <c r="D260" s="30" t="s">
        <v>1200</v>
      </c>
      <c r="E260" s="26" t="s">
        <v>146</v>
      </c>
      <c r="F260" s="30" t="s">
        <v>1201</v>
      </c>
      <c r="G260" s="26">
        <v>6</v>
      </c>
      <c r="H260" s="32">
        <v>698</v>
      </c>
      <c r="I260" s="32">
        <v>0</v>
      </c>
      <c r="J260" s="32">
        <v>6</v>
      </c>
      <c r="K260" s="32">
        <v>1</v>
      </c>
      <c r="L260" s="32">
        <v>0</v>
      </c>
      <c r="M260" s="32">
        <v>0</v>
      </c>
      <c r="N260" s="39" t="s">
        <v>125</v>
      </c>
      <c r="O260" s="85" t="s">
        <v>25</v>
      </c>
      <c r="P260" s="26" t="s">
        <v>127</v>
      </c>
      <c r="Q260" s="35">
        <v>41760</v>
      </c>
      <c r="R260" s="29" t="s">
        <v>1202</v>
      </c>
    </row>
    <row r="261" spans="1:18" s="61" customFormat="1" ht="25.5" customHeight="1">
      <c r="A261" s="26">
        <v>260</v>
      </c>
      <c r="B261" s="26" t="s">
        <v>481</v>
      </c>
      <c r="C261" s="26" t="s">
        <v>558</v>
      </c>
      <c r="D261" s="30" t="s">
        <v>559</v>
      </c>
      <c r="E261" s="26" t="s">
        <v>432</v>
      </c>
      <c r="F261" s="30" t="s">
        <v>1454</v>
      </c>
      <c r="G261" s="26">
        <v>2</v>
      </c>
      <c r="H261" s="32">
        <v>98</v>
      </c>
      <c r="I261" s="32">
        <v>0</v>
      </c>
      <c r="J261" s="32">
        <v>2</v>
      </c>
      <c r="K261" s="32">
        <v>1</v>
      </c>
      <c r="L261" s="32">
        <v>0</v>
      </c>
      <c r="M261" s="32">
        <v>0</v>
      </c>
      <c r="N261" s="39" t="s">
        <v>432</v>
      </c>
      <c r="O261" s="33" t="s">
        <v>561</v>
      </c>
      <c r="P261" s="29" t="s">
        <v>1414</v>
      </c>
      <c r="Q261" s="35">
        <v>41737</v>
      </c>
      <c r="R261" s="29"/>
    </row>
    <row r="262" spans="1:18" s="261" customFormat="1" ht="25.5" customHeight="1">
      <c r="A262" s="26">
        <v>261</v>
      </c>
      <c r="B262" s="26" t="s">
        <v>481</v>
      </c>
      <c r="C262" s="26" t="s">
        <v>1475</v>
      </c>
      <c r="D262" s="30" t="s">
        <v>1476</v>
      </c>
      <c r="E262" s="26" t="s">
        <v>432</v>
      </c>
      <c r="F262" s="30" t="s">
        <v>1477</v>
      </c>
      <c r="G262" s="26">
        <v>1</v>
      </c>
      <c r="H262" s="32">
        <v>125</v>
      </c>
      <c r="I262" s="32">
        <v>0</v>
      </c>
      <c r="J262" s="32">
        <v>1</v>
      </c>
      <c r="K262" s="32">
        <v>1</v>
      </c>
      <c r="L262" s="32">
        <v>0</v>
      </c>
      <c r="M262" s="32">
        <v>0</v>
      </c>
      <c r="N262" s="39" t="s">
        <v>432</v>
      </c>
      <c r="O262" s="33" t="s">
        <v>1478</v>
      </c>
      <c r="P262" s="29" t="s">
        <v>1479</v>
      </c>
      <c r="Q262" s="35">
        <v>41993</v>
      </c>
      <c r="R262" s="29"/>
    </row>
    <row r="263" spans="1:18" s="16" customFormat="1" ht="27" customHeight="1">
      <c r="A263" s="26">
        <v>262</v>
      </c>
      <c r="B263" s="159" t="s">
        <v>1205</v>
      </c>
      <c r="C263" s="159" t="s">
        <v>1206</v>
      </c>
      <c r="D263" s="254" t="s">
        <v>1207</v>
      </c>
      <c r="E263" s="159" t="s">
        <v>538</v>
      </c>
      <c r="F263" s="254" t="s">
        <v>1208</v>
      </c>
      <c r="G263" s="41">
        <v>7</v>
      </c>
      <c r="H263" s="49">
        <v>1200</v>
      </c>
      <c r="I263" s="49">
        <f>G263-J263</f>
        <v>0</v>
      </c>
      <c r="J263" s="49">
        <v>7</v>
      </c>
      <c r="K263" s="49">
        <v>3</v>
      </c>
      <c r="L263" s="49">
        <v>0</v>
      </c>
      <c r="M263" s="49">
        <v>0</v>
      </c>
      <c r="N263" s="251" t="s">
        <v>432</v>
      </c>
      <c r="O263" s="159" t="s">
        <v>451</v>
      </c>
      <c r="P263" s="43" t="s">
        <v>308</v>
      </c>
      <c r="Q263" s="44">
        <v>40848</v>
      </c>
      <c r="R263" s="143" t="s">
        <v>1209</v>
      </c>
    </row>
    <row r="264" spans="1:18" s="22" customFormat="1" ht="27" customHeight="1">
      <c r="A264" s="26">
        <v>263</v>
      </c>
      <c r="B264" s="26" t="s">
        <v>234</v>
      </c>
      <c r="C264" s="26" t="s">
        <v>235</v>
      </c>
      <c r="D264" s="29" t="s">
        <v>111</v>
      </c>
      <c r="E264" s="26" t="s">
        <v>146</v>
      </c>
      <c r="F264" s="29" t="s">
        <v>1210</v>
      </c>
      <c r="G264" s="26">
        <v>8</v>
      </c>
      <c r="H264" s="31">
        <v>1239</v>
      </c>
      <c r="I264" s="31">
        <v>0</v>
      </c>
      <c r="J264" s="31">
        <v>8</v>
      </c>
      <c r="K264" s="31">
        <v>1</v>
      </c>
      <c r="L264" s="31">
        <v>0</v>
      </c>
      <c r="M264" s="31">
        <v>0</v>
      </c>
      <c r="N264" s="39" t="s">
        <v>125</v>
      </c>
      <c r="O264" s="85" t="s">
        <v>25</v>
      </c>
      <c r="P264" s="26" t="s">
        <v>127</v>
      </c>
      <c r="Q264" s="35">
        <v>39653</v>
      </c>
      <c r="R264" s="34"/>
    </row>
    <row r="265" spans="1:18" s="22" customFormat="1" ht="27" customHeight="1">
      <c r="A265" s="26">
        <v>264</v>
      </c>
      <c r="B265" s="26" t="s">
        <v>234</v>
      </c>
      <c r="C265" s="26" t="s">
        <v>235</v>
      </c>
      <c r="D265" s="38" t="s">
        <v>1211</v>
      </c>
      <c r="E265" s="26" t="s">
        <v>146</v>
      </c>
      <c r="F265" s="29" t="s">
        <v>1212</v>
      </c>
      <c r="G265" s="26">
        <v>10</v>
      </c>
      <c r="H265" s="31">
        <v>1996</v>
      </c>
      <c r="I265" s="31">
        <v>0</v>
      </c>
      <c r="J265" s="31">
        <v>10</v>
      </c>
      <c r="K265" s="31">
        <v>4</v>
      </c>
      <c r="L265" s="31">
        <v>0</v>
      </c>
      <c r="M265" s="31">
        <v>0</v>
      </c>
      <c r="N265" s="39" t="s">
        <v>125</v>
      </c>
      <c r="O265" s="85" t="s">
        <v>25</v>
      </c>
      <c r="P265" s="26" t="s">
        <v>127</v>
      </c>
      <c r="Q265" s="35">
        <v>39364</v>
      </c>
      <c r="R265" s="29"/>
    </row>
    <row r="266" spans="1:18" s="22" customFormat="1" ht="27" customHeight="1">
      <c r="A266" s="26">
        <v>265</v>
      </c>
      <c r="B266" s="26" t="s">
        <v>1227</v>
      </c>
      <c r="C266" s="26" t="s">
        <v>1217</v>
      </c>
      <c r="D266" s="29" t="s">
        <v>1228</v>
      </c>
      <c r="E266" s="26" t="s">
        <v>635</v>
      </c>
      <c r="F266" s="29" t="s">
        <v>1229</v>
      </c>
      <c r="G266" s="26">
        <v>8</v>
      </c>
      <c r="H266" s="31">
        <v>1707</v>
      </c>
      <c r="I266" s="31">
        <v>0</v>
      </c>
      <c r="J266" s="31">
        <v>8</v>
      </c>
      <c r="K266" s="31">
        <v>3</v>
      </c>
      <c r="L266" s="31">
        <v>0</v>
      </c>
      <c r="M266" s="31">
        <v>0</v>
      </c>
      <c r="N266" s="39" t="s">
        <v>628</v>
      </c>
      <c r="O266" s="85" t="s">
        <v>25</v>
      </c>
      <c r="P266" s="26" t="s">
        <v>127</v>
      </c>
      <c r="Q266" s="35">
        <v>41753</v>
      </c>
      <c r="R266" s="34"/>
    </row>
    <row r="267" spans="1:18" s="22" customFormat="1" ht="27" customHeight="1">
      <c r="A267" s="26">
        <v>266</v>
      </c>
      <c r="B267" s="26" t="s">
        <v>1205</v>
      </c>
      <c r="C267" s="26" t="s">
        <v>1217</v>
      </c>
      <c r="D267" s="29" t="s">
        <v>1224</v>
      </c>
      <c r="E267" s="26" t="s">
        <v>789</v>
      </c>
      <c r="F267" s="29" t="s">
        <v>1225</v>
      </c>
      <c r="G267" s="26">
        <v>8</v>
      </c>
      <c r="H267" s="31">
        <v>1292</v>
      </c>
      <c r="I267" s="31">
        <v>0</v>
      </c>
      <c r="J267" s="31">
        <v>8</v>
      </c>
      <c r="K267" s="31">
        <v>0</v>
      </c>
      <c r="L267" s="31">
        <v>0</v>
      </c>
      <c r="M267" s="31">
        <v>0</v>
      </c>
      <c r="N267" s="39" t="s">
        <v>432</v>
      </c>
      <c r="O267" s="85" t="s">
        <v>25</v>
      </c>
      <c r="P267" s="26" t="s">
        <v>127</v>
      </c>
      <c r="Q267" s="35">
        <v>41628</v>
      </c>
      <c r="R267" s="34" t="s">
        <v>1226</v>
      </c>
    </row>
    <row r="268" spans="1:18" s="171" customFormat="1" ht="27" customHeight="1">
      <c r="A268" s="26">
        <v>267</v>
      </c>
      <c r="B268" s="26" t="s">
        <v>234</v>
      </c>
      <c r="C268" s="26" t="s">
        <v>235</v>
      </c>
      <c r="D268" s="30" t="s">
        <v>379</v>
      </c>
      <c r="E268" s="26" t="s">
        <v>125</v>
      </c>
      <c r="F268" s="29" t="s">
        <v>1215</v>
      </c>
      <c r="G268" s="26">
        <v>11</v>
      </c>
      <c r="H268" s="32">
        <v>1672</v>
      </c>
      <c r="I268" s="32">
        <v>0</v>
      </c>
      <c r="J268" s="32">
        <v>11</v>
      </c>
      <c r="K268" s="32">
        <v>1</v>
      </c>
      <c r="L268" s="32">
        <v>0</v>
      </c>
      <c r="M268" s="32">
        <v>0</v>
      </c>
      <c r="N268" s="39" t="s">
        <v>125</v>
      </c>
      <c r="O268" s="26" t="s">
        <v>422</v>
      </c>
      <c r="P268" s="217" t="s">
        <v>322</v>
      </c>
      <c r="Q268" s="36">
        <v>38862</v>
      </c>
      <c r="R268" s="29"/>
    </row>
    <row r="269" spans="1:18" s="184" customFormat="1" ht="27" customHeight="1">
      <c r="A269" s="26">
        <v>268</v>
      </c>
      <c r="B269" s="26" t="s">
        <v>234</v>
      </c>
      <c r="C269" s="26" t="s">
        <v>235</v>
      </c>
      <c r="D269" s="65" t="s">
        <v>1221</v>
      </c>
      <c r="E269" s="33" t="s">
        <v>625</v>
      </c>
      <c r="F269" s="65" t="s">
        <v>1222</v>
      </c>
      <c r="G269" s="26">
        <v>6</v>
      </c>
      <c r="H269" s="32">
        <v>1286</v>
      </c>
      <c r="I269" s="32">
        <v>0</v>
      </c>
      <c r="J269" s="32">
        <v>6</v>
      </c>
      <c r="K269" s="32">
        <v>3</v>
      </c>
      <c r="L269" s="32">
        <v>0</v>
      </c>
      <c r="M269" s="32">
        <v>1</v>
      </c>
      <c r="N269" s="112" t="s">
        <v>946</v>
      </c>
      <c r="O269" s="33" t="s">
        <v>450</v>
      </c>
      <c r="P269" s="29" t="s">
        <v>27</v>
      </c>
      <c r="Q269" s="36">
        <v>41207</v>
      </c>
      <c r="R269" s="29"/>
    </row>
    <row r="270" spans="1:18" s="184" customFormat="1" ht="27" customHeight="1">
      <c r="A270" s="26">
        <v>269</v>
      </c>
      <c r="B270" s="26" t="s">
        <v>234</v>
      </c>
      <c r="C270" s="26" t="s">
        <v>235</v>
      </c>
      <c r="D270" s="30" t="s">
        <v>371</v>
      </c>
      <c r="E270" s="26" t="s">
        <v>144</v>
      </c>
      <c r="F270" s="30" t="s">
        <v>1213</v>
      </c>
      <c r="G270" s="26">
        <v>8</v>
      </c>
      <c r="H270" s="32">
        <v>1402</v>
      </c>
      <c r="I270" s="32">
        <f>G270-J270</f>
        <v>0</v>
      </c>
      <c r="J270" s="32">
        <v>8</v>
      </c>
      <c r="K270" s="32">
        <v>4</v>
      </c>
      <c r="L270" s="32">
        <v>0</v>
      </c>
      <c r="M270" s="32">
        <v>0</v>
      </c>
      <c r="N270" s="112" t="s">
        <v>1026</v>
      </c>
      <c r="O270" s="67" t="s">
        <v>450</v>
      </c>
      <c r="P270" s="29" t="s">
        <v>27</v>
      </c>
      <c r="Q270" s="36">
        <v>39784</v>
      </c>
      <c r="R270" s="29"/>
    </row>
    <row r="271" spans="1:18" s="160" customFormat="1" ht="27" customHeight="1">
      <c r="A271" s="26">
        <v>270</v>
      </c>
      <c r="B271" s="26" t="s">
        <v>1205</v>
      </c>
      <c r="C271" s="26" t="s">
        <v>1217</v>
      </c>
      <c r="D271" s="65" t="s">
        <v>1218</v>
      </c>
      <c r="E271" s="33" t="s">
        <v>789</v>
      </c>
      <c r="F271" s="65" t="s">
        <v>1219</v>
      </c>
      <c r="G271" s="26">
        <v>4</v>
      </c>
      <c r="H271" s="32">
        <v>497</v>
      </c>
      <c r="I271" s="32">
        <v>0</v>
      </c>
      <c r="J271" s="32">
        <v>4</v>
      </c>
      <c r="K271" s="32">
        <v>1</v>
      </c>
      <c r="L271" s="32">
        <v>0</v>
      </c>
      <c r="M271" s="32">
        <v>0</v>
      </c>
      <c r="N271" s="112" t="s">
        <v>432</v>
      </c>
      <c r="O271" s="67" t="s">
        <v>450</v>
      </c>
      <c r="P271" s="29" t="s">
        <v>27</v>
      </c>
      <c r="Q271" s="36">
        <v>41598</v>
      </c>
      <c r="R271" s="29" t="s">
        <v>1220</v>
      </c>
    </row>
    <row r="272" spans="1:18" s="63" customFormat="1" ht="27" customHeight="1">
      <c r="A272" s="26">
        <v>271</v>
      </c>
      <c r="B272" s="33" t="s">
        <v>1205</v>
      </c>
      <c r="C272" s="33" t="s">
        <v>1230</v>
      </c>
      <c r="D272" s="65" t="s">
        <v>1231</v>
      </c>
      <c r="E272" s="33" t="s">
        <v>538</v>
      </c>
      <c r="F272" s="65" t="s">
        <v>1232</v>
      </c>
      <c r="G272" s="26">
        <v>10</v>
      </c>
      <c r="H272" s="32">
        <v>1757</v>
      </c>
      <c r="I272" s="32">
        <v>0</v>
      </c>
      <c r="J272" s="32">
        <v>10</v>
      </c>
      <c r="K272" s="32">
        <v>3</v>
      </c>
      <c r="L272" s="32">
        <v>0</v>
      </c>
      <c r="M272" s="32">
        <v>0</v>
      </c>
      <c r="N272" s="112" t="s">
        <v>432</v>
      </c>
      <c r="O272" s="33" t="s">
        <v>451</v>
      </c>
      <c r="P272" s="29" t="s">
        <v>308</v>
      </c>
      <c r="Q272" s="35">
        <v>41262</v>
      </c>
      <c r="R272" s="38" t="s">
        <v>1233</v>
      </c>
    </row>
    <row r="273" spans="1:18" s="171" customFormat="1" ht="24" customHeight="1">
      <c r="A273" s="26">
        <v>272</v>
      </c>
      <c r="B273" s="41" t="s">
        <v>170</v>
      </c>
      <c r="C273" s="41" t="s">
        <v>243</v>
      </c>
      <c r="D273" s="254" t="s">
        <v>1235</v>
      </c>
      <c r="E273" s="41" t="s">
        <v>146</v>
      </c>
      <c r="F273" s="170" t="s">
        <v>1236</v>
      </c>
      <c r="G273" s="41">
        <v>7</v>
      </c>
      <c r="H273" s="42">
        <v>802</v>
      </c>
      <c r="I273" s="49">
        <f>G273-J273</f>
        <v>0</v>
      </c>
      <c r="J273" s="42">
        <v>7</v>
      </c>
      <c r="K273" s="42">
        <v>3</v>
      </c>
      <c r="L273" s="42">
        <v>0</v>
      </c>
      <c r="M273" s="42">
        <v>0</v>
      </c>
      <c r="N273" s="243" t="s">
        <v>125</v>
      </c>
      <c r="O273" s="159" t="s">
        <v>451</v>
      </c>
      <c r="P273" s="43" t="s">
        <v>308</v>
      </c>
      <c r="Q273" s="44">
        <v>38380</v>
      </c>
      <c r="R273" s="170"/>
    </row>
    <row r="274" spans="1:18" s="171" customFormat="1" ht="24" customHeight="1">
      <c r="A274" s="26">
        <v>273</v>
      </c>
      <c r="B274" s="54" t="s">
        <v>170</v>
      </c>
      <c r="C274" s="54" t="s">
        <v>245</v>
      </c>
      <c r="D274" s="30" t="s">
        <v>261</v>
      </c>
      <c r="E274" s="26" t="s">
        <v>125</v>
      </c>
      <c r="F274" s="29" t="s">
        <v>1455</v>
      </c>
      <c r="G274" s="26">
        <v>5</v>
      </c>
      <c r="H274" s="31">
        <v>616</v>
      </c>
      <c r="I274" s="31">
        <v>0</v>
      </c>
      <c r="J274" s="31">
        <v>5</v>
      </c>
      <c r="K274" s="31">
        <v>0</v>
      </c>
      <c r="L274" s="31"/>
      <c r="M274" s="31">
        <v>0</v>
      </c>
      <c r="N274" s="39" t="s">
        <v>125</v>
      </c>
      <c r="O274" s="54" t="s">
        <v>18</v>
      </c>
      <c r="P274" s="60"/>
      <c r="Q274" s="139" t="s">
        <v>447</v>
      </c>
      <c r="R274" s="55"/>
    </row>
    <row r="275" spans="1:18" s="16" customFormat="1" ht="24" customHeight="1">
      <c r="A275" s="26">
        <v>274</v>
      </c>
      <c r="B275" s="54" t="s">
        <v>170</v>
      </c>
      <c r="C275" s="54" t="s">
        <v>1457</v>
      </c>
      <c r="D275" s="30" t="s">
        <v>307</v>
      </c>
      <c r="E275" s="26" t="s">
        <v>125</v>
      </c>
      <c r="F275" s="29" t="s">
        <v>1456</v>
      </c>
      <c r="G275" s="26">
        <v>3</v>
      </c>
      <c r="H275" s="31">
        <v>313</v>
      </c>
      <c r="I275" s="31">
        <v>0</v>
      </c>
      <c r="J275" s="31">
        <v>3</v>
      </c>
      <c r="K275" s="31">
        <v>0</v>
      </c>
      <c r="L275" s="31">
        <v>0</v>
      </c>
      <c r="M275" s="31">
        <v>0</v>
      </c>
      <c r="N275" s="39" t="s">
        <v>125</v>
      </c>
      <c r="O275" s="54" t="s">
        <v>92</v>
      </c>
      <c r="P275" s="60" t="s">
        <v>39</v>
      </c>
      <c r="Q275" s="139" t="s">
        <v>448</v>
      </c>
      <c r="R275" s="29"/>
    </row>
    <row r="276" spans="1:18" s="16" customFormat="1" ht="24" customHeight="1">
      <c r="A276" s="26">
        <v>275</v>
      </c>
      <c r="B276" s="30" t="s">
        <v>1487</v>
      </c>
      <c r="C276" s="26" t="s">
        <v>1488</v>
      </c>
      <c r="D276" s="29" t="s">
        <v>1489</v>
      </c>
      <c r="E276" s="26" t="s">
        <v>1490</v>
      </c>
      <c r="F276" s="29" t="s">
        <v>1491</v>
      </c>
      <c r="G276" s="26">
        <v>7</v>
      </c>
      <c r="H276" s="31">
        <v>1076</v>
      </c>
      <c r="I276" s="31">
        <v>0</v>
      </c>
      <c r="J276" s="31">
        <v>7</v>
      </c>
      <c r="K276" s="31">
        <v>7</v>
      </c>
      <c r="L276" s="42">
        <v>0</v>
      </c>
      <c r="M276" s="42">
        <v>0</v>
      </c>
      <c r="N276" s="39" t="s">
        <v>1492</v>
      </c>
      <c r="O276" s="85" t="s">
        <v>25</v>
      </c>
      <c r="P276" s="26" t="s">
        <v>127</v>
      </c>
      <c r="Q276" s="35">
        <v>41979</v>
      </c>
      <c r="R276" s="34"/>
    </row>
    <row r="277" spans="1:18" s="16" customFormat="1" ht="24" customHeight="1">
      <c r="A277" s="26">
        <v>276</v>
      </c>
      <c r="B277" s="54" t="s">
        <v>170</v>
      </c>
      <c r="C277" s="54" t="s">
        <v>260</v>
      </c>
      <c r="D277" s="30" t="s">
        <v>286</v>
      </c>
      <c r="E277" s="26" t="s">
        <v>125</v>
      </c>
      <c r="F277" s="30" t="s">
        <v>1458</v>
      </c>
      <c r="G277" s="26">
        <v>2</v>
      </c>
      <c r="H277" s="32">
        <v>175</v>
      </c>
      <c r="I277" s="31">
        <v>0</v>
      </c>
      <c r="J277" s="32">
        <v>2</v>
      </c>
      <c r="K277" s="32">
        <v>1</v>
      </c>
      <c r="L277" s="32">
        <v>0</v>
      </c>
      <c r="M277" s="31">
        <v>0</v>
      </c>
      <c r="N277" s="39" t="s">
        <v>125</v>
      </c>
      <c r="O277" s="54" t="s">
        <v>94</v>
      </c>
      <c r="P277" s="55"/>
      <c r="Q277" s="57">
        <v>39854</v>
      </c>
      <c r="R277" s="55"/>
    </row>
    <row r="278" spans="1:18" s="16" customFormat="1" ht="24" customHeight="1">
      <c r="A278" s="26">
        <v>277</v>
      </c>
      <c r="B278" s="33" t="s">
        <v>1237</v>
      </c>
      <c r="C278" s="33" t="s">
        <v>1238</v>
      </c>
      <c r="D278" s="65" t="s">
        <v>1239</v>
      </c>
      <c r="E278" s="33" t="s">
        <v>538</v>
      </c>
      <c r="F278" s="65" t="s">
        <v>1241</v>
      </c>
      <c r="G278" s="26">
        <v>6</v>
      </c>
      <c r="H278" s="32">
        <v>1076</v>
      </c>
      <c r="I278" s="32">
        <f>G278-J278</f>
        <v>0</v>
      </c>
      <c r="J278" s="32">
        <v>6</v>
      </c>
      <c r="K278" s="32">
        <v>6</v>
      </c>
      <c r="L278" s="173">
        <v>0</v>
      </c>
      <c r="M278" s="32">
        <v>0</v>
      </c>
      <c r="N278" s="112" t="s">
        <v>432</v>
      </c>
      <c r="O278" s="67" t="s">
        <v>450</v>
      </c>
      <c r="P278" s="29" t="s">
        <v>27</v>
      </c>
      <c r="Q278" s="35">
        <v>40658</v>
      </c>
      <c r="R278" s="28"/>
    </row>
    <row r="279" spans="1:18" s="16" customFormat="1" ht="24" customHeight="1">
      <c r="A279" s="26">
        <v>278</v>
      </c>
      <c r="B279" s="26" t="s">
        <v>170</v>
      </c>
      <c r="C279" s="33" t="s">
        <v>1242</v>
      </c>
      <c r="D279" s="65" t="s">
        <v>1243</v>
      </c>
      <c r="E279" s="33" t="s">
        <v>538</v>
      </c>
      <c r="F279" s="65" t="s">
        <v>1244</v>
      </c>
      <c r="G279" s="26">
        <v>5</v>
      </c>
      <c r="H279" s="31">
        <v>738</v>
      </c>
      <c r="I279" s="32">
        <f>G279-J279</f>
        <v>0</v>
      </c>
      <c r="J279" s="31">
        <v>5</v>
      </c>
      <c r="K279" s="31">
        <v>2</v>
      </c>
      <c r="L279" s="31">
        <v>0</v>
      </c>
      <c r="M279" s="31">
        <v>0</v>
      </c>
      <c r="N279" s="112" t="s">
        <v>432</v>
      </c>
      <c r="O279" s="33" t="s">
        <v>451</v>
      </c>
      <c r="P279" s="29" t="s">
        <v>308</v>
      </c>
      <c r="Q279" s="35">
        <v>40611</v>
      </c>
      <c r="R279" s="65" t="s">
        <v>1245</v>
      </c>
    </row>
    <row r="280" spans="1:18" s="171" customFormat="1" ht="24" customHeight="1">
      <c r="A280" s="26">
        <v>279</v>
      </c>
      <c r="B280" s="33" t="s">
        <v>1237</v>
      </c>
      <c r="C280" s="33" t="s">
        <v>1247</v>
      </c>
      <c r="D280" s="65" t="s">
        <v>1248</v>
      </c>
      <c r="E280" s="33" t="s">
        <v>625</v>
      </c>
      <c r="F280" s="65" t="s">
        <v>1249</v>
      </c>
      <c r="G280" s="26">
        <v>6</v>
      </c>
      <c r="H280" s="32">
        <v>964</v>
      </c>
      <c r="I280" s="32">
        <v>0</v>
      </c>
      <c r="J280" s="32">
        <v>6</v>
      </c>
      <c r="K280" s="32">
        <v>2</v>
      </c>
      <c r="L280" s="173">
        <v>0</v>
      </c>
      <c r="M280" s="32">
        <v>0</v>
      </c>
      <c r="N280" s="112" t="s">
        <v>432</v>
      </c>
      <c r="O280" s="67" t="s">
        <v>450</v>
      </c>
      <c r="P280" s="29" t="s">
        <v>27</v>
      </c>
      <c r="Q280" s="35">
        <v>41663</v>
      </c>
      <c r="R280" s="28"/>
    </row>
    <row r="281" spans="1:18" s="171" customFormat="1" ht="24" customHeight="1">
      <c r="A281" s="26">
        <v>280</v>
      </c>
      <c r="B281" s="26" t="s">
        <v>170</v>
      </c>
      <c r="C281" s="26" t="s">
        <v>236</v>
      </c>
      <c r="D281" s="29" t="s">
        <v>352</v>
      </c>
      <c r="E281" s="26" t="s">
        <v>144</v>
      </c>
      <c r="F281" s="29" t="s">
        <v>1250</v>
      </c>
      <c r="G281" s="26">
        <v>8</v>
      </c>
      <c r="H281" s="31">
        <v>1118</v>
      </c>
      <c r="I281" s="31">
        <f>G281-J281</f>
        <v>0</v>
      </c>
      <c r="J281" s="31">
        <v>8</v>
      </c>
      <c r="K281" s="31">
        <v>4</v>
      </c>
      <c r="L281" s="31">
        <v>0</v>
      </c>
      <c r="M281" s="31">
        <v>0</v>
      </c>
      <c r="N281" s="39" t="s">
        <v>628</v>
      </c>
      <c r="O281" s="85" t="s">
        <v>25</v>
      </c>
      <c r="P281" s="26" t="s">
        <v>127</v>
      </c>
      <c r="Q281" s="35">
        <v>39172</v>
      </c>
      <c r="R281" s="29"/>
    </row>
    <row r="282" spans="1:18" s="16" customFormat="1" ht="24" customHeight="1">
      <c r="A282" s="26">
        <v>281</v>
      </c>
      <c r="B282" s="26" t="s">
        <v>1257</v>
      </c>
      <c r="C282" s="26" t="s">
        <v>1258</v>
      </c>
      <c r="D282" s="29" t="s">
        <v>1259</v>
      </c>
      <c r="E282" s="26" t="s">
        <v>625</v>
      </c>
      <c r="F282" s="29" t="s">
        <v>1260</v>
      </c>
      <c r="G282" s="26">
        <v>10</v>
      </c>
      <c r="H282" s="31">
        <v>1190</v>
      </c>
      <c r="I282" s="31">
        <v>0</v>
      </c>
      <c r="J282" s="31">
        <v>10</v>
      </c>
      <c r="K282" s="31">
        <v>6</v>
      </c>
      <c r="L282" s="31">
        <v>0</v>
      </c>
      <c r="M282" s="31">
        <v>1</v>
      </c>
      <c r="N282" s="39" t="s">
        <v>1261</v>
      </c>
      <c r="O282" s="85" t="s">
        <v>25</v>
      </c>
      <c r="P282" s="26" t="s">
        <v>127</v>
      </c>
      <c r="Q282" s="35">
        <v>41334</v>
      </c>
      <c r="R282" s="29"/>
    </row>
    <row r="283" spans="1:18" s="160" customFormat="1" ht="24" customHeight="1">
      <c r="A283" s="26">
        <v>282</v>
      </c>
      <c r="B283" s="26" t="s">
        <v>170</v>
      </c>
      <c r="C283" s="26" t="s">
        <v>236</v>
      </c>
      <c r="D283" s="65" t="s">
        <v>1254</v>
      </c>
      <c r="E283" s="26" t="s">
        <v>625</v>
      </c>
      <c r="F283" s="30" t="s">
        <v>1255</v>
      </c>
      <c r="G283" s="26">
        <v>9</v>
      </c>
      <c r="H283" s="31">
        <v>1290</v>
      </c>
      <c r="I283" s="32">
        <v>0</v>
      </c>
      <c r="J283" s="31">
        <v>9</v>
      </c>
      <c r="K283" s="31">
        <v>3</v>
      </c>
      <c r="L283" s="31">
        <v>0</v>
      </c>
      <c r="M283" s="31">
        <v>0</v>
      </c>
      <c r="N283" s="39" t="s">
        <v>1256</v>
      </c>
      <c r="O283" s="33" t="s">
        <v>451</v>
      </c>
      <c r="P283" s="29" t="s">
        <v>308</v>
      </c>
      <c r="Q283" s="35">
        <v>38561</v>
      </c>
      <c r="R283" s="30"/>
    </row>
    <row r="284" spans="1:18" s="160" customFormat="1" ht="24" customHeight="1">
      <c r="A284" s="26">
        <v>283</v>
      </c>
      <c r="B284" s="26" t="s">
        <v>170</v>
      </c>
      <c r="C284" s="26" t="s">
        <v>236</v>
      </c>
      <c r="D284" s="30" t="s">
        <v>46</v>
      </c>
      <c r="E284" s="26" t="s">
        <v>125</v>
      </c>
      <c r="F284" s="30" t="s">
        <v>1251</v>
      </c>
      <c r="G284" s="26">
        <v>10</v>
      </c>
      <c r="H284" s="31">
        <v>1725</v>
      </c>
      <c r="I284" s="32">
        <v>0</v>
      </c>
      <c r="J284" s="31">
        <v>10</v>
      </c>
      <c r="K284" s="31">
        <v>3</v>
      </c>
      <c r="L284" s="31">
        <v>0</v>
      </c>
      <c r="M284" s="31">
        <v>0</v>
      </c>
      <c r="N284" s="112" t="s">
        <v>1252</v>
      </c>
      <c r="O284" s="26" t="s">
        <v>93</v>
      </c>
      <c r="P284" s="218" t="s">
        <v>1253</v>
      </c>
      <c r="Q284" s="35">
        <v>37155</v>
      </c>
      <c r="R284" s="29"/>
    </row>
    <row r="285" spans="1:18" s="16" customFormat="1" ht="24" customHeight="1">
      <c r="A285" s="26">
        <v>284</v>
      </c>
      <c r="B285" s="26" t="s">
        <v>170</v>
      </c>
      <c r="C285" s="33" t="s">
        <v>1262</v>
      </c>
      <c r="D285" s="38" t="s">
        <v>1263</v>
      </c>
      <c r="E285" s="33" t="s">
        <v>538</v>
      </c>
      <c r="F285" s="38" t="s">
        <v>1264</v>
      </c>
      <c r="G285" s="26">
        <v>4</v>
      </c>
      <c r="H285" s="31">
        <v>568</v>
      </c>
      <c r="I285" s="31">
        <f>G285-J285</f>
        <v>0</v>
      </c>
      <c r="J285" s="31">
        <v>4</v>
      </c>
      <c r="K285" s="31">
        <v>2</v>
      </c>
      <c r="L285" s="31">
        <v>0</v>
      </c>
      <c r="M285" s="31">
        <v>0</v>
      </c>
      <c r="N285" s="39" t="s">
        <v>628</v>
      </c>
      <c r="O285" s="85" t="s">
        <v>25</v>
      </c>
      <c r="P285" s="26" t="s">
        <v>127</v>
      </c>
      <c r="Q285" s="35">
        <v>40899</v>
      </c>
      <c r="R285" s="29"/>
    </row>
    <row r="286" spans="1:18" s="16" customFormat="1" ht="23.25" customHeight="1">
      <c r="A286" s="26">
        <v>285</v>
      </c>
      <c r="B286" s="47" t="s">
        <v>199</v>
      </c>
      <c r="C286" s="47" t="s">
        <v>200</v>
      </c>
      <c r="D286" s="48" t="s">
        <v>384</v>
      </c>
      <c r="E286" s="47" t="s">
        <v>146</v>
      </c>
      <c r="F286" s="48" t="s">
        <v>1270</v>
      </c>
      <c r="G286" s="41">
        <v>7</v>
      </c>
      <c r="H286" s="42">
        <v>1027</v>
      </c>
      <c r="I286" s="42">
        <f>G286-J286</f>
        <v>0</v>
      </c>
      <c r="J286" s="42">
        <v>7</v>
      </c>
      <c r="K286" s="42">
        <v>0</v>
      </c>
      <c r="L286" s="42">
        <v>0</v>
      </c>
      <c r="M286" s="42">
        <v>0</v>
      </c>
      <c r="N286" s="243" t="s">
        <v>125</v>
      </c>
      <c r="O286" s="166" t="s">
        <v>25</v>
      </c>
      <c r="P286" s="41" t="s">
        <v>127</v>
      </c>
      <c r="Q286" s="44">
        <v>39779</v>
      </c>
      <c r="R286" s="219" t="s">
        <v>1271</v>
      </c>
    </row>
    <row r="287" spans="1:18" s="111" customFormat="1" ht="23.25" customHeight="1">
      <c r="A287" s="26">
        <v>286</v>
      </c>
      <c r="B287" s="27" t="s">
        <v>199</v>
      </c>
      <c r="C287" s="27" t="s">
        <v>200</v>
      </c>
      <c r="D287" s="250" t="s">
        <v>96</v>
      </c>
      <c r="E287" s="85" t="s">
        <v>789</v>
      </c>
      <c r="F287" s="250" t="s">
        <v>1269</v>
      </c>
      <c r="G287" s="26">
        <v>5</v>
      </c>
      <c r="H287" s="32">
        <v>975</v>
      </c>
      <c r="I287" s="32">
        <f>G287-J287</f>
        <v>0</v>
      </c>
      <c r="J287" s="32">
        <v>5</v>
      </c>
      <c r="K287" s="32">
        <v>2</v>
      </c>
      <c r="L287" s="32">
        <v>0</v>
      </c>
      <c r="M287" s="32">
        <v>0</v>
      </c>
      <c r="N287" s="39" t="s">
        <v>125</v>
      </c>
      <c r="O287" s="33" t="s">
        <v>450</v>
      </c>
      <c r="P287" s="29" t="s">
        <v>27</v>
      </c>
      <c r="Q287" s="35">
        <v>38834</v>
      </c>
      <c r="R287" s="28"/>
    </row>
    <row r="288" spans="1:18" s="184" customFormat="1" ht="23.25" customHeight="1">
      <c r="A288" s="26">
        <v>287</v>
      </c>
      <c r="B288" s="59" t="s">
        <v>508</v>
      </c>
      <c r="C288" s="59" t="s">
        <v>509</v>
      </c>
      <c r="D288" s="28" t="s">
        <v>507</v>
      </c>
      <c r="E288" s="27" t="s">
        <v>432</v>
      </c>
      <c r="F288" s="28" t="s">
        <v>1459</v>
      </c>
      <c r="G288" s="26">
        <v>2</v>
      </c>
      <c r="H288" s="32">
        <v>99</v>
      </c>
      <c r="I288" s="32">
        <v>0</v>
      </c>
      <c r="J288" s="32">
        <v>2</v>
      </c>
      <c r="K288" s="32">
        <v>1</v>
      </c>
      <c r="L288" s="32">
        <v>0</v>
      </c>
      <c r="M288" s="32">
        <v>0</v>
      </c>
      <c r="N288" s="39" t="s">
        <v>432</v>
      </c>
      <c r="O288" s="59" t="s">
        <v>589</v>
      </c>
      <c r="P288" s="54"/>
      <c r="Q288" s="57">
        <v>41512</v>
      </c>
      <c r="R288" s="60"/>
    </row>
    <row r="289" spans="1:18" s="184" customFormat="1" ht="23.25" customHeight="1">
      <c r="A289" s="26">
        <v>288</v>
      </c>
      <c r="B289" s="26" t="s">
        <v>199</v>
      </c>
      <c r="C289" s="26" t="s">
        <v>246</v>
      </c>
      <c r="D289" s="65" t="s">
        <v>1272</v>
      </c>
      <c r="E289" s="26" t="s">
        <v>146</v>
      </c>
      <c r="F289" s="29" t="s">
        <v>1273</v>
      </c>
      <c r="G289" s="26">
        <v>4</v>
      </c>
      <c r="H289" s="31">
        <v>615</v>
      </c>
      <c r="I289" s="32">
        <v>0</v>
      </c>
      <c r="J289" s="31">
        <v>4</v>
      </c>
      <c r="K289" s="31">
        <v>0</v>
      </c>
      <c r="L289" s="31">
        <v>0</v>
      </c>
      <c r="M289" s="31">
        <v>0</v>
      </c>
      <c r="N289" s="39" t="s">
        <v>125</v>
      </c>
      <c r="O289" s="33" t="s">
        <v>451</v>
      </c>
      <c r="P289" s="29" t="s">
        <v>308</v>
      </c>
      <c r="Q289" s="35">
        <v>39625</v>
      </c>
      <c r="R289" s="28"/>
    </row>
    <row r="290" spans="1:18" s="16" customFormat="1" ht="23.25" customHeight="1">
      <c r="A290" s="26">
        <v>289</v>
      </c>
      <c r="B290" s="26" t="s">
        <v>508</v>
      </c>
      <c r="C290" s="26" t="s">
        <v>592</v>
      </c>
      <c r="D290" s="65" t="s">
        <v>593</v>
      </c>
      <c r="E290" s="26" t="s">
        <v>432</v>
      </c>
      <c r="F290" s="29" t="s">
        <v>594</v>
      </c>
      <c r="G290" s="26">
        <v>2</v>
      </c>
      <c r="H290" s="31">
        <v>98</v>
      </c>
      <c r="I290" s="32">
        <v>0</v>
      </c>
      <c r="J290" s="31">
        <v>2</v>
      </c>
      <c r="K290" s="31">
        <v>1</v>
      </c>
      <c r="L290" s="31">
        <v>0</v>
      </c>
      <c r="M290" s="31">
        <v>0</v>
      </c>
      <c r="N290" s="39" t="s">
        <v>432</v>
      </c>
      <c r="O290" s="33" t="s">
        <v>595</v>
      </c>
      <c r="P290" s="26" t="s">
        <v>1415</v>
      </c>
      <c r="Q290" s="35">
        <v>41810</v>
      </c>
      <c r="R290" s="28"/>
    </row>
    <row r="291" spans="1:18" s="171" customFormat="1" ht="23.25" customHeight="1">
      <c r="A291" s="26">
        <v>290</v>
      </c>
      <c r="B291" s="26" t="s">
        <v>508</v>
      </c>
      <c r="C291" s="26" t="s">
        <v>596</v>
      </c>
      <c r="D291" s="65" t="s">
        <v>597</v>
      </c>
      <c r="E291" s="26" t="s">
        <v>432</v>
      </c>
      <c r="F291" s="29" t="s">
        <v>598</v>
      </c>
      <c r="G291" s="26">
        <v>2</v>
      </c>
      <c r="H291" s="31">
        <v>99</v>
      </c>
      <c r="I291" s="32">
        <v>0</v>
      </c>
      <c r="J291" s="31">
        <v>2</v>
      </c>
      <c r="K291" s="31">
        <v>1</v>
      </c>
      <c r="L291" s="31">
        <v>0</v>
      </c>
      <c r="M291" s="31">
        <v>0</v>
      </c>
      <c r="N291" s="39" t="s">
        <v>432</v>
      </c>
      <c r="O291" s="33" t="s">
        <v>599</v>
      </c>
      <c r="P291" s="29" t="s">
        <v>600</v>
      </c>
      <c r="Q291" s="35">
        <v>41871</v>
      </c>
      <c r="R291" s="28"/>
    </row>
    <row r="292" spans="1:18" s="171" customFormat="1" ht="23.25" customHeight="1">
      <c r="A292" s="26">
        <v>291</v>
      </c>
      <c r="B292" s="26" t="s">
        <v>508</v>
      </c>
      <c r="C292" s="26" t="s">
        <v>601</v>
      </c>
      <c r="D292" s="29" t="s">
        <v>605</v>
      </c>
      <c r="E292" s="26" t="s">
        <v>432</v>
      </c>
      <c r="F292" s="29" t="s">
        <v>602</v>
      </c>
      <c r="G292" s="26">
        <v>2</v>
      </c>
      <c r="H292" s="32">
        <v>91</v>
      </c>
      <c r="I292" s="31">
        <v>0</v>
      </c>
      <c r="J292" s="31">
        <v>2</v>
      </c>
      <c r="K292" s="31">
        <v>1</v>
      </c>
      <c r="L292" s="31">
        <v>0</v>
      </c>
      <c r="M292" s="31">
        <v>0</v>
      </c>
      <c r="N292" s="39" t="s">
        <v>432</v>
      </c>
      <c r="O292" s="27" t="s">
        <v>603</v>
      </c>
      <c r="P292" s="26" t="s">
        <v>604</v>
      </c>
      <c r="Q292" s="35">
        <v>41920</v>
      </c>
      <c r="R292" s="29"/>
    </row>
    <row r="293" spans="1:18" s="16" customFormat="1" ht="23.25" customHeight="1">
      <c r="A293" s="26">
        <v>292</v>
      </c>
      <c r="B293" s="26" t="s">
        <v>199</v>
      </c>
      <c r="C293" s="26" t="s">
        <v>247</v>
      </c>
      <c r="D293" s="29" t="s">
        <v>75</v>
      </c>
      <c r="E293" s="26" t="s">
        <v>146</v>
      </c>
      <c r="F293" s="29" t="s">
        <v>1274</v>
      </c>
      <c r="G293" s="26">
        <v>9</v>
      </c>
      <c r="H293" s="31">
        <v>1325</v>
      </c>
      <c r="I293" s="31">
        <v>0</v>
      </c>
      <c r="J293" s="31">
        <v>9</v>
      </c>
      <c r="K293" s="31">
        <v>4</v>
      </c>
      <c r="L293" s="31">
        <v>0</v>
      </c>
      <c r="M293" s="31">
        <v>0</v>
      </c>
      <c r="N293" s="39" t="s">
        <v>628</v>
      </c>
      <c r="O293" s="85" t="s">
        <v>25</v>
      </c>
      <c r="P293" s="26" t="s">
        <v>127</v>
      </c>
      <c r="Q293" s="35">
        <v>38141</v>
      </c>
      <c r="R293" s="29"/>
    </row>
    <row r="294" spans="1:18" s="171" customFormat="1" ht="23.25" customHeight="1">
      <c r="A294" s="26">
        <v>293</v>
      </c>
      <c r="B294" s="26" t="s">
        <v>508</v>
      </c>
      <c r="C294" s="26" t="s">
        <v>517</v>
      </c>
      <c r="D294" s="29" t="s">
        <v>518</v>
      </c>
      <c r="E294" s="26" t="s">
        <v>432</v>
      </c>
      <c r="F294" s="29" t="s">
        <v>1460</v>
      </c>
      <c r="G294" s="26">
        <v>2</v>
      </c>
      <c r="H294" s="32">
        <v>94</v>
      </c>
      <c r="I294" s="31">
        <v>0</v>
      </c>
      <c r="J294" s="31">
        <v>2</v>
      </c>
      <c r="K294" s="31">
        <v>1</v>
      </c>
      <c r="L294" s="31">
        <v>0</v>
      </c>
      <c r="M294" s="31">
        <v>0</v>
      </c>
      <c r="N294" s="39" t="s">
        <v>432</v>
      </c>
      <c r="O294" s="27" t="s">
        <v>590</v>
      </c>
      <c r="P294" s="26" t="s">
        <v>532</v>
      </c>
      <c r="Q294" s="35" t="s">
        <v>533</v>
      </c>
      <c r="R294" s="29"/>
    </row>
    <row r="295" spans="1:18" s="171" customFormat="1" ht="23.25" customHeight="1">
      <c r="A295" s="26">
        <v>294</v>
      </c>
      <c r="B295" s="54" t="s">
        <v>199</v>
      </c>
      <c r="C295" s="54" t="s">
        <v>288</v>
      </c>
      <c r="D295" s="30" t="s">
        <v>387</v>
      </c>
      <c r="E295" s="26" t="s">
        <v>125</v>
      </c>
      <c r="F295" s="30" t="s">
        <v>1461</v>
      </c>
      <c r="G295" s="26">
        <v>2</v>
      </c>
      <c r="H295" s="31">
        <v>90</v>
      </c>
      <c r="I295" s="31">
        <f>G295-J295</f>
        <v>0</v>
      </c>
      <c r="J295" s="31">
        <v>2</v>
      </c>
      <c r="K295" s="31">
        <v>1</v>
      </c>
      <c r="L295" s="31">
        <v>0</v>
      </c>
      <c r="M295" s="31">
        <v>0</v>
      </c>
      <c r="N295" s="39" t="s">
        <v>125</v>
      </c>
      <c r="O295" s="54" t="s">
        <v>388</v>
      </c>
      <c r="P295" s="56" t="s">
        <v>14</v>
      </c>
      <c r="Q295" s="57">
        <v>40507</v>
      </c>
      <c r="R295" s="56"/>
    </row>
    <row r="296" spans="1:18" s="171" customFormat="1" ht="23.25" customHeight="1">
      <c r="A296" s="26">
        <v>295</v>
      </c>
      <c r="B296" s="26" t="s">
        <v>199</v>
      </c>
      <c r="C296" s="26" t="s">
        <v>171</v>
      </c>
      <c r="D296" s="29" t="s">
        <v>76</v>
      </c>
      <c r="E296" s="33" t="s">
        <v>538</v>
      </c>
      <c r="F296" s="29" t="s">
        <v>1287</v>
      </c>
      <c r="G296" s="26">
        <v>6</v>
      </c>
      <c r="H296" s="31">
        <v>1192</v>
      </c>
      <c r="I296" s="31">
        <f>G296-J296</f>
        <v>0</v>
      </c>
      <c r="J296" s="31">
        <v>6</v>
      </c>
      <c r="K296" s="31">
        <v>1</v>
      </c>
      <c r="L296" s="31">
        <v>0</v>
      </c>
      <c r="M296" s="31">
        <v>0</v>
      </c>
      <c r="N296" s="39" t="s">
        <v>125</v>
      </c>
      <c r="O296" s="85" t="s">
        <v>25</v>
      </c>
      <c r="P296" s="26" t="s">
        <v>127</v>
      </c>
      <c r="Q296" s="35">
        <v>37931</v>
      </c>
      <c r="R296" s="29" t="s">
        <v>1288</v>
      </c>
    </row>
    <row r="297" spans="1:18" s="171" customFormat="1" ht="23.25" customHeight="1">
      <c r="A297" s="26">
        <v>296</v>
      </c>
      <c r="B297" s="26" t="s">
        <v>508</v>
      </c>
      <c r="C297" s="26" t="s">
        <v>438</v>
      </c>
      <c r="D297" s="29" t="s">
        <v>1284</v>
      </c>
      <c r="E297" s="33" t="s">
        <v>635</v>
      </c>
      <c r="F297" s="29" t="s">
        <v>1285</v>
      </c>
      <c r="G297" s="26">
        <v>7</v>
      </c>
      <c r="H297" s="31">
        <v>1795</v>
      </c>
      <c r="I297" s="31">
        <v>0</v>
      </c>
      <c r="J297" s="31">
        <v>7</v>
      </c>
      <c r="K297" s="31">
        <v>3</v>
      </c>
      <c r="L297" s="31">
        <v>1</v>
      </c>
      <c r="M297" s="31">
        <v>0</v>
      </c>
      <c r="N297" s="39" t="s">
        <v>1286</v>
      </c>
      <c r="O297" s="85" t="s">
        <v>25</v>
      </c>
      <c r="P297" s="26" t="s">
        <v>127</v>
      </c>
      <c r="Q297" s="35">
        <v>41879</v>
      </c>
      <c r="R297" s="29"/>
    </row>
    <row r="298" spans="1:18" s="142" customFormat="1" ht="23.25" customHeight="1">
      <c r="A298" s="26">
        <v>297</v>
      </c>
      <c r="B298" s="26" t="s">
        <v>199</v>
      </c>
      <c r="C298" s="26" t="s">
        <v>171</v>
      </c>
      <c r="D298" s="30" t="s">
        <v>1280</v>
      </c>
      <c r="E298" s="26" t="s">
        <v>144</v>
      </c>
      <c r="F298" s="30" t="s">
        <v>1281</v>
      </c>
      <c r="G298" s="26">
        <v>8</v>
      </c>
      <c r="H298" s="32">
        <v>1626</v>
      </c>
      <c r="I298" s="32">
        <f>G298-J298</f>
        <v>0</v>
      </c>
      <c r="J298" s="32">
        <v>8</v>
      </c>
      <c r="K298" s="32">
        <v>6</v>
      </c>
      <c r="L298" s="32">
        <v>0</v>
      </c>
      <c r="M298" s="32">
        <v>0</v>
      </c>
      <c r="N298" s="112" t="s">
        <v>432</v>
      </c>
      <c r="O298" s="67" t="s">
        <v>450</v>
      </c>
      <c r="P298" s="29" t="s">
        <v>27</v>
      </c>
      <c r="Q298" s="35">
        <v>38135</v>
      </c>
      <c r="R298" s="29"/>
    </row>
    <row r="299" spans="1:18" s="142" customFormat="1" ht="23.25" customHeight="1">
      <c r="A299" s="26">
        <v>298</v>
      </c>
      <c r="B299" s="26" t="s">
        <v>199</v>
      </c>
      <c r="C299" s="26" t="s">
        <v>171</v>
      </c>
      <c r="D299" s="65" t="s">
        <v>1278</v>
      </c>
      <c r="E299" s="33" t="s">
        <v>625</v>
      </c>
      <c r="F299" s="65" t="s">
        <v>1279</v>
      </c>
      <c r="G299" s="26">
        <v>6</v>
      </c>
      <c r="H299" s="32">
        <v>922</v>
      </c>
      <c r="I299" s="32">
        <v>0</v>
      </c>
      <c r="J299" s="32">
        <v>6</v>
      </c>
      <c r="K299" s="32">
        <v>3</v>
      </c>
      <c r="L299" s="32">
        <v>0</v>
      </c>
      <c r="M299" s="32">
        <v>0</v>
      </c>
      <c r="N299" s="112" t="s">
        <v>432</v>
      </c>
      <c r="O299" s="33" t="s">
        <v>450</v>
      </c>
      <c r="P299" s="29" t="s">
        <v>27</v>
      </c>
      <c r="Q299" s="35">
        <v>41179</v>
      </c>
      <c r="R299" s="29"/>
    </row>
    <row r="300" spans="1:18" ht="23.25" customHeight="1">
      <c r="A300" s="26">
        <v>299</v>
      </c>
      <c r="B300" s="26" t="s">
        <v>199</v>
      </c>
      <c r="C300" s="26" t="s">
        <v>171</v>
      </c>
      <c r="D300" s="65" t="s">
        <v>1276</v>
      </c>
      <c r="E300" s="26" t="s">
        <v>146</v>
      </c>
      <c r="F300" s="255" t="s">
        <v>1277</v>
      </c>
      <c r="G300" s="26">
        <v>8</v>
      </c>
      <c r="H300" s="31">
        <v>1225</v>
      </c>
      <c r="I300" s="32">
        <f>G300-J300</f>
        <v>0</v>
      </c>
      <c r="J300" s="31">
        <v>8</v>
      </c>
      <c r="K300" s="31">
        <v>6</v>
      </c>
      <c r="L300" s="31">
        <v>0</v>
      </c>
      <c r="M300" s="31">
        <v>0</v>
      </c>
      <c r="N300" s="39" t="s">
        <v>125</v>
      </c>
      <c r="O300" s="33" t="s">
        <v>451</v>
      </c>
      <c r="P300" s="29" t="s">
        <v>308</v>
      </c>
      <c r="Q300" s="35">
        <v>39139</v>
      </c>
      <c r="R300" s="186"/>
    </row>
    <row r="301" spans="1:18" s="61" customFormat="1" ht="23.25" customHeight="1">
      <c r="A301" s="26">
        <v>300</v>
      </c>
      <c r="B301" s="26" t="s">
        <v>199</v>
      </c>
      <c r="C301" s="26" t="s">
        <v>171</v>
      </c>
      <c r="D301" s="30" t="s">
        <v>1289</v>
      </c>
      <c r="E301" s="26" t="s">
        <v>144</v>
      </c>
      <c r="F301" s="30" t="s">
        <v>1290</v>
      </c>
      <c r="G301" s="26">
        <v>10</v>
      </c>
      <c r="H301" s="31">
        <v>1574</v>
      </c>
      <c r="I301" s="32">
        <f>G301-J301</f>
        <v>0</v>
      </c>
      <c r="J301" s="31">
        <v>10</v>
      </c>
      <c r="K301" s="31">
        <v>1</v>
      </c>
      <c r="L301" s="31">
        <v>0</v>
      </c>
      <c r="M301" s="31">
        <v>0</v>
      </c>
      <c r="N301" s="39" t="s">
        <v>1170</v>
      </c>
      <c r="O301" s="33" t="s">
        <v>451</v>
      </c>
      <c r="P301" s="29" t="s">
        <v>308</v>
      </c>
      <c r="Q301" s="26" t="s">
        <v>140</v>
      </c>
      <c r="R301" s="29"/>
    </row>
    <row r="302" spans="1:18" s="16" customFormat="1" ht="23.25" customHeight="1">
      <c r="A302" s="26">
        <v>301</v>
      </c>
      <c r="B302" s="26" t="s">
        <v>199</v>
      </c>
      <c r="C302" s="26" t="s">
        <v>438</v>
      </c>
      <c r="D302" s="29" t="s">
        <v>439</v>
      </c>
      <c r="E302" s="26" t="s">
        <v>432</v>
      </c>
      <c r="F302" s="29" t="s">
        <v>1462</v>
      </c>
      <c r="G302" s="67">
        <v>1</v>
      </c>
      <c r="H302" s="84">
        <v>98</v>
      </c>
      <c r="I302" s="31">
        <f>G302-J302</f>
        <v>0</v>
      </c>
      <c r="J302" s="84">
        <v>1</v>
      </c>
      <c r="K302" s="84">
        <v>0</v>
      </c>
      <c r="L302" s="84">
        <v>0</v>
      </c>
      <c r="M302" s="84">
        <v>0</v>
      </c>
      <c r="N302" s="69" t="s">
        <v>432</v>
      </c>
      <c r="O302" s="26" t="s">
        <v>441</v>
      </c>
      <c r="P302" s="38" t="s">
        <v>483</v>
      </c>
      <c r="Q302" s="29"/>
      <c r="R302" s="29" t="s">
        <v>442</v>
      </c>
    </row>
    <row r="303" spans="1:18" s="5" customFormat="1" ht="23.25" customHeight="1">
      <c r="A303" s="26">
        <v>302</v>
      </c>
      <c r="B303" s="59" t="s">
        <v>199</v>
      </c>
      <c r="C303" s="59" t="s">
        <v>171</v>
      </c>
      <c r="D303" s="28" t="s">
        <v>97</v>
      </c>
      <c r="E303" s="27" t="s">
        <v>125</v>
      </c>
      <c r="F303" s="28" t="s">
        <v>1463</v>
      </c>
      <c r="G303" s="26">
        <v>6</v>
      </c>
      <c r="H303" s="32">
        <v>919</v>
      </c>
      <c r="I303" s="31">
        <v>0</v>
      </c>
      <c r="J303" s="31">
        <v>6</v>
      </c>
      <c r="K303" s="31">
        <v>1</v>
      </c>
      <c r="L303" s="31">
        <v>0</v>
      </c>
      <c r="M303" s="31">
        <v>0</v>
      </c>
      <c r="N303" s="39" t="s">
        <v>125</v>
      </c>
      <c r="O303" s="59" t="s">
        <v>421</v>
      </c>
      <c r="P303" s="54" t="s">
        <v>313</v>
      </c>
      <c r="Q303" s="57">
        <v>37869</v>
      </c>
      <c r="R303" s="60" t="s">
        <v>516</v>
      </c>
    </row>
    <row r="304" spans="1:18" s="5" customFormat="1" ht="23.25" customHeight="1">
      <c r="A304" s="26">
        <v>303</v>
      </c>
      <c r="B304" s="26" t="s">
        <v>1292</v>
      </c>
      <c r="C304" s="26" t="s">
        <v>1293</v>
      </c>
      <c r="D304" s="29" t="s">
        <v>1294</v>
      </c>
      <c r="E304" s="33" t="s">
        <v>789</v>
      </c>
      <c r="F304" s="29" t="s">
        <v>1295</v>
      </c>
      <c r="G304" s="26">
        <v>4</v>
      </c>
      <c r="H304" s="31">
        <v>565</v>
      </c>
      <c r="I304" s="31">
        <v>0</v>
      </c>
      <c r="J304" s="31">
        <v>4</v>
      </c>
      <c r="K304" s="31">
        <v>0</v>
      </c>
      <c r="L304" s="31">
        <v>0</v>
      </c>
      <c r="M304" s="31">
        <v>0</v>
      </c>
      <c r="N304" s="39" t="s">
        <v>432</v>
      </c>
      <c r="O304" s="85" t="s">
        <v>25</v>
      </c>
      <c r="P304" s="26" t="s">
        <v>127</v>
      </c>
      <c r="Q304" s="35">
        <v>41666</v>
      </c>
      <c r="R304" s="29"/>
    </row>
    <row r="305" spans="1:18" s="16" customFormat="1" ht="25.5" customHeight="1">
      <c r="A305" s="26">
        <v>304</v>
      </c>
      <c r="B305" s="47" t="s">
        <v>585</v>
      </c>
      <c r="C305" s="47" t="s">
        <v>586</v>
      </c>
      <c r="D305" s="48" t="s">
        <v>1416</v>
      </c>
      <c r="E305" s="47" t="s">
        <v>432</v>
      </c>
      <c r="F305" s="48" t="s">
        <v>1464</v>
      </c>
      <c r="G305" s="41">
        <v>2</v>
      </c>
      <c r="H305" s="42">
        <v>140</v>
      </c>
      <c r="I305" s="49">
        <v>0</v>
      </c>
      <c r="J305" s="42">
        <v>2</v>
      </c>
      <c r="K305" s="42">
        <v>2</v>
      </c>
      <c r="L305" s="42"/>
      <c r="M305" s="42">
        <v>0</v>
      </c>
      <c r="N305" s="243" t="s">
        <v>432</v>
      </c>
      <c r="O305" s="166" t="s">
        <v>588</v>
      </c>
      <c r="P305" s="43"/>
      <c r="Q305" s="44">
        <v>41752</v>
      </c>
      <c r="R305" s="48"/>
    </row>
    <row r="306" spans="1:18" s="22" customFormat="1" ht="25.5" customHeight="1">
      <c r="A306" s="26">
        <v>305</v>
      </c>
      <c r="B306" s="26" t="s">
        <v>195</v>
      </c>
      <c r="C306" s="26" t="s">
        <v>196</v>
      </c>
      <c r="D306" s="29" t="s">
        <v>353</v>
      </c>
      <c r="E306" s="26" t="s">
        <v>146</v>
      </c>
      <c r="F306" s="29" t="s">
        <v>1296</v>
      </c>
      <c r="G306" s="26">
        <v>5</v>
      </c>
      <c r="H306" s="31">
        <v>1026</v>
      </c>
      <c r="I306" s="31">
        <f>G306-J306</f>
        <v>0</v>
      </c>
      <c r="J306" s="31">
        <v>5</v>
      </c>
      <c r="K306" s="31">
        <v>2</v>
      </c>
      <c r="L306" s="31">
        <v>0</v>
      </c>
      <c r="M306" s="31">
        <v>0</v>
      </c>
      <c r="N306" s="39" t="s">
        <v>125</v>
      </c>
      <c r="O306" s="85" t="s">
        <v>25</v>
      </c>
      <c r="P306" s="26" t="s">
        <v>127</v>
      </c>
      <c r="Q306" s="35">
        <v>38338</v>
      </c>
      <c r="R306" s="29"/>
    </row>
    <row r="307" spans="1:18" s="22" customFormat="1" ht="25.5" customHeight="1">
      <c r="A307" s="26">
        <v>306</v>
      </c>
      <c r="B307" s="26" t="s">
        <v>195</v>
      </c>
      <c r="C307" s="26" t="s">
        <v>196</v>
      </c>
      <c r="D307" s="30" t="s">
        <v>372</v>
      </c>
      <c r="E307" s="26" t="s">
        <v>146</v>
      </c>
      <c r="F307" s="30" t="s">
        <v>1299</v>
      </c>
      <c r="G307" s="26">
        <v>8</v>
      </c>
      <c r="H307" s="32">
        <v>1495</v>
      </c>
      <c r="I307" s="32">
        <f>G307-J307</f>
        <v>0</v>
      </c>
      <c r="J307" s="32">
        <v>8</v>
      </c>
      <c r="K307" s="32">
        <v>2</v>
      </c>
      <c r="L307" s="32">
        <v>0</v>
      </c>
      <c r="M307" s="32">
        <v>0</v>
      </c>
      <c r="N307" s="39" t="s">
        <v>125</v>
      </c>
      <c r="O307" s="67" t="s">
        <v>450</v>
      </c>
      <c r="P307" s="29" t="s">
        <v>27</v>
      </c>
      <c r="Q307" s="35">
        <v>38374</v>
      </c>
      <c r="R307" s="29" t="s">
        <v>484</v>
      </c>
    </row>
    <row r="308" spans="1:18" s="22" customFormat="1" ht="25.5" customHeight="1">
      <c r="A308" s="26">
        <v>307</v>
      </c>
      <c r="B308" s="27" t="s">
        <v>195</v>
      </c>
      <c r="C308" s="27" t="s">
        <v>196</v>
      </c>
      <c r="D308" s="28" t="s">
        <v>1297</v>
      </c>
      <c r="E308" s="27" t="s">
        <v>146</v>
      </c>
      <c r="F308" s="28" t="s">
        <v>1298</v>
      </c>
      <c r="G308" s="26">
        <v>7</v>
      </c>
      <c r="H308" s="31">
        <v>998</v>
      </c>
      <c r="I308" s="32">
        <v>0</v>
      </c>
      <c r="J308" s="31">
        <v>7</v>
      </c>
      <c r="K308" s="31">
        <v>0</v>
      </c>
      <c r="L308" s="31">
        <v>0</v>
      </c>
      <c r="M308" s="31">
        <v>0</v>
      </c>
      <c r="N308" s="39" t="s">
        <v>125</v>
      </c>
      <c r="O308" s="85" t="s">
        <v>81</v>
      </c>
      <c r="P308" s="29" t="s">
        <v>28</v>
      </c>
      <c r="Q308" s="35">
        <v>38990</v>
      </c>
      <c r="R308" s="28"/>
    </row>
    <row r="309" spans="1:18" s="16" customFormat="1" ht="25.5" customHeight="1">
      <c r="A309" s="26">
        <v>308</v>
      </c>
      <c r="B309" s="26" t="s">
        <v>585</v>
      </c>
      <c r="C309" s="26" t="s">
        <v>1301</v>
      </c>
      <c r="D309" s="30" t="s">
        <v>1302</v>
      </c>
      <c r="E309" s="26" t="s">
        <v>789</v>
      </c>
      <c r="F309" s="30" t="s">
        <v>1303</v>
      </c>
      <c r="G309" s="26">
        <v>3</v>
      </c>
      <c r="H309" s="31">
        <v>374</v>
      </c>
      <c r="I309" s="32">
        <v>0</v>
      </c>
      <c r="J309" s="31">
        <v>3</v>
      </c>
      <c r="K309" s="31">
        <v>0</v>
      </c>
      <c r="L309" s="31">
        <v>0</v>
      </c>
      <c r="M309" s="31">
        <v>0</v>
      </c>
      <c r="N309" s="39" t="s">
        <v>432</v>
      </c>
      <c r="O309" s="33" t="s">
        <v>451</v>
      </c>
      <c r="P309" s="29" t="s">
        <v>308</v>
      </c>
      <c r="Q309" s="35">
        <v>41996</v>
      </c>
      <c r="R309" s="29" t="s">
        <v>1407</v>
      </c>
    </row>
    <row r="310" spans="1:18" s="16" customFormat="1" ht="25.5" customHeight="1">
      <c r="A310" s="26">
        <v>309</v>
      </c>
      <c r="B310" s="26" t="s">
        <v>195</v>
      </c>
      <c r="C310" s="26" t="s">
        <v>197</v>
      </c>
      <c r="D310" s="29" t="s">
        <v>325</v>
      </c>
      <c r="E310" s="26" t="s">
        <v>144</v>
      </c>
      <c r="F310" s="29" t="s">
        <v>1304</v>
      </c>
      <c r="G310" s="26">
        <v>8</v>
      </c>
      <c r="H310" s="31">
        <v>1188</v>
      </c>
      <c r="I310" s="31">
        <f>G310-J310</f>
        <v>0</v>
      </c>
      <c r="J310" s="31">
        <v>8</v>
      </c>
      <c r="K310" s="31">
        <v>4</v>
      </c>
      <c r="L310" s="31">
        <v>0</v>
      </c>
      <c r="M310" s="31">
        <v>0</v>
      </c>
      <c r="N310" s="39" t="s">
        <v>628</v>
      </c>
      <c r="O310" s="85" t="s">
        <v>25</v>
      </c>
      <c r="P310" s="26" t="s">
        <v>127</v>
      </c>
      <c r="Q310" s="35">
        <v>37974</v>
      </c>
      <c r="R310" s="29"/>
    </row>
    <row r="311" spans="1:18" s="171" customFormat="1" ht="25.5" customHeight="1">
      <c r="A311" s="26">
        <v>310</v>
      </c>
      <c r="B311" s="26" t="s">
        <v>195</v>
      </c>
      <c r="C311" s="33" t="s">
        <v>1305</v>
      </c>
      <c r="D311" s="65" t="s">
        <v>1306</v>
      </c>
      <c r="E311" s="33" t="s">
        <v>538</v>
      </c>
      <c r="F311" s="38" t="s">
        <v>1307</v>
      </c>
      <c r="G311" s="26">
        <v>7</v>
      </c>
      <c r="H311" s="31">
        <v>953</v>
      </c>
      <c r="I311" s="32">
        <f>G311-J311</f>
        <v>0</v>
      </c>
      <c r="J311" s="31">
        <v>7</v>
      </c>
      <c r="K311" s="31">
        <v>7</v>
      </c>
      <c r="L311" s="31">
        <v>0</v>
      </c>
      <c r="M311" s="31">
        <v>0</v>
      </c>
      <c r="N311" s="112" t="s">
        <v>432</v>
      </c>
      <c r="O311" s="33" t="s">
        <v>451</v>
      </c>
      <c r="P311" s="29" t="s">
        <v>308</v>
      </c>
      <c r="Q311" s="35">
        <v>40658</v>
      </c>
      <c r="R311" s="187" t="s">
        <v>1308</v>
      </c>
    </row>
    <row r="312" spans="1:18" s="171" customFormat="1" ht="25.5" customHeight="1">
      <c r="A312" s="26">
        <v>311</v>
      </c>
      <c r="B312" s="26" t="s">
        <v>585</v>
      </c>
      <c r="C312" s="33" t="s">
        <v>1305</v>
      </c>
      <c r="D312" s="65" t="s">
        <v>1309</v>
      </c>
      <c r="E312" s="33" t="s">
        <v>789</v>
      </c>
      <c r="F312" s="38" t="s">
        <v>1310</v>
      </c>
      <c r="G312" s="26">
        <v>9</v>
      </c>
      <c r="H312" s="31">
        <v>1430</v>
      </c>
      <c r="I312" s="32">
        <v>0</v>
      </c>
      <c r="J312" s="31">
        <v>9</v>
      </c>
      <c r="K312" s="31">
        <v>1</v>
      </c>
      <c r="L312" s="31">
        <v>0</v>
      </c>
      <c r="M312" s="31">
        <v>0</v>
      </c>
      <c r="N312" s="112" t="s">
        <v>1311</v>
      </c>
      <c r="O312" s="33" t="s">
        <v>451</v>
      </c>
      <c r="P312" s="29" t="s">
        <v>308</v>
      </c>
      <c r="Q312" s="35">
        <v>41841</v>
      </c>
      <c r="R312" s="187"/>
    </row>
    <row r="313" spans="1:18" s="16" customFormat="1" ht="25.5" customHeight="1">
      <c r="A313" s="26">
        <v>312</v>
      </c>
      <c r="B313" s="27" t="s">
        <v>195</v>
      </c>
      <c r="C313" s="85" t="s">
        <v>1315</v>
      </c>
      <c r="D313" s="37" t="s">
        <v>1316</v>
      </c>
      <c r="E313" s="85" t="s">
        <v>538</v>
      </c>
      <c r="F313" s="252" t="s">
        <v>1317</v>
      </c>
      <c r="G313" s="26">
        <v>6</v>
      </c>
      <c r="H313" s="32">
        <v>580</v>
      </c>
      <c r="I313" s="32">
        <f>G313-J313</f>
        <v>0</v>
      </c>
      <c r="J313" s="32">
        <v>6</v>
      </c>
      <c r="K313" s="32">
        <v>2</v>
      </c>
      <c r="L313" s="173">
        <v>0</v>
      </c>
      <c r="M313" s="32">
        <v>0</v>
      </c>
      <c r="N313" s="112" t="s">
        <v>432</v>
      </c>
      <c r="O313" s="33" t="s">
        <v>450</v>
      </c>
      <c r="P313" s="29" t="s">
        <v>27</v>
      </c>
      <c r="Q313" s="35">
        <v>40871</v>
      </c>
      <c r="R313" s="28"/>
    </row>
    <row r="314" spans="1:18" s="142" customFormat="1" ht="25.5" customHeight="1">
      <c r="A314" s="26">
        <v>313</v>
      </c>
      <c r="B314" s="26" t="s">
        <v>195</v>
      </c>
      <c r="C314" s="26" t="s">
        <v>198</v>
      </c>
      <c r="D314" s="65" t="s">
        <v>1312</v>
      </c>
      <c r="E314" s="26" t="s">
        <v>146</v>
      </c>
      <c r="F314" s="29" t="s">
        <v>1313</v>
      </c>
      <c r="G314" s="26">
        <v>8</v>
      </c>
      <c r="H314" s="31">
        <v>793</v>
      </c>
      <c r="I314" s="32">
        <f>G314-J314</f>
        <v>0</v>
      </c>
      <c r="J314" s="31">
        <v>8</v>
      </c>
      <c r="K314" s="31">
        <v>1</v>
      </c>
      <c r="L314" s="31">
        <v>0</v>
      </c>
      <c r="M314" s="31">
        <v>0</v>
      </c>
      <c r="N314" s="39" t="s">
        <v>1314</v>
      </c>
      <c r="O314" s="33" t="s">
        <v>451</v>
      </c>
      <c r="P314" s="29" t="s">
        <v>308</v>
      </c>
      <c r="Q314" s="35">
        <v>38540</v>
      </c>
      <c r="R314" s="29"/>
    </row>
    <row r="315" spans="1:18" s="22" customFormat="1" ht="21.75" customHeight="1">
      <c r="A315" s="26">
        <v>314</v>
      </c>
      <c r="B315" s="166" t="s">
        <v>1318</v>
      </c>
      <c r="C315" s="166" t="s">
        <v>1319</v>
      </c>
      <c r="D315" s="256" t="s">
        <v>1320</v>
      </c>
      <c r="E315" s="166" t="s">
        <v>625</v>
      </c>
      <c r="F315" s="257" t="s">
        <v>1321</v>
      </c>
      <c r="G315" s="41">
        <v>8</v>
      </c>
      <c r="H315" s="49">
        <v>1164</v>
      </c>
      <c r="I315" s="49">
        <v>0</v>
      </c>
      <c r="J315" s="49">
        <v>8</v>
      </c>
      <c r="K315" s="49">
        <v>2</v>
      </c>
      <c r="L315" s="49">
        <v>0</v>
      </c>
      <c r="M315" s="49">
        <v>0</v>
      </c>
      <c r="N315" s="251" t="s">
        <v>432</v>
      </c>
      <c r="O315" s="159" t="s">
        <v>450</v>
      </c>
      <c r="P315" s="43" t="s">
        <v>27</v>
      </c>
      <c r="Q315" s="44">
        <v>41241</v>
      </c>
      <c r="R315" s="48" t="s">
        <v>1322</v>
      </c>
    </row>
    <row r="316" spans="1:18" s="22" customFormat="1" ht="21.75" customHeight="1">
      <c r="A316" s="26">
        <v>315</v>
      </c>
      <c r="B316" s="85" t="s">
        <v>1318</v>
      </c>
      <c r="C316" s="85" t="s">
        <v>1323</v>
      </c>
      <c r="D316" s="37" t="s">
        <v>1324</v>
      </c>
      <c r="E316" s="85" t="s">
        <v>789</v>
      </c>
      <c r="F316" s="252" t="s">
        <v>1325</v>
      </c>
      <c r="G316" s="26">
        <v>2</v>
      </c>
      <c r="H316" s="32">
        <v>313</v>
      </c>
      <c r="I316" s="32">
        <v>0</v>
      </c>
      <c r="J316" s="32">
        <v>2</v>
      </c>
      <c r="K316" s="32">
        <v>0</v>
      </c>
      <c r="L316" s="32">
        <v>0</v>
      </c>
      <c r="M316" s="32">
        <v>0</v>
      </c>
      <c r="N316" s="112" t="s">
        <v>432</v>
      </c>
      <c r="O316" s="67" t="s">
        <v>450</v>
      </c>
      <c r="P316" s="29" t="s">
        <v>27</v>
      </c>
      <c r="Q316" s="35">
        <v>40909</v>
      </c>
      <c r="R316" s="28"/>
    </row>
    <row r="317" spans="1:18" s="22" customFormat="1" ht="21.75" customHeight="1">
      <c r="A317" s="26">
        <v>316</v>
      </c>
      <c r="B317" s="27" t="s">
        <v>147</v>
      </c>
      <c r="C317" s="85" t="s">
        <v>1323</v>
      </c>
      <c r="D317" s="37" t="s">
        <v>1326</v>
      </c>
      <c r="E317" s="85" t="s">
        <v>538</v>
      </c>
      <c r="F317" s="37" t="s">
        <v>1327</v>
      </c>
      <c r="G317" s="26">
        <v>3</v>
      </c>
      <c r="H317" s="31">
        <v>461</v>
      </c>
      <c r="I317" s="32">
        <v>0</v>
      </c>
      <c r="J317" s="31">
        <v>3</v>
      </c>
      <c r="K317" s="31">
        <v>2</v>
      </c>
      <c r="L317" s="31">
        <v>0</v>
      </c>
      <c r="M317" s="31">
        <v>0</v>
      </c>
      <c r="N317" s="112" t="s">
        <v>432</v>
      </c>
      <c r="O317" s="33" t="s">
        <v>451</v>
      </c>
      <c r="P317" s="29" t="s">
        <v>308</v>
      </c>
      <c r="Q317" s="35">
        <v>40709</v>
      </c>
      <c r="R317" s="28"/>
    </row>
    <row r="318" spans="1:18" s="24" customFormat="1" ht="21.75" customHeight="1">
      <c r="A318" s="26">
        <v>317</v>
      </c>
      <c r="B318" s="27" t="s">
        <v>147</v>
      </c>
      <c r="C318" s="27" t="s">
        <v>184</v>
      </c>
      <c r="D318" s="37" t="s">
        <v>1333</v>
      </c>
      <c r="E318" s="27" t="s">
        <v>146</v>
      </c>
      <c r="F318" s="28" t="s">
        <v>1334</v>
      </c>
      <c r="G318" s="26">
        <v>10</v>
      </c>
      <c r="H318" s="31">
        <v>1634</v>
      </c>
      <c r="I318" s="31">
        <v>0</v>
      </c>
      <c r="J318" s="31">
        <v>10</v>
      </c>
      <c r="K318" s="31">
        <v>4</v>
      </c>
      <c r="L318" s="31">
        <v>0</v>
      </c>
      <c r="M318" s="29">
        <v>0</v>
      </c>
      <c r="N318" s="39" t="s">
        <v>125</v>
      </c>
      <c r="O318" s="85" t="s">
        <v>25</v>
      </c>
      <c r="P318" s="26" t="s">
        <v>127</v>
      </c>
      <c r="Q318" s="35">
        <v>39072</v>
      </c>
      <c r="R318" s="28"/>
    </row>
    <row r="319" spans="1:18" s="16" customFormat="1" ht="21.75" customHeight="1">
      <c r="A319" s="26">
        <v>318</v>
      </c>
      <c r="B319" s="26" t="s">
        <v>147</v>
      </c>
      <c r="C319" s="26" t="s">
        <v>184</v>
      </c>
      <c r="D319" s="30" t="s">
        <v>373</v>
      </c>
      <c r="E319" s="26" t="s">
        <v>146</v>
      </c>
      <c r="F319" s="30" t="s">
        <v>1328</v>
      </c>
      <c r="G319" s="26">
        <v>10</v>
      </c>
      <c r="H319" s="32">
        <v>2018</v>
      </c>
      <c r="I319" s="32">
        <v>0</v>
      </c>
      <c r="J319" s="32">
        <v>10</v>
      </c>
      <c r="K319" s="32">
        <v>2</v>
      </c>
      <c r="L319" s="32">
        <v>0</v>
      </c>
      <c r="M319" s="32">
        <v>0</v>
      </c>
      <c r="N319" s="39" t="s">
        <v>125</v>
      </c>
      <c r="O319" s="33" t="s">
        <v>450</v>
      </c>
      <c r="P319" s="29" t="s">
        <v>27</v>
      </c>
      <c r="Q319" s="35">
        <v>37939</v>
      </c>
      <c r="R319" s="29"/>
    </row>
    <row r="320" spans="1:18" s="16" customFormat="1" ht="21.75" customHeight="1">
      <c r="A320" s="26">
        <v>319</v>
      </c>
      <c r="B320" s="27" t="s">
        <v>147</v>
      </c>
      <c r="C320" s="27" t="s">
        <v>184</v>
      </c>
      <c r="D320" s="28" t="s">
        <v>1</v>
      </c>
      <c r="E320" s="27" t="s">
        <v>625</v>
      </c>
      <c r="F320" s="250" t="s">
        <v>1335</v>
      </c>
      <c r="G320" s="26">
        <v>8</v>
      </c>
      <c r="H320" s="32">
        <v>1203</v>
      </c>
      <c r="I320" s="32">
        <v>0</v>
      </c>
      <c r="J320" s="32">
        <v>8</v>
      </c>
      <c r="K320" s="32">
        <v>1</v>
      </c>
      <c r="L320" s="173">
        <v>0</v>
      </c>
      <c r="M320" s="32">
        <v>0</v>
      </c>
      <c r="N320" s="39" t="s">
        <v>125</v>
      </c>
      <c r="O320" s="67" t="s">
        <v>450</v>
      </c>
      <c r="P320" s="29" t="s">
        <v>27</v>
      </c>
      <c r="Q320" s="35">
        <v>38834</v>
      </c>
      <c r="R320" s="28"/>
    </row>
    <row r="321" spans="1:18" s="16" customFormat="1" ht="21.75" customHeight="1">
      <c r="A321" s="26">
        <v>320</v>
      </c>
      <c r="B321" s="33" t="s">
        <v>1318</v>
      </c>
      <c r="C321" s="33" t="s">
        <v>1330</v>
      </c>
      <c r="D321" s="65" t="s">
        <v>1331</v>
      </c>
      <c r="E321" s="33" t="s">
        <v>538</v>
      </c>
      <c r="F321" s="38" t="s">
        <v>1332</v>
      </c>
      <c r="G321" s="26">
        <v>7</v>
      </c>
      <c r="H321" s="31">
        <v>759</v>
      </c>
      <c r="I321" s="32">
        <v>0</v>
      </c>
      <c r="J321" s="31">
        <v>7</v>
      </c>
      <c r="K321" s="31">
        <v>0</v>
      </c>
      <c r="L321" s="31">
        <v>0</v>
      </c>
      <c r="M321" s="31">
        <v>0</v>
      </c>
      <c r="N321" s="112" t="s">
        <v>432</v>
      </c>
      <c r="O321" s="33" t="s">
        <v>451</v>
      </c>
      <c r="P321" s="29" t="s">
        <v>308</v>
      </c>
      <c r="Q321" s="35">
        <v>41359</v>
      </c>
      <c r="R321" s="29"/>
    </row>
    <row r="322" spans="1:18" s="16" customFormat="1" ht="21.75" customHeight="1">
      <c r="A322" s="26">
        <v>321</v>
      </c>
      <c r="B322" s="33" t="s">
        <v>1318</v>
      </c>
      <c r="C322" s="33" t="s">
        <v>1330</v>
      </c>
      <c r="D322" s="65" t="s">
        <v>1336</v>
      </c>
      <c r="E322" s="33" t="s">
        <v>538</v>
      </c>
      <c r="F322" s="38" t="s">
        <v>1337</v>
      </c>
      <c r="G322" s="26">
        <v>6</v>
      </c>
      <c r="H322" s="31">
        <v>908</v>
      </c>
      <c r="I322" s="32">
        <v>0</v>
      </c>
      <c r="J322" s="31">
        <v>6</v>
      </c>
      <c r="K322" s="31">
        <v>2</v>
      </c>
      <c r="L322" s="31">
        <v>0</v>
      </c>
      <c r="M322" s="31">
        <v>0</v>
      </c>
      <c r="N322" s="112" t="s">
        <v>432</v>
      </c>
      <c r="O322" s="33" t="s">
        <v>451</v>
      </c>
      <c r="P322" s="29" t="s">
        <v>308</v>
      </c>
      <c r="Q322" s="35">
        <v>41243</v>
      </c>
      <c r="R322" s="29"/>
    </row>
    <row r="323" spans="1:18" s="16" customFormat="1" ht="21.75" customHeight="1">
      <c r="A323" s="26">
        <v>322</v>
      </c>
      <c r="B323" s="26" t="s">
        <v>147</v>
      </c>
      <c r="C323" s="26" t="s">
        <v>302</v>
      </c>
      <c r="D323" s="30" t="s">
        <v>1338</v>
      </c>
      <c r="E323" s="26" t="s">
        <v>146</v>
      </c>
      <c r="F323" s="30" t="s">
        <v>1339</v>
      </c>
      <c r="G323" s="26">
        <v>4</v>
      </c>
      <c r="H323" s="31">
        <v>851</v>
      </c>
      <c r="I323" s="32">
        <f>G323-J323</f>
        <v>0</v>
      </c>
      <c r="J323" s="31">
        <v>4</v>
      </c>
      <c r="K323" s="31">
        <v>0</v>
      </c>
      <c r="L323" s="31">
        <v>0</v>
      </c>
      <c r="M323" s="53">
        <v>0</v>
      </c>
      <c r="N323" s="39" t="s">
        <v>125</v>
      </c>
      <c r="O323" s="33" t="s">
        <v>81</v>
      </c>
      <c r="P323" s="29" t="s">
        <v>28</v>
      </c>
      <c r="Q323" s="35">
        <v>38869</v>
      </c>
      <c r="R323" s="28"/>
    </row>
    <row r="324" spans="1:18" s="111" customFormat="1" ht="21.75" customHeight="1">
      <c r="A324" s="26">
        <v>323</v>
      </c>
      <c r="B324" s="54" t="s">
        <v>147</v>
      </c>
      <c r="C324" s="54" t="s">
        <v>281</v>
      </c>
      <c r="D324" s="30" t="s">
        <v>163</v>
      </c>
      <c r="E324" s="26" t="s">
        <v>125</v>
      </c>
      <c r="F324" s="30" t="s">
        <v>1465</v>
      </c>
      <c r="G324" s="26">
        <v>1</v>
      </c>
      <c r="H324" s="31">
        <v>144</v>
      </c>
      <c r="I324" s="31">
        <v>0</v>
      </c>
      <c r="J324" s="31">
        <v>1</v>
      </c>
      <c r="K324" s="31">
        <v>0</v>
      </c>
      <c r="L324" s="31">
        <v>0</v>
      </c>
      <c r="M324" s="53">
        <v>0</v>
      </c>
      <c r="N324" s="39" t="s">
        <v>125</v>
      </c>
      <c r="O324" s="54" t="s">
        <v>414</v>
      </c>
      <c r="P324" s="60"/>
      <c r="Q324" s="57" t="s">
        <v>7</v>
      </c>
      <c r="R324" s="56"/>
    </row>
    <row r="325" spans="1:18" s="16" customFormat="1" ht="21.75" customHeight="1">
      <c r="A325" s="26">
        <v>324</v>
      </c>
      <c r="B325" s="26" t="s">
        <v>1318</v>
      </c>
      <c r="C325" s="26" t="s">
        <v>1340</v>
      </c>
      <c r="D325" s="30" t="s">
        <v>1341</v>
      </c>
      <c r="E325" s="26" t="s">
        <v>789</v>
      </c>
      <c r="F325" s="30" t="s">
        <v>1342</v>
      </c>
      <c r="G325" s="26">
        <v>6</v>
      </c>
      <c r="H325" s="31">
        <v>958</v>
      </c>
      <c r="I325" s="32">
        <v>0</v>
      </c>
      <c r="J325" s="31">
        <v>6</v>
      </c>
      <c r="K325" s="31">
        <v>0</v>
      </c>
      <c r="L325" s="31">
        <v>0</v>
      </c>
      <c r="M325" s="53">
        <v>0</v>
      </c>
      <c r="N325" s="39" t="s">
        <v>432</v>
      </c>
      <c r="O325" s="85" t="s">
        <v>25</v>
      </c>
      <c r="P325" s="26" t="s">
        <v>127</v>
      </c>
      <c r="Q325" s="35">
        <v>41913</v>
      </c>
      <c r="R325" s="28" t="s">
        <v>1343</v>
      </c>
    </row>
    <row r="326" spans="1:18" s="16" customFormat="1" ht="21.75" customHeight="1">
      <c r="A326" s="26">
        <v>325</v>
      </c>
      <c r="B326" s="27" t="s">
        <v>1318</v>
      </c>
      <c r="C326" s="85" t="s">
        <v>1340</v>
      </c>
      <c r="D326" s="37" t="s">
        <v>1344</v>
      </c>
      <c r="E326" s="85" t="s">
        <v>789</v>
      </c>
      <c r="F326" s="37" t="s">
        <v>1345</v>
      </c>
      <c r="G326" s="26">
        <v>5</v>
      </c>
      <c r="H326" s="31">
        <v>792</v>
      </c>
      <c r="I326" s="32">
        <v>0</v>
      </c>
      <c r="J326" s="31">
        <v>5</v>
      </c>
      <c r="K326" s="31">
        <v>0</v>
      </c>
      <c r="L326" s="31">
        <v>0</v>
      </c>
      <c r="M326" s="31">
        <v>0</v>
      </c>
      <c r="N326" s="112" t="s">
        <v>432</v>
      </c>
      <c r="O326" s="33" t="s">
        <v>451</v>
      </c>
      <c r="P326" s="29" t="s">
        <v>308</v>
      </c>
      <c r="Q326" s="35">
        <v>41745</v>
      </c>
      <c r="R326" s="28" t="s">
        <v>1346</v>
      </c>
    </row>
    <row r="327" spans="1:18" s="16" customFormat="1" ht="21.75" customHeight="1">
      <c r="A327" s="26">
        <v>326</v>
      </c>
      <c r="B327" s="59" t="s">
        <v>147</v>
      </c>
      <c r="C327" s="54" t="s">
        <v>303</v>
      </c>
      <c r="D327" s="30" t="s">
        <v>304</v>
      </c>
      <c r="E327" s="26" t="s">
        <v>125</v>
      </c>
      <c r="F327" s="30" t="s">
        <v>1466</v>
      </c>
      <c r="G327" s="26">
        <v>1</v>
      </c>
      <c r="H327" s="29">
        <v>95</v>
      </c>
      <c r="I327" s="31">
        <v>0</v>
      </c>
      <c r="J327" s="29">
        <v>1</v>
      </c>
      <c r="K327" s="29">
        <v>0</v>
      </c>
      <c r="L327" s="29">
        <v>0</v>
      </c>
      <c r="M327" s="53">
        <v>0</v>
      </c>
      <c r="N327" s="39" t="s">
        <v>125</v>
      </c>
      <c r="O327" s="54" t="s">
        <v>415</v>
      </c>
      <c r="P327" s="54" t="s">
        <v>11</v>
      </c>
      <c r="Q327" s="57">
        <v>40856</v>
      </c>
      <c r="R327" s="140" t="s">
        <v>443</v>
      </c>
    </row>
    <row r="328" spans="1:18" s="160" customFormat="1" ht="21.75" customHeight="1">
      <c r="A328" s="26">
        <v>327</v>
      </c>
      <c r="B328" s="26" t="s">
        <v>147</v>
      </c>
      <c r="C328" s="26" t="s">
        <v>279</v>
      </c>
      <c r="D328" s="29" t="s">
        <v>23</v>
      </c>
      <c r="E328" s="26" t="s">
        <v>146</v>
      </c>
      <c r="F328" s="29" t="s">
        <v>1348</v>
      </c>
      <c r="G328" s="26">
        <v>8</v>
      </c>
      <c r="H328" s="31">
        <v>1464</v>
      </c>
      <c r="I328" s="31">
        <f>G328-J328</f>
        <v>0</v>
      </c>
      <c r="J328" s="31">
        <v>8</v>
      </c>
      <c r="K328" s="31">
        <v>0</v>
      </c>
      <c r="L328" s="31">
        <v>0</v>
      </c>
      <c r="M328" s="29">
        <v>0</v>
      </c>
      <c r="N328" s="39" t="s">
        <v>432</v>
      </c>
      <c r="O328" s="85" t="s">
        <v>25</v>
      </c>
      <c r="P328" s="26" t="s">
        <v>127</v>
      </c>
      <c r="Q328" s="35">
        <v>38963</v>
      </c>
      <c r="R328" s="29"/>
    </row>
    <row r="329" spans="1:18" s="16" customFormat="1" ht="21.75" customHeight="1">
      <c r="A329" s="26">
        <v>328</v>
      </c>
      <c r="B329" s="26" t="s">
        <v>147</v>
      </c>
      <c r="C329" s="26" t="s">
        <v>279</v>
      </c>
      <c r="D329" s="29" t="s">
        <v>354</v>
      </c>
      <c r="E329" s="26" t="s">
        <v>144</v>
      </c>
      <c r="F329" s="29" t="s">
        <v>1347</v>
      </c>
      <c r="G329" s="26">
        <v>7</v>
      </c>
      <c r="H329" s="31">
        <v>1244</v>
      </c>
      <c r="I329" s="31">
        <f>G329-J329</f>
        <v>0</v>
      </c>
      <c r="J329" s="31">
        <v>7</v>
      </c>
      <c r="K329" s="31">
        <v>4</v>
      </c>
      <c r="L329" s="31">
        <v>0</v>
      </c>
      <c r="M329" s="29">
        <v>0</v>
      </c>
      <c r="N329" s="39" t="s">
        <v>626</v>
      </c>
      <c r="O329" s="85" t="s">
        <v>25</v>
      </c>
      <c r="P329" s="26" t="s">
        <v>127</v>
      </c>
      <c r="Q329" s="35">
        <v>39324</v>
      </c>
      <c r="R329" s="29"/>
    </row>
    <row r="330" spans="1:18" s="111" customFormat="1" ht="21.75" customHeight="1">
      <c r="A330" s="26">
        <v>329</v>
      </c>
      <c r="B330" s="26" t="s">
        <v>147</v>
      </c>
      <c r="C330" s="26" t="s">
        <v>279</v>
      </c>
      <c r="D330" s="65" t="s">
        <v>1349</v>
      </c>
      <c r="E330" s="33" t="s">
        <v>625</v>
      </c>
      <c r="F330" s="30" t="s">
        <v>1350</v>
      </c>
      <c r="G330" s="26">
        <v>8</v>
      </c>
      <c r="H330" s="32">
        <v>1528</v>
      </c>
      <c r="I330" s="32">
        <f>G330-J330</f>
        <v>0</v>
      </c>
      <c r="J330" s="32">
        <v>8</v>
      </c>
      <c r="K330" s="32">
        <v>3</v>
      </c>
      <c r="L330" s="32">
        <v>0</v>
      </c>
      <c r="M330" s="32">
        <v>0</v>
      </c>
      <c r="N330" s="39" t="s">
        <v>125</v>
      </c>
      <c r="O330" s="67" t="s">
        <v>450</v>
      </c>
      <c r="P330" s="29" t="s">
        <v>27</v>
      </c>
      <c r="Q330" s="35">
        <v>38090</v>
      </c>
      <c r="R330" s="29"/>
    </row>
    <row r="331" spans="1:18" s="16" customFormat="1" ht="21.75" customHeight="1">
      <c r="A331" s="26">
        <v>330</v>
      </c>
      <c r="B331" s="47" t="s">
        <v>148</v>
      </c>
      <c r="C331" s="47" t="s">
        <v>183</v>
      </c>
      <c r="D331" s="48" t="s">
        <v>95</v>
      </c>
      <c r="E331" s="47" t="s">
        <v>146</v>
      </c>
      <c r="F331" s="48" t="s">
        <v>1351</v>
      </c>
      <c r="G331" s="41">
        <v>7</v>
      </c>
      <c r="H331" s="42">
        <v>1109</v>
      </c>
      <c r="I331" s="42">
        <f>G331-J331</f>
        <v>0</v>
      </c>
      <c r="J331" s="42">
        <v>7</v>
      </c>
      <c r="K331" s="42">
        <v>2</v>
      </c>
      <c r="L331" s="42">
        <v>0</v>
      </c>
      <c r="M331" s="42">
        <v>0</v>
      </c>
      <c r="N331" s="243" t="s">
        <v>125</v>
      </c>
      <c r="O331" s="166" t="s">
        <v>25</v>
      </c>
      <c r="P331" s="41" t="s">
        <v>127</v>
      </c>
      <c r="Q331" s="44">
        <v>38988</v>
      </c>
      <c r="R331" s="48"/>
    </row>
    <row r="332" spans="1:18" s="16" customFormat="1" ht="21.75" customHeight="1">
      <c r="A332" s="26">
        <v>331</v>
      </c>
      <c r="B332" s="85" t="s">
        <v>490</v>
      </c>
      <c r="C332" s="85" t="s">
        <v>491</v>
      </c>
      <c r="D332" s="37" t="s">
        <v>496</v>
      </c>
      <c r="E332" s="85" t="s">
        <v>432</v>
      </c>
      <c r="F332" s="37" t="s">
        <v>497</v>
      </c>
      <c r="G332" s="26">
        <v>6</v>
      </c>
      <c r="H332" s="32">
        <v>814</v>
      </c>
      <c r="I332" s="31">
        <v>0</v>
      </c>
      <c r="J332" s="31">
        <v>6</v>
      </c>
      <c r="K332" s="31">
        <v>0</v>
      </c>
      <c r="L332" s="31">
        <v>0</v>
      </c>
      <c r="M332" s="31">
        <v>0</v>
      </c>
      <c r="N332" s="112" t="s">
        <v>432</v>
      </c>
      <c r="O332" s="85" t="s">
        <v>498</v>
      </c>
      <c r="P332" s="174" t="s">
        <v>499</v>
      </c>
      <c r="Q332" s="35" t="s">
        <v>531</v>
      </c>
      <c r="R332" s="37" t="s">
        <v>1470</v>
      </c>
    </row>
    <row r="333" spans="1:18" s="16" customFormat="1" ht="21.75" customHeight="1">
      <c r="A333" s="26">
        <v>332</v>
      </c>
      <c r="B333" s="26" t="s">
        <v>148</v>
      </c>
      <c r="C333" s="26" t="s">
        <v>204</v>
      </c>
      <c r="D333" s="30" t="s">
        <v>566</v>
      </c>
      <c r="E333" s="26" t="s">
        <v>125</v>
      </c>
      <c r="F333" s="29" t="s">
        <v>1467</v>
      </c>
      <c r="G333" s="26">
        <v>2</v>
      </c>
      <c r="H333" s="31">
        <v>410</v>
      </c>
      <c r="I333" s="31">
        <v>0</v>
      </c>
      <c r="J333" s="31">
        <v>2</v>
      </c>
      <c r="K333" s="31">
        <v>0</v>
      </c>
      <c r="L333" s="31">
        <v>0</v>
      </c>
      <c r="M333" s="31">
        <v>0</v>
      </c>
      <c r="N333" s="39" t="s">
        <v>125</v>
      </c>
      <c r="O333" s="26" t="s">
        <v>48</v>
      </c>
      <c r="P333" s="28"/>
      <c r="Q333" s="27" t="s">
        <v>6</v>
      </c>
      <c r="R333" s="28"/>
    </row>
    <row r="334" spans="1:18" s="22" customFormat="1" ht="21.75" customHeight="1">
      <c r="A334" s="26">
        <v>333</v>
      </c>
      <c r="B334" s="26" t="s">
        <v>148</v>
      </c>
      <c r="C334" s="26" t="s">
        <v>249</v>
      </c>
      <c r="D334" s="29" t="s">
        <v>49</v>
      </c>
      <c r="E334" s="26" t="s">
        <v>144</v>
      </c>
      <c r="F334" s="29" t="s">
        <v>1352</v>
      </c>
      <c r="G334" s="26">
        <v>9</v>
      </c>
      <c r="H334" s="31">
        <v>1546</v>
      </c>
      <c r="I334" s="31">
        <f>G334-J334</f>
        <v>0</v>
      </c>
      <c r="J334" s="31">
        <v>9</v>
      </c>
      <c r="K334" s="31">
        <v>4</v>
      </c>
      <c r="L334" s="31">
        <v>0</v>
      </c>
      <c r="M334" s="31">
        <v>0</v>
      </c>
      <c r="N334" s="39" t="s">
        <v>432</v>
      </c>
      <c r="O334" s="85" t="s">
        <v>25</v>
      </c>
      <c r="P334" s="26" t="s">
        <v>127</v>
      </c>
      <c r="Q334" s="35">
        <v>38423</v>
      </c>
      <c r="R334" s="31"/>
    </row>
    <row r="335" spans="1:18" s="16" customFormat="1" ht="21.75" customHeight="1">
      <c r="A335" s="26">
        <v>334</v>
      </c>
      <c r="B335" s="26" t="s">
        <v>490</v>
      </c>
      <c r="C335" s="33" t="s">
        <v>1354</v>
      </c>
      <c r="D335" s="30" t="s">
        <v>1355</v>
      </c>
      <c r="E335" s="26" t="s">
        <v>635</v>
      </c>
      <c r="F335" s="30" t="s">
        <v>1357</v>
      </c>
      <c r="G335" s="26">
        <v>7</v>
      </c>
      <c r="H335" s="32">
        <v>1121</v>
      </c>
      <c r="I335" s="32">
        <v>0</v>
      </c>
      <c r="J335" s="32">
        <v>7</v>
      </c>
      <c r="K335" s="32">
        <v>2</v>
      </c>
      <c r="L335" s="32">
        <v>0</v>
      </c>
      <c r="M335" s="32">
        <v>0</v>
      </c>
      <c r="N335" s="39" t="s">
        <v>125</v>
      </c>
      <c r="O335" s="33" t="s">
        <v>450</v>
      </c>
      <c r="P335" s="29" t="s">
        <v>27</v>
      </c>
      <c r="Q335" s="35">
        <v>41782</v>
      </c>
      <c r="R335" s="29"/>
    </row>
    <row r="336" spans="1:18" s="16" customFormat="1" ht="21.75" customHeight="1">
      <c r="A336" s="26">
        <v>335</v>
      </c>
      <c r="B336" s="26" t="s">
        <v>1358</v>
      </c>
      <c r="C336" s="26" t="s">
        <v>1354</v>
      </c>
      <c r="D336" s="30" t="s">
        <v>1360</v>
      </c>
      <c r="E336" s="26" t="s">
        <v>635</v>
      </c>
      <c r="F336" s="30" t="s">
        <v>1361</v>
      </c>
      <c r="G336" s="26">
        <v>6</v>
      </c>
      <c r="H336" s="32">
        <v>1023</v>
      </c>
      <c r="I336" s="32">
        <v>0</v>
      </c>
      <c r="J336" s="32">
        <v>6</v>
      </c>
      <c r="K336" s="32">
        <v>3</v>
      </c>
      <c r="L336" s="32">
        <v>0</v>
      </c>
      <c r="M336" s="32">
        <v>0</v>
      </c>
      <c r="N336" s="39" t="s">
        <v>432</v>
      </c>
      <c r="O336" s="67" t="s">
        <v>450</v>
      </c>
      <c r="P336" s="29" t="s">
        <v>27</v>
      </c>
      <c r="Q336" s="35">
        <v>41456</v>
      </c>
      <c r="R336" s="29"/>
    </row>
    <row r="337" spans="1:18" s="16" customFormat="1" ht="21.75" customHeight="1">
      <c r="A337" s="26">
        <v>336</v>
      </c>
      <c r="B337" s="54" t="s">
        <v>148</v>
      </c>
      <c r="C337" s="54" t="s">
        <v>250</v>
      </c>
      <c r="D337" s="30" t="s">
        <v>164</v>
      </c>
      <c r="E337" s="26" t="s">
        <v>125</v>
      </c>
      <c r="F337" s="28" t="s">
        <v>1468</v>
      </c>
      <c r="G337" s="26">
        <v>2</v>
      </c>
      <c r="H337" s="31">
        <v>300</v>
      </c>
      <c r="I337" s="31">
        <v>0</v>
      </c>
      <c r="J337" s="31">
        <v>2</v>
      </c>
      <c r="K337" s="31">
        <v>0</v>
      </c>
      <c r="L337" s="31">
        <v>0</v>
      </c>
      <c r="M337" s="31">
        <v>0</v>
      </c>
      <c r="N337" s="39" t="s">
        <v>125</v>
      </c>
      <c r="O337" s="54" t="s">
        <v>79</v>
      </c>
      <c r="P337" s="138" t="s">
        <v>485</v>
      </c>
      <c r="Q337" s="139" t="s">
        <v>449</v>
      </c>
      <c r="R337" s="60"/>
    </row>
    <row r="338" spans="1:18" s="22" customFormat="1" ht="21.75" customHeight="1">
      <c r="A338" s="26">
        <v>337</v>
      </c>
      <c r="B338" s="26" t="s">
        <v>148</v>
      </c>
      <c r="C338" s="26" t="s">
        <v>284</v>
      </c>
      <c r="D338" s="30" t="s">
        <v>377</v>
      </c>
      <c r="E338" s="26" t="s">
        <v>146</v>
      </c>
      <c r="F338" s="250" t="s">
        <v>1362</v>
      </c>
      <c r="G338" s="26">
        <v>6</v>
      </c>
      <c r="H338" s="32">
        <v>933</v>
      </c>
      <c r="I338" s="32">
        <v>0</v>
      </c>
      <c r="J338" s="32">
        <v>6</v>
      </c>
      <c r="K338" s="32">
        <v>2</v>
      </c>
      <c r="L338" s="32">
        <v>0</v>
      </c>
      <c r="M338" s="32">
        <v>0</v>
      </c>
      <c r="N338" s="39" t="s">
        <v>125</v>
      </c>
      <c r="O338" s="33" t="s">
        <v>450</v>
      </c>
      <c r="P338" s="29" t="s">
        <v>27</v>
      </c>
      <c r="Q338" s="27" t="s">
        <v>139</v>
      </c>
      <c r="R338" s="28"/>
    </row>
    <row r="339" spans="1:18" s="22" customFormat="1" ht="21.75" customHeight="1">
      <c r="A339" s="26">
        <v>338</v>
      </c>
      <c r="B339" s="26" t="s">
        <v>148</v>
      </c>
      <c r="C339" s="26" t="s">
        <v>251</v>
      </c>
      <c r="D339" s="29" t="s">
        <v>355</v>
      </c>
      <c r="E339" s="26" t="s">
        <v>146</v>
      </c>
      <c r="F339" s="29" t="s">
        <v>1363</v>
      </c>
      <c r="G339" s="26">
        <v>8</v>
      </c>
      <c r="H339" s="31">
        <v>1289</v>
      </c>
      <c r="I339" s="31">
        <f>G339-J339</f>
        <v>0</v>
      </c>
      <c r="J339" s="31">
        <v>8</v>
      </c>
      <c r="K339" s="31">
        <v>4</v>
      </c>
      <c r="L339" s="31">
        <v>0</v>
      </c>
      <c r="M339" s="31">
        <v>0</v>
      </c>
      <c r="N339" s="39" t="s">
        <v>1364</v>
      </c>
      <c r="O339" s="85" t="s">
        <v>25</v>
      </c>
      <c r="P339" s="26" t="s">
        <v>127</v>
      </c>
      <c r="Q339" s="35">
        <v>39569</v>
      </c>
      <c r="R339" s="28" t="s">
        <v>1365</v>
      </c>
    </row>
    <row r="340" spans="1:18" s="22" customFormat="1" ht="21.75" customHeight="1">
      <c r="A340" s="26">
        <v>339</v>
      </c>
      <c r="B340" s="26" t="s">
        <v>148</v>
      </c>
      <c r="C340" s="26" t="s">
        <v>251</v>
      </c>
      <c r="D340" s="30" t="s">
        <v>47</v>
      </c>
      <c r="E340" s="26" t="s">
        <v>146</v>
      </c>
      <c r="F340" s="30" t="s">
        <v>1366</v>
      </c>
      <c r="G340" s="26">
        <v>9</v>
      </c>
      <c r="H340" s="32">
        <v>2091</v>
      </c>
      <c r="I340" s="32">
        <f>G340-J340</f>
        <v>0</v>
      </c>
      <c r="J340" s="32">
        <v>9</v>
      </c>
      <c r="K340" s="32">
        <v>2</v>
      </c>
      <c r="L340" s="32">
        <v>0</v>
      </c>
      <c r="M340" s="32">
        <v>0</v>
      </c>
      <c r="N340" s="39" t="s">
        <v>125</v>
      </c>
      <c r="O340" s="67" t="s">
        <v>450</v>
      </c>
      <c r="P340" s="29" t="s">
        <v>27</v>
      </c>
      <c r="Q340" s="35">
        <v>38323</v>
      </c>
      <c r="R340" s="28"/>
    </row>
    <row r="341" spans="1:18" s="22" customFormat="1" ht="21.75" customHeight="1">
      <c r="A341" s="26">
        <v>340</v>
      </c>
      <c r="B341" s="26" t="s">
        <v>148</v>
      </c>
      <c r="C341" s="33" t="s">
        <v>1367</v>
      </c>
      <c r="D341" s="29" t="s">
        <v>78</v>
      </c>
      <c r="E341" s="26" t="s">
        <v>144</v>
      </c>
      <c r="F341" s="38" t="s">
        <v>1373</v>
      </c>
      <c r="G341" s="26">
        <v>7</v>
      </c>
      <c r="H341" s="31">
        <v>1178</v>
      </c>
      <c r="I341" s="31">
        <f>G341-J341</f>
        <v>0</v>
      </c>
      <c r="J341" s="31">
        <v>7</v>
      </c>
      <c r="K341" s="31">
        <v>4</v>
      </c>
      <c r="L341" s="31">
        <v>0</v>
      </c>
      <c r="M341" s="31">
        <v>0</v>
      </c>
      <c r="N341" s="39" t="s">
        <v>1364</v>
      </c>
      <c r="O341" s="85" t="s">
        <v>25</v>
      </c>
      <c r="P341" s="26" t="s">
        <v>127</v>
      </c>
      <c r="Q341" s="35">
        <v>38443</v>
      </c>
      <c r="R341" s="29"/>
    </row>
    <row r="342" spans="1:18" s="22" customFormat="1" ht="21.75" customHeight="1">
      <c r="A342" s="26">
        <v>341</v>
      </c>
      <c r="B342" s="26" t="s">
        <v>148</v>
      </c>
      <c r="C342" s="26" t="s">
        <v>252</v>
      </c>
      <c r="D342" s="29" t="s">
        <v>80</v>
      </c>
      <c r="E342" s="26" t="s">
        <v>144</v>
      </c>
      <c r="F342" s="38" t="s">
        <v>1382</v>
      </c>
      <c r="G342" s="26">
        <v>6</v>
      </c>
      <c r="H342" s="31">
        <v>1095</v>
      </c>
      <c r="I342" s="31">
        <f>G342-J342</f>
        <v>0</v>
      </c>
      <c r="J342" s="31">
        <v>6</v>
      </c>
      <c r="K342" s="31">
        <v>3</v>
      </c>
      <c r="L342" s="31">
        <v>0</v>
      </c>
      <c r="M342" s="31">
        <v>1</v>
      </c>
      <c r="N342" s="39" t="s">
        <v>1383</v>
      </c>
      <c r="O342" s="85" t="s">
        <v>25</v>
      </c>
      <c r="P342" s="26" t="s">
        <v>127</v>
      </c>
      <c r="Q342" s="35">
        <v>38253</v>
      </c>
      <c r="R342" s="29"/>
    </row>
    <row r="343" spans="1:18" s="22" customFormat="1" ht="21.75" customHeight="1">
      <c r="A343" s="26">
        <v>342</v>
      </c>
      <c r="B343" s="26" t="s">
        <v>148</v>
      </c>
      <c r="C343" s="26" t="s">
        <v>252</v>
      </c>
      <c r="D343" s="38" t="s">
        <v>1379</v>
      </c>
      <c r="E343" s="26" t="s">
        <v>144</v>
      </c>
      <c r="F343" s="38" t="s">
        <v>1380</v>
      </c>
      <c r="G343" s="26">
        <v>6</v>
      </c>
      <c r="H343" s="31">
        <v>1139</v>
      </c>
      <c r="I343" s="31">
        <f>G343-J343</f>
        <v>0</v>
      </c>
      <c r="J343" s="31">
        <v>6</v>
      </c>
      <c r="K343" s="31">
        <v>3</v>
      </c>
      <c r="L343" s="31">
        <v>1</v>
      </c>
      <c r="M343" s="31">
        <v>0</v>
      </c>
      <c r="N343" s="39" t="s">
        <v>1381</v>
      </c>
      <c r="O343" s="85" t="s">
        <v>25</v>
      </c>
      <c r="P343" s="26" t="s">
        <v>127</v>
      </c>
      <c r="Q343" s="35">
        <v>39594</v>
      </c>
      <c r="R343" s="29"/>
    </row>
    <row r="344" spans="1:18" s="22" customFormat="1" ht="21.75" customHeight="1">
      <c r="A344" s="26">
        <v>343</v>
      </c>
      <c r="B344" s="27" t="s">
        <v>148</v>
      </c>
      <c r="C344" s="85" t="s">
        <v>1367</v>
      </c>
      <c r="D344" s="28" t="s">
        <v>1368</v>
      </c>
      <c r="E344" s="27" t="s">
        <v>625</v>
      </c>
      <c r="F344" s="252" t="s">
        <v>1369</v>
      </c>
      <c r="G344" s="26">
        <v>6</v>
      </c>
      <c r="H344" s="32">
        <v>1189</v>
      </c>
      <c r="I344" s="32">
        <v>0</v>
      </c>
      <c r="J344" s="32">
        <v>6</v>
      </c>
      <c r="K344" s="32">
        <v>2</v>
      </c>
      <c r="L344" s="32">
        <v>0</v>
      </c>
      <c r="M344" s="32">
        <v>0</v>
      </c>
      <c r="N344" s="112" t="s">
        <v>432</v>
      </c>
      <c r="O344" s="33" t="s">
        <v>450</v>
      </c>
      <c r="P344" s="29" t="s">
        <v>27</v>
      </c>
      <c r="Q344" s="35">
        <v>38855</v>
      </c>
      <c r="R344" s="28"/>
    </row>
    <row r="345" spans="1:18" s="16" customFormat="1" ht="21.75" customHeight="1">
      <c r="A345" s="26">
        <v>344</v>
      </c>
      <c r="B345" s="26" t="s">
        <v>148</v>
      </c>
      <c r="C345" s="33" t="s">
        <v>1367</v>
      </c>
      <c r="D345" s="30" t="s">
        <v>2</v>
      </c>
      <c r="E345" s="27" t="s">
        <v>146</v>
      </c>
      <c r="F345" s="65" t="s">
        <v>1375</v>
      </c>
      <c r="G345" s="26">
        <v>7</v>
      </c>
      <c r="H345" s="32">
        <v>1091</v>
      </c>
      <c r="I345" s="32">
        <v>0</v>
      </c>
      <c r="J345" s="32">
        <v>7</v>
      </c>
      <c r="K345" s="32">
        <v>1</v>
      </c>
      <c r="L345" s="173">
        <v>0</v>
      </c>
      <c r="M345" s="32">
        <v>0</v>
      </c>
      <c r="N345" s="39" t="s">
        <v>125</v>
      </c>
      <c r="O345" s="67" t="s">
        <v>450</v>
      </c>
      <c r="P345" s="29" t="s">
        <v>27</v>
      </c>
      <c r="Q345" s="35">
        <v>40466</v>
      </c>
      <c r="R345" s="182" t="s">
        <v>1376</v>
      </c>
    </row>
    <row r="346" spans="1:18" s="22" customFormat="1" ht="21.75" customHeight="1">
      <c r="A346" s="26">
        <v>345</v>
      </c>
      <c r="B346" s="26" t="s">
        <v>148</v>
      </c>
      <c r="C346" s="26" t="s">
        <v>252</v>
      </c>
      <c r="D346" s="65" t="s">
        <v>1384</v>
      </c>
      <c r="E346" s="33" t="s">
        <v>625</v>
      </c>
      <c r="F346" s="65" t="s">
        <v>1385</v>
      </c>
      <c r="G346" s="26">
        <v>6</v>
      </c>
      <c r="H346" s="32">
        <v>816</v>
      </c>
      <c r="I346" s="32">
        <v>0</v>
      </c>
      <c r="J346" s="32">
        <v>6</v>
      </c>
      <c r="K346" s="32">
        <v>2</v>
      </c>
      <c r="L346" s="32">
        <v>0</v>
      </c>
      <c r="M346" s="32">
        <v>0</v>
      </c>
      <c r="N346" s="112" t="s">
        <v>1386</v>
      </c>
      <c r="O346" s="67" t="s">
        <v>450</v>
      </c>
      <c r="P346" s="29" t="s">
        <v>27</v>
      </c>
      <c r="Q346" s="35">
        <v>41264</v>
      </c>
      <c r="R346" s="29"/>
    </row>
    <row r="347" spans="1:18" s="141" customFormat="1" ht="21.75" customHeight="1">
      <c r="A347" s="26">
        <v>346</v>
      </c>
      <c r="B347" s="26" t="s">
        <v>148</v>
      </c>
      <c r="C347" s="26" t="s">
        <v>252</v>
      </c>
      <c r="D347" s="30" t="s">
        <v>43</v>
      </c>
      <c r="E347" s="26" t="s">
        <v>144</v>
      </c>
      <c r="F347" s="65" t="s">
        <v>1378</v>
      </c>
      <c r="G347" s="26">
        <v>7</v>
      </c>
      <c r="H347" s="32">
        <v>1250</v>
      </c>
      <c r="I347" s="32">
        <f>G347-J347</f>
        <v>0</v>
      </c>
      <c r="J347" s="32">
        <v>7</v>
      </c>
      <c r="K347" s="32">
        <v>6</v>
      </c>
      <c r="L347" s="32">
        <v>0</v>
      </c>
      <c r="M347" s="32">
        <v>0</v>
      </c>
      <c r="N347" s="39" t="s">
        <v>125</v>
      </c>
      <c r="O347" s="33" t="s">
        <v>450</v>
      </c>
      <c r="P347" s="29" t="s">
        <v>27</v>
      </c>
      <c r="Q347" s="35">
        <v>37315</v>
      </c>
      <c r="R347" s="29"/>
    </row>
    <row r="348" spans="1:18" s="141" customFormat="1" ht="21.75" customHeight="1">
      <c r="A348" s="26">
        <v>347</v>
      </c>
      <c r="B348" s="193" t="s">
        <v>148</v>
      </c>
      <c r="C348" s="26" t="s">
        <v>1367</v>
      </c>
      <c r="D348" s="30" t="s">
        <v>1370</v>
      </c>
      <c r="E348" s="193" t="s">
        <v>144</v>
      </c>
      <c r="F348" s="30" t="s">
        <v>1371</v>
      </c>
      <c r="G348" s="26">
        <v>6</v>
      </c>
      <c r="H348" s="31">
        <v>469</v>
      </c>
      <c r="I348" s="32">
        <f>G348-J348</f>
        <v>0</v>
      </c>
      <c r="J348" s="31">
        <v>6</v>
      </c>
      <c r="K348" s="31">
        <v>3</v>
      </c>
      <c r="L348" s="31">
        <v>0</v>
      </c>
      <c r="M348" s="31">
        <v>0</v>
      </c>
      <c r="N348" s="39" t="s">
        <v>125</v>
      </c>
      <c r="O348" s="26" t="s">
        <v>451</v>
      </c>
      <c r="P348" s="29" t="s">
        <v>308</v>
      </c>
      <c r="Q348" s="35">
        <v>40009</v>
      </c>
      <c r="R348" s="188" t="s">
        <v>1372</v>
      </c>
    </row>
    <row r="349" spans="1:18" s="16" customFormat="1" ht="21.75" customHeight="1">
      <c r="A349" s="26">
        <v>348</v>
      </c>
      <c r="B349" s="26" t="s">
        <v>148</v>
      </c>
      <c r="C349" s="26" t="s">
        <v>252</v>
      </c>
      <c r="D349" s="30" t="s">
        <v>100</v>
      </c>
      <c r="E349" s="26" t="s">
        <v>625</v>
      </c>
      <c r="F349" s="65" t="s">
        <v>1377</v>
      </c>
      <c r="G349" s="26">
        <v>7</v>
      </c>
      <c r="H349" s="31">
        <v>1060</v>
      </c>
      <c r="I349" s="32">
        <v>0</v>
      </c>
      <c r="J349" s="31">
        <v>7</v>
      </c>
      <c r="K349" s="31">
        <v>3</v>
      </c>
      <c r="L349" s="31">
        <v>0</v>
      </c>
      <c r="M349" s="31">
        <v>0</v>
      </c>
      <c r="N349" s="112" t="s">
        <v>432</v>
      </c>
      <c r="O349" s="33" t="s">
        <v>451</v>
      </c>
      <c r="P349" s="29" t="s">
        <v>308</v>
      </c>
      <c r="Q349" s="35">
        <v>38532</v>
      </c>
      <c r="R349" s="29"/>
    </row>
    <row r="350" spans="1:18" s="16" customFormat="1" ht="21.75" customHeight="1">
      <c r="A350" s="26">
        <v>349</v>
      </c>
      <c r="B350" s="26" t="s">
        <v>148</v>
      </c>
      <c r="C350" s="33" t="s">
        <v>1387</v>
      </c>
      <c r="D350" s="30" t="s">
        <v>136</v>
      </c>
      <c r="E350" s="26" t="s">
        <v>146</v>
      </c>
      <c r="F350" s="30" t="s">
        <v>37</v>
      </c>
      <c r="G350" s="26">
        <v>7</v>
      </c>
      <c r="H350" s="32">
        <v>1269</v>
      </c>
      <c r="I350" s="32">
        <v>0</v>
      </c>
      <c r="J350" s="32">
        <v>7</v>
      </c>
      <c r="K350" s="32">
        <v>0</v>
      </c>
      <c r="L350" s="32">
        <v>0</v>
      </c>
      <c r="M350" s="32">
        <v>0</v>
      </c>
      <c r="N350" s="39" t="s">
        <v>125</v>
      </c>
      <c r="O350" s="33" t="s">
        <v>450</v>
      </c>
      <c r="P350" s="29" t="s">
        <v>27</v>
      </c>
      <c r="Q350" s="35">
        <v>40268</v>
      </c>
      <c r="R350" s="29"/>
    </row>
    <row r="351" spans="1:18" s="5" customFormat="1" ht="21.75" customHeight="1">
      <c r="A351" s="26">
        <v>350</v>
      </c>
      <c r="B351" s="26" t="s">
        <v>1358</v>
      </c>
      <c r="C351" s="26" t="s">
        <v>1389</v>
      </c>
      <c r="D351" s="38" t="s">
        <v>1390</v>
      </c>
      <c r="E351" s="26" t="s">
        <v>789</v>
      </c>
      <c r="F351" s="38" t="s">
        <v>1391</v>
      </c>
      <c r="G351" s="26">
        <v>6</v>
      </c>
      <c r="H351" s="31">
        <v>735</v>
      </c>
      <c r="I351" s="31">
        <v>0</v>
      </c>
      <c r="J351" s="31">
        <v>6</v>
      </c>
      <c r="K351" s="31">
        <v>0</v>
      </c>
      <c r="L351" s="31">
        <v>0</v>
      </c>
      <c r="M351" s="31">
        <v>0</v>
      </c>
      <c r="N351" s="39" t="s">
        <v>432</v>
      </c>
      <c r="O351" s="85" t="s">
        <v>25</v>
      </c>
      <c r="P351" s="26" t="s">
        <v>127</v>
      </c>
      <c r="Q351" s="35">
        <v>41362</v>
      </c>
      <c r="R351" s="29" t="s">
        <v>1392</v>
      </c>
    </row>
    <row r="352" spans="1:18" s="171" customFormat="1" ht="24.75" customHeight="1">
      <c r="A352" s="26">
        <v>351</v>
      </c>
      <c r="B352" s="41" t="s">
        <v>149</v>
      </c>
      <c r="C352" s="41" t="s">
        <v>253</v>
      </c>
      <c r="D352" s="170" t="s">
        <v>378</v>
      </c>
      <c r="E352" s="41" t="s">
        <v>146</v>
      </c>
      <c r="F352" s="170" t="s">
        <v>1393</v>
      </c>
      <c r="G352" s="41">
        <v>6</v>
      </c>
      <c r="H352" s="49">
        <v>649</v>
      </c>
      <c r="I352" s="49">
        <v>0</v>
      </c>
      <c r="J352" s="49">
        <v>6</v>
      </c>
      <c r="K352" s="49">
        <v>2</v>
      </c>
      <c r="L352" s="214">
        <v>0</v>
      </c>
      <c r="M352" s="49">
        <v>0</v>
      </c>
      <c r="N352" s="243" t="s">
        <v>125</v>
      </c>
      <c r="O352" s="159" t="s">
        <v>450</v>
      </c>
      <c r="P352" s="43" t="s">
        <v>27</v>
      </c>
      <c r="Q352" s="44">
        <v>38714</v>
      </c>
      <c r="R352" s="170"/>
    </row>
    <row r="353" spans="1:18" s="171" customFormat="1" ht="24.75" customHeight="1">
      <c r="A353" s="26">
        <v>352</v>
      </c>
      <c r="B353" s="27" t="s">
        <v>149</v>
      </c>
      <c r="C353" s="27" t="s">
        <v>150</v>
      </c>
      <c r="D353" s="28" t="s">
        <v>98</v>
      </c>
      <c r="E353" s="27" t="s">
        <v>146</v>
      </c>
      <c r="F353" s="28" t="s">
        <v>1395</v>
      </c>
      <c r="G353" s="26">
        <v>8</v>
      </c>
      <c r="H353" s="31">
        <v>832</v>
      </c>
      <c r="I353" s="31">
        <v>0</v>
      </c>
      <c r="J353" s="31">
        <v>8</v>
      </c>
      <c r="K353" s="31">
        <v>3</v>
      </c>
      <c r="L353" s="31">
        <v>0</v>
      </c>
      <c r="M353" s="31">
        <v>0</v>
      </c>
      <c r="N353" s="39" t="s">
        <v>1396</v>
      </c>
      <c r="O353" s="85" t="s">
        <v>25</v>
      </c>
      <c r="P353" s="26" t="s">
        <v>127</v>
      </c>
      <c r="Q353" s="35">
        <v>38806</v>
      </c>
      <c r="R353" s="28"/>
    </row>
    <row r="354" spans="1:18" s="171" customFormat="1" ht="24.75" customHeight="1">
      <c r="A354" s="26">
        <v>353</v>
      </c>
      <c r="B354" s="26" t="s">
        <v>149</v>
      </c>
      <c r="C354" s="26" t="s">
        <v>150</v>
      </c>
      <c r="D354" s="30" t="s">
        <v>26</v>
      </c>
      <c r="E354" s="33" t="s">
        <v>625</v>
      </c>
      <c r="F354" s="30" t="s">
        <v>1394</v>
      </c>
      <c r="G354" s="26">
        <v>6</v>
      </c>
      <c r="H354" s="32">
        <v>818</v>
      </c>
      <c r="I354" s="32">
        <f>G354-J354</f>
        <v>0</v>
      </c>
      <c r="J354" s="32">
        <v>6</v>
      </c>
      <c r="K354" s="32">
        <v>2</v>
      </c>
      <c r="L354" s="32">
        <v>0</v>
      </c>
      <c r="M354" s="32">
        <v>0</v>
      </c>
      <c r="N354" s="39" t="s">
        <v>125</v>
      </c>
      <c r="O354" s="67" t="s">
        <v>450</v>
      </c>
      <c r="P354" s="29" t="s">
        <v>27</v>
      </c>
      <c r="Q354" s="35">
        <v>39870</v>
      </c>
      <c r="R354" s="29"/>
    </row>
    <row r="355" spans="1:18" s="171" customFormat="1" ht="24.75" customHeight="1">
      <c r="A355" s="26">
        <v>354</v>
      </c>
      <c r="B355" s="26" t="s">
        <v>149</v>
      </c>
      <c r="C355" s="26" t="s">
        <v>150</v>
      </c>
      <c r="D355" s="65" t="s">
        <v>1397</v>
      </c>
      <c r="E355" s="26" t="s">
        <v>789</v>
      </c>
      <c r="F355" s="30" t="s">
        <v>1398</v>
      </c>
      <c r="G355" s="26">
        <v>6</v>
      </c>
      <c r="H355" s="31">
        <v>856</v>
      </c>
      <c r="I355" s="32">
        <v>0</v>
      </c>
      <c r="J355" s="31">
        <v>6</v>
      </c>
      <c r="K355" s="31">
        <v>1</v>
      </c>
      <c r="L355" s="31">
        <v>0</v>
      </c>
      <c r="M355" s="31">
        <v>0</v>
      </c>
      <c r="N355" s="39" t="s">
        <v>125</v>
      </c>
      <c r="O355" s="33" t="s">
        <v>451</v>
      </c>
      <c r="P355" s="29" t="s">
        <v>308</v>
      </c>
      <c r="Q355" s="35">
        <v>39646</v>
      </c>
      <c r="R355" s="38" t="s">
        <v>1399</v>
      </c>
    </row>
    <row r="356" spans="1:18" s="142" customFormat="1" ht="24.75" customHeight="1">
      <c r="A356" s="26">
        <v>355</v>
      </c>
      <c r="B356" s="26" t="s">
        <v>520</v>
      </c>
      <c r="C356" s="26" t="s">
        <v>521</v>
      </c>
      <c r="D356" s="29" t="s">
        <v>519</v>
      </c>
      <c r="E356" s="26" t="s">
        <v>432</v>
      </c>
      <c r="F356" s="29" t="s">
        <v>1469</v>
      </c>
      <c r="G356" s="26">
        <v>1</v>
      </c>
      <c r="H356" s="32">
        <v>350</v>
      </c>
      <c r="I356" s="31">
        <v>0</v>
      </c>
      <c r="J356" s="31">
        <v>1</v>
      </c>
      <c r="K356" s="31">
        <v>0</v>
      </c>
      <c r="L356" s="31">
        <v>0</v>
      </c>
      <c r="M356" s="31">
        <v>0</v>
      </c>
      <c r="N356" s="39" t="s">
        <v>432</v>
      </c>
      <c r="O356" s="26" t="s">
        <v>1473</v>
      </c>
      <c r="P356" s="26" t="s">
        <v>1474</v>
      </c>
      <c r="Q356" s="35">
        <v>40486</v>
      </c>
      <c r="R356" s="29" t="s">
        <v>529</v>
      </c>
    </row>
    <row r="357" spans="1:18" s="142" customFormat="1" ht="24.75" customHeight="1">
      <c r="A357" s="26">
        <v>356</v>
      </c>
      <c r="B357" s="26" t="s">
        <v>520</v>
      </c>
      <c r="C357" s="26" t="s">
        <v>1401</v>
      </c>
      <c r="D357" s="30" t="s">
        <v>1402</v>
      </c>
      <c r="E357" s="26" t="s">
        <v>789</v>
      </c>
      <c r="F357" s="65" t="s">
        <v>1403</v>
      </c>
      <c r="G357" s="26">
        <v>6</v>
      </c>
      <c r="H357" s="31">
        <v>881</v>
      </c>
      <c r="I357" s="32">
        <v>0</v>
      </c>
      <c r="J357" s="31">
        <v>6</v>
      </c>
      <c r="K357" s="31">
        <v>1</v>
      </c>
      <c r="L357" s="31">
        <v>0</v>
      </c>
      <c r="M357" s="31">
        <v>0</v>
      </c>
      <c r="N357" s="112" t="s">
        <v>432</v>
      </c>
      <c r="O357" s="26" t="s">
        <v>451</v>
      </c>
      <c r="P357" s="29" t="s">
        <v>308</v>
      </c>
      <c r="Q357" s="35">
        <v>41628</v>
      </c>
      <c r="R357" s="29"/>
    </row>
  </sheetData>
  <phoneticPr fontId="28" type="noConversion"/>
  <hyperlinks>
    <hyperlink ref="P268" r:id="rId1"/>
  </hyperlinks>
  <pageMargins left="0.7" right="0.7" top="0.75" bottom="0.75" header="0.3" footer="0.3"/>
  <pageSetup paperSize="9" orientation="portrait" verticalDpi="0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285"/>
  <sheetViews>
    <sheetView showGridLines="0" tabSelected="1" zoomScaleNormal="100" workbookViewId="0">
      <selection activeCell="H20" sqref="H20"/>
    </sheetView>
  </sheetViews>
  <sheetFormatPr defaultRowHeight="16.5"/>
  <cols>
    <col min="1" max="1" width="23.33203125" style="309" customWidth="1"/>
    <col min="2" max="4" width="14.21875" style="309" customWidth="1"/>
    <col min="5" max="7" width="10.88671875" style="309" customWidth="1"/>
    <col min="8" max="8" width="130.21875" style="310" bestFit="1" customWidth="1"/>
    <col min="9" max="16384" width="8.88671875" style="309"/>
  </cols>
  <sheetData>
    <row r="1" spans="1:8" s="336" customFormat="1" ht="34.5" customHeight="1">
      <c r="A1" s="336" t="s">
        <v>1934</v>
      </c>
      <c r="H1" s="337"/>
    </row>
    <row r="2" spans="1:8" ht="17.25" thickBot="1">
      <c r="A2" s="335"/>
      <c r="B2" s="309" t="s">
        <v>1933</v>
      </c>
    </row>
    <row r="3" spans="1:8" ht="17.25" thickBot="1">
      <c r="A3" s="334" t="s">
        <v>1932</v>
      </c>
      <c r="B3" s="333" t="s">
        <v>1931</v>
      </c>
      <c r="C3" s="333" t="s">
        <v>1930</v>
      </c>
      <c r="D3" s="333" t="s">
        <v>1929</v>
      </c>
      <c r="E3" s="332" t="s">
        <v>1928</v>
      </c>
      <c r="F3" s="332" t="s">
        <v>1927</v>
      </c>
      <c r="G3" s="332" t="s">
        <v>1926</v>
      </c>
      <c r="H3" s="331" t="s">
        <v>1925</v>
      </c>
    </row>
    <row r="4" spans="1:8" s="317" customFormat="1" ht="17.25" thickBot="1">
      <c r="A4" s="330" t="s">
        <v>1924</v>
      </c>
      <c r="B4" s="329">
        <v>51327916</v>
      </c>
      <c r="C4" s="329">
        <v>25669296</v>
      </c>
      <c r="D4" s="329">
        <v>25658620</v>
      </c>
      <c r="E4" s="329">
        <f>SUM(E31,E5,E48,E57,E68,E74,E80,E86,E88,E140,E159,E175,E193,E210,E233,E259,E283)</f>
        <v>356</v>
      </c>
      <c r="F4" s="329">
        <f>SUM(F31,F5,F48,F57,F68,F74,F80,F86,F88,F140,F159,F175,F193,F210,F233,F259,F283)</f>
        <v>2281</v>
      </c>
      <c r="G4" s="329">
        <f>SUM(G31,G5,G48,G57,G68,G74,G80,G86,G88,G140,G159,G175,G193,G210,G233,G259,G283)</f>
        <v>372361</v>
      </c>
      <c r="H4" s="328"/>
    </row>
    <row r="5" spans="1:8" s="317" customFormat="1">
      <c r="A5" s="320" t="s">
        <v>1923</v>
      </c>
      <c r="B5" s="319">
        <v>10103233</v>
      </c>
      <c r="C5" s="319">
        <v>4979768</v>
      </c>
      <c r="D5" s="319">
        <v>5123465</v>
      </c>
      <c r="E5" s="319">
        <f>SUM(E6:E30)</f>
        <v>76</v>
      </c>
      <c r="F5" s="319">
        <f>SUM(F6:F30)</f>
        <v>469</v>
      </c>
      <c r="G5" s="319">
        <f>SUM(G6:G30)</f>
        <v>80334</v>
      </c>
      <c r="H5" s="318"/>
    </row>
    <row r="6" spans="1:8">
      <c r="A6" s="316" t="s">
        <v>1922</v>
      </c>
      <c r="B6" s="315">
        <v>156993</v>
      </c>
      <c r="C6" s="315">
        <v>77621</v>
      </c>
      <c r="D6" s="315">
        <v>79372</v>
      </c>
      <c r="E6" s="315">
        <v>8</v>
      </c>
      <c r="F6" s="315">
        <v>32</v>
      </c>
      <c r="G6" s="315">
        <v>6321</v>
      </c>
      <c r="H6" s="314" t="s">
        <v>1921</v>
      </c>
    </row>
    <row r="7" spans="1:8">
      <c r="A7" s="316" t="s">
        <v>1813</v>
      </c>
      <c r="B7" s="315">
        <v>128065</v>
      </c>
      <c r="C7" s="315">
        <v>64033</v>
      </c>
      <c r="D7" s="315">
        <v>64032</v>
      </c>
      <c r="E7" s="315">
        <v>9</v>
      </c>
      <c r="F7" s="315">
        <v>40</v>
      </c>
      <c r="G7" s="315">
        <v>7207</v>
      </c>
      <c r="H7" s="314" t="s">
        <v>1920</v>
      </c>
    </row>
    <row r="8" spans="1:8">
      <c r="A8" s="316" t="s">
        <v>1919</v>
      </c>
      <c r="B8" s="315">
        <v>235951</v>
      </c>
      <c r="C8" s="315">
        <v>114578</v>
      </c>
      <c r="D8" s="315">
        <v>121373</v>
      </c>
      <c r="E8" s="315">
        <v>2</v>
      </c>
      <c r="F8" s="315">
        <v>19</v>
      </c>
      <c r="G8" s="315">
        <v>3683</v>
      </c>
      <c r="H8" s="314" t="s">
        <v>1918</v>
      </c>
    </row>
    <row r="9" spans="1:8">
      <c r="A9" s="316" t="s">
        <v>1917</v>
      </c>
      <c r="B9" s="315">
        <v>296086</v>
      </c>
      <c r="C9" s="315">
        <v>147363</v>
      </c>
      <c r="D9" s="315">
        <v>148723</v>
      </c>
      <c r="E9" s="315">
        <v>1</v>
      </c>
      <c r="F9" s="315">
        <v>10</v>
      </c>
      <c r="G9" s="315">
        <v>1846</v>
      </c>
      <c r="H9" s="314" t="s">
        <v>1916</v>
      </c>
    </row>
    <row r="10" spans="1:8">
      <c r="A10" s="316" t="s">
        <v>1915</v>
      </c>
      <c r="B10" s="315">
        <v>363354</v>
      </c>
      <c r="C10" s="315">
        <v>178738</v>
      </c>
      <c r="D10" s="315">
        <v>184616</v>
      </c>
      <c r="E10" s="315">
        <v>4</v>
      </c>
      <c r="F10" s="315">
        <v>33</v>
      </c>
      <c r="G10" s="315">
        <v>5146</v>
      </c>
      <c r="H10" s="314" t="s">
        <v>1914</v>
      </c>
    </row>
    <row r="11" spans="1:8">
      <c r="A11" s="316" t="s">
        <v>1913</v>
      </c>
      <c r="B11" s="315">
        <v>363687</v>
      </c>
      <c r="C11" s="315">
        <v>182510</v>
      </c>
      <c r="D11" s="315">
        <v>181177</v>
      </c>
      <c r="E11" s="315">
        <v>2</v>
      </c>
      <c r="F11" s="315">
        <v>15</v>
      </c>
      <c r="G11" s="315">
        <v>2762</v>
      </c>
      <c r="H11" s="314" t="s">
        <v>1912</v>
      </c>
    </row>
    <row r="12" spans="1:8">
      <c r="A12" s="316" t="s">
        <v>1911</v>
      </c>
      <c r="B12" s="315">
        <v>418836</v>
      </c>
      <c r="C12" s="315">
        <v>209323</v>
      </c>
      <c r="D12" s="315">
        <v>209513</v>
      </c>
      <c r="E12" s="315">
        <v>1</v>
      </c>
      <c r="F12" s="315">
        <v>7</v>
      </c>
      <c r="G12" s="315">
        <v>939</v>
      </c>
      <c r="H12" s="314" t="s">
        <v>1910</v>
      </c>
    </row>
    <row r="13" spans="1:8">
      <c r="A13" s="316" t="s">
        <v>1909</v>
      </c>
      <c r="B13" s="315">
        <v>466706</v>
      </c>
      <c r="C13" s="315">
        <v>229205</v>
      </c>
      <c r="D13" s="315">
        <v>237501</v>
      </c>
      <c r="E13" s="315">
        <v>3</v>
      </c>
      <c r="F13" s="315">
        <v>9</v>
      </c>
      <c r="G13" s="315">
        <v>1521</v>
      </c>
      <c r="H13" s="314" t="s">
        <v>1908</v>
      </c>
    </row>
    <row r="14" spans="1:8">
      <c r="A14" s="316" t="s">
        <v>1907</v>
      </c>
      <c r="B14" s="315">
        <v>335025</v>
      </c>
      <c r="C14" s="315">
        <v>165223</v>
      </c>
      <c r="D14" s="315">
        <v>169802</v>
      </c>
      <c r="E14" s="315">
        <v>2</v>
      </c>
      <c r="F14" s="315">
        <v>15</v>
      </c>
      <c r="G14" s="315">
        <v>1888</v>
      </c>
      <c r="H14" s="314" t="s">
        <v>1906</v>
      </c>
    </row>
    <row r="15" spans="1:8">
      <c r="A15" s="324" t="s">
        <v>1905</v>
      </c>
      <c r="B15" s="323">
        <v>353709</v>
      </c>
      <c r="C15" s="323">
        <v>174554</v>
      </c>
      <c r="D15" s="323">
        <v>179155</v>
      </c>
      <c r="E15" s="323" t="s">
        <v>1512</v>
      </c>
      <c r="F15" s="323" t="s">
        <v>1512</v>
      </c>
      <c r="G15" s="323" t="s">
        <v>1512</v>
      </c>
      <c r="H15" s="314" t="s">
        <v>1512</v>
      </c>
    </row>
    <row r="16" spans="1:8">
      <c r="A16" s="316" t="s">
        <v>1904</v>
      </c>
      <c r="B16" s="315">
        <v>582552</v>
      </c>
      <c r="C16" s="315">
        <v>284225</v>
      </c>
      <c r="D16" s="315">
        <v>298327</v>
      </c>
      <c r="E16" s="315">
        <v>3</v>
      </c>
      <c r="F16" s="315">
        <v>21</v>
      </c>
      <c r="G16" s="315">
        <v>3854</v>
      </c>
      <c r="H16" s="314" t="s">
        <v>1903</v>
      </c>
    </row>
    <row r="17" spans="1:8">
      <c r="A17" s="316" t="s">
        <v>1902</v>
      </c>
      <c r="B17" s="315">
        <v>498644</v>
      </c>
      <c r="C17" s="315">
        <v>243977</v>
      </c>
      <c r="D17" s="315">
        <v>254667</v>
      </c>
      <c r="E17" s="315">
        <v>3</v>
      </c>
      <c r="F17" s="315">
        <v>16</v>
      </c>
      <c r="G17" s="315">
        <v>2451</v>
      </c>
      <c r="H17" s="314" t="s">
        <v>1901</v>
      </c>
    </row>
    <row r="18" spans="1:8">
      <c r="A18" s="316" t="s">
        <v>1900</v>
      </c>
      <c r="B18" s="315">
        <v>310376</v>
      </c>
      <c r="C18" s="315">
        <v>151338</v>
      </c>
      <c r="D18" s="315">
        <v>159038</v>
      </c>
      <c r="E18" s="315">
        <v>4</v>
      </c>
      <c r="F18" s="315">
        <v>21</v>
      </c>
      <c r="G18" s="315">
        <v>3423</v>
      </c>
      <c r="H18" s="314" t="s">
        <v>1899</v>
      </c>
    </row>
    <row r="19" spans="1:8">
      <c r="A19" s="316" t="s">
        <v>1898</v>
      </c>
      <c r="B19" s="315">
        <v>385439</v>
      </c>
      <c r="C19" s="315">
        <v>186177</v>
      </c>
      <c r="D19" s="315">
        <v>199262</v>
      </c>
      <c r="E19" s="315">
        <v>6</v>
      </c>
      <c r="F19" s="315">
        <v>29</v>
      </c>
      <c r="G19" s="315">
        <v>4658</v>
      </c>
      <c r="H19" s="314" t="s">
        <v>1897</v>
      </c>
    </row>
    <row r="20" spans="1:8">
      <c r="A20" s="316" t="s">
        <v>1896</v>
      </c>
      <c r="B20" s="315">
        <v>486221</v>
      </c>
      <c r="C20" s="315">
        <v>241020</v>
      </c>
      <c r="D20" s="315">
        <v>245201</v>
      </c>
      <c r="E20" s="315">
        <v>2</v>
      </c>
      <c r="F20" s="315">
        <v>17</v>
      </c>
      <c r="G20" s="315">
        <v>2869</v>
      </c>
      <c r="H20" s="314" t="s">
        <v>1895</v>
      </c>
    </row>
    <row r="21" spans="1:8">
      <c r="A21" s="316" t="s">
        <v>1861</v>
      </c>
      <c r="B21" s="315">
        <v>585160</v>
      </c>
      <c r="C21" s="315">
        <v>286644</v>
      </c>
      <c r="D21" s="315">
        <v>298516</v>
      </c>
      <c r="E21" s="315">
        <v>1</v>
      </c>
      <c r="F21" s="315">
        <v>10</v>
      </c>
      <c r="G21" s="315">
        <v>2127</v>
      </c>
      <c r="H21" s="314" t="s">
        <v>1894</v>
      </c>
    </row>
    <row r="22" spans="1:8">
      <c r="A22" s="316" t="s">
        <v>1893</v>
      </c>
      <c r="B22" s="315">
        <v>425831</v>
      </c>
      <c r="C22" s="315">
        <v>213213</v>
      </c>
      <c r="D22" s="315">
        <v>212618</v>
      </c>
      <c r="E22" s="315">
        <v>3</v>
      </c>
      <c r="F22" s="315">
        <v>25</v>
      </c>
      <c r="G22" s="315">
        <v>3853</v>
      </c>
      <c r="H22" s="314" t="s">
        <v>1892</v>
      </c>
    </row>
    <row r="23" spans="1:8">
      <c r="A23" s="316" t="s">
        <v>1891</v>
      </c>
      <c r="B23" s="315">
        <v>238463</v>
      </c>
      <c r="C23" s="315">
        <v>121878</v>
      </c>
      <c r="D23" s="315">
        <v>116585</v>
      </c>
      <c r="E23" s="315">
        <v>2</v>
      </c>
      <c r="F23" s="315">
        <v>14</v>
      </c>
      <c r="G23" s="315">
        <v>2660</v>
      </c>
      <c r="H23" s="314" t="s">
        <v>1890</v>
      </c>
    </row>
    <row r="24" spans="1:8">
      <c r="A24" s="316" t="s">
        <v>1889</v>
      </c>
      <c r="B24" s="315">
        <v>382352</v>
      </c>
      <c r="C24" s="315">
        <v>191464</v>
      </c>
      <c r="D24" s="315">
        <v>190888</v>
      </c>
      <c r="E24" s="315">
        <v>3</v>
      </c>
      <c r="F24" s="315">
        <v>27</v>
      </c>
      <c r="G24" s="315">
        <v>5005</v>
      </c>
      <c r="H24" s="314" t="s">
        <v>1888</v>
      </c>
    </row>
    <row r="25" spans="1:8">
      <c r="A25" s="316" t="s">
        <v>1887</v>
      </c>
      <c r="B25" s="315">
        <v>407470</v>
      </c>
      <c r="C25" s="315">
        <v>200328</v>
      </c>
      <c r="D25" s="315">
        <v>207142</v>
      </c>
      <c r="E25" s="315">
        <v>2</v>
      </c>
      <c r="F25" s="315">
        <v>8</v>
      </c>
      <c r="G25" s="315">
        <v>966</v>
      </c>
      <c r="H25" s="314" t="s">
        <v>1886</v>
      </c>
    </row>
    <row r="26" spans="1:8">
      <c r="A26" s="316" t="s">
        <v>1885</v>
      </c>
      <c r="B26" s="315">
        <v>513186</v>
      </c>
      <c r="C26" s="315">
        <v>259631</v>
      </c>
      <c r="D26" s="315">
        <v>253555</v>
      </c>
      <c r="E26" s="315">
        <v>2</v>
      </c>
      <c r="F26" s="315">
        <v>13</v>
      </c>
      <c r="G26" s="315">
        <v>2153</v>
      </c>
      <c r="H26" s="314" t="s">
        <v>1884</v>
      </c>
    </row>
    <row r="27" spans="1:8">
      <c r="A27" s="316" t="s">
        <v>1883</v>
      </c>
      <c r="B27" s="315">
        <v>449678</v>
      </c>
      <c r="C27" s="315">
        <v>216740</v>
      </c>
      <c r="D27" s="315">
        <v>232938</v>
      </c>
      <c r="E27" s="315">
        <v>2</v>
      </c>
      <c r="F27" s="315">
        <v>13</v>
      </c>
      <c r="G27" s="315">
        <v>2082</v>
      </c>
      <c r="H27" s="314" t="s">
        <v>1882</v>
      </c>
    </row>
    <row r="28" spans="1:8">
      <c r="A28" s="316" t="s">
        <v>1881</v>
      </c>
      <c r="B28" s="315">
        <v>578114</v>
      </c>
      <c r="C28" s="315">
        <v>277267</v>
      </c>
      <c r="D28" s="315">
        <v>300847</v>
      </c>
      <c r="E28" s="315">
        <v>8</v>
      </c>
      <c r="F28" s="315">
        <v>46</v>
      </c>
      <c r="G28" s="315">
        <v>7739</v>
      </c>
      <c r="H28" s="314" t="s">
        <v>1880</v>
      </c>
    </row>
    <row r="29" spans="1:8">
      <c r="A29" s="316" t="s">
        <v>1879</v>
      </c>
      <c r="B29" s="315">
        <v>664738</v>
      </c>
      <c r="C29" s="315">
        <v>324902</v>
      </c>
      <c r="D29" s="315">
        <v>339836</v>
      </c>
      <c r="E29" s="315">
        <v>1</v>
      </c>
      <c r="F29" s="315">
        <v>7</v>
      </c>
      <c r="G29" s="315">
        <v>1218</v>
      </c>
      <c r="H29" s="314" t="s">
        <v>1878</v>
      </c>
    </row>
    <row r="30" spans="1:8" ht="17.25" thickBot="1">
      <c r="A30" s="313" t="s">
        <v>1877</v>
      </c>
      <c r="B30" s="312">
        <v>476597</v>
      </c>
      <c r="C30" s="312">
        <v>237816</v>
      </c>
      <c r="D30" s="312">
        <v>238781</v>
      </c>
      <c r="E30" s="312">
        <v>2</v>
      </c>
      <c r="F30" s="312">
        <v>22</v>
      </c>
      <c r="G30" s="312">
        <v>3963</v>
      </c>
      <c r="H30" s="311" t="s">
        <v>1876</v>
      </c>
    </row>
    <row r="31" spans="1:8" s="317" customFormat="1">
      <c r="A31" s="320" t="s">
        <v>1875</v>
      </c>
      <c r="B31" s="319">
        <v>3519401</v>
      </c>
      <c r="C31" s="319">
        <v>1740417</v>
      </c>
      <c r="D31" s="319">
        <v>1778984</v>
      </c>
      <c r="E31" s="319">
        <f>SUM(E32:E47)</f>
        <v>26</v>
      </c>
      <c r="F31" s="319">
        <f>SUM(F32:F47)</f>
        <v>193</v>
      </c>
      <c r="G31" s="319">
        <f>SUM(G32:G47)</f>
        <v>34596</v>
      </c>
      <c r="H31" s="318"/>
    </row>
    <row r="32" spans="1:8">
      <c r="A32" s="316" t="s">
        <v>1813</v>
      </c>
      <c r="B32" s="315">
        <v>46737</v>
      </c>
      <c r="C32" s="315">
        <v>23013</v>
      </c>
      <c r="D32" s="315">
        <v>23724</v>
      </c>
      <c r="E32" s="315">
        <v>5</v>
      </c>
      <c r="F32" s="315">
        <v>30</v>
      </c>
      <c r="G32" s="315">
        <v>7191</v>
      </c>
      <c r="H32" s="314" t="s">
        <v>1874</v>
      </c>
    </row>
    <row r="33" spans="1:8">
      <c r="A33" s="324" t="s">
        <v>1819</v>
      </c>
      <c r="B33" s="323">
        <v>118115</v>
      </c>
      <c r="C33" s="323">
        <v>58190</v>
      </c>
      <c r="D33" s="323">
        <v>59925</v>
      </c>
      <c r="E33" s="323" t="s">
        <v>1512</v>
      </c>
      <c r="F33" s="323" t="s">
        <v>1512</v>
      </c>
      <c r="G33" s="323" t="s">
        <v>1512</v>
      </c>
      <c r="H33" s="314" t="s">
        <v>1512</v>
      </c>
    </row>
    <row r="34" spans="1:8">
      <c r="A34" s="324" t="s">
        <v>1809</v>
      </c>
      <c r="B34" s="323">
        <v>94565</v>
      </c>
      <c r="C34" s="323">
        <v>46952</v>
      </c>
      <c r="D34" s="323">
        <v>47613</v>
      </c>
      <c r="E34" s="323" t="s">
        <v>1512</v>
      </c>
      <c r="F34" s="323" t="s">
        <v>1512</v>
      </c>
      <c r="G34" s="323" t="s">
        <v>1512</v>
      </c>
      <c r="H34" s="314" t="s">
        <v>1512</v>
      </c>
    </row>
    <row r="35" spans="1:8">
      <c r="A35" s="324" t="s">
        <v>1873</v>
      </c>
      <c r="B35" s="323">
        <v>132102</v>
      </c>
      <c r="C35" s="323">
        <v>65670</v>
      </c>
      <c r="D35" s="323">
        <v>66432</v>
      </c>
      <c r="E35" s="323" t="s">
        <v>1512</v>
      </c>
      <c r="F35" s="323" t="s">
        <v>1512</v>
      </c>
      <c r="G35" s="323" t="s">
        <v>1512</v>
      </c>
      <c r="H35" s="314" t="s">
        <v>1512</v>
      </c>
    </row>
    <row r="36" spans="1:8">
      <c r="A36" s="316" t="s">
        <v>1872</v>
      </c>
      <c r="B36" s="315">
        <v>387378</v>
      </c>
      <c r="C36" s="315">
        <v>190136</v>
      </c>
      <c r="D36" s="315">
        <v>197242</v>
      </c>
      <c r="E36" s="315">
        <v>5</v>
      </c>
      <c r="F36" s="315">
        <v>40</v>
      </c>
      <c r="G36" s="315">
        <v>6945</v>
      </c>
      <c r="H36" s="314" t="s">
        <v>1871</v>
      </c>
    </row>
    <row r="37" spans="1:8">
      <c r="A37" s="316" t="s">
        <v>1870</v>
      </c>
      <c r="B37" s="315">
        <v>275971</v>
      </c>
      <c r="C37" s="315">
        <v>135902</v>
      </c>
      <c r="D37" s="315">
        <v>140069</v>
      </c>
      <c r="E37" s="315">
        <v>2</v>
      </c>
      <c r="F37" s="315">
        <v>18</v>
      </c>
      <c r="G37" s="315">
        <v>3097</v>
      </c>
      <c r="H37" s="327" t="s">
        <v>1869</v>
      </c>
    </row>
    <row r="38" spans="1:8">
      <c r="A38" s="316" t="s">
        <v>1811</v>
      </c>
      <c r="B38" s="315">
        <v>286989</v>
      </c>
      <c r="C38" s="315">
        <v>141511</v>
      </c>
      <c r="D38" s="315">
        <v>145478</v>
      </c>
      <c r="E38" s="315">
        <v>2</v>
      </c>
      <c r="F38" s="315">
        <v>9</v>
      </c>
      <c r="G38" s="315">
        <v>1208</v>
      </c>
      <c r="H38" s="327" t="s">
        <v>1868</v>
      </c>
    </row>
    <row r="39" spans="1:8">
      <c r="A39" s="316" t="s">
        <v>1807</v>
      </c>
      <c r="B39" s="315">
        <v>306974</v>
      </c>
      <c r="C39" s="315">
        <v>152895</v>
      </c>
      <c r="D39" s="315">
        <v>154079</v>
      </c>
      <c r="E39" s="315">
        <v>2</v>
      </c>
      <c r="F39" s="315">
        <v>18</v>
      </c>
      <c r="G39" s="315">
        <v>2026</v>
      </c>
      <c r="H39" s="314" t="s">
        <v>1867</v>
      </c>
    </row>
    <row r="40" spans="1:8">
      <c r="A40" s="316" t="s">
        <v>1866</v>
      </c>
      <c r="B40" s="315">
        <v>423531</v>
      </c>
      <c r="C40" s="315">
        <v>206336</v>
      </c>
      <c r="D40" s="315">
        <v>217195</v>
      </c>
      <c r="E40" s="315">
        <v>6</v>
      </c>
      <c r="F40" s="315">
        <v>50</v>
      </c>
      <c r="G40" s="315">
        <v>9186</v>
      </c>
      <c r="H40" s="314" t="s">
        <v>1865</v>
      </c>
    </row>
    <row r="41" spans="1:8">
      <c r="A41" s="324" t="s">
        <v>1864</v>
      </c>
      <c r="B41" s="323">
        <v>343371</v>
      </c>
      <c r="C41" s="323">
        <v>171769</v>
      </c>
      <c r="D41" s="323">
        <v>171602</v>
      </c>
      <c r="E41" s="323" t="s">
        <v>1512</v>
      </c>
      <c r="F41" s="323" t="s">
        <v>1512</v>
      </c>
      <c r="G41" s="323" t="s">
        <v>1512</v>
      </c>
      <c r="H41" s="314" t="s">
        <v>1512</v>
      </c>
    </row>
    <row r="42" spans="1:8">
      <c r="A42" s="316" t="s">
        <v>1863</v>
      </c>
      <c r="B42" s="315">
        <v>249856</v>
      </c>
      <c r="C42" s="315">
        <v>123091</v>
      </c>
      <c r="D42" s="315">
        <v>126765</v>
      </c>
      <c r="E42" s="315">
        <v>1</v>
      </c>
      <c r="F42" s="315">
        <v>7</v>
      </c>
      <c r="G42" s="315">
        <v>1094</v>
      </c>
      <c r="H42" s="314" t="s">
        <v>1862</v>
      </c>
    </row>
    <row r="43" spans="1:8">
      <c r="A43" s="324" t="s">
        <v>1861</v>
      </c>
      <c r="B43" s="323">
        <v>79619</v>
      </c>
      <c r="C43" s="323">
        <v>41412</v>
      </c>
      <c r="D43" s="323">
        <v>38207</v>
      </c>
      <c r="E43" s="323" t="s">
        <v>1512</v>
      </c>
      <c r="F43" s="323" t="s">
        <v>1512</v>
      </c>
      <c r="G43" s="323" t="s">
        <v>1512</v>
      </c>
      <c r="H43" s="314" t="s">
        <v>1512</v>
      </c>
    </row>
    <row r="44" spans="1:8">
      <c r="A44" s="316" t="s">
        <v>1860</v>
      </c>
      <c r="B44" s="315">
        <v>208012</v>
      </c>
      <c r="C44" s="315">
        <v>102403</v>
      </c>
      <c r="D44" s="315">
        <v>105609</v>
      </c>
      <c r="E44" s="315">
        <v>1</v>
      </c>
      <c r="F44" s="315">
        <v>8</v>
      </c>
      <c r="G44" s="315">
        <v>1315</v>
      </c>
      <c r="H44" s="314" t="s">
        <v>1859</v>
      </c>
    </row>
    <row r="45" spans="1:8">
      <c r="A45" s="324" t="s">
        <v>1858</v>
      </c>
      <c r="B45" s="323">
        <v>178480</v>
      </c>
      <c r="C45" s="323">
        <v>85773</v>
      </c>
      <c r="D45" s="323">
        <v>92707</v>
      </c>
      <c r="E45" s="323" t="s">
        <v>1512</v>
      </c>
      <c r="F45" s="323" t="s">
        <v>1512</v>
      </c>
      <c r="G45" s="323" t="s">
        <v>1512</v>
      </c>
      <c r="H45" s="314" t="s">
        <v>1512</v>
      </c>
    </row>
    <row r="46" spans="1:8">
      <c r="A46" s="316" t="s">
        <v>1857</v>
      </c>
      <c r="B46" s="315">
        <v>242953</v>
      </c>
      <c r="C46" s="315">
        <v>123783</v>
      </c>
      <c r="D46" s="315">
        <v>119170</v>
      </c>
      <c r="E46" s="315">
        <v>1</v>
      </c>
      <c r="F46" s="315">
        <v>7</v>
      </c>
      <c r="G46" s="315">
        <v>1520</v>
      </c>
      <c r="H46" s="314" t="s">
        <v>1856</v>
      </c>
    </row>
    <row r="47" spans="1:8" ht="17.25" thickBot="1">
      <c r="A47" s="313" t="s">
        <v>1855</v>
      </c>
      <c r="B47" s="312">
        <v>144748</v>
      </c>
      <c r="C47" s="312">
        <v>71581</v>
      </c>
      <c r="D47" s="312">
        <v>73167</v>
      </c>
      <c r="E47" s="312">
        <v>1</v>
      </c>
      <c r="F47" s="312">
        <v>6</v>
      </c>
      <c r="G47" s="312">
        <v>1014</v>
      </c>
      <c r="H47" s="311" t="s">
        <v>1854</v>
      </c>
    </row>
    <row r="48" spans="1:8" s="317" customFormat="1">
      <c r="A48" s="320" t="s">
        <v>1853</v>
      </c>
      <c r="B48" s="319">
        <v>2493264</v>
      </c>
      <c r="C48" s="319">
        <v>1241119</v>
      </c>
      <c r="D48" s="319">
        <v>1252145</v>
      </c>
      <c r="E48" s="319">
        <f>SUM(E49:E56)</f>
        <v>20</v>
      </c>
      <c r="F48" s="319">
        <f>SUM(F49:F56)</f>
        <v>132</v>
      </c>
      <c r="G48" s="319">
        <f>SUM(G49:G56)</f>
        <v>21187</v>
      </c>
      <c r="H48" s="318"/>
    </row>
    <row r="49" spans="1:8">
      <c r="A49" s="316" t="s">
        <v>1813</v>
      </c>
      <c r="B49" s="315">
        <v>78812</v>
      </c>
      <c r="C49" s="315">
        <v>38444</v>
      </c>
      <c r="D49" s="315">
        <v>40368</v>
      </c>
      <c r="E49" s="315">
        <v>8</v>
      </c>
      <c r="F49" s="315">
        <v>50</v>
      </c>
      <c r="G49" s="315">
        <v>6949</v>
      </c>
      <c r="H49" s="314" t="s">
        <v>1852</v>
      </c>
    </row>
    <row r="50" spans="1:8">
      <c r="A50" s="316" t="s">
        <v>1809</v>
      </c>
      <c r="B50" s="315">
        <v>347975</v>
      </c>
      <c r="C50" s="315">
        <v>173633</v>
      </c>
      <c r="D50" s="315">
        <v>174342</v>
      </c>
      <c r="E50" s="315">
        <v>2</v>
      </c>
      <c r="F50" s="315">
        <v>13</v>
      </c>
      <c r="G50" s="315">
        <v>2360</v>
      </c>
      <c r="H50" s="314" t="s">
        <v>1851</v>
      </c>
    </row>
    <row r="51" spans="1:8">
      <c r="A51" s="316" t="s">
        <v>1819</v>
      </c>
      <c r="B51" s="315">
        <v>210770</v>
      </c>
      <c r="C51" s="315">
        <v>106740</v>
      </c>
      <c r="D51" s="315">
        <v>104030</v>
      </c>
      <c r="E51" s="315">
        <v>1</v>
      </c>
      <c r="F51" s="315">
        <v>7</v>
      </c>
      <c r="G51" s="315">
        <v>1300</v>
      </c>
      <c r="H51" s="314" t="s">
        <v>1850</v>
      </c>
    </row>
    <row r="52" spans="1:8">
      <c r="A52" s="324" t="s">
        <v>1811</v>
      </c>
      <c r="B52" s="323">
        <v>163492</v>
      </c>
      <c r="C52" s="323">
        <v>79758</v>
      </c>
      <c r="D52" s="323">
        <v>83734</v>
      </c>
      <c r="E52" s="323" t="s">
        <v>1512</v>
      </c>
      <c r="F52" s="323" t="s">
        <v>1512</v>
      </c>
      <c r="G52" s="323" t="s">
        <v>1512</v>
      </c>
      <c r="H52" s="314" t="s">
        <v>1512</v>
      </c>
    </row>
    <row r="53" spans="1:8">
      <c r="A53" s="316" t="s">
        <v>1807</v>
      </c>
      <c r="B53" s="315">
        <v>444375</v>
      </c>
      <c r="C53" s="315">
        <v>222664</v>
      </c>
      <c r="D53" s="315">
        <v>221711</v>
      </c>
      <c r="E53" s="315">
        <v>5</v>
      </c>
      <c r="F53" s="315">
        <v>38</v>
      </c>
      <c r="G53" s="315">
        <v>6171</v>
      </c>
      <c r="H53" s="314" t="s">
        <v>1849</v>
      </c>
    </row>
    <row r="54" spans="1:8">
      <c r="A54" s="316" t="s">
        <v>1848</v>
      </c>
      <c r="B54" s="315">
        <v>456505</v>
      </c>
      <c r="C54" s="315">
        <v>223495</v>
      </c>
      <c r="D54" s="315">
        <v>233010</v>
      </c>
      <c r="E54" s="315">
        <v>3</v>
      </c>
      <c r="F54" s="315">
        <v>15</v>
      </c>
      <c r="G54" s="315">
        <v>2790</v>
      </c>
      <c r="H54" s="314" t="s">
        <v>1847</v>
      </c>
    </row>
    <row r="55" spans="1:8">
      <c r="A55" s="316" t="s">
        <v>1846</v>
      </c>
      <c r="B55" s="315">
        <v>606433</v>
      </c>
      <c r="C55" s="315">
        <v>301846</v>
      </c>
      <c r="D55" s="315">
        <v>304587</v>
      </c>
      <c r="E55" s="315">
        <v>1</v>
      </c>
      <c r="F55" s="315">
        <v>9</v>
      </c>
      <c r="G55" s="315">
        <v>1617</v>
      </c>
      <c r="H55" s="314" t="s">
        <v>1845</v>
      </c>
    </row>
    <row r="56" spans="1:8" ht="17.25" thickBot="1">
      <c r="A56" s="322" t="s">
        <v>1844</v>
      </c>
      <c r="B56" s="321">
        <v>184902</v>
      </c>
      <c r="C56" s="321">
        <v>94539</v>
      </c>
      <c r="D56" s="321">
        <v>90363</v>
      </c>
      <c r="E56" s="321" t="s">
        <v>1512</v>
      </c>
      <c r="F56" s="321" t="s">
        <v>1512</v>
      </c>
      <c r="G56" s="321" t="s">
        <v>1512</v>
      </c>
      <c r="H56" s="311" t="s">
        <v>1512</v>
      </c>
    </row>
    <row r="57" spans="1:8" s="317" customFormat="1">
      <c r="A57" s="320" t="s">
        <v>1843</v>
      </c>
      <c r="B57" s="319">
        <v>2902608</v>
      </c>
      <c r="C57" s="319">
        <v>1459074</v>
      </c>
      <c r="D57" s="319">
        <v>1443534</v>
      </c>
      <c r="E57" s="319">
        <f>SUM(E58:E67)</f>
        <v>19</v>
      </c>
      <c r="F57" s="319">
        <f>SUM(F58:F67)</f>
        <v>124</v>
      </c>
      <c r="G57" s="319">
        <f>SUM(G58:G67)</f>
        <v>19814</v>
      </c>
      <c r="H57" s="318"/>
    </row>
    <row r="58" spans="1:8">
      <c r="A58" s="316" t="s">
        <v>1813</v>
      </c>
      <c r="B58" s="315">
        <v>111929</v>
      </c>
      <c r="C58" s="315">
        <v>57889</v>
      </c>
      <c r="D58" s="315">
        <v>54040</v>
      </c>
      <c r="E58" s="315">
        <v>2</v>
      </c>
      <c r="F58" s="315">
        <v>7</v>
      </c>
      <c r="G58" s="315">
        <v>1054</v>
      </c>
      <c r="H58" s="314" t="s">
        <v>1842</v>
      </c>
    </row>
    <row r="59" spans="1:8">
      <c r="A59" s="316" t="s">
        <v>1809</v>
      </c>
      <c r="B59" s="315">
        <v>73978</v>
      </c>
      <c r="C59" s="315">
        <v>37354</v>
      </c>
      <c r="D59" s="315">
        <v>36624</v>
      </c>
      <c r="E59" s="315">
        <v>1</v>
      </c>
      <c r="F59" s="315">
        <v>1</v>
      </c>
      <c r="G59" s="315">
        <v>283</v>
      </c>
      <c r="H59" s="314" t="s">
        <v>1841</v>
      </c>
    </row>
    <row r="60" spans="1:8">
      <c r="A60" s="316" t="s">
        <v>1811</v>
      </c>
      <c r="B60" s="315">
        <v>408305</v>
      </c>
      <c r="C60" s="315">
        <v>206227</v>
      </c>
      <c r="D60" s="315">
        <v>202078</v>
      </c>
      <c r="E60" s="315">
        <v>4</v>
      </c>
      <c r="F60" s="315">
        <v>23</v>
      </c>
      <c r="G60" s="315">
        <v>3473</v>
      </c>
      <c r="H60" s="314" t="s">
        <v>1840</v>
      </c>
    </row>
    <row r="61" spans="1:8">
      <c r="A61" s="316" t="s">
        <v>1839</v>
      </c>
      <c r="B61" s="315">
        <v>310703</v>
      </c>
      <c r="C61" s="315">
        <v>155161</v>
      </c>
      <c r="D61" s="315">
        <v>155542</v>
      </c>
      <c r="E61" s="315">
        <v>2</v>
      </c>
      <c r="F61" s="315">
        <v>15</v>
      </c>
      <c r="G61" s="315">
        <v>2625</v>
      </c>
      <c r="H61" s="314" t="s">
        <v>1838</v>
      </c>
    </row>
    <row r="62" spans="1:8">
      <c r="A62" s="316" t="s">
        <v>1837</v>
      </c>
      <c r="B62" s="315">
        <v>514656</v>
      </c>
      <c r="C62" s="315">
        <v>256882</v>
      </c>
      <c r="D62" s="315">
        <v>257774</v>
      </c>
      <c r="E62" s="315">
        <v>3</v>
      </c>
      <c r="F62" s="315">
        <v>28</v>
      </c>
      <c r="G62" s="315">
        <v>5361</v>
      </c>
      <c r="H62" s="314" t="s">
        <v>1836</v>
      </c>
    </row>
    <row r="63" spans="1:8">
      <c r="A63" s="316" t="s">
        <v>1835</v>
      </c>
      <c r="B63" s="315">
        <v>556992</v>
      </c>
      <c r="C63" s="315">
        <v>277916</v>
      </c>
      <c r="D63" s="315">
        <v>279076</v>
      </c>
      <c r="E63" s="315">
        <v>5</v>
      </c>
      <c r="F63" s="315">
        <v>36</v>
      </c>
      <c r="G63" s="315">
        <v>5175</v>
      </c>
      <c r="H63" s="314" t="s">
        <v>1834</v>
      </c>
    </row>
    <row r="64" spans="1:8">
      <c r="A64" s="316" t="s">
        <v>1833</v>
      </c>
      <c r="B64" s="315">
        <v>339538</v>
      </c>
      <c r="C64" s="315">
        <v>170238</v>
      </c>
      <c r="D64" s="315">
        <v>169300</v>
      </c>
      <c r="E64" s="315">
        <v>1</v>
      </c>
      <c r="F64" s="315">
        <v>8</v>
      </c>
      <c r="G64" s="315">
        <v>1219</v>
      </c>
      <c r="H64" s="314" t="s">
        <v>1832</v>
      </c>
    </row>
    <row r="65" spans="1:8">
      <c r="A65" s="316" t="s">
        <v>1819</v>
      </c>
      <c r="B65" s="315">
        <v>498686</v>
      </c>
      <c r="C65" s="315">
        <v>252156</v>
      </c>
      <c r="D65" s="315">
        <v>246530</v>
      </c>
      <c r="E65" s="315">
        <v>1</v>
      </c>
      <c r="F65" s="315">
        <v>6</v>
      </c>
      <c r="G65" s="315">
        <v>624</v>
      </c>
      <c r="H65" s="314" t="s">
        <v>1831</v>
      </c>
    </row>
    <row r="66" spans="1:8">
      <c r="A66" s="324" t="s">
        <v>1830</v>
      </c>
      <c r="B66" s="323">
        <v>67118</v>
      </c>
      <c r="C66" s="323">
        <v>33657</v>
      </c>
      <c r="D66" s="323">
        <v>33461</v>
      </c>
      <c r="E66" s="323" t="s">
        <v>1512</v>
      </c>
      <c r="F66" s="323" t="s">
        <v>1512</v>
      </c>
      <c r="G66" s="323" t="s">
        <v>1512</v>
      </c>
      <c r="H66" s="314" t="s">
        <v>1512</v>
      </c>
    </row>
    <row r="67" spans="1:8" ht="17.25" thickBot="1">
      <c r="A67" s="322" t="s">
        <v>1829</v>
      </c>
      <c r="B67" s="321">
        <v>20703</v>
      </c>
      <c r="C67" s="321">
        <v>11594</v>
      </c>
      <c r="D67" s="321">
        <v>9109</v>
      </c>
      <c r="E67" s="321" t="s">
        <v>1512</v>
      </c>
      <c r="F67" s="321" t="s">
        <v>1512</v>
      </c>
      <c r="G67" s="321" t="s">
        <v>1512</v>
      </c>
      <c r="H67" s="311" t="s">
        <v>1512</v>
      </c>
    </row>
    <row r="68" spans="1:8" s="317" customFormat="1">
      <c r="A68" s="320" t="s">
        <v>1828</v>
      </c>
      <c r="B68" s="319">
        <v>1475884</v>
      </c>
      <c r="C68" s="319">
        <v>731339</v>
      </c>
      <c r="D68" s="319">
        <v>744545</v>
      </c>
      <c r="E68" s="319">
        <f>SUM(E69:E73)</f>
        <v>14</v>
      </c>
      <c r="F68" s="319">
        <f>SUM(F69:F73)</f>
        <v>107</v>
      </c>
      <c r="G68" s="319">
        <f>SUM(G69:G73)</f>
        <v>18145</v>
      </c>
      <c r="H68" s="318"/>
    </row>
    <row r="69" spans="1:8">
      <c r="A69" s="316" t="s">
        <v>1809</v>
      </c>
      <c r="B69" s="315">
        <v>100786</v>
      </c>
      <c r="C69" s="315">
        <v>50382</v>
      </c>
      <c r="D69" s="315">
        <v>50404</v>
      </c>
      <c r="E69" s="315">
        <v>5</v>
      </c>
      <c r="F69" s="315">
        <v>26</v>
      </c>
      <c r="G69" s="315">
        <v>4586</v>
      </c>
      <c r="H69" s="314" t="s">
        <v>1827</v>
      </c>
    </row>
    <row r="70" spans="1:8">
      <c r="A70" s="316" t="s">
        <v>1819</v>
      </c>
      <c r="B70" s="315">
        <v>310317</v>
      </c>
      <c r="C70" s="315">
        <v>152605</v>
      </c>
      <c r="D70" s="315">
        <v>157712</v>
      </c>
      <c r="E70" s="315">
        <v>3</v>
      </c>
      <c r="F70" s="315">
        <v>29</v>
      </c>
      <c r="G70" s="315">
        <v>5101</v>
      </c>
      <c r="H70" s="314" t="s">
        <v>1826</v>
      </c>
    </row>
    <row r="71" spans="1:8">
      <c r="A71" s="324" t="s">
        <v>1811</v>
      </c>
      <c r="B71" s="323">
        <v>219815</v>
      </c>
      <c r="C71" s="323">
        <v>106477</v>
      </c>
      <c r="D71" s="323">
        <v>113338</v>
      </c>
      <c r="E71" s="323" t="s">
        <v>1512</v>
      </c>
      <c r="F71" s="323" t="s">
        <v>1512</v>
      </c>
      <c r="G71" s="323" t="s">
        <v>1512</v>
      </c>
      <c r="H71" s="314" t="s">
        <v>1512</v>
      </c>
    </row>
    <row r="72" spans="1:8">
      <c r="A72" s="316" t="s">
        <v>1807</v>
      </c>
      <c r="B72" s="315">
        <v>447685</v>
      </c>
      <c r="C72" s="315">
        <v>222622</v>
      </c>
      <c r="D72" s="315">
        <v>225063</v>
      </c>
      <c r="E72" s="315">
        <v>2</v>
      </c>
      <c r="F72" s="315">
        <v>17</v>
      </c>
      <c r="G72" s="315">
        <v>2759</v>
      </c>
      <c r="H72" s="314" t="s">
        <v>1825</v>
      </c>
    </row>
    <row r="73" spans="1:8" ht="17.25" thickBot="1">
      <c r="A73" s="313" t="s">
        <v>1824</v>
      </c>
      <c r="B73" s="312">
        <v>397281</v>
      </c>
      <c r="C73" s="312">
        <v>199253</v>
      </c>
      <c r="D73" s="312">
        <v>198028</v>
      </c>
      <c r="E73" s="312">
        <v>4</v>
      </c>
      <c r="F73" s="312">
        <v>35</v>
      </c>
      <c r="G73" s="312">
        <v>5699</v>
      </c>
      <c r="H73" s="311" t="s">
        <v>1823</v>
      </c>
    </row>
    <row r="74" spans="1:8" s="317" customFormat="1">
      <c r="A74" s="320" t="s">
        <v>1822</v>
      </c>
      <c r="B74" s="319">
        <v>1531809</v>
      </c>
      <c r="C74" s="319">
        <v>766497</v>
      </c>
      <c r="D74" s="319">
        <v>765312</v>
      </c>
      <c r="E74" s="319">
        <f>SUM(E75:E79)</f>
        <v>9</v>
      </c>
      <c r="F74" s="319">
        <f>SUM(F75:F79)</f>
        <v>61</v>
      </c>
      <c r="G74" s="319">
        <f>SUM(G75:G79)</f>
        <v>10782</v>
      </c>
      <c r="H74" s="318"/>
    </row>
    <row r="75" spans="1:8">
      <c r="A75" s="316" t="s">
        <v>1809</v>
      </c>
      <c r="B75" s="315">
        <v>245493</v>
      </c>
      <c r="C75" s="315">
        <v>124263</v>
      </c>
      <c r="D75" s="315">
        <v>121230</v>
      </c>
      <c r="E75" s="315">
        <v>4</v>
      </c>
      <c r="F75" s="315">
        <v>21</v>
      </c>
      <c r="G75" s="315">
        <v>3966</v>
      </c>
      <c r="H75" s="314" t="s">
        <v>1821</v>
      </c>
    </row>
    <row r="76" spans="1:8">
      <c r="A76" s="316" t="s">
        <v>1813</v>
      </c>
      <c r="B76" s="315">
        <v>261165</v>
      </c>
      <c r="C76" s="315">
        <v>129937</v>
      </c>
      <c r="D76" s="315">
        <v>131228</v>
      </c>
      <c r="E76" s="315">
        <v>1</v>
      </c>
      <c r="F76" s="315">
        <v>9</v>
      </c>
      <c r="G76" s="315">
        <v>1830</v>
      </c>
      <c r="H76" s="314" t="s">
        <v>1820</v>
      </c>
    </row>
    <row r="77" spans="1:8">
      <c r="A77" s="316" t="s">
        <v>1819</v>
      </c>
      <c r="B77" s="315">
        <v>496132</v>
      </c>
      <c r="C77" s="315">
        <v>244544</v>
      </c>
      <c r="D77" s="315">
        <v>251588</v>
      </c>
      <c r="E77" s="315">
        <v>3</v>
      </c>
      <c r="F77" s="315">
        <v>26</v>
      </c>
      <c r="G77" s="315">
        <v>4018</v>
      </c>
      <c r="H77" s="314" t="s">
        <v>1818</v>
      </c>
    </row>
    <row r="78" spans="1:8">
      <c r="A78" s="316" t="s">
        <v>1817</v>
      </c>
      <c r="B78" s="315">
        <v>327461</v>
      </c>
      <c r="C78" s="315">
        <v>165264</v>
      </c>
      <c r="D78" s="315">
        <v>162197</v>
      </c>
      <c r="E78" s="315">
        <v>1</v>
      </c>
      <c r="F78" s="315">
        <v>5</v>
      </c>
      <c r="G78" s="315">
        <v>968</v>
      </c>
      <c r="H78" s="314" t="s">
        <v>1816</v>
      </c>
    </row>
    <row r="79" spans="1:8" ht="17.25" thickBot="1">
      <c r="A79" s="322" t="s">
        <v>1815</v>
      </c>
      <c r="B79" s="321">
        <v>201558</v>
      </c>
      <c r="C79" s="321">
        <v>102489</v>
      </c>
      <c r="D79" s="321">
        <v>99069</v>
      </c>
      <c r="E79" s="321" t="s">
        <v>1512</v>
      </c>
      <c r="F79" s="321" t="s">
        <v>1512</v>
      </c>
      <c r="G79" s="321" t="s">
        <v>1512</v>
      </c>
      <c r="H79" s="311" t="s">
        <v>1512</v>
      </c>
    </row>
    <row r="80" spans="1:8" s="317" customFormat="1">
      <c r="A80" s="320" t="s">
        <v>1814</v>
      </c>
      <c r="B80" s="319">
        <v>1166377</v>
      </c>
      <c r="C80" s="319">
        <v>600904</v>
      </c>
      <c r="D80" s="319">
        <v>565473</v>
      </c>
      <c r="E80" s="319">
        <f>SUM(E81:E85)</f>
        <v>5</v>
      </c>
      <c r="F80" s="319">
        <f>SUM(F81:F85)</f>
        <v>37</v>
      </c>
      <c r="G80" s="319">
        <f>SUM(G81:G85)</f>
        <v>6022</v>
      </c>
      <c r="H80" s="318"/>
    </row>
    <row r="81" spans="1:8">
      <c r="A81" s="316" t="s">
        <v>1813</v>
      </c>
      <c r="B81" s="315">
        <v>238825</v>
      </c>
      <c r="C81" s="315">
        <v>122178</v>
      </c>
      <c r="D81" s="315">
        <v>116647</v>
      </c>
      <c r="E81" s="315">
        <v>2</v>
      </c>
      <c r="F81" s="315">
        <v>15</v>
      </c>
      <c r="G81" s="315">
        <v>2105</v>
      </c>
      <c r="H81" s="314" t="s">
        <v>1812</v>
      </c>
    </row>
    <row r="82" spans="1:8">
      <c r="A82" s="316" t="s">
        <v>1811</v>
      </c>
      <c r="B82" s="315">
        <v>347759</v>
      </c>
      <c r="C82" s="315">
        <v>177310</v>
      </c>
      <c r="D82" s="315">
        <v>170449</v>
      </c>
      <c r="E82" s="315">
        <v>2</v>
      </c>
      <c r="F82" s="315">
        <v>20</v>
      </c>
      <c r="G82" s="315">
        <v>3710</v>
      </c>
      <c r="H82" s="314" t="s">
        <v>1810</v>
      </c>
    </row>
    <row r="83" spans="1:8">
      <c r="A83" s="316" t="s">
        <v>1809</v>
      </c>
      <c r="B83" s="315">
        <v>176668</v>
      </c>
      <c r="C83" s="315">
        <v>93546</v>
      </c>
      <c r="D83" s="315">
        <v>83122</v>
      </c>
      <c r="E83" s="315">
        <v>1</v>
      </c>
      <c r="F83" s="315">
        <v>2</v>
      </c>
      <c r="G83" s="315">
        <v>207</v>
      </c>
      <c r="H83" s="314" t="s">
        <v>1808</v>
      </c>
    </row>
    <row r="84" spans="1:8">
      <c r="A84" s="324" t="s">
        <v>1807</v>
      </c>
      <c r="B84" s="323">
        <v>188733</v>
      </c>
      <c r="C84" s="323">
        <v>97540</v>
      </c>
      <c r="D84" s="323">
        <v>91193</v>
      </c>
      <c r="E84" s="323" t="s">
        <v>1512</v>
      </c>
      <c r="F84" s="323" t="s">
        <v>1512</v>
      </c>
      <c r="G84" s="323" t="s">
        <v>1512</v>
      </c>
      <c r="H84" s="314" t="s">
        <v>1512</v>
      </c>
    </row>
    <row r="85" spans="1:8" ht="17.25" thickBot="1">
      <c r="A85" s="322" t="s">
        <v>1806</v>
      </c>
      <c r="B85" s="321">
        <v>214392</v>
      </c>
      <c r="C85" s="321">
        <v>110330</v>
      </c>
      <c r="D85" s="321">
        <v>104062</v>
      </c>
      <c r="E85" s="321" t="s">
        <v>1512</v>
      </c>
      <c r="F85" s="321" t="s">
        <v>1512</v>
      </c>
      <c r="G85" s="321" t="s">
        <v>1512</v>
      </c>
      <c r="H85" s="311" t="s">
        <v>1512</v>
      </c>
    </row>
    <row r="86" spans="1:8" s="317" customFormat="1">
      <c r="A86" s="320" t="s">
        <v>1805</v>
      </c>
      <c r="B86" s="319">
        <v>156125</v>
      </c>
      <c r="C86" s="319">
        <v>78862</v>
      </c>
      <c r="D86" s="319">
        <v>77263</v>
      </c>
      <c r="E86" s="319">
        <v>1</v>
      </c>
      <c r="F86" s="319">
        <v>5</v>
      </c>
      <c r="G86" s="319">
        <v>738</v>
      </c>
      <c r="H86" s="318"/>
    </row>
    <row r="87" spans="1:8" ht="17.25" thickBot="1">
      <c r="A87" s="313" t="s">
        <v>1804</v>
      </c>
      <c r="B87" s="312">
        <v>156125</v>
      </c>
      <c r="C87" s="312">
        <v>78862</v>
      </c>
      <c r="D87" s="312">
        <v>77263</v>
      </c>
      <c r="E87" s="312">
        <v>1</v>
      </c>
      <c r="F87" s="312">
        <v>5</v>
      </c>
      <c r="G87" s="312">
        <v>738</v>
      </c>
      <c r="H87" s="311" t="s">
        <v>1803</v>
      </c>
    </row>
    <row r="88" spans="1:8" s="317" customFormat="1">
      <c r="A88" s="320" t="s">
        <v>175</v>
      </c>
      <c r="B88" s="319">
        <v>12357830</v>
      </c>
      <c r="C88" s="319">
        <v>6219813</v>
      </c>
      <c r="D88" s="319">
        <v>6138017</v>
      </c>
      <c r="E88" s="319">
        <f>SUM(E89,E94,E98,E99,E102,E106,E107,E108,E109,E112,E116:E124,E128:E139)</f>
        <v>81</v>
      </c>
      <c r="F88" s="319">
        <f>SUM(F89,F94,F98,F99,F102,F106,F107,F108,F109,F112,F116:F124,F128:F139)</f>
        <v>515</v>
      </c>
      <c r="G88" s="319">
        <f>SUM(G89,G94,G98,G99,G102,G106,G107,G108,G109,G112,G116:G124,G128:G139)</f>
        <v>80661</v>
      </c>
      <c r="H88" s="318"/>
    </row>
    <row r="89" spans="1:8">
      <c r="A89" s="316" t="s">
        <v>1802</v>
      </c>
      <c r="B89" s="315">
        <v>1174228</v>
      </c>
      <c r="C89" s="315">
        <v>591384</v>
      </c>
      <c r="D89" s="315">
        <v>582844</v>
      </c>
      <c r="E89" s="326">
        <f>SUM(E90:E93)</f>
        <v>7</v>
      </c>
      <c r="F89" s="326">
        <f>SUM(F90:F93)</f>
        <v>52</v>
      </c>
      <c r="G89" s="326">
        <f>SUM(G90:G93)</f>
        <v>10177</v>
      </c>
      <c r="H89" s="314" t="s">
        <v>1801</v>
      </c>
    </row>
    <row r="90" spans="1:8" hidden="1">
      <c r="A90" s="316" t="s">
        <v>1800</v>
      </c>
      <c r="B90" s="315">
        <v>301196</v>
      </c>
      <c r="C90" s="315">
        <v>151415</v>
      </c>
      <c r="D90" s="315">
        <v>149781</v>
      </c>
      <c r="E90" s="315">
        <v>1</v>
      </c>
      <c r="F90" s="315">
        <v>8</v>
      </c>
      <c r="G90" s="315">
        <v>1268</v>
      </c>
      <c r="H90" s="314" t="s">
        <v>1799</v>
      </c>
    </row>
    <row r="91" spans="1:8" hidden="1">
      <c r="A91" s="316" t="s">
        <v>1798</v>
      </c>
      <c r="B91" s="315">
        <v>339835</v>
      </c>
      <c r="C91" s="315">
        <v>171360</v>
      </c>
      <c r="D91" s="315">
        <v>168475</v>
      </c>
      <c r="E91" s="315">
        <v>2</v>
      </c>
      <c r="F91" s="315">
        <v>13</v>
      </c>
      <c r="G91" s="315">
        <v>3045</v>
      </c>
      <c r="H91" s="314" t="s">
        <v>1797</v>
      </c>
    </row>
    <row r="92" spans="1:8" hidden="1">
      <c r="A92" s="316" t="s">
        <v>1796</v>
      </c>
      <c r="B92" s="315">
        <v>203479</v>
      </c>
      <c r="C92" s="315">
        <v>102115</v>
      </c>
      <c r="D92" s="315">
        <v>101364</v>
      </c>
      <c r="E92" s="315">
        <v>3</v>
      </c>
      <c r="F92" s="315">
        <v>20</v>
      </c>
      <c r="G92" s="315">
        <v>4118</v>
      </c>
      <c r="H92" s="314" t="s">
        <v>1795</v>
      </c>
    </row>
    <row r="93" spans="1:8" hidden="1">
      <c r="A93" s="316" t="s">
        <v>1794</v>
      </c>
      <c r="B93" s="315">
        <v>329718</v>
      </c>
      <c r="C93" s="315">
        <v>166494</v>
      </c>
      <c r="D93" s="315">
        <v>163224</v>
      </c>
      <c r="E93" s="315">
        <v>1</v>
      </c>
      <c r="F93" s="315">
        <v>11</v>
      </c>
      <c r="G93" s="315">
        <v>1746</v>
      </c>
      <c r="H93" s="314" t="s">
        <v>1793</v>
      </c>
    </row>
    <row r="94" spans="1:8">
      <c r="A94" s="316" t="s">
        <v>1792</v>
      </c>
      <c r="B94" s="315">
        <v>974608</v>
      </c>
      <c r="C94" s="315">
        <v>485207</v>
      </c>
      <c r="D94" s="315">
        <v>489401</v>
      </c>
      <c r="E94" s="315">
        <f>SUM(E95:E97)</f>
        <v>6</v>
      </c>
      <c r="F94" s="315">
        <f>SUM(F95:F97)</f>
        <v>40</v>
      </c>
      <c r="G94" s="315">
        <f>SUM(G95:G97)</f>
        <v>5952</v>
      </c>
      <c r="H94" s="314" t="s">
        <v>1791</v>
      </c>
    </row>
    <row r="95" spans="1:8" hidden="1">
      <c r="A95" s="316" t="s">
        <v>1790</v>
      </c>
      <c r="B95" s="315">
        <v>223539</v>
      </c>
      <c r="C95" s="315">
        <v>114066</v>
      </c>
      <c r="D95" s="315">
        <v>109473</v>
      </c>
      <c r="E95" s="315">
        <v>1</v>
      </c>
      <c r="F95" s="315">
        <v>6</v>
      </c>
      <c r="G95" s="315">
        <v>1142</v>
      </c>
      <c r="H95" s="314" t="s">
        <v>1788</v>
      </c>
    </row>
    <row r="96" spans="1:8" hidden="1">
      <c r="A96" s="316" t="s">
        <v>1789</v>
      </c>
      <c r="B96" s="315">
        <v>251982</v>
      </c>
      <c r="C96" s="315">
        <v>127898</v>
      </c>
      <c r="D96" s="315">
        <v>124084</v>
      </c>
      <c r="E96" s="315">
        <v>1</v>
      </c>
      <c r="F96" s="315">
        <v>6</v>
      </c>
      <c r="G96" s="315">
        <v>667</v>
      </c>
      <c r="H96" s="314" t="s">
        <v>1788</v>
      </c>
    </row>
    <row r="97" spans="1:8" hidden="1">
      <c r="A97" s="316" t="s">
        <v>1787</v>
      </c>
      <c r="B97" s="315">
        <v>499087</v>
      </c>
      <c r="C97" s="315">
        <v>243243</v>
      </c>
      <c r="D97" s="315">
        <v>255844</v>
      </c>
      <c r="E97" s="315">
        <v>4</v>
      </c>
      <c r="F97" s="315">
        <v>28</v>
      </c>
      <c r="G97" s="315">
        <v>4143</v>
      </c>
      <c r="H97" s="314" t="s">
        <v>1786</v>
      </c>
    </row>
    <row r="98" spans="1:8">
      <c r="A98" s="316" t="s">
        <v>1785</v>
      </c>
      <c r="B98" s="315">
        <v>431112</v>
      </c>
      <c r="C98" s="315">
        <v>212947</v>
      </c>
      <c r="D98" s="315">
        <v>218165</v>
      </c>
      <c r="E98" s="315">
        <v>2</v>
      </c>
      <c r="F98" s="315">
        <v>17</v>
      </c>
      <c r="G98" s="315">
        <v>2805</v>
      </c>
      <c r="H98" s="314" t="s">
        <v>1784</v>
      </c>
    </row>
    <row r="99" spans="1:8">
      <c r="A99" s="316" t="s">
        <v>1783</v>
      </c>
      <c r="B99" s="315">
        <v>600809</v>
      </c>
      <c r="C99" s="315">
        <v>299250</v>
      </c>
      <c r="D99" s="315">
        <v>301559</v>
      </c>
      <c r="E99" s="315">
        <f>SUM(E100:E101)</f>
        <v>6</v>
      </c>
      <c r="F99" s="315">
        <f>SUM(F100:F101)</f>
        <v>45</v>
      </c>
      <c r="G99" s="315">
        <f>SUM(G100:G101)</f>
        <v>6316</v>
      </c>
      <c r="H99" s="314" t="s">
        <v>1782</v>
      </c>
    </row>
    <row r="100" spans="1:8" hidden="1">
      <c r="A100" s="316" t="s">
        <v>1781</v>
      </c>
      <c r="B100" s="315">
        <v>247315</v>
      </c>
      <c r="C100" s="315">
        <v>124536</v>
      </c>
      <c r="D100" s="315">
        <v>122779</v>
      </c>
      <c r="E100" s="315">
        <v>2</v>
      </c>
      <c r="F100" s="315">
        <v>15</v>
      </c>
      <c r="G100" s="315">
        <v>1968</v>
      </c>
      <c r="H100" s="314" t="s">
        <v>1780</v>
      </c>
    </row>
    <row r="101" spans="1:8" hidden="1">
      <c r="A101" s="316" t="s">
        <v>1779</v>
      </c>
      <c r="B101" s="315">
        <v>353494</v>
      </c>
      <c r="C101" s="315">
        <v>174714</v>
      </c>
      <c r="D101" s="315">
        <v>178780</v>
      </c>
      <c r="E101" s="315">
        <v>4</v>
      </c>
      <c r="F101" s="315">
        <v>30</v>
      </c>
      <c r="G101" s="315">
        <v>4348</v>
      </c>
      <c r="H101" s="314" t="s">
        <v>1778</v>
      </c>
    </row>
    <row r="102" spans="1:8">
      <c r="A102" s="316" t="s">
        <v>1777</v>
      </c>
      <c r="B102" s="315">
        <v>855586</v>
      </c>
      <c r="C102" s="315">
        <v>428251</v>
      </c>
      <c r="D102" s="315">
        <v>427335</v>
      </c>
      <c r="E102" s="315">
        <f>SUM(E103:E104)</f>
        <v>7</v>
      </c>
      <c r="F102" s="315">
        <f>SUM(F103:F104)</f>
        <v>51</v>
      </c>
      <c r="G102" s="315">
        <f>SUM(G103:G104)</f>
        <v>7744</v>
      </c>
      <c r="H102" s="314" t="s">
        <v>1776</v>
      </c>
    </row>
    <row r="103" spans="1:8" hidden="1">
      <c r="A103" s="316" t="s">
        <v>1775</v>
      </c>
      <c r="B103" s="315">
        <v>442638</v>
      </c>
      <c r="C103" s="315">
        <v>220615</v>
      </c>
      <c r="D103" s="315">
        <v>222023</v>
      </c>
      <c r="E103" s="315">
        <v>6</v>
      </c>
      <c r="F103" s="315">
        <v>45</v>
      </c>
      <c r="G103" s="315">
        <v>6968</v>
      </c>
      <c r="H103" s="314" t="s">
        <v>1774</v>
      </c>
    </row>
    <row r="104" spans="1:8" hidden="1">
      <c r="A104" s="316" t="s">
        <v>1773</v>
      </c>
      <c r="B104" s="315">
        <v>226400</v>
      </c>
      <c r="C104" s="315">
        <v>112743</v>
      </c>
      <c r="D104" s="315">
        <v>113657</v>
      </c>
      <c r="E104" s="315">
        <v>1</v>
      </c>
      <c r="F104" s="315">
        <v>6</v>
      </c>
      <c r="G104" s="315">
        <v>776</v>
      </c>
      <c r="H104" s="314" t="s">
        <v>1772</v>
      </c>
    </row>
    <row r="105" spans="1:8" hidden="1">
      <c r="A105" s="316" t="s">
        <v>1771</v>
      </c>
      <c r="B105" s="315">
        <v>186548</v>
      </c>
      <c r="C105" s="315">
        <v>94893</v>
      </c>
      <c r="D105" s="315">
        <v>91655</v>
      </c>
      <c r="E105" s="315" t="s">
        <v>1512</v>
      </c>
      <c r="F105" s="315" t="s">
        <v>1512</v>
      </c>
      <c r="G105" s="315" t="s">
        <v>1512</v>
      </c>
      <c r="H105" s="314" t="s">
        <v>1512</v>
      </c>
    </row>
    <row r="106" spans="1:8">
      <c r="A106" s="316" t="s">
        <v>1770</v>
      </c>
      <c r="B106" s="315">
        <v>348560</v>
      </c>
      <c r="C106" s="315">
        <v>172768</v>
      </c>
      <c r="D106" s="315">
        <v>175792</v>
      </c>
      <c r="E106" s="315">
        <v>2</v>
      </c>
      <c r="F106" s="315">
        <v>13</v>
      </c>
      <c r="G106" s="315">
        <v>1694</v>
      </c>
      <c r="H106" s="314" t="s">
        <v>1769</v>
      </c>
    </row>
    <row r="107" spans="1:8">
      <c r="A107" s="316" t="s">
        <v>1768</v>
      </c>
      <c r="B107" s="315">
        <v>449555</v>
      </c>
      <c r="C107" s="315">
        <v>228958</v>
      </c>
      <c r="D107" s="315">
        <v>220597</v>
      </c>
      <c r="E107" s="315">
        <v>4</v>
      </c>
      <c r="F107" s="315">
        <v>26</v>
      </c>
      <c r="G107" s="315">
        <v>3746</v>
      </c>
      <c r="H107" s="314" t="s">
        <v>1767</v>
      </c>
    </row>
    <row r="108" spans="1:8">
      <c r="A108" s="316" t="s">
        <v>1766</v>
      </c>
      <c r="B108" s="315">
        <v>97595</v>
      </c>
      <c r="C108" s="315">
        <v>48789</v>
      </c>
      <c r="D108" s="315">
        <v>48806</v>
      </c>
      <c r="E108" s="315">
        <v>2</v>
      </c>
      <c r="F108" s="315">
        <v>3</v>
      </c>
      <c r="G108" s="315">
        <v>576</v>
      </c>
      <c r="H108" s="314" t="s">
        <v>1765</v>
      </c>
    </row>
    <row r="109" spans="1:8">
      <c r="A109" s="316" t="s">
        <v>1764</v>
      </c>
      <c r="B109" s="315">
        <v>707876</v>
      </c>
      <c r="C109" s="315">
        <v>362826</v>
      </c>
      <c r="D109" s="315">
        <v>345050</v>
      </c>
      <c r="E109" s="315">
        <f>SUM(E110:E111)</f>
        <v>6</v>
      </c>
      <c r="F109" s="315">
        <f>SUM(F110:F111)</f>
        <v>41</v>
      </c>
      <c r="G109" s="315">
        <f>SUM(G110:G111)</f>
        <v>7753</v>
      </c>
      <c r="H109" s="314" t="s">
        <v>1763</v>
      </c>
    </row>
    <row r="110" spans="1:8" hidden="1">
      <c r="A110" s="316" t="s">
        <v>1762</v>
      </c>
      <c r="B110" s="315">
        <v>381508</v>
      </c>
      <c r="C110" s="315">
        <v>194419</v>
      </c>
      <c r="D110" s="315">
        <v>187089</v>
      </c>
      <c r="E110" s="315">
        <v>1</v>
      </c>
      <c r="F110" s="315">
        <v>8</v>
      </c>
      <c r="G110" s="315">
        <v>1607</v>
      </c>
      <c r="H110" s="314" t="s">
        <v>1761</v>
      </c>
    </row>
    <row r="111" spans="1:8" hidden="1">
      <c r="A111" s="316" t="s">
        <v>1760</v>
      </c>
      <c r="B111" s="315">
        <v>326368</v>
      </c>
      <c r="C111" s="315">
        <v>168407</v>
      </c>
      <c r="D111" s="315">
        <v>157961</v>
      </c>
      <c r="E111" s="315">
        <v>5</v>
      </c>
      <c r="F111" s="315">
        <v>33</v>
      </c>
      <c r="G111" s="315">
        <v>6146</v>
      </c>
      <c r="H111" s="314" t="s">
        <v>1759</v>
      </c>
    </row>
    <row r="112" spans="1:8">
      <c r="A112" s="316" t="s">
        <v>1758</v>
      </c>
      <c r="B112" s="315">
        <v>1006154</v>
      </c>
      <c r="C112" s="315">
        <v>495535</v>
      </c>
      <c r="D112" s="315">
        <v>510619</v>
      </c>
      <c r="E112" s="315">
        <f>SUM(E113:E115)</f>
        <v>7</v>
      </c>
      <c r="F112" s="315">
        <f>SUM(F113:F115)</f>
        <v>57</v>
      </c>
      <c r="G112" s="315">
        <f>SUM(G113:G115)</f>
        <v>9345</v>
      </c>
      <c r="H112" s="314" t="s">
        <v>1757</v>
      </c>
    </row>
    <row r="113" spans="1:8" hidden="1">
      <c r="A113" s="316" t="s">
        <v>1756</v>
      </c>
      <c r="B113" s="315">
        <v>424423</v>
      </c>
      <c r="C113" s="315">
        <v>211460</v>
      </c>
      <c r="D113" s="315">
        <v>212963</v>
      </c>
      <c r="E113" s="315">
        <v>1</v>
      </c>
      <c r="F113" s="315">
        <v>8</v>
      </c>
      <c r="G113" s="315">
        <v>886</v>
      </c>
      <c r="H113" s="314" t="s">
        <v>1755</v>
      </c>
    </row>
    <row r="114" spans="1:8" hidden="1">
      <c r="A114" s="316" t="s">
        <v>1754</v>
      </c>
      <c r="B114" s="315">
        <v>284207</v>
      </c>
      <c r="C114" s="315">
        <v>138896</v>
      </c>
      <c r="D114" s="315">
        <v>145311</v>
      </c>
      <c r="E114" s="315">
        <v>3</v>
      </c>
      <c r="F114" s="315">
        <v>24</v>
      </c>
      <c r="G114" s="315">
        <v>4517</v>
      </c>
      <c r="H114" s="314" t="s">
        <v>1753</v>
      </c>
    </row>
    <row r="115" spans="1:8" hidden="1">
      <c r="A115" s="316" t="s">
        <v>1752</v>
      </c>
      <c r="B115" s="315">
        <v>297524</v>
      </c>
      <c r="C115" s="315">
        <v>145179</v>
      </c>
      <c r="D115" s="315">
        <v>152345</v>
      </c>
      <c r="E115" s="315">
        <v>3</v>
      </c>
      <c r="F115" s="315">
        <v>25</v>
      </c>
      <c r="G115" s="315">
        <v>3942</v>
      </c>
      <c r="H115" s="314" t="s">
        <v>1751</v>
      </c>
    </row>
    <row r="116" spans="1:8">
      <c r="A116" s="316" t="s">
        <v>1750</v>
      </c>
      <c r="B116" s="315">
        <v>70156</v>
      </c>
      <c r="C116" s="315">
        <v>34129</v>
      </c>
      <c r="D116" s="315">
        <v>36027</v>
      </c>
      <c r="E116" s="315" t="s">
        <v>1512</v>
      </c>
      <c r="F116" s="315" t="s">
        <v>1512</v>
      </c>
      <c r="G116" s="315" t="s">
        <v>1512</v>
      </c>
      <c r="H116" s="314" t="s">
        <v>1512</v>
      </c>
    </row>
    <row r="117" spans="1:8">
      <c r="A117" s="316" t="s">
        <v>1749</v>
      </c>
      <c r="B117" s="315">
        <v>186820</v>
      </c>
      <c r="C117" s="315">
        <v>93217</v>
      </c>
      <c r="D117" s="315">
        <v>93603</v>
      </c>
      <c r="E117" s="315">
        <v>2</v>
      </c>
      <c r="F117" s="315">
        <v>14</v>
      </c>
      <c r="G117" s="315">
        <v>2355</v>
      </c>
      <c r="H117" s="314" t="s">
        <v>1748</v>
      </c>
    </row>
    <row r="118" spans="1:8">
      <c r="A118" s="316" t="s">
        <v>1747</v>
      </c>
      <c r="B118" s="315">
        <v>636256</v>
      </c>
      <c r="C118" s="315">
        <v>318208</v>
      </c>
      <c r="D118" s="315">
        <v>318048</v>
      </c>
      <c r="E118" s="315">
        <v>4</v>
      </c>
      <c r="F118" s="315">
        <v>16</v>
      </c>
      <c r="G118" s="315">
        <v>1972</v>
      </c>
      <c r="H118" s="314" t="s">
        <v>1746</v>
      </c>
    </row>
    <row r="119" spans="1:8">
      <c r="A119" s="316" t="s">
        <v>1745</v>
      </c>
      <c r="B119" s="315">
        <v>208565</v>
      </c>
      <c r="C119" s="315">
        <v>106843</v>
      </c>
      <c r="D119" s="315">
        <v>101722</v>
      </c>
      <c r="E119" s="315">
        <v>2</v>
      </c>
      <c r="F119" s="315">
        <v>12</v>
      </c>
      <c r="G119" s="315">
        <v>1394</v>
      </c>
      <c r="H119" s="314" t="s">
        <v>1744</v>
      </c>
    </row>
    <row r="120" spans="1:8">
      <c r="A120" s="316" t="s">
        <v>1743</v>
      </c>
      <c r="B120" s="315">
        <v>394639</v>
      </c>
      <c r="C120" s="315">
        <v>206925</v>
      </c>
      <c r="D120" s="315">
        <v>187714</v>
      </c>
      <c r="E120" s="315">
        <v>2</v>
      </c>
      <c r="F120" s="315">
        <v>12</v>
      </c>
      <c r="G120" s="315">
        <v>1703</v>
      </c>
      <c r="H120" s="314" t="s">
        <v>1742</v>
      </c>
    </row>
    <row r="121" spans="1:8">
      <c r="A121" s="316" t="s">
        <v>1741</v>
      </c>
      <c r="B121" s="315">
        <v>288408</v>
      </c>
      <c r="C121" s="315">
        <v>143497</v>
      </c>
      <c r="D121" s="315">
        <v>144911</v>
      </c>
      <c r="E121" s="315">
        <v>1</v>
      </c>
      <c r="F121" s="315">
        <v>6</v>
      </c>
      <c r="G121" s="315">
        <v>704</v>
      </c>
      <c r="H121" s="314" t="s">
        <v>1740</v>
      </c>
    </row>
    <row r="122" spans="1:8">
      <c r="A122" s="324" t="s">
        <v>1739</v>
      </c>
      <c r="B122" s="323">
        <v>158482</v>
      </c>
      <c r="C122" s="323">
        <v>79245</v>
      </c>
      <c r="D122" s="323">
        <v>79237</v>
      </c>
      <c r="E122" s="323" t="s">
        <v>1512</v>
      </c>
      <c r="F122" s="323" t="s">
        <v>1512</v>
      </c>
      <c r="G122" s="323" t="s">
        <v>1512</v>
      </c>
      <c r="H122" s="314" t="s">
        <v>1512</v>
      </c>
    </row>
    <row r="123" spans="1:8">
      <c r="A123" s="324" t="s">
        <v>1738</v>
      </c>
      <c r="B123" s="323">
        <v>148896</v>
      </c>
      <c r="C123" s="323">
        <v>75864</v>
      </c>
      <c r="D123" s="323">
        <v>73032</v>
      </c>
      <c r="E123" s="323" t="s">
        <v>1512</v>
      </c>
      <c r="F123" s="323" t="s">
        <v>1512</v>
      </c>
      <c r="G123" s="323" t="s">
        <v>1512</v>
      </c>
      <c r="H123" s="314" t="s">
        <v>1512</v>
      </c>
    </row>
    <row r="124" spans="1:8">
      <c r="A124" s="316" t="s">
        <v>1737</v>
      </c>
      <c r="B124" s="315">
        <v>961026</v>
      </c>
      <c r="C124" s="315">
        <v>477759</v>
      </c>
      <c r="D124" s="315">
        <v>483267</v>
      </c>
      <c r="E124" s="325">
        <f>SUM(E125:E127)</f>
        <v>3</v>
      </c>
      <c r="F124" s="325">
        <f>SUM(F125:F127)</f>
        <v>24</v>
      </c>
      <c r="G124" s="325">
        <f>SUM(G125:G127)</f>
        <v>4361</v>
      </c>
      <c r="H124" s="314" t="s">
        <v>1736</v>
      </c>
    </row>
    <row r="125" spans="1:8" hidden="1">
      <c r="A125" s="316" t="s">
        <v>1735</v>
      </c>
      <c r="B125" s="315">
        <v>218400</v>
      </c>
      <c r="C125" s="315">
        <v>111912</v>
      </c>
      <c r="D125" s="315">
        <v>106488</v>
      </c>
      <c r="E125" s="315">
        <v>1</v>
      </c>
      <c r="F125" s="315">
        <v>8</v>
      </c>
      <c r="G125" s="315">
        <v>1398</v>
      </c>
      <c r="H125" s="314" t="s">
        <v>1734</v>
      </c>
    </row>
    <row r="126" spans="1:8" hidden="1">
      <c r="A126" s="316" t="s">
        <v>1733</v>
      </c>
      <c r="B126" s="315">
        <v>402206</v>
      </c>
      <c r="C126" s="315">
        <v>199066</v>
      </c>
      <c r="D126" s="315">
        <v>203140</v>
      </c>
      <c r="E126" s="315">
        <v>1</v>
      </c>
      <c r="F126" s="315">
        <v>8</v>
      </c>
      <c r="G126" s="315">
        <v>1144</v>
      </c>
      <c r="H126" s="314" t="s">
        <v>1732</v>
      </c>
    </row>
    <row r="127" spans="1:8" hidden="1">
      <c r="A127" s="316" t="s">
        <v>1731</v>
      </c>
      <c r="B127" s="315">
        <v>340420</v>
      </c>
      <c r="C127" s="315">
        <v>166781</v>
      </c>
      <c r="D127" s="315">
        <v>173639</v>
      </c>
      <c r="E127" s="315">
        <v>1</v>
      </c>
      <c r="F127" s="315">
        <v>8</v>
      </c>
      <c r="G127" s="315">
        <v>1819</v>
      </c>
      <c r="H127" s="314" t="s">
        <v>1730</v>
      </c>
    </row>
    <row r="128" spans="1:8">
      <c r="A128" s="316" t="s">
        <v>1729</v>
      </c>
      <c r="B128" s="315">
        <v>411348</v>
      </c>
      <c r="C128" s="315">
        <v>208984</v>
      </c>
      <c r="D128" s="315">
        <v>202364</v>
      </c>
      <c r="E128" s="315">
        <v>4</v>
      </c>
      <c r="F128" s="315">
        <v>24</v>
      </c>
      <c r="G128" s="315">
        <v>4068</v>
      </c>
      <c r="H128" s="314" t="s">
        <v>1728</v>
      </c>
    </row>
    <row r="129" spans="1:8">
      <c r="A129" s="316" t="s">
        <v>1727</v>
      </c>
      <c r="B129" s="315">
        <v>205014</v>
      </c>
      <c r="C129" s="315">
        <v>104008</v>
      </c>
      <c r="D129" s="315">
        <v>101006</v>
      </c>
      <c r="E129" s="315">
        <v>1</v>
      </c>
      <c r="F129" s="315">
        <v>7</v>
      </c>
      <c r="G129" s="315">
        <v>710</v>
      </c>
      <c r="H129" s="314" t="s">
        <v>1726</v>
      </c>
    </row>
    <row r="130" spans="1:8">
      <c r="A130" s="316" t="s">
        <v>1725</v>
      </c>
      <c r="B130" s="315">
        <v>181896</v>
      </c>
      <c r="C130" s="315">
        <v>92757</v>
      </c>
      <c r="D130" s="315">
        <v>89139</v>
      </c>
      <c r="E130" s="315">
        <v>1</v>
      </c>
      <c r="F130" s="315">
        <v>2</v>
      </c>
      <c r="G130" s="315">
        <v>164</v>
      </c>
      <c r="H130" s="314" t="s">
        <v>1724</v>
      </c>
    </row>
    <row r="131" spans="1:8">
      <c r="A131" s="316" t="s">
        <v>1723</v>
      </c>
      <c r="B131" s="315">
        <v>340310</v>
      </c>
      <c r="C131" s="315">
        <v>171105</v>
      </c>
      <c r="D131" s="315">
        <v>169205</v>
      </c>
      <c r="E131" s="315">
        <v>4</v>
      </c>
      <c r="F131" s="315">
        <v>15</v>
      </c>
      <c r="G131" s="315">
        <v>1595</v>
      </c>
      <c r="H131" s="314" t="s">
        <v>1722</v>
      </c>
    </row>
    <row r="132" spans="1:8">
      <c r="A132" s="316" t="s">
        <v>1721</v>
      </c>
      <c r="B132" s="315">
        <v>540862</v>
      </c>
      <c r="C132" s="315">
        <v>279520</v>
      </c>
      <c r="D132" s="315">
        <v>261342</v>
      </c>
      <c r="E132" s="315">
        <v>3</v>
      </c>
      <c r="F132" s="315">
        <v>24</v>
      </c>
      <c r="G132" s="315">
        <v>3945</v>
      </c>
      <c r="H132" s="314" t="s">
        <v>1720</v>
      </c>
    </row>
    <row r="133" spans="1:8">
      <c r="A133" s="316" t="s">
        <v>1719</v>
      </c>
      <c r="B133" s="315">
        <v>298858</v>
      </c>
      <c r="C133" s="315">
        <v>153812</v>
      </c>
      <c r="D133" s="315">
        <v>145046</v>
      </c>
      <c r="E133" s="315">
        <v>1</v>
      </c>
      <c r="F133" s="315">
        <v>3</v>
      </c>
      <c r="G133" s="315">
        <v>215</v>
      </c>
      <c r="H133" s="314" t="s">
        <v>1718</v>
      </c>
    </row>
    <row r="134" spans="1:8">
      <c r="A134" s="316" t="s">
        <v>1717</v>
      </c>
      <c r="B134" s="315">
        <v>202072</v>
      </c>
      <c r="C134" s="315">
        <v>102688</v>
      </c>
      <c r="D134" s="315">
        <v>99384</v>
      </c>
      <c r="E134" s="315">
        <v>2</v>
      </c>
      <c r="F134" s="315">
        <v>7</v>
      </c>
      <c r="G134" s="315">
        <v>889</v>
      </c>
      <c r="H134" s="314" t="s">
        <v>1716</v>
      </c>
    </row>
    <row r="135" spans="1:8">
      <c r="A135" s="324" t="s">
        <v>1715</v>
      </c>
      <c r="B135" s="323">
        <v>155798</v>
      </c>
      <c r="C135" s="323">
        <v>81502</v>
      </c>
      <c r="D135" s="323">
        <v>74296</v>
      </c>
      <c r="E135" s="323" t="s">
        <v>1512</v>
      </c>
      <c r="F135" s="323" t="s">
        <v>1512</v>
      </c>
      <c r="G135" s="323" t="s">
        <v>1512</v>
      </c>
      <c r="H135" s="314" t="s">
        <v>1512</v>
      </c>
    </row>
    <row r="136" spans="1:8">
      <c r="A136" s="316" t="s">
        <v>1714</v>
      </c>
      <c r="B136" s="315">
        <v>110386</v>
      </c>
      <c r="C136" s="315">
        <v>55745</v>
      </c>
      <c r="D136" s="315">
        <v>54641</v>
      </c>
      <c r="E136" s="315">
        <v>1</v>
      </c>
      <c r="F136" s="315">
        <v>3</v>
      </c>
      <c r="G136" s="315">
        <v>325</v>
      </c>
      <c r="H136" s="314" t="s">
        <v>1713</v>
      </c>
    </row>
    <row r="137" spans="1:8">
      <c r="A137" s="316" t="s">
        <v>1712</v>
      </c>
      <c r="B137" s="315">
        <v>45363</v>
      </c>
      <c r="C137" s="315">
        <v>23475</v>
      </c>
      <c r="D137" s="315">
        <v>21888</v>
      </c>
      <c r="E137" s="315" t="s">
        <v>1512</v>
      </c>
      <c r="F137" s="315" t="s">
        <v>1512</v>
      </c>
      <c r="G137" s="315" t="s">
        <v>1512</v>
      </c>
      <c r="H137" s="314" t="s">
        <v>1512</v>
      </c>
    </row>
    <row r="138" spans="1:8">
      <c r="A138" s="316" t="s">
        <v>1711</v>
      </c>
      <c r="B138" s="315">
        <v>61213</v>
      </c>
      <c r="C138" s="315">
        <v>31370</v>
      </c>
      <c r="D138" s="315">
        <v>29843</v>
      </c>
      <c r="E138" s="315" t="s">
        <v>1512</v>
      </c>
      <c r="F138" s="315" t="s">
        <v>1512</v>
      </c>
      <c r="G138" s="315" t="s">
        <v>1512</v>
      </c>
      <c r="H138" s="314" t="s">
        <v>1512</v>
      </c>
    </row>
    <row r="139" spans="1:8" ht="17.25" thickBot="1">
      <c r="A139" s="313" t="s">
        <v>1710</v>
      </c>
      <c r="B139" s="312">
        <v>105379</v>
      </c>
      <c r="C139" s="312">
        <v>53245</v>
      </c>
      <c r="D139" s="312">
        <v>52134</v>
      </c>
      <c r="E139" s="312">
        <v>1</v>
      </c>
      <c r="F139" s="312">
        <v>1</v>
      </c>
      <c r="G139" s="312">
        <v>153</v>
      </c>
      <c r="H139" s="311" t="s">
        <v>1709</v>
      </c>
    </row>
    <row r="140" spans="1:8" s="317" customFormat="1">
      <c r="A140" s="320" t="s">
        <v>231</v>
      </c>
      <c r="B140" s="319">
        <v>1544442</v>
      </c>
      <c r="C140" s="319">
        <v>778007</v>
      </c>
      <c r="D140" s="319">
        <v>766435</v>
      </c>
      <c r="E140" s="319">
        <f>SUM(E141:E158)</f>
        <v>11</v>
      </c>
      <c r="F140" s="319">
        <f>SUM(F141:F158)</f>
        <v>65</v>
      </c>
      <c r="G140" s="319">
        <f>SUM(G141:G158)</f>
        <v>9866</v>
      </c>
      <c r="H140" s="318"/>
    </row>
    <row r="141" spans="1:8">
      <c r="A141" s="316" t="s">
        <v>1708</v>
      </c>
      <c r="B141" s="315">
        <v>275791</v>
      </c>
      <c r="C141" s="315">
        <v>136017</v>
      </c>
      <c r="D141" s="315">
        <v>139774</v>
      </c>
      <c r="E141" s="315">
        <v>2</v>
      </c>
      <c r="F141" s="315">
        <v>18</v>
      </c>
      <c r="G141" s="315">
        <v>2797</v>
      </c>
      <c r="H141" s="314" t="s">
        <v>1707</v>
      </c>
    </row>
    <row r="142" spans="1:8">
      <c r="A142" s="316" t="s">
        <v>1706</v>
      </c>
      <c r="B142" s="315">
        <v>327292</v>
      </c>
      <c r="C142" s="315">
        <v>162734</v>
      </c>
      <c r="D142" s="315">
        <v>164558</v>
      </c>
      <c r="E142" s="315">
        <v>3</v>
      </c>
      <c r="F142" s="315">
        <v>25</v>
      </c>
      <c r="G142" s="315">
        <v>3967</v>
      </c>
      <c r="H142" s="314" t="s">
        <v>1705</v>
      </c>
    </row>
    <row r="143" spans="1:8">
      <c r="A143" s="316" t="s">
        <v>1704</v>
      </c>
      <c r="B143" s="315">
        <v>215807</v>
      </c>
      <c r="C143" s="315">
        <v>107149</v>
      </c>
      <c r="D143" s="315">
        <v>108658</v>
      </c>
      <c r="E143" s="315">
        <v>2</v>
      </c>
      <c r="F143" s="315">
        <v>9</v>
      </c>
      <c r="G143" s="315">
        <v>1495</v>
      </c>
      <c r="H143" s="314" t="s">
        <v>1703</v>
      </c>
    </row>
    <row r="144" spans="1:8">
      <c r="A144" s="316" t="s">
        <v>1702</v>
      </c>
      <c r="B144" s="315">
        <v>94562</v>
      </c>
      <c r="C144" s="315">
        <v>47850</v>
      </c>
      <c r="D144" s="315">
        <v>46712</v>
      </c>
      <c r="E144" s="315">
        <v>1</v>
      </c>
      <c r="F144" s="315">
        <v>5</v>
      </c>
      <c r="G144" s="315">
        <v>670</v>
      </c>
      <c r="H144" s="314" t="s">
        <v>1701</v>
      </c>
    </row>
    <row r="145" spans="1:8">
      <c r="A145" s="324" t="s">
        <v>1700</v>
      </c>
      <c r="B145" s="323">
        <v>48258</v>
      </c>
      <c r="C145" s="323">
        <v>24509</v>
      </c>
      <c r="D145" s="323">
        <v>23749</v>
      </c>
      <c r="E145" s="323" t="s">
        <v>1512</v>
      </c>
      <c r="F145" s="323" t="s">
        <v>1512</v>
      </c>
      <c r="G145" s="323" t="s">
        <v>1512</v>
      </c>
      <c r="H145" s="314" t="s">
        <v>1512</v>
      </c>
    </row>
    <row r="146" spans="1:8">
      <c r="A146" s="316" t="s">
        <v>1699</v>
      </c>
      <c r="B146" s="315">
        <v>82432</v>
      </c>
      <c r="C146" s="315">
        <v>40590</v>
      </c>
      <c r="D146" s="315">
        <v>41842</v>
      </c>
      <c r="E146" s="315">
        <v>1</v>
      </c>
      <c r="F146" s="315">
        <v>5</v>
      </c>
      <c r="G146" s="315">
        <v>714</v>
      </c>
      <c r="H146" s="314" t="s">
        <v>1698</v>
      </c>
    </row>
    <row r="147" spans="1:8">
      <c r="A147" s="324" t="s">
        <v>1697</v>
      </c>
      <c r="B147" s="323">
        <v>72314</v>
      </c>
      <c r="C147" s="323">
        <v>36940</v>
      </c>
      <c r="D147" s="323">
        <v>35374</v>
      </c>
      <c r="E147" s="323" t="s">
        <v>1512</v>
      </c>
      <c r="F147" s="323" t="s">
        <v>1512</v>
      </c>
      <c r="G147" s="323" t="s">
        <v>1512</v>
      </c>
      <c r="H147" s="314" t="s">
        <v>1512</v>
      </c>
    </row>
    <row r="148" spans="1:8">
      <c r="A148" s="316" t="s">
        <v>1696</v>
      </c>
      <c r="B148" s="315">
        <v>70451</v>
      </c>
      <c r="C148" s="315">
        <v>35996</v>
      </c>
      <c r="D148" s="315">
        <v>34455</v>
      </c>
      <c r="E148" s="315">
        <v>1</v>
      </c>
      <c r="F148" s="315">
        <v>2</v>
      </c>
      <c r="G148" s="315">
        <v>98</v>
      </c>
      <c r="H148" s="314" t="s">
        <v>1695</v>
      </c>
    </row>
    <row r="149" spans="1:8">
      <c r="A149" s="324" t="s">
        <v>1694</v>
      </c>
      <c r="B149" s="323">
        <v>45373</v>
      </c>
      <c r="C149" s="323">
        <v>23019</v>
      </c>
      <c r="D149" s="323">
        <v>22354</v>
      </c>
      <c r="E149" s="323" t="s">
        <v>1512</v>
      </c>
      <c r="F149" s="323" t="s">
        <v>1512</v>
      </c>
      <c r="G149" s="323" t="s">
        <v>1512</v>
      </c>
      <c r="H149" s="314" t="s">
        <v>1512</v>
      </c>
    </row>
    <row r="150" spans="1:8">
      <c r="A150" s="324" t="s">
        <v>1693</v>
      </c>
      <c r="B150" s="323">
        <v>40191</v>
      </c>
      <c r="C150" s="323">
        <v>20581</v>
      </c>
      <c r="D150" s="323">
        <v>19610</v>
      </c>
      <c r="E150" s="323" t="s">
        <v>1512</v>
      </c>
      <c r="F150" s="323" t="s">
        <v>1512</v>
      </c>
      <c r="G150" s="323" t="s">
        <v>1512</v>
      </c>
      <c r="H150" s="314" t="s">
        <v>1512</v>
      </c>
    </row>
    <row r="151" spans="1:8">
      <c r="A151" s="324" t="s">
        <v>1692</v>
      </c>
      <c r="B151" s="323">
        <v>43660</v>
      </c>
      <c r="C151" s="323">
        <v>22257</v>
      </c>
      <c r="D151" s="323">
        <v>21403</v>
      </c>
      <c r="E151" s="323" t="s">
        <v>1512</v>
      </c>
      <c r="F151" s="323" t="s">
        <v>1512</v>
      </c>
      <c r="G151" s="323" t="s">
        <v>1512</v>
      </c>
      <c r="H151" s="314" t="s">
        <v>1512</v>
      </c>
    </row>
    <row r="152" spans="1:8">
      <c r="A152" s="324" t="s">
        <v>1691</v>
      </c>
      <c r="B152" s="323">
        <v>39425</v>
      </c>
      <c r="C152" s="323">
        <v>20387</v>
      </c>
      <c r="D152" s="323">
        <v>19038</v>
      </c>
      <c r="E152" s="323" t="s">
        <v>1512</v>
      </c>
      <c r="F152" s="323" t="s">
        <v>1512</v>
      </c>
      <c r="G152" s="323" t="s">
        <v>1512</v>
      </c>
      <c r="H152" s="314" t="s">
        <v>1512</v>
      </c>
    </row>
    <row r="153" spans="1:8">
      <c r="A153" s="324" t="s">
        <v>1690</v>
      </c>
      <c r="B153" s="323">
        <v>47590</v>
      </c>
      <c r="C153" s="323">
        <v>24676</v>
      </c>
      <c r="D153" s="323">
        <v>22914</v>
      </c>
      <c r="E153" s="323" t="s">
        <v>1512</v>
      </c>
      <c r="F153" s="323" t="s">
        <v>1512</v>
      </c>
      <c r="G153" s="323" t="s">
        <v>1512</v>
      </c>
      <c r="H153" s="314" t="s">
        <v>1512</v>
      </c>
    </row>
    <row r="154" spans="1:8">
      <c r="A154" s="316" t="s">
        <v>1689</v>
      </c>
      <c r="B154" s="315">
        <v>27143</v>
      </c>
      <c r="C154" s="315">
        <v>15168</v>
      </c>
      <c r="D154" s="315">
        <v>11975</v>
      </c>
      <c r="E154" s="315">
        <v>1</v>
      </c>
      <c r="F154" s="315">
        <v>1</v>
      </c>
      <c r="G154" s="315">
        <v>125</v>
      </c>
      <c r="H154" s="314" t="s">
        <v>1688</v>
      </c>
    </row>
    <row r="155" spans="1:8">
      <c r="A155" s="324" t="s">
        <v>1687</v>
      </c>
      <c r="B155" s="323">
        <v>23888</v>
      </c>
      <c r="C155" s="323">
        <v>12735</v>
      </c>
      <c r="D155" s="323">
        <v>11153</v>
      </c>
      <c r="E155" s="323" t="s">
        <v>1512</v>
      </c>
      <c r="F155" s="323" t="s">
        <v>1512</v>
      </c>
      <c r="G155" s="323" t="s">
        <v>1512</v>
      </c>
      <c r="H155" s="314" t="s">
        <v>1512</v>
      </c>
    </row>
    <row r="156" spans="1:8">
      <c r="A156" s="324" t="s">
        <v>1686</v>
      </c>
      <c r="B156" s="323">
        <v>32475</v>
      </c>
      <c r="C156" s="323">
        <v>17287</v>
      </c>
      <c r="D156" s="323">
        <v>15188</v>
      </c>
      <c r="E156" s="323" t="s">
        <v>1512</v>
      </c>
      <c r="F156" s="323" t="s">
        <v>1512</v>
      </c>
      <c r="G156" s="323" t="s">
        <v>1512</v>
      </c>
      <c r="H156" s="314" t="s">
        <v>1512</v>
      </c>
    </row>
    <row r="157" spans="1:8">
      <c r="A157" s="324" t="s">
        <v>1520</v>
      </c>
      <c r="B157" s="323">
        <v>30269</v>
      </c>
      <c r="C157" s="323">
        <v>16107</v>
      </c>
      <c r="D157" s="323">
        <v>14162</v>
      </c>
      <c r="E157" s="323" t="s">
        <v>1512</v>
      </c>
      <c r="F157" s="323" t="s">
        <v>1512</v>
      </c>
      <c r="G157" s="323" t="s">
        <v>1512</v>
      </c>
      <c r="H157" s="314" t="s">
        <v>1512</v>
      </c>
    </row>
    <row r="158" spans="1:8" ht="17.25" thickBot="1">
      <c r="A158" s="322" t="s">
        <v>1685</v>
      </c>
      <c r="B158" s="321">
        <v>27521</v>
      </c>
      <c r="C158" s="321">
        <v>14005</v>
      </c>
      <c r="D158" s="321">
        <v>13516</v>
      </c>
      <c r="E158" s="321" t="s">
        <v>1512</v>
      </c>
      <c r="F158" s="321" t="s">
        <v>1512</v>
      </c>
      <c r="G158" s="321" t="s">
        <v>1512</v>
      </c>
      <c r="H158" s="311" t="s">
        <v>1512</v>
      </c>
    </row>
    <row r="159" spans="1:8" s="317" customFormat="1">
      <c r="A159" s="320" t="s">
        <v>234</v>
      </c>
      <c r="B159" s="319">
        <v>1578933</v>
      </c>
      <c r="C159" s="319">
        <v>796141</v>
      </c>
      <c r="D159" s="319">
        <v>782792</v>
      </c>
      <c r="E159" s="319">
        <f>SUM(E160,E165:E174)</f>
        <v>10</v>
      </c>
      <c r="F159" s="319">
        <f>SUM(F160,F165:F174)</f>
        <v>80</v>
      </c>
      <c r="G159" s="319">
        <f>SUM(G160,G165:G174)</f>
        <v>14048</v>
      </c>
      <c r="H159" s="318"/>
    </row>
    <row r="160" spans="1:8">
      <c r="A160" s="316" t="s">
        <v>1684</v>
      </c>
      <c r="B160" s="315">
        <v>831521</v>
      </c>
      <c r="C160" s="315">
        <v>417233</v>
      </c>
      <c r="D160" s="315">
        <v>414288</v>
      </c>
      <c r="E160" s="315">
        <f>SUM(E161:E164)</f>
        <v>8</v>
      </c>
      <c r="F160" s="315">
        <f>SUM(F161:F164)</f>
        <v>63</v>
      </c>
      <c r="G160" s="315">
        <f>SUM(G161:G164)</f>
        <v>11091</v>
      </c>
      <c r="H160" s="314" t="s">
        <v>1683</v>
      </c>
    </row>
    <row r="161" spans="1:8" hidden="1">
      <c r="A161" s="316" t="s">
        <v>1682</v>
      </c>
      <c r="B161" s="315">
        <v>179792</v>
      </c>
      <c r="C161" s="315">
        <v>89861</v>
      </c>
      <c r="D161" s="315">
        <v>89931</v>
      </c>
      <c r="E161" s="315">
        <v>4</v>
      </c>
      <c r="F161" s="315">
        <v>37</v>
      </c>
      <c r="G161" s="315">
        <v>6309</v>
      </c>
      <c r="H161" s="314" t="s">
        <v>1681</v>
      </c>
    </row>
    <row r="162" spans="1:8" hidden="1">
      <c r="A162" s="316" t="s">
        <v>1680</v>
      </c>
      <c r="B162" s="315">
        <v>224727</v>
      </c>
      <c r="C162" s="315">
        <v>111592</v>
      </c>
      <c r="D162" s="315">
        <v>113135</v>
      </c>
      <c r="E162" s="315" t="s">
        <v>1512</v>
      </c>
      <c r="F162" s="315" t="s">
        <v>1512</v>
      </c>
      <c r="G162" s="315" t="s">
        <v>1512</v>
      </c>
      <c r="H162" s="314" t="s">
        <v>1512</v>
      </c>
    </row>
    <row r="163" spans="1:8" hidden="1">
      <c r="A163" s="316" t="s">
        <v>1679</v>
      </c>
      <c r="B163" s="315">
        <v>252027</v>
      </c>
      <c r="C163" s="315">
        <v>126827</v>
      </c>
      <c r="D163" s="315">
        <v>125200</v>
      </c>
      <c r="E163" s="315">
        <v>4</v>
      </c>
      <c r="F163" s="315">
        <v>26</v>
      </c>
      <c r="G163" s="315">
        <v>4782</v>
      </c>
      <c r="H163" s="314" t="s">
        <v>1678</v>
      </c>
    </row>
    <row r="164" spans="1:8" hidden="1">
      <c r="A164" s="316" t="s">
        <v>1677</v>
      </c>
      <c r="B164" s="315">
        <v>174975</v>
      </c>
      <c r="C164" s="315">
        <v>88953</v>
      </c>
      <c r="D164" s="315">
        <v>86022</v>
      </c>
      <c r="E164" s="315" t="s">
        <v>1512</v>
      </c>
      <c r="F164" s="315" t="s">
        <v>1512</v>
      </c>
      <c r="G164" s="315" t="s">
        <v>1512</v>
      </c>
      <c r="H164" s="314" t="s">
        <v>1512</v>
      </c>
    </row>
    <row r="165" spans="1:8">
      <c r="A165" s="316" t="s">
        <v>1676</v>
      </c>
      <c r="B165" s="315">
        <v>208527</v>
      </c>
      <c r="C165" s="315">
        <v>104944</v>
      </c>
      <c r="D165" s="315">
        <v>103583</v>
      </c>
      <c r="E165" s="315">
        <v>1</v>
      </c>
      <c r="F165" s="315">
        <v>10</v>
      </c>
      <c r="G165" s="315">
        <v>1757</v>
      </c>
      <c r="H165" s="314" t="s">
        <v>1675</v>
      </c>
    </row>
    <row r="166" spans="1:8">
      <c r="A166" s="316" t="s">
        <v>1674</v>
      </c>
      <c r="B166" s="315">
        <v>136805</v>
      </c>
      <c r="C166" s="315">
        <v>68639</v>
      </c>
      <c r="D166" s="315">
        <v>68166</v>
      </c>
      <c r="E166" s="315">
        <v>1</v>
      </c>
      <c r="F166" s="315">
        <v>7</v>
      </c>
      <c r="G166" s="315">
        <v>1200</v>
      </c>
      <c r="H166" s="314" t="s">
        <v>1673</v>
      </c>
    </row>
    <row r="167" spans="1:8">
      <c r="A167" s="324" t="s">
        <v>1672</v>
      </c>
      <c r="B167" s="323">
        <v>34240</v>
      </c>
      <c r="C167" s="323">
        <v>17092</v>
      </c>
      <c r="D167" s="323">
        <v>17148</v>
      </c>
      <c r="E167" s="323" t="s">
        <v>1512</v>
      </c>
      <c r="F167" s="323" t="s">
        <v>1512</v>
      </c>
      <c r="G167" s="323" t="s">
        <v>1512</v>
      </c>
      <c r="H167" s="314" t="s">
        <v>1512</v>
      </c>
    </row>
    <row r="168" spans="1:8">
      <c r="A168" s="324" t="s">
        <v>1671</v>
      </c>
      <c r="B168" s="323">
        <v>52469</v>
      </c>
      <c r="C168" s="323">
        <v>26369</v>
      </c>
      <c r="D168" s="323">
        <v>26100</v>
      </c>
      <c r="E168" s="323" t="s">
        <v>1512</v>
      </c>
      <c r="F168" s="323" t="s">
        <v>1512</v>
      </c>
      <c r="G168" s="323" t="s">
        <v>1512</v>
      </c>
      <c r="H168" s="314" t="s">
        <v>1512</v>
      </c>
    </row>
    <row r="169" spans="1:8">
      <c r="A169" s="324" t="s">
        <v>1670</v>
      </c>
      <c r="B169" s="323">
        <v>50803</v>
      </c>
      <c r="C169" s="323">
        <v>25255</v>
      </c>
      <c r="D169" s="323">
        <v>25548</v>
      </c>
      <c r="E169" s="323" t="s">
        <v>1512</v>
      </c>
      <c r="F169" s="323" t="s">
        <v>1512</v>
      </c>
      <c r="G169" s="323" t="s">
        <v>1512</v>
      </c>
      <c r="H169" s="314" t="s">
        <v>1512</v>
      </c>
    </row>
    <row r="170" spans="1:8">
      <c r="A170" s="324" t="s">
        <v>1669</v>
      </c>
      <c r="B170" s="323">
        <v>34771</v>
      </c>
      <c r="C170" s="323">
        <v>17821</v>
      </c>
      <c r="D170" s="323">
        <v>16950</v>
      </c>
      <c r="E170" s="323" t="s">
        <v>1512</v>
      </c>
      <c r="F170" s="323" t="s">
        <v>1512</v>
      </c>
      <c r="G170" s="323" t="s">
        <v>1512</v>
      </c>
      <c r="H170" s="314" t="s">
        <v>1512</v>
      </c>
    </row>
    <row r="171" spans="1:8">
      <c r="A171" s="324" t="s">
        <v>1668</v>
      </c>
      <c r="B171" s="323">
        <v>65174</v>
      </c>
      <c r="C171" s="323">
        <v>33815</v>
      </c>
      <c r="D171" s="323">
        <v>31359</v>
      </c>
      <c r="E171" s="323" t="s">
        <v>1512</v>
      </c>
      <c r="F171" s="323" t="s">
        <v>1512</v>
      </c>
      <c r="G171" s="323" t="s">
        <v>1512</v>
      </c>
      <c r="H171" s="314" t="s">
        <v>1512</v>
      </c>
    </row>
    <row r="172" spans="1:8">
      <c r="A172" s="324" t="s">
        <v>1667</v>
      </c>
      <c r="B172" s="323">
        <v>38351</v>
      </c>
      <c r="C172" s="323">
        <v>19488</v>
      </c>
      <c r="D172" s="323">
        <v>18863</v>
      </c>
      <c r="E172" s="323" t="s">
        <v>1512</v>
      </c>
      <c r="F172" s="323" t="s">
        <v>1512</v>
      </c>
      <c r="G172" s="323" t="s">
        <v>1512</v>
      </c>
      <c r="H172" s="314" t="s">
        <v>1512</v>
      </c>
    </row>
    <row r="173" spans="1:8">
      <c r="A173" s="324" t="s">
        <v>1666</v>
      </c>
      <c r="B173" s="323">
        <v>95324</v>
      </c>
      <c r="C173" s="323">
        <v>49919</v>
      </c>
      <c r="D173" s="323">
        <v>45405</v>
      </c>
      <c r="E173" s="323" t="s">
        <v>1512</v>
      </c>
      <c r="F173" s="323" t="s">
        <v>1512</v>
      </c>
      <c r="G173" s="323" t="s">
        <v>1512</v>
      </c>
      <c r="H173" s="314" t="s">
        <v>1512</v>
      </c>
    </row>
    <row r="174" spans="1:8" ht="17.25" thickBot="1">
      <c r="A174" s="322" t="s">
        <v>1665</v>
      </c>
      <c r="B174" s="321">
        <v>30948</v>
      </c>
      <c r="C174" s="321">
        <v>15566</v>
      </c>
      <c r="D174" s="321">
        <v>15382</v>
      </c>
      <c r="E174" s="321" t="s">
        <v>1512</v>
      </c>
      <c r="F174" s="321" t="s">
        <v>1512</v>
      </c>
      <c r="G174" s="321" t="s">
        <v>1512</v>
      </c>
      <c r="H174" s="311" t="s">
        <v>1512</v>
      </c>
    </row>
    <row r="175" spans="1:8" s="317" customFormat="1">
      <c r="A175" s="320" t="s">
        <v>170</v>
      </c>
      <c r="B175" s="319">
        <v>2062273</v>
      </c>
      <c r="C175" s="319">
        <v>1045892</v>
      </c>
      <c r="D175" s="319">
        <v>1016381</v>
      </c>
      <c r="E175" s="319">
        <f>SUM(E176,E179:E192)</f>
        <v>12</v>
      </c>
      <c r="F175" s="319">
        <f>SUM(F176,F179:F192)</f>
        <v>77</v>
      </c>
      <c r="G175" s="319">
        <f>SUM(G176,G179:G192)</f>
        <v>10913</v>
      </c>
      <c r="H175" s="318"/>
    </row>
    <row r="176" spans="1:8">
      <c r="A176" s="316" t="s">
        <v>1664</v>
      </c>
      <c r="B176" s="315">
        <v>598346</v>
      </c>
      <c r="C176" s="315">
        <v>304099</v>
      </c>
      <c r="D176" s="315">
        <v>294247</v>
      </c>
      <c r="E176" s="315">
        <v>4</v>
      </c>
      <c r="F176" s="315">
        <v>37</v>
      </c>
      <c r="G176" s="315">
        <v>5323</v>
      </c>
      <c r="H176" s="314" t="s">
        <v>1663</v>
      </c>
    </row>
    <row r="177" spans="1:8" hidden="1">
      <c r="A177" s="316" t="s">
        <v>1662</v>
      </c>
      <c r="B177" s="315">
        <v>261768</v>
      </c>
      <c r="C177" s="315">
        <v>132641</v>
      </c>
      <c r="D177" s="315">
        <v>129127</v>
      </c>
      <c r="E177" s="315">
        <v>2</v>
      </c>
      <c r="F177" s="315">
        <v>18</v>
      </c>
      <c r="G177" s="315">
        <v>2843</v>
      </c>
      <c r="H177" s="314" t="s">
        <v>1661</v>
      </c>
    </row>
    <row r="178" spans="1:8" hidden="1">
      <c r="A178" s="316" t="s">
        <v>1660</v>
      </c>
      <c r="B178" s="315">
        <v>336578</v>
      </c>
      <c r="C178" s="315">
        <v>171458</v>
      </c>
      <c r="D178" s="315">
        <v>165120</v>
      </c>
      <c r="E178" s="315">
        <v>2</v>
      </c>
      <c r="F178" s="315">
        <v>19</v>
      </c>
      <c r="G178" s="315">
        <v>2480</v>
      </c>
      <c r="H178" s="314" t="s">
        <v>1659</v>
      </c>
    </row>
    <row r="179" spans="1:8">
      <c r="A179" s="316" t="s">
        <v>1658</v>
      </c>
      <c r="B179" s="315">
        <v>113621</v>
      </c>
      <c r="C179" s="315">
        <v>57314</v>
      </c>
      <c r="D179" s="315">
        <v>56307</v>
      </c>
      <c r="E179" s="315">
        <v>1</v>
      </c>
      <c r="F179" s="315">
        <v>7</v>
      </c>
      <c r="G179" s="315">
        <v>802</v>
      </c>
      <c r="H179" s="314" t="s">
        <v>1657</v>
      </c>
    </row>
    <row r="180" spans="1:8">
      <c r="A180" s="324" t="s">
        <v>1656</v>
      </c>
      <c r="B180" s="323">
        <v>104321</v>
      </c>
      <c r="C180" s="323">
        <v>52668</v>
      </c>
      <c r="D180" s="323">
        <v>51653</v>
      </c>
      <c r="E180" s="323" t="s">
        <v>1512</v>
      </c>
      <c r="F180" s="323" t="s">
        <v>1512</v>
      </c>
      <c r="G180" s="323" t="s">
        <v>1512</v>
      </c>
      <c r="H180" s="314" t="s">
        <v>1512</v>
      </c>
    </row>
    <row r="181" spans="1:8">
      <c r="A181" s="316" t="s">
        <v>1655</v>
      </c>
      <c r="B181" s="315">
        <v>293954</v>
      </c>
      <c r="C181" s="315">
        <v>150506</v>
      </c>
      <c r="D181" s="315">
        <v>143448</v>
      </c>
      <c r="E181" s="315">
        <v>1</v>
      </c>
      <c r="F181" s="315">
        <v>6</v>
      </c>
      <c r="G181" s="315">
        <v>964</v>
      </c>
      <c r="H181" s="314" t="s">
        <v>1654</v>
      </c>
    </row>
    <row r="182" spans="1:8">
      <c r="A182" s="316" t="s">
        <v>1653</v>
      </c>
      <c r="B182" s="315">
        <v>167611</v>
      </c>
      <c r="C182" s="315">
        <v>85841</v>
      </c>
      <c r="D182" s="315">
        <v>81770</v>
      </c>
      <c r="E182" s="315">
        <v>1</v>
      </c>
      <c r="F182" s="315">
        <v>6</v>
      </c>
      <c r="G182" s="315">
        <v>1076</v>
      </c>
      <c r="H182" s="314" t="s">
        <v>1652</v>
      </c>
    </row>
    <row r="183" spans="1:8">
      <c r="A183" s="316" t="s">
        <v>1651</v>
      </c>
      <c r="B183" s="315">
        <v>124784</v>
      </c>
      <c r="C183" s="315">
        <v>62387</v>
      </c>
      <c r="D183" s="315">
        <v>62397</v>
      </c>
      <c r="E183" s="315">
        <v>1</v>
      </c>
      <c r="F183" s="315">
        <v>5</v>
      </c>
      <c r="G183" s="315">
        <v>616</v>
      </c>
      <c r="H183" s="314" t="s">
        <v>1650</v>
      </c>
    </row>
    <row r="184" spans="1:8">
      <c r="A184" s="324" t="s">
        <v>1649</v>
      </c>
      <c r="B184" s="323">
        <v>40552</v>
      </c>
      <c r="C184" s="323">
        <v>20118</v>
      </c>
      <c r="D184" s="323">
        <v>20434</v>
      </c>
      <c r="E184" s="323" t="s">
        <v>1512</v>
      </c>
      <c r="F184" s="323" t="s">
        <v>1512</v>
      </c>
      <c r="G184" s="323" t="s">
        <v>1512</v>
      </c>
      <c r="H184" s="314" t="s">
        <v>1512</v>
      </c>
    </row>
    <row r="185" spans="1:8">
      <c r="A185" s="316" t="s">
        <v>1648</v>
      </c>
      <c r="B185" s="315">
        <v>162844</v>
      </c>
      <c r="C185" s="315">
        <v>84963</v>
      </c>
      <c r="D185" s="315">
        <v>77881</v>
      </c>
      <c r="E185" s="315">
        <v>2</v>
      </c>
      <c r="F185" s="315">
        <v>10</v>
      </c>
      <c r="G185" s="315">
        <v>1389</v>
      </c>
      <c r="H185" s="314" t="s">
        <v>1647</v>
      </c>
    </row>
    <row r="186" spans="1:8">
      <c r="A186" s="324" t="s">
        <v>1646</v>
      </c>
      <c r="B186" s="323">
        <v>55166</v>
      </c>
      <c r="C186" s="323">
        <v>27981</v>
      </c>
      <c r="D186" s="323">
        <v>27185</v>
      </c>
      <c r="E186" s="323" t="s">
        <v>1512</v>
      </c>
      <c r="F186" s="323" t="s">
        <v>1512</v>
      </c>
      <c r="G186" s="323" t="s">
        <v>1512</v>
      </c>
      <c r="H186" s="314" t="s">
        <v>1512</v>
      </c>
    </row>
    <row r="187" spans="1:8">
      <c r="A187" s="316" t="s">
        <v>1645</v>
      </c>
      <c r="B187" s="315">
        <v>71754</v>
      </c>
      <c r="C187" s="315">
        <v>35661</v>
      </c>
      <c r="D187" s="315">
        <v>36093</v>
      </c>
      <c r="E187" s="315">
        <v>1</v>
      </c>
      <c r="F187" s="315">
        <v>2</v>
      </c>
      <c r="G187" s="315">
        <v>175</v>
      </c>
      <c r="H187" s="314" t="s">
        <v>1644</v>
      </c>
    </row>
    <row r="188" spans="1:8">
      <c r="A188" s="324" t="s">
        <v>1643</v>
      </c>
      <c r="B188" s="323">
        <v>57713</v>
      </c>
      <c r="C188" s="323">
        <v>28392</v>
      </c>
      <c r="D188" s="323">
        <v>29321</v>
      </c>
      <c r="E188" s="323" t="s">
        <v>1512</v>
      </c>
      <c r="F188" s="323" t="s">
        <v>1512</v>
      </c>
      <c r="G188" s="323" t="s">
        <v>1512</v>
      </c>
      <c r="H188" s="314" t="s">
        <v>1512</v>
      </c>
    </row>
    <row r="189" spans="1:8">
      <c r="A189" s="324" t="s">
        <v>1642</v>
      </c>
      <c r="B189" s="323">
        <v>32248</v>
      </c>
      <c r="C189" s="323">
        <v>16103</v>
      </c>
      <c r="D189" s="323">
        <v>16145</v>
      </c>
      <c r="E189" s="323" t="s">
        <v>1512</v>
      </c>
      <c r="F189" s="323" t="s">
        <v>1512</v>
      </c>
      <c r="G189" s="323" t="s">
        <v>1512</v>
      </c>
      <c r="H189" s="314" t="s">
        <v>1512</v>
      </c>
    </row>
    <row r="190" spans="1:8">
      <c r="A190" s="316" t="s">
        <v>1641</v>
      </c>
      <c r="B190" s="315">
        <v>91866</v>
      </c>
      <c r="C190" s="315">
        <v>45847</v>
      </c>
      <c r="D190" s="315">
        <v>46019</v>
      </c>
      <c r="E190" s="315">
        <v>1</v>
      </c>
      <c r="F190" s="315">
        <v>4</v>
      </c>
      <c r="G190" s="315">
        <v>568</v>
      </c>
      <c r="H190" s="314" t="s">
        <v>1640</v>
      </c>
    </row>
    <row r="191" spans="1:8">
      <c r="A191" s="324" t="s">
        <v>1639</v>
      </c>
      <c r="B191" s="323">
        <v>84919</v>
      </c>
      <c r="C191" s="323">
        <v>42506</v>
      </c>
      <c r="D191" s="323">
        <v>42413</v>
      </c>
      <c r="E191" s="323" t="s">
        <v>1512</v>
      </c>
      <c r="F191" s="323" t="s">
        <v>1512</v>
      </c>
      <c r="G191" s="323" t="s">
        <v>1512</v>
      </c>
      <c r="H191" s="314" t="s">
        <v>1512</v>
      </c>
    </row>
    <row r="192" spans="1:8" ht="17.25" thickBot="1">
      <c r="A192" s="322" t="s">
        <v>1638</v>
      </c>
      <c r="B192" s="321">
        <v>62574</v>
      </c>
      <c r="C192" s="321">
        <v>31506</v>
      </c>
      <c r="D192" s="321">
        <v>31068</v>
      </c>
      <c r="E192" s="321" t="s">
        <v>1512</v>
      </c>
      <c r="F192" s="321" t="s">
        <v>1512</v>
      </c>
      <c r="G192" s="321" t="s">
        <v>1512</v>
      </c>
      <c r="H192" s="311" t="s">
        <v>1512</v>
      </c>
    </row>
    <row r="193" spans="1:8" s="317" customFormat="1">
      <c r="A193" s="320" t="s">
        <v>199</v>
      </c>
      <c r="B193" s="319">
        <v>1871560</v>
      </c>
      <c r="C193" s="319">
        <v>931536</v>
      </c>
      <c r="D193" s="319">
        <v>940024</v>
      </c>
      <c r="E193" s="319">
        <f>SUM(E194,E197:E209)</f>
        <v>19</v>
      </c>
      <c r="F193" s="319">
        <f>SUM(F194,F197:F209)</f>
        <v>93</v>
      </c>
      <c r="G193" s="319">
        <f>SUM(G194,G197:G209)</f>
        <v>14429</v>
      </c>
      <c r="H193" s="318"/>
    </row>
    <row r="194" spans="1:8">
      <c r="A194" s="316" t="s">
        <v>1637</v>
      </c>
      <c r="B194" s="315">
        <v>652877</v>
      </c>
      <c r="C194" s="315">
        <v>321874</v>
      </c>
      <c r="D194" s="315">
        <v>331003</v>
      </c>
      <c r="E194" s="315">
        <f>SUM(E195:E196)</f>
        <v>8</v>
      </c>
      <c r="F194" s="315">
        <f>SUM(F195:F196)</f>
        <v>52</v>
      </c>
      <c r="G194" s="315">
        <f>SUM(G195:G196)</f>
        <v>9351</v>
      </c>
      <c r="H194" s="314" t="s">
        <v>1636</v>
      </c>
    </row>
    <row r="195" spans="1:8" hidden="1">
      <c r="A195" s="316" t="s">
        <v>1635</v>
      </c>
      <c r="B195" s="315">
        <v>364872</v>
      </c>
      <c r="C195" s="315">
        <v>178376</v>
      </c>
      <c r="D195" s="315">
        <v>186496</v>
      </c>
      <c r="E195" s="315">
        <v>7</v>
      </c>
      <c r="F195" s="315">
        <v>44</v>
      </c>
      <c r="G195" s="315">
        <v>8126</v>
      </c>
      <c r="H195" s="314" t="s">
        <v>1634</v>
      </c>
    </row>
    <row r="196" spans="1:8" hidden="1">
      <c r="A196" s="316" t="s">
        <v>1633</v>
      </c>
      <c r="B196" s="315">
        <v>288005</v>
      </c>
      <c r="C196" s="315">
        <v>143498</v>
      </c>
      <c r="D196" s="315">
        <v>144507</v>
      </c>
      <c r="E196" s="315">
        <v>1</v>
      </c>
      <c r="F196" s="315">
        <v>8</v>
      </c>
      <c r="G196" s="315">
        <v>1225</v>
      </c>
      <c r="H196" s="314" t="s">
        <v>1632</v>
      </c>
    </row>
    <row r="197" spans="1:8">
      <c r="A197" s="316" t="s">
        <v>1631</v>
      </c>
      <c r="B197" s="315">
        <v>278098</v>
      </c>
      <c r="C197" s="315">
        <v>141252</v>
      </c>
      <c r="D197" s="315">
        <v>136846</v>
      </c>
      <c r="E197" s="315">
        <v>2</v>
      </c>
      <c r="F197" s="315">
        <v>12</v>
      </c>
      <c r="G197" s="315">
        <v>2002</v>
      </c>
      <c r="H197" s="314" t="s">
        <v>1630</v>
      </c>
    </row>
    <row r="198" spans="1:8">
      <c r="A198" s="316" t="s">
        <v>1629</v>
      </c>
      <c r="B198" s="315">
        <v>304117</v>
      </c>
      <c r="C198" s="315">
        <v>151864</v>
      </c>
      <c r="D198" s="315">
        <v>152253</v>
      </c>
      <c r="E198" s="315">
        <v>1</v>
      </c>
      <c r="F198" s="315">
        <v>9</v>
      </c>
      <c r="G198" s="315">
        <v>1325</v>
      </c>
      <c r="H198" s="314" t="s">
        <v>1628</v>
      </c>
    </row>
    <row r="199" spans="1:8">
      <c r="A199" s="316" t="s">
        <v>1627</v>
      </c>
      <c r="B199" s="315">
        <v>117183</v>
      </c>
      <c r="C199" s="315">
        <v>57922</v>
      </c>
      <c r="D199" s="315">
        <v>59261</v>
      </c>
      <c r="E199" s="315">
        <v>1</v>
      </c>
      <c r="F199" s="315">
        <v>4</v>
      </c>
      <c r="G199" s="315">
        <v>565</v>
      </c>
      <c r="H199" s="314" t="s">
        <v>1626</v>
      </c>
    </row>
    <row r="200" spans="1:8">
      <c r="A200" s="316" t="s">
        <v>1625</v>
      </c>
      <c r="B200" s="315">
        <v>85643</v>
      </c>
      <c r="C200" s="315">
        <v>42034</v>
      </c>
      <c r="D200" s="315">
        <v>43609</v>
      </c>
      <c r="E200" s="315">
        <v>1</v>
      </c>
      <c r="F200" s="315">
        <v>4</v>
      </c>
      <c r="G200" s="315">
        <v>615</v>
      </c>
      <c r="H200" s="314" t="s">
        <v>1624</v>
      </c>
    </row>
    <row r="201" spans="1:8">
      <c r="A201" s="316" t="s">
        <v>1623</v>
      </c>
      <c r="B201" s="315">
        <v>90108</v>
      </c>
      <c r="C201" s="315">
        <v>44657</v>
      </c>
      <c r="D201" s="315">
        <v>45451</v>
      </c>
      <c r="E201" s="315">
        <v>1</v>
      </c>
      <c r="F201" s="315">
        <v>2</v>
      </c>
      <c r="G201" s="315">
        <v>99</v>
      </c>
      <c r="H201" s="314" t="s">
        <v>1622</v>
      </c>
    </row>
    <row r="202" spans="1:8">
      <c r="A202" s="316" t="s">
        <v>1621</v>
      </c>
      <c r="B202" s="315">
        <v>90377</v>
      </c>
      <c r="C202" s="315">
        <v>46425</v>
      </c>
      <c r="D202" s="315">
        <v>43952</v>
      </c>
      <c r="E202" s="315">
        <v>1</v>
      </c>
      <c r="F202" s="315">
        <v>2</v>
      </c>
      <c r="G202" s="315">
        <v>91</v>
      </c>
      <c r="H202" s="314" t="s">
        <v>1620</v>
      </c>
    </row>
    <row r="203" spans="1:8">
      <c r="A203" s="324" t="s">
        <v>1619</v>
      </c>
      <c r="B203" s="323">
        <v>26474</v>
      </c>
      <c r="C203" s="323">
        <v>13286</v>
      </c>
      <c r="D203" s="323">
        <v>13188</v>
      </c>
      <c r="E203" s="323" t="s">
        <v>1512</v>
      </c>
      <c r="F203" s="323" t="s">
        <v>1512</v>
      </c>
      <c r="G203" s="323" t="s">
        <v>1512</v>
      </c>
      <c r="H203" s="314" t="s">
        <v>1512</v>
      </c>
    </row>
    <row r="204" spans="1:8">
      <c r="A204" s="316" t="s">
        <v>1618</v>
      </c>
      <c r="B204" s="315">
        <v>25390</v>
      </c>
      <c r="C204" s="315">
        <v>12580</v>
      </c>
      <c r="D204" s="315">
        <v>12810</v>
      </c>
      <c r="E204" s="315">
        <v>1</v>
      </c>
      <c r="F204" s="315">
        <v>2</v>
      </c>
      <c r="G204" s="315">
        <v>98</v>
      </c>
      <c r="H204" s="314" t="s">
        <v>1617</v>
      </c>
    </row>
    <row r="205" spans="1:8">
      <c r="A205" s="316" t="s">
        <v>1616</v>
      </c>
      <c r="B205" s="315">
        <v>23335</v>
      </c>
      <c r="C205" s="315">
        <v>11558</v>
      </c>
      <c r="D205" s="315">
        <v>11777</v>
      </c>
      <c r="E205" s="315">
        <v>1</v>
      </c>
      <c r="F205" s="315">
        <v>2</v>
      </c>
      <c r="G205" s="315">
        <v>90</v>
      </c>
      <c r="H205" s="314" t="s">
        <v>1615</v>
      </c>
    </row>
    <row r="206" spans="1:8">
      <c r="A206" s="316" t="s">
        <v>1614</v>
      </c>
      <c r="B206" s="315">
        <v>29966</v>
      </c>
      <c r="C206" s="315">
        <v>15197</v>
      </c>
      <c r="D206" s="315">
        <v>14769</v>
      </c>
      <c r="E206" s="315">
        <v>1</v>
      </c>
      <c r="F206" s="315">
        <v>2</v>
      </c>
      <c r="G206" s="315">
        <v>94</v>
      </c>
      <c r="H206" s="314" t="s">
        <v>1613</v>
      </c>
    </row>
    <row r="207" spans="1:8">
      <c r="A207" s="324" t="s">
        <v>1612</v>
      </c>
      <c r="B207" s="323">
        <v>30368</v>
      </c>
      <c r="C207" s="323">
        <v>14739</v>
      </c>
      <c r="D207" s="323">
        <v>15629</v>
      </c>
      <c r="E207" s="323" t="s">
        <v>1512</v>
      </c>
      <c r="F207" s="323" t="s">
        <v>1512</v>
      </c>
      <c r="G207" s="323" t="s">
        <v>1512</v>
      </c>
      <c r="H207" s="314" t="s">
        <v>1512</v>
      </c>
    </row>
    <row r="208" spans="1:8">
      <c r="A208" s="324" t="s">
        <v>1611</v>
      </c>
      <c r="B208" s="323">
        <v>60090</v>
      </c>
      <c r="C208" s="323">
        <v>29658</v>
      </c>
      <c r="D208" s="323">
        <v>30432</v>
      </c>
      <c r="E208" s="323" t="s">
        <v>1512</v>
      </c>
      <c r="F208" s="323" t="s">
        <v>1512</v>
      </c>
      <c r="G208" s="323" t="s">
        <v>1512</v>
      </c>
      <c r="H208" s="314" t="s">
        <v>1512</v>
      </c>
    </row>
    <row r="209" spans="1:8" ht="17.25" thickBot="1">
      <c r="A209" s="313" t="s">
        <v>1610</v>
      </c>
      <c r="B209" s="312">
        <v>57534</v>
      </c>
      <c r="C209" s="312">
        <v>28490</v>
      </c>
      <c r="D209" s="312">
        <v>29044</v>
      </c>
      <c r="E209" s="312">
        <v>1</v>
      </c>
      <c r="F209" s="312">
        <v>2</v>
      </c>
      <c r="G209" s="312">
        <v>99</v>
      </c>
      <c r="H209" s="311" t="s">
        <v>1609</v>
      </c>
    </row>
    <row r="210" spans="1:8" s="317" customFormat="1">
      <c r="A210" s="320" t="s">
        <v>195</v>
      </c>
      <c r="B210" s="319">
        <v>1905780</v>
      </c>
      <c r="C210" s="319">
        <v>951975</v>
      </c>
      <c r="D210" s="319">
        <v>953805</v>
      </c>
      <c r="E210" s="319">
        <f>SUM(E211:E232)</f>
        <v>10</v>
      </c>
      <c r="F210" s="319">
        <f>SUM(F211:F232)</f>
        <v>63</v>
      </c>
      <c r="G210" s="319">
        <f>SUM(G211:G232)</f>
        <v>8977</v>
      </c>
      <c r="H210" s="318"/>
    </row>
    <row r="211" spans="1:8">
      <c r="A211" s="316" t="s">
        <v>1608</v>
      </c>
      <c r="B211" s="315">
        <v>239109</v>
      </c>
      <c r="C211" s="315">
        <v>119322</v>
      </c>
      <c r="D211" s="315">
        <v>119787</v>
      </c>
      <c r="E211" s="315">
        <v>4</v>
      </c>
      <c r="F211" s="315">
        <v>23</v>
      </c>
      <c r="G211" s="315">
        <v>3893</v>
      </c>
      <c r="H211" s="314" t="s">
        <v>1607</v>
      </c>
    </row>
    <row r="212" spans="1:8">
      <c r="A212" s="316" t="s">
        <v>1606</v>
      </c>
      <c r="B212" s="315">
        <v>290900</v>
      </c>
      <c r="C212" s="315">
        <v>147346</v>
      </c>
      <c r="D212" s="315">
        <v>143554</v>
      </c>
      <c r="E212" s="315">
        <v>2</v>
      </c>
      <c r="F212" s="315">
        <v>14</v>
      </c>
      <c r="G212" s="315">
        <v>1373</v>
      </c>
      <c r="H212" s="314" t="s">
        <v>1605</v>
      </c>
    </row>
    <row r="213" spans="1:8">
      <c r="A213" s="316" t="s">
        <v>1604</v>
      </c>
      <c r="B213" s="315">
        <v>277188</v>
      </c>
      <c r="C213" s="315">
        <v>138325</v>
      </c>
      <c r="D213" s="315">
        <v>138863</v>
      </c>
      <c r="E213" s="315">
        <v>3</v>
      </c>
      <c r="F213" s="315">
        <v>24</v>
      </c>
      <c r="G213" s="315">
        <v>3571</v>
      </c>
      <c r="H213" s="314" t="s">
        <v>1603</v>
      </c>
    </row>
    <row r="214" spans="1:8">
      <c r="A214" s="324" t="s">
        <v>1602</v>
      </c>
      <c r="B214" s="323">
        <v>90669</v>
      </c>
      <c r="C214" s="323">
        <v>45787</v>
      </c>
      <c r="D214" s="323">
        <v>44882</v>
      </c>
      <c r="E214" s="323" t="s">
        <v>1512</v>
      </c>
      <c r="F214" s="323" t="s">
        <v>1512</v>
      </c>
      <c r="G214" s="323" t="s">
        <v>1512</v>
      </c>
      <c r="H214" s="314" t="s">
        <v>1512</v>
      </c>
    </row>
    <row r="215" spans="1:8">
      <c r="A215" s="324" t="s">
        <v>1601</v>
      </c>
      <c r="B215" s="323">
        <v>152097</v>
      </c>
      <c r="C215" s="323">
        <v>78128</v>
      </c>
      <c r="D215" s="323">
        <v>73969</v>
      </c>
      <c r="E215" s="323" t="s">
        <v>1512</v>
      </c>
      <c r="F215" s="323" t="s">
        <v>1512</v>
      </c>
      <c r="G215" s="323" t="s">
        <v>1512</v>
      </c>
      <c r="H215" s="314" t="s">
        <v>1512</v>
      </c>
    </row>
    <row r="216" spans="1:8">
      <c r="A216" s="324" t="s">
        <v>1600</v>
      </c>
      <c r="B216" s="323">
        <v>47177</v>
      </c>
      <c r="C216" s="323">
        <v>23753</v>
      </c>
      <c r="D216" s="323">
        <v>23424</v>
      </c>
      <c r="E216" s="323" t="s">
        <v>1512</v>
      </c>
      <c r="F216" s="323" t="s">
        <v>1512</v>
      </c>
      <c r="G216" s="323" t="s">
        <v>1512</v>
      </c>
      <c r="H216" s="314" t="s">
        <v>1512</v>
      </c>
    </row>
    <row r="217" spans="1:8">
      <c r="A217" s="324" t="s">
        <v>1599</v>
      </c>
      <c r="B217" s="323">
        <v>30732</v>
      </c>
      <c r="C217" s="323">
        <v>14976</v>
      </c>
      <c r="D217" s="323">
        <v>15756</v>
      </c>
      <c r="E217" s="323" t="s">
        <v>1512</v>
      </c>
      <c r="F217" s="323" t="s">
        <v>1512</v>
      </c>
      <c r="G217" s="323" t="s">
        <v>1512</v>
      </c>
      <c r="H217" s="314" t="s">
        <v>1512</v>
      </c>
    </row>
    <row r="218" spans="1:8">
      <c r="A218" s="316" t="s">
        <v>1598</v>
      </c>
      <c r="B218" s="315">
        <v>27170</v>
      </c>
      <c r="C218" s="315">
        <v>13199</v>
      </c>
      <c r="D218" s="315">
        <v>13971</v>
      </c>
      <c r="E218" s="315">
        <v>1</v>
      </c>
      <c r="F218" s="315">
        <v>2</v>
      </c>
      <c r="G218" s="315">
        <v>140</v>
      </c>
      <c r="H218" s="314" t="s">
        <v>1597</v>
      </c>
    </row>
    <row r="219" spans="1:8">
      <c r="A219" s="324" t="s">
        <v>1596</v>
      </c>
      <c r="B219" s="323">
        <v>69641</v>
      </c>
      <c r="C219" s="323">
        <v>33483</v>
      </c>
      <c r="D219" s="323">
        <v>36158</v>
      </c>
      <c r="E219" s="323" t="s">
        <v>1512</v>
      </c>
      <c r="F219" s="323" t="s">
        <v>1512</v>
      </c>
      <c r="G219" s="323" t="s">
        <v>1512</v>
      </c>
      <c r="H219" s="314" t="s">
        <v>1512</v>
      </c>
    </row>
    <row r="220" spans="1:8">
      <c r="A220" s="324" t="s">
        <v>1595</v>
      </c>
      <c r="B220" s="323">
        <v>45882</v>
      </c>
      <c r="C220" s="323">
        <v>22146</v>
      </c>
      <c r="D220" s="323">
        <v>23736</v>
      </c>
      <c r="E220" s="323" t="s">
        <v>1512</v>
      </c>
      <c r="F220" s="323" t="s">
        <v>1512</v>
      </c>
      <c r="G220" s="323" t="s">
        <v>1512</v>
      </c>
      <c r="H220" s="314" t="s">
        <v>1512</v>
      </c>
    </row>
    <row r="221" spans="1:8">
      <c r="A221" s="324" t="s">
        <v>1594</v>
      </c>
      <c r="B221" s="323">
        <v>66772</v>
      </c>
      <c r="C221" s="323">
        <v>32844</v>
      </c>
      <c r="D221" s="323">
        <v>33928</v>
      </c>
      <c r="E221" s="323" t="s">
        <v>1512</v>
      </c>
      <c r="F221" s="323" t="s">
        <v>1512</v>
      </c>
      <c r="G221" s="323" t="s">
        <v>1512</v>
      </c>
      <c r="H221" s="314" t="s">
        <v>1512</v>
      </c>
    </row>
    <row r="222" spans="1:8">
      <c r="A222" s="324" t="s">
        <v>1593</v>
      </c>
      <c r="B222" s="323">
        <v>43190</v>
      </c>
      <c r="C222" s="323">
        <v>20961</v>
      </c>
      <c r="D222" s="323">
        <v>22229</v>
      </c>
      <c r="E222" s="323" t="s">
        <v>1512</v>
      </c>
      <c r="F222" s="323" t="s">
        <v>1512</v>
      </c>
      <c r="G222" s="323" t="s">
        <v>1512</v>
      </c>
      <c r="H222" s="314" t="s">
        <v>1512</v>
      </c>
    </row>
    <row r="223" spans="1:8">
      <c r="A223" s="324" t="s">
        <v>1592</v>
      </c>
      <c r="B223" s="323">
        <v>39861</v>
      </c>
      <c r="C223" s="323">
        <v>19021</v>
      </c>
      <c r="D223" s="323">
        <v>20840</v>
      </c>
      <c r="E223" s="323" t="s">
        <v>1512</v>
      </c>
      <c r="F223" s="323" t="s">
        <v>1512</v>
      </c>
      <c r="G223" s="323" t="s">
        <v>1512</v>
      </c>
      <c r="H223" s="314" t="s">
        <v>1512</v>
      </c>
    </row>
    <row r="224" spans="1:8">
      <c r="A224" s="324" t="s">
        <v>1591</v>
      </c>
      <c r="B224" s="323">
        <v>76981</v>
      </c>
      <c r="C224" s="323">
        <v>37415</v>
      </c>
      <c r="D224" s="323">
        <v>39566</v>
      </c>
      <c r="E224" s="323" t="s">
        <v>1512</v>
      </c>
      <c r="F224" s="323" t="s">
        <v>1512</v>
      </c>
      <c r="G224" s="323" t="s">
        <v>1512</v>
      </c>
      <c r="H224" s="314" t="s">
        <v>1512</v>
      </c>
    </row>
    <row r="225" spans="1:8">
      <c r="A225" s="324" t="s">
        <v>1590</v>
      </c>
      <c r="B225" s="323">
        <v>58852</v>
      </c>
      <c r="C225" s="323">
        <v>30029</v>
      </c>
      <c r="D225" s="323">
        <v>28823</v>
      </c>
      <c r="E225" s="323" t="s">
        <v>1512</v>
      </c>
      <c r="F225" s="323" t="s">
        <v>1512</v>
      </c>
      <c r="G225" s="323" t="s">
        <v>1512</v>
      </c>
      <c r="H225" s="314" t="s">
        <v>1512</v>
      </c>
    </row>
    <row r="226" spans="1:8">
      <c r="A226" s="324" t="s">
        <v>1589</v>
      </c>
      <c r="B226" s="323">
        <v>81696</v>
      </c>
      <c r="C226" s="323">
        <v>40869</v>
      </c>
      <c r="D226" s="323">
        <v>40827</v>
      </c>
      <c r="E226" s="323" t="s">
        <v>1512</v>
      </c>
      <c r="F226" s="323" t="s">
        <v>1512</v>
      </c>
      <c r="G226" s="323" t="s">
        <v>1512</v>
      </c>
      <c r="H226" s="314" t="s">
        <v>1512</v>
      </c>
    </row>
    <row r="227" spans="1:8">
      <c r="A227" s="324" t="s">
        <v>1588</v>
      </c>
      <c r="B227" s="323">
        <v>35090</v>
      </c>
      <c r="C227" s="323">
        <v>17399</v>
      </c>
      <c r="D227" s="323">
        <v>17691</v>
      </c>
      <c r="E227" s="323" t="s">
        <v>1512</v>
      </c>
      <c r="F227" s="323" t="s">
        <v>1512</v>
      </c>
      <c r="G227" s="323" t="s">
        <v>1512</v>
      </c>
      <c r="H227" s="314" t="s">
        <v>1512</v>
      </c>
    </row>
    <row r="228" spans="1:8">
      <c r="A228" s="324" t="s">
        <v>1587</v>
      </c>
      <c r="B228" s="323">
        <v>56833</v>
      </c>
      <c r="C228" s="323">
        <v>28286</v>
      </c>
      <c r="D228" s="323">
        <v>28547</v>
      </c>
      <c r="E228" s="323" t="s">
        <v>1512</v>
      </c>
      <c r="F228" s="323" t="s">
        <v>1512</v>
      </c>
      <c r="G228" s="323" t="s">
        <v>1512</v>
      </c>
      <c r="H228" s="314" t="s">
        <v>1512</v>
      </c>
    </row>
    <row r="229" spans="1:8">
      <c r="A229" s="324" t="s">
        <v>1586</v>
      </c>
      <c r="B229" s="323">
        <v>46273</v>
      </c>
      <c r="C229" s="323">
        <v>23345</v>
      </c>
      <c r="D229" s="323">
        <v>22928</v>
      </c>
      <c r="E229" s="323" t="s">
        <v>1512</v>
      </c>
      <c r="F229" s="323" t="s">
        <v>1512</v>
      </c>
      <c r="G229" s="323" t="s">
        <v>1512</v>
      </c>
      <c r="H229" s="314" t="s">
        <v>1512</v>
      </c>
    </row>
    <row r="230" spans="1:8">
      <c r="A230" s="324" t="s">
        <v>1585</v>
      </c>
      <c r="B230" s="323">
        <v>53174</v>
      </c>
      <c r="C230" s="323">
        <v>26453</v>
      </c>
      <c r="D230" s="323">
        <v>26721</v>
      </c>
      <c r="E230" s="323" t="s">
        <v>1512</v>
      </c>
      <c r="F230" s="323" t="s">
        <v>1512</v>
      </c>
      <c r="G230" s="323" t="s">
        <v>1512</v>
      </c>
      <c r="H230" s="314" t="s">
        <v>1512</v>
      </c>
    </row>
    <row r="231" spans="1:8">
      <c r="A231" s="324" t="s">
        <v>1584</v>
      </c>
      <c r="B231" s="323">
        <v>32746</v>
      </c>
      <c r="C231" s="323">
        <v>15919</v>
      </c>
      <c r="D231" s="323">
        <v>16827</v>
      </c>
      <c r="E231" s="323" t="s">
        <v>1512</v>
      </c>
      <c r="F231" s="323" t="s">
        <v>1512</v>
      </c>
      <c r="G231" s="323" t="s">
        <v>1512</v>
      </c>
      <c r="H231" s="314" t="s">
        <v>1512</v>
      </c>
    </row>
    <row r="232" spans="1:8" ht="17.25" thickBot="1">
      <c r="A232" s="322" t="s">
        <v>1583</v>
      </c>
      <c r="B232" s="321">
        <v>43747</v>
      </c>
      <c r="C232" s="321">
        <v>22969</v>
      </c>
      <c r="D232" s="321">
        <v>20778</v>
      </c>
      <c r="E232" s="321" t="s">
        <v>1512</v>
      </c>
      <c r="F232" s="321" t="s">
        <v>1512</v>
      </c>
      <c r="G232" s="321" t="s">
        <v>1512</v>
      </c>
      <c r="H232" s="311" t="s">
        <v>1512</v>
      </c>
    </row>
    <row r="233" spans="1:8" s="317" customFormat="1">
      <c r="A233" s="320" t="s">
        <v>147</v>
      </c>
      <c r="B233" s="319">
        <v>2700794</v>
      </c>
      <c r="C233" s="319">
        <v>1356182</v>
      </c>
      <c r="D233" s="319">
        <v>1344612</v>
      </c>
      <c r="E233" s="319">
        <f>SUM(E235:E258)</f>
        <v>16</v>
      </c>
      <c r="F233" s="319">
        <f>SUM(F235:F258)</f>
        <v>94</v>
      </c>
      <c r="G233" s="319">
        <f>SUM(G235:G258)</f>
        <v>15536</v>
      </c>
      <c r="H233" s="318"/>
    </row>
    <row r="234" spans="1:8">
      <c r="A234" s="316" t="s">
        <v>1582</v>
      </c>
      <c r="B234" s="315">
        <v>519368</v>
      </c>
      <c r="C234" s="315">
        <v>263070</v>
      </c>
      <c r="D234" s="315">
        <v>256298</v>
      </c>
      <c r="E234" s="315">
        <f>SUM(E235:E236)</f>
        <v>3</v>
      </c>
      <c r="F234" s="315">
        <f>SUM(F235:F236)</f>
        <v>23</v>
      </c>
      <c r="G234" s="315">
        <f>SUM(G235:G236)</f>
        <v>4236</v>
      </c>
      <c r="H234" s="314" t="s">
        <v>1581</v>
      </c>
    </row>
    <row r="235" spans="1:8" hidden="1">
      <c r="A235" s="316" t="s">
        <v>1580</v>
      </c>
      <c r="B235" s="315">
        <v>247649</v>
      </c>
      <c r="C235" s="315">
        <v>127446</v>
      </c>
      <c r="D235" s="315">
        <v>120203</v>
      </c>
      <c r="E235" s="315">
        <v>1</v>
      </c>
      <c r="F235" s="315">
        <v>7</v>
      </c>
      <c r="G235" s="315">
        <v>1244</v>
      </c>
      <c r="H235" s="314" t="s">
        <v>1579</v>
      </c>
    </row>
    <row r="236" spans="1:8" hidden="1">
      <c r="A236" s="316" t="s">
        <v>1578</v>
      </c>
      <c r="B236" s="315">
        <v>271719</v>
      </c>
      <c r="C236" s="315">
        <v>135624</v>
      </c>
      <c r="D236" s="315">
        <v>136095</v>
      </c>
      <c r="E236" s="315">
        <v>2</v>
      </c>
      <c r="F236" s="315">
        <v>16</v>
      </c>
      <c r="G236" s="315">
        <v>2992</v>
      </c>
      <c r="H236" s="314" t="s">
        <v>1577</v>
      </c>
    </row>
    <row r="237" spans="1:8">
      <c r="A237" s="316" t="s">
        <v>1576</v>
      </c>
      <c r="B237" s="315">
        <v>261535</v>
      </c>
      <c r="C237" s="315">
        <v>130820</v>
      </c>
      <c r="D237" s="315">
        <v>130715</v>
      </c>
      <c r="E237" s="315">
        <v>2</v>
      </c>
      <c r="F237" s="315">
        <v>5</v>
      </c>
      <c r="G237" s="315">
        <v>774</v>
      </c>
      <c r="H237" s="314" t="s">
        <v>1575</v>
      </c>
    </row>
    <row r="238" spans="1:8">
      <c r="A238" s="316" t="s">
        <v>1574</v>
      </c>
      <c r="B238" s="315">
        <v>135456</v>
      </c>
      <c r="C238" s="315">
        <v>67355</v>
      </c>
      <c r="D238" s="315">
        <v>68101</v>
      </c>
      <c r="E238" s="315">
        <v>1</v>
      </c>
      <c r="F238" s="315">
        <v>4</v>
      </c>
      <c r="G238" s="315">
        <v>851</v>
      </c>
      <c r="H238" s="314" t="s">
        <v>1573</v>
      </c>
    </row>
    <row r="239" spans="1:8">
      <c r="A239" s="316" t="s">
        <v>1572</v>
      </c>
      <c r="B239" s="315">
        <v>168697</v>
      </c>
      <c r="C239" s="315">
        <v>83240</v>
      </c>
      <c r="D239" s="315">
        <v>85457</v>
      </c>
      <c r="E239" s="315">
        <v>3</v>
      </c>
      <c r="F239" s="315">
        <v>12</v>
      </c>
      <c r="G239" s="315">
        <v>1894</v>
      </c>
      <c r="H239" s="314" t="s">
        <v>1571</v>
      </c>
    </row>
    <row r="240" spans="1:8">
      <c r="A240" s="316" t="s">
        <v>1570</v>
      </c>
      <c r="B240" s="315">
        <v>420320</v>
      </c>
      <c r="C240" s="315">
        <v>214452</v>
      </c>
      <c r="D240" s="315">
        <v>205868</v>
      </c>
      <c r="E240" s="315">
        <v>5</v>
      </c>
      <c r="F240" s="315">
        <v>41</v>
      </c>
      <c r="G240" s="315">
        <v>6522</v>
      </c>
      <c r="H240" s="314" t="s">
        <v>1569</v>
      </c>
    </row>
    <row r="241" spans="1:8">
      <c r="A241" s="316" t="s">
        <v>1568</v>
      </c>
      <c r="B241" s="315">
        <v>110780</v>
      </c>
      <c r="C241" s="315">
        <v>55109</v>
      </c>
      <c r="D241" s="315">
        <v>55671</v>
      </c>
      <c r="E241" s="315">
        <v>1</v>
      </c>
      <c r="F241" s="315">
        <v>1</v>
      </c>
      <c r="G241" s="315">
        <v>95</v>
      </c>
      <c r="H241" s="314" t="s">
        <v>1567</v>
      </c>
    </row>
    <row r="242" spans="1:8">
      <c r="A242" s="324" t="s">
        <v>1566</v>
      </c>
      <c r="B242" s="323">
        <v>100689</v>
      </c>
      <c r="C242" s="323">
        <v>50619</v>
      </c>
      <c r="D242" s="323">
        <v>50070</v>
      </c>
      <c r="E242" s="323" t="s">
        <v>1512</v>
      </c>
      <c r="F242" s="323" t="s">
        <v>1512</v>
      </c>
      <c r="G242" s="323" t="s">
        <v>1512</v>
      </c>
      <c r="H242" s="314" t="s">
        <v>1512</v>
      </c>
    </row>
    <row r="243" spans="1:8">
      <c r="A243" s="324" t="s">
        <v>1565</v>
      </c>
      <c r="B243" s="323">
        <v>102892</v>
      </c>
      <c r="C243" s="323">
        <v>50485</v>
      </c>
      <c r="D243" s="323">
        <v>52407</v>
      </c>
      <c r="E243" s="323" t="s">
        <v>1512</v>
      </c>
      <c r="F243" s="323" t="s">
        <v>1512</v>
      </c>
      <c r="G243" s="323" t="s">
        <v>1512</v>
      </c>
      <c r="H243" s="314" t="s">
        <v>1512</v>
      </c>
    </row>
    <row r="244" spans="1:8">
      <c r="A244" s="324" t="s">
        <v>1564</v>
      </c>
      <c r="B244" s="323">
        <v>75911</v>
      </c>
      <c r="C244" s="323">
        <v>37231</v>
      </c>
      <c r="D244" s="323">
        <v>38680</v>
      </c>
      <c r="E244" s="323" t="s">
        <v>1512</v>
      </c>
      <c r="F244" s="323" t="s">
        <v>1512</v>
      </c>
      <c r="G244" s="323" t="s">
        <v>1512</v>
      </c>
      <c r="H244" s="314" t="s">
        <v>1512</v>
      </c>
    </row>
    <row r="245" spans="1:8">
      <c r="A245" s="316" t="s">
        <v>1563</v>
      </c>
      <c r="B245" s="315">
        <v>253968</v>
      </c>
      <c r="C245" s="315">
        <v>127909</v>
      </c>
      <c r="D245" s="315">
        <v>126059</v>
      </c>
      <c r="E245" s="315">
        <v>1</v>
      </c>
      <c r="F245" s="315">
        <v>8</v>
      </c>
      <c r="G245" s="315">
        <v>1164</v>
      </c>
      <c r="H245" s="314" t="s">
        <v>1562</v>
      </c>
    </row>
    <row r="246" spans="1:8">
      <c r="A246" s="324" t="s">
        <v>1561</v>
      </c>
      <c r="B246" s="323">
        <v>24170</v>
      </c>
      <c r="C246" s="323">
        <v>12120</v>
      </c>
      <c r="D246" s="323">
        <v>12050</v>
      </c>
      <c r="E246" s="323" t="s">
        <v>1512</v>
      </c>
      <c r="F246" s="323" t="s">
        <v>1512</v>
      </c>
      <c r="G246" s="323" t="s">
        <v>1512</v>
      </c>
      <c r="H246" s="314" t="s">
        <v>1512</v>
      </c>
    </row>
    <row r="247" spans="1:8">
      <c r="A247" s="324" t="s">
        <v>1560</v>
      </c>
      <c r="B247" s="323">
        <v>55212</v>
      </c>
      <c r="C247" s="323">
        <v>26922</v>
      </c>
      <c r="D247" s="323">
        <v>28290</v>
      </c>
      <c r="E247" s="323" t="s">
        <v>1512</v>
      </c>
      <c r="F247" s="323" t="s">
        <v>1512</v>
      </c>
      <c r="G247" s="323" t="s">
        <v>1512</v>
      </c>
      <c r="H247" s="314" t="s">
        <v>1512</v>
      </c>
    </row>
    <row r="248" spans="1:8">
      <c r="A248" s="324" t="s">
        <v>1559</v>
      </c>
      <c r="B248" s="323">
        <v>26453</v>
      </c>
      <c r="C248" s="323">
        <v>13119</v>
      </c>
      <c r="D248" s="323">
        <v>13334</v>
      </c>
      <c r="E248" s="323" t="s">
        <v>1512</v>
      </c>
      <c r="F248" s="323" t="s">
        <v>1512</v>
      </c>
      <c r="G248" s="323" t="s">
        <v>1512</v>
      </c>
      <c r="H248" s="314" t="s">
        <v>1512</v>
      </c>
    </row>
    <row r="249" spans="1:8">
      <c r="A249" s="324" t="s">
        <v>1558</v>
      </c>
      <c r="B249" s="323">
        <v>18197</v>
      </c>
      <c r="C249" s="323">
        <v>8944</v>
      </c>
      <c r="D249" s="323">
        <v>9253</v>
      </c>
      <c r="E249" s="323" t="s">
        <v>1512</v>
      </c>
      <c r="F249" s="323" t="s">
        <v>1512</v>
      </c>
      <c r="G249" s="323" t="s">
        <v>1512</v>
      </c>
      <c r="H249" s="314" t="s">
        <v>1512</v>
      </c>
    </row>
    <row r="250" spans="1:8">
      <c r="A250" s="324" t="s">
        <v>1557</v>
      </c>
      <c r="B250" s="323">
        <v>39586</v>
      </c>
      <c r="C250" s="323">
        <v>18846</v>
      </c>
      <c r="D250" s="323">
        <v>20740</v>
      </c>
      <c r="E250" s="323" t="s">
        <v>1512</v>
      </c>
      <c r="F250" s="323" t="s">
        <v>1512</v>
      </c>
      <c r="G250" s="323" t="s">
        <v>1512</v>
      </c>
      <c r="H250" s="314" t="s">
        <v>1512</v>
      </c>
    </row>
    <row r="251" spans="1:8">
      <c r="A251" s="324" t="s">
        <v>1556</v>
      </c>
      <c r="B251" s="323">
        <v>43993</v>
      </c>
      <c r="C251" s="323">
        <v>21448</v>
      </c>
      <c r="D251" s="323">
        <v>22545</v>
      </c>
      <c r="E251" s="323" t="s">
        <v>1512</v>
      </c>
      <c r="F251" s="323" t="s">
        <v>1512</v>
      </c>
      <c r="G251" s="323" t="s">
        <v>1512</v>
      </c>
      <c r="H251" s="314" t="s">
        <v>1512</v>
      </c>
    </row>
    <row r="252" spans="1:8">
      <c r="A252" s="324" t="s">
        <v>1555</v>
      </c>
      <c r="B252" s="323">
        <v>35033</v>
      </c>
      <c r="C252" s="323">
        <v>17847</v>
      </c>
      <c r="D252" s="323">
        <v>17186</v>
      </c>
      <c r="E252" s="323" t="s">
        <v>1512</v>
      </c>
      <c r="F252" s="323" t="s">
        <v>1512</v>
      </c>
      <c r="G252" s="323" t="s">
        <v>1512</v>
      </c>
      <c r="H252" s="314" t="s">
        <v>1512</v>
      </c>
    </row>
    <row r="253" spans="1:8">
      <c r="A253" s="324" t="s">
        <v>1554</v>
      </c>
      <c r="B253" s="323">
        <v>44981</v>
      </c>
      <c r="C253" s="323">
        <v>23007</v>
      </c>
      <c r="D253" s="323">
        <v>21974</v>
      </c>
      <c r="E253" s="323" t="s">
        <v>1512</v>
      </c>
      <c r="F253" s="323" t="s">
        <v>1512</v>
      </c>
      <c r="G253" s="323" t="s">
        <v>1512</v>
      </c>
      <c r="H253" s="314" t="s">
        <v>1512</v>
      </c>
    </row>
    <row r="254" spans="1:8">
      <c r="A254" s="324" t="s">
        <v>1553</v>
      </c>
      <c r="B254" s="323">
        <v>122058</v>
      </c>
      <c r="C254" s="323">
        <v>63281</v>
      </c>
      <c r="D254" s="323">
        <v>58777</v>
      </c>
      <c r="E254" s="323" t="s">
        <v>1512</v>
      </c>
      <c r="F254" s="323" t="s">
        <v>1512</v>
      </c>
      <c r="G254" s="323" t="s">
        <v>1512</v>
      </c>
      <c r="H254" s="314" t="s">
        <v>1512</v>
      </c>
    </row>
    <row r="255" spans="1:8">
      <c r="A255" s="324" t="s">
        <v>1552</v>
      </c>
      <c r="B255" s="323">
        <v>45104</v>
      </c>
      <c r="C255" s="323">
        <v>22145</v>
      </c>
      <c r="D255" s="323">
        <v>22959</v>
      </c>
      <c r="E255" s="323" t="s">
        <v>1512</v>
      </c>
      <c r="F255" s="323" t="s">
        <v>1512</v>
      </c>
      <c r="G255" s="323" t="s">
        <v>1512</v>
      </c>
      <c r="H255" s="314" t="s">
        <v>1512</v>
      </c>
    </row>
    <row r="256" spans="1:8">
      <c r="A256" s="324" t="s">
        <v>1551</v>
      </c>
      <c r="B256" s="323">
        <v>34023</v>
      </c>
      <c r="C256" s="323">
        <v>16911</v>
      </c>
      <c r="D256" s="323">
        <v>17112</v>
      </c>
      <c r="E256" s="323" t="s">
        <v>1512</v>
      </c>
      <c r="F256" s="323" t="s">
        <v>1512</v>
      </c>
      <c r="G256" s="323" t="s">
        <v>1512</v>
      </c>
      <c r="H256" s="314" t="s">
        <v>1512</v>
      </c>
    </row>
    <row r="257" spans="1:8">
      <c r="A257" s="324" t="s">
        <v>1550</v>
      </c>
      <c r="B257" s="323">
        <v>52104</v>
      </c>
      <c r="C257" s="323">
        <v>25825</v>
      </c>
      <c r="D257" s="323">
        <v>26279</v>
      </c>
      <c r="E257" s="323" t="s">
        <v>1512</v>
      </c>
      <c r="F257" s="323" t="s">
        <v>1512</v>
      </c>
      <c r="G257" s="323" t="s">
        <v>1512</v>
      </c>
      <c r="H257" s="314" t="s">
        <v>1512</v>
      </c>
    </row>
    <row r="258" spans="1:8" ht="17.25" thickBot="1">
      <c r="A258" s="322" t="s">
        <v>1549</v>
      </c>
      <c r="B258" s="321">
        <v>10264</v>
      </c>
      <c r="C258" s="321">
        <v>5477</v>
      </c>
      <c r="D258" s="321">
        <v>4787</v>
      </c>
      <c r="E258" s="321" t="s">
        <v>1512</v>
      </c>
      <c r="F258" s="321" t="s">
        <v>1512</v>
      </c>
      <c r="G258" s="321" t="s">
        <v>1512</v>
      </c>
      <c r="H258" s="311" t="s">
        <v>1512</v>
      </c>
    </row>
    <row r="259" spans="1:8" s="317" customFormat="1">
      <c r="A259" s="320" t="s">
        <v>148</v>
      </c>
      <c r="B259" s="319">
        <v>3350257</v>
      </c>
      <c r="C259" s="319">
        <v>1687114</v>
      </c>
      <c r="D259" s="319">
        <v>1663143</v>
      </c>
      <c r="E259" s="319">
        <f>SUM(E261:E282)</f>
        <v>21</v>
      </c>
      <c r="F259" s="319">
        <f>SUM(F261:F282)</f>
        <v>133</v>
      </c>
      <c r="G259" s="319">
        <f>SUM(G261:G282)</f>
        <v>21927</v>
      </c>
      <c r="H259" s="318"/>
    </row>
    <row r="260" spans="1:8">
      <c r="A260" s="316" t="s">
        <v>1548</v>
      </c>
      <c r="B260" s="315">
        <v>1075168</v>
      </c>
      <c r="C260" s="315">
        <v>546530</v>
      </c>
      <c r="D260" s="315">
        <v>528638</v>
      </c>
      <c r="E260" s="315">
        <f>SUM(E261:E265)</f>
        <v>9</v>
      </c>
      <c r="F260" s="315">
        <f>SUM(F261:F265)</f>
        <v>58</v>
      </c>
      <c r="G260" s="315">
        <f>SUM(G261:G265)</f>
        <v>9287</v>
      </c>
      <c r="H260" s="314" t="s">
        <v>1547</v>
      </c>
    </row>
    <row r="261" spans="1:8" hidden="1">
      <c r="A261" s="316" t="s">
        <v>1546</v>
      </c>
      <c r="B261" s="315">
        <v>258250</v>
      </c>
      <c r="C261" s="315">
        <v>131857</v>
      </c>
      <c r="D261" s="315">
        <v>126393</v>
      </c>
      <c r="E261" s="315">
        <v>2</v>
      </c>
      <c r="F261" s="315">
        <v>12</v>
      </c>
      <c r="G261" s="315">
        <v>2234</v>
      </c>
      <c r="H261" s="314" t="s">
        <v>1545</v>
      </c>
    </row>
    <row r="262" spans="1:8" hidden="1">
      <c r="A262" s="316" t="s">
        <v>1544</v>
      </c>
      <c r="B262" s="315">
        <v>238414</v>
      </c>
      <c r="C262" s="315">
        <v>122188</v>
      </c>
      <c r="D262" s="315">
        <v>116226</v>
      </c>
      <c r="E262" s="315">
        <v>2</v>
      </c>
      <c r="F262" s="315">
        <v>14</v>
      </c>
      <c r="G262" s="315">
        <v>2310</v>
      </c>
      <c r="H262" s="314" t="s">
        <v>1543</v>
      </c>
    </row>
    <row r="263" spans="1:8" hidden="1">
      <c r="A263" s="316" t="s">
        <v>1542</v>
      </c>
      <c r="B263" s="315">
        <v>182223</v>
      </c>
      <c r="C263" s="315">
        <v>90945</v>
      </c>
      <c r="D263" s="315">
        <v>91278</v>
      </c>
      <c r="E263" s="315">
        <v>2</v>
      </c>
      <c r="F263" s="315">
        <v>12</v>
      </c>
      <c r="G263" s="315">
        <v>1658</v>
      </c>
      <c r="H263" s="314" t="s">
        <v>1541</v>
      </c>
    </row>
    <row r="264" spans="1:8" hidden="1">
      <c r="A264" s="316" t="s">
        <v>1540</v>
      </c>
      <c r="B264" s="315">
        <v>214291</v>
      </c>
      <c r="C264" s="315">
        <v>108615</v>
      </c>
      <c r="D264" s="315">
        <v>105676</v>
      </c>
      <c r="E264" s="315">
        <v>2</v>
      </c>
      <c r="F264" s="315">
        <v>14</v>
      </c>
      <c r="G264" s="315">
        <v>2269</v>
      </c>
      <c r="H264" s="314" t="s">
        <v>1539</v>
      </c>
    </row>
    <row r="265" spans="1:8" hidden="1">
      <c r="A265" s="316" t="s">
        <v>1538</v>
      </c>
      <c r="B265" s="315">
        <v>181990</v>
      </c>
      <c r="C265" s="315">
        <v>92925</v>
      </c>
      <c r="D265" s="315">
        <v>89065</v>
      </c>
      <c r="E265" s="315">
        <v>1</v>
      </c>
      <c r="F265" s="315">
        <v>6</v>
      </c>
      <c r="G265" s="315">
        <v>816</v>
      </c>
      <c r="H265" s="314" t="s">
        <v>1537</v>
      </c>
    </row>
    <row r="266" spans="1:8">
      <c r="A266" s="316" t="s">
        <v>1536</v>
      </c>
      <c r="B266" s="315">
        <v>340241</v>
      </c>
      <c r="C266" s="315">
        <v>168480</v>
      </c>
      <c r="D266" s="315">
        <v>171761</v>
      </c>
      <c r="E266" s="315">
        <v>2</v>
      </c>
      <c r="F266" s="315">
        <v>17</v>
      </c>
      <c r="G266" s="315">
        <v>3380</v>
      </c>
      <c r="H266" s="314" t="s">
        <v>1535</v>
      </c>
    </row>
    <row r="267" spans="1:8">
      <c r="A267" s="316" t="s">
        <v>1534</v>
      </c>
      <c r="B267" s="315">
        <v>139439</v>
      </c>
      <c r="C267" s="315">
        <v>70639</v>
      </c>
      <c r="D267" s="315">
        <v>68800</v>
      </c>
      <c r="E267" s="315">
        <v>2</v>
      </c>
      <c r="F267" s="315">
        <v>13</v>
      </c>
      <c r="G267" s="315">
        <v>2004</v>
      </c>
      <c r="H267" s="314" t="s">
        <v>1533</v>
      </c>
    </row>
    <row r="268" spans="1:8">
      <c r="A268" s="324" t="s">
        <v>1532</v>
      </c>
      <c r="B268" s="323">
        <v>116485</v>
      </c>
      <c r="C268" s="323">
        <v>58392</v>
      </c>
      <c r="D268" s="323">
        <v>58093</v>
      </c>
      <c r="E268" s="323" t="s">
        <v>1512</v>
      </c>
      <c r="F268" s="323" t="s">
        <v>1512</v>
      </c>
      <c r="G268" s="323" t="s">
        <v>1512</v>
      </c>
      <c r="H268" s="314" t="s">
        <v>1512</v>
      </c>
    </row>
    <row r="269" spans="1:8">
      <c r="A269" s="316" t="s">
        <v>1531</v>
      </c>
      <c r="B269" s="315">
        <v>527240</v>
      </c>
      <c r="C269" s="315">
        <v>266361</v>
      </c>
      <c r="D269" s="315">
        <v>260879</v>
      </c>
      <c r="E269" s="315">
        <v>3</v>
      </c>
      <c r="F269" s="315">
        <v>22</v>
      </c>
      <c r="G269" s="315">
        <v>3690</v>
      </c>
      <c r="H269" s="314" t="s">
        <v>1530</v>
      </c>
    </row>
    <row r="270" spans="1:8">
      <c r="A270" s="316" t="s">
        <v>1529</v>
      </c>
      <c r="B270" s="315">
        <v>107765</v>
      </c>
      <c r="C270" s="315">
        <v>52759</v>
      </c>
      <c r="D270" s="315">
        <v>55006</v>
      </c>
      <c r="E270" s="315">
        <v>1</v>
      </c>
      <c r="F270" s="315">
        <v>2</v>
      </c>
      <c r="G270" s="315">
        <v>300</v>
      </c>
      <c r="H270" s="314" t="s">
        <v>1528</v>
      </c>
    </row>
    <row r="271" spans="1:8">
      <c r="A271" s="316" t="s">
        <v>1527</v>
      </c>
      <c r="B271" s="315">
        <v>248287</v>
      </c>
      <c r="C271" s="315">
        <v>130708</v>
      </c>
      <c r="D271" s="315">
        <v>117579</v>
      </c>
      <c r="E271" s="315">
        <v>2</v>
      </c>
      <c r="F271" s="315">
        <v>13</v>
      </c>
      <c r="G271" s="315">
        <v>1923</v>
      </c>
      <c r="H271" s="314" t="s">
        <v>1526</v>
      </c>
    </row>
    <row r="272" spans="1:8">
      <c r="A272" s="316" t="s">
        <v>1525</v>
      </c>
      <c r="B272" s="315">
        <v>292376</v>
      </c>
      <c r="C272" s="315">
        <v>147189</v>
      </c>
      <c r="D272" s="315">
        <v>145187</v>
      </c>
      <c r="E272" s="315">
        <v>1</v>
      </c>
      <c r="F272" s="315">
        <v>6</v>
      </c>
      <c r="G272" s="315">
        <v>933</v>
      </c>
      <c r="H272" s="314" t="s">
        <v>1524</v>
      </c>
    </row>
    <row r="273" spans="1:8">
      <c r="A273" s="324" t="s">
        <v>1523</v>
      </c>
      <c r="B273" s="323">
        <v>29209</v>
      </c>
      <c r="C273" s="323">
        <v>14081</v>
      </c>
      <c r="D273" s="323">
        <v>15128</v>
      </c>
      <c r="E273" s="323" t="s">
        <v>1512</v>
      </c>
      <c r="F273" s="323" t="s">
        <v>1512</v>
      </c>
      <c r="G273" s="323" t="s">
        <v>1512</v>
      </c>
      <c r="H273" s="314" t="s">
        <v>1512</v>
      </c>
    </row>
    <row r="274" spans="1:8">
      <c r="A274" s="324" t="s">
        <v>1522</v>
      </c>
      <c r="B274" s="323">
        <v>68741</v>
      </c>
      <c r="C274" s="323">
        <v>34611</v>
      </c>
      <c r="D274" s="323">
        <v>34130</v>
      </c>
      <c r="E274" s="323" t="s">
        <v>1512</v>
      </c>
      <c r="F274" s="323" t="s">
        <v>1512</v>
      </c>
      <c r="G274" s="323" t="s">
        <v>1512</v>
      </c>
      <c r="H274" s="314" t="s">
        <v>1512</v>
      </c>
    </row>
    <row r="275" spans="1:8">
      <c r="A275" s="324" t="s">
        <v>1521</v>
      </c>
      <c r="B275" s="323">
        <v>63502</v>
      </c>
      <c r="C275" s="323">
        <v>31355</v>
      </c>
      <c r="D275" s="323">
        <v>32147</v>
      </c>
      <c r="E275" s="323" t="s">
        <v>1512</v>
      </c>
      <c r="F275" s="323" t="s">
        <v>1512</v>
      </c>
      <c r="G275" s="323" t="s">
        <v>1512</v>
      </c>
      <c r="H275" s="314" t="s">
        <v>1512</v>
      </c>
    </row>
    <row r="276" spans="1:8">
      <c r="A276" s="324" t="s">
        <v>1520</v>
      </c>
      <c r="B276" s="323">
        <v>55916</v>
      </c>
      <c r="C276" s="323">
        <v>28020</v>
      </c>
      <c r="D276" s="323">
        <v>27896</v>
      </c>
      <c r="E276" s="323" t="s">
        <v>1512</v>
      </c>
      <c r="F276" s="323" t="s">
        <v>1512</v>
      </c>
      <c r="G276" s="323" t="s">
        <v>1512</v>
      </c>
      <c r="H276" s="314" t="s">
        <v>1512</v>
      </c>
    </row>
    <row r="277" spans="1:8">
      <c r="A277" s="324" t="s">
        <v>1519</v>
      </c>
      <c r="B277" s="323">
        <v>46638</v>
      </c>
      <c r="C277" s="323">
        <v>22247</v>
      </c>
      <c r="D277" s="323">
        <v>24391</v>
      </c>
      <c r="E277" s="323" t="s">
        <v>1512</v>
      </c>
      <c r="F277" s="323" t="s">
        <v>1512</v>
      </c>
      <c r="G277" s="323" t="s">
        <v>1512</v>
      </c>
      <c r="H277" s="314" t="s">
        <v>1512</v>
      </c>
    </row>
    <row r="278" spans="1:8">
      <c r="A278" s="324" t="s">
        <v>1518</v>
      </c>
      <c r="B278" s="323">
        <v>49223</v>
      </c>
      <c r="C278" s="323">
        <v>24276</v>
      </c>
      <c r="D278" s="323">
        <v>24947</v>
      </c>
      <c r="E278" s="323" t="s">
        <v>1512</v>
      </c>
      <c r="F278" s="323" t="s">
        <v>1512</v>
      </c>
      <c r="G278" s="323" t="s">
        <v>1512</v>
      </c>
      <c r="H278" s="314" t="s">
        <v>1512</v>
      </c>
    </row>
    <row r="279" spans="1:8">
      <c r="A279" s="324" t="s">
        <v>1517</v>
      </c>
      <c r="B279" s="323">
        <v>35849</v>
      </c>
      <c r="C279" s="323">
        <v>17531</v>
      </c>
      <c r="D279" s="323">
        <v>18318</v>
      </c>
      <c r="E279" s="323" t="s">
        <v>1512</v>
      </c>
      <c r="F279" s="323" t="s">
        <v>1512</v>
      </c>
      <c r="G279" s="323" t="s">
        <v>1512</v>
      </c>
      <c r="H279" s="314" t="s">
        <v>1512</v>
      </c>
    </row>
    <row r="280" spans="1:8">
      <c r="A280" s="324" t="s">
        <v>1516</v>
      </c>
      <c r="B280" s="323">
        <v>40584</v>
      </c>
      <c r="C280" s="323">
        <v>19386</v>
      </c>
      <c r="D280" s="323">
        <v>21198</v>
      </c>
      <c r="E280" s="323" t="s">
        <v>1512</v>
      </c>
      <c r="F280" s="323" t="s">
        <v>1512</v>
      </c>
      <c r="G280" s="323" t="s">
        <v>1512</v>
      </c>
      <c r="H280" s="314" t="s">
        <v>1512</v>
      </c>
    </row>
    <row r="281" spans="1:8">
      <c r="A281" s="316" t="s">
        <v>1515</v>
      </c>
      <c r="B281" s="315">
        <v>63137</v>
      </c>
      <c r="C281" s="315">
        <v>30581</v>
      </c>
      <c r="D281" s="315">
        <v>32556</v>
      </c>
      <c r="E281" s="315">
        <v>1</v>
      </c>
      <c r="F281" s="315">
        <v>2</v>
      </c>
      <c r="G281" s="315">
        <v>410</v>
      </c>
      <c r="H281" s="314" t="s">
        <v>1514</v>
      </c>
    </row>
    <row r="282" spans="1:8" ht="17.25" thickBot="1">
      <c r="A282" s="322" t="s">
        <v>1513</v>
      </c>
      <c r="B282" s="321">
        <v>50457</v>
      </c>
      <c r="C282" s="321">
        <v>23968</v>
      </c>
      <c r="D282" s="321">
        <v>26489</v>
      </c>
      <c r="E282" s="321" t="s">
        <v>1512</v>
      </c>
      <c r="F282" s="321" t="s">
        <v>1512</v>
      </c>
      <c r="G282" s="321" t="s">
        <v>1512</v>
      </c>
      <c r="H282" s="311" t="s">
        <v>1512</v>
      </c>
    </row>
    <row r="283" spans="1:8" s="317" customFormat="1">
      <c r="A283" s="320" t="s">
        <v>1511</v>
      </c>
      <c r="B283" s="319">
        <v>607346</v>
      </c>
      <c r="C283" s="319">
        <v>304656</v>
      </c>
      <c r="D283" s="319">
        <v>302690</v>
      </c>
      <c r="E283" s="319">
        <f>SUM(E284:E285)</f>
        <v>6</v>
      </c>
      <c r="F283" s="319">
        <f>SUM(F284:F285)</f>
        <v>33</v>
      </c>
      <c r="G283" s="319">
        <f>SUM(G284:G285)</f>
        <v>4386</v>
      </c>
      <c r="H283" s="318"/>
    </row>
    <row r="284" spans="1:8">
      <c r="A284" s="316" t="s">
        <v>1510</v>
      </c>
      <c r="B284" s="315">
        <v>448834</v>
      </c>
      <c r="C284" s="315">
        <v>224581</v>
      </c>
      <c r="D284" s="315">
        <v>224253</v>
      </c>
      <c r="E284" s="315">
        <v>5</v>
      </c>
      <c r="F284" s="315">
        <v>27</v>
      </c>
      <c r="G284" s="315">
        <v>3737</v>
      </c>
      <c r="H284" s="314" t="s">
        <v>1509</v>
      </c>
    </row>
    <row r="285" spans="1:8" ht="17.25" thickBot="1">
      <c r="A285" s="313" t="s">
        <v>1508</v>
      </c>
      <c r="B285" s="312">
        <v>158512</v>
      </c>
      <c r="C285" s="312">
        <v>80075</v>
      </c>
      <c r="D285" s="312">
        <v>78437</v>
      </c>
      <c r="E285" s="312">
        <v>1</v>
      </c>
      <c r="F285" s="312">
        <v>6</v>
      </c>
      <c r="G285" s="312">
        <v>649</v>
      </c>
      <c r="H285" s="311" t="s">
        <v>1507</v>
      </c>
    </row>
  </sheetData>
  <phoneticPr fontId="28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이름이 지정된 범위</vt:lpstr>
      </vt:variant>
      <vt:variant>
        <vt:i4>5</vt:i4>
      </vt:variant>
    </vt:vector>
  </HeadingPairs>
  <TitlesOfParts>
    <vt:vector size="25" baseType="lpstr">
      <vt:lpstr>총계</vt:lpstr>
      <vt:lpstr>서울</vt:lpstr>
      <vt:lpstr>부산</vt:lpstr>
      <vt:lpstr>대구</vt:lpstr>
      <vt:lpstr>인천</vt:lpstr>
      <vt:lpstr>광주</vt:lpstr>
      <vt:lpstr>대전</vt:lpstr>
      <vt:lpstr>울산</vt:lpstr>
      <vt:lpstr>경기</vt:lpstr>
      <vt:lpstr>강원</vt:lpstr>
      <vt:lpstr>충북</vt:lpstr>
      <vt:lpstr>충남</vt:lpstr>
      <vt:lpstr>전북</vt:lpstr>
      <vt:lpstr>전남</vt:lpstr>
      <vt:lpstr>경북</vt:lpstr>
      <vt:lpstr>경남</vt:lpstr>
      <vt:lpstr>제주</vt:lpstr>
      <vt:lpstr>전국</vt:lpstr>
      <vt:lpstr>시군구별</vt:lpstr>
      <vt:lpstr>Sheet1</vt:lpstr>
      <vt:lpstr>강원!Print_Area</vt:lpstr>
      <vt:lpstr>대전!Print_Area</vt:lpstr>
      <vt:lpstr>전북!Print_Area</vt:lpstr>
      <vt:lpstr>충남!Print_Area</vt:lpstr>
      <vt:lpstr>충북!Print_Area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김선영</cp:lastModifiedBy>
  <cp:revision>2</cp:revision>
  <cp:lastPrinted>2010-07-27T09:13:48Z</cp:lastPrinted>
  <dcterms:created xsi:type="dcterms:W3CDTF">2005-09-01T06:04:20Z</dcterms:created>
  <dcterms:modified xsi:type="dcterms:W3CDTF">2015-09-09T05:30:35Z</dcterms:modified>
</cp:coreProperties>
</file>